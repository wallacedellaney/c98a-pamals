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licitações" sheetId="1" r:id="rId5"/>
    <sheet state="visible" name="Indução de material" sheetId="2" r:id="rId6"/>
    <sheet state="visible" name="PAINEL" sheetId="3" r:id="rId7"/>
    <sheet state="visible" name="Análise do Corte" sheetId="4" r:id="rId8"/>
    <sheet state="visible" name="CFF 2025" sheetId="5" r:id="rId9"/>
    <sheet state="visible" name="REUNIÃO MTA" sheetId="6" r:id="rId10"/>
    <sheet state="visible" name="MTA 28-09" sheetId="7" r:id="rId11"/>
    <sheet state="visible" name="Novas Linhas" sheetId="8" r:id="rId12"/>
    <sheet state="hidden" name="Solicitações DIRMAB" sheetId="9" r:id="rId13"/>
    <sheet state="hidden" name="Página63" sheetId="10" r:id="rId14"/>
  </sheets>
  <definedNames>
    <definedName hidden="1" localSheetId="7" name="_xlnm._FilterDatabase">'Novas Linhas'!$C$1:$C$2695</definedName>
    <definedName hidden="1" localSheetId="6" name="Z_720EA56E_F81C_411E_BB64_8AEFE77BF47D_.wvu.FilterData">'MTA 28-09'!$A$4:$AB$716</definedName>
    <definedName hidden="1" localSheetId="0" name="Z_720EA56E_F81C_411E_BB64_8AEFE77BF47D_.wvu.FilterData">'Solicitações'!$A$2:$AM$535</definedName>
    <definedName hidden="1" localSheetId="6" name="Z_D3388A2C_5B01_43A1_80D0_045BE890F8A7_.wvu.FilterData">'MTA 28-09'!$A$4:$AB$716</definedName>
    <definedName hidden="1" localSheetId="6" name="Z_7AE75732_25B2_4815_BBF5_52EE39CF42C7_.wvu.FilterData">'MTA 28-09'!$A$4:$AB$716</definedName>
    <definedName hidden="1" localSheetId="6" name="Z_383FC807_906E_4F0B_B431_CFA2479E5802_.wvu.FilterData">'MTA 28-09'!$A$4:$AB$716</definedName>
    <definedName hidden="1" localSheetId="7" name="Z_383FC807_906E_4F0B_B431_CFA2479E5802_.wvu.FilterData">'Novas Linhas'!$A$1:$V$2699</definedName>
    <definedName hidden="1" localSheetId="0" name="Z_383FC807_906E_4F0B_B431_CFA2479E5802_.wvu.FilterData">'Solicitações'!$A$2:$AK$1023</definedName>
    <definedName hidden="1" localSheetId="6" name="Z_F9F45A3A_6773_4340_B18E_D88D41C0E938_.wvu.FilterData">'MTA 28-09'!$A$4:$AB$716</definedName>
    <definedName hidden="1" localSheetId="7" name="Z_F9F45A3A_6773_4340_B18E_D88D41C0E938_.wvu.FilterData">'Novas Linhas'!$A$1:$V$2699</definedName>
    <definedName hidden="1" localSheetId="0" name="Z_F9F45A3A_6773_4340_B18E_D88D41C0E938_.wvu.FilterData">'Solicitações'!$A$2:$AM$1023</definedName>
    <definedName hidden="1" localSheetId="6" name="Z_5B9EB629_732E_463D_B82E_7D12C7E69E2C_.wvu.FilterData">'MTA 28-09'!$A$4:$AB$716</definedName>
    <definedName hidden="1" localSheetId="6" name="Z_70B9DCDD_DD8F_47F4_BA9B_A3B6ABE46273_.wvu.FilterData">'MTA 28-09'!$A$4:$AB$716</definedName>
    <definedName hidden="1" localSheetId="6" name="Z_A2A50DF2_D631_4154_84B9_4F77C2A463C6_.wvu.FilterData">'MTA 28-09'!$A$4:$AB$716</definedName>
    <definedName hidden="1" localSheetId="7" name="Z_A2A50DF2_D631_4154_84B9_4F77C2A463C6_.wvu.FilterData">'Novas Linhas'!$A$1:$V$2699</definedName>
    <definedName hidden="1" localSheetId="0" name="Z_A2A50DF2_D631_4154_84B9_4F77C2A463C6_.wvu.FilterData">'Solicitações'!$B$1:$U$1023</definedName>
    <definedName hidden="1" localSheetId="6" name="Z_F940DA81_AF26_435A_B6B5_52C5FCBCC8C6_.wvu.FilterData">'MTA 28-09'!$A$4:$AB$716</definedName>
    <definedName hidden="1" localSheetId="7" name="Z_F940DA81_AF26_435A_B6B5_52C5FCBCC8C6_.wvu.FilterData">'Novas Linhas'!$A$1:$V$2699</definedName>
    <definedName hidden="1" localSheetId="0" name="Z_F940DA81_AF26_435A_B6B5_52C5FCBCC8C6_.wvu.FilterData">'Solicitações'!$A$2:$AM$614</definedName>
    <definedName hidden="1" localSheetId="6" name="Z_0A6014EC_9A26_460C_87AB_3F2BD81EE9E3_.wvu.FilterData">'MTA 28-09'!$A$4:$AB$716</definedName>
    <definedName hidden="1" localSheetId="6" name="Z_7EB356EA_F2B7_41ED_B35D_E275AF890E5A_.wvu.FilterData">'MTA 28-09'!$A$4:$AB$716</definedName>
    <definedName hidden="1" localSheetId="0" name="Z_7EB356EA_F2B7_41ED_B35D_E275AF890E5A_.wvu.FilterData">'Solicitações'!$A$2:$AM$1023</definedName>
    <definedName hidden="1" localSheetId="6" name="Z_D984123A_3226_4D04_BC86_4426E455EE1A_.wvu.FilterData">'MTA 28-09'!$A$4:$AB$716</definedName>
    <definedName hidden="1" localSheetId="6" name="Z_C4D6ABCB_B2B9_4000_81E1_D84B6541F060_.wvu.FilterData">'MTA 28-09'!$A$4:$AB$716</definedName>
    <definedName hidden="1" localSheetId="6" name="Z_56D0FCDC_0A6C_44EB_8E57_3BE9A60F9788_.wvu.FilterData">'MTA 28-09'!$A$4:$AB$716</definedName>
    <definedName hidden="1" localSheetId="7" name="Z_56D0FCDC_0A6C_44EB_8E57_3BE9A60F9788_.wvu.FilterData">'Novas Linhas'!$A$1:$V$2699</definedName>
    <definedName hidden="1" localSheetId="0" name="Z_56D0FCDC_0A6C_44EB_8E57_3BE9A60F9788_.wvu.FilterData">'Solicitações'!$A$2:$AM$1023</definedName>
    <definedName hidden="1" localSheetId="6" name="Z_BFCD3385_C8AE_428E_A367_8C105E4A9FB8_.wvu.FilterData">'MTA 28-09'!$A$4:$AB$716</definedName>
    <definedName hidden="1" localSheetId="6" name="Z_EA39167F_EE8A_47A8_A55A_7401F35D6ACC_.wvu.FilterData">'MTA 28-09'!$A$4:$AB$716</definedName>
    <definedName hidden="1" localSheetId="7" name="Z_EA39167F_EE8A_47A8_A55A_7401F35D6ACC_.wvu.FilterData">'Novas Linhas'!$A$1:$V$2699</definedName>
    <definedName hidden="1" localSheetId="0" name="Z_EA39167F_EE8A_47A8_A55A_7401F35D6ACC_.wvu.FilterData">'Solicitações'!$A$2:$AM$1023</definedName>
    <definedName hidden="1" localSheetId="6" name="Z_37CE52F4_DC25_47C7_A784_E0D0D3310A06_.wvu.FilterData">'MTA 28-09'!$A$4:$AB$716</definedName>
    <definedName hidden="1" localSheetId="7" name="Z_37CE52F4_DC25_47C7_A784_E0D0D3310A06_.wvu.FilterData">'Novas Linhas'!$A$1:$V$2699</definedName>
    <definedName hidden="1" localSheetId="0" name="Z_37CE52F4_DC25_47C7_A784_E0D0D3310A06_.wvu.FilterData">'Solicitações'!$A$2:$AM$591</definedName>
    <definedName hidden="1" localSheetId="6" name="Z_5E6BAC90_186F_4673_9FCC_B5AE5773EDE7_.wvu.FilterData">'MTA 28-09'!$A$4:$AB$716</definedName>
    <definedName hidden="1" localSheetId="0" name="Z_5E6BAC90_186F_4673_9FCC_B5AE5773EDE7_.wvu.FilterData">'Solicitações'!$A$2:$AM$1023</definedName>
    <definedName hidden="1" localSheetId="6" name="Z_E2DA4580_85C8_4F38_9252_AEB856D7987F_.wvu.FilterData">'MTA 28-09'!$A$4:$AB$716</definedName>
    <definedName hidden="1" localSheetId="7" name="Z_E2DA4580_85C8_4F38_9252_AEB856D7987F_.wvu.FilterData">'Novas Linhas'!$A$1:$V$2699</definedName>
    <definedName hidden="1" localSheetId="0" name="Z_E2DA4580_85C8_4F38_9252_AEB856D7987F_.wvu.FilterData">'Solicitações'!$A$2:$AM$961</definedName>
  </definedNames>
  <calcPr/>
  <customWorkbookViews>
    <customWorkbookView activeSheetId="0" maximized="1" windowHeight="0" windowWidth="0" guid="{720EA56E-F81C-411E-BB64-8AEFE77BF47D}" name="Filtro 10"/>
    <customWorkbookView activeSheetId="0" maximized="1" windowHeight="0" windowWidth="0" guid="{D3388A2C-5B01-43A1-80D0-045BE890F8A7}" name="Filtro 16"/>
    <customWorkbookView activeSheetId="0" maximized="1" windowHeight="0" windowWidth="0" guid="{7AE75732-25B2-4815-BBF5-52EE39CF42C7}" name="Filtro 17"/>
    <customWorkbookView activeSheetId="0" maximized="1" windowHeight="0" windowWidth="0" guid="{383FC807-906E-4F0B-B431-CFA2479E5802}" name="Filtro 1"/>
    <customWorkbookView activeSheetId="0" maximized="1" windowHeight="0" windowWidth="0" guid="{F9F45A3A-6773-4340-B18E-D88D41C0E938}" name="Filtro 7"/>
    <customWorkbookView activeSheetId="0" maximized="1" windowHeight="0" windowWidth="0" guid="{5B9EB629-732E-463D-B82E-7D12C7E69E2C}" name="Filtro 18"/>
    <customWorkbookView activeSheetId="0" maximized="1" windowHeight="0" windowWidth="0" guid="{70B9DCDD-DD8F-47F4-BA9B-A3B6ABE46273}" name="Filtro 12"/>
    <customWorkbookView activeSheetId="0" maximized="1" windowHeight="0" windowWidth="0" guid="{A2A50DF2-D631-4154-84B9-4F77C2A463C6}" name="Filtro 2"/>
    <customWorkbookView activeSheetId="0" maximized="1" windowHeight="0" windowWidth="0" guid="{F940DA81-AF26-435A-B6B5-52C5FCBCC8C6}" name="Filtro 4"/>
    <customWorkbookView activeSheetId="0" maximized="1" windowHeight="0" windowWidth="0" guid="{0A6014EC-9A26-460C-87AB-3F2BD81EE9E3}" name="Filtro 13"/>
    <customWorkbookView activeSheetId="0" maximized="1" windowHeight="0" windowWidth="0" guid="{7EB356EA-F2B7-41ED-B35D-E275AF890E5A}" name="Filtro 9"/>
    <customWorkbookView activeSheetId="0" maximized="1" windowHeight="0" windowWidth="0" guid="{D984123A-3226-4D04-BC86-4426E455EE1A}" name="Filtro 19"/>
    <customWorkbookView activeSheetId="0" maximized="1" windowHeight="0" windowWidth="0" guid="{C4D6ABCB-B2B9-4000-81E1-D84B6541F060}" name="Filtro 14"/>
    <customWorkbookView activeSheetId="0" maximized="1" windowHeight="0" windowWidth="0" guid="{56D0FCDC-0A6C-44EB-8E57-3BE9A60F9788}" name="Filtro 5"/>
    <customWorkbookView activeSheetId="0" maximized="1" windowHeight="0" windowWidth="0" guid="{BFCD3385-C8AE-428E-A367-8C105E4A9FB8}" name="Filtro 15"/>
    <customWorkbookView activeSheetId="0" maximized="1" windowHeight="0" windowWidth="0" guid="{EA39167F-EE8A-47A8-A55A-7401F35D6ACC}" name="Filtro 3"/>
    <customWorkbookView activeSheetId="0" maximized="1" windowHeight="0" windowWidth="0" guid="{37CE52F4-DC25-47C7-A784-E0D0D3310A06}" name="Filtro 8"/>
    <customWorkbookView activeSheetId="0" maximized="1" windowHeight="0" windowWidth="0" guid="{5E6BAC90-186F-4673-9FCC-B5AE5773EDE7}" name="Filtro 11"/>
    <customWorkbookView activeSheetId="0" maximized="1" windowHeight="0" windowWidth="0" guid="{E2DA4580-85C8-4F38-9252-AEB856D7987F}" name="Filtro 6"/>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Serviços a serem contratados para reparo da viga das anvs 5929 do EDA e 5947 da BANT. Além disso, recursos necessários para aquisição dos kits GPS, R$ 180.000,00 por anv. Há a previsão de aplicação do BS que facilita a limpeza da metralhadora.  Materiais para aplicação de BS
</t>
      </text>
    </comment>
    <comment authorId="0" ref="C9">
      <text>
        <t xml:space="preserve">Valor referente ao Desenvolvimento do GPS, Aquisição de ERU e aquisição de 02 transparências do CANOPY. Aquisição de divisor de fluxo. Bancada de teste pneumático
</t>
      </text>
    </comment>
    <comment authorId="0" ref="B5">
      <text>
        <t xml:space="preserve">Em 05/08/2026 - Orçamento 016/2026</t>
      </text>
    </comment>
    <comment authorId="0" ref="C5">
      <text>
        <t xml:space="preserve">Em 05/08/2026 - Orçamentos 005/2026, 011/2026 (parcial), 012/2026 e 013/2026</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CABW: R$ 3.664.809,24
FMS: R$ 1.438.526,10
CELOG: R$ 376.979,84</t>
      </text>
    </comment>
    <comment authorId="0" ref="I10">
      <text>
        <t xml:space="preserve">Células coletes MSV
Cola bote
motor de popa
barco F470
ferramentas/spare part bote assento ejetável
cordões lancamento carga SUBLA
botes de 10 passageiros
</t>
      </text>
    </comment>
  </commentList>
</comments>
</file>

<file path=xl/sharedStrings.xml><?xml version="1.0" encoding="utf-8"?>
<sst xmlns="http://schemas.openxmlformats.org/spreadsheetml/2006/main" count="19291" uniqueCount="1634">
  <si>
    <t>Preenchimento do Coordenador</t>
  </si>
  <si>
    <t>Previsão Serviço/material induzido SEM orçamento aprovado</t>
  </si>
  <si>
    <t>Serviço/material induzido COM orçamento aprovado</t>
  </si>
  <si>
    <t>124/CAE-PAMALS/2022</t>
  </si>
  <si>
    <t>096/CAE-PAMALS/2021</t>
  </si>
  <si>
    <t>048/CAE-PAMALS/2022</t>
  </si>
  <si>
    <t>Projeto</t>
  </si>
  <si>
    <t>024/CELOG-PAMALS/2022</t>
  </si>
  <si>
    <t>Linha</t>
  </si>
  <si>
    <t>040/CELOG-PAMALS/2022</t>
  </si>
  <si>
    <t>012/CELOG-PAMALS/2026</t>
  </si>
  <si>
    <t>Aprovado</t>
  </si>
  <si>
    <t>039/CELOG-PAMALS/2025</t>
  </si>
  <si>
    <t>102/CELOG-PAMALS/2023</t>
  </si>
  <si>
    <t>Ação</t>
  </si>
  <si>
    <t>Trâmite</t>
  </si>
  <si>
    <t>Data Pedido</t>
  </si>
  <si>
    <t>Dígito</t>
  </si>
  <si>
    <t>Rodada em que foi solicitado o atendimento</t>
  </si>
  <si>
    <t>Preenchimento da TGCO</t>
  </si>
  <si>
    <t>Observação do Coordenador</t>
  </si>
  <si>
    <t>Impactos do não atendimento</t>
  </si>
  <si>
    <t>040/CELOG-PAMALS/2025</t>
  </si>
  <si>
    <t>028/CELOG-PAMALS/2025</t>
  </si>
  <si>
    <t>Atividade</t>
  </si>
  <si>
    <t>Tarefa</t>
  </si>
  <si>
    <t>Valor total</t>
  </si>
  <si>
    <t>Executora</t>
  </si>
  <si>
    <t>ND</t>
  </si>
  <si>
    <t>PACOTE</t>
  </si>
  <si>
    <t>Para Contrato</t>
  </si>
  <si>
    <t>Para Motores</t>
  </si>
  <si>
    <t>Mês previsto</t>
  </si>
  <si>
    <t>049/CELOG-PAMALS/2024</t>
  </si>
  <si>
    <t>039/CABW-PAMALS/2024</t>
  </si>
  <si>
    <t>005/CELOG-PAMALS/2025</t>
  </si>
  <si>
    <t>009/CELOG-PAMALS/2025</t>
  </si>
  <si>
    <t>016/CELOG-PAMALS/2025</t>
  </si>
  <si>
    <t>032/CELOG-PAMALS/2025</t>
  </si>
  <si>
    <t>A-29</t>
  </si>
  <si>
    <t>Célula</t>
  </si>
  <si>
    <t>Valor a solicitar</t>
  </si>
  <si>
    <t>Bloqueio Sugerido</t>
  </si>
  <si>
    <t>C-95M</t>
  </si>
  <si>
    <t>C-97</t>
  </si>
  <si>
    <t>C-98</t>
  </si>
  <si>
    <t>T-27</t>
  </si>
  <si>
    <t>T-25</t>
  </si>
  <si>
    <t>G-19</t>
  </si>
  <si>
    <t>IU-93M</t>
  </si>
  <si>
    <t>APOIO</t>
  </si>
  <si>
    <t>Motores</t>
  </si>
  <si>
    <t>Valor a Solicitar</t>
  </si>
  <si>
    <t>Bloqueio Sugerido não solicitado</t>
  </si>
  <si>
    <t>Bloqueio de crédito solicitado</t>
  </si>
  <si>
    <t>Bloqueio total</t>
  </si>
  <si>
    <t>Saldo</t>
  </si>
  <si>
    <t>Saldo Total</t>
  </si>
  <si>
    <t>Diferença disponibilizada no MTA</t>
  </si>
  <si>
    <t>Linhas Correspondentes</t>
  </si>
  <si>
    <t>040 - módulo extra</t>
  </si>
  <si>
    <t>102 - módulo extra</t>
  </si>
  <si>
    <t>req cabw (+transparência)</t>
  </si>
  <si>
    <t>disponibilizar 3MM (deixar 3 shipsets - +-6MM)</t>
  </si>
  <si>
    <t>12900, 12920 e 12880 parcial</t>
  </si>
  <si>
    <t>C-95</t>
  </si>
  <si>
    <t>contrato reparáveis</t>
  </si>
  <si>
    <t>deixar 1450000</t>
  </si>
  <si>
    <t>12380 e 14420</t>
  </si>
  <si>
    <t>req cabw</t>
  </si>
  <si>
    <t>deixar XXX (dobro das REQ inseridas)</t>
  </si>
  <si>
    <t>11400</t>
  </si>
  <si>
    <t>028 - módulo extra</t>
  </si>
  <si>
    <t>deixar FULL 2251000</t>
  </si>
  <si>
    <t>13460, 16260 e 17940</t>
  </si>
  <si>
    <t>096 - módulo extra</t>
  </si>
  <si>
    <t>deixar 2675000</t>
  </si>
  <si>
    <t>11660</t>
  </si>
  <si>
    <t>10260</t>
  </si>
  <si>
    <t>req cabw mod</t>
  </si>
  <si>
    <t>005 - módulo extra</t>
  </si>
  <si>
    <t>DEIXAR TUDO (3,9MM) - FAB 2728 PS</t>
  </si>
  <si>
    <t>11820, 11840, 11860 e 17200</t>
  </si>
  <si>
    <t>IU-93</t>
  </si>
  <si>
    <t>montagem 6053</t>
  </si>
  <si>
    <t>024 - módulo extra</t>
  </si>
  <si>
    <t>rec cabw</t>
  </si>
  <si>
    <t>*</t>
  </si>
  <si>
    <t>12320 14380 e 16160</t>
  </si>
  <si>
    <t>16880</t>
  </si>
  <si>
    <t>APOIO AO SOLO</t>
  </si>
  <si>
    <t>baret</t>
  </si>
  <si>
    <t>devolve 13 MM (compra apenas 1 BARET)</t>
  </si>
  <si>
    <t>sob demanda</t>
  </si>
  <si>
    <t>deixar tudo 2,3 MM</t>
  </si>
  <si>
    <t>TOTAL</t>
  </si>
  <si>
    <t>12120, 12200, 12280</t>
  </si>
  <si>
    <t>AD</t>
  </si>
  <si>
    <t>12040</t>
  </si>
  <si>
    <t>GL</t>
  </si>
  <si>
    <t>serv eng</t>
  </si>
  <si>
    <t>Deixa 800.000</t>
  </si>
  <si>
    <t>14820,17160, 18000, 23500</t>
  </si>
  <si>
    <t>internalização</t>
  </si>
  <si>
    <t>PN</t>
  </si>
  <si>
    <t>deixar tudo 538k</t>
  </si>
  <si>
    <t>10740</t>
  </si>
  <si>
    <t>SSS</t>
  </si>
  <si>
    <t>capacete</t>
  </si>
  <si>
    <t>Bloqueio de parcela fixa</t>
  </si>
  <si>
    <t>mod t-25</t>
  </si>
  <si>
    <t>mod c-98</t>
  </si>
  <si>
    <t>Bloqueio de motor</t>
  </si>
  <si>
    <t>c-98</t>
  </si>
  <si>
    <t>13200, 16700, 25180</t>
  </si>
  <si>
    <t>11580, 11600</t>
  </si>
  <si>
    <t>t-27</t>
  </si>
  <si>
    <t>10580, 13860, 18200, 63480, 63500, 63520</t>
  </si>
  <si>
    <t>a-29</t>
  </si>
  <si>
    <t>24560</t>
  </si>
  <si>
    <t>Impacto antes do corte (pacote B)</t>
  </si>
  <si>
    <t>Bloqueio sugerido pela DIRMAB</t>
  </si>
  <si>
    <t>Ajustes propostos pelo PAMALS</t>
  </si>
  <si>
    <r>
      <rPr>
        <rFont val="Arial"/>
        <color rgb="FF000000"/>
      </rPr>
      <t xml:space="preserve">9 RG em C – necessárias paca chegar e TDA de 55
2 HSI em B NA
1 reparo em B NA
Sem motor de giro (2 reparos em B)
TDA – 55-9-2-1=43
</t>
    </r>
    <r>
      <rPr>
        <rFont val="Arial"/>
        <b/>
        <color rgb="FF000000"/>
      </rPr>
      <t>IMPACTO: Espera-se 43 ANV na TDA no final de 2026</t>
    </r>
  </si>
  <si>
    <r>
      <rPr>
        <rFont val="Arial"/>
        <color rgb="FF000000"/>
      </rPr>
      <t xml:space="preserve">TDA=43
</t>
    </r>
    <r>
      <rPr>
        <rFont val="Arial"/>
        <b/>
        <color rgb="FF000000"/>
      </rPr>
      <t>IMPACTO: Espera-se 43 ANV na TDA no final de 2026</t>
    </r>
  </si>
  <si>
    <r>
      <rPr>
        <rFont val="Arial"/>
        <color rgb="FF000000"/>
      </rPr>
      <t xml:space="preserve">impossibilidade de realização de 1 reparo de motores - que pode ser necessário ou não por ser oriundo de perda não programada.
aquisição parcial dos shipset de transparência para trocas
TDA = 43-1 = 42ANV
</t>
    </r>
    <r>
      <rPr>
        <rFont val="Arial"/>
        <b/>
        <color rgb="FF000000"/>
      </rPr>
      <t>IMPACTO: Espera-se 42 ANV na TDA no final de 2026</t>
    </r>
  </si>
  <si>
    <t>C/P-95</t>
  </si>
  <si>
    <r>
      <rPr>
        <rFont val="Arial"/>
        <color rgb="FF000000"/>
      </rPr>
      <t xml:space="preserve">4 FEP em C – necessárias para chegar na TDA de 23 (sem giro)
TDA motores – 46-4 = 42 = 21ANV
</t>
    </r>
    <r>
      <rPr>
        <rFont val="Arial"/>
        <b/>
        <color rgb="FF000000"/>
      </rPr>
      <t>IMPACTO: Espera-se 21 ANV na TDA no final de 2026</t>
    </r>
  </si>
  <si>
    <r>
      <rPr>
        <rFont val="Arial"/>
        <color rgb="FF000000"/>
      </rPr>
      <t xml:space="preserve">Impossibilidade de arcar com compromissos assumidos em materiais já induzidos no contrato 028/AEL
Impossibilidade de revisão de componentes na assinatura do novo contrato de reparáveis, impactanto diretamente na disponibilidade da frota
Impacto direto na manutenção do projeto durante o primeiro semestre de 2027, principalmente por atraso no recebimento de materiais oriundos de requisições CABW.
</t>
    </r>
    <r>
      <rPr>
        <rFont val="Arial"/>
        <b/>
        <color rgb="FF000000"/>
      </rPr>
      <t>IMPACTO: Espera-se 21 ANV na TDA no final de 2026 e disponibilidade média com redução em torno de 2 ou 3 aeronaves (atualmente o PAMALS mantém 55% de disponibilidade no projeto em contraposição à disponibilidade histórica de 40%)</t>
    </r>
  </si>
  <si>
    <r>
      <rPr>
        <rFont val="Arial"/>
        <color rgb="FF000000"/>
      </rPr>
      <t xml:space="preserve">Impossbilidade de revisão de componentes na assinatura do novo contrto de reparáveis, impactanto diretamente da disponibilidade da frota
Impactio direto na manutenção do projeto durante o primeiro semestre de 2027, principalmente por atraso em empenho e recebimento de materiais oriundos de requisições CABW
</t>
    </r>
    <r>
      <rPr>
        <rFont val="Arial"/>
        <b/>
        <color rgb="FF000000"/>
      </rPr>
      <t>IMPACTO: Espera-se 21 ANV na TDA no final de 2026 e disponibilidade média com redução em torno de 1 ou 2 aeronaves (atualmente o PAMALS mantém 55% de disponibilidade no projeto em contraposição à disponibilidade histórica de 40%)</t>
    </r>
  </si>
  <si>
    <r>
      <rPr>
        <rFont val="Arial"/>
        <color rgb="FF000000"/>
      </rPr>
      <t xml:space="preserve">Impossibilidade da compra de reparáveis para giro na assinatura do novo contrato CLS, impactando da disponibilidade
Mantem TDA=13, podendo impactar na disponibilidade do início de 2027
</t>
    </r>
    <r>
      <rPr>
        <rFont val="Arial"/>
        <b/>
        <color rgb="FF000000"/>
      </rPr>
      <t>IMPACTO: Espera-se 12 ANV na TDA no final de 2026 e redução na disponibilidade por falta de item de giro</t>
    </r>
  </si>
  <si>
    <r>
      <rPr>
        <rFont val="Arial"/>
        <color rgb="FF000000"/>
      </rPr>
      <t xml:space="preserve">Não aquisição de consumíveis e reposição de giro de reparáveis, além de material para manutenção programada nível base enquanto não se assina o novo CLS
</t>
    </r>
    <r>
      <rPr>
        <rFont val="Arial"/>
        <b/>
        <color rgb="FF000000"/>
      </rPr>
      <t>IMPACTO: Espera-se 12 ANV na TDA no final de 2026 e redução em torno de 3 anv na disponibilidade por falta de item de giro</t>
    </r>
  </si>
  <si>
    <r>
      <rPr>
        <rFont val="Arial"/>
        <color rgb="FF000000"/>
      </rPr>
      <t xml:space="preserve">Não aquisição de consumíveis e reposição de giro de reparáveis para manutenção da frota enquanto não se assina o novo CLS
Falta de motor sobressalente para substituição em caso de perda por pane (decisão do PAMALS tendo em vista que o projeto está sem contrato para manutenção de motor e que, durante a modernização realizada no PAMALS teremos sempre 1 avião parado com dois motores aplicados podendo servir de spare)
</t>
    </r>
    <r>
      <rPr>
        <rFont val="Arial"/>
        <b/>
        <color rgb="FF000000"/>
      </rPr>
      <t>IMPACTO: Espera-se 12 ANV na TDA no final de 2026 e redução em torno de 1 anv na disponibilidade por falta de item de giro</t>
    </r>
  </si>
  <si>
    <r>
      <rPr>
        <rFont val="Arial"/>
        <color rgb="FF000000"/>
      </rPr>
      <t xml:space="preserve">1 Exchange em C
1 reparo em B
TDA 23-2 = 21
</t>
    </r>
    <r>
      <rPr>
        <rFont val="Arial"/>
        <b/>
        <color rgb="FF000000"/>
      </rPr>
      <t>IMPACTO: Espera-se 21 ANV na TDA no final de 2026</t>
    </r>
  </si>
  <si>
    <r>
      <rPr>
        <rFont val="Arial"/>
        <color rgb="FF000000"/>
      </rPr>
      <t xml:space="preserve">Impossibilidade de reinclusão do FAB 2728 na TDA
Impossibilidade de realização de modernização abrangida pelo contrato quando o mesmo for assinado
Impossibilidade de realização de 3 reparos de motor
TDA=21-3=18ANV
</t>
    </r>
    <r>
      <rPr>
        <rFont val="Arial"/>
        <b/>
        <color rgb="FF000000"/>
      </rPr>
      <t>IMPACTO: Espera-se 18 ANV na TDA no final de 2026</t>
    </r>
  </si>
  <si>
    <r>
      <rPr>
        <rFont val="Arial"/>
        <color rgb="FF000000"/>
      </rPr>
      <t xml:space="preserve">Impossibilidade de realização de modernização abrangida pelo contrato quando o mesmo for assinado
TDA=21ANV
</t>
    </r>
    <r>
      <rPr>
        <rFont val="Arial"/>
        <b/>
        <color rgb="FF000000"/>
      </rPr>
      <t>IMPACTO: Espera-se 21 ANV na TDA no final de 2026</t>
    </r>
  </si>
  <si>
    <r>
      <rPr>
        <rFont val="Arial"/>
        <color rgb="FF000000"/>
      </rPr>
      <t xml:space="preserve">1 RG em B e 1 RG em C – necessários para chegar na TDA de 24
 TDA=24-2=22
</t>
    </r>
    <r>
      <rPr>
        <rFont val="Arial"/>
        <b/>
        <color rgb="FF000000"/>
      </rPr>
      <t>IMPACTO: Espera-se 22 ANV na TDA no final de 2026</t>
    </r>
  </si>
  <si>
    <r>
      <rPr>
        <rFont val="Arial"/>
        <b val="0"/>
        <color rgb="FF000000"/>
      </rPr>
      <t xml:space="preserve">Após atualização de cálculo de consumo de motores, verificou-se a necessidade de realização de 3 HSI a menos (de manutenção estendida por coincidir com TBO). 
</t>
    </r>
    <r>
      <rPr>
        <rFont val="Arial"/>
        <b/>
        <color rgb="FF000000"/>
      </rPr>
      <t>IMPACTO: Espera-se 22 ANV na TDA no final de 2026</t>
    </r>
  </si>
  <si>
    <r>
      <rPr>
        <rFont val="Arial"/>
        <color rgb="FF000000"/>
      </rPr>
      <t xml:space="preserve">Após atualização de cálculo de consumo de motores, verificou-se a necessidade de realização de 3 HSI a menos (de manutenção estendida por coincidir com TBO). Considerando que o novo contrato de fornecimento de materiais para HSI e Reparo ainda não foi assinado e que o contrato atual tem saldo empenhado, optou-se por bloquear 6 linhas tendo em vista a capacidade produtiva do PAMASP
</t>
    </r>
    <r>
      <rPr>
        <rFont val="Arial"/>
        <b/>
        <color rgb="FF000000"/>
      </rPr>
      <t>IMPACTO: Espera-se 22 ANV na TDA no final de 2026</t>
    </r>
  </si>
  <si>
    <r>
      <rPr>
        <rFont val="Arial"/>
        <color rgb="FF000000"/>
      </rPr>
      <t xml:space="preserve">Impossibilidade de adquirir no tempo previsto os materiais para continuidade da modernização do T-25
Impacto negativo na disponibilidade de consumíveis para realização das manutenções da aeronave no primeiro semestre de 2027
</t>
    </r>
    <r>
      <rPr>
        <rFont val="Arial"/>
        <b/>
        <color rgb="FF000000"/>
      </rPr>
      <t>IMPACTO: Espera-se 24 ANV na TDA no final de 2026 e redução na disponibilidade por falta de item de giro e de consumíveis caso o projeto não receba dinheiro para empenho de requisições CABW e para indução de reparo nos contratos de reparáveis no final de 2027/início de 2028.</t>
    </r>
  </si>
  <si>
    <r>
      <rPr>
        <rFont val="Arial"/>
        <color rgb="FF000000"/>
      </rPr>
      <t xml:space="preserve">Impossibilidade de adquirir no tempo previsto os materiais para continuidade da modernização do T-25
Impacto negativo na disponibilidade de consumíveis para realização das manutenções da aeronave no primeiro semestre de 2027
</t>
    </r>
    <r>
      <rPr>
        <rFont val="Arial"/>
        <b/>
        <color rgb="FF000000"/>
      </rPr>
      <t>IMPACTO: Espera-se 24 ANV na TDA no final de 2026 e redução na disponibilidade por falta de item de giro e de consumíveis caso o projeto não receba dinheiro para empenho de requisições CABW e para indução de reparo nos contratos de reparáveis em meados de 2027.</t>
    </r>
  </si>
  <si>
    <t>IMPACTO: redução na disponibilidade por falta de item de giro e de consumíveis caso o projeto não receba dinheiro para empenho de requisições CABW em 2027.</t>
  </si>
  <si>
    <r>
      <rPr>
        <rFont val="Arial"/>
        <b/>
        <color rgb="FF000000"/>
      </rPr>
      <t xml:space="preserve">IMPACTOS:
</t>
    </r>
    <r>
      <rPr>
        <rFont val="Arial"/>
        <color rgb="FF000000"/>
      </rPr>
      <t>Impacto negativo da disponibilidade de consumíveis para realização das manutenções de equipamentos de apoio ao solo no primeiro semestre de 2027
Impossibilidade de compra de pneu de aviação para sustentar as frotas da FAB
Impossibilidade de realizar serviços de engenharia com fito na melhora de instalações (Plano Marshall)
Impossibilidade de recompletamento de equipamentos de SSS por tempo limite de vida e de atendimento a 100% da lotação</t>
    </r>
  </si>
  <si>
    <r>
      <rPr>
        <rFont val="Arial"/>
        <b/>
        <color rgb="FF000000"/>
      </rPr>
      <t xml:space="preserve">IMPACTOS:
</t>
    </r>
    <r>
      <rPr>
        <rFont val="Arial"/>
        <color rgb="FF000000"/>
      </rPr>
      <t>Impossibilidade de aquisição de consumíveis para manutenção do projeto AD
Impossibilidade de recompletamento de equipamentos de SSS por tempo limite de vida e de atendimento a 100% da lotação</t>
    </r>
  </si>
  <si>
    <t>A</t>
  </si>
  <si>
    <t>B</t>
  </si>
  <si>
    <t>C</t>
  </si>
  <si>
    <t>D</t>
  </si>
  <si>
    <t>Valor já atendido</t>
  </si>
  <si>
    <t>Valor aprovado</t>
  </si>
  <si>
    <t>Solicitado</t>
  </si>
  <si>
    <t>Parcela Fixa/HV não solicitado</t>
  </si>
  <si>
    <t>Atender</t>
  </si>
  <si>
    <t>LIVRE</t>
  </si>
  <si>
    <t>email do dia 11/03</t>
  </si>
  <si>
    <t>MOTOR</t>
  </si>
  <si>
    <t>REMANEJAR
ATENDER $ 2.000,00 E MUDAR PARA ATUALIZAR GPS PJT A-29. Remanejar R$ 130.000,00 para o ctt 048 Willian</t>
  </si>
  <si>
    <t xml:space="preserve"> </t>
  </si>
  <si>
    <t>PNEUS</t>
  </si>
  <si>
    <t>CÉLULA E RESTANTE (FORA MOTOR)</t>
  </si>
  <si>
    <t>Orçamento Total Aprovado</t>
  </si>
  <si>
    <t>Atendido/em trâmite
TOTAL</t>
  </si>
  <si>
    <t>Atendido/em trâmite
Para Motores</t>
  </si>
  <si>
    <t>Não descentralizado
TOTAL</t>
  </si>
  <si>
    <t>Não atendido
Para motores</t>
  </si>
  <si>
    <t>Não atendido
PARCELA FIXA/HORA DE VOO</t>
  </si>
  <si>
    <t>Valor disponível
a ser descentralizado</t>
  </si>
  <si>
    <t>Necessidade do Projeto
(soma em R$)</t>
  </si>
  <si>
    <t>Justificativa</t>
  </si>
  <si>
    <t>MOTORES</t>
  </si>
  <si>
    <t>N° de Ordem</t>
  </si>
  <si>
    <t>APROVADO</t>
  </si>
  <si>
    <t>ANO DO RECURSO</t>
  </si>
  <si>
    <t>AÇÃO</t>
  </si>
  <si>
    <t>PRIORIDADE PARQUE</t>
  </si>
  <si>
    <t>TRÂMITE</t>
  </si>
  <si>
    <t>DATA SOLIC</t>
  </si>
  <si>
    <t>NRO PED DIRMAB</t>
  </si>
  <si>
    <t>DATA PED DIRMAB</t>
  </si>
  <si>
    <t>DÍGITO</t>
  </si>
  <si>
    <t>MTA</t>
  </si>
  <si>
    <t>PLANEJADO / REPLANEJADO</t>
  </si>
  <si>
    <t>UGE</t>
  </si>
  <si>
    <t>OM ORIGEM</t>
  </si>
  <si>
    <t>OM BENEFICIADA</t>
  </si>
  <si>
    <t>PI</t>
  </si>
  <si>
    <t>PI NOVO</t>
  </si>
  <si>
    <t>SIGLA PROJETO</t>
  </si>
  <si>
    <t>ATIVIDADE</t>
  </si>
  <si>
    <t>TAREFA</t>
  </si>
  <si>
    <t>CAT</t>
  </si>
  <si>
    <t>PARA MOTORES</t>
  </si>
  <si>
    <t>PARA CONTRATO</t>
  </si>
  <si>
    <t>GRUPO</t>
  </si>
  <si>
    <t>ED</t>
  </si>
  <si>
    <t>MOEDA ORIGINAL</t>
  </si>
  <si>
    <t>VALOR NA MOEDA ORIGINAL</t>
  </si>
  <si>
    <t>VALOR TOTAL</t>
  </si>
  <si>
    <t>MÊS DESCENTRALIZAÇÃO</t>
  </si>
  <si>
    <t>MÊS LIQUIDAÇÃO</t>
  </si>
  <si>
    <t>OBSERVAÇÃO</t>
  </si>
  <si>
    <t>SUBTOTAL</t>
  </si>
  <si>
    <t>R$ 937.171.772,20</t>
  </si>
  <si>
    <t>SIM</t>
  </si>
  <si>
    <t>ATENDIDO</t>
  </si>
  <si>
    <t>C26059</t>
  </si>
  <si>
    <t>PAMALS</t>
  </si>
  <si>
    <t>CELOG</t>
  </si>
  <si>
    <t>CA0802FIGHT</t>
  </si>
  <si>
    <t>CTT 102/CELOG-PAMALS/2023 – EMBRAER - PSLI</t>
  </si>
  <si>
    <t>Parcela Fixa 01/12</t>
  </si>
  <si>
    <t>CLS</t>
  </si>
  <si>
    <t>Não</t>
  </si>
  <si>
    <t>PARCELA FIXA</t>
  </si>
  <si>
    <t>339039</t>
  </si>
  <si>
    <t>REAL</t>
  </si>
  <si>
    <t>C26065</t>
  </si>
  <si>
    <t>Nº DE ORDEM</t>
  </si>
  <si>
    <t>C26050</t>
  </si>
  <si>
    <t>CA0802TRNSP</t>
  </si>
  <si>
    <t>CTT 096/CAE-PAMALS/2021 - CLS C-97</t>
  </si>
  <si>
    <t>C26052</t>
  </si>
  <si>
    <t>Hora de Voo 2025 (520HV voadas a mais)</t>
  </si>
  <si>
    <t>HORA DE VOO</t>
  </si>
  <si>
    <t>C26070</t>
  </si>
  <si>
    <t>Hora de Voo 01/09 (500HV)</t>
  </si>
  <si>
    <t>C26079</t>
  </si>
  <si>
    <t>CABW</t>
  </si>
  <si>
    <t>CA0802INSTR</t>
  </si>
  <si>
    <t>Requisição CABW</t>
  </si>
  <si>
    <t>Requisição Consumíveis</t>
  </si>
  <si>
    <t>CONSUMO</t>
  </si>
  <si>
    <t>REQUISIÇÃO</t>
  </si>
  <si>
    <t>339030</t>
  </si>
  <si>
    <t>DÓLAR</t>
  </si>
  <si>
    <t>C26063</t>
  </si>
  <si>
    <t>Atualização de GPS</t>
  </si>
  <si>
    <t>PUBLICAÇÃO</t>
  </si>
  <si>
    <t>Movimentado R$ 141.400 para criar as linhas 64920 e 64940</t>
  </si>
  <si>
    <t>C26060</t>
  </si>
  <si>
    <t>C26153</t>
  </si>
  <si>
    <t>Contrato inexigibilidade EMBRAER</t>
  </si>
  <si>
    <t>Publicação</t>
  </si>
  <si>
    <t>C26038</t>
  </si>
  <si>
    <t>PAMASP</t>
  </si>
  <si>
    <t>REQUISIÇÃO SERVIÇO</t>
  </si>
  <si>
    <t>RG Controlador de Torque 3 EA (1/2)</t>
  </si>
  <si>
    <t>C26173</t>
  </si>
  <si>
    <t>Contrato inexigibilidade EMBRAER - CNT 012/CELOG-PAMALS/2026</t>
  </si>
  <si>
    <t>C26051</t>
  </si>
  <si>
    <t>CNT 060/CELOG-PAMASP/2023 - PW - HSI/REPARO</t>
  </si>
  <si>
    <t>HSI PT6A-68C 1/4</t>
  </si>
  <si>
    <t>SOB DEMANDA</t>
  </si>
  <si>
    <t>C26078</t>
  </si>
  <si>
    <t>CTT 004/CELOG-PAMASP/2025 - PW - AQ. PEÇAS</t>
  </si>
  <si>
    <t>Material para PT6A-68C 1/3</t>
  </si>
  <si>
    <t>C26066</t>
  </si>
  <si>
    <t>Requisição de Consumíveis</t>
  </si>
  <si>
    <t>20XV</t>
  </si>
  <si>
    <t>C26062</t>
  </si>
  <si>
    <t>Proposta de alocação de 2048</t>
  </si>
  <si>
    <t>C26151</t>
  </si>
  <si>
    <t>C26146</t>
  </si>
  <si>
    <t>Quebrada conforme e-mail CP Priscilla 19/06. E-mail da CP Priscilla de 30/06. Proposta de alocação de 2048</t>
  </si>
  <si>
    <t>NÃO</t>
  </si>
  <si>
    <t>BLOQUEIO</t>
  </si>
  <si>
    <t>C26155</t>
  </si>
  <si>
    <t>C26121</t>
  </si>
  <si>
    <t>Alterado conforme e-mail de 25/05 da CP Priscilla</t>
  </si>
  <si>
    <t>CA08020INSP</t>
  </si>
  <si>
    <t>Remanejar recurso no dígito para atender parcialmente a linha 10880, com mudança para o PI de apoio e a ND para 30. Deixando essa linha livre para atendimento futuro.</t>
  </si>
  <si>
    <t>Quebra de linha conforme email do Cel Cruz, de 01ABR2026</t>
  </si>
  <si>
    <t>CANCELADO</t>
  </si>
  <si>
    <t>CNT 061/CAE-PAMALS/2020</t>
  </si>
  <si>
    <t>MPI autorizado pela DIRMAB</t>
  </si>
  <si>
    <t xml:space="preserve"> -</t>
  </si>
  <si>
    <t>Zerar valor quando cancelarem o empenho</t>
  </si>
  <si>
    <t>C26300</t>
  </si>
  <si>
    <t>Solicitação CP Priscilla de 18/06.</t>
  </si>
  <si>
    <t>CA0802APOIO</t>
  </si>
  <si>
    <t>REQUISIÇÃO SSS TLV</t>
  </si>
  <si>
    <t>AQUISIÇÃO ITENS SSS COM TEMPO LIMITE DE VIDA (CABW) 1/3</t>
  </si>
  <si>
    <t>C26015</t>
  </si>
  <si>
    <t>REQUISIÇÃO PTA SSS</t>
  </si>
  <si>
    <t>AQUISIÇÃO ITENS SSS CUMPRIR PTA (CABW) 1/2</t>
  </si>
  <si>
    <t>AQUISIÇÃO DE ITENS SSS PARA CUMPRIR PTA</t>
  </si>
  <si>
    <t>C26054</t>
  </si>
  <si>
    <t>CTT 009/CELOG-PAMALS/2025 – Aquisição de Consumíveis</t>
  </si>
  <si>
    <t>Sob demanda 1/8</t>
  </si>
  <si>
    <t>Módulo Extra - Sob demanda 1/4</t>
  </si>
  <si>
    <t>DIVERSOS</t>
  </si>
  <si>
    <t>restante livre</t>
  </si>
  <si>
    <t>2048 PO 02</t>
  </si>
  <si>
    <t>ATENDER</t>
  </si>
  <si>
    <t>CNT 040/CELOG-PAMALS/2022 - AEL - CLS AVIONICO</t>
  </si>
  <si>
    <t>Módulo Extra - Sob demanda</t>
  </si>
  <si>
    <t>AVIÔNICA</t>
  </si>
  <si>
    <t>Aprovação remanejada EM 31/AGO/2026 para atender a aquisição de transparências do A-29 (linhas 12880, 12900 e 12921)</t>
  </si>
  <si>
    <t>C26289</t>
  </si>
  <si>
    <t>CTT 028/CELOG-PAMALS/2025 – CLS AVIÔNICOS</t>
  </si>
  <si>
    <t>C26085</t>
  </si>
  <si>
    <t>CA080200IVR</t>
  </si>
  <si>
    <t>CTT 049/CELOG-PAMALS/2024 – Aquisição de Consumíveis</t>
  </si>
  <si>
    <t>Sob demanda 1/6</t>
  </si>
  <si>
    <t>C26109</t>
  </si>
  <si>
    <t>Parcela Fixa 02/12</t>
  </si>
  <si>
    <t>C26110</t>
  </si>
  <si>
    <t>C26138</t>
  </si>
  <si>
    <t>Hora de Voo 02/10 - 1000 HV</t>
  </si>
  <si>
    <t>DESTQ02</t>
  </si>
  <si>
    <t>NC000848</t>
  </si>
  <si>
    <t>C26130</t>
  </si>
  <si>
    <t>OCS90001000</t>
  </si>
  <si>
    <t>CNT XXX/CELOG-PAMASP/2026 - XX - Material</t>
  </si>
  <si>
    <t>Material reparo PT6A-25C (2/4)</t>
  </si>
  <si>
    <t>Pacote alterado de B para A conforme remanejamento informado pelo Cap Camacho, em e-mail de 18/SET/2026</t>
  </si>
  <si>
    <t>RG Flow Divider 6 EA</t>
  </si>
  <si>
    <t>Linha cancelada em 19/SET conforme e-mail Cap Camacho de 18/SET/2026</t>
  </si>
  <si>
    <t>RG Fuel Control Unit 2 EA (1/4)</t>
  </si>
  <si>
    <t>C26183</t>
  </si>
  <si>
    <t>REQUISIÇÃO CONSUMO</t>
  </si>
  <si>
    <t>Repair KIT</t>
  </si>
  <si>
    <t>RG Fuel Pump 4 EA (1/2)</t>
  </si>
  <si>
    <t>C26049</t>
  </si>
  <si>
    <t>Material para FCU</t>
  </si>
  <si>
    <t>C26039</t>
  </si>
  <si>
    <t>Reparo de CTVR 2 EA (1/3)</t>
  </si>
  <si>
    <t>C26195</t>
  </si>
  <si>
    <t>Reparo de PTVR 3 EA (1/2)</t>
  </si>
  <si>
    <t>ADQUIRIR PNEUS DE AVIAÇÃO</t>
  </si>
  <si>
    <t>Aquisição de Pneu de Aviação - ARP - 1/5</t>
  </si>
  <si>
    <t>C26055</t>
  </si>
  <si>
    <t>Material reparo acessórios PT6A-114A (1/3)</t>
  </si>
  <si>
    <t>RG FCU 3 EA (1/2)</t>
  </si>
  <si>
    <t>Valor original: R$ 430.000,00. Movimentado para atender a linha 64840</t>
  </si>
  <si>
    <t>RG Fuel Pump 5 EA (1/1)</t>
  </si>
  <si>
    <t>Valor original: R$ 425.000,00. Saldo de R$ 40.820,00 movimentado para a linha 64840. Linha cancelada em 19/SET conforme e-mail Cap Camacho de 18/SET/2026</t>
  </si>
  <si>
    <t>FMS</t>
  </si>
  <si>
    <t>AQUISIÇÃO ITENS SSS COM TEMPO LIMITE DE VIDA (FMS)</t>
  </si>
  <si>
    <t>AQUISIÇÃO ITENS SSS COM TEMPO LIMITE DE VIDA (CELOG)</t>
  </si>
  <si>
    <t>Movimentado R$ 720.550,54 para criar a linha 64900, conforme e-mail do Ten Ayres, de 11/SET/2026</t>
  </si>
  <si>
    <t>C26455</t>
  </si>
  <si>
    <t>C26033</t>
  </si>
  <si>
    <t>AQUISIÇÃO ITENS SSS CUMPRIR PTA (CABW) 2/2</t>
  </si>
  <si>
    <t>AQUISIÇÃO ITENS SSS CUMPRIR PTA (FMS)</t>
  </si>
  <si>
    <t>Atender parcialmente com recurso das linhas 10320 e 11900.</t>
  </si>
  <si>
    <t>C26154</t>
  </si>
  <si>
    <t>REQUISIÇÃO LOTAÇÃO SSS</t>
  </si>
  <si>
    <t>AQUISIÇÃO ITENS SSS ATENDER 100% DA LOTAÇÃO (FMS)</t>
  </si>
  <si>
    <t>C26156</t>
  </si>
  <si>
    <t>Parcela Fixa 03/12</t>
  </si>
  <si>
    <t>C26192</t>
  </si>
  <si>
    <t>C26157</t>
  </si>
  <si>
    <t>Hora de Voo 02/09 - 1000 HV</t>
  </si>
  <si>
    <t>Hora de Voo 02/09 (500HV)</t>
  </si>
  <si>
    <t>C26088</t>
  </si>
  <si>
    <t>CNT 024/CELOG-PAMALS/2022 - VEE ONE</t>
  </si>
  <si>
    <t>Hora de Voo 03/12 (100HV)</t>
  </si>
  <si>
    <t>Requisição FMS</t>
  </si>
  <si>
    <t>Requisições Consumíveis 1/4</t>
  </si>
  <si>
    <t>C26010</t>
  </si>
  <si>
    <t>C26075</t>
  </si>
  <si>
    <t>C26124</t>
  </si>
  <si>
    <t>Linha criado a pedido da Cap Priscila Toledo (email de 24/ABR). Alterado conforme e-mail de 25/05 da CP Priscilla</t>
  </si>
  <si>
    <t>Requisições Consumíveis 3/4</t>
  </si>
  <si>
    <t>Requisições Serviço 1/4</t>
  </si>
  <si>
    <t>Requisições Serviço 3/4</t>
  </si>
  <si>
    <t>-</t>
  </si>
  <si>
    <t>EEAR</t>
  </si>
  <si>
    <t>ATA AR CONDICIONADO</t>
  </si>
  <si>
    <t>Valor abatido da linha 11140</t>
  </si>
  <si>
    <t>Requisições Consumíveis</t>
  </si>
  <si>
    <t>C26135</t>
  </si>
  <si>
    <t>E-mail da CP Priscilla de 30/06. Valor abatido da linha 11120.</t>
  </si>
  <si>
    <t>C26035</t>
  </si>
  <si>
    <t>email do dia 19/06</t>
  </si>
  <si>
    <t>C26108</t>
  </si>
  <si>
    <t>CNT 048/CELOG-PAMASP/2022 - PW - Material</t>
  </si>
  <si>
    <t>Material HSI PT6A-25C (1/7)</t>
  </si>
  <si>
    <t>A'</t>
  </si>
  <si>
    <t>Material acessórios PT6A-25C (1/3)</t>
  </si>
  <si>
    <t>REPARO PTVR</t>
  </si>
  <si>
    <t>REPARÁVEL</t>
  </si>
  <si>
    <t>RG Controlador de Torque 3 EA (2/2)</t>
  </si>
  <si>
    <t>RG Fuel Control Unit 2 EA (2/4)</t>
  </si>
  <si>
    <t>Saldo transferido para a linha 64800, conforme e-mail do Cap Camacho, de 07/AGO/26. Saldo original: R$ 200.000,00</t>
  </si>
  <si>
    <t>RG Fuel Pump 4 EA (2/2)</t>
  </si>
  <si>
    <t>Requisições Consumíveis 1/2</t>
  </si>
  <si>
    <t>E-mail da CP Priscilla de 30/06</t>
  </si>
  <si>
    <t>C26114</t>
  </si>
  <si>
    <t>CNT 051/CELOG-PAMASP/2024 - STANDARD AERO - REVISÃO GERAL</t>
  </si>
  <si>
    <t>Revisão Geral PT6A-68C 06/20</t>
  </si>
  <si>
    <t>DESTQ20</t>
  </si>
  <si>
    <t>C26092</t>
  </si>
  <si>
    <t>DESTQ21</t>
  </si>
  <si>
    <t>DESTQ22</t>
  </si>
  <si>
    <t>DESTQ23</t>
  </si>
  <si>
    <t>OCS90005000</t>
  </si>
  <si>
    <t>DESTQ11</t>
  </si>
  <si>
    <t>Atendido após despacho com o BR Wilson, conforme mensagem de whatsapp com o CP Camacho no dia 22/04.</t>
  </si>
  <si>
    <t>DESTQ14</t>
  </si>
  <si>
    <t>DESTQ24</t>
  </si>
  <si>
    <t>DESTQ25</t>
  </si>
  <si>
    <t>Revisão Geral PT6A-68C 07/20</t>
  </si>
  <si>
    <t>C26205</t>
  </si>
  <si>
    <t>Reparo PT6A-68C 2/9</t>
  </si>
  <si>
    <t>Crédito em favor da linha 17960 e-mail CP Priscilla 09/07</t>
  </si>
  <si>
    <t>C26005</t>
  </si>
  <si>
    <t>C26123</t>
  </si>
  <si>
    <t>Linha criada a pedido da Cap Priscilla Toledo (email de 23/ABR). Alterado conforme e-mail de 25/05 da CP Priscilla</t>
  </si>
  <si>
    <t>Valor de R$ 676.670,86 retirado para completar saldo da linha 17940. Crédito em favor da linha 17960 e-mail CP Priscilla 09/07</t>
  </si>
  <si>
    <t>Material reparo acessórios PT6A-34 (1/3)</t>
  </si>
  <si>
    <t>C26103</t>
  </si>
  <si>
    <t>Quebrada conforme e-mail do CP Camacho do dia 11/06.</t>
  </si>
  <si>
    <t>RG FCU 4 EA (2/2)</t>
  </si>
  <si>
    <t>C26097</t>
  </si>
  <si>
    <t>linha criada por solicitação de email do Cap Camacho, de 06/MAI</t>
  </si>
  <si>
    <t>C26197</t>
  </si>
  <si>
    <t>Reparo de CTVR 2 EA (3/3)</t>
  </si>
  <si>
    <t>REQUISIÇÃO PUBLICAÇÃO</t>
  </si>
  <si>
    <t>Maintenance and Overhaul Collection PN 3077123 PT6A-34/114A</t>
  </si>
  <si>
    <t>email do dia 25/05</t>
  </si>
  <si>
    <t>Publicações de Acessórios PT6A-34</t>
  </si>
  <si>
    <t>CTT XXX/CELOG-PAMALS/2026 - MOTORES</t>
  </si>
  <si>
    <t>Revisão Geral 1/1</t>
  </si>
  <si>
    <t>HSI 1/2</t>
  </si>
  <si>
    <t>HSI 2/2</t>
  </si>
  <si>
    <t>C26136</t>
  </si>
  <si>
    <t>E-mail da CP Priscilla de 30/06.</t>
  </si>
  <si>
    <t>DESTQ28</t>
  </si>
  <si>
    <t>NC005204</t>
  </si>
  <si>
    <t>C26325</t>
  </si>
  <si>
    <t>D0000102000</t>
  </si>
  <si>
    <t>Módulo Extra - Elevação de Giro 1/2</t>
  </si>
  <si>
    <t>Publicações</t>
  </si>
  <si>
    <t>Linha cancelada em 19/SET conforme e-mail Cap Camacho de 18/SET/26</t>
  </si>
  <si>
    <t>C26216</t>
  </si>
  <si>
    <t>CNT 031/CELOG-PAMASP/2022 - PW - RG</t>
  </si>
  <si>
    <t>Revisão Geral PT6A-114A (3/6)</t>
  </si>
  <si>
    <t>valor alterado por solicitação do Cap Camacho - emial do dia 05maio</t>
  </si>
  <si>
    <t>RG FCU 3 EA (2/2)</t>
  </si>
  <si>
    <t>Saldo original: R$ 430.000,00. Retirado R$ 384.572,00 para atender a linha 12240, conforme email do Cel Cruz, de 01ABR2026. Linha cancelada em 19/SET conforme e-mail Cap Camacho de 18/SET/2026</t>
  </si>
  <si>
    <t>RG IGNITION EXCITER 4 EA (1/1)</t>
  </si>
  <si>
    <t>Publicações de Acessórios PT6A-114A</t>
  </si>
  <si>
    <t>C26042</t>
  </si>
  <si>
    <t>Requisições Consumíveis 1/8</t>
  </si>
  <si>
    <t>Requisições Consumíveis 3/8</t>
  </si>
  <si>
    <t>Requisições Consumíveis 5/8</t>
  </si>
  <si>
    <t>Requisições Consumíveis 7/8</t>
  </si>
  <si>
    <t>Loc HXMRQEE. Proposta de alocação de 20XV</t>
  </si>
  <si>
    <t>Remanejar o recurso para a linha 10880 e cancelar esta linha. O valor em real da linha era de R$ 250.000,00, sendo transferido para a linha 18501. Voltar a "gordura" para contemplar o valor em real. Essa linha será cancelada.</t>
  </si>
  <si>
    <t>C26048</t>
  </si>
  <si>
    <t>AQUISIÇÃO ITENS SSS COM TEMPO LIMITE DE VIDA (CABW) 2/3</t>
  </si>
  <si>
    <t>REVISÃO ITEM SSS EXTERIOR</t>
  </si>
  <si>
    <t>REVISÃO ITENS SSS NO EXTERIOR (CABW)</t>
  </si>
  <si>
    <t>Descentralizar US$ 6,720.00</t>
  </si>
  <si>
    <t>C26125</t>
  </si>
  <si>
    <t>C26006</t>
  </si>
  <si>
    <t>C26044</t>
  </si>
  <si>
    <t>C26133</t>
  </si>
  <si>
    <t>C26034</t>
  </si>
  <si>
    <t>Quebra de linha conforme e-mail da Cap Priscilla Toledo, de 11/MAR/2026</t>
  </si>
  <si>
    <t>CURSO MANUTENÇÃO BOTES KC390 (SSS)</t>
  </si>
  <si>
    <t>Saldo movimentado para criar a linha 66040, conforme e-mail do Ten Ayres, de 11/SET/2026</t>
  </si>
  <si>
    <t>Contrato de reparáveis</t>
  </si>
  <si>
    <t>Reparo sob demanda 1/6</t>
  </si>
  <si>
    <t>C26340</t>
  </si>
  <si>
    <t>Módulo Extra - Aquisição ERU</t>
  </si>
  <si>
    <t>CAD-PAD</t>
  </si>
  <si>
    <t>Reparo sob demanda 1/8</t>
  </si>
  <si>
    <t>Saldo transferido para crair a linha 65080, conforme e-mail do Ten Ayres, de 11/SET/2026</t>
  </si>
  <si>
    <t>Módulo Extra - Aplicação de Boletins de Serviço para cumprir Diretriz de Aeronavegabilidade</t>
  </si>
  <si>
    <t>Parcela Fixa 04/12</t>
  </si>
  <si>
    <t>Requisições Consumíveis 4/4</t>
  </si>
  <si>
    <t>Retirado R$ 7.800,00 para atender a linha 12761 - email de 24/ABR</t>
  </si>
  <si>
    <t>GAP-LS</t>
  </si>
  <si>
    <t>CTT XXX/GAPLS-PAMALS/2026 – Gestão de Frota</t>
  </si>
  <si>
    <t>Serviço de Reparo 1/4</t>
  </si>
  <si>
    <t>Saldo original: R$ 25.000,00 - valor zerado para atender a linha 12120, conforme email da Cap Priscilla Toledo, de 24/ABR</t>
  </si>
  <si>
    <t>CTT XXX/CELOG-PAMALS/2026 – Aquisição de Consumíveis</t>
  </si>
  <si>
    <t>Aquisição de consumíveis 1/4</t>
  </si>
  <si>
    <t>Saldo original: R$ 621.000,00 - valor zerado para atender a linha 12120, conforme email da Cap Priscilla Toledo, de 24/ABR</t>
  </si>
  <si>
    <t>Valor original: R$ 378.000,00 - remanejado para a linha 12280, conforme email da Cap Priscilla Toledo, de 24/ABR</t>
  </si>
  <si>
    <t>Valor original: R$ 21.600,00 - remanejado para a linha 12220, conforme email da Cap Priscilla Toledo, de 24/ABR</t>
  </si>
  <si>
    <t>Valor original: R$ 21.600,00 - remanejado R$ 21.000,00 para a linha 12280, conforme email da Cap Priscilla Toledo, de 24/ABR</t>
  </si>
  <si>
    <t>BANT</t>
  </si>
  <si>
    <t>C26037</t>
  </si>
  <si>
    <t>Loc 2K6UPBL</t>
  </si>
  <si>
    <t>Saldo original: R$ 135.000,00 - valor zerado para atender a linha 12120, conforme email da Cap Priscilla Toledo, de 24/ABR</t>
  </si>
  <si>
    <t>Hora de Voo 03/09 (500HV)</t>
  </si>
  <si>
    <t>Hora de Voo 03/10 - 1000 HV</t>
  </si>
  <si>
    <t>Hora de Voo 03/09 - 1000 HV</t>
  </si>
  <si>
    <t>Parcela Fixa 05/12</t>
  </si>
  <si>
    <t>C26163</t>
  </si>
  <si>
    <t>CNT 005/CELOG-PAMALS/2025 - VEE ONE</t>
  </si>
  <si>
    <t>C26152</t>
  </si>
  <si>
    <t>Hora de Voo 04/12 (100HV)</t>
  </si>
  <si>
    <t>Material acessórios PT6A-25C (2/3)</t>
  </si>
  <si>
    <t>RG Fuel Control Unit 2 EA (3/4)</t>
  </si>
  <si>
    <t>C26288</t>
  </si>
  <si>
    <t>Material para PT6A-68C 2/3</t>
  </si>
  <si>
    <t>Transparências 1/5</t>
  </si>
  <si>
    <t>ESTRUTURA</t>
  </si>
  <si>
    <t>Transparências 2/5</t>
  </si>
  <si>
    <t>Transparências 3/5</t>
  </si>
  <si>
    <t>Transparências 4/5</t>
  </si>
  <si>
    <t>Aprovação recebida das linhas 10460, 13100 e 59160 em 31/AGO/2026. A valor necessário é de US$ 643.199,86 no total das linhas 12880, 12921 e 12900. Aguardar a descentralização das linhas 12921 e 12880 para descentralizar o valor restante em US$ na linha 12900</t>
  </si>
  <si>
    <t>Transparências 5/5</t>
  </si>
  <si>
    <t>E-mail da CP Priscilla de 30/06. Aprovação recebida das linhas 10460, 13100 e 59160 em 31/AGO/2026</t>
  </si>
  <si>
    <t>jan-00</t>
  </si>
  <si>
    <t>Bloqueio parcial da linha mãe. Aprovação recebida das linhas 10460, 13100 e 59160 em 31/AGO/2026</t>
  </si>
  <si>
    <t>HSI PT6A-68C 2/4</t>
  </si>
  <si>
    <t>CNT 006/CELOG-PAMASP/2026 - PW - RG</t>
  </si>
  <si>
    <t>Revisão Geral PT6A-34 (1/12)</t>
  </si>
  <si>
    <t>Valor original R$ 1.000.000,00 passando para 0,00 para atendimento da linha 10160, conforme e-mail da CP Priscilla Toledo de 11/03</t>
  </si>
  <si>
    <t>C26166</t>
  </si>
  <si>
    <t>Material HSI PT6A-34 (1/10)</t>
  </si>
  <si>
    <t>Material reparo PT6A-34 (1/6)</t>
  </si>
  <si>
    <t>RG U.C.P 6 EA (1/1)</t>
  </si>
  <si>
    <t>Reparo de CTVR 2 EA (2/3)</t>
  </si>
  <si>
    <t>Saldo original: R$ 54.000,00. Retirado R$ 53.884,05 para atender a linha 19641 e R$ 115.95 para atender a linha 19642, conforme email do Cel Cruz, de 01ABR2026. Linha cancelada em 19/SET conforme e-mail Cap Camacho de 18/SET/2026</t>
  </si>
  <si>
    <t>Reparo de PTVR 3 EA (2/2)</t>
  </si>
  <si>
    <t>MANUTENÇÂO DAS INSTALAÇÕES</t>
  </si>
  <si>
    <t>INFRAESTRUTURA - PINTURA DO HANGAR 002 – TOFI</t>
  </si>
  <si>
    <t>INFRAESTRUTURA</t>
  </si>
  <si>
    <t>Aquisição de Pneu de Aviação - ARP - 2/5</t>
  </si>
  <si>
    <t>Recebeu 2048 das anteriormente nas linhas 16800 e 17763, por conta do retorno de 20XV, conforme solicitado pelo Ten Ayres 23/07. Aprovação de R$ 400.000,00 remanejada em 31/AGO/2026 para aquisição de transparência do A-29 (linhas 12880, 12900 e 12921)</t>
  </si>
  <si>
    <t>Recebeu 2048 das anteriormente nas linhas 16800 e 17763, por conta do retorno de 20XV, conforme solicitado pelo Ten Ayres 23/07. Alterado de Pacote A para B em 24/SET/2026 em função da troca de PLAMTAX (R$ 1.7 Mi)</t>
  </si>
  <si>
    <t>C26290</t>
  </si>
  <si>
    <t>PREGÃO CELOG - AQUISIÇÃO DE ITENS DE CLASSE GERAL</t>
  </si>
  <si>
    <t>AQUISIÇÃO DE MATERIAL PARA OFICINAS INTERNAS, EM ATENDIMENTO AOS DIVERSOS PROJETOS DO PAMALS 1/4</t>
  </si>
  <si>
    <t>449052</t>
  </si>
  <si>
    <t>Remanejado R$ 41.890,00 para a linha 17841 -email de 24/ABR. Acrescido o valor de R$ 4.802,00 da linha 18000. Atendimento conforme mensagem da CP Priscilla do dia 29/05, alterando para GND 4.</t>
  </si>
  <si>
    <t>C26096</t>
  </si>
  <si>
    <t>C26181</t>
  </si>
  <si>
    <t>AQUISIÇÃO DE MATERIAL PARA OFICINAS INTERNAS, EM ATENDIMENTO AOS DIVERSOS PROJETOS DO PAMALS 2/4</t>
  </si>
  <si>
    <t>PREGÃO GAP-LS - AQUISIÇÃO DE ITENS DE CLASSE GERAL</t>
  </si>
  <si>
    <t>C26113</t>
  </si>
  <si>
    <t>Material HSI PT6A-114A (1/4)</t>
  </si>
  <si>
    <t>Material HSI PT6A-114A (2/4)</t>
  </si>
  <si>
    <t>CNT XXX/CELOG-PAMASP/2026 - Material</t>
  </si>
  <si>
    <t>Material reparo PT6A-114A (1/4)</t>
  </si>
  <si>
    <t>Material reparo acessórios PT6A-114A (2/3)</t>
  </si>
  <si>
    <t>Reparo de CTVR 2 EA (1/2)</t>
  </si>
  <si>
    <t>Reparo de PTVR 2 EA (1/2)</t>
  </si>
  <si>
    <t>Requisições Consumíveis 2/3</t>
  </si>
  <si>
    <t>Requisições Consumíveis 2/2</t>
  </si>
  <si>
    <t>REQUISIÇÃO DE BOTES INFLÁVEIS (SSS)</t>
  </si>
  <si>
    <t>AQUISIÇÃO DE BOTES PARA ANV P3 (PROJETO SSS)</t>
  </si>
  <si>
    <t>Proposta de alocação de 2048. E-mail da CP Priscilla de 30/06</t>
  </si>
  <si>
    <t>Requisições Consumíveis 1/3</t>
  </si>
  <si>
    <t>Requisições Consumíveis 3/3</t>
  </si>
  <si>
    <t>AQUISIÇÃO ITENS SSS ATENDER 100% DA LOTAÇÃO (CABW) 1/4</t>
  </si>
  <si>
    <t>C26201</t>
  </si>
  <si>
    <t>Sob demanda 2/8</t>
  </si>
  <si>
    <t>Módulo Extra - Sob demanda 2/4</t>
  </si>
  <si>
    <t>Linha que não será demandada em 2026. Mensagem CP Priscilla no dia 18/06.</t>
  </si>
  <si>
    <t>C26309</t>
  </si>
  <si>
    <t>C26204</t>
  </si>
  <si>
    <t>Sob demanda 2/6</t>
  </si>
  <si>
    <t>CNT XXX/GAPLS/2026 - Revisão/Manutenção de maquinários da TOFI - Serviço</t>
  </si>
  <si>
    <t>Serviço de revisão/manutenção preventiva e corretiva dos maquinários da TOFI 1/6</t>
  </si>
  <si>
    <t>Serviço de revisão/manutenção preventiva e corretiva dos maquinários da TOFI 2/6</t>
  </si>
  <si>
    <t>CNT XXX/GAPLS/2026 - Serviço de readequação da ETE do PAMALS para instalação de abrigo de resíduos sólidos</t>
  </si>
  <si>
    <t>INFRAESTRUTURA - Serviço de readequação da ETE do PAMALS para instalação de abrigo de resíduos sólidos 1/2</t>
  </si>
  <si>
    <t>CNT 032/CELOG-PAMALS/2025 - SENAI</t>
  </si>
  <si>
    <t>Confecção de itens manufaturados 1/4</t>
  </si>
  <si>
    <t>C26246</t>
  </si>
  <si>
    <t>Linha quebrada para redistribuição de 2048, Ten Ayres 24/07. - ATD conforme email 13AGO</t>
  </si>
  <si>
    <t>Módulo Extra - Sob demanda 1/3</t>
  </si>
  <si>
    <t>Valor original de R$ 750.000,00, modificado pelo e-mail da CP Priscilla Toledo do dia 11/03 para atender a linha 10160</t>
  </si>
  <si>
    <t>Serviço de Reparo 2/4</t>
  </si>
  <si>
    <t>Hora de Voo 04/09 (500HV)</t>
  </si>
  <si>
    <t>Hora de Voo 04/10 - 1000 HV</t>
  </si>
  <si>
    <t>C26308</t>
  </si>
  <si>
    <t>Hora de Voo 04/09 - 1000 HV</t>
  </si>
  <si>
    <t>Parcela Fixa 06/12</t>
  </si>
  <si>
    <t>DESTQ09</t>
  </si>
  <si>
    <t>NC002234</t>
  </si>
  <si>
    <t>C26193</t>
  </si>
  <si>
    <t>Hora de Voo 05/12 (100HV)</t>
  </si>
  <si>
    <t>Requisições Consumíveis 2/4</t>
  </si>
  <si>
    <t>C26072</t>
  </si>
  <si>
    <t>CNT 005/CELOG-PAMASP/2026 - STANDARDAERO - RG</t>
  </si>
  <si>
    <t>Revisão Geral PT6A-25C (2/5)</t>
  </si>
  <si>
    <t>Material reparo PT6A-25C (3/4)</t>
  </si>
  <si>
    <t>Valor alterado de R$ 750.000,00 para R$ 542.580,09 e Pacote alterado de B para A conforme remanejamento do Cap Camacho, em e-mail de 18/SET/2026</t>
  </si>
  <si>
    <t>Material acessórios PT6A-25C (3/3)</t>
  </si>
  <si>
    <t>R$ 12.577,00 transferido para a linha 64800, conforme e-mail do Cap Camacho, de 07/AGO/26. Linha cancelada em 19/SET conforme e-mail Cap Camacho de 18/SET/26</t>
  </si>
  <si>
    <t>RG Fuel Control Unit 2 EA (4/4)</t>
  </si>
  <si>
    <t>70 - aguardar o pronto do processo</t>
  </si>
  <si>
    <t>3077076 - MAINTENANCE</t>
  </si>
  <si>
    <t>R$ 684.000,00 movimentado para a linha 68100 em 19/SET/26, conforme e-mail Cap Camacho de 18/SET/2026</t>
  </si>
  <si>
    <t>Material banco de provas</t>
  </si>
  <si>
    <t>linha criada por solicitação do Cap Camacho, email de 06/MAI</t>
  </si>
  <si>
    <t>C26132</t>
  </si>
  <si>
    <t>Revisão Geral PT6A-68C 08/20</t>
  </si>
  <si>
    <t>Reparo PT6A-68C 3/9</t>
  </si>
  <si>
    <t>R$ 150 k recebidos da linha 17080, pois o planejamento é apenas para reparo de 6 motores no Ctt 060 e os valores executados estão saindo maiores que o planejado</t>
  </si>
  <si>
    <t>C26162</t>
  </si>
  <si>
    <t>Revisão Geral PT6A-34 (2/12)</t>
  </si>
  <si>
    <t>RG IGNITION EXCITER 6 EA (1/1)</t>
  </si>
  <si>
    <t>RG Revisão Flow Divider 6 EA (1/1)</t>
  </si>
  <si>
    <t>INFRAESTRUTURA - READEQUAÇÃO DAS INSTALAÇÕES ELETRICAS DO HANGAR CAP JESUS E REFORMA DO TELHADO (H-003)</t>
  </si>
  <si>
    <t>Pacote alterado de A para B para atender a linha 23920 (Pacote C) - alteração em 07/AGO/26, por não ter solicitação da linha até o momento (descentralização prevista para JUL/26). Pacote alterado de B para A em 30/AGO/2026 (processo pronto)</t>
  </si>
  <si>
    <t>AQUISIÇÃO DE MATERIAL PARA OFICINAS INTERNAS, EM ATENDIMENTO AOS DIVERSOS PROJETOS DO PAMALS 3/4</t>
  </si>
  <si>
    <t>Revisão Geral PT6A-114A (4/6)</t>
  </si>
  <si>
    <t>C26112</t>
  </si>
  <si>
    <t>AQUISIÇÃO ITENS SSS COM TEMPO LIMITE DE VIDA (CABW)</t>
  </si>
  <si>
    <t>Requisições Consumíveis 5/5</t>
  </si>
  <si>
    <t>Reparo sob demanda 2/6</t>
  </si>
  <si>
    <t>Reparo sob demanda 2/8</t>
  </si>
  <si>
    <t>Saldo movimentado para criar a linha 66080, conforme e-mail Ten Ayres de 11/SET/2026</t>
  </si>
  <si>
    <t>CTT XXXX/PAMALS-CELOG/2026</t>
  </si>
  <si>
    <t>SERVIÇO/REPARO DE RECAUCHUTAGEM DE PNEUS DE AVIAÇÃO 1/4</t>
  </si>
  <si>
    <t>Atendimento com base no valor definido por despacho no Ofício de NUP 67113.001016/2026-81 em linha indicada no e-mail da CP Priscila de 19/03</t>
  </si>
  <si>
    <t>CNT XXX/GAPLS/2026</t>
  </si>
  <si>
    <t>Serviço de Coleta, Transporte e Destinação Final de Resíduos Sólidos Industriais do PAMALS</t>
  </si>
  <si>
    <t>CNT XXX/GAPLS/2026 - Serviço de Coleta e Caracterização Físico-Química de Efluentes Industriais do PAMALS - Serviço</t>
  </si>
  <si>
    <t>Serviço de Coleta e Caracterização Físico-Química de Efluentes Industriais do PAMALS</t>
  </si>
  <si>
    <t>Aquisição de consumíveis 2/4</t>
  </si>
  <si>
    <t>CABE</t>
  </si>
  <si>
    <t>CNT XXX/CABE-PAMALS/2026 - MARTIN BAKER - SUPORTE EJEÇÃO</t>
  </si>
  <si>
    <t>Aquisição de consumíveis para inspeção de assentos</t>
  </si>
  <si>
    <t>ASSENTO EJETÁVEL</t>
  </si>
  <si>
    <t>LIBRA</t>
  </si>
  <si>
    <t>Movimentado R$ 1.040.000,00 para criar cada linha: 64960, 65000, 65020, 65040 e 65060 conforme e-mail do Ten Ayres, de 11/SET</t>
  </si>
  <si>
    <t>DESTQ08</t>
  </si>
  <si>
    <t>NC002347</t>
  </si>
  <si>
    <t>C26194</t>
  </si>
  <si>
    <t>OCS90003000</t>
  </si>
  <si>
    <t>Saldo de R$ 3.000.000,00 movimentado para as linhas 10460 e 25340, conforme email Ten Ayres de 11/SET/2026</t>
  </si>
  <si>
    <t>Parcela Fixa 07/12</t>
  </si>
  <si>
    <t>Proposta de aloação de 20XV</t>
  </si>
  <si>
    <t>Hora de Voo 05/10 - 1000 HV</t>
  </si>
  <si>
    <t>Alteração no valor original de R$ 286.636,20, conforme e-mail da Cap Priscilla Toledo, de 11/MAR/2026, extraindo os valores das linhas 13440 e 10460. Alterado conforme e-mail de 25/05 da CP Priscilla</t>
  </si>
  <si>
    <t>20XV SUP</t>
  </si>
  <si>
    <t>Hora de Voo 06/12 (100HV)</t>
  </si>
  <si>
    <t>C26165</t>
  </si>
  <si>
    <t>Material HSI PT6A-25C (2/7)</t>
  </si>
  <si>
    <t>Revisão Geral PT6A-34 (3/12)</t>
  </si>
  <si>
    <t>Material reparo acessórios PT6A-34 (2/3)</t>
  </si>
  <si>
    <t>COMANDO DA AERONÁUTICA</t>
  </si>
  <si>
    <t>DIRETORIA DE MATERIAL AERONÁUTICO E BÉLICO</t>
  </si>
  <si>
    <t>PARQUE DE MATERIAL AERONÁUTICO DE LAGOA SANTA</t>
  </si>
  <si>
    <t>NÚMERO DO PEDIDO: PAMALS 005/2025</t>
  </si>
  <si>
    <t>PEDIDO:</t>
  </si>
  <si>
    <t>JUSTIFICATIVA: Necessidade de crédito para o mês de outubro para os projetos suportados pelo PAMALS</t>
  </si>
  <si>
    <t>(X) Inclusão</t>
  </si>
  <si>
    <t>(X) Alteração</t>
  </si>
  <si>
    <t>( ) Exclusão</t>
  </si>
  <si>
    <t>(X) Atender</t>
  </si>
  <si>
    <t>(X) Remanejar</t>
  </si>
  <si>
    <t>PRIORIDADE</t>
  </si>
  <si>
    <t>N° DE ORDEM</t>
  </si>
  <si>
    <t>UGR</t>
  </si>
  <si>
    <t>OM BENEF.</t>
  </si>
  <si>
    <t>CATEGORIA</t>
  </si>
  <si>
    <t>PARA CONTRATOS</t>
  </si>
  <si>
    <t>NDD</t>
  </si>
  <si>
    <t>CÓDIGO DA ATIVIDADE</t>
  </si>
  <si>
    <t>VALOR</t>
  </si>
  <si>
    <t>MÊS DE DESCENTRALIZAÇÃO</t>
  </si>
  <si>
    <t>MÊS PREVISÃO DE EMPENHO</t>
  </si>
  <si>
    <t>INFRAESTRUTURA - READEQUAÇÂO DAS INSTALAÇÕES ELETRICAS DO HANGAR DA TOFI</t>
  </si>
  <si>
    <t>outubro</t>
  </si>
  <si>
    <t>C26249</t>
  </si>
  <si>
    <t>CAE</t>
  </si>
  <si>
    <t>AQUISIÇÃO DE MATERIAL PERMANENTE</t>
  </si>
  <si>
    <t>C26116</t>
  </si>
  <si>
    <t>AFA</t>
  </si>
  <si>
    <t>AQUISIÇÃO DE MATERIAL PARA OFICINAS INTERNAS, EM ATENDIMENTO AOS DIVERSOS PROJETOS DO PAMALS 4/4</t>
  </si>
  <si>
    <t>C26069</t>
  </si>
  <si>
    <t>BAPV</t>
  </si>
  <si>
    <t>C26460</t>
  </si>
  <si>
    <t>GAP-SJ</t>
  </si>
  <si>
    <t>IPEV</t>
  </si>
  <si>
    <t>C26350</t>
  </si>
  <si>
    <t>C26141</t>
  </si>
  <si>
    <t>Aquisição de Pneu de Aviação - ARP - 3/5</t>
  </si>
  <si>
    <t>PN JET-EX8D; GROUND POWER UNIT – DIESEL ENGINE 28VDC.</t>
  </si>
  <si>
    <t>PN JET-EX8D; GROUND POWER UNIT – DIESEL ENGINE 28VDC. 1 EA - 2/4</t>
  </si>
  <si>
    <t>Requisições Consumíveis 3/5</t>
  </si>
  <si>
    <t>BAGL</t>
  </si>
  <si>
    <t>Aquisição UFT MIISTA PN ACE4490S28TT3; GENERATOR SET, DIESEL ENGINE 28/115</t>
  </si>
  <si>
    <t>Aquisição UFT MISTA PN ACE4490S28TT3; GENERATOR SET, DIESEL ENGINE 28/115 – 1 EA 2/3</t>
  </si>
  <si>
    <t>BAFL</t>
  </si>
  <si>
    <t>Aquisição UFT MISTA PN ACE4490S28TT3; GENERATOR SET, DIESEL ENGINE 28/115 – 1 EA 3/3</t>
  </si>
  <si>
    <t>PN T17; LAVADORA PARA LIMPEZA DE HANGAR.</t>
  </si>
  <si>
    <t>PN T17; LAVADORAS PARA LIMPEZA DE HANGAR</t>
  </si>
  <si>
    <t>PN GPU-400; GROUND POWER UNIT – ELETRIC UNIT 28VDC.</t>
  </si>
  <si>
    <t>PN GPU-400; GROUND POWER UNIT – ELETRIC UNIT 28VDC. 1 EA 2/3</t>
  </si>
  <si>
    <t>PN GPU-400; GROUND POWER UNIT – ELETRIC UNIT 28VDC. 1 EA 3/3</t>
  </si>
  <si>
    <t>PN JET-EX8D; GROUND POWER UNIT – DIESEL ENGINE 28VDC. 1 EA - 1/4</t>
  </si>
  <si>
    <t>Requisições Consumíveis 1/5</t>
  </si>
  <si>
    <t>Requisições Consumíveis 4/5</t>
  </si>
  <si>
    <t>BAAN</t>
  </si>
  <si>
    <t>Aquisição UFT MISTA PN ACE4490S28TT3; GENERATOR SET, DIESEL ENGINE 28/115 – 1 EA 1/3</t>
  </si>
  <si>
    <t>PN JET-EX8D; GROUND POWER UNIT – DIESEL ENGINE 28VDC. 1 EA - 3/4</t>
  </si>
  <si>
    <t>PN GPU-400; GROUND POWER UNIT – ELETRIC UNIT 28VDC. 1 EA 1/3</t>
  </si>
  <si>
    <t>Requisições Consumíveis 2/5</t>
  </si>
  <si>
    <t>PN MAK ASU 250PPM; – AIR STARTER UNIT</t>
  </si>
  <si>
    <t>PN MAK ASU 250PPM; – AIR STARTER UNIT – 1 EA; ATENDER EXOP CPBV</t>
  </si>
  <si>
    <t>AQUISIÇÃO ITENS SSS ATENDER 100% DA LOTAÇÃO (CABW) 2/4</t>
  </si>
  <si>
    <t>dezembro</t>
  </si>
  <si>
    <t xml:space="preserve">Atender </t>
  </si>
  <si>
    <t>PN JET-EX8D; GROUND POWER UNIT – DIESEL ENGINE 28VDC. 1 EA - 4/4</t>
  </si>
  <si>
    <t>Confecção de itens manufaturados 2/4</t>
  </si>
  <si>
    <t>Serviço de revisão/manutenção preventiva e corretiva dos maquinários da TOFI 3/6</t>
  </si>
  <si>
    <t>C26324</t>
  </si>
  <si>
    <t>Módulo Extra - Sob demanda 2/3</t>
  </si>
  <si>
    <t>DESTQ31</t>
  </si>
  <si>
    <t>NC005449</t>
  </si>
  <si>
    <t>C26326</t>
  </si>
  <si>
    <t>OCS30031000</t>
  </si>
  <si>
    <t>Módulo Extra - Sob demanda 3/3</t>
  </si>
  <si>
    <t>Módulo Extra - Aquisição e publicações</t>
  </si>
  <si>
    <t>HOLDING ACCOUNT</t>
  </si>
  <si>
    <t>PROCESSADO</t>
  </si>
  <si>
    <t>Aquisição de Barreira de Retenção Móvel via FMS</t>
  </si>
  <si>
    <t>Aquisição de 1 barreira de retenção móvel para atender operações em SBSC, SBSJ (Aeroporto Prof. Urbano Ernesto Stumpf) e EXOP diversos 1/2</t>
  </si>
  <si>
    <t>Linha atualizada conforme Ofício nº 2/3TESU-2/1691 (GBXV52H)</t>
  </si>
  <si>
    <t>Valor original: R$ 784.834,53. Saldo retirado por completo para atender a linha 19641. Proposta de aloação de 20XV</t>
  </si>
  <si>
    <t>Hora de Voo 05/09 (500HV)</t>
  </si>
  <si>
    <t>Proposta de 20XV</t>
  </si>
  <si>
    <t>Hora de Voo 06/10 - 1000 HV</t>
  </si>
  <si>
    <t>C26344</t>
  </si>
  <si>
    <t>Hora de Voo 07/10 - 1000 HV</t>
  </si>
  <si>
    <t>C26255</t>
  </si>
  <si>
    <t>Hora de Voo 05/09 - 1000 HV</t>
  </si>
  <si>
    <t>DESTQ38</t>
  </si>
  <si>
    <t>NC007506</t>
  </si>
  <si>
    <t>C26387</t>
  </si>
  <si>
    <t>OCS90015000</t>
  </si>
  <si>
    <t>Parcela Fixa 08/12</t>
  </si>
  <si>
    <t>C26312</t>
  </si>
  <si>
    <t>Hora de Voo 07/12 (100HV)</t>
  </si>
  <si>
    <t>Hora de Voo 08/12 (100HV)</t>
  </si>
  <si>
    <t>Reparo de CTVR 2 EA (2/2)</t>
  </si>
  <si>
    <t>Linha cancelada em 19/SET conforme e-mail Cap Camacho, de 18/SET/26</t>
  </si>
  <si>
    <t>Reparo PT6A-68C 4/9</t>
  </si>
  <si>
    <t>Revisão Geral PT6A-34 (4/12)</t>
  </si>
  <si>
    <t>Material HSI PT6A-34 (2/10)</t>
  </si>
  <si>
    <t>Material reparo PT6A-34 (2/6)</t>
  </si>
  <si>
    <t>INFRAESTRUTURA - REFORMA DA GALVANOSTEGIA</t>
  </si>
  <si>
    <t>Zerada conforme e-mail da CP Priscila de 01/04</t>
  </si>
  <si>
    <t>C26360</t>
  </si>
  <si>
    <t>Revisão Geral PT6A-114A (5/6)</t>
  </si>
  <si>
    <t>DESTQ19</t>
  </si>
  <si>
    <t>NC004528</t>
  </si>
  <si>
    <t>C26285</t>
  </si>
  <si>
    <t>DESTQ29</t>
  </si>
  <si>
    <t>C26332</t>
  </si>
  <si>
    <t>DESTQ30</t>
  </si>
  <si>
    <t>DESTQ32</t>
  </si>
  <si>
    <t>NC006103</t>
  </si>
  <si>
    <t>C26393</t>
  </si>
  <si>
    <t>Revisão Geral PT6A-114A (6/6)</t>
  </si>
  <si>
    <t>Cancelado em CTT com Cap Camacho (reunião em 08/JUL/2026). Valor original: R$ 3.800.000,00</t>
  </si>
  <si>
    <t>C26310</t>
  </si>
  <si>
    <t>Material HSI PT6A-114A (3/4)</t>
  </si>
  <si>
    <t>Material HSI PT6A-114A (4/4)</t>
  </si>
  <si>
    <t>Valor original: R$ 54.000,00. Retirado R$ 24.401,29 para atender a linha 19642, conforme email do Cel Cruz de 01ABR2026</t>
  </si>
  <si>
    <t>BABR</t>
  </si>
  <si>
    <t>AQUISIÇÃO PN: B650 URA DE GRANDE PORTE QAQ</t>
  </si>
  <si>
    <t>AQUISIÇÃO PN: B650 URA DE GRANDE PORTE; 1 EA - 1/2</t>
  </si>
  <si>
    <t>BASP</t>
  </si>
  <si>
    <t>AQUISIÇÃO PN: B650 URA DE GRANDE PORTE; 1 EA - 2/2</t>
  </si>
  <si>
    <t>PN TI300GPU-24 (FONTE ELÉTRICA PORTÁTIL 24 VDC) QAQ</t>
  </si>
  <si>
    <t>PN TI300GPU-24 (FONTE ELÉTRICA PORTÁTIL 24 VDC) - 5 EA 3/3</t>
  </si>
  <si>
    <t>AQUISIÇÃO ITENS SSS ATENDER 100% DA LOTAÇÃO (CABW) 3/4</t>
  </si>
  <si>
    <t>PN TI300GPU-24 (FONTE ELÉTRICA PORTÁTIL 24 VDC) - 5 EA 2/3</t>
  </si>
  <si>
    <t>PN TI300GPU-24 (FONTE ELÉTRICA PORTÁTIL 24 VDC) - 5 EA 1/3</t>
  </si>
  <si>
    <t>Reparo sob demanda 3/6</t>
  </si>
  <si>
    <t>C26214</t>
  </si>
  <si>
    <t>Sob demanda 3/8</t>
  </si>
  <si>
    <t>Módulo Extra - Sob demanda 3/4</t>
  </si>
  <si>
    <t>Reparo sob demanda 3/8</t>
  </si>
  <si>
    <t>Sob demanda 3/6</t>
  </si>
  <si>
    <t>SERVIÇO/REPARO DE RECAUCHUTAGEM DE PNEUS DE AVIAÇÃO 2/4</t>
  </si>
  <si>
    <t>INFRAESTRUTURA - Serviço de readequação da ETE do PAMALS para instalação de abrigo de resíduos sólidos 2/2</t>
  </si>
  <si>
    <t>Aquisição de consumíveis 3/4</t>
  </si>
  <si>
    <t>C'</t>
  </si>
  <si>
    <t>Serviço de Reparo 3/4</t>
  </si>
  <si>
    <t>EM TRÂMITE</t>
  </si>
  <si>
    <t>Hora de Voo 06/09 (500HV)</t>
  </si>
  <si>
    <t>Hora de Voo 06/09 - 1000 HV</t>
  </si>
  <si>
    <t>Parcela Fixa 09/12</t>
  </si>
  <si>
    <t>Saldo movimentado para criar a linha 67020, conforme e-mail Ten Ayres, de 11/SET/2026</t>
  </si>
  <si>
    <t>Revisão Geral PT6A-25C (3/5)</t>
  </si>
  <si>
    <t>Publicações de Acessórios PT6A-25C</t>
  </si>
  <si>
    <t>Maintenance and Overhaul Collection PN 3077123 PT6A-25C/114A</t>
  </si>
  <si>
    <t>Revisão Geral PT6A-34 (5/12)</t>
  </si>
  <si>
    <t>Planejamento inicial reduziu 2 motores na produção (de 24 para 22). Valor original desta linha: R$ 3.800.000,00</t>
  </si>
  <si>
    <t>Material reparo PT6A-34 (3/6)</t>
  </si>
  <si>
    <t>Material reparo PT6A-114A (2/4)</t>
  </si>
  <si>
    <t>Confecção de itens manufaturados 3/4</t>
  </si>
  <si>
    <t>Atendido com recurso enviado para as linhas 10340 e 23761. Proposta de alocação de 2048. Enviado R$ 28.411,10 para alinha 18500, Cp Priscilla 01/07</t>
  </si>
  <si>
    <t>Atendido com recurso enviado para as linhas 10340 e 23761. Proposta de alocação de 2048</t>
  </si>
  <si>
    <t>Parcela Fixa 10/12</t>
  </si>
  <si>
    <t>Saldo movimentado para criar a linha 67040, conforme e-mail Ten Ayres, de 11/SET/2026</t>
  </si>
  <si>
    <t>C26364</t>
  </si>
  <si>
    <t>Hora de Voo 08/10 - 1000 HV</t>
  </si>
  <si>
    <t>Hora de Voo 07/09 - 1000 HV</t>
  </si>
  <si>
    <t>Hora de Voo 07/09 - 115 HV</t>
  </si>
  <si>
    <t>Hora de Voo 2025 - Faixa abaixo 10.000FH (previsão de voo de 9290HV)</t>
  </si>
  <si>
    <t>Hora de Voo 09/12 (100HV)</t>
  </si>
  <si>
    <t>Hora de Voo 09/12 (100HV) - atendimento parcial</t>
  </si>
  <si>
    <t>linha quebrada em coordenação com a Cap Priscilla Toledo, por telefone em 16/MAI</t>
  </si>
  <si>
    <t>Requisições Serviço 2/4</t>
  </si>
  <si>
    <t>C26134</t>
  </si>
  <si>
    <t>Material HSI PT6A-25C (3/7)</t>
  </si>
  <si>
    <t>Reparo PT6A-68C 5/9</t>
  </si>
  <si>
    <t>Linha filha cancelada - valor retornado para a linha mãe</t>
  </si>
  <si>
    <t>Reparo PT6A-68C 6/9</t>
  </si>
  <si>
    <t>Reparo PT6A-68C 7/9</t>
  </si>
  <si>
    <t>Linha cancelada, pois o planejamento é apenas para reparo de 6 motores no Ctt 060</t>
  </si>
  <si>
    <t>Material reparo PT6A-34 (4/6)</t>
  </si>
  <si>
    <t>Datas alteradas conforme reunião com Cap Camacho, em 20/MAI</t>
  </si>
  <si>
    <t>INFRAESTRUTURA - SUBSTITUIÇÃO DE ILUMINAÇÂO DO PÁTIO OPERACIONAL E DAS VIAS DE ACESSO</t>
  </si>
  <si>
    <t>Requisições Consumíveis 2/8</t>
  </si>
  <si>
    <t>Linha criada conforme email da Cap Priscilla Toledo, de 24/ABR. Alterado conforme e-mail de 25/05 da CP Priscilla</t>
  </si>
  <si>
    <t>Saldo movimentado para criar a linha 66060, conforme e-mail Ten Ayres, de 11/SET/2026</t>
  </si>
  <si>
    <t>Quebra de linha conforme email do Cel Cruz, de 01ABR2026. Alterado conforme e-mail de 25/05 da CP Priscilla</t>
  </si>
  <si>
    <t>AQUISIÇÃO ITENS SSS ATENDER 100% DA LOTAÇÃO (CELOG) 1/2</t>
  </si>
  <si>
    <t>Reparo sob demanda 4/6</t>
  </si>
  <si>
    <t>Saldo movimentado para criar a linha 66000, conforme e-mail do Ten Ayres, de 11/SET/2026</t>
  </si>
  <si>
    <t>Reparo sob demanda 4/8</t>
  </si>
  <si>
    <t>SERVIÇO/REPARO DE RECAUCHUTAGEM DE PNEUS DE AVIAÇÃO 3/4</t>
  </si>
  <si>
    <t>Hora de Voo 07/09 (500HV)</t>
  </si>
  <si>
    <t>Saldo de R$ 572.231,65 movimentado para a linha 100681, conforme e-mail Ten Ayres 22/SET/26</t>
  </si>
  <si>
    <t>Saldo de R$ 1106459.51 movimentado para a linha 100680, conforme e-mail Ten Ayres 22/SET/26</t>
  </si>
  <si>
    <t>Solicitado remover o atender pelo Ten Ayres no dia 08/09. Saldo movimentado para criar a linha 67060, conforme e-mail Ten Ayres, de 11/SET/2026</t>
  </si>
  <si>
    <t>Saldo de R$ 298.562,53 movimentado para a linha 100680, conforme e-mail Ten Ayres 22/SET/26</t>
  </si>
  <si>
    <t>Hora de Voo 09/10 - 1000 HV</t>
  </si>
  <si>
    <t>ND alterada para 39 em 11/SET, conforme e-mail do Ten Ayres, de 11/SET/26</t>
  </si>
  <si>
    <t>Hora de Voo 08/09 - 1000 HV</t>
  </si>
  <si>
    <t>Parcela Fixa 11/12</t>
  </si>
  <si>
    <t>Saldo movimentado para criar a linha 67080, conforme e-mail Ten Ayres, de 11/SET/2026</t>
  </si>
  <si>
    <t>Saldo de R$ 859.536,07 movimentado para a linha 17765 em 17/SET/2026 para atender com Destaque</t>
  </si>
  <si>
    <t>Saldo de R$ 1.145.462,93 movimentado para a linha filha 17764 para atender com Destaque</t>
  </si>
  <si>
    <t>C26363</t>
  </si>
  <si>
    <t>DESTQ50</t>
  </si>
  <si>
    <t>NC009104</t>
  </si>
  <si>
    <t>DESTQ51</t>
  </si>
  <si>
    <t>NC009185</t>
  </si>
  <si>
    <t>Hora de Voo 10/12 (100HV)</t>
  </si>
  <si>
    <t>Material para PT6A-68C 3/3</t>
  </si>
  <si>
    <t>Aguardando a atualização do valor, conforme e-mail de 24/06, no qual foi informada uma demanda de R$ 3,4 milhões, com necessidade de ajuste da linha orçamentária e de oferta de outras linhas de recurso.</t>
  </si>
  <si>
    <t>INFRAESTRUTURA - SUBSTITUIÇÃO DE ILUMINAÇÂO DA TANV</t>
  </si>
  <si>
    <t>Aquisição de Pneu de Aviação - ARP - 4/5</t>
  </si>
  <si>
    <t>Aquisição de Pneu de Aviação - ARP - 5/5</t>
  </si>
  <si>
    <t>AQUISIÇÃO ITENS SSS ATENDER 100% DA LOTAÇÃO (CELOG) 2/2</t>
  </si>
  <si>
    <t>Sob demanda 4/8</t>
  </si>
  <si>
    <t>Módulo Extra - Sob demanda 4/4</t>
  </si>
  <si>
    <t>Valor de R$ 676.670,86 retirado da linha 11400 para completar saldo da linha 17940. Alterado conforme e-mail de 25/05 da CP Priscilla</t>
  </si>
  <si>
    <t>Sob demanda 4/6</t>
  </si>
  <si>
    <t>Valor original R$ 1.360.000,00, majorado com créditos das linhas 11380 e 11400, e-mail CP Priscilla 09/07</t>
  </si>
  <si>
    <t>Confecção de itens manufaturados 4/4</t>
  </si>
  <si>
    <t>CTT XXX/GAPLS-PAMALS/2026 – Instalação e manutenção de Ar Condicionado</t>
  </si>
  <si>
    <t>INFRAESTRUTURA - Instalação de aparelhos de ar condicionado.</t>
  </si>
  <si>
    <t>Valor enviado para completar o saldo da linha 13120, conforme mensagem da CP Priscilla. Saldo de R$ 157.198,00 movimentado para a linha 64860, por solicitação do Ten Ayres, e-mail de 28/AGO/2026</t>
  </si>
  <si>
    <t>C26311</t>
  </si>
  <si>
    <t>CNT 018/CELOG-PAMASP/2026 - SERVIÇO - TOFI</t>
  </si>
  <si>
    <t>Reparo de estatores dos geradores DO C95/T/27 - TOEG</t>
  </si>
  <si>
    <t>Parcela Fixa 12/12</t>
  </si>
  <si>
    <t>Saldo movimentado para criar a linha 68000, conforme e-mail Ten Ayres, de 11/SET/2026</t>
  </si>
  <si>
    <t>Hora de Voo 10/10 - 1000HV</t>
  </si>
  <si>
    <t>Hora de Voo 10/10 - 450HV</t>
  </si>
  <si>
    <t>Hora de Voo 09/09 - 1000 HV</t>
  </si>
  <si>
    <t>Hora de Voo 10/10 - 760 HV</t>
  </si>
  <si>
    <t>Hora de Voo 11/12 (100HV)</t>
  </si>
  <si>
    <t>Revisão Geral PT6A-25C (4/5)</t>
  </si>
  <si>
    <t>Material reparo PT6A-25C (1/4)</t>
  </si>
  <si>
    <t>Reparo sob demanda 6/6</t>
  </si>
  <si>
    <t>Saldo movimentado para criar a linha 66020, conforme e-mail do Ten Ayres, de 11/SET/26</t>
  </si>
  <si>
    <t>Reparo sob demanda 5/6</t>
  </si>
  <si>
    <t>Saldo movimentado para criar a linha 67000, conforme e-mail Ten Ayres, de 11/SET/2026</t>
  </si>
  <si>
    <t>Reparo sob demanda 5/8</t>
  </si>
  <si>
    <t>SERVIÇO/REPARO DE RECAUCHUTAGEM DE PNEUS DE AVIAÇÃO 4/4</t>
  </si>
  <si>
    <t>Hora de Voo 10/10 (500HV) - 10HV</t>
  </si>
  <si>
    <t>Saldo movimentado para criar a linha 68020, conforme e-mail Ten Ayres, de 11/SET/2026</t>
  </si>
  <si>
    <t>Hora de Voo 10/10 - 1000 HV</t>
  </si>
  <si>
    <t>Hora de Voo 10/10 - 450 HV</t>
  </si>
  <si>
    <t>C26145</t>
  </si>
  <si>
    <t>PN 17TES0065 - Leitor de Dados de Voo</t>
  </si>
  <si>
    <t>Hora de Voo 12/12 (100HV)</t>
  </si>
  <si>
    <t>Hora de Voo 12/12 (100HV) - 10 HV</t>
  </si>
  <si>
    <t>Aquisição de Pneu de Aviação - ARP - 6/6</t>
  </si>
  <si>
    <t>Atendido com recurso enviado para as linhas 10340 e 23761. Proposta de alocação de 2048. Aumentado o valor de R$ 28.411,10, com crédito da linha 16740, CP Priscilla 01/07</t>
  </si>
  <si>
    <t>Recurso proveniente da linha 11900, que não será mais atendida por meio de requisição, CP Priscilla, 16/07.</t>
  </si>
  <si>
    <t>Módulo Extra - Atualização do GPS da aeronave 01/30</t>
  </si>
  <si>
    <t>MODERNIZAÇÃO</t>
  </si>
  <si>
    <t>Módulo Extra - Atualização do GPS da aeronave 02/30</t>
  </si>
  <si>
    <t>Módulo Extra - Atualização do GPS da aeronave 03/30</t>
  </si>
  <si>
    <t>Módulo Extra - Atualização do GPS da aeronave 04/30</t>
  </si>
  <si>
    <t>Módulo Extra - Atualização do GPS da aeronave 05/30</t>
  </si>
  <si>
    <t>Módulo Extra - Atualização do GPS da aeronave 06/30</t>
  </si>
  <si>
    <t>20IH</t>
  </si>
  <si>
    <t>C26023</t>
  </si>
  <si>
    <t>CA0802PJC97</t>
  </si>
  <si>
    <t>CTT 039/CABW-PAMALS/2024 - Modernização</t>
  </si>
  <si>
    <t>2ª ANV - etapa 2/3</t>
  </si>
  <si>
    <t>CA0802PJT25</t>
  </si>
  <si>
    <t>CTT Modernização</t>
  </si>
  <si>
    <t>Modernização 1/6</t>
  </si>
  <si>
    <t>Linha quebrada para atendimento, conforme email do Cel Cruz, de 01ABR2026. Email da Cap Priscilla Toledo, de 24/ABR: remanejar R$ 265.213,00 para a linha 18740</t>
  </si>
  <si>
    <t>C26209</t>
  </si>
  <si>
    <t>Linha quebrada para atendimento, conforme email do Cel Cruz, de 01ABR2026</t>
  </si>
  <si>
    <t>GAPLS</t>
  </si>
  <si>
    <t>Linha criada por solicitação de email dia 24/ABR. Alterado conforme e-mail de 25/05 da CP Priscilla. - adicionado o valor de R$ 265.213,00 para atingir o teto da AO 20IH.</t>
  </si>
  <si>
    <t>Linha criada por solicitação da CP Priscilla, para ajuste do MTA, por mensagem no dia 08/06. Valor ajustado em 16/SET/26 para corrigir o total aprovado dentro do limite orçamentário.</t>
  </si>
  <si>
    <t>Linha criada para atender ao bloqueio da SOF de MAI/2026 (total de R$ 7.108.993,00 = linhas 18664 + 18860)</t>
  </si>
  <si>
    <t>Modernização 4/6</t>
  </si>
  <si>
    <t>C26126</t>
  </si>
  <si>
    <t>KIT AERONAVE BR (3ANV)</t>
  </si>
  <si>
    <t>Linha quebrada para atendimento, conforme email do Cel Cruz, de 01ABR2026. Alterado conforme e-mail de 25/05 da CP Priscilla</t>
  </si>
  <si>
    <t>C26080</t>
  </si>
  <si>
    <t>STC BR (3ANV)</t>
  </si>
  <si>
    <t>C26148</t>
  </si>
  <si>
    <t>Requisições Consumíveis - Modernização 1/2</t>
  </si>
  <si>
    <t>Aquisição de fones para produção do capacete do T25M (230un)</t>
  </si>
  <si>
    <t>Valor original: R$ 6.000.000,00. Retirado R$ 2.242.043,00 para atender a linha 18742, conforme e-mail do Cel Cruz, de 01/ABR/2026</t>
  </si>
  <si>
    <t>C26083</t>
  </si>
  <si>
    <t>C26076</t>
  </si>
  <si>
    <t>CA0802PJT27</t>
  </si>
  <si>
    <t>PN 2100-4043-00 - Gravador de Dados de Voo 1/4</t>
  </si>
  <si>
    <t>Modernização PAMALS 1/4</t>
  </si>
  <si>
    <t>Ajuste de -R$ 00,007915 e +R$ 0,01 em 16/SET/2026 para arredondar o valor pós câmbio.</t>
  </si>
  <si>
    <t>C26008</t>
  </si>
  <si>
    <t>C26077</t>
  </si>
  <si>
    <t>C26119</t>
  </si>
  <si>
    <t>Modernização PAMALS 1/4 - Case QAQ</t>
  </si>
  <si>
    <t>C26128</t>
  </si>
  <si>
    <t>Linha criada a pedido de e-mail de 24/ABR. Alterado conforme e-mail de 25/05 da CP Priscilla</t>
  </si>
  <si>
    <t>C26129</t>
  </si>
  <si>
    <t>Modernização PAMALS 1/4 - Case KCQ</t>
  </si>
  <si>
    <t>Modernização PAMALS 3/4</t>
  </si>
  <si>
    <t>Módulo Extra - Desenvolvimento da atualização do GPS da aeronave</t>
  </si>
  <si>
    <t>RAP</t>
  </si>
  <si>
    <t>Alterado conforme solicitação Ten Ayres 10/09 em virtude da ND</t>
  </si>
  <si>
    <t>Modernização 2/6</t>
  </si>
  <si>
    <t>Modernização 5/6</t>
  </si>
  <si>
    <t>Módulo Extra - Atualização do GPS da aeronave 07/30</t>
  </si>
  <si>
    <t>Módulo Extra - Atualização do GPS da aeronave 08/30</t>
  </si>
  <si>
    <t>Módulo Extra - Atualização do GPS da aeronave 09/30</t>
  </si>
  <si>
    <t>Módulo Extra - Atualização do GPS da aeronave 10/30</t>
  </si>
  <si>
    <t>Módulo Extra - Atualização do GPS da aeronave 11/30</t>
  </si>
  <si>
    <t>Módulo Extra - Atualização do GPS da aeronave 12/30</t>
  </si>
  <si>
    <t>Modernização 3/6</t>
  </si>
  <si>
    <t>Modernização 6/6</t>
  </si>
  <si>
    <t>C26149</t>
  </si>
  <si>
    <t>2ª ANV - etapa 3/3</t>
  </si>
  <si>
    <t>INFORMAR AO PAMALS QUE DEVE RMJ PARA ATENDER. Alterado conforme e-mail de 25/05 da CP Priscilla</t>
  </si>
  <si>
    <t>3ª ANV - etapa 1/3</t>
  </si>
  <si>
    <t>PN 2100-4043-00 - Gravador de Dados de Voo 2/4</t>
  </si>
  <si>
    <t>Módulo Extra - Atualização do GPS da aeronave 13/30</t>
  </si>
  <si>
    <t>Será atendido com crédito do Grupo 4 (perspectiva de recebimento em 2026). Caso contrário, deverá constar no MTA 2027. Linha quebrada para adequar o RAP de R$ 1.271.263,31 de 2024</t>
  </si>
  <si>
    <t>Módulo Extra - Atualização do GPS da aeronave 14/30</t>
  </si>
  <si>
    <t>Será atendido com crédito do Grupo 4 (perspectiva de recebimento em 2026). Caso contrário, deverá constar no MTA 2027</t>
  </si>
  <si>
    <t>Módulo Extra - Atualização do GPS da aeronave 15/30</t>
  </si>
  <si>
    <t>Módulo Extra - Atualização do GPS da aeronave 16/30</t>
  </si>
  <si>
    <t>Será atendido com crédito do Grupo 4 (perspectiva de recebimento em 2026). Caso contrário, deverá constar no MTA 2028</t>
  </si>
  <si>
    <t>Módulo Extra - Atualização do GPS da aeronave 17/30</t>
  </si>
  <si>
    <t>Módulo Extra - Atualização do GPS da aeronave 18/30</t>
  </si>
  <si>
    <t>CA0802PJC98</t>
  </si>
  <si>
    <t>CNT XXX/CELOG-PAMALS/2026 - Modernização - C-98</t>
  </si>
  <si>
    <t>Modernização 1/4</t>
  </si>
  <si>
    <t>Saldo de R$ 1.539.931,33 movimentado para a linha 19242 em 16/SET/2026 para atendimento parcial com o crédito disponível.</t>
  </si>
  <si>
    <t>Linha criada para atender ao bloqueio da SOF de MAI2026 (R$ 5.000.000,00). Saldo de R$ 3.002.909,00 movimentado para a linha 19240 em 16/SET/2026 para corresponder ao limite orçamentário.</t>
  </si>
  <si>
    <t>!!!</t>
  </si>
  <si>
    <t>AGND DEFINIÇÃO DA NOVA LINHA DO MTA</t>
  </si>
  <si>
    <t>Modernização 2/4</t>
  </si>
  <si>
    <t>Módulo Extra - Atualização do GPS da aeronave 19/30</t>
  </si>
  <si>
    <t>Módulo Extra - Atualização do GPS da aeronave 20/30</t>
  </si>
  <si>
    <t>Módulo Extra - Atualização do GPS da aeronave 21/30</t>
  </si>
  <si>
    <t>Módulo Extra - Atualização do GPS da aeronave 22/30</t>
  </si>
  <si>
    <t>Módulo Extra - Atualização do GPS da aeronave 23/30</t>
  </si>
  <si>
    <t>Módulo Extra - Atualização do GPS da aeronave 24/30</t>
  </si>
  <si>
    <t>Requisições Consumíveis - Modernização 2/2</t>
  </si>
  <si>
    <t>Linha criada em 16/SET/26 para ajuste do limite orçamentário da 20IH</t>
  </si>
  <si>
    <t>PN 2100-4043-00 - Gravador de Dados de Voo 3/4</t>
  </si>
  <si>
    <t>Módulo Extra - Atualização do GPS da aeronave 25/30</t>
  </si>
  <si>
    <t>Módulo Extra - Atualização do GPS da aeronave 26/30</t>
  </si>
  <si>
    <t>Módulo Extra - Atualização do GPS da aeronave 27/30</t>
  </si>
  <si>
    <t>Módulo Extra - Atualização do GPS da aeronave 28/30</t>
  </si>
  <si>
    <t>Módulo Extra - Atualização do GPS da aeronave 29/30</t>
  </si>
  <si>
    <t>Atualizacão da linha conforme e-mail da Cap Priscilla Toledo, de 11/MAR/2026. Linha atendida com os saldos das linhas 15920 e 13540, conforme email do Cel Cruz, de 01ABR2026. Será atendido com crédito do Grupo 4 (perspectiva de recebimento em 2026). Caso contrário, deverá constar no MTA 2028</t>
  </si>
  <si>
    <t>Módulo Extra - Atualização do GPS da aeronave 30/30</t>
  </si>
  <si>
    <t>3ª ANV - etapa 2/3</t>
  </si>
  <si>
    <t>Modernização 3/4</t>
  </si>
  <si>
    <t>Modernização 4/4</t>
  </si>
  <si>
    <t>Pregão XXX/CELOG-PAMALS/2026</t>
  </si>
  <si>
    <t>INTERNALIZAÇÃO - Aquisição de maquinários para a TOFI</t>
  </si>
  <si>
    <t>Previsão do pregão ser homologado no final de NOV/2026 (e-mail do Ten Ayres, de 22/SET/26)</t>
  </si>
  <si>
    <t>C26202</t>
  </si>
  <si>
    <t>Pregão 038/CELOG/2025</t>
  </si>
  <si>
    <t>C26089</t>
  </si>
  <si>
    <t>Pregão 043/GAPLS/2025</t>
  </si>
  <si>
    <t>INTERNALIZAÇÃO - Aquisição de Tornos para as oficinas</t>
  </si>
  <si>
    <t>PN 2100-4043-00 - Gravador de Dados de Voo 4/4</t>
  </si>
  <si>
    <t>Modernização PAMALS 2/4</t>
  </si>
  <si>
    <t>Saldo de R$ 528.910,37 movimentado para a linha 19701 em 16/SET/2026 para atendimento parcial com o crédito disponível.</t>
  </si>
  <si>
    <t>Modernização PAMALS 4/4</t>
  </si>
  <si>
    <t>Saldo de R$ 1.730.724,86 movimentado para a linha 19721 em 16/SET/2026 para ajuste do limite orçamentário.</t>
  </si>
  <si>
    <t>3ª ANV - etapa 3/3</t>
  </si>
  <si>
    <t>Requisições FDAMP 1/2</t>
  </si>
  <si>
    <t>2025-AFA-01</t>
  </si>
  <si>
    <t>PN PRO3600 - PROTRACTOR,DIGITAL</t>
  </si>
  <si>
    <t>2025-AFA-04</t>
  </si>
  <si>
    <t>PN DPP-30 - TESTER,SPRING RESILIENCY</t>
  </si>
  <si>
    <t>2025-AFA-14</t>
  </si>
  <si>
    <t>BACO</t>
  </si>
  <si>
    <t>2025-BACO-06</t>
  </si>
  <si>
    <t>PN 121630-006 - ANALYZER-CHARGER,BATTERY</t>
  </si>
  <si>
    <t>BABV</t>
  </si>
  <si>
    <t>2025-BABV-06</t>
  </si>
  <si>
    <t>PN 28-01-3340 - CABO ELÉTRICO</t>
  </si>
  <si>
    <t>2025-BABV-12</t>
  </si>
  <si>
    <t>PN PWC70903 - DRIFT</t>
  </si>
  <si>
    <t>2025-BABV-13</t>
  </si>
  <si>
    <t>PN PWC70904 - PULLER</t>
  </si>
  <si>
    <t>2025-BABV-16</t>
  </si>
  <si>
    <t>PN AGE-01515-401 - CAIXA DE TESTE DA UNIDADE DE EJEÇÃO</t>
  </si>
  <si>
    <t>2025-BABV-18</t>
  </si>
  <si>
    <t>PN Y085-008-0000A - DISPOSITIVO DE REMOÇÃO E INSTALAÇÃO DA VÁLVULA DE FLUXO</t>
  </si>
  <si>
    <t>2025-BABV-19</t>
  </si>
  <si>
    <t>PN EMB-01534-002 - CARRO GUINCHO</t>
  </si>
  <si>
    <t>2025-BABV-23</t>
  </si>
  <si>
    <t>PN 2306-T003-401 - CONJUNTO PARA MONTAGEM DE MOLA</t>
  </si>
  <si>
    <t>2025-BABV-24</t>
  </si>
  <si>
    <t>PN 14-6807-6011 - GAGE,TIRE PRESSURE,SELF-CONTAINED, 300 PSI MAXIMUM OPERATING PRESSURE; USED ON AN AIRCRAFT</t>
  </si>
  <si>
    <t>2025-BABV-27</t>
  </si>
  <si>
    <t>PN AGE-01830-401 - DISPOSITIVO APOIO CAUDA</t>
  </si>
  <si>
    <t>2025-BABV-29</t>
  </si>
  <si>
    <t>PN 06-5022-6500 - UNIDADE DE ABASTECIMENTO HIDRÁULICO</t>
  </si>
  <si>
    <t>2025-BABV-30</t>
  </si>
  <si>
    <t>PN 14-6808-6000 - VALVULA REGULADORA DE NITROGENIO</t>
  </si>
  <si>
    <t>2025-BABV-31</t>
  </si>
  <si>
    <t>PN AGE-02554-401 - ADAPTADOR PARA SANGRIA E TESTE DA PRESSÃO DOS FREIOS</t>
  </si>
  <si>
    <t>2025-BABV-33</t>
  </si>
  <si>
    <t>PN FG-5100 - DIGITAL FORCE GAUGE, RANGE: 100KG, UNITS: KG/LB/NEWTON</t>
  </si>
  <si>
    <t>2025-BABV-34</t>
  </si>
  <si>
    <t>PN 133-224 - MICRÔMETRO TUBULAR IINTERNO (3-4")</t>
  </si>
  <si>
    <t>2025-BABV-38</t>
  </si>
  <si>
    <t>PN 15-7605-6000 - CABIN PRESSURE TEST UNIT</t>
  </si>
  <si>
    <t>BACG</t>
  </si>
  <si>
    <t>2025-BACG-01</t>
  </si>
  <si>
    <t>PN 06-4035-0500 - TEST SET,HYDRAULICSYSTEM COMPONENTS</t>
  </si>
  <si>
    <t>2025-BACG-02</t>
  </si>
  <si>
    <t>2025-BACG-03</t>
  </si>
  <si>
    <t>PN 14-6804-6000 - SERVICE REGULATOR</t>
  </si>
  <si>
    <t>2025-BACG-04</t>
  </si>
  <si>
    <t>PN 14-6806-6011 - TIRE PRESSURE GAGE</t>
  </si>
  <si>
    <t>2025-BACG-05</t>
  </si>
  <si>
    <t>PN AGE-01979-401 - CAPA PROTETORA DE PNEU DO TREM DE POUSO PRINCIPAL</t>
  </si>
  <si>
    <t>2025-BACG-06</t>
  </si>
  <si>
    <t>PN AGE-01954-401 - CAPA PROTETORA DE PNEU DO TREM DE POUSO AUXILIAR</t>
  </si>
  <si>
    <t>2025-BACG-13</t>
  </si>
  <si>
    <t>PN PMB3950-0EAS-1519 - GUINDASTE HIDRÁULICO M128</t>
  </si>
  <si>
    <t>2025-BACG-14</t>
  </si>
  <si>
    <t>PN 4A-670-21-W26H2 - CHAVE ESPECIAL</t>
  </si>
  <si>
    <t>2025-BACG-15</t>
  </si>
  <si>
    <t>PN PWC65422 - DCU T-HARNESS</t>
  </si>
  <si>
    <t>2025-BACG-16</t>
  </si>
  <si>
    <t>PN BREMEN-9123 - BOMBA MANUAL PARA GRAXA DE 4KG</t>
  </si>
  <si>
    <t>2025-BACG-19</t>
  </si>
  <si>
    <t>PN EMB-00444-001 - CARRO TRANSPORTE TANQUE SUBALAR</t>
  </si>
  <si>
    <t>2025-BANT-02</t>
  </si>
  <si>
    <t>PN DPT90-002 - PROBE 90º DEGREE ZETEC -DPT90-002</t>
  </si>
  <si>
    <t>2025-BANT-21</t>
  </si>
  <si>
    <t>PN HK-701X - ESTAÇÃO CONJUGADA DIGITAL</t>
  </si>
  <si>
    <t>2025-BANT-24</t>
  </si>
  <si>
    <t>2025-BANT-25</t>
  </si>
  <si>
    <t>PN 1730-0062 - MACACO JACARE</t>
  </si>
  <si>
    <t>2025-BAPV-03</t>
  </si>
  <si>
    <t>PN AGE-00506-401 - DISPOSITIVO PARA VERIFICAÇÃO DO NIVELAMENTO E ALINHAMENTO DO MOTOR</t>
  </si>
  <si>
    <t>2025-BAPV-04</t>
  </si>
  <si>
    <t>PN PWC71135 - CONJUNTO PARA DIAGNÓSTICO, PROGNÓSTICO E GERENCIAMENTO DO PT6A-68C</t>
  </si>
  <si>
    <t>2025-BAPV-05</t>
  </si>
  <si>
    <t>PN AGE-02540-401 - CARRO PARA TRANSPORTE E E MANUTENÇÃO DO MOTOR</t>
  </si>
  <si>
    <t>2025-BAPV-06</t>
  </si>
  <si>
    <t>PN AGE-02700-401 - DISPOS. VERIF. NÍVEL COMB. COLETOR TQ FUS</t>
  </si>
  <si>
    <t>2025-BAPV-07</t>
  </si>
  <si>
    <t>2025-BAPV-08</t>
  </si>
  <si>
    <t>PN AGE 02055-401 - CARRO PARA ARMAZENAMENTO DO PÁRA-BRISA</t>
  </si>
  <si>
    <t>2025-BAPV-09</t>
  </si>
  <si>
    <t>2025-BAPV-10</t>
  </si>
  <si>
    <t>2025-BAPV-11</t>
  </si>
  <si>
    <t>PN AGE-02374-401 - CAIXA DE TESTE SENSOR ATUADOR COMPENSADOR</t>
  </si>
  <si>
    <t>2025-BAPV-12</t>
  </si>
  <si>
    <t>PN AGE-02559-401 - CONJUNTO TESTE ANEMOMÉTRICO DA TOMADA ESTÁTICA</t>
  </si>
  <si>
    <t>2025-BAPV-14</t>
  </si>
  <si>
    <t>PN EMB-00168-001 - CAIXA TESTE VAZAMENTO TANQUE COMBUSTÍVEL</t>
  </si>
  <si>
    <t>2025-BAPV-15</t>
  </si>
  <si>
    <t>PN EMB-00168-003 - TESTE VAZAMENTO LINHA COMBUSTÍVEL</t>
  </si>
  <si>
    <t>2025-BAPV-17</t>
  </si>
  <si>
    <t>PN PE95086-1 - CABO ELÉTRICO(KIT)</t>
  </si>
  <si>
    <t>2025-BAPV-18</t>
  </si>
  <si>
    <t>PN AGE-02070-401 - CARRO PARA FONTE DE TENSÃO VARIÁVEL</t>
  </si>
  <si>
    <t>2025-BAPV-19</t>
  </si>
  <si>
    <t>PN AGE-02465-401 - DISPOSITIVO PARA VERIFICAÇÃO DO NÍVEL DO TANQUE COLETOR DA ASA</t>
  </si>
  <si>
    <t>2025-BAPV-20</t>
  </si>
  <si>
    <t>PN 3203771 - CONJUNTO PARA MANUTENÇÃO DA CARGA DE NITROGÊNIO DO FLIR</t>
  </si>
  <si>
    <t>2025-BAPV-21</t>
  </si>
  <si>
    <t>PN AGE-01575-401 - ADAPTADOR PARA TROCA DE RODA DO TREM DE POUSO PRINCIPAL</t>
  </si>
  <si>
    <t>2025-BAPV-23</t>
  </si>
  <si>
    <t>PN 314-01712-407-14H2 - GARFO DE REBOQUE</t>
  </si>
  <si>
    <t>2025-BAPV-25</t>
  </si>
  <si>
    <t>PN AGE-04960-401 - CAIXA DE TESTES DA MANETE DE POTÊNCIA E ALAVANCA DO FLAPE</t>
  </si>
  <si>
    <t>2025-BAPV-26</t>
  </si>
  <si>
    <t>PN PWC34405 - TEST FIXTURE</t>
  </si>
  <si>
    <t>2025-BAPV-29</t>
  </si>
  <si>
    <t>PN AGE-01840-401 - GRAMPO ESPECIAL</t>
  </si>
  <si>
    <t>2025-BAPV-30</t>
  </si>
  <si>
    <t>2025-BAPV-36</t>
  </si>
  <si>
    <t>PN AGE-04320-401 - TRANSFERIDOR</t>
  </si>
  <si>
    <t>2025-BAPV-37</t>
  </si>
  <si>
    <t>PN 40K513 - FHASEC 3D KIT</t>
  </si>
  <si>
    <t>EDA</t>
  </si>
  <si>
    <t>2022-EDA-01</t>
  </si>
  <si>
    <t>2022-EDA-02</t>
  </si>
  <si>
    <t>PN AGE-04701-401 - TEST STATION,FUEL C</t>
  </si>
  <si>
    <t>2022-EDA-03</t>
  </si>
  <si>
    <t>PN 314T06840-401 - DISPOSITIVO - TESTE CONTROLE DE VOO, CAIXA DO MANCHE</t>
  </si>
  <si>
    <t>2022-EDA-05</t>
  </si>
  <si>
    <t>2022-EDA-07</t>
  </si>
  <si>
    <t>2022-EDA-08</t>
  </si>
  <si>
    <t>2022-EDA-10</t>
  </si>
  <si>
    <t>PN AGE-01588-401 - ADAPTADOR TROCA DE RODA - NLG</t>
  </si>
  <si>
    <t>2025-PAMALS-31</t>
  </si>
  <si>
    <t>BABE</t>
  </si>
  <si>
    <t>2025-BABE-02</t>
  </si>
  <si>
    <t>PN 4A-9830-W13H - QTU CARRO LIMPEZA DE TOALET</t>
  </si>
  <si>
    <t>2025-BABE-03</t>
  </si>
  <si>
    <t>PN PWC32677-300 - EQUIPAMENTO PARA LAVAGEM DE COMPRESSOR</t>
  </si>
  <si>
    <t>2025-BABE-04</t>
  </si>
  <si>
    <t>PN EMB-00188-001 - GARFO DE REBOQUE</t>
  </si>
  <si>
    <t>2025-BABE-05</t>
  </si>
  <si>
    <t>PN 4A-9810-W26H - GARFO DE REBOQUE</t>
  </si>
  <si>
    <t>2025-BABE-08</t>
  </si>
  <si>
    <t>PN 4A-0031-PC113H - SUPORTE DE SUPERFÍCIE</t>
  </si>
  <si>
    <t>2025-BABE-09</t>
  </si>
  <si>
    <t>PN 4A-6000-W25H - TALHA PARA REMOÇÃO DE TURBINA DE AERONAVE</t>
  </si>
  <si>
    <t>2025-BABE-12</t>
  </si>
  <si>
    <t>PN 110-6000-00W26H - ESTROPO PARA MOTOR DE AERONAVE</t>
  </si>
  <si>
    <t>2025-BABR-28</t>
  </si>
  <si>
    <t>PN MCAL6 - CALIPER,DIGITAL DISPLAY</t>
  </si>
  <si>
    <t>2025-BACO-10</t>
  </si>
  <si>
    <t>PN 101-00100 - ADAPTADOR TUBO DE PITOT C-95</t>
  </si>
  <si>
    <t>2025-BACO-12</t>
  </si>
  <si>
    <t>PN 4A-3400-W26H2 - GAB REG L DIR</t>
  </si>
  <si>
    <t>2025-PAMASP-01</t>
  </si>
  <si>
    <t>PN U-600 - BANCADA DE TESTE, SISTEMA HIDRÁULICO, FONTE EXTERNA</t>
  </si>
  <si>
    <t>2025-AFA-03</t>
  </si>
  <si>
    <t>PN 133-144 - CALIPER,MICROMETER,INSIDE</t>
  </si>
  <si>
    <t>2025-AFA-08</t>
  </si>
  <si>
    <t>PN 9094 - BALANÇA ELETRÔNICA DIGITAL 15KGX2G</t>
  </si>
  <si>
    <t>2025-AFA-12</t>
  </si>
  <si>
    <t>PN RRN11P-02 - HAMMER,PNEUMATIC,PORTABLE</t>
  </si>
  <si>
    <t>2025-AFA-15</t>
  </si>
  <si>
    <t>PN T60-1001-C8-1A - TENSIOMETER,DIAL INDICATING</t>
  </si>
  <si>
    <t>2025-AFA-17</t>
  </si>
  <si>
    <t>2025-AFA-19</t>
  </si>
  <si>
    <t>PN SFP-500CC - ENGRAXADEIRA PNEUMÁTICA</t>
  </si>
  <si>
    <t>2025-AFA-20</t>
  </si>
  <si>
    <t>PN TORQUIMETRO QUICKSET 10-50LBIN - QUICKSET</t>
  </si>
  <si>
    <t>2025-BAAN-05</t>
  </si>
  <si>
    <t>PN TIFHD160 - DUAL TIRE INFLATOR</t>
  </si>
  <si>
    <t>2025-BABR-12</t>
  </si>
  <si>
    <t>PN 2724001 - THERMO-HYGROMETER</t>
  </si>
  <si>
    <t>2025-BABR-22</t>
  </si>
  <si>
    <t>PN KS5518E - CLEANER, ULTRASONIC</t>
  </si>
  <si>
    <t>2025-BABV-32</t>
  </si>
  <si>
    <t>2025-BACO-07</t>
  </si>
  <si>
    <t>PN KRA2007K-CH - ARMÁRIO SNAP-ON 7 GAVETAS</t>
  </si>
  <si>
    <t>2025-BACO-08</t>
  </si>
  <si>
    <t>PN ST-70E - SOLDERING STATION</t>
  </si>
  <si>
    <t>BAMN</t>
  </si>
  <si>
    <t>2025-BAMN-01</t>
  </si>
  <si>
    <t>PN MIZ-21A - DETECTOR METAL FLAW ELECTRONIC</t>
  </si>
  <si>
    <t>2025-BAMN-03</t>
  </si>
  <si>
    <t>PN RF80-K - ANALISADOR DE CARREGADOR DE BATERIA</t>
  </si>
  <si>
    <t>REMANEJAR</t>
  </si>
  <si>
    <t>2025-BANT-06</t>
  </si>
  <si>
    <t>PN MESA ELEVATORIA HIDRAULICA MÓVEL - Mesa Pantográfica 500 Kg Elevatória Hidráulica Móvel – Nagano</t>
  </si>
  <si>
    <t>BASM</t>
  </si>
  <si>
    <t>2025-BASM-06</t>
  </si>
  <si>
    <t>PN UVM3059 - DIGITAL UV LIGHT METER</t>
  </si>
  <si>
    <t>2025-BASM-07</t>
  </si>
  <si>
    <t>PN HDS 801 B - HIGH PRESSURE WASHER</t>
  </si>
  <si>
    <t>2022-EDA-11</t>
  </si>
  <si>
    <t>2025-EEAR-01</t>
  </si>
  <si>
    <t>PN YA258 - GAGE,PRESSURE,DIAL INDICATING</t>
  </si>
  <si>
    <t>EPCAR</t>
  </si>
  <si>
    <t>2025-EPCAR-01</t>
  </si>
  <si>
    <t>PN 177 - STANDARD TEST FIXTURE</t>
  </si>
  <si>
    <t>2025-EPCAR-02</t>
  </si>
  <si>
    <t>2025-EPCAR-03</t>
  </si>
  <si>
    <t>PN FSIG62-1-1/4NPT-100PSI - MANÔMETRO</t>
  </si>
  <si>
    <t>2025-EPCAR-04</t>
  </si>
  <si>
    <t>PN FSIG62-1-1/4NPT-500PSI - MANÔMETRO</t>
  </si>
  <si>
    <t>2025-EPCAR-05</t>
  </si>
  <si>
    <t>2025-EPCAR-06</t>
  </si>
  <si>
    <t>PN TE50A - TORQUÍMETRO</t>
  </si>
  <si>
    <t>2025-IPEV-02</t>
  </si>
  <si>
    <t>PN EEBC100A - BATTERY CHARGER</t>
  </si>
  <si>
    <t>2025-IPEV-04</t>
  </si>
  <si>
    <t>PN MANO 0-300PSI - MANÔMETRO</t>
  </si>
  <si>
    <t>2025-PAMALS-01</t>
  </si>
  <si>
    <t>PN 1623A-H-156 - HYGROTHERMOMETER,DIGITAL</t>
  </si>
  <si>
    <t>2025-PAMALS-02</t>
  </si>
  <si>
    <t>PN SK-L754 -TEMPERATURE AND HUMIDITY DATA RECORDER</t>
  </si>
  <si>
    <t>2025-PAMALS-03</t>
  </si>
  <si>
    <t>PN MODEL 3800 -TACHOMETER TESTER</t>
  </si>
  <si>
    <t>2025-PAMALS-04</t>
  </si>
  <si>
    <t>PN VERSATEST600 - TESTER,TORQUE WRENCH</t>
  </si>
  <si>
    <t>2025-PAMALS-05</t>
  </si>
  <si>
    <t>PN MODEL 3615 -CABLE TENSIOMETER CALIBRATOR</t>
  </si>
  <si>
    <t>2025-PAMALS-06</t>
  </si>
  <si>
    <t>PN 8588A - REFERENCE MULTIMETER</t>
  </si>
  <si>
    <t>2025-PAMALS-07</t>
  </si>
  <si>
    <t>PN EVSG1000 - VOR/ILS ANALAYZER EVSG 1000</t>
  </si>
  <si>
    <t>2025-PAMALS-08</t>
  </si>
  <si>
    <t>PN E8267D - PSG VECTOR SIGNAL GENERATOR</t>
  </si>
  <si>
    <t>2025-PAMALS-10</t>
  </si>
  <si>
    <t>PN 700900-1 - TRANSDUCER,PRESSURE,FLUID-HYDRAULIC</t>
  </si>
  <si>
    <t>2025-PAMALS-11</t>
  </si>
  <si>
    <t>PN 420815-1 - TRANSDUCER,MOTIONALPICKUP</t>
  </si>
  <si>
    <t>2025-PAMALS-12</t>
  </si>
  <si>
    <t>PN 6910230 - RUGOSÍMETRO PORTÁTIL</t>
  </si>
  <si>
    <t>2025-PAMALS-13</t>
  </si>
  <si>
    <t>PN LM516 - EMPILHADEIRA HIDRÁULICA MANUAL</t>
  </si>
  <si>
    <t>2025-PAMALS-14</t>
  </si>
  <si>
    <t>PN DCD997P2BT - TOOL CONNECT HAMMERDRILL KIT</t>
  </si>
  <si>
    <t>2025-PAMALS-15</t>
  </si>
  <si>
    <t>PN 1015B-6/67655 - PORTABLE DIAL THICKNESS GAGE</t>
  </si>
  <si>
    <t>2025-PAMALS-16</t>
  </si>
  <si>
    <t>PN 643JZ/52714 - DIAL DEPTH GAGE WITH KNIFE EDGE</t>
  </si>
  <si>
    <t>2025-PAMALS-17</t>
  </si>
  <si>
    <t>PN BST2950 - BEARING PULLER</t>
  </si>
  <si>
    <t>2025-PAMALS-18</t>
  </si>
  <si>
    <t>PN BST2952 - BEARING PULLER</t>
  </si>
  <si>
    <t>2025-PAMALS-19</t>
  </si>
  <si>
    <t>PN AT406C - ORBITAL PALM SANDER</t>
  </si>
  <si>
    <t>2025-PAMALS-20</t>
  </si>
  <si>
    <t>PN H-1115 - COUNTING SCALE - 15 LBS. X .001 LB</t>
  </si>
  <si>
    <t>2025-PAMALS-21</t>
  </si>
  <si>
    <t>PN CARRO PLATAFORMA 522 - CARRINHO PLATAFORMA FECHADO 800KG EM TELA 522</t>
  </si>
  <si>
    <t>2025-PAMALS-22</t>
  </si>
  <si>
    <t>PN PM1516 - EMPILHADEIRA MANUAL 1500KG 1600MM</t>
  </si>
  <si>
    <t>2025-PAMALS-23</t>
  </si>
  <si>
    <t>PN PM516 - EMPILHADEIRA MANUAL 500KG 1600MM</t>
  </si>
  <si>
    <t>2025-PAMALS-24</t>
  </si>
  <si>
    <t>PN NR12-3 - ESCADA PLATAFORMA TREPADEIRA 3 DEGRAUS 1M</t>
  </si>
  <si>
    <t>2025-PAMALS-25</t>
  </si>
  <si>
    <t>PN NR12-7 - ESCADA PLATAFORMA TREPADEIRA 7 DEGRAUS 2M</t>
  </si>
  <si>
    <t>2025-PAMALS-26</t>
  </si>
  <si>
    <t>PN NR12-11 - ESCADA PLATAFORMA TREPADEIRA 11 DEGRAUS 3M</t>
  </si>
  <si>
    <t>2025-PAMALS-27</t>
  </si>
  <si>
    <t>PN CDAIR MAX - MAQUISNA PARA ALMOFADA DE AR E MANTA PLACTICO BOLHA</t>
  </si>
  <si>
    <t>2025-PAMALS-28</t>
  </si>
  <si>
    <t>PN TM2000-545 - TRANSPALETE MANUAL COM BALAÇA DIGITAL SEM IMPRESSORA</t>
  </si>
  <si>
    <t>2025-PAMALS-29</t>
  </si>
  <si>
    <t>PN TM3020 - TRANSPALETE MANUAL COM RODA DUPLA 3000KG</t>
  </si>
  <si>
    <t>2025-PAMALS-30</t>
  </si>
  <si>
    <t>PN TR-800 - TRITURADO SHREDDER INDUSTRIAL</t>
  </si>
  <si>
    <t>Requisições Consumíveis 1/4 - Manutenção nos operadores</t>
  </si>
  <si>
    <t>Montagem 2005 - 2 motores</t>
  </si>
  <si>
    <t>2025-BABR-02</t>
  </si>
  <si>
    <t>PN ADA120-612 - AIR DATA KIT DO TESTE DE PITOT ESTÁTICO</t>
  </si>
  <si>
    <t>2025-BABR-05</t>
  </si>
  <si>
    <t>PN EMB-00637-401 - CONJUNTO REGULAGEM MICRO DAS MANETES</t>
  </si>
  <si>
    <t>2025-BABR-07</t>
  </si>
  <si>
    <t>2025-BABR-09</t>
  </si>
  <si>
    <t>PN PWC38077 - PULLER, ALTERNATOR DRIVE OIL SEAL</t>
  </si>
  <si>
    <t>2025-BABR-14</t>
  </si>
  <si>
    <t>2025-BABR-29</t>
  </si>
  <si>
    <t>PN 7019B - SUPORTE MAGNÉTICO P/ RELÓGIO COMPARADOR</t>
  </si>
  <si>
    <t>2025-BABR-30</t>
  </si>
  <si>
    <t>PN GS18298-1 - BALANCER,WHEEL,NONELECTRIC</t>
  </si>
  <si>
    <t>2025-BABR-31</t>
  </si>
  <si>
    <t>PN DM-365XA - ULTRAVIOLET METER</t>
  </si>
  <si>
    <t>2025-BACO-02</t>
  </si>
  <si>
    <t>PN EMB-00005-001 - DISPOSITIVO, IÇAMENTO DO MOTOR COMPLETO</t>
  </si>
  <si>
    <t>2025-BACO-04</t>
  </si>
  <si>
    <t>PN 10-6402-0010 - LAVATORY SERVICE UNIT</t>
  </si>
  <si>
    <t>2025-BAGL-02</t>
  </si>
  <si>
    <t>PN OU-50482 - SPRING BOX RESTRAINING DEVICE</t>
  </si>
  <si>
    <t>2025-BAGL-03</t>
  </si>
  <si>
    <t>PN OU-50654 - DISPOSITIVO APOIO-CARTUCHO MOLAS</t>
  </si>
  <si>
    <t>2025-BAGL-04</t>
  </si>
  <si>
    <t>PN EMB-01114-001 - CHAVE DE INSTALAÇÃO/REMOÇÃO DA PORCA MLG</t>
  </si>
  <si>
    <t>2025-BAGL-05</t>
  </si>
  <si>
    <t>PN EMB-00015-016 - DOLLY REMOÇÃO/INSTALAÇÃO DO TREM DE POUSO AUXILIAR</t>
  </si>
  <si>
    <t>2025-BAGL-06</t>
  </si>
  <si>
    <t>PN EMB-00065-002 - FERRAMENTA PARA RETIRADA DA HASTE DE TRAVAMENTO DO TREM DO NARIZ</t>
  </si>
  <si>
    <t>2025-BAGL-08</t>
  </si>
  <si>
    <t>PN EMB-01115-001 - FERRAMENTA ESP</t>
  </si>
  <si>
    <t>2025-BAGL-09</t>
  </si>
  <si>
    <t>PN EMB-00066-001 - FERRAMENTA PARA RETIRADA DA RODA PRINCIPAL</t>
  </si>
  <si>
    <t>2025-BAGL-10</t>
  </si>
  <si>
    <t>PN EMB-00574-001 - ADAPTADOR PARA AID IN BRAKE BLEEDING</t>
  </si>
  <si>
    <t>2025-BAGL-11</t>
  </si>
  <si>
    <t>PN 18-4208-0010 - FOUR BOTTLE SERVICE CART</t>
  </si>
  <si>
    <t>2025-BAGL-12</t>
  </si>
  <si>
    <t>PN 14-6805-6010 - GAUGE, A/C STRUT PRESSURE (CE)</t>
  </si>
  <si>
    <t>Atender novembro</t>
  </si>
  <si>
    <t>2025-BAGL-13</t>
  </si>
  <si>
    <t>PN 10-4036-0010 - LAVATORY SERVICE UNIT (31 GAL/117L) WAST TANK</t>
  </si>
  <si>
    <t>2025-BAGL-18</t>
  </si>
  <si>
    <t>PN AGE-00919-401 - HYDRAULIC LADDER</t>
  </si>
  <si>
    <t>2025-BAGL-27</t>
  </si>
  <si>
    <t>PN PWC54255 - PUSHER/PULLER, FUEL MAN TRANS TRUBES</t>
  </si>
  <si>
    <t>2025-BAGL-28</t>
  </si>
  <si>
    <t>PN EMB 00111-001 - EXTENSÃO PARA TORQUÍMETRO</t>
  </si>
  <si>
    <t>2025-BAGL-30</t>
  </si>
  <si>
    <t>PN WINGRIP LIFELINE SYSTEM - WINGRIP LIFELINE SYSTEM</t>
  </si>
  <si>
    <t>2025-BAGL-31</t>
  </si>
  <si>
    <t>PN 04-6152-0120 - HOISTING UNIT, AIRCRAFT COMPONENT</t>
  </si>
  <si>
    <t>2025-BAGL-33</t>
  </si>
  <si>
    <t>PN 19-4305-0000 - POTABLE CART, STANDARD</t>
  </si>
  <si>
    <t>2025-BAGL-34</t>
  </si>
  <si>
    <t>PN EMB 00017-015 - GARFO DE REBOQUE (TOW BAR)</t>
  </si>
  <si>
    <t>2025-BABR-11</t>
  </si>
  <si>
    <t>PN 543-250 - RELÓGIO COMPARADOR</t>
  </si>
  <si>
    <t>2025-BABR-13</t>
  </si>
  <si>
    <t>PN T2680003-10 - TEMPLATE/SCALE ASSEMBLY</t>
  </si>
  <si>
    <t>2025-BABR-24</t>
  </si>
  <si>
    <t>PN PS47699-3-4 - PITOT TEST, ADAPTOR</t>
  </si>
  <si>
    <t>2025-BABV-02</t>
  </si>
  <si>
    <t>PN DBE4-0040 - GARFO DE REBOQUE COM TRATOR ANV C-98</t>
  </si>
  <si>
    <t>2025-BABV-07</t>
  </si>
  <si>
    <t>PN PS4769 - PITOT STATIC TEST ADAPTOR</t>
  </si>
  <si>
    <t>2025-BABV-11</t>
  </si>
  <si>
    <t>MATERIAL PERMANENTE OFICINA SSS</t>
  </si>
  <si>
    <t>AQUISIÇÃO DE MATERIAL PERMANENTE OFICINA SSS</t>
  </si>
  <si>
    <t>2025-BAAN-01</t>
  </si>
  <si>
    <t>PN K990D23862 - LOAD BANK,ELECTRICA, BANCO DE CARGA ELÉTRICA</t>
  </si>
  <si>
    <t>2025-BAAN-02</t>
  </si>
  <si>
    <t>PN L-28 - LOAD BANK (BANCO DE CARGA EÇLÉTRICA)</t>
  </si>
  <si>
    <t>2025-IPEV-03</t>
  </si>
  <si>
    <t>PN OMG22100C - JACK HYDRAULIC SERVICE, CAPACITY 10TONS</t>
  </si>
  <si>
    <t>Reparo sob demanda 6/5 - montagem de matrículas</t>
  </si>
  <si>
    <t>Manutenção na empresa - Inspeção C</t>
  </si>
  <si>
    <t>Módulo Extra - Elevação de Giro 2/2</t>
  </si>
  <si>
    <t>Valor alterado conforme e-mail da CP Priscilla Toledo do dia 17/04. Originalmente como Pacote E; alterado para Pacote B em 20/ABR, com o acréscimo das horas de C-97 no Esforço Aéreo planejado.</t>
  </si>
  <si>
    <r>
      <rPr>
        <rFont val="Calibri, sans-serif"/>
        <color rgb="FF000000"/>
        <sz val="11.0"/>
      </rPr>
      <t>Lagoa Santa/MG,</t>
    </r>
    <r>
      <rPr>
        <rFont val="Calibri, sans-serif"/>
        <b/>
        <i/>
        <color rgb="FF000000"/>
        <sz val="11.0"/>
      </rPr>
      <t xml:space="preserve"> (conforme assinatura eletrônica)</t>
    </r>
  </si>
  <si>
    <r>
      <rPr>
        <rFont val="Calibri, sans-serif"/>
        <b/>
        <i/>
        <color rgb="FF000000"/>
        <sz val="11.0"/>
      </rPr>
      <t xml:space="preserve">(Assinado eletronicamente)
</t>
    </r>
    <r>
      <rPr>
        <rFont val="Calibri, sans-serif"/>
        <color rgb="FF000000"/>
        <sz val="11.0"/>
      </rPr>
      <t>PRISCILLA Perlato TOLEDO Gouveia Cap QOINT
Adjunta da TGCO</t>
    </r>
  </si>
  <si>
    <r>
      <rPr>
        <rFont val="Calibri, sans-serif"/>
        <b/>
        <i/>
        <color rgb="FF000000"/>
        <sz val="11.0"/>
      </rPr>
      <t xml:space="preserve">(Assinado eletronicamente)
</t>
    </r>
    <r>
      <rPr>
        <rFont val="Calibri, sans-serif"/>
        <color rgb="FF000000"/>
        <sz val="11.0"/>
      </rPr>
      <t xml:space="preserve">Claudomiro FELTRAN Junior Cel QOAV
Ordenador de Despesas
</t>
    </r>
  </si>
  <si>
    <t>Linha quebrada para redistribuição de 2048, Ten Ayres 24/07. Pacote alterado de A para B para atender a linha 23920 (Pacote C) - alteração em 07/AGO/26, por não ter solicitação da linha até o momento (descentralização prevista para JUL/26). Saldo movimentado para criar a linha 68040, conforme e-mail Ten Ayres, de 11/SET/2026</t>
  </si>
  <si>
    <t>CNT 022/CABW-PAMASP/2025 - FEP - PT6A-25C</t>
  </si>
  <si>
    <t>FEP PT6A-25C (3/4)</t>
  </si>
  <si>
    <t>FEP PT6A-25C (1/4)</t>
  </si>
  <si>
    <t>Data de descentralização alterada por solicitação do CP Camacho, via Whatsapp, no dia 08/07</t>
  </si>
  <si>
    <t>FEP PT6A-25C (2/4)</t>
  </si>
  <si>
    <t>A'. Data de descentralização alterada por solicitação do CP Camacho, via Whatsapp, no dia 08/08</t>
  </si>
  <si>
    <t>FEP PT6A-25C (4/4)</t>
  </si>
  <si>
    <t>Data de descentralização alterada por solicitação do CP Camacho, via Whatsapp, no dia 08/09</t>
  </si>
  <si>
    <t>INFRAESTRUTURA - Ofício 9/AINT/1068 - SVC AUTORIZADO PISO TANV, BANHEIRO METROLOGIA, TELHADO SUPRIMENTO e TELHADO RECEBIMENTO</t>
  </si>
  <si>
    <t>Aquisição de FCU</t>
  </si>
  <si>
    <t>Revisão Geral PT6A-68C 09/20</t>
  </si>
  <si>
    <t>Requisições Consumíveis 2/4 - Manutenção nos operadores</t>
  </si>
  <si>
    <t>solicitado recurso ao DECEA - 5 fev (R$ 5.539.625,00 para serem alocados no MTA 2027)</t>
  </si>
  <si>
    <t>solicitado recurso ao DECEA - 5 fev</t>
  </si>
  <si>
    <t>AQUISIÇÃO ITENS SSS COM TEMPO LIMITE DE VIDA (CABW) 3/3</t>
  </si>
  <si>
    <t>20XV EXTRA</t>
  </si>
  <si>
    <t>Módulo Extra - Montagem 6053</t>
  </si>
  <si>
    <t>solicitado recurso ao DECEA - 5 fev - loc 24624ZJ</t>
  </si>
  <si>
    <t>NC004034</t>
  </si>
  <si>
    <t>C26142</t>
  </si>
  <si>
    <t>Módulo Extra - Montagem 6053 1/5</t>
  </si>
  <si>
    <t>NC005229</t>
  </si>
  <si>
    <t>Módulo Extra - Montagem 6053 2/5</t>
  </si>
  <si>
    <t>NC015417</t>
  </si>
  <si>
    <t>Módulo Extra - Montagem 6053 3/5</t>
  </si>
  <si>
    <t>solicitado recurso ao DECEA - 5 fev - loc 24624ZJ. Conforme e-mail da Cap Rosângela (DECEA), de 14/SET/2026, será descentralizado crédito para as linhas 23703 e 23704 em 2026 e crédito para as linhas 23705, 23706 e 23707 no início de 2027.</t>
  </si>
  <si>
    <t>Módulo Extra - Montagem 6053 4/5</t>
  </si>
  <si>
    <t>solicitado recurso ao DECEA - 5 fev - loc 24624ZJ. Valor atualizado conforme e-mail do Ten Ayres, de 14/AGO/2026. Conforme e-mail da Cap Rosângela (DECEA), de 14/SET/2026, será descentralizado crédito para as linhas 23703 e 23704 em 2026 e crédito para as linhas 23705, 23706 e 23707 no início de 2027.</t>
  </si>
  <si>
    <t>20XV 2027</t>
  </si>
  <si>
    <t>Módulo Extra - Montagem 6053 5/5</t>
  </si>
  <si>
    <t>solicitado recurso ao DECEA - 5 fev - loc 24624ZJ - Quebra de linha conforme e-mail da Cap Priscilla Toledo, de 11/MAR/2026. Conforme e-mail da Cap Rosângela (DECEA), de 14/SET/2026, será descentralizado crédito para as linhas 23703 e 23704 em 2026 e crédito para as linhas 23705, 23706 e 23707 no início de 2027.</t>
  </si>
  <si>
    <t>valores atualizados conforme e-mail do Ten Ayres, de 14/AGO/2026. Conforme e-mail da Cap Rosângela (DECEA), de 14/SET/2026, será descentralizado crédito para as linhas 23703 e 23704 em 2026 e crédito para as linhas 23705, 23706 e 23707 no início de 2027.</t>
  </si>
  <si>
    <t>ARP XXX/CELOG-PAMALS/2026 – Aquisição de RFID</t>
  </si>
  <si>
    <t>Aquisição de material de RFID</t>
  </si>
  <si>
    <t>Material reparo acessórios PT6A-114A (3/3)</t>
  </si>
  <si>
    <t>CNT XXX/CELOG-PAMALS/2026 - Motores IU-93</t>
  </si>
  <si>
    <t>REVISÃO GERAL 1/2</t>
  </si>
  <si>
    <t>Saldo de R$ 5.500.000,00 transferido para as linhas 23704 (R$ 3.532.245), 23706 (R$ 1.162.155) e 23707 (R$ 805.600)</t>
  </si>
  <si>
    <t>CNT 061/CELOG-PAMALS/2026 - Motores IU-93</t>
  </si>
  <si>
    <t>Abater R$ 600.000,00 após anulação do empenho. Solicitação CP PRiscilla de 18/06.</t>
  </si>
  <si>
    <t>SOLICITAÇÃO DE TROCA DE INDICADOR DE LOTAÇÃO (PAMALS - email 14/09/2026)</t>
  </si>
  <si>
    <t>CTT XXX/CELOG-PAMALS/2026 - Reforma de Interiores</t>
  </si>
  <si>
    <t>Sob demanda 1/2</t>
  </si>
  <si>
    <t>CTT XXX/GAPLS-PAMALS/2026 – Reparo</t>
  </si>
  <si>
    <t>Manutenção preventiva e corretiva em equipamentos da Subdivisão de Suprimentos</t>
  </si>
  <si>
    <t>REPARO NA BALANÇA PALETEIRA - PN: 1001WY-01 / SN: NAF-10909</t>
  </si>
  <si>
    <t>REPARO NA BALANÇA PALETEIRA - PN: H-2291 / SN: B603014270</t>
  </si>
  <si>
    <t>email do dia 19/03</t>
  </si>
  <si>
    <t>REPARO NA BANCADA PARA ARQUEAR FITA AUTOMÁTICA - PN: H-959</t>
  </si>
  <si>
    <t>CTT XXX/CABW-PAMALS/2025 - Material Permanente</t>
  </si>
  <si>
    <t>Aquisição de 1 barreira de retenção móvel para atender operações em SBSC, SBSJ (Aeroporto Prof. Urbano Ernesto Stumpf) e EXOP diversos 2/2</t>
  </si>
  <si>
    <t>Revisão Geral PT6A-68C 12/20</t>
  </si>
  <si>
    <t>Linha aprovada (indução) após reunião com o PAMA-SP dia 15/JUN/2026. Pacote C atendido com crédito planejado para as linhas 14080, 23401 e 42020 (linhas alteradas de Pacote A para B)</t>
  </si>
  <si>
    <t>DESTQ34</t>
  </si>
  <si>
    <t>Linha aprovada (indução) após reunião com o PAMA-SP dia 15/JUN/2026</t>
  </si>
  <si>
    <t>Revisão Geral PT6A-68C 13/20</t>
  </si>
  <si>
    <t>Revisão Geral PT6A-68C 14/20</t>
  </si>
  <si>
    <t>Linha aprovada (indução) após reunião com o PAMA-SP dia 15/JUN/2026. Valor original: R$ 8.000.000,00 - atualizado em 03/SET/2026 conforme e-mail do Cap Camacho, de 02/SET/2026</t>
  </si>
  <si>
    <t>Revisão Geral PT6A-68C 15/20</t>
  </si>
  <si>
    <t>Linha aprovada (indução) após reunião com o PAMA-SP dia 15/JUN/2026. Aprovada AO 2048 retirada das linhas 1460 e 61140, em 03/SET/2026. Valor original: R$ 8.000.000,00, atualizado para US$ 1,559,392.62 em 03/SET/2026, conforme e-mail do TCel Magno, de 02/SET/2026</t>
  </si>
  <si>
    <t>Revisão Geral PT6A-68C 16/20</t>
  </si>
  <si>
    <t>Revisão Geral PT6A-68C 17/20</t>
  </si>
  <si>
    <t>Revisão Geral PT6A-68C 10/20</t>
  </si>
  <si>
    <t>Revisão Geral PT6A-68C 11/20</t>
  </si>
  <si>
    <t>C26178</t>
  </si>
  <si>
    <t>Revisão Geral PT6A-68C 18/20</t>
  </si>
  <si>
    <t>Requisições Consumíveis 3/4 - Manutenção nos operadores</t>
  </si>
  <si>
    <t>Aquisição de EAS</t>
  </si>
  <si>
    <t>MATERIAL NECESSÁRIO PARA MONTAGEM DE AERONAVE ESTOCADA</t>
  </si>
  <si>
    <t>Revisão Geral PT6A-34 (6/12)</t>
  </si>
  <si>
    <t>Revisão Geral PT6A-34 (7/12)</t>
  </si>
  <si>
    <t>Revisão Geral PT6A-34 (8/12)</t>
  </si>
  <si>
    <t>Revisão Geral PT6A-34 (9/12)</t>
  </si>
  <si>
    <t>Revisão Geral PT6A-34 (10/12)</t>
  </si>
  <si>
    <t>CNT XXX/CELOG-PAMASP/2026 - XXX - FEP</t>
  </si>
  <si>
    <t>FEP PT6A-34</t>
  </si>
  <si>
    <t>Reparo de PTVR 2 EA (2/2)</t>
  </si>
  <si>
    <t>AQUISIÇÃO ITENS SSS ATENDER 100% DA LOTAÇÃO (CABW) 4/4</t>
  </si>
  <si>
    <t>Serviço de revisão/manutenção preventiva e corretiva dos maquinários da TOFI 4/6</t>
  </si>
  <si>
    <t>Requisições Serviço 4/4</t>
  </si>
  <si>
    <t>Requisições FDAMP 2/2</t>
  </si>
  <si>
    <t>Material HSI PT6A-25C (4/7)</t>
  </si>
  <si>
    <t>Material HSI PT6A-25C (5/7)</t>
  </si>
  <si>
    <t>Reparo PT6A-68C 8/9</t>
  </si>
  <si>
    <t>Reparo PT6A-68C 9/9</t>
  </si>
  <si>
    <t>Requisições Consumíveis 4/4 - Manutenção nos operadores</t>
  </si>
  <si>
    <t>Requisições Consumíveis 4/8</t>
  </si>
  <si>
    <t>Incluído conforme e-mail da CP Priscilla Toledo do dia 17/04</t>
  </si>
  <si>
    <t>Requisições Consumíveis 6/8</t>
  </si>
  <si>
    <t>Requisições Consumíveis 8/8</t>
  </si>
  <si>
    <t>REVISÃO GERAL 2/2</t>
  </si>
  <si>
    <t>Remanejado R$ 19.624,00 para a linha 23704, conforme e-mail do Ten Ayres, de 14/AGO/2026</t>
  </si>
  <si>
    <t>Manutenção na empresa - Inspeção 5A</t>
  </si>
  <si>
    <t>Aquisição de consumíveis 4/4</t>
  </si>
  <si>
    <t>HSI PT6A-68C 3/4</t>
  </si>
  <si>
    <t>Material reparo PT6A-34 (5/6)</t>
  </si>
  <si>
    <t>Valor inicial R$ 1.000.000,00. Alterado conforme e-mail do CP Camacho do dia 25/05.</t>
  </si>
  <si>
    <t>Material reparo acessórios PT6A-34 (3/3)</t>
  </si>
  <si>
    <t>ATA DE REGISTRO DE PREÇO PARA SSS</t>
  </si>
  <si>
    <t>Material reparo PT6A-114A (3/4)</t>
  </si>
  <si>
    <t>email do dia 09/07</t>
  </si>
  <si>
    <t>Sob demanda 5/8</t>
  </si>
  <si>
    <t>Sob demanda 6/8</t>
  </si>
  <si>
    <t>Sob demanda 7/8</t>
  </si>
  <si>
    <t>Sob demanda 8/8</t>
  </si>
  <si>
    <t>Módulo Extra - Montagem 5929</t>
  </si>
  <si>
    <t>Valor original: R$ 4.198.000; modificado para R$ 5.945.588,05, conforme apresentação do PAMA-LS recebida do Cel Cruz por Whatsapp em 16/ABR</t>
  </si>
  <si>
    <t>Módulo Extra - Montagem 5710</t>
  </si>
  <si>
    <t>Valor original: R$ 13.350.000; modificado para R$ 16.010.000, conforme apresentação do PAMA-LS recebida do Cel Cruz por Whatsapp em 16/ABR</t>
  </si>
  <si>
    <t>Pacote alterado de B para A em 11/SET, com saldo da linha 14620, conforme email Ten Ayres, de 11/SET/2026</t>
  </si>
  <si>
    <t>Sob demanda 5/6</t>
  </si>
  <si>
    <t>Sob demanda 6/6</t>
  </si>
  <si>
    <t>Sob demanda 2/2</t>
  </si>
  <si>
    <t>Serviço de revisão/manutenção preventiva e corretiva dos maquinários da TOFI 5/6</t>
  </si>
  <si>
    <t>Manutenção na empresa - Inspeção A</t>
  </si>
  <si>
    <t>email do dia 24/04</t>
  </si>
  <si>
    <t>CTT XXX/CELOG-PAMALS/2026 - Montagem de matrícula</t>
  </si>
  <si>
    <t>Montagem 2005 - RT LS-007/TENG/25</t>
  </si>
  <si>
    <t>Manutenção na empresa - Inspeção 4Y</t>
  </si>
  <si>
    <t>CNT XXX/CELOG-PAMASP/2026 - XXX - Material</t>
  </si>
  <si>
    <t>Material reparo PT6A-34 (6/6)</t>
  </si>
  <si>
    <t>Reparo sob demanda 6/8</t>
  </si>
  <si>
    <t>Reparo sob demanda 7/8</t>
  </si>
  <si>
    <t>Reparo sob demanda 8/8</t>
  </si>
  <si>
    <t>Manutenção na empresa - Inspeção Y</t>
  </si>
  <si>
    <t>Serviço de revisão/manutenção preventiva e corretiva dos maquinários da TOFI 6/6</t>
  </si>
  <si>
    <t>Serviço de Reparo 4/4</t>
  </si>
  <si>
    <t>Hora de Voo 01/10 - 1000 HV</t>
  </si>
  <si>
    <t>Revisão Geral PT6A-68C 01/20</t>
  </si>
  <si>
    <t>Revisão Geral PT6A-68C 02/20</t>
  </si>
  <si>
    <t>Revisão Geral PT6A-68C 03/20</t>
  </si>
  <si>
    <t>Reparo PT6A-68C 1/9</t>
  </si>
  <si>
    <t>Hora de Voo 01/09 - 1000 HV</t>
  </si>
  <si>
    <t>Revisão Geral PT6A-114A (1/6)</t>
  </si>
  <si>
    <t>Revisão Geral PT6A-114A (2/6)</t>
  </si>
  <si>
    <t>Hora de Voo 01/12 (100HV)</t>
  </si>
  <si>
    <t>Hora de Voo 02/12 (100HV)</t>
  </si>
  <si>
    <t>Revisão Geral PT6A-25C (1/5)</t>
  </si>
  <si>
    <t>Hora de Voo 08/10 (500HV)</t>
  </si>
  <si>
    <t>Originalmente como Pacote E; alterado para Pacote B em 20/ABR, com o acréscimo das horas de C-97 no Esforço Aéreo planejado. Saldo movimentado para criar a linha 68060, conforme e-mail Ten Ayres, de 11/SET/2026</t>
  </si>
  <si>
    <t>Hora de Voo 09/10 (500HV)</t>
  </si>
  <si>
    <t>Originalmente como Pacote E; alterado para Pacote B em 20/ABR, com o acréscimo das horas de C-97 no Esforço Aéreo planejado.</t>
  </si>
  <si>
    <t>Revisão Geral PT6A-25C</t>
  </si>
  <si>
    <t>linha extra, desnecessária (conforme memorial do PAMA-SP, verificado em 06/AGO/2026)</t>
  </si>
  <si>
    <t>Revisão Geral PT6A-25C (5/5)</t>
  </si>
  <si>
    <t>Revisão Geral PT6A-114A</t>
  </si>
  <si>
    <t>CNT XXX/CABW-PAMASP/2026 - XX- Exchange</t>
  </si>
  <si>
    <t>Exchange PT6A-114A</t>
  </si>
  <si>
    <t>Revisão Geral PT6A-68C 04/20</t>
  </si>
  <si>
    <t>Revisão Geral PT6A-68C 05/20</t>
  </si>
  <si>
    <t>Revisão Geral PT6A-68C 19/20</t>
  </si>
  <si>
    <t>Revisão Geral PT6A-68C 20/20</t>
  </si>
  <si>
    <t>HSI PT6A-68C 4/4</t>
  </si>
  <si>
    <t>Projeto alterado de T-27 para A-29, conforme e-mail do Cap Camacho, de 18/MAR/2026 / MTA alterado de PAMASP para PAMALS conforme contato telefônico com a Cap Priscilla Toledo em 16/ABR. Valor da linha filha 63301 (R$ 1,2 M) retornado para a linha mãe, após totalmente aprovado (usado saldo da linha 17080).</t>
  </si>
  <si>
    <t>Projeto alterado de T-27 para A-29, conforme e-mail do Cap Camacho, de 18/MAR/2026 / MTA alterado de PAMASP para PAMALS conforme contato telefônico com a Cap Priscilla Toledo em 16/ABR. Valor de R$ 1,2 M cancelado e retornado para a linha mãe.</t>
  </si>
  <si>
    <t>C26169</t>
  </si>
  <si>
    <t>Material HSI PT6A-34 (10/10)</t>
  </si>
  <si>
    <t>MTA alterado de PAMASP para PAMALS conforme contato telefônico com a Cap Priscilla Toledo em 16/ABR</t>
  </si>
  <si>
    <t>Material HSI PT6A-34 (3/10)</t>
  </si>
  <si>
    <t>Material HSI PT6A-34 (4/10)</t>
  </si>
  <si>
    <t>Material HSI PT6A-34 (5/10)</t>
  </si>
  <si>
    <t>Material HSI PT6A-34 (6/10)</t>
  </si>
  <si>
    <t>Material HSI PT6A-34 (7/10)</t>
  </si>
  <si>
    <t>Material HSI PT6A-34 (8/10)</t>
  </si>
  <si>
    <t>Material HSI PT6A-34 (9/10)</t>
  </si>
  <si>
    <t>Material HSI PT6A-25C (6/7)</t>
  </si>
  <si>
    <t>Material HSI PT6A-25C (7/7)</t>
  </si>
  <si>
    <t>Material reparo PT6A-25C (4/4)</t>
  </si>
  <si>
    <t>Hora de Voo 10/10 (500HV)</t>
  </si>
  <si>
    <t>Incluído conforme e-mail da CP Priscilla Toledo do dia 17/04. Originalmente como Pacote E; alterado para Pacote B em 20/ABR, com o acréscimo das horas de C-97 no Esforço Aéreo planejado.</t>
  </si>
  <si>
    <t>MÓDULO EXTRA - SOB DEMANDA</t>
  </si>
  <si>
    <t>Material reparo PT6A-114A (4/4)</t>
  </si>
  <si>
    <t>Incluído conforme e-mail da CP Priscilla Toledo do dia 17/04. Pacote alterado de B para A em 19/SET conforme remanejamento de crédito do e-mail do Cap Camacho, de 18/SET/26</t>
  </si>
  <si>
    <t>Aquisição de Capacetes de Voo HGU-56/P para os novos helicópteros H-125</t>
  </si>
  <si>
    <t>Aquisição de capacetes HGU-56/P - Ofício nº 4/TSSG/3102 (ZWG3IJ9)</t>
  </si>
  <si>
    <t>Linha criada pelo Ofício nº 4/TSSG/3102 (ZWG3IJ9). Valor atualizado para US$ 421.066,40 conforme e-mail do Ten Ayres, de 11/SET. Após o atendimento do valor em US$, o saldo remanescente deve ser adicionado na linha 64980</t>
  </si>
  <si>
    <t>Linha criada conforme demanda no e-mail do Cap Camacho, de 18/JUN/2026</t>
  </si>
  <si>
    <t>Verificar valor com o Cap Camacho (05/AGO)</t>
  </si>
  <si>
    <t>CNT 001/CABW-PAMASP/2025 - EXCHANGE - FLORIDA SUPPLY</t>
  </si>
  <si>
    <t>Pagar avaliação dos cores</t>
  </si>
  <si>
    <t>CONTRATO</t>
  </si>
  <si>
    <t>Linha criada conforme e-mail do Cap Camacho, de 26/AGO/2026</t>
  </si>
  <si>
    <t>MANUTENÇÃO DAS INSTALAÇÕES</t>
  </si>
  <si>
    <t>INFRAESTRUTURA - Recuperação das instalações da Divisão Técnica do PAMALS</t>
  </si>
  <si>
    <t>Linha criada conforme e-mail do Ten Ayres, de 28/AGO/2026</t>
  </si>
  <si>
    <t>Reparo sob demanda</t>
  </si>
  <si>
    <t>Requisição PTA SSS</t>
  </si>
  <si>
    <t>Aquisição de Itens SSS Cumprir PTA</t>
  </si>
  <si>
    <t>Pacote alterado de A para B originalmente na linha 23401. Vide info na linha 23401. Pacote alterado de B para A em 17/SET/2026, após chegada de destaque</t>
  </si>
  <si>
    <t>aguardar o pronto do processo</t>
  </si>
  <si>
    <t>Linha criada conforme e-mail do Ten Ayres, de 11/SET/2026</t>
  </si>
  <si>
    <t>Aquisição SKID-BASE</t>
  </si>
  <si>
    <t>Aquisição material</t>
  </si>
  <si>
    <t>CNT 005/CELOG-PAMASP/2026 - PW - RG</t>
  </si>
  <si>
    <t>Aquisição de SKID-BASE</t>
  </si>
  <si>
    <t>REQ. MAPA. AP.</t>
  </si>
  <si>
    <t>Aquisição de PN Z-60 FE</t>
  </si>
  <si>
    <t>PN Z-60 FE - ARTICULATING Z BOOMS</t>
  </si>
  <si>
    <t>UEMP para atender as necessidades da TANV. Valor para atender a Requisição LST0780001UE</t>
  </si>
  <si>
    <t>C26158</t>
  </si>
  <si>
    <t>Pregão GAPLS - Aquisição de equipamentos para a Divisão Técnica</t>
  </si>
  <si>
    <t>AQUISIÇÃO DE MATERIAL PARA AS OFICINAS E SETORES ADMINISTRATIVOS DA DT</t>
  </si>
  <si>
    <t>Atender com fonte 305</t>
  </si>
  <si>
    <t>Linha filha criada para complementar o valor da linha mãe, conforme solicitação por email Ten Ayres, em 25/SET/26</t>
  </si>
  <si>
    <t>Linha criada conforme email do Cap Camacho, de 30/ABR</t>
  </si>
  <si>
    <t>C26180</t>
  </si>
  <si>
    <t>REQUISIÇÃO EMERGENCIAL</t>
  </si>
  <si>
    <t>Pedido de urgência feito pelo TCel Magno (PAMA-SP) no dia 18/AGO/26, via Whatsapp com TCel Santana</t>
  </si>
  <si>
    <t>Linha quebrada conforme e-mail do Cap Camacho, de 06/AGO/26</t>
  </si>
  <si>
    <t>C26206</t>
  </si>
  <si>
    <t>CNT 005/CELOG-PAMASP/2026 - STANDARDAERO - RG
 Revisão Geral PT6A-25C (4/5)</t>
  </si>
  <si>
    <t>email do dia 30/06</t>
  </si>
  <si>
    <t>email Cap Camacho 23 SET</t>
  </si>
  <si>
    <t>C26207</t>
  </si>
  <si>
    <t>Valor subtraido das linhas 17661 e 17663 digito C26079 conforme zimbra Ten Ayres 22/09/2026</t>
  </si>
  <si>
    <t>Valor subtraido das linhas 17660 digito C26110 conforme zimbra Ten Ayres 22/09/2026</t>
  </si>
  <si>
    <t>CFF</t>
  </si>
  <si>
    <t>INDUÇÃO</t>
  </si>
  <si>
    <t>ATENDER OUT</t>
  </si>
  <si>
    <t>Foi trocado para a linha 18501</t>
  </si>
  <si>
    <t>Atender US$ 6.720,00 e remanejar residual.</t>
  </si>
  <si>
    <t>URA</t>
  </si>
  <si>
    <t>UFT AS</t>
  </si>
  <si>
    <t>UEMP</t>
  </si>
  <si>
    <t>UFT</t>
  </si>
  <si>
    <t>ULH</t>
  </si>
  <si>
    <t>BARET</t>
  </si>
  <si>
    <t>whatsapp do dia 09/06</t>
  </si>
  <si>
    <t>Foi trocada pela linha 66040.</t>
  </si>
  <si>
    <t>email do dia 01/04</t>
  </si>
  <si>
    <t>Foi trocada pela linha 66080</t>
  </si>
  <si>
    <t>whatsapp do dia 06/04</t>
  </si>
  <si>
    <t>SOLICITAR CONTEMPLAÇÃO (Console de Oxigênio em Grande Altitude)</t>
  </si>
  <si>
    <t>email do dia 13/08</t>
  </si>
  <si>
    <t>AGD COORDENADOR</t>
  </si>
  <si>
    <t>Foi trocada pela linha 65080</t>
  </si>
  <si>
    <t>whatsapp do dia 07/04</t>
  </si>
  <si>
    <t>AGD PREGÃO</t>
  </si>
  <si>
    <t>Foi trocado pela linha 67020</t>
  </si>
  <si>
    <t>Foi trocado pela linha 67040</t>
  </si>
  <si>
    <t>ATENDER NOV</t>
  </si>
  <si>
    <t>ATENDER CABW OUT</t>
  </si>
  <si>
    <t>Foi trocado para a linha 66060</t>
  </si>
  <si>
    <t>Foi trocado para a linha 66000</t>
  </si>
  <si>
    <t>Anular o empenho e Remanejar para CABW. Foi enviado e-mail em 22/09</t>
  </si>
  <si>
    <t>Foi trocado para a linha 67060</t>
  </si>
  <si>
    <t xml:space="preserve">ATENDER </t>
  </si>
  <si>
    <t>Foi trocado pela linha 67080</t>
  </si>
  <si>
    <t>Atender SET</t>
  </si>
  <si>
    <t>Foi trocado pela linha 68000</t>
  </si>
  <si>
    <t>Atender NOV</t>
  </si>
  <si>
    <t>Foi trocado para a linha 66020</t>
  </si>
  <si>
    <t>Foi trocado para a linha 67000</t>
  </si>
  <si>
    <t>Foi trocado para a linha 68020</t>
  </si>
  <si>
    <t>Atender OUT</t>
  </si>
  <si>
    <t>email do dia 19/07</t>
  </si>
  <si>
    <t>E-mail do dia 17/08</t>
  </si>
  <si>
    <t>Atender em FEV/2027.</t>
  </si>
  <si>
    <t>MOD C-97</t>
  </si>
  <si>
    <t>MOD T-25</t>
  </si>
  <si>
    <t>Atender
Necessário apenas U$ 8.416,72 de ND30.
Restante alterar para ND39</t>
  </si>
  <si>
    <t>MOD T-27</t>
  </si>
  <si>
    <t>Remanejar R$ 2.6000.000,00 para linha 18881 e R$ 100.000,00 para a linha 19020</t>
  </si>
  <si>
    <t>ATENDER (Indução autorizada pela DIRMAB conforme e-mail 11/09)</t>
  </si>
  <si>
    <t>Atender em junho</t>
  </si>
  <si>
    <t>2024NE001610, 2024NE002042, 2024NE001873</t>
  </si>
  <si>
    <t>Atender R$ 2.6mi com saldo da linha 18760</t>
  </si>
  <si>
    <t>Quebrar e Atender R$ 5.376.888,00. Utilizar R$ 0.1mi da linha 18760, valor integral da linha 19420, 19242 e R$ 1.462.977,67 da linha 19240.</t>
  </si>
  <si>
    <t>Atender R$ 85.689,70 em FEV/2027.</t>
  </si>
  <si>
    <t>Atender em FEV/2028.</t>
  </si>
  <si>
    <t>MOD C-98</t>
  </si>
  <si>
    <t>Remanejar R$ 1.462.977,67 para a linha 19020 e ATENDER R$ 500.000,00</t>
  </si>
  <si>
    <t>Remanejar para a linha 19020</t>
  </si>
  <si>
    <t>Atender R$ 85.689,70 em FEV/2028.</t>
  </si>
  <si>
    <t>Erro na atividade ---&gt;</t>
  </si>
  <si>
    <t>Foi trocado para a linha 68040</t>
  </si>
  <si>
    <t>AGD FMS</t>
  </si>
  <si>
    <t>Foi trocado para a linha 68060</t>
  </si>
  <si>
    <t>e-mail 12/08</t>
  </si>
  <si>
    <t>ATENDER com 20XV</t>
  </si>
  <si>
    <t>ATENDER U$ 421066,40. (Indução autorizada pela DIRMAB conforme e-mail 11/09)</t>
  </si>
  <si>
    <t>Atender USD 423.528,00 para console de oxigênio (não será nessa linha)</t>
  </si>
  <si>
    <t>ATENDER SET</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</si>
</sst>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yyyy"/>
    <numFmt numFmtId="165" formatCode="[$R$ -416]#,##0.00"/>
    <numFmt numFmtId="166" formatCode="d/mmm"/>
    <numFmt numFmtId="167" formatCode="dd/mm/yyyy"/>
    <numFmt numFmtId="168" formatCode="mmm-d"/>
    <numFmt numFmtId="169" formatCode="dd/mmm"/>
    <numFmt numFmtId="170" formatCode="dd/mm"/>
    <numFmt numFmtId="171" formatCode="d-mmm"/>
    <numFmt numFmtId="172" formatCode="dd-mmm"/>
    <numFmt numFmtId="173" formatCode="mmm/d"/>
    <numFmt numFmtId="174" formatCode="d/m/yyyy"/>
    <numFmt numFmtId="175" formatCode="mmmm/d"/>
  </numFmts>
  <fonts count="41">
    <font>
      <sz val="10.0"/>
      <color rgb="FF000000"/>
      <name val="Arial"/>
      <scheme val="minor"/>
    </font>
    <font>
      <b/>
      <sz val="10.0"/>
      <color theme="1"/>
      <name val="Arial"/>
    </font>
    <font>
      <sz val="10.0"/>
      <color theme="1"/>
      <name val="Arial"/>
    </font>
    <font>
      <sz val="10.0"/>
      <color rgb="FF000000"/>
      <name val="Arial"/>
    </font>
    <font>
      <b/>
      <sz val="10.0"/>
      <color rgb="FFFFFFFF"/>
      <name val="Arial"/>
    </font>
    <font/>
    <font>
      <color theme="1"/>
      <name val="Arial"/>
      <scheme val="minor"/>
    </font>
    <font>
      <b/>
      <sz val="10.0"/>
      <color rgb="FF000000"/>
      <name val="Arial"/>
    </font>
    <font>
      <b/>
      <sz val="14.0"/>
      <color theme="1"/>
      <name val="Arial"/>
      <scheme val="minor"/>
    </font>
    <font>
      <b/>
      <color theme="1"/>
      <name val="Arial"/>
      <scheme val="minor"/>
    </font>
    <font>
      <b/>
      <color rgb="FFFF0000"/>
      <name val="Arial"/>
      <scheme val="minor"/>
    </font>
    <font>
      <color rgb="FFFF0000"/>
      <name val="Arial"/>
      <scheme val="minor"/>
    </font>
    <font>
      <color rgb="FF000000"/>
      <name val="&quot;Liberation Sans&quot;"/>
    </font>
    <font>
      <b/>
      <color rgb="FF000000"/>
      <name val="Arial"/>
    </font>
    <font>
      <color rgb="FF000000"/>
      <name val="&quot;Liberation Serif&quot;"/>
    </font>
    <font>
      <color rgb="FF000000"/>
      <name val="Arial"/>
    </font>
    <font>
      <b/>
      <sz val="27.0"/>
      <color theme="1"/>
      <name val="Arial"/>
      <scheme val="minor"/>
    </font>
    <font>
      <sz val="11.0"/>
      <color rgb="FFFFFFFF"/>
      <name val="&quot;Aptos Narrow&quot;"/>
    </font>
    <font>
      <sz val="11.0"/>
      <color rgb="FF000000"/>
      <name val="&quot;Aptos Narrow&quot;"/>
    </font>
    <font>
      <sz val="26.0"/>
      <color rgb="FFFFFFFF"/>
      <name val="&quot;Aptos Narrow&quot;"/>
    </font>
    <font>
      <b/>
      <sz val="11.0"/>
      <color rgb="FFFFFFFF"/>
      <name val="&quot;Aptos Narrow&quot;"/>
    </font>
    <font>
      <b/>
      <color theme="1"/>
      <name val="Arial"/>
    </font>
    <font>
      <b/>
      <sz val="11.0"/>
      <color rgb="FF000000"/>
      <name val="&quot;Aptos Narrow&quot;"/>
    </font>
    <font>
      <strike/>
      <sz val="11.0"/>
      <color rgb="FF000000"/>
      <name val="&quot;Aptos Narrow&quot;"/>
    </font>
    <font>
      <b/>
      <sz val="11.0"/>
      <color rgb="FF000000"/>
      <name val="Calibri"/>
    </font>
    <font>
      <sz val="11.0"/>
      <color theme="1"/>
      <name val="Arial"/>
      <scheme val="minor"/>
    </font>
    <font>
      <u/>
      <sz val="11.0"/>
      <color rgb="FF000000"/>
      <name val="Calibri"/>
    </font>
    <font>
      <sz val="11.0"/>
      <color rgb="FF000000"/>
      <name val="Calibri"/>
    </font>
    <font>
      <u/>
      <sz val="11.0"/>
      <color rgb="FF000000"/>
      <name val="Calibri"/>
    </font>
    <font>
      <u/>
      <sz val="11.0"/>
      <color rgb="FF000000"/>
      <name val="Calibri"/>
    </font>
    <font>
      <u/>
      <sz val="11.0"/>
      <color rgb="FF000000"/>
      <name val="Calibri"/>
    </font>
    <font>
      <sz val="11.0"/>
      <color rgb="FFFF0000"/>
      <name val="Calibri"/>
    </font>
    <font>
      <b/>
      <sz val="11.0"/>
      <color rgb="FFFF0000"/>
      <name val="Arial"/>
      <scheme val="minor"/>
    </font>
    <font>
      <sz val="11.0"/>
      <color rgb="FFFF0000"/>
      <name val="&quot;Aptos Narrow&quot;"/>
    </font>
    <font>
      <sz val="11.0"/>
      <color rgb="FF000000"/>
      <name val="Arial"/>
      <scheme val="minor"/>
    </font>
    <font>
      <sz val="11.0"/>
      <color rgb="FF242424"/>
      <name val="&quot;Aptos Narrow&quot;"/>
    </font>
    <font>
      <sz val="12.0"/>
      <color rgb="FF000000"/>
      <name val="&quot;Aptos Narrow&quot;"/>
    </font>
    <font>
      <b/>
      <sz val="19.0"/>
      <color theme="1"/>
      <name val="Arial"/>
      <scheme val="minor"/>
    </font>
    <font>
      <sz val="11.0"/>
      <color rgb="FF444746"/>
      <name val="&quot;Google Sans&quot;"/>
    </font>
    <font>
      <color rgb="FF444746"/>
      <name val="&quot;Google Sans&quot;"/>
    </font>
    <font>
      <sz val="12.0"/>
      <color rgb="FF000000"/>
      <name val="Arial"/>
    </font>
  </fonts>
  <fills count="22">
    <fill>
      <patternFill patternType="none"/>
    </fill>
    <fill>
      <patternFill patternType="lightGray"/>
    </fill>
    <fill>
      <patternFill patternType="solid">
        <fgColor rgb="FF45818E"/>
        <bgColor rgb="FF45818E"/>
      </patternFill>
    </fill>
    <fill>
      <patternFill patternType="solid">
        <fgColor rgb="FFE06666"/>
        <bgColor rgb="FFE06666"/>
      </patternFill>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78909C"/>
        <bgColor rgb="FF78909C"/>
      </patternFill>
    </fill>
    <fill>
      <patternFill patternType="solid">
        <fgColor rgb="FFFFF2CC"/>
        <bgColor rgb="FFFFF2CC"/>
      </patternFill>
    </fill>
    <fill>
      <patternFill patternType="solid">
        <fgColor rgb="FFD9EAD3"/>
        <bgColor rgb="FFD9EAD3"/>
      </patternFill>
    </fill>
    <fill>
      <patternFill patternType="solid">
        <fgColor rgb="FFEBEFF1"/>
        <bgColor rgb="FFEBEFF1"/>
      </patternFill>
    </fill>
    <fill>
      <patternFill patternType="solid">
        <fgColor rgb="FFBBC8CE"/>
        <bgColor rgb="FFBBC8CE"/>
      </patternFill>
    </fill>
    <fill>
      <patternFill patternType="solid">
        <fgColor rgb="FFE8E8E8"/>
        <bgColor rgb="FFE8E8E8"/>
      </patternFill>
    </fill>
    <fill>
      <patternFill patternType="solid">
        <fgColor rgb="FF002060"/>
        <bgColor rgb="FF002060"/>
      </patternFill>
    </fill>
    <fill>
      <patternFill patternType="solid">
        <fgColor rgb="FF262626"/>
        <bgColor rgb="FF262626"/>
      </patternFill>
    </fill>
    <fill>
      <patternFill patternType="solid">
        <fgColor rgb="FF92D050"/>
        <bgColor rgb="FF92D050"/>
      </patternFill>
    </fill>
    <fill>
      <patternFill patternType="solid">
        <fgColor rgb="FF0070C0"/>
        <bgColor rgb="FF0070C0"/>
      </patternFill>
    </fill>
    <fill>
      <patternFill patternType="solid">
        <fgColor rgb="FFBFBFBF"/>
        <bgColor rgb="FFBFBFBF"/>
      </patternFill>
    </fill>
    <fill>
      <patternFill patternType="solid">
        <fgColor rgb="FFFFC000"/>
        <bgColor rgb="FFFFC000"/>
      </patternFill>
    </fill>
    <fill>
      <patternFill patternType="solid">
        <fgColor rgb="FFFF0000"/>
        <bgColor rgb="FFFF0000"/>
      </patternFill>
    </fill>
    <fill>
      <patternFill patternType="solid">
        <fgColor rgb="FF7030A0"/>
        <bgColor rgb="FF7030A0"/>
      </patternFill>
    </fill>
    <fill>
      <patternFill patternType="solid">
        <fgColor theme="0"/>
        <bgColor theme="0"/>
      </patternFill>
    </fill>
  </fills>
  <borders count="47">
    <border/>
    <border>
      <left style="dotted">
        <color rgb="FF000000"/>
      </left>
      <right style="dotted">
        <color rgb="FF000000"/>
      </right>
      <top style="thick">
        <color rgb="FF000000"/>
      </top>
      <bottom style="dotted">
        <color rgb="FF000000"/>
      </bottom>
    </border>
    <border>
      <left style="thick">
        <color rgb="FF000000"/>
      </left>
      <top style="thick">
        <color rgb="FF000000"/>
      </top>
      <bottom style="dotted">
        <color rgb="FF000000"/>
      </bottom>
    </border>
    <border>
      <right style="thick">
        <color rgb="FF000000"/>
      </right>
      <top style="thick">
        <color rgb="FF000000"/>
      </top>
      <bottom style="dotted">
        <color rgb="FF000000"/>
      </bottom>
    </border>
    <border>
      <right style="dotted">
        <color rgb="FF000000"/>
      </right>
      <top style="thick">
        <color rgb="FF000000"/>
      </top>
      <bottom style="dotted">
        <color rgb="FF000000"/>
      </bottom>
    </border>
    <border>
      <left style="dotted">
        <color rgb="FF000000"/>
      </left>
      <top style="thick">
        <color rgb="FF000000"/>
      </top>
      <bottom style="dotted">
        <color rgb="FF000000"/>
      </bottom>
    </border>
    <border>
      <left style="dotted">
        <color rgb="FF000000"/>
      </left>
      <right style="thick">
        <color rgb="FF000000"/>
      </right>
      <top style="thick">
        <color rgb="FF000000"/>
      </top>
      <bottom style="dotted">
        <color rgb="FF000000"/>
      </bottom>
    </border>
    <border>
      <left style="double">
        <color rgb="FF000000"/>
      </left>
      <right style="double">
        <color rgb="FF000000"/>
      </right>
      <top style="double">
        <color rgb="FF000000"/>
      </top>
      <bottom style="double">
        <color rgb="FF000000"/>
      </bottom>
    </border>
    <border>
      <left style="dotted">
        <color rgb="FF000000"/>
      </left>
      <right style="dotted">
        <color rgb="FF000000"/>
      </right>
      <top style="dotted">
        <color rgb="FF000000"/>
      </top>
      <bottom style="thick">
        <color rgb="FF000000"/>
      </bottom>
    </border>
    <border>
      <left style="thick">
        <color rgb="FF000000"/>
      </left>
      <right style="dotted">
        <color rgb="FF000000"/>
      </right>
      <top style="dotted">
        <color rgb="FF000000"/>
      </top>
      <bottom style="thick">
        <color rgb="FF000000"/>
      </bottom>
    </border>
    <border>
      <left style="dotted">
        <color rgb="FF000000"/>
      </left>
      <right style="thick">
        <color rgb="FF000000"/>
      </right>
      <top style="dotted">
        <color rgb="FF000000"/>
      </top>
      <bottom style="thick">
        <color rgb="FF000000"/>
      </bottom>
    </border>
    <border>
      <right style="dotted">
        <color rgb="FF000000"/>
      </right>
      <top style="dotted">
        <color rgb="FF000000"/>
      </top>
      <bottom style="thick">
        <color rgb="FF000000"/>
      </bottom>
    </border>
    <border>
      <left style="dotted">
        <color rgb="FF000000"/>
      </left>
      <top style="dotted">
        <color rgb="FF000000"/>
      </top>
      <bottom style="thick">
        <color rgb="FF000000"/>
      </bottom>
    </border>
    <border>
      <left style="dotted">
        <color rgb="FF000000"/>
      </left>
      <right style="dotted">
        <color rgb="FF000000"/>
      </right>
      <bottom style="dotted">
        <color rgb="FF000000"/>
      </bottom>
    </border>
    <border>
      <left style="thick">
        <color rgb="FF000000"/>
      </left>
      <right style="dotted">
        <color rgb="FF000000"/>
      </right>
      <bottom style="dotted">
        <color rgb="FF000000"/>
      </bottom>
    </border>
    <border>
      <left style="dotted">
        <color rgb="FF000000"/>
      </left>
      <bottom style="dotted">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left style="dotted">
        <color rgb="FF000000"/>
      </left>
      <right style="thick">
        <color rgb="FF000000"/>
      </right>
      <bottom style="dotted">
        <color rgb="FF000000"/>
      </bottom>
    </border>
    <border>
      <left style="thick">
        <color rgb="FF000000"/>
      </left>
      <right style="thick">
        <color rgb="FF000000"/>
      </right>
      <bottom style="thick">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156082"/>
      </bottom>
    </border>
    <border>
      <top style="thin">
        <color rgb="FF156082"/>
      </top>
      <bottom style="thin">
        <color rgb="FF156082"/>
      </bottom>
    </border>
  </borders>
  <cellStyleXfs count="1">
    <xf borderId="0" fillId="0" fontId="0" numFmtId="0" applyAlignment="1" applyFont="1"/>
  </cellStyleXfs>
  <cellXfs count="44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ill="1" applyFont="1">
      <alignment horizontal="center" shrinkToFit="0" vertical="center" wrapText="1"/>
    </xf>
    <xf borderId="1" fillId="2" fontId="3" numFmtId="4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shrinkToFit="0" vertical="center" wrapText="1"/>
    </xf>
    <xf borderId="2" fillId="3" fontId="4" numFmtId="0" xfId="0" applyAlignment="1" applyBorder="1" applyFill="1" applyFont="1">
      <alignment horizontal="center" shrinkToFit="0" vertical="center" wrapText="1"/>
    </xf>
    <xf borderId="3" fillId="4" fontId="5" numFmtId="0" xfId="0" applyBorder="1" applyFill="1" applyFont="1"/>
    <xf borderId="4" fillId="2" fontId="2" numFmtId="0" xfId="0" applyAlignment="1" applyBorder="1" applyFill="1" applyFont="1">
      <alignment horizontal="center" shrinkToFit="0" vertical="center" wrapText="1"/>
    </xf>
    <xf borderId="1" fillId="2" fontId="2" numFmtId="165" xfId="0" applyAlignment="1" applyBorder="1" applyFill="1" applyFont="1" applyNumberFormat="1">
      <alignment horizontal="center" shrinkToFit="0" vertical="center" wrapText="1"/>
    </xf>
    <xf borderId="1" fillId="2" fontId="2" numFmtId="49" xfId="0" applyAlignment="1" applyBorder="1" applyFill="1" applyFont="1" applyNumberFormat="1">
      <alignment horizontal="center" shrinkToFit="0" vertical="center" wrapText="1"/>
    </xf>
    <xf borderId="5" fillId="2" fontId="2" numFmtId="0" xfId="0" applyAlignment="1" applyBorder="1" applyFill="1" applyFont="1">
      <alignment horizontal="center" shrinkToFit="0" vertical="center" wrapText="1"/>
    </xf>
    <xf borderId="6" fillId="2" fontId="2" numFmtId="0" xfId="0" applyAlignment="1" applyBorder="1" applyFill="1" applyFont="1">
      <alignment horizontal="center" shrinkToFit="0" vertical="center" wrapText="1"/>
    </xf>
    <xf borderId="0" fillId="4" fontId="2" numFmtId="0" xfId="0" applyAlignment="1" applyFill="1" applyFont="1">
      <alignment horizontal="center" shrinkToFit="0" vertical="center" wrapText="1"/>
    </xf>
    <xf borderId="7" fillId="0" fontId="6" numFmtId="0" xfId="0" applyBorder="1" applyFont="1"/>
    <xf borderId="7" fillId="0" fontId="6" numFmtId="0" xfId="0" applyAlignment="1" applyBorder="1" applyFont="1">
      <alignment readingOrder="0"/>
    </xf>
    <xf borderId="7" fillId="0" fontId="6" numFmtId="165" xfId="0" applyAlignment="1" applyBorder="1" applyFont="1" applyNumberFormat="1">
      <alignment readingOrder="0"/>
    </xf>
    <xf borderId="8" fillId="2" fontId="1" numFmtId="0" xfId="0" applyAlignment="1" applyBorder="1" applyFill="1" applyFont="1">
      <alignment horizontal="center" readingOrder="0" shrinkToFit="0" vertical="center" wrapText="1"/>
    </xf>
    <xf borderId="8" fillId="2" fontId="2" numFmtId="0" xfId="0" applyAlignment="1" applyBorder="1" applyFill="1" applyFont="1">
      <alignment horizontal="center" shrinkToFit="0" vertical="center" wrapText="1"/>
    </xf>
    <xf borderId="8" fillId="2" fontId="3" numFmtId="49" xfId="0" applyAlignment="1" applyBorder="1" applyFill="1" applyFont="1" applyNumberFormat="1">
      <alignment horizontal="center" readingOrder="0" shrinkToFit="0" vertical="center" wrapText="1"/>
    </xf>
    <xf borderId="8" fillId="2" fontId="3" numFmtId="49" xfId="0" applyAlignment="1" applyBorder="1" applyFill="1" applyFont="1" applyNumberFormat="1">
      <alignment horizontal="center" shrinkToFit="0" vertical="center" wrapText="1"/>
    </xf>
    <xf borderId="8" fillId="2" fontId="2" numFmtId="164" xfId="0" applyAlignment="1" applyBorder="1" applyFill="1" applyFont="1" applyNumberFormat="1">
      <alignment horizontal="center" shrinkToFit="0" vertical="center" wrapText="1"/>
    </xf>
    <xf borderId="9" fillId="3" fontId="4" numFmtId="0" xfId="0" applyAlignment="1" applyBorder="1" applyFill="1" applyFont="1">
      <alignment horizontal="center" shrinkToFit="0" vertical="center" wrapText="1"/>
    </xf>
    <xf borderId="10" fillId="3" fontId="4" numFmtId="0" xfId="0" applyAlignment="1" applyBorder="1" applyFill="1" applyFont="1">
      <alignment horizontal="center" shrinkToFit="0" vertical="center" wrapText="1"/>
    </xf>
    <xf borderId="11" fillId="2" fontId="2" numFmtId="0" xfId="0" applyAlignment="1" applyBorder="1" applyFill="1" applyFont="1">
      <alignment horizontal="center" shrinkToFit="0" vertical="center" wrapText="1"/>
    </xf>
    <xf borderId="8" fillId="2" fontId="2" numFmtId="165" xfId="0" applyAlignment="1" applyBorder="1" applyFill="1" applyFont="1" applyNumberFormat="1">
      <alignment horizontal="center" readingOrder="0" shrinkToFit="0" vertical="center" wrapText="1"/>
    </xf>
    <xf borderId="8" fillId="2" fontId="2" numFmtId="0" xfId="0" applyAlignment="1" applyBorder="1" applyFill="1" applyFont="1">
      <alignment horizontal="center" readingOrder="0" shrinkToFit="0" vertical="center" wrapText="1"/>
    </xf>
    <xf borderId="8" fillId="2" fontId="2" numFmtId="49" xfId="0" applyAlignment="1" applyBorder="1" applyFill="1" applyFont="1" applyNumberFormat="1">
      <alignment horizontal="center" shrinkToFit="0" vertical="center" wrapText="1"/>
    </xf>
    <xf borderId="12" fillId="2" fontId="2" numFmtId="0" xfId="0" applyAlignment="1" applyBorder="1" applyFill="1" applyFont="1">
      <alignment horizontal="center" readingOrder="0" shrinkToFit="0" vertical="center" wrapText="1"/>
    </xf>
    <xf borderId="10" fillId="2" fontId="2" numFmtId="0" xfId="0" applyAlignment="1" applyBorder="1" applyFill="1" applyFont="1">
      <alignment horizontal="center" shrinkToFit="0" vertical="center" wrapText="1"/>
    </xf>
    <xf borderId="0" fillId="5" fontId="2" numFmtId="0" xfId="0" applyAlignment="1" applyFill="1" applyFont="1">
      <alignment horizontal="center" shrinkToFit="0" vertical="center" wrapText="1"/>
    </xf>
    <xf borderId="7" fillId="0" fontId="6" numFmtId="165" xfId="0" applyAlignment="1" applyBorder="1" applyFont="1" applyNumberFormat="1">
      <alignment horizontal="right" readingOrder="0"/>
    </xf>
    <xf borderId="13" fillId="4" fontId="1" numFmtId="0" xfId="0" applyAlignment="1" applyBorder="1" applyFill="1" applyFont="1">
      <alignment horizontal="center" readingOrder="0" shrinkToFit="0" vertical="center" wrapText="1"/>
    </xf>
    <xf borderId="13" fillId="4" fontId="2" numFmtId="0" xfId="0" applyAlignment="1" applyBorder="1" applyFill="1" applyFont="1">
      <alignment horizontal="center" shrinkToFit="0" vertical="center" wrapText="1"/>
    </xf>
    <xf borderId="0" fillId="4" fontId="7" numFmtId="49" xfId="0" applyAlignment="1" applyFill="1" applyFont="1" applyNumberFormat="1">
      <alignment horizontal="center" shrinkToFit="0" vertical="center" wrapText="1"/>
    </xf>
    <xf borderId="13" fillId="4" fontId="7" numFmtId="49" xfId="0" applyAlignment="1" applyBorder="1" applyFill="1" applyFont="1" applyNumberFormat="1">
      <alignment horizontal="center" shrinkToFit="0" vertical="center" wrapText="1"/>
    </xf>
    <xf borderId="13" fillId="4" fontId="2" numFmtId="166" xfId="0" applyAlignment="1" applyBorder="1" applyFill="1" applyFont="1" applyNumberFormat="1">
      <alignment horizontal="center" shrinkToFit="0" vertical="center" wrapText="1"/>
    </xf>
    <xf borderId="13" fillId="4" fontId="2" numFmtId="167" xfId="0" applyAlignment="1" applyBorder="1" applyFill="1" applyFont="1" applyNumberFormat="1">
      <alignment horizontal="center" readingOrder="0" shrinkToFit="0" vertical="center" wrapText="1"/>
    </xf>
    <xf borderId="13" fillId="4" fontId="2" numFmtId="0" xfId="0" applyAlignment="1" applyBorder="1" applyFill="1" applyFont="1">
      <alignment horizontal="center" shrinkToFit="0" vertical="center" wrapText="1"/>
    </xf>
    <xf borderId="13" fillId="4" fontId="2" numFmtId="0" xfId="0" applyAlignment="1" applyBorder="1" applyFill="1" applyFont="1">
      <alignment horizontal="center" readingOrder="0" shrinkToFit="0" vertical="center" wrapText="1"/>
    </xf>
    <xf borderId="14" fillId="4" fontId="1" numFmtId="0" xfId="0" applyAlignment="1" applyBorder="1" applyFill="1" applyFont="1">
      <alignment horizontal="center" readingOrder="0" shrinkToFit="0" vertical="center" wrapText="1"/>
    </xf>
    <xf borderId="15" fillId="4" fontId="2" numFmtId="0" xfId="0" applyAlignment="1" applyBorder="1" applyFill="1" applyFont="1">
      <alignment horizontal="center" readingOrder="0" shrinkToFit="0" vertical="center" wrapText="1"/>
    </xf>
    <xf borderId="13" fillId="4" fontId="2" numFmtId="4" xfId="0" applyAlignment="1" applyBorder="1" applyFill="1" applyFont="1" applyNumberFormat="1">
      <alignment horizontal="center" shrinkToFit="0" vertical="center" wrapText="1"/>
    </xf>
    <xf borderId="16" fillId="0" fontId="8" numFmtId="165" xfId="0" applyAlignment="1" applyBorder="1" applyFont="1" applyNumberFormat="1">
      <alignment horizontal="center" readingOrder="0" shrinkToFit="0" vertical="center" wrapText="1"/>
    </xf>
    <xf borderId="17" fillId="0" fontId="5" numFmtId="0" xfId="0" applyBorder="1" applyFont="1"/>
    <xf borderId="18" fillId="0" fontId="5" numFmtId="0" xfId="0" applyBorder="1" applyFont="1"/>
    <xf borderId="0" fillId="0" fontId="6" numFmtId="0" xfId="0" applyAlignment="1" applyFont="1">
      <alignment shrinkToFit="0" vertical="center" wrapText="1"/>
    </xf>
    <xf borderId="0" fillId="0" fontId="6" numFmtId="49" xfId="0" applyAlignment="1" applyFont="1" applyNumberFormat="1">
      <alignment shrinkToFit="0" vertical="center" wrapText="1"/>
    </xf>
    <xf borderId="19" fillId="0" fontId="6" numFmtId="165" xfId="0" applyAlignment="1" applyBorder="1" applyFont="1" applyNumberFormat="1">
      <alignment shrinkToFit="0" vertical="center" wrapText="1"/>
    </xf>
    <xf borderId="0" fillId="0" fontId="9" numFmtId="165" xfId="0" applyAlignment="1" applyFont="1" applyNumberFormat="1">
      <alignment readingOrder="0" shrinkToFit="0" vertical="center" wrapText="1"/>
    </xf>
    <xf borderId="20" fillId="0" fontId="9" numFmtId="165" xfId="0" applyAlignment="1" applyBorder="1" applyFont="1" applyNumberFormat="1">
      <alignment readingOrder="0" shrinkToFit="0" vertical="center" wrapText="1"/>
    </xf>
    <xf borderId="19" fillId="0" fontId="9" numFmtId="165" xfId="0" applyAlignment="1" applyBorder="1" applyFont="1" applyNumberFormat="1">
      <alignment readingOrder="0" shrinkToFit="0" vertical="center" wrapText="1"/>
    </xf>
    <xf borderId="0" fillId="0" fontId="6" numFmtId="165" xfId="0" applyAlignment="1" applyFont="1" applyNumberFormat="1">
      <alignment shrinkToFit="0" vertical="center" wrapText="1"/>
    </xf>
    <xf borderId="20" fillId="0" fontId="6" numFmtId="165" xfId="0" applyAlignment="1" applyBorder="1" applyFont="1" applyNumberFormat="1">
      <alignment shrinkToFit="0" vertical="center" wrapText="1"/>
    </xf>
    <xf borderId="21" fillId="0" fontId="9" numFmtId="165" xfId="0" applyAlignment="1" applyBorder="1" applyFont="1" applyNumberFormat="1">
      <alignment readingOrder="0" shrinkToFit="0" vertical="center" wrapText="1"/>
    </xf>
    <xf borderId="22" fillId="0" fontId="6" numFmtId="165" xfId="0" applyAlignment="1" applyBorder="1" applyFont="1" applyNumberFormat="1">
      <alignment shrinkToFit="0" vertical="center" wrapText="1"/>
    </xf>
    <xf borderId="23" fillId="0" fontId="6" numFmtId="165" xfId="0" applyAlignment="1" applyBorder="1" applyFont="1" applyNumberFormat="1">
      <alignment shrinkToFit="0" vertical="center" wrapText="1"/>
    </xf>
    <xf borderId="24" fillId="0" fontId="9" numFmtId="165" xfId="0" applyAlignment="1" applyBorder="1" applyFont="1" applyNumberFormat="1">
      <alignment horizontal="center" readingOrder="0" shrinkToFit="0" vertical="center" wrapText="1"/>
    </xf>
    <xf borderId="25" fillId="0" fontId="9" numFmtId="165" xfId="0" applyAlignment="1" applyBorder="1" applyFont="1" applyNumberFormat="1">
      <alignment horizontal="center" readingOrder="0" shrinkToFit="0" vertical="center" wrapText="1"/>
    </xf>
    <xf borderId="26" fillId="0" fontId="9" numFmtId="165" xfId="0" applyAlignment="1" applyBorder="1" applyFont="1" applyNumberFormat="1">
      <alignment horizontal="center" readingOrder="0" shrinkToFit="0" vertical="center" wrapText="1"/>
    </xf>
    <xf borderId="13" fillId="4" fontId="2" numFmtId="165" xfId="0" applyAlignment="1" applyBorder="1" applyFill="1" applyFont="1" applyNumberFormat="1">
      <alignment horizontal="center" shrinkToFit="0" vertical="center" wrapText="1"/>
    </xf>
    <xf borderId="27" fillId="0" fontId="9" numFmtId="165" xfId="0" applyAlignment="1" applyBorder="1" applyFont="1" applyNumberFormat="1">
      <alignment horizontal="center" readingOrder="0" shrinkToFit="0" vertical="center" wrapText="1"/>
    </xf>
    <xf borderId="0" fillId="0" fontId="6" numFmtId="0" xfId="0" applyAlignment="1" applyFont="1">
      <alignment horizontal="center" shrinkToFit="0" vertical="center" wrapText="1"/>
    </xf>
    <xf borderId="27" fillId="0" fontId="10" numFmtId="0" xfId="0" applyAlignment="1" applyBorder="1" applyFont="1">
      <alignment horizontal="center" readingOrder="0" shrinkToFit="0" vertical="center" wrapText="1"/>
    </xf>
    <xf borderId="27" fillId="0" fontId="10" numFmtId="49" xfId="0" applyAlignment="1" applyBorder="1" applyFont="1" applyNumberFormat="1">
      <alignment horizontal="center" readingOrder="0" shrinkToFit="0" vertical="center" wrapText="1"/>
    </xf>
    <xf borderId="16" fillId="0" fontId="9" numFmtId="165" xfId="0" applyAlignment="1" applyBorder="1" applyFont="1" applyNumberFormat="1">
      <alignment readingOrder="0" shrinkToFit="0" vertical="center" wrapText="1"/>
    </xf>
    <xf borderId="17" fillId="0" fontId="6" numFmtId="165" xfId="0" applyAlignment="1" applyBorder="1" applyFont="1" applyNumberFormat="1">
      <alignment readingOrder="0" shrinkToFit="0" vertical="center" wrapText="1"/>
    </xf>
    <xf borderId="17" fillId="6" fontId="6" numFmtId="165" xfId="0" applyAlignment="1" applyBorder="1" applyFill="1" applyFont="1" applyNumberFormat="1">
      <alignment shrinkToFit="0" vertical="center" wrapText="1"/>
    </xf>
    <xf borderId="13" fillId="4" fontId="2" numFmtId="49" xfId="0" applyAlignment="1" applyBorder="1" applyFill="1" applyFont="1" applyNumberFormat="1">
      <alignment horizontal="center" shrinkToFit="0" vertical="center" wrapText="1"/>
    </xf>
    <xf borderId="17" fillId="0" fontId="6" numFmtId="165" xfId="0" applyAlignment="1" applyBorder="1" applyFont="1" applyNumberFormat="1">
      <alignment shrinkToFit="0" vertical="center" wrapText="1"/>
    </xf>
    <xf borderId="18" fillId="0" fontId="6" numFmtId="165" xfId="0" applyAlignment="1" applyBorder="1" applyFont="1" applyNumberFormat="1">
      <alignment shrinkToFit="0" vertical="center" wrapText="1"/>
    </xf>
    <xf borderId="28" fillId="0" fontId="6" numFmtId="165" xfId="0" applyAlignment="1" applyBorder="1" applyFont="1" applyNumberFormat="1">
      <alignment shrinkToFit="0" vertical="center" wrapText="1"/>
    </xf>
    <xf borderId="27" fillId="0" fontId="6" numFmtId="0" xfId="0" applyAlignment="1" applyBorder="1" applyFont="1">
      <alignment shrinkToFit="0" vertical="center" wrapText="1"/>
    </xf>
    <xf borderId="15" fillId="4" fontId="2" numFmtId="0" xfId="0" applyAlignment="1" applyBorder="1" applyFill="1" applyFont="1">
      <alignment horizontal="center" shrinkToFit="0" vertical="center" wrapText="1"/>
    </xf>
    <xf borderId="27" fillId="0" fontId="6" numFmtId="49" xfId="0" applyAlignment="1" applyBorder="1" applyFont="1" applyNumberFormat="1">
      <alignment shrinkToFit="0" vertical="center" wrapText="1"/>
    </xf>
    <xf borderId="19" fillId="0" fontId="5" numFmtId="0" xfId="0" applyBorder="1" applyFont="1"/>
    <xf borderId="0" fillId="0" fontId="6" numFmtId="165" xfId="0" applyAlignment="1" applyFont="1" applyNumberFormat="1">
      <alignment readingOrder="0" shrinkToFit="0" vertical="center" wrapText="1"/>
    </xf>
    <xf borderId="0" fillId="6" fontId="6" numFmtId="165" xfId="0" applyAlignment="1" applyFill="1" applyFont="1" applyNumberFormat="1">
      <alignment shrinkToFit="0" vertical="center" wrapText="1"/>
    </xf>
    <xf borderId="29" fillId="0" fontId="5" numFmtId="0" xfId="0" applyBorder="1" applyFont="1"/>
    <xf borderId="27" fillId="0" fontId="6" numFmtId="0" xfId="0" applyAlignment="1" applyBorder="1" applyFont="1">
      <alignment readingOrder="0" shrinkToFit="0" vertical="center" wrapText="1"/>
    </xf>
    <xf borderId="21" fillId="0" fontId="5" numFmtId="0" xfId="0" applyBorder="1" applyFont="1"/>
    <xf borderId="22" fillId="0" fontId="6" numFmtId="165" xfId="0" applyAlignment="1" applyBorder="1" applyFont="1" applyNumberFormat="1">
      <alignment readingOrder="0" shrinkToFit="0" vertical="center" wrapText="1"/>
    </xf>
    <xf borderId="30" fillId="4" fontId="2" numFmtId="168" xfId="0" applyAlignment="1" applyBorder="1" applyFill="1" applyFont="1" applyNumberFormat="1">
      <alignment horizontal="center" shrinkToFit="0" vertical="center" wrapText="1"/>
    </xf>
    <xf borderId="22" fillId="6" fontId="6" numFmtId="165" xfId="0" applyAlignment="1" applyBorder="1" applyFill="1" applyFont="1" applyNumberFormat="1">
      <alignment shrinkToFit="0" vertical="center" wrapText="1"/>
    </xf>
    <xf borderId="31" fillId="0" fontId="5" numFmtId="0" xfId="0" applyBorder="1" applyFont="1"/>
    <xf borderId="0" fillId="0" fontId="6" numFmtId="0" xfId="0" applyAlignment="1" applyFont="1">
      <alignment readingOrder="0" shrinkToFit="0" vertical="center" wrapText="1"/>
    </xf>
    <xf borderId="27" fillId="0" fontId="6" numFmtId="165" xfId="0" applyAlignment="1" applyBorder="1" applyFont="1" applyNumberFormat="1">
      <alignment readingOrder="0" shrinkToFit="0" vertical="center" wrapText="1"/>
    </xf>
    <xf borderId="27" fillId="0" fontId="6" numFmtId="49" xfId="0" applyAlignment="1" applyBorder="1" applyFont="1" applyNumberFormat="1">
      <alignment readingOrder="0" shrinkToFit="0" vertical="center" wrapText="1"/>
    </xf>
    <xf borderId="17" fillId="6" fontId="6" numFmtId="165" xfId="0" applyAlignment="1" applyBorder="1" applyFill="1" applyFont="1" applyNumberFormat="1">
      <alignment readingOrder="0" shrinkToFit="0" vertical="center" wrapText="1"/>
    </xf>
    <xf borderId="13" fillId="5" fontId="1" numFmtId="0" xfId="0" applyAlignment="1" applyBorder="1" applyFill="1" applyFont="1">
      <alignment horizontal="center" readingOrder="0" shrinkToFit="0" vertical="center" wrapText="1"/>
    </xf>
    <xf borderId="17" fillId="0" fontId="11" numFmtId="165" xfId="0" applyAlignment="1" applyBorder="1" applyFont="1" applyNumberFormat="1">
      <alignment shrinkToFit="0" vertical="center" wrapText="1"/>
    </xf>
    <xf borderId="13" fillId="5" fontId="2" numFmtId="0" xfId="0" applyAlignment="1" applyBorder="1" applyFill="1" applyFont="1">
      <alignment horizontal="center" readingOrder="0" shrinkToFit="0" vertical="center" wrapText="1"/>
    </xf>
    <xf borderId="27" fillId="0" fontId="10" numFmtId="165" xfId="0" applyAlignment="1" applyBorder="1" applyFont="1" applyNumberFormat="1">
      <alignment readingOrder="0" shrinkToFit="0" vertical="center" wrapText="1"/>
    </xf>
    <xf borderId="0" fillId="5" fontId="7" numFmtId="49" xfId="0" applyAlignment="1" applyFill="1" applyFont="1" applyNumberFormat="1">
      <alignment horizontal="center" shrinkToFit="0" vertical="center" wrapText="1"/>
    </xf>
    <xf borderId="0" fillId="6" fontId="6" numFmtId="165" xfId="0" applyAlignment="1" applyFill="1" applyFont="1" applyNumberFormat="1">
      <alignment readingOrder="0" shrinkToFit="0" vertical="center" wrapText="1"/>
    </xf>
    <xf borderId="0" fillId="0" fontId="11" numFmtId="165" xfId="0" applyAlignment="1" applyFont="1" applyNumberFormat="1">
      <alignment shrinkToFit="0" vertical="center" wrapText="1"/>
    </xf>
    <xf borderId="13" fillId="5" fontId="7" numFmtId="49" xfId="0" applyAlignment="1" applyBorder="1" applyFill="1" applyFont="1" applyNumberFormat="1">
      <alignment horizontal="center" shrinkToFit="0" vertical="center" wrapText="1"/>
    </xf>
    <xf borderId="22" fillId="6" fontId="6" numFmtId="165" xfId="0" applyAlignment="1" applyBorder="1" applyFill="1" applyFont="1" applyNumberFormat="1">
      <alignment readingOrder="0" shrinkToFit="0" vertical="center" wrapText="1"/>
    </xf>
    <xf borderId="22" fillId="0" fontId="11" numFmtId="165" xfId="0" applyAlignment="1" applyBorder="1" applyFont="1" applyNumberFormat="1">
      <alignment shrinkToFit="0" vertical="center" wrapText="1"/>
    </xf>
    <xf borderId="13" fillId="5" fontId="2" numFmtId="0" xfId="0" applyAlignment="1" applyBorder="1" applyFill="1" applyFont="1">
      <alignment horizontal="center" shrinkToFit="0" vertical="center" wrapText="1"/>
    </xf>
    <xf borderId="13" fillId="5" fontId="2" numFmtId="166" xfId="0" applyAlignment="1" applyBorder="1" applyFill="1" applyFont="1" applyNumberFormat="1">
      <alignment horizontal="center" shrinkToFit="0" vertical="center" wrapText="1"/>
    </xf>
    <xf borderId="13" fillId="5" fontId="2" numFmtId="167" xfId="0" applyAlignment="1" applyBorder="1" applyFill="1" applyFont="1" applyNumberFormat="1">
      <alignment horizontal="center" readingOrder="0" shrinkToFit="0" vertical="center" wrapText="1"/>
    </xf>
    <xf borderId="13" fillId="5" fontId="2" numFmtId="0" xfId="0" applyAlignment="1" applyBorder="1" applyFill="1" applyFont="1">
      <alignment horizontal="center" shrinkToFit="0" vertical="center" wrapText="1"/>
    </xf>
    <xf borderId="14" fillId="5" fontId="1" numFmtId="0" xfId="0" applyAlignment="1" applyBorder="1" applyFill="1" applyFont="1">
      <alignment horizontal="center" readingOrder="0" shrinkToFit="0" vertical="center" wrapText="1"/>
    </xf>
    <xf borderId="15" fillId="5" fontId="2" numFmtId="0" xfId="0" applyAlignment="1" applyBorder="1" applyFill="1" applyFont="1">
      <alignment horizontal="center" readingOrder="0" shrinkToFit="0" vertical="center" wrapText="1"/>
    </xf>
    <xf borderId="13" fillId="5" fontId="2" numFmtId="165" xfId="0" applyAlignment="1" applyBorder="1" applyFill="1" applyFont="1" applyNumberFormat="1">
      <alignment horizontal="center" shrinkToFit="0" vertical="center" wrapText="1"/>
    </xf>
    <xf borderId="13" fillId="5" fontId="2" numFmtId="49" xfId="0" applyAlignment="1" applyBorder="1" applyFill="1" applyFont="1" applyNumberFormat="1">
      <alignment horizontal="center" shrinkToFit="0" vertical="center" wrapText="1"/>
    </xf>
    <xf borderId="27" fillId="0" fontId="6" numFmtId="165" xfId="0" applyAlignment="1" applyBorder="1" applyFont="1" applyNumberFormat="1">
      <alignment shrinkToFit="0" vertical="center" wrapText="1"/>
    </xf>
    <xf borderId="15" fillId="5" fontId="2" numFmtId="0" xfId="0" applyAlignment="1" applyBorder="1" applyFill="1" applyFont="1">
      <alignment horizontal="center" shrinkToFit="0" vertical="center" wrapText="1"/>
    </xf>
    <xf borderId="22" fillId="0" fontId="6" numFmtId="0" xfId="0" applyAlignment="1" applyBorder="1" applyFont="1">
      <alignment readingOrder="0" shrinkToFit="0" vertical="center" wrapText="1"/>
    </xf>
    <xf borderId="30" fillId="5" fontId="2" numFmtId="168" xfId="0" applyAlignment="1" applyBorder="1" applyFill="1" applyFont="1" applyNumberFormat="1">
      <alignment horizontal="center" shrinkToFit="0" vertical="center" wrapText="1"/>
    </xf>
    <xf borderId="24" fillId="0" fontId="6" numFmtId="0" xfId="0" applyAlignment="1" applyBorder="1" applyFont="1">
      <alignment readingOrder="0" shrinkToFit="0" vertical="center" wrapText="1"/>
    </xf>
    <xf borderId="25" fillId="0" fontId="6" numFmtId="0" xfId="0" applyAlignment="1" applyBorder="1" applyFont="1">
      <alignment readingOrder="0" shrinkToFit="0" vertical="center" wrapText="1"/>
    </xf>
    <xf borderId="25" fillId="0" fontId="6" numFmtId="165" xfId="0" applyAlignment="1" applyBorder="1" applyFont="1" applyNumberFormat="1">
      <alignment readingOrder="0" shrinkToFit="0" vertical="center" wrapText="1"/>
    </xf>
    <xf borderId="25" fillId="6" fontId="6" numFmtId="165" xfId="0" applyAlignment="1" applyBorder="1" applyFill="1" applyFont="1" applyNumberFormat="1">
      <alignment readingOrder="0" shrinkToFit="0" vertical="center" wrapText="1"/>
    </xf>
    <xf borderId="25" fillId="6" fontId="6" numFmtId="165" xfId="0" applyAlignment="1" applyBorder="1" applyFill="1" applyFont="1" applyNumberFormat="1">
      <alignment shrinkToFit="0" vertical="center" wrapText="1"/>
    </xf>
    <xf borderId="25" fillId="0" fontId="11" numFmtId="165" xfId="0" applyAlignment="1" applyBorder="1" applyFont="1" applyNumberFormat="1">
      <alignment shrinkToFit="0" vertical="center" wrapText="1"/>
    </xf>
    <xf borderId="26" fillId="0" fontId="6" numFmtId="165" xfId="0" applyAlignment="1" applyBorder="1" applyFont="1" applyNumberFormat="1">
      <alignment shrinkToFit="0" vertical="center" wrapText="1"/>
    </xf>
    <xf borderId="16" fillId="0" fontId="6" numFmtId="0" xfId="0" applyAlignment="1" applyBorder="1" applyFont="1">
      <alignment readingOrder="0" shrinkToFit="0" vertical="center" wrapText="1"/>
    </xf>
    <xf borderId="17" fillId="0" fontId="6" numFmtId="0" xfId="0" applyAlignment="1" applyBorder="1" applyFont="1">
      <alignment readingOrder="0" shrinkToFit="0" vertical="center" wrapText="1"/>
    </xf>
    <xf borderId="0" fillId="7" fontId="9" numFmtId="0" xfId="0" applyAlignment="1" applyFill="1" applyFont="1">
      <alignment readingOrder="0"/>
    </xf>
    <xf borderId="0" fillId="0" fontId="9" numFmtId="0" xfId="0" applyFont="1"/>
    <xf borderId="13" fillId="4" fontId="2" numFmtId="11" xfId="0" applyAlignment="1" applyBorder="1" applyFill="1" applyFont="1" applyNumberFormat="1">
      <alignment horizontal="center" shrinkToFit="0" vertical="center" wrapText="1"/>
    </xf>
    <xf borderId="25" fillId="0" fontId="6" numFmtId="165" xfId="0" applyAlignment="1" applyBorder="1" applyFont="1" applyNumberFormat="1">
      <alignment shrinkToFit="0" vertical="center" wrapText="1"/>
    </xf>
    <xf borderId="0" fillId="4" fontId="6" numFmtId="0" xfId="0" applyAlignment="1" applyFill="1" applyFont="1">
      <alignment readingOrder="0"/>
    </xf>
    <xf borderId="0" fillId="4" fontId="6" numFmtId="165" xfId="0" applyFill="1" applyFont="1" applyNumberFormat="1"/>
    <xf borderId="19" fillId="0" fontId="6" numFmtId="0" xfId="0" applyAlignment="1" applyBorder="1" applyFont="1">
      <alignment readingOrder="0" shrinkToFit="0" vertical="center" wrapText="1"/>
    </xf>
    <xf borderId="0" fillId="6" fontId="11" numFmtId="165" xfId="0" applyAlignment="1" applyFill="1" applyFont="1" applyNumberFormat="1">
      <alignment readingOrder="0" shrinkToFit="0" vertical="center" wrapText="1"/>
    </xf>
    <xf borderId="25" fillId="6" fontId="10" numFmtId="165" xfId="0" applyAlignment="1" applyBorder="1" applyFill="1" applyFont="1" applyNumberFormat="1">
      <alignment horizontal="center" readingOrder="0" shrinkToFit="0" vertical="center" wrapText="1"/>
    </xf>
    <xf borderId="21" fillId="0" fontId="6" numFmtId="0" xfId="0" applyAlignment="1" applyBorder="1" applyFont="1">
      <alignment readingOrder="0" shrinkToFit="0" vertical="center" wrapText="1"/>
    </xf>
    <xf borderId="22" fillId="6" fontId="11" numFmtId="165" xfId="0" applyAlignment="1" applyBorder="1" applyFill="1" applyFont="1" applyNumberFormat="1">
      <alignment readingOrder="0" shrinkToFit="0" vertical="center" wrapText="1"/>
    </xf>
    <xf borderId="32" fillId="0" fontId="12" numFmtId="0" xfId="0" applyAlignment="1" applyBorder="1" applyFont="1">
      <alignment shrinkToFit="0" vertical="center" wrapText="1"/>
    </xf>
    <xf borderId="32" fillId="0" fontId="13" numFmtId="0" xfId="0" applyAlignment="1" applyBorder="1" applyFont="1">
      <alignment readingOrder="0" shrinkToFit="0" vertical="center" wrapText="1"/>
    </xf>
    <xf borderId="32" fillId="0" fontId="14" numFmtId="0" xfId="0" applyAlignment="1" applyBorder="1" applyFont="1">
      <alignment readingOrder="0" shrinkToFit="0" vertical="center" wrapText="1"/>
    </xf>
    <xf borderId="32" fillId="0" fontId="15" numFmtId="0" xfId="0" applyAlignment="1" applyBorder="1" applyFont="1">
      <alignment readingOrder="0" shrinkToFit="0" vertical="center" wrapText="1"/>
    </xf>
    <xf borderId="32" fillId="8" fontId="15" numFmtId="0" xfId="0" applyAlignment="1" applyBorder="1" applyFill="1" applyFont="1">
      <alignment readingOrder="0" shrinkToFit="0" vertical="center" wrapText="1"/>
    </xf>
    <xf borderId="32" fillId="9" fontId="15" numFmtId="0" xfId="0" applyAlignment="1" applyBorder="1" applyFill="1" applyFont="1">
      <alignment readingOrder="0" shrinkToFit="0" vertical="center" wrapText="1"/>
    </xf>
    <xf borderId="32" fillId="8" fontId="12" numFmtId="0" xfId="0" applyAlignment="1" applyBorder="1" applyFill="1" applyFont="1">
      <alignment readingOrder="0" shrinkToFit="0" vertical="center" wrapText="1"/>
    </xf>
    <xf borderId="13" fillId="4" fontId="2" numFmtId="169" xfId="0" applyAlignment="1" applyBorder="1" applyFill="1" applyFont="1" applyNumberFormat="1">
      <alignment horizontal="center" shrinkToFit="0" vertical="center" wrapText="1"/>
    </xf>
    <xf borderId="32" fillId="0" fontId="12" numFmtId="0" xfId="0" applyAlignment="1" applyBorder="1" applyFont="1">
      <alignment readingOrder="0" shrinkToFit="0" vertical="center" wrapText="1"/>
    </xf>
    <xf borderId="32" fillId="9" fontId="12" numFmtId="0" xfId="0" applyAlignment="1" applyBorder="1" applyFill="1" applyFont="1">
      <alignment readingOrder="0" shrinkToFit="0" vertical="center" wrapText="1"/>
    </xf>
    <xf borderId="32" fillId="8" fontId="13" numFmtId="0" xfId="0" applyAlignment="1" applyBorder="1" applyFill="1" applyFont="1">
      <alignment readingOrder="0" shrinkToFit="0" vertical="center" wrapText="1"/>
    </xf>
    <xf borderId="32" fillId="9" fontId="13" numFmtId="0" xfId="0" applyAlignment="1" applyBorder="1" applyFill="1" applyFont="1">
      <alignment readingOrder="0" shrinkToFit="0" vertical="center" wrapText="1"/>
    </xf>
    <xf borderId="32" fillId="8" fontId="12" numFmtId="0" xfId="0" applyAlignment="1" applyBorder="1" applyFill="1" applyFont="1">
      <alignment shrinkToFit="0" vertical="center" wrapText="1"/>
    </xf>
    <xf borderId="32" fillId="9" fontId="12" numFmtId="0" xfId="0" applyAlignment="1" applyBorder="1" applyFill="1" applyFont="1">
      <alignment shrinkToFit="0" vertical="center" wrapText="1"/>
    </xf>
    <xf borderId="13" fillId="5" fontId="2" numFmtId="169" xfId="0" applyAlignment="1" applyBorder="1" applyFill="1" applyFont="1" applyNumberFormat="1">
      <alignment horizontal="center" shrinkToFit="0" vertical="center" wrapText="1"/>
    </xf>
    <xf borderId="0" fillId="4" fontId="9" numFmtId="0" xfId="0" applyFill="1" applyFont="1"/>
    <xf borderId="0" fillId="10" fontId="6" numFmtId="0" xfId="0" applyAlignment="1" applyFill="1" applyFont="1">
      <alignment readingOrder="0"/>
    </xf>
    <xf borderId="0" fillId="10" fontId="6" numFmtId="165" xfId="0" applyFill="1" applyFont="1" applyNumberFormat="1"/>
    <xf borderId="0" fillId="10" fontId="9" numFmtId="0" xfId="0" applyFill="1" applyFont="1"/>
    <xf borderId="16" fillId="0" fontId="8" numFmtId="165" xfId="0" applyAlignment="1" applyBorder="1" applyFont="1" applyNumberFormat="1">
      <alignment horizontal="center" readingOrder="0"/>
    </xf>
    <xf borderId="19" fillId="0" fontId="9" numFmtId="165" xfId="0" applyAlignment="1" applyBorder="1" applyFont="1" applyNumberFormat="1">
      <alignment readingOrder="0"/>
    </xf>
    <xf borderId="0" fillId="0" fontId="6" numFmtId="165" xfId="0" applyFont="1" applyNumberFormat="1"/>
    <xf borderId="13" fillId="5" fontId="2" numFmtId="167" xfId="0" applyAlignment="1" applyBorder="1" applyFill="1" applyFont="1" applyNumberFormat="1">
      <alignment horizontal="center" shrinkToFit="0" vertical="center" wrapText="1"/>
    </xf>
    <xf borderId="13" fillId="5" fontId="6" numFmtId="170" xfId="0" applyAlignment="1" applyBorder="1" applyFill="1" applyFont="1" applyNumberFormat="1">
      <alignment horizontal="center" vertical="center"/>
    </xf>
    <xf borderId="13" fillId="5" fontId="6" numFmtId="0" xfId="0" applyAlignment="1" applyBorder="1" applyFill="1" applyFont="1">
      <alignment horizontal="center" readingOrder="0" shrinkToFit="0" vertical="center" wrapText="1"/>
    </xf>
    <xf borderId="13" fillId="4" fontId="2" numFmtId="167" xfId="0" applyAlignment="1" applyBorder="1" applyFill="1" applyFont="1" applyNumberFormat="1">
      <alignment horizontal="center" shrinkToFit="0" vertical="center" wrapText="1"/>
    </xf>
    <xf borderId="13" fillId="4" fontId="6" numFmtId="170" xfId="0" applyAlignment="1" applyBorder="1" applyFill="1" applyFont="1" applyNumberFormat="1">
      <alignment horizontal="center" vertical="center"/>
    </xf>
    <xf borderId="13" fillId="4" fontId="6" numFmtId="0" xfId="0" applyAlignment="1" applyBorder="1" applyFill="1" applyFont="1">
      <alignment horizontal="center" readingOrder="0" shrinkToFit="0" vertical="center" wrapText="1"/>
    </xf>
    <xf borderId="20" fillId="0" fontId="6" numFmtId="165" xfId="0" applyBorder="1" applyFont="1" applyNumberFormat="1"/>
    <xf borderId="13" fillId="5" fontId="2" numFmtId="170" xfId="0" applyAlignment="1" applyBorder="1" applyFill="1" applyFont="1" applyNumberFormat="1">
      <alignment horizontal="center" shrinkToFit="0" vertical="center" wrapText="1"/>
    </xf>
    <xf borderId="0" fillId="4" fontId="6" numFmtId="165" xfId="0" applyAlignment="1" applyFill="1" applyFont="1" applyNumberFormat="1">
      <alignment readingOrder="0"/>
    </xf>
    <xf borderId="0" fillId="4" fontId="9" numFmtId="165" xfId="0" applyFill="1" applyFont="1" applyNumberFormat="1"/>
    <xf borderId="0" fillId="10" fontId="9" numFmtId="0" xfId="0" applyAlignment="1" applyFill="1" applyFont="1">
      <alignment readingOrder="0"/>
    </xf>
    <xf borderId="0" fillId="11" fontId="16" numFmtId="0" xfId="0" applyAlignment="1" applyFill="1" applyFont="1">
      <alignment horizontal="center" readingOrder="0"/>
    </xf>
    <xf borderId="21" fillId="0" fontId="9" numFmtId="165" xfId="0" applyAlignment="1" applyBorder="1" applyFont="1" applyNumberFormat="1">
      <alignment readingOrder="0"/>
    </xf>
    <xf borderId="22" fillId="0" fontId="6" numFmtId="165" xfId="0" applyBorder="1" applyFont="1" applyNumberFormat="1"/>
    <xf borderId="32" fillId="0" fontId="6" numFmtId="0" xfId="0" applyAlignment="1" applyBorder="1" applyFont="1">
      <alignment horizontal="center" readingOrder="0" vertical="center"/>
    </xf>
    <xf borderId="0" fillId="0" fontId="6" numFmtId="0" xfId="0" applyAlignment="1" applyFont="1">
      <alignment horizontal="center" vertical="center"/>
    </xf>
    <xf borderId="32" fillId="0" fontId="6" numFmtId="0" xfId="0" applyAlignment="1" applyBorder="1" applyFont="1">
      <alignment readingOrder="0"/>
    </xf>
    <xf borderId="32" fillId="0" fontId="6" numFmtId="165" xfId="0" applyBorder="1" applyFont="1" applyNumberFormat="1"/>
    <xf borderId="32" fillId="0" fontId="10" numFmtId="165" xfId="0" applyBorder="1" applyFont="1" applyNumberFormat="1"/>
    <xf borderId="32" fillId="0" fontId="6" numFmtId="0" xfId="0" applyBorder="1" applyFont="1"/>
    <xf borderId="23" fillId="0" fontId="6" numFmtId="165" xfId="0" applyBorder="1" applyFont="1" applyNumberFormat="1"/>
    <xf borderId="0" fillId="0" fontId="6" numFmtId="165" xfId="0" applyAlignment="1" applyFont="1" applyNumberFormat="1">
      <alignment readingOrder="0"/>
    </xf>
    <xf borderId="32" fillId="0" fontId="6" numFmtId="165" xfId="0" applyAlignment="1" applyBorder="1" applyFont="1" applyNumberFormat="1">
      <alignment readingOrder="0"/>
    </xf>
    <xf borderId="32" fillId="0" fontId="6" numFmtId="165" xfId="0" applyAlignment="1" applyBorder="1" applyFont="1" applyNumberFormat="1">
      <alignment horizontal="left" readingOrder="0"/>
    </xf>
    <xf borderId="22" fillId="0" fontId="6" numFmtId="165" xfId="0" applyAlignment="1" applyBorder="1" applyFont="1" applyNumberFormat="1">
      <alignment readingOrder="0"/>
    </xf>
    <xf borderId="32" fillId="0" fontId="6" numFmtId="165" xfId="0" applyAlignment="1" applyBorder="1" applyFont="1" applyNumberFormat="1">
      <alignment horizontal="center"/>
    </xf>
    <xf borderId="32" fillId="0" fontId="6" numFmtId="165" xfId="0" applyAlignment="1" applyBorder="1" applyFont="1" applyNumberFormat="1">
      <alignment horizontal="center" readingOrder="0"/>
    </xf>
    <xf borderId="0" fillId="0" fontId="9" numFmtId="0" xfId="0" applyAlignment="1" applyFont="1">
      <alignment readingOrder="0"/>
    </xf>
    <xf borderId="0" fillId="0" fontId="6" numFmtId="0" xfId="0" applyAlignment="1" applyFont="1">
      <alignment readingOrder="0"/>
    </xf>
    <xf borderId="0" fillId="0" fontId="6" numFmtId="165" xfId="0" applyFont="1" applyNumberFormat="1"/>
    <xf borderId="32" fillId="12" fontId="15" numFmtId="0" xfId="0" applyAlignment="1" applyBorder="1" applyFill="1" applyFont="1">
      <alignment horizontal="center" readingOrder="0"/>
    </xf>
    <xf borderId="32" fillId="12" fontId="15" numFmtId="0" xfId="0" applyAlignment="1" applyBorder="1" applyFill="1" applyFont="1">
      <alignment horizontal="center" readingOrder="0"/>
    </xf>
    <xf borderId="32" fillId="12" fontId="15" numFmtId="4" xfId="0" applyAlignment="1" applyBorder="1" applyFill="1" applyFont="1" applyNumberFormat="1">
      <alignment horizontal="center" readingOrder="0"/>
    </xf>
    <xf borderId="32" fillId="12" fontId="15" numFmtId="49" xfId="0" applyAlignment="1" applyBorder="1" applyFill="1" applyFont="1" applyNumberFormat="1">
      <alignment horizontal="center" readingOrder="0"/>
    </xf>
    <xf borderId="32" fillId="12" fontId="15" numFmtId="49" xfId="0" applyAlignment="1" applyBorder="1" applyFill="1" applyFont="1" applyNumberFormat="1">
      <alignment horizontal="center" readingOrder="0"/>
    </xf>
    <xf borderId="32" fillId="12" fontId="15" numFmtId="165" xfId="0" applyAlignment="1" applyBorder="1" applyFill="1" applyFont="1" applyNumberFormat="1">
      <alignment horizontal="center" readingOrder="0"/>
    </xf>
    <xf borderId="0" fillId="0" fontId="9" numFmtId="0" xfId="0" applyFont="1"/>
    <xf borderId="32" fillId="13" fontId="17" numFmtId="0" xfId="0" applyAlignment="1" applyBorder="1" applyFill="1" applyFont="1">
      <alignment horizontal="left" readingOrder="0"/>
    </xf>
    <xf borderId="0" fillId="0" fontId="18" numFmtId="0" xfId="0" applyAlignment="1" applyFont="1">
      <alignment horizontal="center"/>
    </xf>
    <xf borderId="32" fillId="14" fontId="19" numFmtId="0" xfId="0" applyAlignment="1" applyBorder="1" applyFill="1" applyFont="1">
      <alignment horizontal="center" readingOrder="0"/>
    </xf>
    <xf borderId="0" fillId="0" fontId="18" numFmtId="165" xfId="0" applyAlignment="1" applyFont="1" applyNumberFormat="1">
      <alignment horizontal="center"/>
    </xf>
    <xf borderId="32" fillId="0" fontId="18" numFmtId="0" xfId="0" applyAlignment="1" applyBorder="1" applyFont="1">
      <alignment horizontal="center" readingOrder="0" shrinkToFit="0" wrapText="0"/>
    </xf>
    <xf borderId="32" fillId="15" fontId="18" numFmtId="0" xfId="0" applyAlignment="1" applyBorder="1" applyFill="1" applyFont="1">
      <alignment horizontal="center" readingOrder="0" shrinkToFit="0" wrapText="0"/>
    </xf>
    <xf borderId="32" fillId="16" fontId="20" numFmtId="0" xfId="0" applyAlignment="1" applyBorder="1" applyFill="1" applyFont="1">
      <alignment horizontal="center" readingOrder="0" shrinkToFit="0" wrapText="0"/>
    </xf>
    <xf borderId="33" fillId="0" fontId="18" numFmtId="0" xfId="0" applyAlignment="1" applyBorder="1" applyFont="1">
      <alignment horizontal="center" shrinkToFit="0" wrapText="0"/>
    </xf>
    <xf borderId="34" fillId="0" fontId="18" numFmtId="166" xfId="0" applyAlignment="1" applyBorder="1" applyFont="1" applyNumberFormat="1">
      <alignment horizontal="center" readingOrder="0" shrinkToFit="0" wrapText="0"/>
    </xf>
    <xf borderId="32" fillId="0" fontId="18" numFmtId="166" xfId="0" applyAlignment="1" applyBorder="1" applyFont="1" applyNumberFormat="1">
      <alignment horizontal="center" readingOrder="0" shrinkToFit="0" wrapText="0"/>
    </xf>
    <xf borderId="32" fillId="0" fontId="18" numFmtId="0" xfId="0" applyAlignment="1" applyBorder="1" applyFont="1">
      <alignment horizontal="center" shrinkToFit="0" wrapText="0"/>
    </xf>
    <xf borderId="32" fillId="0" fontId="18" numFmtId="4" xfId="0" applyAlignment="1" applyBorder="1" applyFont="1" applyNumberFormat="1">
      <alignment horizontal="center" readingOrder="0" shrinkToFit="0" wrapText="0"/>
    </xf>
    <xf borderId="32" fillId="0" fontId="18" numFmtId="4" xfId="0" applyAlignment="1" applyBorder="1" applyFont="1" applyNumberFormat="1">
      <alignment horizontal="center" shrinkToFit="0" wrapText="0"/>
    </xf>
    <xf borderId="32" fillId="0" fontId="18" numFmtId="49" xfId="0" applyAlignment="1" applyBorder="1" applyFont="1" applyNumberFormat="1">
      <alignment horizontal="center" readingOrder="0" shrinkToFit="0" wrapText="0"/>
    </xf>
    <xf borderId="32" fillId="0" fontId="18" numFmtId="165" xfId="0" applyAlignment="1" applyBorder="1" applyFont="1" applyNumberFormat="1">
      <alignment horizontal="center" readingOrder="0" shrinkToFit="0" wrapText="0"/>
    </xf>
    <xf borderId="32" fillId="0" fontId="18" numFmtId="168" xfId="0" applyAlignment="1" applyBorder="1" applyFont="1" applyNumberFormat="1">
      <alignment horizontal="center" readingOrder="0" shrinkToFit="0" wrapText="0"/>
    </xf>
    <xf borderId="32" fillId="0" fontId="18" numFmtId="168" xfId="0" applyAlignment="1" applyBorder="1" applyFont="1" applyNumberFormat="1">
      <alignment horizontal="left" shrinkToFit="0" wrapText="0"/>
    </xf>
    <xf borderId="0" fillId="0" fontId="18" numFmtId="168" xfId="0" applyAlignment="1" applyFont="1" applyNumberFormat="1">
      <alignment horizontal="center" shrinkToFit="0" wrapText="0"/>
    </xf>
    <xf borderId="34" fillId="0" fontId="18" numFmtId="0" xfId="0" applyAlignment="1" applyBorder="1" applyFont="1">
      <alignment horizontal="center" shrinkToFit="0" wrapText="0"/>
    </xf>
    <xf borderId="34" fillId="0" fontId="18" numFmtId="0" xfId="0" applyAlignment="1" applyBorder="1" applyFont="1">
      <alignment horizontal="center" readingOrder="0" shrinkToFit="0" wrapText="0"/>
    </xf>
    <xf borderId="0" fillId="0" fontId="18" numFmtId="168" xfId="0" applyAlignment="1" applyFont="1" applyNumberFormat="1">
      <alignment shrinkToFit="0" vertical="bottom" wrapText="0"/>
    </xf>
    <xf borderId="35" fillId="17" fontId="21" numFmtId="0" xfId="0" applyAlignment="1" applyBorder="1" applyFill="1" applyFont="1">
      <alignment horizontal="center" readingOrder="0"/>
    </xf>
    <xf borderId="0" fillId="17" fontId="21" numFmtId="0" xfId="0" applyAlignment="1" applyFill="1" applyFont="1">
      <alignment horizontal="center" readingOrder="0"/>
    </xf>
    <xf borderId="32" fillId="15" fontId="18" numFmtId="11" xfId="0" applyAlignment="1" applyBorder="1" applyFill="1" applyFont="1" applyNumberFormat="1">
      <alignment horizontal="center" readingOrder="0" shrinkToFit="0" wrapText="0"/>
    </xf>
    <xf borderId="32" fillId="0" fontId="18" numFmtId="11" xfId="0" applyAlignment="1" applyBorder="1" applyFont="1" applyNumberFormat="1">
      <alignment horizontal="center" shrinkToFit="0" wrapText="0"/>
    </xf>
    <xf borderId="0" fillId="0" fontId="6" numFmtId="0" xfId="0" applyFont="1"/>
    <xf borderId="32" fillId="0" fontId="18" numFmtId="169" xfId="0" applyAlignment="1" applyBorder="1" applyFont="1" applyNumberFormat="1">
      <alignment horizontal="center" readingOrder="0" shrinkToFit="0" wrapText="0"/>
    </xf>
    <xf borderId="34" fillId="0" fontId="21" numFmtId="0" xfId="0" applyAlignment="1" applyBorder="1" applyFont="1">
      <alignment horizontal="center" readingOrder="0" shrinkToFit="0" wrapText="0"/>
    </xf>
    <xf borderId="34" fillId="0" fontId="18" numFmtId="169" xfId="0" applyAlignment="1" applyBorder="1" applyFont="1" applyNumberFormat="1">
      <alignment horizontal="center" readingOrder="0" shrinkToFit="0" wrapText="0"/>
    </xf>
    <xf borderId="0" fillId="0" fontId="21" numFmtId="0" xfId="0" applyAlignment="1" applyFont="1">
      <alignment horizontal="center" readingOrder="0" shrinkToFit="0" wrapText="0"/>
    </xf>
    <xf borderId="0" fillId="0" fontId="18" numFmtId="0" xfId="0" applyAlignment="1" applyFont="1">
      <alignment horizontal="center" shrinkToFit="0" wrapText="0"/>
    </xf>
    <xf borderId="32" fillId="0" fontId="18" numFmtId="167" xfId="0" applyAlignment="1" applyBorder="1" applyFont="1" applyNumberFormat="1">
      <alignment horizontal="center" shrinkToFit="0" wrapText="0"/>
    </xf>
    <xf borderId="32" fillId="0" fontId="18" numFmtId="165" xfId="0" applyAlignment="1" applyBorder="1" applyFont="1" applyNumberFormat="1">
      <alignment horizontal="center" shrinkToFit="0" wrapText="0"/>
    </xf>
    <xf borderId="36" fillId="0" fontId="18" numFmtId="0" xfId="0" applyAlignment="1" applyBorder="1" applyFont="1">
      <alignment horizontal="center" readingOrder="0" shrinkToFit="0" wrapText="0"/>
    </xf>
    <xf borderId="32" fillId="0" fontId="18" numFmtId="167" xfId="0" applyAlignment="1" applyBorder="1" applyFont="1" applyNumberFormat="1">
      <alignment horizontal="center" readingOrder="0" shrinkToFit="0" wrapText="0"/>
    </xf>
    <xf borderId="33" fillId="0" fontId="18" numFmtId="0" xfId="0" applyAlignment="1" applyBorder="1" applyFont="1">
      <alignment horizontal="center" readingOrder="0" shrinkToFit="0" wrapText="0"/>
    </xf>
    <xf borderId="34" fillId="0" fontId="18" numFmtId="167" xfId="0" applyAlignment="1" applyBorder="1" applyFont="1" applyNumberFormat="1">
      <alignment horizontal="center" shrinkToFit="0" wrapText="0"/>
    </xf>
    <xf borderId="32" fillId="0" fontId="18" numFmtId="0" xfId="0" applyAlignment="1" applyBorder="1" applyFont="1">
      <alignment horizontal="left" readingOrder="0" shrinkToFit="0" wrapText="0"/>
    </xf>
    <xf borderId="0" fillId="0" fontId="18" numFmtId="0" xfId="0" applyAlignment="1" applyFont="1">
      <alignment horizontal="center" readingOrder="0" shrinkToFit="0" wrapText="0"/>
    </xf>
    <xf borderId="34" fillId="0" fontId="13" numFmtId="0" xfId="0" applyAlignment="1" applyBorder="1" applyFont="1">
      <alignment horizontal="center" readingOrder="0" shrinkToFit="0" wrapText="0"/>
    </xf>
    <xf borderId="32" fillId="18" fontId="22" numFmtId="0" xfId="0" applyAlignment="1" applyBorder="1" applyFill="1" applyFont="1">
      <alignment horizontal="center" readingOrder="0" shrinkToFit="0" wrapText="0"/>
    </xf>
    <xf borderId="32" fillId="0" fontId="18" numFmtId="171" xfId="0" applyAlignment="1" applyBorder="1" applyFont="1" applyNumberFormat="1">
      <alignment horizontal="center" readingOrder="0" shrinkToFit="0" wrapText="0"/>
    </xf>
    <xf borderId="34" fillId="0" fontId="13" numFmtId="0" xfId="0" applyAlignment="1" applyBorder="1" applyFont="1">
      <alignment horizontal="center" readingOrder="0" shrinkToFit="0" wrapText="0"/>
    </xf>
    <xf borderId="32" fillId="19" fontId="22" numFmtId="0" xfId="0" applyAlignment="1" applyBorder="1" applyFill="1" applyFont="1">
      <alignment horizontal="center" readingOrder="0" shrinkToFit="0" wrapText="0"/>
    </xf>
    <xf borderId="32" fillId="0" fontId="18" numFmtId="166" xfId="0" applyAlignment="1" applyBorder="1" applyFont="1" applyNumberFormat="1">
      <alignment horizontal="center" shrinkToFit="0" wrapText="0"/>
    </xf>
    <xf borderId="32" fillId="6" fontId="18" numFmtId="0" xfId="0" applyAlignment="1" applyBorder="1" applyFill="1" applyFont="1">
      <alignment horizontal="center" readingOrder="0" shrinkToFit="0" wrapText="0"/>
    </xf>
    <xf borderId="32" fillId="0" fontId="18" numFmtId="169" xfId="0" applyAlignment="1" applyBorder="1" applyFont="1" applyNumberFormat="1">
      <alignment horizontal="center" shrinkToFit="0" wrapText="0"/>
    </xf>
    <xf borderId="32" fillId="0" fontId="18" numFmtId="0" xfId="0" applyAlignment="1" applyBorder="1" applyFont="1">
      <alignment horizontal="center"/>
    </xf>
    <xf borderId="34" fillId="0" fontId="18" numFmtId="166" xfId="0" applyAlignment="1" applyBorder="1" applyFont="1" applyNumberFormat="1">
      <alignment horizontal="center" shrinkToFit="0" wrapText="0"/>
    </xf>
    <xf borderId="37" fillId="0" fontId="18" numFmtId="0" xfId="0" applyAlignment="1" applyBorder="1" applyFont="1">
      <alignment horizontal="center" readingOrder="0" shrinkToFit="0" wrapText="0"/>
    </xf>
    <xf borderId="32" fillId="0" fontId="18" numFmtId="168" xfId="0" applyAlignment="1" applyBorder="1" applyFont="1" applyNumberFormat="1">
      <alignment horizontal="center" shrinkToFit="0" wrapText="0"/>
    </xf>
    <xf borderId="32" fillId="0" fontId="18" numFmtId="0" xfId="0" applyAlignment="1" applyBorder="1" applyFont="1">
      <alignment horizontal="left" readingOrder="0" shrinkToFit="0" wrapText="0"/>
    </xf>
    <xf borderId="38" fillId="0" fontId="18" numFmtId="0" xfId="0" applyAlignment="1" applyBorder="1" applyFont="1">
      <alignment horizontal="center" readingOrder="0" shrinkToFit="0" wrapText="0"/>
    </xf>
    <xf borderId="0" fillId="0" fontId="18" numFmtId="0" xfId="0" applyAlignment="1" applyFont="1">
      <alignment shrinkToFit="0" vertical="bottom" wrapText="0"/>
    </xf>
    <xf borderId="32" fillId="20" fontId="18" numFmtId="0" xfId="0" applyAlignment="1" applyBorder="1" applyFill="1" applyFont="1">
      <alignment horizontal="center" readingOrder="0" shrinkToFit="0" wrapText="0"/>
    </xf>
    <xf borderId="34" fillId="0" fontId="18" numFmtId="172" xfId="0" applyAlignment="1" applyBorder="1" applyFont="1" applyNumberFormat="1">
      <alignment horizontal="center" readingOrder="0" shrinkToFit="0" wrapText="0"/>
    </xf>
    <xf borderId="32" fillId="0" fontId="18" numFmtId="172" xfId="0" applyAlignment="1" applyBorder="1" applyFont="1" applyNumberFormat="1">
      <alignment horizontal="center" readingOrder="0" shrinkToFit="0" wrapText="0"/>
    </xf>
    <xf borderId="34" fillId="0" fontId="18" numFmtId="171" xfId="0" applyAlignment="1" applyBorder="1" applyFont="1" applyNumberFormat="1">
      <alignment horizontal="center" readingOrder="0" shrinkToFit="0" wrapText="0"/>
    </xf>
    <xf borderId="34" fillId="0" fontId="18" numFmtId="168" xfId="0" applyAlignment="1" applyBorder="1" applyFont="1" applyNumberFormat="1">
      <alignment horizontal="center" readingOrder="0" shrinkToFit="0" wrapText="0"/>
    </xf>
    <xf borderId="32" fillId="0" fontId="18" numFmtId="171" xfId="0" applyAlignment="1" applyBorder="1" applyFont="1" applyNumberFormat="1">
      <alignment horizontal="center" shrinkToFit="0" wrapText="0"/>
    </xf>
    <xf borderId="32" fillId="0" fontId="18" numFmtId="173" xfId="0" applyAlignment="1" applyBorder="1" applyFont="1" applyNumberFormat="1">
      <alignment horizontal="center" readingOrder="0" shrinkToFit="0" wrapText="0"/>
    </xf>
    <xf borderId="34" fillId="0" fontId="18" numFmtId="168" xfId="0" applyAlignment="1" applyBorder="1" applyFont="1" applyNumberFormat="1">
      <alignment horizontal="center" readingOrder="0" shrinkToFit="0" wrapText="0"/>
    </xf>
    <xf borderId="32" fillId="0" fontId="18" numFmtId="168" xfId="0" applyAlignment="1" applyBorder="1" applyFont="1" applyNumberFormat="1">
      <alignment horizontal="center" readingOrder="0" shrinkToFit="0" wrapText="0"/>
    </xf>
    <xf borderId="32" fillId="4" fontId="18" numFmtId="0" xfId="0" applyAlignment="1" applyBorder="1" applyFill="1" applyFont="1">
      <alignment horizontal="center" readingOrder="0" shrinkToFit="0" wrapText="0"/>
    </xf>
    <xf borderId="32" fillId="0" fontId="18" numFmtId="172" xfId="0" applyAlignment="1" applyBorder="1" applyFont="1" applyNumberFormat="1">
      <alignment horizontal="center" shrinkToFit="0" wrapText="0"/>
    </xf>
    <xf borderId="36" fillId="0" fontId="18" numFmtId="166" xfId="0" applyAlignment="1" applyBorder="1" applyFont="1" applyNumberFormat="1">
      <alignment horizontal="center" shrinkToFit="0" wrapText="0"/>
    </xf>
    <xf borderId="33" fillId="0" fontId="18" numFmtId="173" xfId="0" applyAlignment="1" applyBorder="1" applyFont="1" applyNumberFormat="1">
      <alignment horizontal="center" readingOrder="0" shrinkToFit="0" wrapText="0"/>
    </xf>
    <xf borderId="34" fillId="0" fontId="18" numFmtId="169" xfId="0" applyAlignment="1" applyBorder="1" applyFont="1" applyNumberFormat="1">
      <alignment horizontal="center" shrinkToFit="0" wrapText="0"/>
    </xf>
    <xf borderId="0" fillId="0" fontId="18" numFmtId="173" xfId="0" applyAlignment="1" applyFont="1" applyNumberFormat="1">
      <alignment horizontal="center" readingOrder="0" shrinkToFit="0" wrapText="0"/>
    </xf>
    <xf borderId="32" fillId="0" fontId="18" numFmtId="168" xfId="0" applyAlignment="1" applyBorder="1" applyFont="1" applyNumberFormat="1">
      <alignment horizontal="center" readingOrder="0"/>
    </xf>
    <xf borderId="34" fillId="0" fontId="18" numFmtId="166" xfId="0" applyAlignment="1" applyBorder="1" applyFont="1" applyNumberFormat="1">
      <alignment horizontal="center" readingOrder="0"/>
    </xf>
    <xf borderId="39" fillId="16" fontId="20" numFmtId="0" xfId="0" applyAlignment="1" applyBorder="1" applyFill="1" applyFont="1">
      <alignment horizontal="center" readingOrder="0" shrinkToFit="0" wrapText="0"/>
    </xf>
    <xf borderId="36" fillId="0" fontId="18" numFmtId="166" xfId="0" applyAlignment="1" applyBorder="1" applyFont="1" applyNumberFormat="1">
      <alignment horizontal="center" readingOrder="0" shrinkToFit="0" wrapText="0"/>
    </xf>
    <xf borderId="38" fillId="0" fontId="18" numFmtId="169" xfId="0" applyAlignment="1" applyBorder="1" applyFont="1" applyNumberFormat="1">
      <alignment horizontal="center" shrinkToFit="0" wrapText="0"/>
    </xf>
    <xf borderId="13" fillId="5" fontId="6" numFmtId="0" xfId="0" applyBorder="1" applyFill="1" applyFont="1"/>
    <xf borderId="33" fillId="0" fontId="18" numFmtId="171" xfId="0" applyAlignment="1" applyBorder="1" applyFont="1" applyNumberFormat="1">
      <alignment horizontal="center" readingOrder="0" shrinkToFit="0" wrapText="0"/>
    </xf>
    <xf borderId="33" fillId="0" fontId="18" numFmtId="169" xfId="0" applyAlignment="1" applyBorder="1" applyFont="1" applyNumberFormat="1">
      <alignment horizontal="center" readingOrder="0" shrinkToFit="0" wrapText="0"/>
    </xf>
    <xf borderId="34" fillId="0" fontId="18" numFmtId="171" xfId="0" applyAlignment="1" applyBorder="1" applyFont="1" applyNumberFormat="1">
      <alignment horizontal="center" shrinkToFit="0" wrapText="0"/>
    </xf>
    <xf borderId="32" fillId="0" fontId="18" numFmtId="173" xfId="0" applyAlignment="1" applyBorder="1" applyFont="1" applyNumberFormat="1">
      <alignment horizontal="left" shrinkToFit="0" wrapText="0"/>
    </xf>
    <xf borderId="0" fillId="0" fontId="18" numFmtId="168" xfId="0" applyAlignment="1" applyFont="1" applyNumberFormat="1">
      <alignment horizontal="left" shrinkToFit="0" wrapText="0"/>
    </xf>
    <xf borderId="34" fillId="0" fontId="18" numFmtId="173" xfId="0" applyAlignment="1" applyBorder="1" applyFont="1" applyNumberFormat="1">
      <alignment horizontal="center" readingOrder="0" shrinkToFit="0" wrapText="0"/>
    </xf>
    <xf borderId="34" fillId="0" fontId="21" numFmtId="0" xfId="0" applyAlignment="1" applyBorder="1" applyFont="1">
      <alignment horizontal="center" readingOrder="0" shrinkToFit="0" wrapText="0"/>
    </xf>
    <xf borderId="34" fillId="0" fontId="21" numFmtId="0" xfId="0" applyAlignment="1" applyBorder="1" applyFont="1">
      <alignment horizontal="center" readingOrder="0"/>
    </xf>
    <xf borderId="36" fillId="0" fontId="18" numFmtId="0" xfId="0" applyAlignment="1" applyBorder="1" applyFont="1">
      <alignment horizontal="center" shrinkToFit="0" wrapText="0"/>
    </xf>
    <xf borderId="32" fillId="0" fontId="18" numFmtId="173" xfId="0" applyAlignment="1" applyBorder="1" applyFont="1" applyNumberFormat="1">
      <alignment horizontal="center" readingOrder="0" shrinkToFit="0" wrapText="0"/>
    </xf>
    <xf borderId="0" fillId="0" fontId="21" numFmtId="0" xfId="0" applyAlignment="1" applyFont="1">
      <alignment horizontal="center" shrinkToFit="0" vertical="bottom" wrapText="0"/>
    </xf>
    <xf borderId="0" fillId="0" fontId="21" numFmtId="0" xfId="0" applyAlignment="1" applyFont="1">
      <alignment horizontal="center" shrinkToFit="0" vertical="bottom" wrapText="0"/>
    </xf>
    <xf borderId="0" fillId="0" fontId="18" numFmtId="168" xfId="0" applyAlignment="1" applyFont="1" applyNumberFormat="1">
      <alignment horizontal="center" readingOrder="0" shrinkToFit="0" wrapText="0"/>
    </xf>
    <xf borderId="36" fillId="0" fontId="18" numFmtId="49" xfId="0" applyAlignment="1" applyBorder="1" applyFont="1" applyNumberFormat="1">
      <alignment horizontal="center" readingOrder="0" shrinkToFit="0" wrapText="0"/>
    </xf>
    <xf borderId="33" fillId="0" fontId="18" numFmtId="4" xfId="0" applyAlignment="1" applyBorder="1" applyFont="1" applyNumberFormat="1">
      <alignment horizontal="center" readingOrder="0" shrinkToFit="0" wrapText="0"/>
    </xf>
    <xf borderId="34" fillId="0" fontId="18" numFmtId="165" xfId="0" applyAlignment="1" applyBorder="1" applyFont="1" applyNumberFormat="1">
      <alignment horizontal="center" shrinkToFit="0" wrapText="0"/>
    </xf>
    <xf borderId="34" fillId="0" fontId="18" numFmtId="49" xfId="0" applyAlignment="1" applyBorder="1" applyFont="1" applyNumberFormat="1">
      <alignment horizontal="center" readingOrder="0" shrinkToFit="0" wrapText="0"/>
    </xf>
    <xf borderId="0" fillId="0" fontId="18" numFmtId="165" xfId="0" applyAlignment="1" applyFont="1" applyNumberFormat="1">
      <alignment horizontal="center" readingOrder="0" shrinkToFit="0" wrapText="0"/>
    </xf>
    <xf borderId="34" fillId="0" fontId="18" numFmtId="165" xfId="0" applyAlignment="1" applyBorder="1" applyFont="1" applyNumberFormat="1">
      <alignment horizontal="center" readingOrder="0" shrinkToFit="0" wrapText="0"/>
    </xf>
    <xf borderId="34" fillId="0" fontId="18" numFmtId="167" xfId="0" applyAlignment="1" applyBorder="1" applyFont="1" applyNumberFormat="1">
      <alignment horizontal="center" readingOrder="0" shrinkToFit="0" wrapText="0"/>
    </xf>
    <xf borderId="32" fillId="0" fontId="18" numFmtId="174" xfId="0" applyAlignment="1" applyBorder="1" applyFont="1" applyNumberFormat="1">
      <alignment horizontal="center" readingOrder="0" shrinkToFit="0" wrapText="0"/>
    </xf>
    <xf borderId="0" fillId="0" fontId="18" numFmtId="168" xfId="0" applyAlignment="1" applyFont="1" applyNumberFormat="1">
      <alignment horizontal="center" readingOrder="0"/>
    </xf>
    <xf borderId="33" fillId="0" fontId="18" numFmtId="168" xfId="0" applyAlignment="1" applyBorder="1" applyFont="1" applyNumberFormat="1">
      <alignment horizontal="center" readingOrder="0" shrinkToFit="0" wrapText="0"/>
    </xf>
    <xf borderId="13" fillId="4" fontId="2" numFmtId="170" xfId="0" applyAlignment="1" applyBorder="1" applyFill="1" applyFont="1" applyNumberFormat="1">
      <alignment horizontal="center" shrinkToFit="0" vertical="center" wrapText="1"/>
    </xf>
    <xf borderId="32" fillId="0" fontId="23" numFmtId="0" xfId="0" applyAlignment="1" applyBorder="1" applyFont="1">
      <alignment horizontal="left" readingOrder="0" shrinkToFit="0" wrapText="0"/>
    </xf>
    <xf borderId="13" fillId="5" fontId="2" numFmtId="171" xfId="0" applyAlignment="1" applyBorder="1" applyFill="1" applyFont="1" applyNumberFormat="1">
      <alignment horizontal="center" shrinkToFit="0" vertical="center" wrapText="1"/>
    </xf>
    <xf borderId="33" fillId="0" fontId="18" numFmtId="49" xfId="0" applyAlignment="1" applyBorder="1" applyFont="1" applyNumberFormat="1">
      <alignment horizontal="center" readingOrder="0" shrinkToFit="0" wrapText="0"/>
    </xf>
    <xf borderId="34" fillId="0" fontId="18" numFmtId="4" xfId="0" applyAlignment="1" applyBorder="1" applyFont="1" applyNumberFormat="1">
      <alignment horizontal="center" readingOrder="0" shrinkToFit="0" wrapText="0"/>
    </xf>
    <xf borderId="32" fillId="19" fontId="18" numFmtId="165" xfId="0" applyAlignment="1" applyBorder="1" applyFill="1" applyFont="1" applyNumberFormat="1">
      <alignment horizontal="center" readingOrder="0" shrinkToFit="0" wrapText="0"/>
    </xf>
    <xf borderId="32" fillId="19" fontId="18" numFmtId="0" xfId="0" applyAlignment="1" applyBorder="1" applyFill="1" applyFont="1">
      <alignment horizontal="center" readingOrder="0" shrinkToFit="0" wrapText="0"/>
    </xf>
    <xf borderId="13" fillId="4" fontId="2" numFmtId="171" xfId="0" applyAlignment="1" applyBorder="1" applyFill="1" applyFont="1" applyNumberFormat="1">
      <alignment horizontal="center" shrinkToFit="0" vertical="center" wrapText="1"/>
    </xf>
    <xf borderId="13" fillId="4" fontId="2" numFmtId="170" xfId="0" applyAlignment="1" applyBorder="1" applyFill="1" applyFont="1" applyNumberFormat="1">
      <alignment horizontal="center" readingOrder="0" shrinkToFit="0" vertical="center" wrapText="1"/>
    </xf>
    <xf borderId="13" fillId="5" fontId="2" numFmtId="170" xfId="0" applyAlignment="1" applyBorder="1" applyFill="1" applyFont="1" applyNumberFormat="1">
      <alignment horizontal="center" readingOrder="0" shrinkToFit="0" vertical="center" wrapText="1"/>
    </xf>
    <xf borderId="32" fillId="4" fontId="18" numFmtId="169" xfId="0" applyAlignment="1" applyBorder="1" applyFill="1" applyFont="1" applyNumberFormat="1">
      <alignment horizontal="center" readingOrder="0" shrinkToFit="0" wrapText="0"/>
    </xf>
    <xf borderId="36" fillId="0" fontId="18" numFmtId="171" xfId="0" applyAlignment="1" applyBorder="1" applyFont="1" applyNumberFormat="1">
      <alignment horizontal="center" shrinkToFit="0" wrapText="0"/>
    </xf>
    <xf borderId="35" fillId="0" fontId="18" numFmtId="171" xfId="0" applyAlignment="1" applyBorder="1" applyFont="1" applyNumberFormat="1">
      <alignment horizontal="center" readingOrder="0" shrinkToFit="0" wrapText="0"/>
    </xf>
    <xf borderId="0" fillId="0" fontId="24" numFmtId="0" xfId="0" applyAlignment="1" applyFont="1">
      <alignment horizontal="center" readingOrder="0" shrinkToFit="0" vertical="center" wrapText="0"/>
    </xf>
    <xf borderId="0" fillId="0" fontId="25" numFmtId="0" xfId="0" applyAlignment="1" applyFont="1">
      <alignment vertical="center"/>
    </xf>
    <xf borderId="0" fillId="0" fontId="26" numFmtId="0" xfId="0" applyAlignment="1" applyFont="1">
      <alignment horizontal="center" readingOrder="0" shrinkToFit="0" vertical="center" wrapText="0"/>
    </xf>
    <xf borderId="0" fillId="0" fontId="27" numFmtId="0" xfId="0" applyAlignment="1" applyFont="1">
      <alignment horizontal="center" readingOrder="0" shrinkToFit="0" vertical="center" wrapText="0"/>
    </xf>
    <xf borderId="0" fillId="0" fontId="28" numFmtId="0" xfId="0" applyAlignment="1" applyFont="1">
      <alignment horizontal="center" shrinkToFit="0" vertical="center" wrapText="0"/>
    </xf>
    <xf borderId="0" fillId="4" fontId="29" numFmtId="0" xfId="0" applyAlignment="1" applyFill="1" applyFont="1">
      <alignment horizontal="center" shrinkToFit="0" vertical="center" wrapText="0"/>
    </xf>
    <xf borderId="0" fillId="0" fontId="30" numFmtId="0" xfId="0" applyAlignment="1" applyFont="1">
      <alignment horizontal="center" shrinkToFit="0" vertical="center" wrapText="1"/>
    </xf>
    <xf borderId="0" fillId="21" fontId="27" numFmtId="0" xfId="0" applyAlignment="1" applyFill="1" applyFont="1">
      <alignment shrinkToFit="0" vertical="center" wrapText="1"/>
    </xf>
    <xf borderId="0" fillId="0" fontId="27" numFmtId="0" xfId="0" applyAlignment="1" applyFont="1">
      <alignment shrinkToFit="0" vertical="center" wrapText="0"/>
    </xf>
    <xf borderId="0" fillId="4" fontId="27" numFmtId="0" xfId="0" applyAlignment="1" applyFill="1" applyFont="1">
      <alignment shrinkToFit="0" vertical="center" wrapText="0"/>
    </xf>
    <xf borderId="0" fillId="0" fontId="27" numFmtId="0" xfId="0" applyAlignment="1" applyFont="1">
      <alignment shrinkToFit="0" vertical="center" wrapText="1"/>
    </xf>
    <xf borderId="0" fillId="0" fontId="24" numFmtId="0" xfId="0" applyAlignment="1" applyFont="1">
      <alignment horizontal="right" readingOrder="0" vertical="center"/>
    </xf>
    <xf borderId="40" fillId="0" fontId="27" numFmtId="0" xfId="0" applyAlignment="1" applyBorder="1" applyFont="1">
      <alignment readingOrder="0" shrinkToFit="0" vertical="center" wrapText="0"/>
    </xf>
    <xf borderId="41" fillId="4" fontId="27" numFmtId="0" xfId="0" applyAlignment="1" applyBorder="1" applyFill="1" applyFont="1">
      <alignment shrinkToFit="0" vertical="center" wrapText="0"/>
    </xf>
    <xf borderId="41" fillId="0" fontId="27" numFmtId="0" xfId="0" applyAlignment="1" applyBorder="1" applyFont="1">
      <alignment shrinkToFit="0" vertical="center" wrapText="0"/>
    </xf>
    <xf borderId="41" fillId="0" fontId="27" numFmtId="0" xfId="0" applyAlignment="1" applyBorder="1" applyFont="1">
      <alignment shrinkToFit="0" vertical="center" wrapText="1"/>
    </xf>
    <xf borderId="40" fillId="0" fontId="27" numFmtId="0" xfId="0" applyAlignment="1" applyBorder="1" applyFont="1">
      <alignment horizontal="left" readingOrder="0" shrinkToFit="0" vertical="top" wrapText="1"/>
    </xf>
    <xf borderId="41" fillId="0" fontId="5" numFmtId="0" xfId="0" applyBorder="1" applyFont="1"/>
    <xf borderId="42" fillId="0" fontId="5" numFmtId="0" xfId="0" applyBorder="1" applyFont="1"/>
    <xf borderId="0" fillId="4" fontId="27" numFmtId="0" xfId="0" applyAlignment="1" applyFill="1" applyFont="1">
      <alignment readingOrder="0" shrinkToFit="0" vertical="center" wrapText="0"/>
    </xf>
    <xf borderId="0" fillId="0" fontId="27" numFmtId="0" xfId="0" applyAlignment="1" applyFont="1">
      <alignment readingOrder="0" shrinkToFit="0" vertical="center" wrapText="0"/>
    </xf>
    <xf borderId="43" fillId="0" fontId="5" numFmtId="0" xfId="0" applyBorder="1" applyFont="1"/>
    <xf borderId="36" fillId="0" fontId="5" numFmtId="0" xfId="0" applyBorder="1" applyFont="1"/>
    <xf borderId="43" fillId="0" fontId="27" numFmtId="0" xfId="0" applyAlignment="1" applyBorder="1" applyFont="1">
      <alignment shrinkToFit="0" vertical="center" wrapText="0"/>
    </xf>
    <xf borderId="44" fillId="0" fontId="27" numFmtId="0" xfId="0" applyAlignment="1" applyBorder="1" applyFont="1">
      <alignment shrinkToFit="0" vertical="center" wrapText="0"/>
    </xf>
    <xf borderId="33" fillId="4" fontId="27" numFmtId="0" xfId="0" applyAlignment="1" applyBorder="1" applyFill="1" applyFont="1">
      <alignment shrinkToFit="0" vertical="center" wrapText="0"/>
    </xf>
    <xf borderId="33" fillId="0" fontId="27" numFmtId="0" xfId="0" applyAlignment="1" applyBorder="1" applyFont="1">
      <alignment shrinkToFit="0" vertical="center" wrapText="0"/>
    </xf>
    <xf borderId="33" fillId="0" fontId="27" numFmtId="0" xfId="0" applyAlignment="1" applyBorder="1" applyFont="1">
      <alignment shrinkToFit="0" vertical="center" wrapText="1"/>
    </xf>
    <xf borderId="44" fillId="0" fontId="5" numFmtId="0" xfId="0" applyBorder="1" applyFont="1"/>
    <xf borderId="33" fillId="0" fontId="5" numFmtId="0" xfId="0" applyBorder="1" applyFont="1"/>
    <xf borderId="34" fillId="0" fontId="5" numFmtId="0" xfId="0" applyBorder="1" applyFont="1"/>
    <xf borderId="32" fillId="0" fontId="24" numFmtId="0" xfId="0" applyAlignment="1" applyBorder="1" applyFont="1">
      <alignment horizontal="center" readingOrder="0" shrinkToFit="0" vertical="center" wrapText="1"/>
    </xf>
    <xf borderId="32" fillId="4" fontId="24" numFmtId="0" xfId="0" applyAlignment="1" applyBorder="1" applyFill="1" applyFont="1">
      <alignment horizontal="center" readingOrder="0" shrinkToFit="0" vertical="center" wrapText="1"/>
    </xf>
    <xf borderId="32" fillId="21" fontId="24" numFmtId="0" xfId="0" applyAlignment="1" applyBorder="1" applyFill="1" applyFont="1">
      <alignment horizontal="center" readingOrder="0" shrinkToFit="0" vertical="center" wrapText="1"/>
    </xf>
    <xf borderId="0" fillId="0" fontId="25" numFmtId="0" xfId="0" applyAlignment="1" applyFont="1">
      <alignment shrinkToFit="0" vertical="center" wrapText="1"/>
    </xf>
    <xf borderId="32" fillId="0" fontId="27" numFmtId="0" xfId="0" applyAlignment="1" applyBorder="1" applyFont="1">
      <alignment readingOrder="0" shrinkToFit="0" vertical="center" wrapText="0"/>
    </xf>
    <xf borderId="32" fillId="0" fontId="1" numFmtId="0" xfId="0" applyAlignment="1" applyBorder="1" applyFont="1">
      <alignment horizontal="center" readingOrder="0" vertical="center"/>
    </xf>
    <xf borderId="32" fillId="0" fontId="27" numFmtId="0" xfId="0" applyAlignment="1" applyBorder="1" applyFont="1">
      <alignment shrinkToFit="0" vertical="center" wrapText="0"/>
    </xf>
    <xf borderId="32" fillId="0" fontId="27" numFmtId="0" xfId="0" applyAlignment="1" applyBorder="1" applyFont="1">
      <alignment shrinkToFit="0" vertical="center" wrapText="1"/>
    </xf>
    <xf borderId="32" fillId="0" fontId="27" numFmtId="49" xfId="0" applyAlignment="1" applyBorder="1" applyFont="1" applyNumberFormat="1">
      <alignment shrinkToFit="0" vertical="center" wrapText="0"/>
    </xf>
    <xf borderId="32" fillId="0" fontId="27" numFmtId="165" xfId="0" applyAlignment="1" applyBorder="1" applyFont="1" applyNumberFormat="1">
      <alignment shrinkToFit="0" vertical="center" wrapText="0"/>
    </xf>
    <xf borderId="32" fillId="0" fontId="27" numFmtId="175" xfId="0" applyAlignment="1" applyBorder="1" applyFont="1" applyNumberFormat="1">
      <alignment readingOrder="0" shrinkToFit="0" vertical="center" wrapText="0"/>
    </xf>
    <xf borderId="32" fillId="21" fontId="27" numFmtId="0" xfId="0" applyAlignment="1" applyBorder="1" applyFill="1" applyFont="1">
      <alignment shrinkToFit="0" vertical="center" wrapText="1"/>
    </xf>
    <xf borderId="32" fillId="0" fontId="18" numFmtId="0" xfId="0" applyAlignment="1" applyBorder="1" applyFont="1">
      <alignment horizontal="center" readingOrder="0" shrinkToFit="0" wrapText="0"/>
    </xf>
    <xf borderId="32" fillId="0" fontId="18" numFmtId="0" xfId="0" applyAlignment="1" applyBorder="1" applyFont="1">
      <alignment horizontal="center" readingOrder="0"/>
    </xf>
    <xf borderId="0" fillId="0" fontId="18" numFmtId="0" xfId="0" applyAlignment="1" applyFont="1">
      <alignment horizontal="center" readingOrder="0"/>
    </xf>
    <xf borderId="0" fillId="0" fontId="18" numFmtId="49" xfId="0" applyAlignment="1" applyFont="1" applyNumberFormat="1">
      <alignment horizontal="center" readingOrder="0" shrinkToFit="0" wrapText="0"/>
    </xf>
    <xf borderId="32" fillId="0" fontId="31" numFmtId="165" xfId="0" applyAlignment="1" applyBorder="1" applyFont="1" applyNumberFormat="1">
      <alignment readingOrder="0" shrinkToFit="0" vertical="center" wrapText="0"/>
    </xf>
    <xf borderId="32" fillId="0" fontId="18" numFmtId="174" xfId="0" applyAlignment="1" applyBorder="1" applyFont="1" applyNumberFormat="1">
      <alignment horizontal="center" shrinkToFit="0" wrapText="0"/>
    </xf>
    <xf borderId="32" fillId="0" fontId="27" numFmtId="4" xfId="0" applyAlignment="1" applyBorder="1" applyFont="1" applyNumberFormat="1">
      <alignment shrinkToFit="0" vertical="center" wrapText="0"/>
    </xf>
    <xf borderId="32" fillId="21" fontId="27" numFmtId="170" xfId="0" applyAlignment="1" applyBorder="1" applyFill="1" applyFont="1" applyNumberFormat="1">
      <alignment shrinkToFit="0" vertical="center" wrapText="1"/>
    </xf>
    <xf borderId="32" fillId="0" fontId="31" numFmtId="49" xfId="0" applyAlignment="1" applyBorder="1" applyFont="1" applyNumberFormat="1">
      <alignment readingOrder="0" shrinkToFit="0" vertical="center" wrapText="0"/>
    </xf>
    <xf borderId="13" fillId="5" fontId="2" numFmtId="172" xfId="0" applyAlignment="1" applyBorder="1" applyFill="1" applyFont="1" applyNumberFormat="1">
      <alignment horizontal="center" shrinkToFit="0" vertical="center" wrapText="1"/>
    </xf>
    <xf borderId="0" fillId="0" fontId="32" numFmtId="0" xfId="0" applyAlignment="1" applyFont="1">
      <alignment vertical="center"/>
    </xf>
    <xf borderId="32" fillId="4" fontId="18" numFmtId="167" xfId="0" applyAlignment="1" applyBorder="1" applyFill="1" applyFont="1" applyNumberFormat="1">
      <alignment horizontal="center" readingOrder="0" shrinkToFit="0" wrapText="0"/>
    </xf>
    <xf borderId="32" fillId="0" fontId="33" numFmtId="0" xfId="0" applyAlignment="1" applyBorder="1" applyFont="1">
      <alignment horizontal="left" readingOrder="0" shrinkToFit="0" wrapText="0"/>
    </xf>
    <xf borderId="36" fillId="0" fontId="18" numFmtId="0" xfId="0" applyAlignment="1" applyBorder="1" applyFont="1">
      <alignment horizontal="left" readingOrder="0" shrinkToFit="0" wrapText="0"/>
    </xf>
    <xf borderId="34" fillId="0" fontId="18" numFmtId="0" xfId="0" applyAlignment="1" applyBorder="1" applyFont="1">
      <alignment horizontal="left" readingOrder="0" shrinkToFit="0" wrapText="0"/>
    </xf>
    <xf borderId="32" fillId="4" fontId="18" numFmtId="166" xfId="0" applyAlignment="1" applyBorder="1" applyFill="1" applyFont="1" applyNumberFormat="1">
      <alignment horizontal="center" readingOrder="0" shrinkToFit="0" wrapText="0"/>
    </xf>
    <xf borderId="32" fillId="20" fontId="20" numFmtId="0" xfId="0" applyAlignment="1" applyBorder="1" applyFill="1" applyFont="1">
      <alignment horizontal="center" readingOrder="0" shrinkToFit="0" wrapText="0"/>
    </xf>
    <xf borderId="0" fillId="0" fontId="18" numFmtId="0" xfId="0" applyAlignment="1" applyFont="1">
      <alignment horizontal="left" readingOrder="0" shrinkToFit="0" wrapText="0"/>
    </xf>
    <xf borderId="37" fillId="0" fontId="18" numFmtId="167" xfId="0" applyAlignment="1" applyBorder="1" applyFont="1" applyNumberFormat="1">
      <alignment horizontal="center" readingOrder="0" shrinkToFit="0" wrapText="0"/>
    </xf>
    <xf borderId="0" fillId="0" fontId="21" numFmtId="0" xfId="0" applyAlignment="1" applyFont="1">
      <alignment horizontal="center" shrinkToFit="0" vertical="bottom" wrapText="0"/>
    </xf>
    <xf borderId="0" fillId="0" fontId="24" numFmtId="0" xfId="0" applyAlignment="1" applyFont="1">
      <alignment horizontal="center" shrinkToFit="0" vertical="center" wrapText="0"/>
    </xf>
    <xf borderId="0" fillId="0" fontId="27" numFmtId="0" xfId="0" applyAlignment="1" applyFont="1">
      <alignment horizontal="right" readingOrder="0" shrinkToFit="0" vertical="center" wrapText="0"/>
    </xf>
    <xf borderId="0" fillId="4" fontId="25" numFmtId="0" xfId="0" applyAlignment="1" applyFill="1" applyFont="1">
      <alignment vertical="center"/>
    </xf>
    <xf borderId="0" fillId="21" fontId="34" numFmtId="0" xfId="0" applyAlignment="1" applyFill="1" applyFont="1">
      <alignment shrinkToFit="0" vertical="center" wrapText="1"/>
    </xf>
    <xf borderId="32" fillId="4" fontId="18" numFmtId="165" xfId="0" applyAlignment="1" applyBorder="1" applyFill="1" applyFont="1" applyNumberFormat="1">
      <alignment horizontal="center" readingOrder="0" shrinkToFit="0" wrapText="0"/>
    </xf>
    <xf borderId="0" fillId="0" fontId="6" numFmtId="0" xfId="0" applyAlignment="1" applyFont="1">
      <alignment horizontal="right"/>
    </xf>
    <xf borderId="32" fillId="0" fontId="18" numFmtId="0" xfId="0" applyAlignment="1" applyBorder="1" applyFont="1">
      <alignment readingOrder="0" shrinkToFit="0" vertical="bottom" wrapText="0"/>
    </xf>
    <xf borderId="0" fillId="0" fontId="18" numFmtId="4" xfId="0" applyAlignment="1" applyFont="1" applyNumberFormat="1">
      <alignment horizontal="center" shrinkToFit="0" wrapText="0"/>
    </xf>
    <xf borderId="32" fillId="0" fontId="35" numFmtId="0" xfId="0" applyAlignment="1" applyBorder="1" applyFont="1">
      <alignment horizontal="center" shrinkToFit="0" wrapText="0"/>
    </xf>
    <xf borderId="13" fillId="5" fontId="6" numFmtId="0" xfId="0" applyBorder="1" applyFill="1" applyFont="1"/>
    <xf borderId="42" fillId="0" fontId="18" numFmtId="0" xfId="0" applyAlignment="1" applyBorder="1" applyFont="1">
      <alignment horizontal="center" readingOrder="0" shrinkToFit="0" wrapText="0"/>
    </xf>
    <xf borderId="0" fillId="5" fontId="6" numFmtId="0" xfId="0" applyFill="1" applyFont="1"/>
    <xf borderId="45" fillId="0" fontId="18" numFmtId="0" xfId="0" applyAlignment="1" applyBorder="1" applyFont="1">
      <alignment horizontal="center" readingOrder="0" shrinkToFit="0" wrapText="0"/>
    </xf>
    <xf borderId="33" fillId="0" fontId="18" numFmtId="171" xfId="0" applyAlignment="1" applyBorder="1" applyFont="1" applyNumberFormat="1">
      <alignment horizontal="center" shrinkToFit="0" wrapText="0"/>
    </xf>
    <xf borderId="46" fillId="0" fontId="18" numFmtId="0" xfId="0" applyAlignment="1" applyBorder="1" applyFont="1">
      <alignment horizontal="center" readingOrder="0" shrinkToFit="0" wrapText="0"/>
    </xf>
    <xf borderId="45" fillId="0" fontId="36" numFmtId="0" xfId="0" applyAlignment="1" applyBorder="1" applyFont="1">
      <alignment horizontal="center" readingOrder="0" shrinkToFit="0" wrapText="0"/>
    </xf>
    <xf borderId="32" fillId="0" fontId="35" numFmtId="0" xfId="0" applyAlignment="1" applyBorder="1" applyFont="1">
      <alignment horizontal="left" readingOrder="0" shrinkToFit="0" wrapText="0"/>
    </xf>
    <xf borderId="32" fillId="0" fontId="36" numFmtId="0" xfId="0" applyAlignment="1" applyBorder="1" applyFont="1">
      <alignment horizontal="center" readingOrder="0" shrinkToFit="0" wrapText="0"/>
    </xf>
    <xf borderId="46" fillId="0" fontId="36" numFmtId="0" xfId="0" applyAlignment="1" applyBorder="1" applyFont="1">
      <alignment horizontal="center" readingOrder="0" shrinkToFit="0" wrapText="0"/>
    </xf>
    <xf borderId="32" fillId="0" fontId="18" numFmtId="0" xfId="0" applyAlignment="1" applyBorder="1" applyFont="1">
      <alignment horizontal="center" shrinkToFit="0" wrapText="0"/>
    </xf>
    <xf borderId="0" fillId="0" fontId="18" numFmtId="4" xfId="0" applyAlignment="1" applyFont="1" applyNumberFormat="1">
      <alignment horizontal="center"/>
    </xf>
    <xf borderId="13" fillId="4" fontId="2" numFmtId="172" xfId="0" applyAlignment="1" applyBorder="1" applyFill="1" applyFont="1" applyNumberFormat="1">
      <alignment horizontal="center" shrinkToFit="0" vertical="center" wrapText="1"/>
    </xf>
    <xf borderId="32" fillId="6" fontId="18" numFmtId="165" xfId="0" applyAlignment="1" applyBorder="1" applyFill="1" applyFont="1" applyNumberFormat="1">
      <alignment horizontal="center" readingOrder="0" shrinkToFit="0" wrapText="0"/>
    </xf>
    <xf borderId="32" fillId="0" fontId="36" numFmtId="0" xfId="0" applyAlignment="1" applyBorder="1" applyFont="1">
      <alignment horizontal="center" readingOrder="0" shrinkToFit="0" wrapText="0"/>
    </xf>
    <xf borderId="32" fillId="4" fontId="18" numFmtId="0" xfId="0" applyAlignment="1" applyBorder="1" applyFill="1" applyFont="1">
      <alignment horizontal="center" shrinkToFit="0" wrapText="0"/>
    </xf>
    <xf borderId="34" fillId="0" fontId="18" numFmtId="168" xfId="0" applyAlignment="1" applyBorder="1" applyFont="1" applyNumberFormat="1">
      <alignment horizontal="left" shrinkToFit="0" wrapText="0"/>
    </xf>
    <xf borderId="32" fillId="0" fontId="35" numFmtId="0" xfId="0" applyAlignment="1" applyBorder="1" applyFont="1">
      <alignment readingOrder="0" shrinkToFit="0" vertical="bottom" wrapText="0"/>
    </xf>
    <xf borderId="38" fillId="15" fontId="18" numFmtId="0" xfId="0" applyAlignment="1" applyBorder="1" applyFill="1" applyFont="1">
      <alignment horizontal="center" readingOrder="0" shrinkToFit="0" wrapText="0"/>
    </xf>
    <xf borderId="38" fillId="16" fontId="20" numFmtId="0" xfId="0" applyAlignment="1" applyBorder="1" applyFill="1" applyFont="1">
      <alignment horizontal="center" readingOrder="0" shrinkToFit="0" wrapText="0"/>
    </xf>
    <xf borderId="38" fillId="19" fontId="22" numFmtId="0" xfId="0" applyAlignment="1" applyBorder="1" applyFill="1" applyFont="1">
      <alignment horizontal="center" readingOrder="0" shrinkToFit="0" wrapText="0"/>
    </xf>
    <xf borderId="34" fillId="0" fontId="35" numFmtId="0" xfId="0" applyAlignment="1" applyBorder="1" applyFont="1">
      <alignment readingOrder="0" shrinkToFit="0" vertical="bottom" wrapText="0"/>
    </xf>
    <xf borderId="32" fillId="0" fontId="18" numFmtId="4" xfId="0" applyAlignment="1" applyBorder="1" applyFont="1" applyNumberFormat="1">
      <alignment horizontal="left" readingOrder="0" shrinkToFit="0" wrapText="0"/>
    </xf>
    <xf borderId="0" fillId="4" fontId="27" numFmtId="4" xfId="0" applyAlignment="1" applyFill="1" applyFont="1" applyNumberFormat="1">
      <alignment shrinkToFit="0" vertical="bottom" wrapText="0"/>
    </xf>
    <xf borderId="46" fillId="0" fontId="18" numFmtId="0" xfId="0" applyAlignment="1" applyBorder="1" applyFont="1">
      <alignment horizontal="center" readingOrder="0"/>
    </xf>
    <xf borderId="34" fillId="0" fontId="18" numFmtId="4" xfId="0" applyAlignment="1" applyBorder="1" applyFont="1" applyNumberFormat="1">
      <alignment horizontal="left" readingOrder="0" shrinkToFit="0" wrapText="0"/>
    </xf>
    <xf borderId="0" fillId="0" fontId="27" numFmtId="0" xfId="0" applyAlignment="1" applyFont="1">
      <alignment horizontal="center" shrinkToFit="0" vertical="bottom" wrapText="0"/>
    </xf>
    <xf borderId="0" fillId="4" fontId="27" numFmtId="171" xfId="0" applyAlignment="1" applyFill="1" applyFont="1" applyNumberFormat="1">
      <alignment horizontal="center" shrinkToFit="0" vertical="bottom" wrapText="0"/>
    </xf>
    <xf borderId="0" fillId="4" fontId="27" numFmtId="0" xfId="0" applyAlignment="1" applyFill="1" applyFont="1">
      <alignment horizontal="center" shrinkToFit="0" vertical="bottom" wrapText="0"/>
    </xf>
    <xf borderId="0" fillId="0" fontId="27" numFmtId="0" xfId="0" applyAlignment="1" applyFont="1">
      <alignment shrinkToFit="0" vertical="bottom" wrapText="0"/>
    </xf>
    <xf borderId="0" fillId="0" fontId="27" numFmtId="4" xfId="0" applyAlignment="1" applyFont="1" applyNumberFormat="1">
      <alignment horizontal="center" shrinkToFit="0" vertical="bottom" wrapText="0"/>
    </xf>
    <xf borderId="0" fillId="0" fontId="27" numFmtId="49" xfId="0" applyAlignment="1" applyFont="1" applyNumberFormat="1">
      <alignment shrinkToFit="0" vertical="bottom" wrapText="0"/>
    </xf>
    <xf borderId="0" fillId="4" fontId="27" numFmtId="49" xfId="0" applyAlignment="1" applyFill="1" applyFont="1" applyNumberFormat="1">
      <alignment horizontal="center" shrinkToFit="0" vertical="bottom" wrapText="0"/>
    </xf>
    <xf borderId="0" fillId="4" fontId="27" numFmtId="165" xfId="0" applyAlignment="1" applyFill="1" applyFont="1" applyNumberFormat="1">
      <alignment shrinkToFit="0" vertical="bottom" wrapText="0"/>
    </xf>
    <xf borderId="0" fillId="4" fontId="27" numFmtId="165" xfId="0" applyAlignment="1" applyFill="1" applyFont="1" applyNumberFormat="1">
      <alignment horizontal="right" shrinkToFit="0" vertical="bottom" wrapText="0"/>
    </xf>
    <xf borderId="0" fillId="0" fontId="37" numFmtId="0" xfId="0" applyAlignment="1" applyFont="1">
      <alignment horizontal="center" readingOrder="0"/>
    </xf>
    <xf borderId="0" fillId="0" fontId="6" numFmtId="0" xfId="0" applyAlignment="1" applyFont="1">
      <alignment readingOrder="0"/>
    </xf>
    <xf borderId="0" fillId="0" fontId="6" numFmtId="0" xfId="0" applyAlignment="1" applyFont="1">
      <alignment readingOrder="0" vertical="center"/>
    </xf>
    <xf borderId="0" fillId="0" fontId="9" numFmtId="0" xfId="0" applyAlignment="1" applyFont="1">
      <alignment readingOrder="0"/>
    </xf>
    <xf borderId="13" fillId="4" fontId="6" numFmtId="0" xfId="0" applyBorder="1" applyFill="1" applyFont="1"/>
    <xf borderId="13" fillId="4" fontId="6" numFmtId="0" xfId="0" applyBorder="1" applyFill="1" applyFont="1"/>
    <xf borderId="30" fillId="4" fontId="2" numFmtId="173" xfId="0" applyAlignment="1" applyBorder="1" applyFill="1" applyFont="1" applyNumberFormat="1">
      <alignment horizontal="center" shrinkToFit="0" vertical="center" wrapText="1"/>
    </xf>
    <xf borderId="0" fillId="4" fontId="38" numFmtId="0" xfId="0" applyAlignment="1" applyFill="1" applyFont="1">
      <alignment horizontal="center" readingOrder="0" shrinkToFit="0" wrapText="1"/>
    </xf>
    <xf borderId="0" fillId="0" fontId="21" numFmtId="0" xfId="0" applyAlignment="1" applyFont="1">
      <alignment horizontal="center" shrinkToFit="0" vertical="center" wrapText="0"/>
    </xf>
    <xf borderId="0" fillId="0" fontId="15" numFmtId="0" xfId="0" applyAlignment="1" applyFont="1">
      <alignment shrinkToFit="0" wrapText="0"/>
    </xf>
    <xf borderId="0" fillId="0" fontId="6" numFmtId="0" xfId="0" applyFont="1"/>
    <xf borderId="30" fillId="5" fontId="2" numFmtId="0" xfId="0" applyAlignment="1" applyBorder="1" applyFill="1" applyFont="1">
      <alignment horizontal="center" shrinkToFit="0" vertical="center" wrapText="1"/>
    </xf>
    <xf borderId="30" fillId="4" fontId="2" numFmtId="0" xfId="0" applyAlignment="1" applyBorder="1" applyFill="1" applyFont="1">
      <alignment horizontal="center" shrinkToFit="0" vertical="center" wrapText="1"/>
    </xf>
    <xf borderId="13" fillId="4" fontId="2" numFmtId="174" xfId="0" applyAlignment="1" applyBorder="1" applyFill="1" applyFont="1" applyNumberFormat="1">
      <alignment horizontal="center" shrinkToFit="0" vertical="center" wrapText="1"/>
    </xf>
    <xf borderId="13" fillId="5" fontId="6" numFmtId="0" xfId="0" applyAlignment="1" applyBorder="1" applyFill="1" applyFont="1">
      <alignment readingOrder="0"/>
    </xf>
    <xf borderId="30" fillId="5" fontId="2" numFmtId="173" xfId="0" applyAlignment="1" applyBorder="1" applyFill="1" applyFont="1" applyNumberFormat="1">
      <alignment horizontal="center" shrinkToFit="0" vertical="center" wrapText="1"/>
    </xf>
    <xf borderId="13" fillId="5" fontId="2" numFmtId="174" xfId="0" applyAlignment="1" applyBorder="1" applyFill="1" applyFont="1" applyNumberFormat="1">
      <alignment horizontal="center" shrinkToFit="0" vertical="center" wrapText="1"/>
    </xf>
    <xf borderId="0" fillId="5" fontId="39" numFmtId="0" xfId="0" applyAlignment="1" applyFill="1" applyFont="1">
      <alignment horizontal="center" readingOrder="0" shrinkToFit="0" vertical="center" wrapText="1"/>
    </xf>
    <xf borderId="0" fillId="4" fontId="2" numFmtId="170" xfId="0" applyAlignment="1" applyFill="1" applyFont="1" applyNumberFormat="1">
      <alignment horizontal="center" readingOrder="0" shrinkToFit="0" vertical="center" wrapText="1"/>
    </xf>
    <xf borderId="0" fillId="4" fontId="39" numFmtId="0" xfId="0" applyAlignment="1" applyFill="1" applyFont="1">
      <alignment horizontal="center" readingOrder="0" shrinkToFit="0" vertical="center" wrapText="1"/>
    </xf>
    <xf borderId="13" fillId="4" fontId="2" numFmtId="0" xfId="0" applyAlignment="1" applyBorder="1" applyFill="1" applyFont="1">
      <alignment horizontal="center" readingOrder="0" shrinkToFit="0" vertical="center" wrapText="1"/>
    </xf>
    <xf borderId="0" fillId="5" fontId="2" numFmtId="170" xfId="0" applyAlignment="1" applyFill="1" applyFont="1" applyNumberFormat="1">
      <alignment horizontal="center" readingOrder="0" shrinkToFit="0" vertical="center" wrapText="1"/>
    </xf>
    <xf borderId="0" fillId="4" fontId="2" numFmtId="0" xfId="0" applyAlignment="1" applyFill="1" applyFont="1">
      <alignment horizontal="center" readingOrder="0" shrinkToFit="0" vertical="center" wrapText="1"/>
    </xf>
    <xf borderId="0" fillId="5" fontId="39" numFmtId="170" xfId="0" applyAlignment="1" applyFill="1" applyFont="1" applyNumberFormat="1">
      <alignment horizontal="left" shrinkToFit="0" wrapText="1"/>
    </xf>
    <xf borderId="0" fillId="4" fontId="40" numFmtId="0" xfId="0" applyAlignment="1" applyFill="1" applyFont="1">
      <alignment readingOrder="0"/>
    </xf>
    <xf borderId="32" fillId="4" fontId="22" numFmtId="0" xfId="0" applyAlignment="1" applyBorder="1" applyFill="1" applyFont="1">
      <alignment horizontal="center" readingOrder="0" shrinkToFit="0" wrapText="0"/>
    </xf>
    <xf borderId="32" fillId="5" fontId="22" numFmtId="0" xfId="0" applyAlignment="1" applyBorder="1" applyFill="1" applyFont="1">
      <alignment horizontal="center" readingOrder="0" shrinkToFit="0" vertical="center" wrapText="0"/>
    </xf>
    <xf borderId="32" fillId="5" fontId="18" numFmtId="0" xfId="0" applyAlignment="1" applyBorder="1" applyFill="1" applyFont="1">
      <alignment horizontal="center" readingOrder="0" shrinkToFit="0" wrapText="0"/>
    </xf>
    <xf borderId="32" fillId="4" fontId="22" numFmtId="0" xfId="0" applyAlignment="1" applyBorder="1" applyFill="1" applyFont="1">
      <alignment horizontal="center" readingOrder="0" shrinkToFit="0" vertical="center" wrapText="0"/>
    </xf>
    <xf borderId="0" fillId="5" fontId="2"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2" numFmtId="170" xfId="0" applyAlignment="1" applyFill="1" applyFont="1" applyNumberFormat="1">
      <alignment horizontal="center" shrinkToFit="0" vertical="center" wrapText="1"/>
    </xf>
    <xf borderId="0" fillId="4" fontId="2" numFmtId="170" xfId="0" applyAlignment="1" applyFill="1" applyFont="1" applyNumberFormat="1">
      <alignment horizontal="center" shrinkToFit="0" vertical="center" wrapText="1"/>
    </xf>
    <xf borderId="30" fillId="5" fontId="2" numFmtId="4" xfId="0" applyAlignment="1" applyBorder="1" applyFill="1" applyFont="1" applyNumberFormat="1">
      <alignment horizontal="center" shrinkToFit="0" vertical="center" wrapText="1"/>
    </xf>
    <xf borderId="30" fillId="4" fontId="2" numFmtId="4" xfId="0" applyAlignment="1" applyBorder="1" applyFill="1" applyFont="1" applyNumberFormat="1">
      <alignment horizontal="center" shrinkToFit="0" vertical="center" wrapText="1"/>
    </xf>
  </cellXfs>
  <cellStyles count="1">
    <cellStyle xfId="0" name="Normal" builtinId="0"/>
  </cellStyles>
  <dxfs count="10">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BBC8CE"/>
          <bgColor rgb="FFBBC8CE"/>
        </patternFill>
      </fill>
      <border/>
    </dxf>
    <dxf>
      <font/>
      <fill>
        <patternFill patternType="solid">
          <fgColor rgb="FFF3F3F3"/>
          <bgColor rgb="FFF3F3F3"/>
        </patternFill>
      </fill>
      <border/>
    </dxf>
    <dxf>
      <font/>
      <fill>
        <patternFill patternType="solid">
          <fgColor rgb="FFB7B7B7"/>
          <bgColor rgb="FFB7B7B7"/>
        </patternFill>
      </fill>
      <border/>
    </dxf>
    <dxf>
      <font>
        <b/>
        <color rgb="FFFF0000"/>
      </font>
      <fill>
        <patternFill patternType="solid">
          <fgColor rgb="FFCCCCCC"/>
          <bgColor rgb="FFCCCCCC"/>
        </patternFill>
      </fill>
      <border/>
    </dxf>
    <dxf>
      <font>
        <b/>
        <color rgb="FF6AA84F"/>
      </font>
      <fill>
        <patternFill patternType="solid">
          <fgColor rgb="FFCCCCCC"/>
          <bgColor rgb="FFCCCCCC"/>
        </patternFill>
      </fill>
      <border/>
    </dxf>
    <dxf>
      <font>
        <b/>
        <color rgb="FF990000"/>
      </font>
      <fill>
        <patternFill patternType="solid">
          <fgColor rgb="FFB7B7B7"/>
          <bgColor rgb="FFB7B7B7"/>
        </patternFill>
      </fill>
      <border/>
    </dxf>
  </dxfs>
  <tableStyles count="4">
    <tableStyle count="4" pivot="0" name="CFF 2025-style">
      <tableStyleElement dxfId="1" type="headerRow"/>
      <tableStyleElement dxfId="2" type="firstRowStripe"/>
      <tableStyleElement dxfId="3" type="secondRowStripe"/>
      <tableStyleElement dxfId="4" type="totalRow"/>
    </tableStyle>
    <tableStyle count="2" pivot="0" name="Novas Linhas-style">
      <tableStyleElement dxfId="2" type="firstRowStripe"/>
      <tableStyleElement dxfId="5" type="secondRowStripe"/>
    </tableStyle>
    <tableStyle count="2" pivot="0" name="Novas Linhas-style 2">
      <tableStyleElement dxfId="2" type="firstRowStripe"/>
      <tableStyleElement dxfId="5" type="secondRowStripe"/>
    </tableStyle>
    <tableStyle count="2" pivot="0" name="Solicitações DIRMAB-style">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Previsão do MTA - Células</a:t>
            </a:r>
          </a:p>
        </c:rich>
      </c:tx>
      <c:overlay val="0"/>
    </c:title>
    <c:plotArea>
      <c:layout/>
      <c:barChart>
        <c:barDir val="col"/>
        <c:grouping val="stacked"/>
        <c:ser>
          <c:idx val="0"/>
          <c:order val="0"/>
          <c:tx>
            <c:strRef>
              <c:f>PAINEL!$B$1:$B$2</c:f>
            </c:strRef>
          </c:tx>
          <c:spPr>
            <a:solidFill>
              <a:srgbClr val="CC0000"/>
            </a:solidFill>
            <a:ln cmpd="sng">
              <a:noFill/>
            </a:ln>
          </c:spPr>
          <c:invertIfNegative val="0"/>
          <c:cat>
            <c:strRef>
              <c:f>PAINEL!$A$3:$A$11</c:f>
            </c:strRef>
          </c:cat>
          <c:val>
            <c:numRef>
              <c:f>PAINEL!$B$3:$B$11</c:f>
              <c:numCache/>
            </c:numRef>
          </c:val>
        </c:ser>
        <c:ser>
          <c:idx val="1"/>
          <c:order val="1"/>
          <c:tx>
            <c:strRef>
              <c:f>PAINEL!$C$1:$C$2</c:f>
            </c:strRef>
          </c:tx>
          <c:spPr>
            <a:solidFill>
              <a:srgbClr val="45818E"/>
            </a:solidFill>
            <a:ln cmpd="sng">
              <a:noFill/>
            </a:ln>
          </c:spPr>
          <c:invertIfNegative val="0"/>
          <c:cat>
            <c:strRef>
              <c:f>PAINEL!$A$3:$A$11</c:f>
            </c:strRef>
          </c:cat>
          <c:val>
            <c:numRef>
              <c:f>PAINEL!$C$3:$C$11</c:f>
              <c:numCache/>
            </c:numRef>
          </c:val>
        </c:ser>
        <c:ser>
          <c:idx val="2"/>
          <c:order val="2"/>
          <c:tx>
            <c:strRef>
              <c:f>PAINEL!$D$1:$D$2</c:f>
            </c:strRef>
          </c:tx>
          <c:spPr>
            <a:solidFill>
              <a:srgbClr val="6AA84F"/>
            </a:solidFill>
            <a:ln cmpd="sng">
              <a:noFill/>
            </a:ln>
          </c:spPr>
          <c:invertIfNegative val="0"/>
          <c:cat>
            <c:strRef>
              <c:f>PAINEL!$A$3:$A$11</c:f>
            </c:strRef>
          </c:cat>
          <c:val>
            <c:numRef>
              <c:f>PAINEL!$D$3:$D$11</c:f>
              <c:numCache/>
            </c:numRef>
          </c:val>
        </c:ser>
        <c:ser>
          <c:idx val="3"/>
          <c:order val="3"/>
          <c:tx>
            <c:strRef>
              <c:f>PAINEL!$E$1:$E$2</c:f>
            </c:strRef>
          </c:tx>
          <c:spPr>
            <a:solidFill>
              <a:srgbClr val="E69138"/>
            </a:solidFill>
            <a:ln cmpd="sng">
              <a:noFill/>
            </a:ln>
          </c:spPr>
          <c:invertIfNegative val="0"/>
          <c:cat>
            <c:strRef>
              <c:f>PAINEL!$A$3:$A$11</c:f>
            </c:strRef>
          </c:cat>
          <c:val>
            <c:numRef>
              <c:f>PAINEL!$E$3:$E$11</c:f>
              <c:numCache/>
            </c:numRef>
          </c:val>
        </c:ser>
        <c:overlap val="100"/>
        <c:axId val="782183729"/>
        <c:axId val="534849695"/>
      </c:barChart>
      <c:lineChart>
        <c:ser>
          <c:idx val="4"/>
          <c:order val="4"/>
          <c:tx>
            <c:strRef>
              <c:f>PAINEL!$F$1:$F$2</c:f>
            </c:strRef>
          </c:tx>
          <c:spPr>
            <a:ln cmpd="sng">
              <a:solidFill>
                <a:srgbClr val="000000">
                  <a:alpha val="100000"/>
                </a:srgbClr>
              </a:solidFill>
            </a:ln>
          </c:spPr>
          <c:marker>
            <c:symbol val="none"/>
          </c:marker>
          <c:cat>
            <c:strRef>
              <c:f>PAINEL!$A$3:$A$11</c:f>
            </c:strRef>
          </c:cat>
          <c:val>
            <c:numRef>
              <c:f>PAINEL!$F$3:$F$11</c:f>
              <c:numCache/>
            </c:numRef>
          </c:val>
          <c:smooth val="0"/>
        </c:ser>
        <c:ser>
          <c:idx val="5"/>
          <c:order val="5"/>
          <c:tx>
            <c:strRef>
              <c:f>PAINEL!$G$1:$G$2</c:f>
            </c:strRef>
          </c:tx>
          <c:spPr>
            <a:ln cmpd="sng">
              <a:solidFill>
                <a:srgbClr val="999999">
                  <a:alpha val="100000"/>
                </a:srgbClr>
              </a:solidFill>
            </a:ln>
          </c:spPr>
          <c:marker>
            <c:symbol val="none"/>
          </c:marker>
          <c:cat>
            <c:strRef>
              <c:f>PAINEL!$A$3:$A$11</c:f>
            </c:strRef>
          </c:cat>
          <c:val>
            <c:numRef>
              <c:f>PAINEL!$G$3:$G$11</c:f>
              <c:numCache/>
            </c:numRef>
          </c:val>
          <c:smooth val="0"/>
        </c:ser>
        <c:axId val="782183729"/>
        <c:axId val="534849695"/>
      </c:lineChart>
      <c:catAx>
        <c:axId val="7821837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Célula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34849695"/>
      </c:catAx>
      <c:valAx>
        <c:axId val="534849695"/>
        <c:scaling>
          <c:orientation val="minMax"/>
          <c:max val="1.4E8"/>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8218372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Previsão do MTA - Motores</a:t>
            </a:r>
          </a:p>
        </c:rich>
      </c:tx>
      <c:overlay val="0"/>
    </c:title>
    <c:plotArea>
      <c:layout/>
      <c:barChart>
        <c:barDir val="col"/>
        <c:grouping val="stacked"/>
        <c:ser>
          <c:idx val="0"/>
          <c:order val="0"/>
          <c:tx>
            <c:strRef>
              <c:f>PAINEL!$B$13:$B$14</c:f>
            </c:strRef>
          </c:tx>
          <c:spPr>
            <a:solidFill>
              <a:srgbClr val="CC0000"/>
            </a:solidFill>
            <a:ln cmpd="sng">
              <a:noFill/>
            </a:ln>
          </c:spPr>
          <c:invertIfNegative val="0"/>
          <c:cat>
            <c:strRef>
              <c:f>PAINEL!$A$15:$A$20</c:f>
            </c:strRef>
          </c:cat>
          <c:val>
            <c:numRef>
              <c:f>PAINEL!$B$15:$B$20</c:f>
              <c:numCache/>
            </c:numRef>
          </c:val>
        </c:ser>
        <c:ser>
          <c:idx val="1"/>
          <c:order val="1"/>
          <c:tx>
            <c:strRef>
              <c:f>PAINEL!$C$13:$C$14</c:f>
            </c:strRef>
          </c:tx>
          <c:spPr>
            <a:solidFill>
              <a:srgbClr val="45818E"/>
            </a:solidFill>
            <a:ln cmpd="sng">
              <a:noFill/>
            </a:ln>
          </c:spPr>
          <c:invertIfNegative val="0"/>
          <c:cat>
            <c:strRef>
              <c:f>PAINEL!$A$15:$A$20</c:f>
            </c:strRef>
          </c:cat>
          <c:val>
            <c:numRef>
              <c:f>PAINEL!$C$15:$C$20</c:f>
              <c:numCache/>
            </c:numRef>
          </c:val>
        </c:ser>
        <c:ser>
          <c:idx val="2"/>
          <c:order val="2"/>
          <c:tx>
            <c:strRef>
              <c:f>PAINEL!$D$13:$D$14</c:f>
            </c:strRef>
          </c:tx>
          <c:spPr>
            <a:solidFill>
              <a:srgbClr val="6AA84F"/>
            </a:solidFill>
            <a:ln cmpd="sng">
              <a:noFill/>
            </a:ln>
          </c:spPr>
          <c:invertIfNegative val="0"/>
          <c:cat>
            <c:strRef>
              <c:f>PAINEL!$A$15:$A$20</c:f>
            </c:strRef>
          </c:cat>
          <c:val>
            <c:numRef>
              <c:f>PAINEL!$D$15:$D$20</c:f>
              <c:numCache/>
            </c:numRef>
          </c:val>
        </c:ser>
        <c:overlap val="100"/>
        <c:axId val="1454924775"/>
        <c:axId val="1007661892"/>
      </c:barChart>
      <c:lineChart>
        <c:ser>
          <c:idx val="3"/>
          <c:order val="3"/>
          <c:tx>
            <c:strRef>
              <c:f>PAINEL!$F$13:$F$14</c:f>
            </c:strRef>
          </c:tx>
          <c:spPr>
            <a:ln cmpd="sng">
              <a:solidFill>
                <a:srgbClr val="000000">
                  <a:alpha val="100000"/>
                </a:srgbClr>
              </a:solidFill>
            </a:ln>
          </c:spPr>
          <c:marker>
            <c:symbol val="none"/>
          </c:marker>
          <c:cat>
            <c:strRef>
              <c:f>PAINEL!$A$15:$A$20</c:f>
            </c:strRef>
          </c:cat>
          <c:val>
            <c:numRef>
              <c:f>PAINEL!$F$15:$F$20</c:f>
              <c:numCache/>
            </c:numRef>
          </c:val>
          <c:smooth val="0"/>
        </c:ser>
        <c:ser>
          <c:idx val="4"/>
          <c:order val="4"/>
          <c:tx>
            <c:strRef>
              <c:f>PAINEL!$G$13:$G$14</c:f>
            </c:strRef>
          </c:tx>
          <c:spPr>
            <a:ln cmpd="sng">
              <a:solidFill>
                <a:srgbClr val="999999">
                  <a:alpha val="100000"/>
                </a:srgbClr>
              </a:solidFill>
            </a:ln>
          </c:spPr>
          <c:marker>
            <c:symbol val="none"/>
          </c:marker>
          <c:cat>
            <c:strRef>
              <c:f>PAINEL!$A$15:$A$20</c:f>
            </c:strRef>
          </c:cat>
          <c:val>
            <c:numRef>
              <c:f>PAINEL!$G$15:$G$20</c:f>
              <c:numCache/>
            </c:numRef>
          </c:val>
          <c:smooth val="0"/>
        </c:ser>
        <c:axId val="1454924775"/>
        <c:axId val="1007661892"/>
      </c:lineChart>
      <c:catAx>
        <c:axId val="14549247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Motores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07661892"/>
      </c:catAx>
      <c:valAx>
        <c:axId val="1007661892"/>
        <c:scaling>
          <c:orientation val="minMax"/>
          <c:max val="1.6E8"/>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492477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Previsão de Necessidade de Desembolso por mês</a:t>
            </a:r>
          </a:p>
        </c:rich>
      </c:tx>
      <c:overlay val="0"/>
    </c:title>
    <c:plotArea>
      <c:layout/>
      <c:barChart>
        <c:barDir val="col"/>
        <c:grouping val="stacked"/>
        <c:ser>
          <c:idx val="0"/>
          <c:order val="0"/>
          <c:tx>
            <c:strRef>
              <c:f>'Página63'!$A$3:$B$3</c:f>
            </c:strRef>
          </c:tx>
          <c:invertIfNegative val="0"/>
          <c:cat>
            <c:strRef>
              <c:f>'Página63'!$C$2:$R$2</c:f>
            </c:strRef>
          </c:cat>
          <c:val>
            <c:numRef>
              <c:f>'Página63'!$C$3:$R$3</c:f>
              <c:numCache/>
            </c:numRef>
          </c:val>
        </c:ser>
        <c:ser>
          <c:idx val="1"/>
          <c:order val="1"/>
          <c:tx>
            <c:strRef>
              <c:f>'Página63'!$A$4:$B$4</c:f>
            </c:strRef>
          </c:tx>
          <c:invertIfNegative val="0"/>
          <c:cat>
            <c:strRef>
              <c:f>'Página63'!$C$2:$R$2</c:f>
            </c:strRef>
          </c:cat>
          <c:val>
            <c:numRef>
              <c:f>'Página63'!$C$4:$R$4</c:f>
              <c:numCache/>
            </c:numRef>
          </c:val>
        </c:ser>
        <c:ser>
          <c:idx val="2"/>
          <c:order val="2"/>
          <c:tx>
            <c:strRef>
              <c:f>'Página63'!$A$5:$B$5</c:f>
            </c:strRef>
          </c:tx>
          <c:invertIfNegative val="0"/>
          <c:cat>
            <c:strRef>
              <c:f>'Página63'!$C$2:$R$2</c:f>
            </c:strRef>
          </c:cat>
          <c:val>
            <c:numRef>
              <c:f>'Página63'!$C$5:$R$5</c:f>
              <c:numCache/>
            </c:numRef>
          </c:val>
        </c:ser>
        <c:ser>
          <c:idx val="3"/>
          <c:order val="3"/>
          <c:tx>
            <c:strRef>
              <c:f>'Página63'!$A$6:$B$6</c:f>
            </c:strRef>
          </c:tx>
          <c:invertIfNegative val="0"/>
          <c:cat>
            <c:strRef>
              <c:f>'Página63'!$C$2:$R$2</c:f>
            </c:strRef>
          </c:cat>
          <c:val>
            <c:numRef>
              <c:f>'Página63'!$C$6:$R$6</c:f>
              <c:numCache/>
            </c:numRef>
          </c:val>
        </c:ser>
        <c:ser>
          <c:idx val="4"/>
          <c:order val="4"/>
          <c:tx>
            <c:strRef>
              <c:f>'Página63'!$A$7:$B$7</c:f>
            </c:strRef>
          </c:tx>
          <c:invertIfNegative val="0"/>
          <c:cat>
            <c:strRef>
              <c:f>'Página63'!$C$2:$R$2</c:f>
            </c:strRef>
          </c:cat>
          <c:val>
            <c:numRef>
              <c:f>'Página63'!$C$7:$R$7</c:f>
              <c:numCache/>
            </c:numRef>
          </c:val>
        </c:ser>
        <c:ser>
          <c:idx val="5"/>
          <c:order val="5"/>
          <c:tx>
            <c:strRef>
              <c:f>'Página63'!$A$8:$B$8</c:f>
            </c:strRef>
          </c:tx>
          <c:invertIfNegative val="0"/>
          <c:cat>
            <c:strRef>
              <c:f>'Página63'!$C$2:$R$2</c:f>
            </c:strRef>
          </c:cat>
          <c:val>
            <c:numRef>
              <c:f>'Página63'!$C$8:$R$8</c:f>
              <c:numCache/>
            </c:numRef>
          </c:val>
        </c:ser>
        <c:ser>
          <c:idx val="6"/>
          <c:order val="6"/>
          <c:tx>
            <c:strRef>
              <c:f>'Página63'!$A$9:$B$9</c:f>
            </c:strRef>
          </c:tx>
          <c:invertIfNegative val="0"/>
          <c:cat>
            <c:strRef>
              <c:f>'Página63'!$C$2:$R$2</c:f>
            </c:strRef>
          </c:cat>
          <c:val>
            <c:numRef>
              <c:f>'Página63'!$C$9:$R$9</c:f>
              <c:numCache/>
            </c:numRef>
          </c:val>
        </c:ser>
        <c:overlap val="100"/>
        <c:axId val="1686272751"/>
        <c:axId val="1642861202"/>
      </c:barChart>
      <c:catAx>
        <c:axId val="16862727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42861202"/>
      </c:catAx>
      <c:valAx>
        <c:axId val="1642861202"/>
        <c:scaling>
          <c:orientation val="minMax"/>
        </c:scaling>
        <c:delete val="0"/>
        <c:axPos val="l"/>
        <c:tickLblPos val="nextTo"/>
        <c:spPr>
          <a:ln>
            <a:noFill/>
          </a:ln>
        </c:spPr>
        <c:crossAx val="168627275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Previsão de Indução de materiais/serviços por mês</a:t>
            </a:r>
          </a:p>
        </c:rich>
      </c:tx>
      <c:overlay val="0"/>
    </c:title>
    <c:plotArea>
      <c:layout/>
      <c:areaChart>
        <c:grouping val="stacked"/>
        <c:axId val="941832565"/>
        <c:axId val="37835660"/>
      </c:areaChart>
      <c:catAx>
        <c:axId val="9418325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7835660"/>
      </c:catAx>
      <c:valAx>
        <c:axId val="37835660"/>
        <c:scaling>
          <c:orientation val="minMax"/>
        </c:scaling>
        <c:delete val="0"/>
        <c:axPos val="l"/>
        <c:tickLblPos val="nextTo"/>
        <c:spPr>
          <a:ln>
            <a:noFill/>
          </a:ln>
        </c:spPr>
        <c:crossAx val="941832565"/>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219075</xdr:colOff>
      <xdr:row>21</xdr:row>
      <xdr:rowOff>123825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219075</xdr:colOff>
      <xdr:row>40</xdr:row>
      <xdr:rowOff>28575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428625</xdr:colOff>
      <xdr:row>23</xdr:row>
      <xdr:rowOff>76200</xdr:rowOff>
    </xdr:from>
    <xdr:ext cx="10553700" cy="48291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28575</xdr:colOff>
      <xdr:row>23</xdr:row>
      <xdr:rowOff>76200</xdr:rowOff>
    </xdr:from>
    <xdr:ext cx="10553700" cy="4829175"/>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headerRowCount="0" ref="A33:P47" displayName="Table_1" name="Table_1" id="1">
  <tableColumns count="16">
    <tableColumn totalsRowLabel="TOTAL" name="Column1" id="1"/>
    <tableColumn totalsRowFunction="custom" name="Column2" id="2"/>
    <tableColumn totalsRowFunction="custom" name="Column3" id="3"/>
    <tableColumn totalsRowFunction="custom" name="Column4" id="4"/>
    <tableColumn totalsRowFunction="custom" name="Column5" id="5"/>
    <tableColumn totalsRowFunction="custom" name="Column6" id="6"/>
    <tableColumn totalsRowFunction="custom" name="Column7" id="7"/>
    <tableColumn totalsRowFunction="custom" name="Column8" id="8"/>
    <tableColumn totalsRowFunction="custom" name="Column9" id="9"/>
    <tableColumn totalsRowFunction="custom" name="Column10" id="10"/>
    <tableColumn totalsRowFunction="custom" name="Column11" id="11"/>
    <tableColumn totalsRowFunction="custom" name="Column12" id="12"/>
    <tableColumn totalsRowFunction="custom" name="Column13" id="13"/>
    <tableColumn totalsRowFunction="custom" name="Column14" id="14"/>
    <tableColumn totalsRowFunction="custom" name="Column15" id="15"/>
    <tableColumn name="Column16" id="16"/>
  </tableColumns>
  <tableStyleInfo name="CFF 2025-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E1:F2695" displayName="Table_2" name="Table_2" id="2">
  <tableColumns count="2">
    <tableColumn name="Column1" id="1"/>
    <tableColumn name="Column2" id="2"/>
  </tableColumns>
  <tableStyleInfo name="Novas Linhas-style" showColumnStripes="0" showFirstColumn="1" showLastColumn="1" showRowStripes="1"/>
</table>
</file>

<file path=xl/tables/table3.xml><?xml version="1.0" encoding="utf-8"?>
<table xmlns="http://schemas.openxmlformats.org/spreadsheetml/2006/main" headerRowCount="0" ref="A2:A1541" displayName="Table_3" name="Table_3" id="3">
  <tableColumns count="1">
    <tableColumn name="Column1" id="1"/>
  </tableColumns>
  <tableStyleInfo name="Novas Linhas-style 2" showColumnStripes="0" showFirstColumn="1" showLastColumn="1" showRowStripes="1"/>
</table>
</file>

<file path=xl/tables/table4.xml><?xml version="1.0" encoding="utf-8"?>
<table xmlns="http://schemas.openxmlformats.org/spreadsheetml/2006/main" headerRowCount="0" ref="B13:B51" displayName="Table_4" name="Table_4" id="4">
  <tableColumns count="1">
    <tableColumn name="Column1" id="1"/>
  </tableColumns>
  <tableStyleInfo name="Solicitações DIRMA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2.xml"/><Relationship Id="rId5"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0.25"/>
    <col customWidth="1" min="2" max="2" width="11.38"/>
    <col customWidth="1" min="3" max="4" width="8.63"/>
    <col customWidth="1" min="5" max="5" width="13.13"/>
    <col customWidth="1" min="6" max="6" width="10.13"/>
    <col customWidth="1" min="8" max="8" width="15.13"/>
    <col customWidth="1" min="9" max="9" width="23.63"/>
    <col customWidth="1" hidden="1" min="10" max="10" width="27.88"/>
    <col customWidth="1" hidden="1" min="11" max="11" width="31.63"/>
    <col customWidth="1" hidden="1" min="12" max="12" width="6.88"/>
    <col customWidth="1" min="13" max="13" width="34.25"/>
    <col customWidth="1" min="14" max="14" width="35.63"/>
    <col customWidth="1" min="17" max="17" width="10.63"/>
    <col customWidth="1" min="18" max="18" width="7.75"/>
    <col customWidth="1" min="19" max="19" width="12.25"/>
    <col customWidth="1" min="20" max="20" width="12.5"/>
    <col customWidth="1" min="21" max="21" width="10.63"/>
  </cols>
  <sheetData>
    <row r="1">
      <c r="A1" s="1"/>
      <c r="B1" s="2"/>
      <c r="C1" s="3"/>
      <c r="D1" s="3"/>
      <c r="E1" s="2"/>
      <c r="F1" s="4"/>
      <c r="G1" s="2"/>
      <c r="H1" s="2"/>
      <c r="I1" s="2"/>
      <c r="J1" s="5" t="s">
        <v>0</v>
      </c>
      <c r="K1" s="6"/>
      <c r="L1" s="7"/>
      <c r="M1" s="2"/>
      <c r="N1" s="2"/>
      <c r="O1" s="8"/>
      <c r="P1" s="2"/>
      <c r="Q1" s="9"/>
      <c r="R1" s="2"/>
      <c r="S1" s="10"/>
      <c r="T1" s="10"/>
      <c r="U1" s="11"/>
      <c r="V1" s="12"/>
      <c r="W1" s="12"/>
      <c r="X1" s="12"/>
      <c r="Y1" s="12"/>
      <c r="Z1" s="12"/>
      <c r="AA1" s="12"/>
      <c r="AB1" s="12"/>
      <c r="AC1" s="12"/>
      <c r="AD1" s="12"/>
      <c r="AE1" s="12"/>
      <c r="AF1" s="12"/>
      <c r="AG1" s="12"/>
      <c r="AH1" s="12"/>
      <c r="AI1" s="12"/>
      <c r="AJ1" s="12"/>
      <c r="AK1" s="12"/>
      <c r="AL1" s="12"/>
      <c r="AM1" s="12"/>
    </row>
    <row r="2">
      <c r="A2" s="16" t="s">
        <v>6</v>
      </c>
      <c r="B2" s="17" t="s">
        <v>8</v>
      </c>
      <c r="C2" s="18" t="s">
        <v>11</v>
      </c>
      <c r="D2" s="19" t="s">
        <v>14</v>
      </c>
      <c r="E2" s="17" t="s">
        <v>15</v>
      </c>
      <c r="F2" s="20" t="s">
        <v>16</v>
      </c>
      <c r="G2" s="17" t="s">
        <v>17</v>
      </c>
      <c r="H2" s="17" t="s">
        <v>18</v>
      </c>
      <c r="I2" s="17" t="s">
        <v>19</v>
      </c>
      <c r="J2" s="21" t="s">
        <v>20</v>
      </c>
      <c r="K2" s="22" t="s">
        <v>21</v>
      </c>
      <c r="L2" s="23" t="s">
        <v>6</v>
      </c>
      <c r="M2" s="17" t="s">
        <v>24</v>
      </c>
      <c r="N2" s="17" t="s">
        <v>25</v>
      </c>
      <c r="O2" s="24" t="s">
        <v>26</v>
      </c>
      <c r="P2" s="25" t="s">
        <v>27</v>
      </c>
      <c r="Q2" s="26" t="s">
        <v>28</v>
      </c>
      <c r="R2" s="17" t="s">
        <v>29</v>
      </c>
      <c r="S2" s="27" t="s">
        <v>30</v>
      </c>
      <c r="T2" s="27" t="s">
        <v>31</v>
      </c>
      <c r="U2" s="28" t="s">
        <v>32</v>
      </c>
      <c r="V2" s="29"/>
      <c r="W2" s="29"/>
      <c r="X2" s="29"/>
      <c r="Y2" s="29"/>
      <c r="Z2" s="29"/>
      <c r="AA2" s="29"/>
      <c r="AB2" s="29"/>
      <c r="AC2" s="29"/>
      <c r="AD2" s="29"/>
      <c r="AE2" s="29"/>
      <c r="AF2" s="29"/>
      <c r="AG2" s="29"/>
      <c r="AH2" s="29"/>
      <c r="AI2" s="29"/>
      <c r="AJ2" s="29"/>
      <c r="AK2" s="29"/>
      <c r="AL2" s="29"/>
      <c r="AM2" s="29"/>
    </row>
    <row r="3">
      <c r="A3" s="31" t="s">
        <v>39</v>
      </c>
      <c r="B3" s="32">
        <v>10000.0</v>
      </c>
      <c r="C3" s="33" t="str">
        <f t="array" ref="C3">INDEX('MTA 28-09'!B:B,MATCH(B3,'MTA 28-09'!A:A,0))</f>
        <v>SIM</v>
      </c>
      <c r="D3" s="34">
        <f t="array" ref="D3">INDEX('MTA 28-09'!D:D,MATCH(B3,'MTA 28-09'!A:A,0))</f>
        <v>2048</v>
      </c>
      <c r="E3" s="32" t="str">
        <f t="array" ref="E3">INDEX('MTA 28-09'!F:F,MATCH(B3,'MTA 28-09'!A:A,0))</f>
        <v>ATENDIDO</v>
      </c>
      <c r="F3" s="35">
        <f t="array" ref="F3">INDEX('MTA 28-09'!I:I,MATCH(B3,'MTA 28-09'!A:A,0))</f>
        <v>46052</v>
      </c>
      <c r="G3" s="36" t="str">
        <f t="array" ref="G3">INDEX('MTA 28-09'!J:J,MATCH(B3,'MTA 28-09'!A:A,0))</f>
        <v>C26059</v>
      </c>
      <c r="H3" s="37">
        <v>1.0</v>
      </c>
      <c r="I3" s="38"/>
      <c r="J3" s="39"/>
      <c r="K3" s="40"/>
      <c r="L3" s="39" t="str">
        <f t="array" ref="L3">INDEX('MTA 28-09'!S:S,MATCH(B3,'MTA 28-09'!A:A,0))</f>
        <v>A-29</v>
      </c>
      <c r="M3" s="41" t="str">
        <f t="array" ref="M3">INDEX('MTA 28-09'!T:T,MATCH(B3,'MTA 28-09'!A:A,0))</f>
        <v>CTT 102/CELOG-PAMALS/2023 – EMBRAER - PSLI</v>
      </c>
      <c r="N3" s="32" t="str">
        <f t="array" ref="N3">INDEX('MTA 28-09'!U:U,MATCH(B3,'MTA 28-09'!A:A,0))</f>
        <v>Parcela Fixa 01/12</v>
      </c>
      <c r="O3" s="59">
        <f t="array" ref="O3">INDEX('MTA 28-09'!AC:AC,MATCH(B3,'MTA 28-09'!A:A,0))</f>
        <v>664243.94</v>
      </c>
      <c r="P3" s="32" t="str">
        <f t="array" ref="P3">INDEX('MTA 28-09'!N:N,MATCH(B3,'MTA 28-09'!A:A,0))</f>
        <v>CELOG</v>
      </c>
      <c r="Q3" s="67" t="str">
        <f t="array" ref="Q3">INDEX('MTA 28-09'!Z:Z,MATCH(B3,'MTA 28-09'!A:A,0))</f>
        <v>339039</v>
      </c>
      <c r="R3" s="32" t="str">
        <f t="array" ref="R3">INDEX('MTA 28-09'!L:L,MATCH(B3,'MTA 28-09'!A:A,0))</f>
        <v>A</v>
      </c>
      <c r="S3" s="72" t="str">
        <f t="array" ref="S3">INDEX('MTA 28-09'!X:X,MATCH(B3,'MTA 28-09'!A:A,0))</f>
        <v>PARCELA FIXA</v>
      </c>
      <c r="T3" s="72" t="str">
        <f t="array" ref="T3">INDEX('MTA 28-09'!W:W,MATCH(B3,'MTA 28-09'!A:A,0))</f>
        <v>Não</v>
      </c>
      <c r="U3" s="81">
        <f t="array" ref="U3">INDEX('MTA 28-09'!AE:AE,MATCH(B3,'MTA 28-09'!A:A,0))</f>
        <v>46107</v>
      </c>
      <c r="V3" s="12"/>
      <c r="W3" s="12"/>
      <c r="X3" s="12"/>
      <c r="Y3" s="12"/>
      <c r="Z3" s="12"/>
      <c r="AA3" s="12"/>
      <c r="AB3" s="12"/>
      <c r="AC3" s="12"/>
      <c r="AD3" s="12"/>
      <c r="AE3" s="12"/>
      <c r="AF3" s="12"/>
      <c r="AG3" s="12"/>
      <c r="AH3" s="12"/>
      <c r="AI3" s="12"/>
      <c r="AJ3" s="12"/>
      <c r="AK3" s="12"/>
      <c r="AL3" s="12"/>
      <c r="AM3" s="12"/>
    </row>
    <row r="4">
      <c r="A4" s="88" t="s">
        <v>39</v>
      </c>
      <c r="B4" s="90">
        <v>10001.0</v>
      </c>
      <c r="C4" s="92" t="str">
        <f t="array" ref="C4">INDEX('MTA 28-09'!B:B,MATCH(B4,'MTA 28-09'!A:A,0))</f>
        <v>SIM</v>
      </c>
      <c r="D4" s="95">
        <f t="array" ref="D4">INDEX('MTA 28-09'!D:D,MATCH(B4,'MTA 28-09'!A:A,0))</f>
        <v>2048</v>
      </c>
      <c r="E4" s="98" t="str">
        <f t="array" ref="E4">INDEX('MTA 28-09'!F:F,MATCH(B4,'MTA 28-09'!A:A,0))</f>
        <v>ATENDIDO</v>
      </c>
      <c r="F4" s="99">
        <f t="array" ref="F4">INDEX('MTA 28-09'!I:I,MATCH(B4,'MTA 28-09'!A:A,0))</f>
        <v>46052</v>
      </c>
      <c r="G4" s="100" t="str">
        <f t="array" ref="G4">INDEX('MTA 28-09'!J:J,MATCH(B4,'MTA 28-09'!A:A,0))</f>
        <v>C26065</v>
      </c>
      <c r="H4" s="101">
        <v>1.0</v>
      </c>
      <c r="I4" s="90"/>
      <c r="J4" s="102"/>
      <c r="K4" s="103"/>
      <c r="L4" s="102" t="str">
        <f t="array" ref="L4">INDEX('MTA 28-09'!S:S,MATCH(B4,'MTA 28-09'!A:A,0))</f>
        <v>A-29</v>
      </c>
      <c r="M4" s="98" t="str">
        <f t="array" ref="M4">INDEX('MTA 28-09'!T:T,MATCH(B4,'MTA 28-09'!A:A,0))</f>
        <v>CTT 102/CELOG-PAMALS/2023 – EMBRAER - PSLI</v>
      </c>
      <c r="N4" s="98" t="str">
        <f t="array" ref="N4">INDEX('MTA 28-09'!U:U,MATCH(B4,'MTA 28-09'!A:A,0))</f>
        <v>Parcela Fixa 01/12</v>
      </c>
      <c r="O4" s="104">
        <f t="array" ref="O4">INDEX('MTA 28-09'!AC:AC,MATCH(B4,'MTA 28-09'!A:A,0))</f>
        <v>1645756.06</v>
      </c>
      <c r="P4" s="98" t="str">
        <f t="array" ref="P4">INDEX('MTA 28-09'!N:N,MATCH(B4,'MTA 28-09'!A:A,0))</f>
        <v>CELOG</v>
      </c>
      <c r="Q4" s="105" t="str">
        <f t="array" ref="Q4">INDEX('MTA 28-09'!Z:Z,MATCH(B4,'MTA 28-09'!A:A,0))</f>
        <v>339039</v>
      </c>
      <c r="R4" s="98" t="str">
        <f t="array" ref="R4">INDEX('MTA 28-09'!L:L,MATCH(B4,'MTA 28-09'!A:A,0))</f>
        <v>A</v>
      </c>
      <c r="S4" s="107" t="str">
        <f t="array" ref="S4">INDEX('MTA 28-09'!X:X,MATCH(B4,'MTA 28-09'!A:A,0))</f>
        <v>PARCELA FIXA</v>
      </c>
      <c r="T4" s="107" t="str">
        <f t="array" ref="T4">INDEX('MTA 28-09'!W:W,MATCH(B4,'MTA 28-09'!A:A,0))</f>
        <v>Não</v>
      </c>
      <c r="U4" s="109">
        <f t="array" ref="U4">INDEX('MTA 28-09'!AE:AE,MATCH(B4,'MTA 28-09'!A:A,0))</f>
        <v>46107</v>
      </c>
      <c r="V4" s="29"/>
      <c r="W4" s="29"/>
      <c r="X4" s="29"/>
      <c r="Y4" s="29"/>
      <c r="Z4" s="29"/>
      <c r="AA4" s="29"/>
      <c r="AB4" s="29"/>
      <c r="AC4" s="29"/>
      <c r="AD4" s="29"/>
      <c r="AE4" s="29"/>
      <c r="AF4" s="29"/>
      <c r="AG4" s="29"/>
      <c r="AH4" s="29"/>
      <c r="AI4" s="29"/>
      <c r="AJ4" s="29"/>
      <c r="AK4" s="29"/>
      <c r="AL4" s="29"/>
      <c r="AM4" s="29"/>
    </row>
    <row r="5">
      <c r="A5" s="31" t="s">
        <v>44</v>
      </c>
      <c r="B5" s="32">
        <v>10020.0</v>
      </c>
      <c r="C5" s="33" t="str">
        <f t="array" ref="C5">INDEX('MTA 28-09'!B:B,MATCH(B5,'MTA 28-09'!A:A,0))</f>
        <v>SIM</v>
      </c>
      <c r="D5" s="34">
        <f t="array" ref="D5">INDEX('MTA 28-09'!D:D,MATCH(B5,'MTA 28-09'!A:A,0))</f>
        <v>2048</v>
      </c>
      <c r="E5" s="32" t="str">
        <f t="array" ref="E5">INDEX('MTA 28-09'!F:F,MATCH(B5,'MTA 28-09'!A:A,0))</f>
        <v>ATENDIDO</v>
      </c>
      <c r="F5" s="35">
        <f t="array" ref="F5">INDEX('MTA 28-09'!I:I,MATCH(B5,'MTA 28-09'!A:A,0))</f>
        <v>46041</v>
      </c>
      <c r="G5" s="36" t="str">
        <f t="array" ref="G5">INDEX('MTA 28-09'!J:J,MATCH(B5,'MTA 28-09'!A:A,0))</f>
        <v>C26050</v>
      </c>
      <c r="H5" s="37">
        <v>1.0</v>
      </c>
      <c r="I5" s="38"/>
      <c r="J5" s="39"/>
      <c r="K5" s="40"/>
      <c r="L5" s="39" t="str">
        <f t="array" ref="L5">INDEX('MTA 28-09'!S:S,MATCH(B5,'MTA 28-09'!A:A,0))</f>
        <v>C-97</v>
      </c>
      <c r="M5" s="32" t="str">
        <f t="array" ref="M5">INDEX('MTA 28-09'!T:T,MATCH(B5,'MTA 28-09'!A:A,0))</f>
        <v>CTT 096/CAE-PAMALS/2021 - CLS C-97</v>
      </c>
      <c r="N5" s="32" t="str">
        <f t="array" ref="N5">INDEX('MTA 28-09'!U:U,MATCH(B5,'MTA 28-09'!A:A,0))</f>
        <v>Parcela Fixa 01/12</v>
      </c>
      <c r="O5" s="59">
        <f t="array" ref="O5">INDEX('MTA 28-09'!AC:AC,MATCH(B5,'MTA 28-09'!A:A,0))</f>
        <v>332718.75</v>
      </c>
      <c r="P5" s="32" t="str">
        <f t="array" ref="P5">INDEX('MTA 28-09'!N:N,MATCH(B5,'MTA 28-09'!A:A,0))</f>
        <v>CELOG</v>
      </c>
      <c r="Q5" s="67" t="str">
        <f t="array" ref="Q5">INDEX('MTA 28-09'!Z:Z,MATCH(B5,'MTA 28-09'!A:A,0))</f>
        <v>339039</v>
      </c>
      <c r="R5" s="121" t="str">
        <f t="array" ref="R5">INDEX('MTA 28-09'!L:L,MATCH(B5,'MTA 28-09'!A:A,0))</f>
        <v>A</v>
      </c>
      <c r="S5" s="72" t="str">
        <f t="array" ref="S5">INDEX('MTA 28-09'!X:X,MATCH(B5,'MTA 28-09'!A:A,0))</f>
        <v>PARCELA FIXA</v>
      </c>
      <c r="T5" s="72" t="str">
        <f t="array" ref="T5">INDEX('MTA 28-09'!W:W,MATCH(B5,'MTA 28-09'!A:A,0))</f>
        <v>Não</v>
      </c>
      <c r="U5" s="81">
        <f t="array" ref="U5">INDEX('MTA 28-09'!AE:AE,MATCH(B5,'MTA 28-09'!A:A,0))</f>
        <v>46107</v>
      </c>
      <c r="V5" s="12"/>
      <c r="W5" s="12"/>
      <c r="X5" s="12"/>
      <c r="Y5" s="12"/>
      <c r="Z5" s="12"/>
      <c r="AA5" s="12"/>
      <c r="AB5" s="12"/>
      <c r="AC5" s="12"/>
      <c r="AD5" s="12"/>
      <c r="AE5" s="12"/>
      <c r="AF5" s="12"/>
      <c r="AG5" s="12"/>
      <c r="AH5" s="12"/>
      <c r="AI5" s="12"/>
      <c r="AJ5" s="12"/>
      <c r="AK5" s="12"/>
      <c r="AL5" s="12"/>
      <c r="AM5" s="12"/>
    </row>
    <row r="6">
      <c r="A6" s="88" t="s">
        <v>44</v>
      </c>
      <c r="B6" s="98">
        <v>10040.0</v>
      </c>
      <c r="C6" s="92" t="str">
        <f t="array" ref="C6">INDEX('MTA 28-09'!B:B,MATCH(B6,'MTA 28-09'!A:A,0))</f>
        <v>SIM</v>
      </c>
      <c r="D6" s="95">
        <f t="array" ref="D6">INDEX('MTA 28-09'!D:D,MATCH(B6,'MTA 28-09'!A:A,0))</f>
        <v>2048</v>
      </c>
      <c r="E6" s="98" t="str">
        <f t="array" ref="E6">INDEX('MTA 28-09'!F:F,MATCH(B6,'MTA 28-09'!A:A,0))</f>
        <v>ATENDIDO</v>
      </c>
      <c r="F6" s="99">
        <f t="array" ref="F6">INDEX('MTA 28-09'!I:I,MATCH(B6,'MTA 28-09'!A:A,0))</f>
        <v>46041</v>
      </c>
      <c r="G6" s="100" t="str">
        <f t="array" ref="G6">INDEX('MTA 28-09'!J:J,MATCH(B6,'MTA 28-09'!A:A,0))</f>
        <v>C26052</v>
      </c>
      <c r="H6" s="101">
        <v>1.0</v>
      </c>
      <c r="I6" s="90"/>
      <c r="J6" s="102"/>
      <c r="K6" s="103"/>
      <c r="L6" s="102" t="str">
        <f t="array" ref="L6">INDEX('MTA 28-09'!S:S,MATCH(B6,'MTA 28-09'!A:A,0))</f>
        <v>C-97</v>
      </c>
      <c r="M6" s="98" t="str">
        <f t="array" ref="M6">INDEX('MTA 28-09'!T:T,MATCH(B6,'MTA 28-09'!A:A,0))</f>
        <v>CTT 096/CAE-PAMALS/2021 - CLS C-97</v>
      </c>
      <c r="N6" s="98" t="str">
        <f t="array" ref="N6">INDEX('MTA 28-09'!U:U,MATCH(B6,'MTA 28-09'!A:A,0))</f>
        <v>Hora de Voo 2025 (520HV voadas a mais)</v>
      </c>
      <c r="O6" s="104">
        <f t="array" ref="O6">INDEX('MTA 28-09'!AC:AC,MATCH(B6,'MTA 28-09'!A:A,0))</f>
        <v>581400</v>
      </c>
      <c r="P6" s="98" t="str">
        <f t="array" ref="P6">INDEX('MTA 28-09'!N:N,MATCH(B6,'MTA 28-09'!A:A,0))</f>
        <v>CELOG</v>
      </c>
      <c r="Q6" s="105" t="str">
        <f t="array" ref="Q6">INDEX('MTA 28-09'!Z:Z,MATCH(B6,'MTA 28-09'!A:A,0))</f>
        <v>339039</v>
      </c>
      <c r="R6" s="98" t="str">
        <f t="array" ref="R6">INDEX('MTA 28-09'!L:L,MATCH(B6,'MTA 28-09'!A:A,0))</f>
        <v>A</v>
      </c>
      <c r="S6" s="107" t="str">
        <f t="array" ref="S6">INDEX('MTA 28-09'!X:X,MATCH(B6,'MTA 28-09'!A:A,0))</f>
        <v>HORA DE VOO</v>
      </c>
      <c r="T6" s="107" t="str">
        <f t="array" ref="T6">INDEX('MTA 28-09'!W:W,MATCH(B6,'MTA 28-09'!A:A,0))</f>
        <v>Não</v>
      </c>
      <c r="U6" s="109">
        <f t="array" ref="U6">INDEX('MTA 28-09'!AE:AE,MATCH(B6,'MTA 28-09'!A:A,0))</f>
        <v>46107</v>
      </c>
      <c r="V6" s="29"/>
      <c r="W6" s="29"/>
      <c r="X6" s="29"/>
      <c r="Y6" s="29"/>
      <c r="Z6" s="29"/>
      <c r="AA6" s="29"/>
      <c r="AB6" s="29"/>
      <c r="AC6" s="29"/>
      <c r="AD6" s="29"/>
      <c r="AE6" s="29"/>
      <c r="AF6" s="29"/>
      <c r="AG6" s="29"/>
      <c r="AH6" s="29"/>
      <c r="AI6" s="29"/>
      <c r="AJ6" s="29"/>
      <c r="AK6" s="29"/>
      <c r="AL6" s="29"/>
      <c r="AM6" s="29"/>
    </row>
    <row r="7">
      <c r="A7" s="31" t="s">
        <v>44</v>
      </c>
      <c r="B7" s="32">
        <v>10060.0</v>
      </c>
      <c r="C7" s="33" t="str">
        <f t="array" ref="C7">INDEX('MTA 28-09'!B:B,MATCH(B7,'MTA 28-09'!A:A,0))</f>
        <v>SIM</v>
      </c>
      <c r="D7" s="34">
        <f t="array" ref="D7">INDEX('MTA 28-09'!D:D,MATCH(B7,'MTA 28-09'!A:A,0))</f>
        <v>2048</v>
      </c>
      <c r="E7" s="32" t="str">
        <f t="array" ref="E7">INDEX('MTA 28-09'!F:F,MATCH(B7,'MTA 28-09'!A:A,0))</f>
        <v>ATENDIDO</v>
      </c>
      <c r="F7" s="137">
        <f t="array" ref="F7">INDEX('MTA 28-09'!I:I,MATCH(B7,'MTA 28-09'!A:A,0))</f>
        <v>46055</v>
      </c>
      <c r="G7" s="36" t="str">
        <f t="array" ref="G7">INDEX('MTA 28-09'!J:J,MATCH(B7,'MTA 28-09'!A:A,0))</f>
        <v>C26070</v>
      </c>
      <c r="H7" s="37">
        <v>1.0</v>
      </c>
      <c r="I7" s="38"/>
      <c r="J7" s="39"/>
      <c r="K7" s="40"/>
      <c r="L7" s="39" t="str">
        <f t="array" ref="L7">INDEX('MTA 28-09'!S:S,MATCH(B7,'MTA 28-09'!A:A,0))</f>
        <v>C-97</v>
      </c>
      <c r="M7" s="32" t="str">
        <f t="array" ref="M7">INDEX('MTA 28-09'!T:T,MATCH(B7,'MTA 28-09'!A:A,0))</f>
        <v>CTT 096/CAE-PAMALS/2021 - CLS C-97</v>
      </c>
      <c r="N7" s="32" t="str">
        <f t="array" ref="N7">INDEX('MTA 28-09'!U:U,MATCH(B7,'MTA 28-09'!A:A,0))</f>
        <v>Hora de Voo 01/09 (500HV)</v>
      </c>
      <c r="O7" s="59">
        <f t="array" ref="O7">INDEX('MTA 28-09'!AC:AC,MATCH(B7,'MTA 28-09'!A:A,0))</f>
        <v>2182992.97</v>
      </c>
      <c r="P7" s="32" t="str">
        <f t="array" ref="P7">INDEX('MTA 28-09'!N:N,MATCH(B7,'MTA 28-09'!A:A,0))</f>
        <v>CELOG</v>
      </c>
      <c r="Q7" s="67" t="str">
        <f t="array" ref="Q7">INDEX('MTA 28-09'!Z:Z,MATCH(B7,'MTA 28-09'!A:A,0))</f>
        <v>339039</v>
      </c>
      <c r="R7" s="32" t="str">
        <f t="array" ref="R7">INDEX('MTA 28-09'!L:L,MATCH(B7,'MTA 28-09'!A:A,0))</f>
        <v>A</v>
      </c>
      <c r="S7" s="72" t="str">
        <f t="array" ref="S7">INDEX('MTA 28-09'!X:X,MATCH(B7,'MTA 28-09'!A:A,0))</f>
        <v>HORA DE VOO</v>
      </c>
      <c r="T7" s="72" t="str">
        <f t="array" ref="T7">INDEX('MTA 28-09'!W:W,MATCH(B7,'MTA 28-09'!A:A,0))</f>
        <v>Não</v>
      </c>
      <c r="U7" s="81">
        <f t="array" ref="U7">INDEX('MTA 28-09'!AE:AE,MATCH(B7,'MTA 28-09'!A:A,0))</f>
        <v>46107</v>
      </c>
      <c r="V7" s="12"/>
      <c r="W7" s="12"/>
      <c r="X7" s="12"/>
      <c r="Y7" s="12"/>
      <c r="Z7" s="12"/>
      <c r="AA7" s="12"/>
      <c r="AB7" s="12"/>
      <c r="AC7" s="12"/>
      <c r="AD7" s="12"/>
      <c r="AE7" s="12"/>
      <c r="AF7" s="12"/>
      <c r="AG7" s="12"/>
      <c r="AH7" s="12"/>
      <c r="AI7" s="12"/>
      <c r="AJ7" s="12"/>
      <c r="AK7" s="12"/>
      <c r="AL7" s="12"/>
      <c r="AM7" s="12"/>
    </row>
    <row r="8">
      <c r="A8" s="88" t="s">
        <v>44</v>
      </c>
      <c r="B8" s="90">
        <v>10061.0</v>
      </c>
      <c r="C8" s="92" t="str">
        <f t="array" ref="C8">INDEX('MTA 28-09'!B:B,MATCH(B8,'MTA 28-09'!A:A,0))</f>
        <v>SIM</v>
      </c>
      <c r="D8" s="95">
        <f t="array" ref="D8">INDEX('MTA 28-09'!D:D,MATCH(B8,'MTA 28-09'!A:A,0))</f>
        <v>2048</v>
      </c>
      <c r="E8" s="98" t="str">
        <f t="array" ref="E8">INDEX('MTA 28-09'!F:F,MATCH(B8,'MTA 28-09'!A:A,0))</f>
        <v>ATENDIDO</v>
      </c>
      <c r="F8" s="144">
        <f t="array" ref="F8">INDEX('MTA 28-09'!I:I,MATCH(B8,'MTA 28-09'!A:A,0))</f>
        <v>46057</v>
      </c>
      <c r="G8" s="100" t="str">
        <f t="array" ref="G8">INDEX('MTA 28-09'!J:J,MATCH(B8,'MTA 28-09'!A:A,0))</f>
        <v>C26079</v>
      </c>
      <c r="H8" s="101">
        <v>1.0</v>
      </c>
      <c r="I8" s="90"/>
      <c r="J8" s="102"/>
      <c r="K8" s="103"/>
      <c r="L8" s="102" t="str">
        <f t="array" ref="L8">INDEX('MTA 28-09'!S:S,MATCH(B8,'MTA 28-09'!A:A,0))</f>
        <v>C-97</v>
      </c>
      <c r="M8" s="98" t="str">
        <f t="array" ref="M8">INDEX('MTA 28-09'!T:T,MATCH(B8,'MTA 28-09'!A:A,0))</f>
        <v>CTT 096/CAE-PAMALS/2021 - CLS C-97</v>
      </c>
      <c r="N8" s="98" t="str">
        <f t="array" ref="N8">INDEX('MTA 28-09'!U:U,MATCH(B8,'MTA 28-09'!A:A,0))</f>
        <v>Hora de Voo 01/09 (500HV)</v>
      </c>
      <c r="O8" s="104">
        <f t="array" ref="O8">INDEX('MTA 28-09'!AC:AC,MATCH(B8,'MTA 28-09'!A:A,0))</f>
        <v>221702.86</v>
      </c>
      <c r="P8" s="98" t="str">
        <f t="array" ref="P8">INDEX('MTA 28-09'!N:N,MATCH(B8,'MTA 28-09'!A:A,0))</f>
        <v>CELOG</v>
      </c>
      <c r="Q8" s="105" t="str">
        <f t="array" ref="Q8">INDEX('MTA 28-09'!Z:Z,MATCH(B8,'MTA 28-09'!A:A,0))</f>
        <v>339039</v>
      </c>
      <c r="R8" s="98" t="str">
        <f t="array" ref="R8">INDEX('MTA 28-09'!L:L,MATCH(B8,'MTA 28-09'!A:A,0))</f>
        <v>A</v>
      </c>
      <c r="S8" s="107" t="str">
        <f t="array" ref="S8">INDEX('MTA 28-09'!X:X,MATCH(B8,'MTA 28-09'!A:A,0))</f>
        <v>HORA DE VOO</v>
      </c>
      <c r="T8" s="107" t="str">
        <f t="array" ref="T8">INDEX('MTA 28-09'!W:W,MATCH(B8,'MTA 28-09'!A:A,0))</f>
        <v>Não</v>
      </c>
      <c r="U8" s="109">
        <f t="array" ref="U8">INDEX('MTA 28-09'!AE:AE,MATCH(B8,'MTA 28-09'!A:A,0))</f>
        <v>46107</v>
      </c>
      <c r="V8" s="29"/>
      <c r="W8" s="29"/>
      <c r="X8" s="29"/>
      <c r="Y8" s="29"/>
      <c r="Z8" s="29"/>
      <c r="AA8" s="29"/>
      <c r="AB8" s="29"/>
      <c r="AC8" s="29"/>
      <c r="AD8" s="29"/>
      <c r="AE8" s="29"/>
      <c r="AF8" s="29"/>
      <c r="AG8" s="29"/>
      <c r="AH8" s="29"/>
      <c r="AI8" s="29"/>
      <c r="AJ8" s="29"/>
      <c r="AK8" s="29"/>
      <c r="AL8" s="29"/>
      <c r="AM8" s="29"/>
    </row>
    <row r="9">
      <c r="A9" s="31" t="s">
        <v>44</v>
      </c>
      <c r="B9" s="38">
        <v>10062.0</v>
      </c>
      <c r="C9" s="33" t="str">
        <f t="array" ref="C9">INDEX('MTA 28-09'!B:B,MATCH(B9,'MTA 28-09'!A:A,0))</f>
        <v>SIM</v>
      </c>
      <c r="D9" s="34">
        <f t="array" ref="D9">INDEX('MTA 28-09'!D:D,MATCH(B9,'MTA 28-09'!A:A,0))</f>
        <v>2048</v>
      </c>
      <c r="E9" s="32" t="str">
        <f t="array" ref="E9">INDEX('MTA 28-09'!F:F,MATCH(B9,'MTA 28-09'!A:A,0))</f>
        <v>ATENDIDO</v>
      </c>
      <c r="F9" s="137">
        <f t="array" ref="F9">INDEX('MTA 28-09'!I:I,MATCH(B9,'MTA 28-09'!A:A,0))</f>
        <v>46055</v>
      </c>
      <c r="G9" s="36" t="str">
        <f t="array" ref="G9">INDEX('MTA 28-09'!J:J,MATCH(B9,'MTA 28-09'!A:A,0))</f>
        <v>C26070</v>
      </c>
      <c r="H9" s="37">
        <v>1.0</v>
      </c>
      <c r="I9" s="38"/>
      <c r="J9" s="39"/>
      <c r="K9" s="40"/>
      <c r="L9" s="39" t="str">
        <f t="array" ref="L9">INDEX('MTA 28-09'!S:S,MATCH(B9,'MTA 28-09'!A:A,0))</f>
        <v>C-97</v>
      </c>
      <c r="M9" s="32" t="str">
        <f t="array" ref="M9">INDEX('MTA 28-09'!T:T,MATCH(B9,'MTA 28-09'!A:A,0))</f>
        <v>CTT 096/CAE-PAMALS/2021 - CLS C-97</v>
      </c>
      <c r="N9" s="32" t="str">
        <f t="array" ref="N9">INDEX('MTA 28-09'!U:U,MATCH(B9,'MTA 28-09'!A:A,0))</f>
        <v>Hora de Voo 01/09 (500HV)</v>
      </c>
      <c r="O9" s="59">
        <f t="array" ref="O9">INDEX('MTA 28-09'!AC:AC,MATCH(B9,'MTA 28-09'!A:A,0))</f>
        <v>167804.17</v>
      </c>
      <c r="P9" s="32" t="str">
        <f t="array" ref="P9">INDEX('MTA 28-09'!N:N,MATCH(B9,'MTA 28-09'!A:A,0))</f>
        <v>CELOG</v>
      </c>
      <c r="Q9" s="67" t="str">
        <f t="array" ref="Q9">INDEX('MTA 28-09'!Z:Z,MATCH(B9,'MTA 28-09'!A:A,0))</f>
        <v>339039</v>
      </c>
      <c r="R9" s="32" t="str">
        <f t="array" ref="R9">INDEX('MTA 28-09'!L:L,MATCH(B9,'MTA 28-09'!A:A,0))</f>
        <v>A</v>
      </c>
      <c r="S9" s="72" t="str">
        <f t="array" ref="S9">INDEX('MTA 28-09'!X:X,MATCH(B9,'MTA 28-09'!A:A,0))</f>
        <v>HORA DE VOO</v>
      </c>
      <c r="T9" s="72" t="str">
        <f t="array" ref="T9">INDEX('MTA 28-09'!W:W,MATCH(B9,'MTA 28-09'!A:A,0))</f>
        <v>Não</v>
      </c>
      <c r="U9" s="81">
        <f t="array" ref="U9">INDEX('MTA 28-09'!AE:AE,MATCH(B9,'MTA 28-09'!A:A,0))</f>
        <v>46107</v>
      </c>
      <c r="V9" s="12"/>
      <c r="W9" s="12"/>
      <c r="X9" s="12"/>
      <c r="Y9" s="12"/>
      <c r="Z9" s="12"/>
      <c r="AA9" s="12"/>
      <c r="AB9" s="12"/>
      <c r="AC9" s="12"/>
      <c r="AD9" s="12"/>
      <c r="AE9" s="12"/>
      <c r="AF9" s="12"/>
      <c r="AG9" s="12"/>
      <c r="AH9" s="12"/>
      <c r="AI9" s="12"/>
      <c r="AJ9" s="12"/>
      <c r="AK9" s="12"/>
      <c r="AL9" s="12"/>
      <c r="AM9" s="12"/>
    </row>
    <row r="10">
      <c r="A10" s="88" t="s">
        <v>47</v>
      </c>
      <c r="B10" s="98">
        <v>10080.0</v>
      </c>
      <c r="C10" s="92" t="str">
        <f t="array" ref="C10">INDEX('MTA 28-09'!B:B,MATCH(B10,'MTA 28-09'!A:A,0))</f>
        <v>SIM</v>
      </c>
      <c r="D10" s="95">
        <f t="array" ref="D10">INDEX('MTA 28-09'!D:D,MATCH(B10,'MTA 28-09'!A:A,0))</f>
        <v>2048</v>
      </c>
      <c r="E10" s="98" t="str">
        <f t="array" ref="E10">INDEX('MTA 28-09'!F:F,MATCH(B10,'MTA 28-09'!A:A,0))</f>
        <v/>
      </c>
      <c r="F10" s="152" t="str">
        <f t="array" ref="F10">INDEX('MTA 28-09'!I:I,MATCH(B10,'MTA 28-09'!A:A,0))</f>
        <v/>
      </c>
      <c r="G10" s="100" t="str">
        <f t="array" ref="G10">INDEX('MTA 28-09'!J:J,MATCH(B10,'MTA 28-09'!A:A,0))</f>
        <v/>
      </c>
      <c r="H10" s="153">
        <v>46276.0</v>
      </c>
      <c r="I10" s="154" t="s">
        <v>152</v>
      </c>
      <c r="J10" s="102" t="s">
        <v>153</v>
      </c>
      <c r="K10" s="103"/>
      <c r="L10" s="102" t="str">
        <f t="array" ref="L10">INDEX('MTA 28-09'!S:S,MATCH(B10,'MTA 28-09'!A:A,0))</f>
        <v>T-25</v>
      </c>
      <c r="M10" s="98" t="str">
        <f t="array" ref="M10">INDEX('MTA 28-09'!T:T,MATCH(B10,'MTA 28-09'!A:A,0))</f>
        <v>Requisição CABW</v>
      </c>
      <c r="N10" s="98" t="str">
        <f t="array" ref="N10">INDEX('MTA 28-09'!U:U,MATCH(B10,'MTA 28-09'!A:A,0))</f>
        <v>Requisição Consumíveis</v>
      </c>
      <c r="O10" s="104">
        <f t="array" ref="O10">INDEX('MTA 28-09'!AC:AC,MATCH(B10,'MTA 28-09'!A:A,0))</f>
        <v>374409.15</v>
      </c>
      <c r="P10" s="98" t="str">
        <f t="array" ref="P10">INDEX('MTA 28-09'!N:N,MATCH(B10,'MTA 28-09'!A:A,0))</f>
        <v>CABW</v>
      </c>
      <c r="Q10" s="105" t="str">
        <f t="array" ref="Q10">INDEX('MTA 28-09'!Z:Z,MATCH(B10,'MTA 28-09'!A:A,0))</f>
        <v>339030</v>
      </c>
      <c r="R10" s="98" t="str">
        <f t="array" ref="R10">INDEX('MTA 28-09'!L:L,MATCH(B10,'MTA 28-09'!A:A,0))</f>
        <v>A</v>
      </c>
      <c r="S10" s="107" t="str">
        <f t="array" ref="S10">INDEX('MTA 28-09'!X:X,MATCH(B10,'MTA 28-09'!A:A,0))</f>
        <v>REQUISIÇÃO</v>
      </c>
      <c r="T10" s="107" t="str">
        <f t="array" ref="T10">INDEX('MTA 28-09'!W:W,MATCH(B10,'MTA 28-09'!A:A,0))</f>
        <v>Não</v>
      </c>
      <c r="U10" s="109">
        <f t="array" ref="U10">INDEX('MTA 28-09'!AE:AE,MATCH(B10,'MTA 28-09'!A:A,0))</f>
        <v>46291</v>
      </c>
      <c r="V10" s="29"/>
      <c r="W10" s="29"/>
      <c r="X10" s="29"/>
      <c r="Y10" s="29"/>
      <c r="Z10" s="29"/>
      <c r="AA10" s="29"/>
      <c r="AB10" s="29"/>
      <c r="AC10" s="29"/>
      <c r="AD10" s="29"/>
      <c r="AE10" s="29"/>
      <c r="AF10" s="29"/>
      <c r="AG10" s="29"/>
      <c r="AH10" s="29"/>
      <c r="AI10" s="29"/>
      <c r="AJ10" s="29"/>
      <c r="AK10" s="29"/>
      <c r="AL10" s="29"/>
      <c r="AM10" s="29"/>
    </row>
    <row r="11">
      <c r="A11" s="31" t="s">
        <v>47</v>
      </c>
      <c r="B11" s="38">
        <v>10081.0</v>
      </c>
      <c r="C11" s="33" t="str">
        <f t="array" ref="C11">INDEX('MTA 28-09'!B:B,MATCH(B11,'MTA 28-09'!A:A,0))</f>
        <v>SIM</v>
      </c>
      <c r="D11" s="34">
        <f t="array" ref="D11">INDEX('MTA 28-09'!D:D,MATCH(B11,'MTA 28-09'!A:A,0))</f>
        <v>2048</v>
      </c>
      <c r="E11" s="32" t="str">
        <f t="array" ref="E11">INDEX('MTA 28-09'!F:F,MATCH(B11,'MTA 28-09'!A:A,0))</f>
        <v>ATENDIDO</v>
      </c>
      <c r="F11" s="155">
        <f t="array" ref="F11">INDEX('MTA 28-09'!I:I,MATCH(B11,'MTA 28-09'!A:A,0))</f>
        <v>46098</v>
      </c>
      <c r="G11" s="36" t="str">
        <f t="array" ref="G11">INDEX('MTA 28-09'!J:J,MATCH(B11,'MTA 28-09'!A:A,0))</f>
        <v>C26063</v>
      </c>
      <c r="H11" s="37" t="s">
        <v>154</v>
      </c>
      <c r="I11" s="38"/>
      <c r="J11" s="39"/>
      <c r="K11" s="40"/>
      <c r="L11" s="39" t="str">
        <f t="array" ref="L11">INDEX('MTA 28-09'!S:S,MATCH(B11,'MTA 28-09'!A:A,0))</f>
        <v>T-25</v>
      </c>
      <c r="M11" s="32" t="str">
        <f t="array" ref="M11">INDEX('MTA 28-09'!T:T,MATCH(B11,'MTA 28-09'!A:A,0))</f>
        <v>Requisição CABW</v>
      </c>
      <c r="N11" s="32" t="str">
        <f t="array" ref="N11">INDEX('MTA 28-09'!U:U,MATCH(B11,'MTA 28-09'!A:A,0))</f>
        <v>Atualização de GPS</v>
      </c>
      <c r="O11" s="59">
        <f t="array" ref="O11">INDEX('MTA 28-09'!AC:AC,MATCH(B11,'MTA 28-09'!A:A,0))</f>
        <v>260590.85</v>
      </c>
      <c r="P11" s="32" t="str">
        <f t="array" ref="P11">INDEX('MTA 28-09'!N:N,MATCH(B11,'MTA 28-09'!A:A,0))</f>
        <v>CABW</v>
      </c>
      <c r="Q11" s="67" t="str">
        <f t="array" ref="Q11">INDEX('MTA 28-09'!Z:Z,MATCH(B11,'MTA 28-09'!A:A,0))</f>
        <v>339039</v>
      </c>
      <c r="R11" s="32" t="str">
        <f t="array" ref="R11">INDEX('MTA 28-09'!L:L,MATCH(B11,'MTA 28-09'!A:A,0))</f>
        <v>A</v>
      </c>
      <c r="S11" s="72" t="str">
        <f t="array" ref="S11">INDEX('MTA 28-09'!X:X,MATCH(B11,'MTA 28-09'!A:A,0))</f>
        <v>REQUISIÇÃO</v>
      </c>
      <c r="T11" s="72" t="str">
        <f t="array" ref="T11">INDEX('MTA 28-09'!W:W,MATCH(B11,'MTA 28-09'!A:A,0))</f>
        <v>Não</v>
      </c>
      <c r="U11" s="81">
        <f t="array" ref="U11">INDEX('MTA 28-09'!AE:AE,MATCH(B11,'MTA 28-09'!A:A,0))</f>
        <v>46107</v>
      </c>
      <c r="V11" s="12"/>
      <c r="W11" s="12"/>
      <c r="X11" s="12"/>
      <c r="Y11" s="12"/>
      <c r="Z11" s="12"/>
      <c r="AA11" s="12"/>
      <c r="AB11" s="12"/>
      <c r="AC11" s="12"/>
      <c r="AD11" s="12"/>
      <c r="AE11" s="12"/>
      <c r="AF11" s="12"/>
      <c r="AG11" s="12"/>
      <c r="AH11" s="12"/>
      <c r="AI11" s="12"/>
      <c r="AJ11" s="12"/>
      <c r="AK11" s="12"/>
      <c r="AL11" s="12"/>
      <c r="AM11" s="12"/>
    </row>
    <row r="12">
      <c r="A12" s="88" t="s">
        <v>47</v>
      </c>
      <c r="B12" s="98">
        <v>10100.0</v>
      </c>
      <c r="C12" s="92" t="str">
        <f t="array" ref="C12">INDEX('MTA 28-09'!B:B,MATCH(B12,'MTA 28-09'!A:A,0))</f>
        <v>SIM</v>
      </c>
      <c r="D12" s="95">
        <f t="array" ref="D12">INDEX('MTA 28-09'!D:D,MATCH(B12,'MTA 28-09'!A:A,0))</f>
        <v>2048</v>
      </c>
      <c r="E12" s="98" t="str">
        <f t="array" ref="E12">INDEX('MTA 28-09'!F:F,MATCH(B12,'MTA 28-09'!A:A,0))</f>
        <v/>
      </c>
      <c r="F12" s="152" t="str">
        <f t="array" ref="F12">INDEX('MTA 28-09'!I:I,MATCH(B12,'MTA 28-09'!A:A,0))</f>
        <v/>
      </c>
      <c r="G12" s="100" t="str">
        <f t="array" ref="G12">INDEX('MTA 28-09'!J:J,MATCH(B12,'MTA 28-09'!A:A,0))</f>
        <v/>
      </c>
      <c r="H12" s="153">
        <v>46276.0</v>
      </c>
      <c r="I12" s="154" t="s">
        <v>152</v>
      </c>
      <c r="J12" s="102" t="s">
        <v>155</v>
      </c>
      <c r="K12" s="103"/>
      <c r="L12" s="102" t="str">
        <f t="array" ref="L12">INDEX('MTA 28-09'!S:S,MATCH(B12,'MTA 28-09'!A:A,0))</f>
        <v>T-25</v>
      </c>
      <c r="M12" s="98" t="str">
        <f t="array" ref="M12">INDEX('MTA 28-09'!T:T,MATCH(B12,'MTA 28-09'!A:A,0))</f>
        <v>Requisição CABW</v>
      </c>
      <c r="N12" s="98" t="str">
        <f t="array" ref="N12">INDEX('MTA 28-09'!U:U,MATCH(B12,'MTA 28-09'!A:A,0))</f>
        <v>Requisição Consumíveis</v>
      </c>
      <c r="O12" s="104">
        <f t="array" ref="O12">INDEX('MTA 28-09'!AC:AC,MATCH(B12,'MTA 28-09'!A:A,0))</f>
        <v>10000</v>
      </c>
      <c r="P12" s="98" t="str">
        <f t="array" ref="P12">INDEX('MTA 28-09'!N:N,MATCH(B12,'MTA 28-09'!A:A,0))</f>
        <v>CABW</v>
      </c>
      <c r="Q12" s="105" t="str">
        <f t="array" ref="Q12">INDEX('MTA 28-09'!Z:Z,MATCH(B12,'MTA 28-09'!A:A,0))</f>
        <v>339030</v>
      </c>
      <c r="R12" s="98" t="str">
        <f t="array" ref="R12">INDEX('MTA 28-09'!L:L,MATCH(B12,'MTA 28-09'!A:A,0))</f>
        <v>A</v>
      </c>
      <c r="S12" s="107" t="str">
        <f t="array" ref="S12">INDEX('MTA 28-09'!X:X,MATCH(B12,'MTA 28-09'!A:A,0))</f>
        <v>REQUISIÇÃO</v>
      </c>
      <c r="T12" s="107" t="str">
        <f t="array" ref="T12">INDEX('MTA 28-09'!W:W,MATCH(B12,'MTA 28-09'!A:A,0))</f>
        <v>Não</v>
      </c>
      <c r="U12" s="109">
        <f t="array" ref="U12">INDEX('MTA 28-09'!AE:AE,MATCH(B12,'MTA 28-09'!A:A,0))</f>
        <v>46352</v>
      </c>
      <c r="V12" s="29"/>
      <c r="W12" s="29"/>
      <c r="X12" s="29"/>
      <c r="Y12" s="29"/>
      <c r="Z12" s="29"/>
      <c r="AA12" s="29"/>
      <c r="AB12" s="29"/>
      <c r="AC12" s="29"/>
      <c r="AD12" s="29"/>
      <c r="AE12" s="29"/>
      <c r="AF12" s="29"/>
      <c r="AG12" s="29"/>
      <c r="AH12" s="29"/>
      <c r="AI12" s="29"/>
      <c r="AJ12" s="29"/>
      <c r="AK12" s="29"/>
      <c r="AL12" s="29"/>
      <c r="AM12" s="29"/>
    </row>
    <row r="13">
      <c r="A13" s="31" t="s">
        <v>46</v>
      </c>
      <c r="B13" s="32">
        <v>10120.0</v>
      </c>
      <c r="C13" s="33" t="str">
        <f t="array" ref="C13">INDEX('MTA 28-09'!B:B,MATCH(B13,'MTA 28-09'!A:A,0))</f>
        <v>SIM</v>
      </c>
      <c r="D13" s="34">
        <f t="array" ref="D13">INDEX('MTA 28-09'!D:D,MATCH(B13,'MTA 28-09'!A:A,0))</f>
        <v>2048</v>
      </c>
      <c r="E13" s="32" t="str">
        <f t="array" ref="E13">INDEX('MTA 28-09'!F:F,MATCH(B13,'MTA 28-09'!A:A,0))</f>
        <v/>
      </c>
      <c r="F13" s="155" t="str">
        <f t="array" ref="F13">INDEX('MTA 28-09'!I:I,MATCH(B13,'MTA 28-09'!A:A,0))</f>
        <v/>
      </c>
      <c r="G13" s="36" t="str">
        <f t="array" ref="G13">INDEX('MTA 28-09'!J:J,MATCH(B13,'MTA 28-09'!A:A,0))</f>
        <v/>
      </c>
      <c r="H13" s="156">
        <v>46276.0</v>
      </c>
      <c r="I13" s="157" t="s">
        <v>156</v>
      </c>
      <c r="J13" s="39" t="s">
        <v>153</v>
      </c>
      <c r="K13" s="40"/>
      <c r="L13" s="39" t="str">
        <f t="array" ref="L13">INDEX('MTA 28-09'!S:S,MATCH(B13,'MTA 28-09'!A:A,0))</f>
        <v>T-27</v>
      </c>
      <c r="M13" s="32" t="str">
        <f t="array" ref="M13">INDEX('MTA 28-09'!T:T,MATCH(B13,'MTA 28-09'!A:A,0))</f>
        <v>Requisição CABW</v>
      </c>
      <c r="N13" s="32" t="str">
        <f t="array" ref="N13">INDEX('MTA 28-09'!U:U,MATCH(B13,'MTA 28-09'!A:A,0))</f>
        <v>Atualização de GPS</v>
      </c>
      <c r="O13" s="59">
        <f t="array" ref="O13">INDEX('MTA 28-09'!AC:AC,MATCH(B13,'MTA 28-09'!A:A,0))</f>
        <v>391353.59</v>
      </c>
      <c r="P13" s="32" t="str">
        <f t="array" ref="P13">INDEX('MTA 28-09'!N:N,MATCH(B13,'MTA 28-09'!A:A,0))</f>
        <v>CABW</v>
      </c>
      <c r="Q13" s="67" t="str">
        <f t="array" ref="Q13">INDEX('MTA 28-09'!Z:Z,MATCH(B13,'MTA 28-09'!A:A,0))</f>
        <v>339039</v>
      </c>
      <c r="R13" s="32" t="str">
        <f t="array" ref="R13">INDEX('MTA 28-09'!L:L,MATCH(B13,'MTA 28-09'!A:A,0))</f>
        <v>A</v>
      </c>
      <c r="S13" s="72" t="str">
        <f t="array" ref="S13">INDEX('MTA 28-09'!X:X,MATCH(B13,'MTA 28-09'!A:A,0))</f>
        <v>REQUISIÇÃO</v>
      </c>
      <c r="T13" s="72" t="str">
        <f t="array" ref="T13">INDEX('MTA 28-09'!W:W,MATCH(B13,'MTA 28-09'!A:A,0))</f>
        <v>Não</v>
      </c>
      <c r="U13" s="81">
        <f t="array" ref="U13">INDEX('MTA 28-09'!AE:AE,MATCH(B13,'MTA 28-09'!A:A,0))</f>
        <v>46291</v>
      </c>
      <c r="V13" s="12"/>
      <c r="W13" s="12"/>
      <c r="X13" s="12"/>
      <c r="Y13" s="12"/>
      <c r="Z13" s="12"/>
      <c r="AA13" s="12"/>
      <c r="AB13" s="12"/>
      <c r="AC13" s="12"/>
      <c r="AD13" s="12"/>
      <c r="AE13" s="12"/>
      <c r="AF13" s="12"/>
      <c r="AG13" s="12"/>
      <c r="AH13" s="12"/>
      <c r="AI13" s="12"/>
      <c r="AJ13" s="12"/>
      <c r="AK13" s="12"/>
      <c r="AL13" s="12"/>
      <c r="AM13" s="12"/>
    </row>
    <row r="14">
      <c r="A14" s="88" t="s">
        <v>46</v>
      </c>
      <c r="B14" s="90">
        <v>10121.0</v>
      </c>
      <c r="C14" s="92" t="str">
        <f t="array" ref="C14">INDEX('MTA 28-09'!B:B,MATCH(B14,'MTA 28-09'!A:A,0))</f>
        <v>SIM</v>
      </c>
      <c r="D14" s="95">
        <f t="array" ref="D14">INDEX('MTA 28-09'!D:D,MATCH(B14,'MTA 28-09'!A:A,0))</f>
        <v>2048</v>
      </c>
      <c r="E14" s="98" t="str">
        <f t="array" ref="E14">INDEX('MTA 28-09'!F:F,MATCH(B14,'MTA 28-09'!A:A,0))</f>
        <v>ATENDIDO</v>
      </c>
      <c r="F14" s="152">
        <f t="array" ref="F14">INDEX('MTA 28-09'!I:I,MATCH(B14,'MTA 28-09'!A:A,0))</f>
        <v>46098</v>
      </c>
      <c r="G14" s="100" t="str">
        <f t="array" ref="G14">INDEX('MTA 28-09'!J:J,MATCH(B14,'MTA 28-09'!A:A,0))</f>
        <v>C26060</v>
      </c>
      <c r="H14" s="101" t="s">
        <v>154</v>
      </c>
      <c r="I14" s="90"/>
      <c r="J14" s="102"/>
      <c r="K14" s="103"/>
      <c r="L14" s="102" t="str">
        <f t="array" ref="L14">INDEX('MTA 28-09'!S:S,MATCH(B14,'MTA 28-09'!A:A,0))</f>
        <v>T-27</v>
      </c>
      <c r="M14" s="98" t="str">
        <f t="array" ref="M14">INDEX('MTA 28-09'!T:T,MATCH(B14,'MTA 28-09'!A:A,0))</f>
        <v>Requisição CABW</v>
      </c>
      <c r="N14" s="98" t="str">
        <f t="array" ref="N14">INDEX('MTA 28-09'!U:U,MATCH(B14,'MTA 28-09'!A:A,0))</f>
        <v>Atualização de GPS</v>
      </c>
      <c r="O14" s="104">
        <f t="array" ref="O14">INDEX('MTA 28-09'!AC:AC,MATCH(B14,'MTA 28-09'!A:A,0))</f>
        <v>245262</v>
      </c>
      <c r="P14" s="98" t="str">
        <f t="array" ref="P14">INDEX('MTA 28-09'!N:N,MATCH(B14,'MTA 28-09'!A:A,0))</f>
        <v>CABW</v>
      </c>
      <c r="Q14" s="105" t="str">
        <f t="array" ref="Q14">INDEX('MTA 28-09'!Z:Z,MATCH(B14,'MTA 28-09'!A:A,0))</f>
        <v>339039</v>
      </c>
      <c r="R14" s="98" t="str">
        <f t="array" ref="R14">INDEX('MTA 28-09'!L:L,MATCH(B14,'MTA 28-09'!A:A,0))</f>
        <v>A</v>
      </c>
      <c r="S14" s="107" t="str">
        <f t="array" ref="S14">INDEX('MTA 28-09'!X:X,MATCH(B14,'MTA 28-09'!A:A,0))</f>
        <v>REQUISIÇÃO</v>
      </c>
      <c r="T14" s="107" t="str">
        <f t="array" ref="T14">INDEX('MTA 28-09'!W:W,MATCH(B14,'MTA 28-09'!A:A,0))</f>
        <v>Não</v>
      </c>
      <c r="U14" s="109">
        <f t="array" ref="U14">INDEX('MTA 28-09'!AE:AE,MATCH(B14,'MTA 28-09'!A:A,0))</f>
        <v>46107</v>
      </c>
      <c r="V14" s="29"/>
      <c r="W14" s="29"/>
      <c r="X14" s="29"/>
      <c r="Y14" s="29"/>
      <c r="Z14" s="29"/>
      <c r="AA14" s="29"/>
      <c r="AB14" s="29"/>
      <c r="AC14" s="29"/>
      <c r="AD14" s="29"/>
      <c r="AE14" s="29"/>
      <c r="AF14" s="29"/>
      <c r="AG14" s="29"/>
      <c r="AH14" s="29"/>
      <c r="AI14" s="29"/>
      <c r="AJ14" s="29"/>
      <c r="AK14" s="29"/>
      <c r="AL14" s="29"/>
      <c r="AM14" s="29"/>
    </row>
    <row r="15">
      <c r="A15" s="31" t="s">
        <v>46</v>
      </c>
      <c r="B15" s="38">
        <v>10122.0</v>
      </c>
      <c r="C15" s="33" t="str">
        <f t="array" ref="C15">INDEX('MTA 28-09'!B:B,MATCH(B15,'MTA 28-09'!A:A,0))</f>
        <v>SIM</v>
      </c>
      <c r="D15" s="34">
        <f t="array" ref="D15">INDEX('MTA 28-09'!D:D,MATCH(B15,'MTA 28-09'!A:A,0))</f>
        <v>2048</v>
      </c>
      <c r="E15" s="32" t="str">
        <f t="array" ref="E15">INDEX('MTA 28-09'!F:F,MATCH(B15,'MTA 28-09'!A:A,0))</f>
        <v>ATENDIDO</v>
      </c>
      <c r="F15" s="35">
        <f t="array" ref="F15">INDEX('MTA 28-09'!I:I,MATCH(B15,'MTA 28-09'!A:A,0))</f>
        <v>46098</v>
      </c>
      <c r="G15" s="36" t="str">
        <f t="array" ref="G15">INDEX('MTA 28-09'!J:J,MATCH(B15,'MTA 28-09'!A:A,0))</f>
        <v>C26153</v>
      </c>
      <c r="H15" s="37" t="s">
        <v>154</v>
      </c>
      <c r="I15" s="38"/>
      <c r="J15" s="39"/>
      <c r="K15" s="40"/>
      <c r="L15" s="39" t="str">
        <f t="array" ref="L15">INDEX('MTA 28-09'!S:S,MATCH(B15,'MTA 28-09'!A:A,0))</f>
        <v>T-27</v>
      </c>
      <c r="M15" s="32" t="str">
        <f t="array" ref="M15">INDEX('MTA 28-09'!T:T,MATCH(B15,'MTA 28-09'!A:A,0))</f>
        <v>Contrato inexigibilidade EMBRAER</v>
      </c>
      <c r="N15" s="32" t="str">
        <f t="array" ref="N15">INDEX('MTA 28-09'!U:U,MATCH(B15,'MTA 28-09'!A:A,0))</f>
        <v>Publicação</v>
      </c>
      <c r="O15" s="59">
        <f t="array" ref="O15">INDEX('MTA 28-09'!AC:AC,MATCH(B15,'MTA 28-09'!A:A,0))</f>
        <v>91984.41</v>
      </c>
      <c r="P15" s="32" t="str">
        <f t="array" ref="P15">INDEX('MTA 28-09'!N:N,MATCH(B15,'MTA 28-09'!A:A,0))</f>
        <v>CELOG</v>
      </c>
      <c r="Q15" s="67" t="str">
        <f t="array" ref="Q15">INDEX('MTA 28-09'!Z:Z,MATCH(B15,'MTA 28-09'!A:A,0))</f>
        <v>339039</v>
      </c>
      <c r="R15" s="32" t="str">
        <f t="array" ref="R15">INDEX('MTA 28-09'!L:L,MATCH(B15,'MTA 28-09'!A:A,0))</f>
        <v>A</v>
      </c>
      <c r="S15" s="72" t="str">
        <f t="array" ref="S15">INDEX('MTA 28-09'!X:X,MATCH(B15,'MTA 28-09'!A:A,0))</f>
        <v>REQUISIÇÃO</v>
      </c>
      <c r="T15" s="72" t="str">
        <f t="array" ref="T15">INDEX('MTA 28-09'!W:W,MATCH(B15,'MTA 28-09'!A:A,0))</f>
        <v>Não</v>
      </c>
      <c r="U15" s="81">
        <f t="array" ref="U15">INDEX('MTA 28-09'!AE:AE,MATCH(B15,'MTA 28-09'!A:A,0))</f>
        <v>46107</v>
      </c>
      <c r="V15" s="12"/>
      <c r="W15" s="12"/>
      <c r="X15" s="12"/>
      <c r="Y15" s="12"/>
      <c r="Z15" s="12"/>
      <c r="AA15" s="12"/>
      <c r="AB15" s="12"/>
      <c r="AC15" s="12"/>
      <c r="AD15" s="12"/>
      <c r="AE15" s="12"/>
      <c r="AF15" s="12"/>
      <c r="AG15" s="12"/>
      <c r="AH15" s="12"/>
      <c r="AI15" s="12"/>
      <c r="AJ15" s="12"/>
      <c r="AK15" s="12"/>
      <c r="AL15" s="12"/>
      <c r="AM15" s="12"/>
    </row>
    <row r="16">
      <c r="A16" s="88" t="s">
        <v>46</v>
      </c>
      <c r="B16" s="98">
        <v>10140.0</v>
      </c>
      <c r="C16" s="92" t="str">
        <f t="array" ref="C16">INDEX('MTA 28-09'!B:B,MATCH(B16,'MTA 28-09'!A:A,0))</f>
        <v>SIM</v>
      </c>
      <c r="D16" s="95">
        <f t="array" ref="D16">INDEX('MTA 28-09'!D:D,MATCH(B16,'MTA 28-09'!A:A,0))</f>
        <v>2048</v>
      </c>
      <c r="E16" s="98" t="str">
        <f t="array" ref="E16">INDEX('MTA 28-09'!F:F,MATCH(B16,'MTA 28-09'!A:A,0))</f>
        <v>ATENDIDO</v>
      </c>
      <c r="F16" s="144">
        <f t="array" ref="F16">INDEX('MTA 28-09'!I:I,MATCH(B16,'MTA 28-09'!A:A,0))</f>
        <v>46192</v>
      </c>
      <c r="G16" s="100" t="str">
        <f t="array" ref="G16">INDEX('MTA 28-09'!J:J,MATCH(B16,'MTA 28-09'!A:A,0))</f>
        <v>C26038</v>
      </c>
      <c r="H16" s="159" t="s">
        <v>157</v>
      </c>
      <c r="I16" s="90"/>
      <c r="J16" s="102"/>
      <c r="K16" s="103"/>
      <c r="L16" s="102" t="str">
        <f t="array" ref="L16">INDEX('MTA 28-09'!S:S,MATCH(B16,'MTA 28-09'!A:A,0))</f>
        <v>T-27</v>
      </c>
      <c r="M16" s="98" t="str">
        <f t="array" ref="M16">INDEX('MTA 28-09'!T:T,MATCH(B16,'MTA 28-09'!A:A,0))</f>
        <v>REQUISIÇÃO SERVIÇO</v>
      </c>
      <c r="N16" s="98" t="str">
        <f t="array" ref="N16">INDEX('MTA 28-09'!U:U,MATCH(B16,'MTA 28-09'!A:A,0))</f>
        <v>RG Controlador de Torque 3 EA (1/2)</v>
      </c>
      <c r="O16" s="104">
        <f t="array" ref="O16">INDEX('MTA 28-09'!AC:AC,MATCH(B16,'MTA 28-09'!A:A,0))</f>
        <v>60000</v>
      </c>
      <c r="P16" s="98" t="str">
        <f t="array" ref="P16">INDEX('MTA 28-09'!N:N,MATCH(B16,'MTA 28-09'!A:A,0))</f>
        <v>CABW</v>
      </c>
      <c r="Q16" s="105" t="str">
        <f t="array" ref="Q16">INDEX('MTA 28-09'!Z:Z,MATCH(B16,'MTA 28-09'!A:A,0))</f>
        <v>339039</v>
      </c>
      <c r="R16" s="98" t="str">
        <f t="array" ref="R16">INDEX('MTA 28-09'!L:L,MATCH(B16,'MTA 28-09'!A:A,0))</f>
        <v>A</v>
      </c>
      <c r="S16" s="107" t="str">
        <f t="array" ref="S16">INDEX('MTA 28-09'!X:X,MATCH(B16,'MTA 28-09'!A:A,0))</f>
        <v>REQUISIÇÃO</v>
      </c>
      <c r="T16" s="107" t="str">
        <f t="array" ref="T16">INDEX('MTA 28-09'!W:W,MATCH(B16,'MTA 28-09'!A:A,0))</f>
        <v>SIM</v>
      </c>
      <c r="U16" s="109">
        <f t="array" ref="U16">INDEX('MTA 28-09'!AE:AE,MATCH(B16,'MTA 28-09'!A:A,0))</f>
        <v>46229</v>
      </c>
      <c r="V16" s="29"/>
      <c r="W16" s="29"/>
      <c r="X16" s="29"/>
      <c r="Y16" s="29"/>
      <c r="Z16" s="29"/>
      <c r="AA16" s="29"/>
      <c r="AB16" s="29"/>
      <c r="AC16" s="29"/>
      <c r="AD16" s="29"/>
      <c r="AE16" s="29"/>
      <c r="AF16" s="29"/>
      <c r="AG16" s="29"/>
      <c r="AH16" s="29"/>
      <c r="AI16" s="29"/>
      <c r="AJ16" s="29"/>
      <c r="AK16" s="29"/>
      <c r="AL16" s="29"/>
      <c r="AM16" s="29"/>
    </row>
    <row r="17">
      <c r="A17" s="31" t="s">
        <v>39</v>
      </c>
      <c r="B17" s="32">
        <v>10160.0</v>
      </c>
      <c r="C17" s="33" t="str">
        <f t="array" ref="C17">INDEX('MTA 28-09'!B:B,MATCH(B17,'MTA 28-09'!A:A,0))</f>
        <v>SIM</v>
      </c>
      <c r="D17" s="34">
        <f t="array" ref="D17">INDEX('MTA 28-09'!D:D,MATCH(B17,'MTA 28-09'!A:A,0))</f>
        <v>2048</v>
      </c>
      <c r="E17" s="32" t="str">
        <f t="array" ref="E17">INDEX('MTA 28-09'!F:F,MATCH(B17,'MTA 28-09'!A:A,0))</f>
        <v>ATENDIDO</v>
      </c>
      <c r="F17" s="35">
        <f t="array" ref="F17">INDEX('MTA 28-09'!I:I,MATCH(B17,'MTA 28-09'!A:A,0))</f>
        <v>46098</v>
      </c>
      <c r="G17" s="36" t="str">
        <f t="array" ref="G17">INDEX('MTA 28-09'!J:J,MATCH(B17,'MTA 28-09'!A:A,0))</f>
        <v>C26173</v>
      </c>
      <c r="H17" s="37" t="s">
        <v>154</v>
      </c>
      <c r="I17" s="38"/>
      <c r="J17" s="39"/>
      <c r="K17" s="40"/>
      <c r="L17" s="39" t="str">
        <f t="array" ref="L17">INDEX('MTA 28-09'!S:S,MATCH(B17,'MTA 28-09'!A:A,0))</f>
        <v>A-29</v>
      </c>
      <c r="M17" s="32" t="str">
        <f t="array" ref="M17">INDEX('MTA 28-09'!T:T,MATCH(B17,'MTA 28-09'!A:A,0))</f>
        <v>Contrato inexigibilidade EMBRAER - CNT 012/CELOG-PAMALS/2026</v>
      </c>
      <c r="N17" s="32" t="str">
        <f t="array" ref="N17">INDEX('MTA 28-09'!U:U,MATCH(B17,'MTA 28-09'!A:A,0))</f>
        <v>Publicação</v>
      </c>
      <c r="O17" s="59">
        <f t="array" ref="O17">INDEX('MTA 28-09'!AC:AC,MATCH(B17,'MTA 28-09'!A:A,0))</f>
        <v>1624451.94</v>
      </c>
      <c r="P17" s="32" t="str">
        <f t="array" ref="P17">INDEX('MTA 28-09'!N:N,MATCH(B17,'MTA 28-09'!A:A,0))</f>
        <v>CELOG</v>
      </c>
      <c r="Q17" s="67" t="str">
        <f t="array" ref="Q17">INDEX('MTA 28-09'!Z:Z,MATCH(B17,'MTA 28-09'!A:A,0))</f>
        <v>339039</v>
      </c>
      <c r="R17" s="32" t="str">
        <f t="array" ref="R17">INDEX('MTA 28-09'!L:L,MATCH(B17,'MTA 28-09'!A:A,0))</f>
        <v>A</v>
      </c>
      <c r="S17" s="72" t="str">
        <f t="array" ref="S17">INDEX('MTA 28-09'!X:X,MATCH(B17,'MTA 28-09'!A:A,0))</f>
        <v>REQUISIÇÃO</v>
      </c>
      <c r="T17" s="72" t="str">
        <f t="array" ref="T17">INDEX('MTA 28-09'!W:W,MATCH(B17,'MTA 28-09'!A:A,0))</f>
        <v>Não</v>
      </c>
      <c r="U17" s="81">
        <f t="array" ref="U17">INDEX('MTA 28-09'!AE:AE,MATCH(B17,'MTA 28-09'!A:A,0))</f>
        <v>46107</v>
      </c>
      <c r="V17" s="12"/>
      <c r="W17" s="12"/>
      <c r="X17" s="12"/>
      <c r="Y17" s="12"/>
      <c r="Z17" s="12"/>
      <c r="AA17" s="12"/>
      <c r="AB17" s="12"/>
      <c r="AC17" s="12"/>
      <c r="AD17" s="12"/>
      <c r="AE17" s="12"/>
      <c r="AF17" s="12"/>
      <c r="AG17" s="12"/>
      <c r="AH17" s="12"/>
      <c r="AI17" s="12"/>
      <c r="AJ17" s="12"/>
      <c r="AK17" s="12"/>
      <c r="AL17" s="12"/>
      <c r="AM17" s="12"/>
    </row>
    <row r="18">
      <c r="A18" s="88" t="s">
        <v>39</v>
      </c>
      <c r="B18" s="98">
        <v>10180.0</v>
      </c>
      <c r="C18" s="92" t="str">
        <f t="array" ref="C18">INDEX('MTA 28-09'!B:B,MATCH(B18,'MTA 28-09'!A:A,0))</f>
        <v>SIM</v>
      </c>
      <c r="D18" s="95">
        <f t="array" ref="D18">INDEX('MTA 28-09'!D:D,MATCH(B18,'MTA 28-09'!A:A,0))</f>
        <v>2048</v>
      </c>
      <c r="E18" s="98" t="str">
        <f t="array" ref="E18">INDEX('MTA 28-09'!F:F,MATCH(B18,'MTA 28-09'!A:A,0))</f>
        <v>ATENDIDO</v>
      </c>
      <c r="F18" s="99">
        <f t="array" ref="F18">INDEX('MTA 28-09'!I:I,MATCH(B18,'MTA 28-09'!A:A,0))</f>
        <v>46041</v>
      </c>
      <c r="G18" s="100" t="str">
        <f t="array" ref="G18">INDEX('MTA 28-09'!J:J,MATCH(B18,'MTA 28-09'!A:A,0))</f>
        <v>C26051</v>
      </c>
      <c r="H18" s="101">
        <v>1.0</v>
      </c>
      <c r="I18" s="90"/>
      <c r="J18" s="102"/>
      <c r="K18" s="103"/>
      <c r="L18" s="102" t="str">
        <f t="array" ref="L18">INDEX('MTA 28-09'!S:S,MATCH(B18,'MTA 28-09'!A:A,0))</f>
        <v>A-29</v>
      </c>
      <c r="M18" s="98" t="str">
        <f t="array" ref="M18">INDEX('MTA 28-09'!T:T,MATCH(B18,'MTA 28-09'!A:A,0))</f>
        <v>CNT 060/CELOG-PAMASP/2023 - PW - HSI/REPARO</v>
      </c>
      <c r="N18" s="98" t="str">
        <f t="array" ref="N18">INDEX('MTA 28-09'!U:U,MATCH(B18,'MTA 28-09'!A:A,0))</f>
        <v>HSI PT6A-68C 1/4</v>
      </c>
      <c r="O18" s="104">
        <f t="array" ref="O18">INDEX('MTA 28-09'!AC:AC,MATCH(B18,'MTA 28-09'!A:A,0))</f>
        <v>2500000</v>
      </c>
      <c r="P18" s="98" t="str">
        <f t="array" ref="P18">INDEX('MTA 28-09'!N:N,MATCH(B18,'MTA 28-09'!A:A,0))</f>
        <v>CELOG</v>
      </c>
      <c r="Q18" s="105" t="str">
        <f t="array" ref="Q18">INDEX('MTA 28-09'!Z:Z,MATCH(B18,'MTA 28-09'!A:A,0))</f>
        <v>339039</v>
      </c>
      <c r="R18" s="98" t="str">
        <f t="array" ref="R18">INDEX('MTA 28-09'!L:L,MATCH(B18,'MTA 28-09'!A:A,0))</f>
        <v>A</v>
      </c>
      <c r="S18" s="107" t="str">
        <f t="array" ref="S18">INDEX('MTA 28-09'!X:X,MATCH(B18,'MTA 28-09'!A:A,0))</f>
        <v>SOB DEMANDA</v>
      </c>
      <c r="T18" s="107" t="str">
        <f t="array" ref="T18">INDEX('MTA 28-09'!W:W,MATCH(B18,'MTA 28-09'!A:A,0))</f>
        <v>SIM</v>
      </c>
      <c r="U18" s="109">
        <f t="array" ref="U18">INDEX('MTA 28-09'!AE:AE,MATCH(B18,'MTA 28-09'!A:A,0))</f>
        <v>46079</v>
      </c>
      <c r="V18" s="29"/>
      <c r="W18" s="29"/>
      <c r="X18" s="29"/>
      <c r="Y18" s="29"/>
      <c r="Z18" s="29"/>
      <c r="AA18" s="29"/>
      <c r="AB18" s="29"/>
      <c r="AC18" s="29"/>
      <c r="AD18" s="29"/>
      <c r="AE18" s="29"/>
      <c r="AF18" s="29"/>
      <c r="AG18" s="29"/>
      <c r="AH18" s="29"/>
      <c r="AI18" s="29"/>
      <c r="AJ18" s="29"/>
      <c r="AK18" s="29"/>
      <c r="AL18" s="29"/>
      <c r="AM18" s="29"/>
    </row>
    <row r="19">
      <c r="A19" s="31" t="s">
        <v>39</v>
      </c>
      <c r="B19" s="32">
        <v>10200.0</v>
      </c>
      <c r="C19" s="33" t="str">
        <f t="array" ref="C19">INDEX('MTA 28-09'!B:B,MATCH(B19,'MTA 28-09'!A:A,0))</f>
        <v>SIM</v>
      </c>
      <c r="D19" s="34">
        <f t="array" ref="D19">INDEX('MTA 28-09'!D:D,MATCH(B19,'MTA 28-09'!A:A,0))</f>
        <v>2048</v>
      </c>
      <c r="E19" s="32" t="str">
        <f t="array" ref="E19">INDEX('MTA 28-09'!F:F,MATCH(B19,'MTA 28-09'!A:A,0))</f>
        <v>ATENDIDO</v>
      </c>
      <c r="F19" s="137">
        <f t="array" ref="F19">INDEX('MTA 28-09'!I:I,MATCH(B19,'MTA 28-09'!A:A,0))</f>
        <v>46057</v>
      </c>
      <c r="G19" s="36" t="str">
        <f t="array" ref="G19">INDEX('MTA 28-09'!J:J,MATCH(B19,'MTA 28-09'!A:A,0))</f>
        <v>C26078</v>
      </c>
      <c r="H19" s="37">
        <v>1.0</v>
      </c>
      <c r="I19" s="38"/>
      <c r="J19" s="39"/>
      <c r="K19" s="40"/>
      <c r="L19" s="39" t="str">
        <f t="array" ref="L19">INDEX('MTA 28-09'!S:S,MATCH(B19,'MTA 28-09'!A:A,0))</f>
        <v>A-29</v>
      </c>
      <c r="M19" s="32" t="str">
        <f t="array" ref="M19">INDEX('MTA 28-09'!T:T,MATCH(B19,'MTA 28-09'!A:A,0))</f>
        <v>CTT 004/CELOG-PAMASP/2025 - PW - AQ. PEÇAS</v>
      </c>
      <c r="N19" s="32" t="str">
        <f t="array" ref="N19">INDEX('MTA 28-09'!U:U,MATCH(B19,'MTA 28-09'!A:A,0))</f>
        <v>Material para PT6A-68C 1/3</v>
      </c>
      <c r="O19" s="59">
        <f t="array" ref="O19">INDEX('MTA 28-09'!AC:AC,MATCH(B19,'MTA 28-09'!A:A,0))</f>
        <v>1830598.96</v>
      </c>
      <c r="P19" s="32" t="str">
        <f t="array" ref="P19">INDEX('MTA 28-09'!N:N,MATCH(B19,'MTA 28-09'!A:A,0))</f>
        <v>CELOG</v>
      </c>
      <c r="Q19" s="67" t="str">
        <f t="array" ref="Q19">INDEX('MTA 28-09'!Z:Z,MATCH(B19,'MTA 28-09'!A:A,0))</f>
        <v>339030</v>
      </c>
      <c r="R19" s="32" t="str">
        <f t="array" ref="R19">INDEX('MTA 28-09'!L:L,MATCH(B19,'MTA 28-09'!A:A,0))</f>
        <v>A</v>
      </c>
      <c r="S19" s="72" t="str">
        <f t="array" ref="S19">INDEX('MTA 28-09'!X:X,MATCH(B19,'MTA 28-09'!A:A,0))</f>
        <v>SOB DEMANDA</v>
      </c>
      <c r="T19" s="72" t="str">
        <f t="array" ref="T19">INDEX('MTA 28-09'!W:W,MATCH(B19,'MTA 28-09'!A:A,0))</f>
        <v>SIM</v>
      </c>
      <c r="U19" s="81">
        <f t="array" ref="U19">INDEX('MTA 28-09'!AE:AE,MATCH(B19,'MTA 28-09'!A:A,0))</f>
        <v>46079</v>
      </c>
      <c r="V19" s="12"/>
      <c r="W19" s="12"/>
      <c r="X19" s="12"/>
      <c r="Y19" s="12"/>
      <c r="Z19" s="12"/>
      <c r="AA19" s="12"/>
      <c r="AB19" s="12"/>
      <c r="AC19" s="12"/>
      <c r="AD19" s="12"/>
      <c r="AE19" s="12"/>
      <c r="AF19" s="12"/>
      <c r="AG19" s="12"/>
      <c r="AH19" s="12"/>
      <c r="AI19" s="12"/>
      <c r="AJ19" s="12"/>
      <c r="AK19" s="12"/>
      <c r="AL19" s="12"/>
      <c r="AM19" s="12"/>
    </row>
    <row r="20">
      <c r="A20" s="88" t="s">
        <v>39</v>
      </c>
      <c r="B20" s="90">
        <v>10201.0</v>
      </c>
      <c r="C20" s="92" t="str">
        <f t="array" ref="C20">INDEX('MTA 28-09'!B:B,MATCH(B20,'MTA 28-09'!A:A,0))</f>
        <v>SIM</v>
      </c>
      <c r="D20" s="95">
        <f t="array" ref="D20">INDEX('MTA 28-09'!D:D,MATCH(B20,'MTA 28-09'!A:A,0))</f>
        <v>2048</v>
      </c>
      <c r="E20" s="98" t="str">
        <f t="array" ref="E20">INDEX('MTA 28-09'!F:F,MATCH(B20,'MTA 28-09'!A:A,0))</f>
        <v>ATENDIDO</v>
      </c>
      <c r="F20" s="99">
        <f t="array" ref="F20">INDEX('MTA 28-09'!I:I,MATCH(B20,'MTA 28-09'!A:A,0))</f>
        <v>46052</v>
      </c>
      <c r="G20" s="100" t="str">
        <f t="array" ref="G20">INDEX('MTA 28-09'!J:J,MATCH(B20,'MTA 28-09'!A:A,0))</f>
        <v>C26066</v>
      </c>
      <c r="H20" s="101">
        <v>1.0</v>
      </c>
      <c r="I20" s="90"/>
      <c r="J20" s="102"/>
      <c r="K20" s="103"/>
      <c r="L20" s="102" t="str">
        <f t="array" ref="L20">INDEX('MTA 28-09'!S:S,MATCH(B20,'MTA 28-09'!A:A,0))</f>
        <v>A-29</v>
      </c>
      <c r="M20" s="98" t="str">
        <f t="array" ref="M20">INDEX('MTA 28-09'!T:T,MATCH(B20,'MTA 28-09'!A:A,0))</f>
        <v>CTT 004/CELOG-PAMASP/2025 - PW - AQ. PEÇAS</v>
      </c>
      <c r="N20" s="98" t="str">
        <f t="array" ref="N20">INDEX('MTA 28-09'!U:U,MATCH(B20,'MTA 28-09'!A:A,0))</f>
        <v>Material para PT6A-68C 1/3</v>
      </c>
      <c r="O20" s="104">
        <f t="array" ref="O20">INDEX('MTA 28-09'!AC:AC,MATCH(B20,'MTA 28-09'!A:A,0))</f>
        <v>1169401.04</v>
      </c>
      <c r="P20" s="98" t="str">
        <f t="array" ref="P20">INDEX('MTA 28-09'!N:N,MATCH(B20,'MTA 28-09'!A:A,0))</f>
        <v>CELOG</v>
      </c>
      <c r="Q20" s="105" t="str">
        <f t="array" ref="Q20">INDEX('MTA 28-09'!Z:Z,MATCH(B20,'MTA 28-09'!A:A,0))</f>
        <v>339030</v>
      </c>
      <c r="R20" s="98" t="str">
        <f t="array" ref="R20">INDEX('MTA 28-09'!L:L,MATCH(B20,'MTA 28-09'!A:A,0))</f>
        <v>A</v>
      </c>
      <c r="S20" s="107" t="str">
        <f t="array" ref="S20">INDEX('MTA 28-09'!X:X,MATCH(B20,'MTA 28-09'!A:A,0))</f>
        <v>SOB DEMANDA</v>
      </c>
      <c r="T20" s="107" t="str">
        <f t="array" ref="T20">INDEX('MTA 28-09'!W:W,MATCH(B20,'MTA 28-09'!A:A,0))</f>
        <v>SIM</v>
      </c>
      <c r="U20" s="109">
        <f t="array" ref="U20">INDEX('MTA 28-09'!AE:AE,MATCH(B20,'MTA 28-09'!A:A,0))</f>
        <v>46079</v>
      </c>
      <c r="V20" s="29"/>
      <c r="W20" s="29"/>
      <c r="X20" s="29"/>
      <c r="Y20" s="29"/>
      <c r="Z20" s="29"/>
      <c r="AA20" s="29"/>
      <c r="AB20" s="29"/>
      <c r="AC20" s="29"/>
      <c r="AD20" s="29"/>
      <c r="AE20" s="29"/>
      <c r="AF20" s="29"/>
      <c r="AG20" s="29"/>
      <c r="AH20" s="29"/>
      <c r="AI20" s="29"/>
      <c r="AJ20" s="29"/>
      <c r="AK20" s="29"/>
      <c r="AL20" s="29"/>
      <c r="AM20" s="29"/>
    </row>
    <row r="21">
      <c r="A21" s="31" t="s">
        <v>43</v>
      </c>
      <c r="B21" s="32">
        <v>10220.0</v>
      </c>
      <c r="C21" s="33" t="str">
        <f t="array" ref="C21">INDEX('MTA 28-09'!B:B,MATCH(B21,'MTA 28-09'!A:A,0))</f>
        <v>SIM</v>
      </c>
      <c r="D21" s="34">
        <f t="array" ref="D21">INDEX('MTA 28-09'!D:D,MATCH(B21,'MTA 28-09'!A:A,0))</f>
        <v>2048</v>
      </c>
      <c r="E21" s="32" t="str">
        <f t="array" ref="E21">INDEX('MTA 28-09'!F:F,MATCH(B21,'MTA 28-09'!A:A,0))</f>
        <v/>
      </c>
      <c r="F21" s="155" t="str">
        <f t="array" ref="F21">INDEX('MTA 28-09'!I:I,MATCH(B21,'MTA 28-09'!A:A,0))</f>
        <v/>
      </c>
      <c r="G21" s="36" t="str">
        <f t="array" ref="G21">INDEX('MTA 28-09'!J:J,MATCH(B21,'MTA 28-09'!A:A,0))</f>
        <v/>
      </c>
      <c r="H21" s="156">
        <v>46276.0</v>
      </c>
      <c r="I21" s="157" t="s">
        <v>152</v>
      </c>
      <c r="J21" s="39" t="s">
        <v>153</v>
      </c>
      <c r="K21" s="40"/>
      <c r="L21" s="39" t="str">
        <f t="array" ref="L21">INDEX('MTA 28-09'!S:S,MATCH(B21,'MTA 28-09'!A:A,0))</f>
        <v>C-95M</v>
      </c>
      <c r="M21" s="32" t="str">
        <f t="array" ref="M21">INDEX('MTA 28-09'!T:T,MATCH(B21,'MTA 28-09'!A:A,0))</f>
        <v>Requisição CABW</v>
      </c>
      <c r="N21" s="32" t="str">
        <f t="array" ref="N21">INDEX('MTA 28-09'!U:U,MATCH(B21,'MTA 28-09'!A:A,0))</f>
        <v>Requisição de Consumíveis</v>
      </c>
      <c r="O21" s="59">
        <f t="array" ref="O21">INDEX('MTA 28-09'!AC:AC,MATCH(B21,'MTA 28-09'!A:A,0))</f>
        <v>149138.2</v>
      </c>
      <c r="P21" s="32" t="str">
        <f t="array" ref="P21">INDEX('MTA 28-09'!N:N,MATCH(B21,'MTA 28-09'!A:A,0))</f>
        <v>CABW</v>
      </c>
      <c r="Q21" s="67" t="str">
        <f t="array" ref="Q21">INDEX('MTA 28-09'!Z:Z,MATCH(B21,'MTA 28-09'!A:A,0))</f>
        <v>339030</v>
      </c>
      <c r="R21" s="32" t="str">
        <f t="array" ref="R21">INDEX('MTA 28-09'!L:L,MATCH(B21,'MTA 28-09'!A:A,0))</f>
        <v>A</v>
      </c>
      <c r="S21" s="72" t="str">
        <f t="array" ref="S21">INDEX('MTA 28-09'!X:X,MATCH(B21,'MTA 28-09'!A:A,0))</f>
        <v>REQUISIÇÃO</v>
      </c>
      <c r="T21" s="72" t="str">
        <f t="array" ref="T21">INDEX('MTA 28-09'!W:W,MATCH(B21,'MTA 28-09'!A:A,0))</f>
        <v>Não</v>
      </c>
      <c r="U21" s="81">
        <f t="array" ref="U21">INDEX('MTA 28-09'!AE:AE,MATCH(B21,'MTA 28-09'!A:A,0))</f>
        <v>46291</v>
      </c>
      <c r="V21" s="12"/>
      <c r="W21" s="12"/>
      <c r="X21" s="12"/>
      <c r="Y21" s="12"/>
      <c r="Z21" s="12"/>
      <c r="AA21" s="12"/>
      <c r="AB21" s="12"/>
      <c r="AC21" s="12"/>
      <c r="AD21" s="12"/>
      <c r="AE21" s="12"/>
      <c r="AF21" s="12"/>
      <c r="AG21" s="12"/>
      <c r="AH21" s="12"/>
      <c r="AI21" s="12"/>
      <c r="AJ21" s="12"/>
      <c r="AK21" s="12"/>
      <c r="AL21" s="12"/>
      <c r="AM21" s="12"/>
    </row>
    <row r="22">
      <c r="A22" s="88" t="s">
        <v>43</v>
      </c>
      <c r="B22" s="90">
        <v>10221.0</v>
      </c>
      <c r="C22" s="92" t="str">
        <f t="array" ref="C22">INDEX('MTA 28-09'!B:B,MATCH(B22,'MTA 28-09'!A:A,0))</f>
        <v>SIM</v>
      </c>
      <c r="D22" s="95" t="str">
        <f t="array" ref="D22">INDEX('MTA 28-09'!D:D,MATCH(B22,'MTA 28-09'!A:A,0))</f>
        <v>20XV</v>
      </c>
      <c r="E22" s="98" t="str">
        <f t="array" ref="E22">INDEX('MTA 28-09'!F:F,MATCH(B22,'MTA 28-09'!A:A,0))</f>
        <v>ATENDIDO</v>
      </c>
      <c r="F22" s="152">
        <f t="array" ref="F22">INDEX('MTA 28-09'!I:I,MATCH(B22,'MTA 28-09'!A:A,0))</f>
        <v>46098</v>
      </c>
      <c r="G22" s="100" t="str">
        <f t="array" ref="G22">INDEX('MTA 28-09'!J:J,MATCH(B22,'MTA 28-09'!A:A,0))</f>
        <v>C26062</v>
      </c>
      <c r="H22" s="101" t="s">
        <v>154</v>
      </c>
      <c r="I22" s="90"/>
      <c r="J22" s="102"/>
      <c r="K22" s="103"/>
      <c r="L22" s="102" t="str">
        <f t="array" ref="L22">INDEX('MTA 28-09'!S:S,MATCH(B22,'MTA 28-09'!A:A,0))</f>
        <v>C-95M</v>
      </c>
      <c r="M22" s="98" t="str">
        <f t="array" ref="M22">INDEX('MTA 28-09'!T:T,MATCH(B22,'MTA 28-09'!A:A,0))</f>
        <v>Requisição CABW</v>
      </c>
      <c r="N22" s="98" t="str">
        <f t="array" ref="N22">INDEX('MTA 28-09'!U:U,MATCH(B22,'MTA 28-09'!A:A,0))</f>
        <v>Atualização de GPS</v>
      </c>
      <c r="O22" s="104">
        <f t="array" ref="O22">INDEX('MTA 28-09'!AC:AC,MATCH(B22,'MTA 28-09'!A:A,0))</f>
        <v>150861.8</v>
      </c>
      <c r="P22" s="98" t="str">
        <f t="array" ref="P22">INDEX('MTA 28-09'!N:N,MATCH(B22,'MTA 28-09'!A:A,0))</f>
        <v>CABW</v>
      </c>
      <c r="Q22" s="105" t="str">
        <f t="array" ref="Q22">INDEX('MTA 28-09'!Z:Z,MATCH(B22,'MTA 28-09'!A:A,0))</f>
        <v>339039</v>
      </c>
      <c r="R22" s="98" t="str">
        <f t="array" ref="R22">INDEX('MTA 28-09'!L:L,MATCH(B22,'MTA 28-09'!A:A,0))</f>
        <v>A</v>
      </c>
      <c r="S22" s="107" t="str">
        <f t="array" ref="S22">INDEX('MTA 28-09'!X:X,MATCH(B22,'MTA 28-09'!A:A,0))</f>
        <v>REQUISIÇÃO</v>
      </c>
      <c r="T22" s="107" t="str">
        <f t="array" ref="T22">INDEX('MTA 28-09'!W:W,MATCH(B22,'MTA 28-09'!A:A,0))</f>
        <v>Não</v>
      </c>
      <c r="U22" s="109">
        <f t="array" ref="U22">INDEX('MTA 28-09'!AE:AE,MATCH(B22,'MTA 28-09'!A:A,0))</f>
        <v>46107</v>
      </c>
      <c r="V22" s="29"/>
      <c r="W22" s="29"/>
      <c r="X22" s="29"/>
      <c r="Y22" s="29"/>
      <c r="Z22" s="29"/>
      <c r="AA22" s="29"/>
      <c r="AB22" s="29"/>
      <c r="AC22" s="29"/>
      <c r="AD22" s="29"/>
      <c r="AE22" s="29"/>
      <c r="AF22" s="29"/>
      <c r="AG22" s="29"/>
      <c r="AH22" s="29"/>
      <c r="AI22" s="29"/>
      <c r="AJ22" s="29"/>
      <c r="AK22" s="29"/>
      <c r="AL22" s="29"/>
      <c r="AM22" s="29"/>
    </row>
    <row r="23">
      <c r="A23" s="31" t="s">
        <v>43</v>
      </c>
      <c r="B23" s="32">
        <v>10240.0</v>
      </c>
      <c r="C23" s="33" t="str">
        <f t="array" ref="C23">INDEX('MTA 28-09'!B:B,MATCH(B23,'MTA 28-09'!A:A,0))</f>
        <v>SIM</v>
      </c>
      <c r="D23" s="34">
        <f t="array" ref="D23">INDEX('MTA 28-09'!D:D,MATCH(B23,'MTA 28-09'!A:A,0))</f>
        <v>2048</v>
      </c>
      <c r="E23" s="32" t="str">
        <f t="array" ref="E23">INDEX('MTA 28-09'!F:F,MATCH(B23,'MTA 28-09'!A:A,0))</f>
        <v/>
      </c>
      <c r="F23" s="155" t="str">
        <f t="array" ref="F23">INDEX('MTA 28-09'!I:I,MATCH(B23,'MTA 28-09'!A:A,0))</f>
        <v/>
      </c>
      <c r="G23" s="36" t="str">
        <f t="array" ref="G23">INDEX('MTA 28-09'!J:J,MATCH(B23,'MTA 28-09'!A:A,0))</f>
        <v/>
      </c>
      <c r="H23" s="156">
        <v>46276.0</v>
      </c>
      <c r="I23" s="157" t="s">
        <v>152</v>
      </c>
      <c r="J23" s="39" t="s">
        <v>291</v>
      </c>
      <c r="K23" s="40"/>
      <c r="L23" s="39" t="str">
        <f t="array" ref="L23">INDEX('MTA 28-09'!S:S,MATCH(B23,'MTA 28-09'!A:A,0))</f>
        <v>C-95M</v>
      </c>
      <c r="M23" s="32" t="str">
        <f t="array" ref="M23">INDEX('MTA 28-09'!T:T,MATCH(B23,'MTA 28-09'!A:A,0))</f>
        <v>Requisição CABW</v>
      </c>
      <c r="N23" s="32" t="str">
        <f t="array" ref="N23">INDEX('MTA 28-09'!U:U,MATCH(B23,'MTA 28-09'!A:A,0))</f>
        <v>Requisição Consumíveis</v>
      </c>
      <c r="O23" s="59">
        <f t="array" ref="O23">INDEX('MTA 28-09'!AC:AC,MATCH(B23,'MTA 28-09'!A:A,0))</f>
        <v>451164.69</v>
      </c>
      <c r="P23" s="32" t="str">
        <f t="array" ref="P23">INDEX('MTA 28-09'!N:N,MATCH(B23,'MTA 28-09'!A:A,0))</f>
        <v>CABW</v>
      </c>
      <c r="Q23" s="67" t="str">
        <f t="array" ref="Q23">INDEX('MTA 28-09'!Z:Z,MATCH(B23,'MTA 28-09'!A:A,0))</f>
        <v>339030</v>
      </c>
      <c r="R23" s="32" t="str">
        <f t="array" ref="R23">INDEX('MTA 28-09'!L:L,MATCH(B23,'MTA 28-09'!A:A,0))</f>
        <v>A</v>
      </c>
      <c r="S23" s="72" t="str">
        <f t="array" ref="S23">INDEX('MTA 28-09'!X:X,MATCH(B23,'MTA 28-09'!A:A,0))</f>
        <v>REQUISIÇÃO</v>
      </c>
      <c r="T23" s="72" t="str">
        <f t="array" ref="T23">INDEX('MTA 28-09'!W:W,MATCH(B23,'MTA 28-09'!A:A,0))</f>
        <v>Não</v>
      </c>
      <c r="U23" s="81">
        <f t="array" ref="U23">INDEX('MTA 28-09'!AE:AE,MATCH(B23,'MTA 28-09'!A:A,0))</f>
        <v>46260</v>
      </c>
      <c r="V23" s="12"/>
      <c r="W23" s="12"/>
      <c r="X23" s="12"/>
      <c r="Y23" s="12"/>
      <c r="Z23" s="12"/>
      <c r="AA23" s="12"/>
      <c r="AB23" s="12"/>
      <c r="AC23" s="12"/>
      <c r="AD23" s="12"/>
      <c r="AE23" s="12"/>
      <c r="AF23" s="12"/>
      <c r="AG23" s="12"/>
      <c r="AH23" s="12"/>
      <c r="AI23" s="12"/>
      <c r="AJ23" s="12"/>
      <c r="AK23" s="12"/>
      <c r="AL23" s="12"/>
      <c r="AM23" s="12"/>
    </row>
    <row r="24">
      <c r="A24" s="88" t="s">
        <v>43</v>
      </c>
      <c r="B24" s="90">
        <v>10241.0</v>
      </c>
      <c r="C24" s="92" t="str">
        <f t="array" ref="C24">INDEX('MTA 28-09'!B:B,MATCH(B24,'MTA 28-09'!A:A,0))</f>
        <v>SIM</v>
      </c>
      <c r="D24" s="95" t="str">
        <f t="array" ref="D24">INDEX('MTA 28-09'!D:D,MATCH(B24,'MTA 28-09'!A:A,0))</f>
        <v>20XV</v>
      </c>
      <c r="E24" s="98" t="str">
        <f t="array" ref="E24">INDEX('MTA 28-09'!F:F,MATCH(B24,'MTA 28-09'!A:A,0))</f>
        <v>ATENDIDO</v>
      </c>
      <c r="F24" s="99">
        <f t="array" ref="F24">INDEX('MTA 28-09'!I:I,MATCH(B24,'MTA 28-09'!A:A,0))</f>
        <v>46098</v>
      </c>
      <c r="G24" s="100" t="str">
        <f t="array" ref="G24">INDEX('MTA 28-09'!J:J,MATCH(B24,'MTA 28-09'!A:A,0))</f>
        <v>C26151</v>
      </c>
      <c r="H24" s="101" t="s">
        <v>154</v>
      </c>
      <c r="I24" s="90"/>
      <c r="J24" s="102"/>
      <c r="K24" s="103"/>
      <c r="L24" s="102" t="str">
        <f t="array" ref="L24">INDEX('MTA 28-09'!S:S,MATCH(B24,'MTA 28-09'!A:A,0))</f>
        <v>C-95M</v>
      </c>
      <c r="M24" s="98" t="str">
        <f t="array" ref="M24">INDEX('MTA 28-09'!T:T,MATCH(B24,'MTA 28-09'!A:A,0))</f>
        <v>Contrato inexigibilidade EMBRAER</v>
      </c>
      <c r="N24" s="98" t="str">
        <f t="array" ref="N24">INDEX('MTA 28-09'!U:U,MATCH(B24,'MTA 28-09'!A:A,0))</f>
        <v>Publicação</v>
      </c>
      <c r="O24" s="104">
        <f t="array" ref="O24">INDEX('MTA 28-09'!AC:AC,MATCH(B24,'MTA 28-09'!A:A,0))</f>
        <v>15615.31</v>
      </c>
      <c r="P24" s="98" t="str">
        <f t="array" ref="P24">INDEX('MTA 28-09'!N:N,MATCH(B24,'MTA 28-09'!A:A,0))</f>
        <v>CELOG</v>
      </c>
      <c r="Q24" s="105" t="str">
        <f t="array" ref="Q24">INDEX('MTA 28-09'!Z:Z,MATCH(B24,'MTA 28-09'!A:A,0))</f>
        <v>339039</v>
      </c>
      <c r="R24" s="98" t="str">
        <f t="array" ref="R24">INDEX('MTA 28-09'!L:L,MATCH(B24,'MTA 28-09'!A:A,0))</f>
        <v>A</v>
      </c>
      <c r="S24" s="107" t="str">
        <f t="array" ref="S24">INDEX('MTA 28-09'!X:X,MATCH(B24,'MTA 28-09'!A:A,0))</f>
        <v>REQUISIÇÃO</v>
      </c>
      <c r="T24" s="107" t="str">
        <f t="array" ref="T24">INDEX('MTA 28-09'!W:W,MATCH(B24,'MTA 28-09'!A:A,0))</f>
        <v>Não</v>
      </c>
      <c r="U24" s="109">
        <f t="array" ref="U24">INDEX('MTA 28-09'!AE:AE,MATCH(B24,'MTA 28-09'!A:A,0))</f>
        <v>46107</v>
      </c>
      <c r="V24" s="29"/>
      <c r="W24" s="29"/>
      <c r="X24" s="29"/>
      <c r="Y24" s="29"/>
      <c r="Z24" s="29"/>
      <c r="AA24" s="29"/>
      <c r="AB24" s="29"/>
      <c r="AC24" s="29"/>
      <c r="AD24" s="29"/>
      <c r="AE24" s="29"/>
      <c r="AF24" s="29"/>
      <c r="AG24" s="29"/>
      <c r="AH24" s="29"/>
      <c r="AI24" s="29"/>
      <c r="AJ24" s="29"/>
      <c r="AK24" s="29"/>
      <c r="AL24" s="29"/>
      <c r="AM24" s="29"/>
    </row>
    <row r="25">
      <c r="A25" s="31" t="s">
        <v>43</v>
      </c>
      <c r="B25" s="38">
        <v>10242.0</v>
      </c>
      <c r="C25" s="33" t="str">
        <f t="array" ref="C25">INDEX('MTA 28-09'!B:B,MATCH(B25,'MTA 28-09'!A:A,0))</f>
        <v>SIM</v>
      </c>
      <c r="D25" s="34">
        <f t="array" ref="D25">INDEX('MTA 28-09'!D:D,MATCH(B25,'MTA 28-09'!A:A,0))</f>
        <v>2048</v>
      </c>
      <c r="E25" s="32" t="str">
        <f t="array" ref="E25">INDEX('MTA 28-09'!F:F,MATCH(B25,'MTA 28-09'!A:A,0))</f>
        <v>ATENDIDO</v>
      </c>
      <c r="F25" s="155">
        <f t="array" ref="F25">INDEX('MTA 28-09'!I:I,MATCH(B25,'MTA 28-09'!A:A,0))</f>
        <v>46209</v>
      </c>
      <c r="G25" s="36" t="str">
        <f t="array" ref="G25">INDEX('MTA 28-09'!J:J,MATCH(B25,'MTA 28-09'!A:A,0))</f>
        <v>C26146</v>
      </c>
      <c r="H25" s="37" t="s">
        <v>375</v>
      </c>
      <c r="I25" s="38"/>
      <c r="J25" s="39"/>
      <c r="K25" s="40"/>
      <c r="L25" s="39" t="str">
        <f t="array" ref="L25">INDEX('MTA 28-09'!S:S,MATCH(B25,'MTA 28-09'!A:A,0))</f>
        <v>C-95M</v>
      </c>
      <c r="M25" s="32" t="str">
        <f t="array" ref="M25">INDEX('MTA 28-09'!T:T,MATCH(B25,'MTA 28-09'!A:A,0))</f>
        <v>Requisição CABW</v>
      </c>
      <c r="N25" s="32" t="str">
        <f t="array" ref="N25">INDEX('MTA 28-09'!U:U,MATCH(B25,'MTA 28-09'!A:A,0))</f>
        <v>Publicação</v>
      </c>
      <c r="O25" s="59">
        <f t="array" ref="O25">INDEX('MTA 28-09'!AC:AC,MATCH(B25,'MTA 28-09'!A:A,0))</f>
        <v>53149.73</v>
      </c>
      <c r="P25" s="32" t="str">
        <f t="array" ref="P25">INDEX('MTA 28-09'!N:N,MATCH(B25,'MTA 28-09'!A:A,0))</f>
        <v>CABW</v>
      </c>
      <c r="Q25" s="67" t="str">
        <f t="array" ref="Q25">INDEX('MTA 28-09'!Z:Z,MATCH(B25,'MTA 28-09'!A:A,0))</f>
        <v>339039</v>
      </c>
      <c r="R25" s="32" t="str">
        <f t="array" ref="R25">INDEX('MTA 28-09'!L:L,MATCH(B25,'MTA 28-09'!A:A,0))</f>
        <v>A</v>
      </c>
      <c r="S25" s="72" t="str">
        <f t="array" ref="S25">INDEX('MTA 28-09'!X:X,MATCH(B25,'MTA 28-09'!A:A,0))</f>
        <v>REQUISIÇÃO</v>
      </c>
      <c r="T25" s="72" t="str">
        <f t="array" ref="T25">INDEX('MTA 28-09'!W:W,MATCH(B25,'MTA 28-09'!A:A,0))</f>
        <v>Não</v>
      </c>
      <c r="U25" s="81">
        <f t="array" ref="U25">INDEX('MTA 28-09'!AE:AE,MATCH(B25,'MTA 28-09'!A:A,0))</f>
        <v>46260</v>
      </c>
      <c r="V25" s="12"/>
      <c r="W25" s="12"/>
      <c r="X25" s="12"/>
      <c r="Y25" s="12"/>
      <c r="Z25" s="12"/>
      <c r="AA25" s="12"/>
      <c r="AB25" s="12"/>
      <c r="AC25" s="12"/>
      <c r="AD25" s="12"/>
      <c r="AE25" s="12"/>
      <c r="AF25" s="12"/>
      <c r="AG25" s="12"/>
      <c r="AH25" s="12"/>
      <c r="AI25" s="12"/>
      <c r="AJ25" s="12"/>
      <c r="AK25" s="12"/>
      <c r="AL25" s="12"/>
      <c r="AM25" s="12"/>
    </row>
    <row r="26">
      <c r="A26" s="88" t="s">
        <v>44</v>
      </c>
      <c r="B26" s="98">
        <v>10260.0</v>
      </c>
      <c r="C26" s="92" t="str">
        <f t="array" ref="C26">INDEX('MTA 28-09'!B:B,MATCH(B26,'MTA 28-09'!A:A,0))</f>
        <v>NÃO</v>
      </c>
      <c r="D26" s="95" t="str">
        <f t="array" ref="D26">INDEX('MTA 28-09'!D:D,MATCH(B26,'MTA 28-09'!A:A,0))</f>
        <v/>
      </c>
      <c r="E26" s="98" t="str">
        <f t="array" ref="E26">INDEX('MTA 28-09'!F:F,MATCH(B26,'MTA 28-09'!A:A,0))</f>
        <v>BLOQUEIO</v>
      </c>
      <c r="F26" s="99" t="str">
        <f t="array" ref="F26">INDEX('MTA 28-09'!I:I,MATCH(B26,'MTA 28-09'!A:A,0))</f>
        <v/>
      </c>
      <c r="G26" s="100" t="str">
        <f t="array" ref="G26">INDEX('MTA 28-09'!J:J,MATCH(B26,'MTA 28-09'!A:A,0))</f>
        <v/>
      </c>
      <c r="H26" s="159" t="s">
        <v>157</v>
      </c>
      <c r="I26" s="263"/>
      <c r="J26" s="102" t="s">
        <v>153</v>
      </c>
      <c r="K26" s="103"/>
      <c r="L26" s="102" t="str">
        <f t="array" ref="L26">INDEX('MTA 28-09'!S:S,MATCH(B26,'MTA 28-09'!A:A,0))</f>
        <v>C-97</v>
      </c>
      <c r="M26" s="98" t="str">
        <f t="array" ref="M26">INDEX('MTA 28-09'!T:T,MATCH(B26,'MTA 28-09'!A:A,0))</f>
        <v>Requisição CABW</v>
      </c>
      <c r="N26" s="98" t="str">
        <f t="array" ref="N26">INDEX('MTA 28-09'!U:U,MATCH(B26,'MTA 28-09'!A:A,0))</f>
        <v>Publicação</v>
      </c>
      <c r="O26" s="104">
        <f t="array" ref="O26">INDEX('MTA 28-09'!AC:AC,MATCH(B26,'MTA 28-09'!A:A,0))</f>
        <v>501640.62</v>
      </c>
      <c r="P26" s="98" t="str">
        <f t="array" ref="P26">INDEX('MTA 28-09'!N:N,MATCH(B26,'MTA 28-09'!A:A,0))</f>
        <v>CABW</v>
      </c>
      <c r="Q26" s="105" t="str">
        <f t="array" ref="Q26">INDEX('MTA 28-09'!Z:Z,MATCH(B26,'MTA 28-09'!A:A,0))</f>
        <v>339039</v>
      </c>
      <c r="R26" s="98" t="str">
        <f t="array" ref="R26">INDEX('MTA 28-09'!L:L,MATCH(B26,'MTA 28-09'!A:A,0))</f>
        <v>B</v>
      </c>
      <c r="S26" s="107" t="str">
        <f t="array" ref="S26">INDEX('MTA 28-09'!X:X,MATCH(B26,'MTA 28-09'!A:A,0))</f>
        <v>REQUISIÇÃO</v>
      </c>
      <c r="T26" s="107" t="str">
        <f t="array" ref="T26">INDEX('MTA 28-09'!W:W,MATCH(B26,'MTA 28-09'!A:A,0))</f>
        <v>Não</v>
      </c>
      <c r="U26" s="109">
        <f t="array" ref="U26">INDEX('MTA 28-09'!AE:AE,MATCH(B26,'MTA 28-09'!A:A,0))</f>
        <v>46291</v>
      </c>
      <c r="V26" s="29"/>
      <c r="W26" s="29"/>
      <c r="X26" s="29"/>
      <c r="Y26" s="29"/>
      <c r="Z26" s="29"/>
      <c r="AA26" s="29"/>
      <c r="AB26" s="29"/>
      <c r="AC26" s="29"/>
      <c r="AD26" s="29"/>
      <c r="AE26" s="29"/>
      <c r="AF26" s="29"/>
      <c r="AG26" s="29"/>
      <c r="AH26" s="29"/>
      <c r="AI26" s="29"/>
      <c r="AJ26" s="29"/>
      <c r="AK26" s="29"/>
      <c r="AL26" s="29"/>
      <c r="AM26" s="29"/>
    </row>
    <row r="27">
      <c r="A27" s="31" t="s">
        <v>44</v>
      </c>
      <c r="B27" s="38">
        <v>10261.0</v>
      </c>
      <c r="C27" s="33" t="str">
        <f t="array" ref="C27">INDEX('MTA 28-09'!B:B,MATCH(B27,'MTA 28-09'!A:A,0))</f>
        <v>SIM</v>
      </c>
      <c r="D27" s="34">
        <f t="array" ref="D27">INDEX('MTA 28-09'!D:D,MATCH(B27,'MTA 28-09'!A:A,0))</f>
        <v>2048</v>
      </c>
      <c r="E27" s="32" t="str">
        <f t="array" ref="E27">INDEX('MTA 28-09'!F:F,MATCH(B27,'MTA 28-09'!A:A,0))</f>
        <v>ATENDIDO</v>
      </c>
      <c r="F27" s="155">
        <f t="array" ref="F27">INDEX('MTA 28-09'!I:I,MATCH(B27,'MTA 28-09'!A:A,0))</f>
        <v>46098</v>
      </c>
      <c r="G27" s="36" t="str">
        <f t="array" ref="G27">INDEX('MTA 28-09'!J:J,MATCH(B27,'MTA 28-09'!A:A,0))</f>
        <v>C26155</v>
      </c>
      <c r="H27" s="37" t="s">
        <v>154</v>
      </c>
      <c r="I27" s="38"/>
      <c r="J27" s="39"/>
      <c r="K27" s="40"/>
      <c r="L27" s="39" t="str">
        <f t="array" ref="L27">INDEX('MTA 28-09'!S:S,MATCH(B27,'MTA 28-09'!A:A,0))</f>
        <v>C-97</v>
      </c>
      <c r="M27" s="32" t="str">
        <f t="array" ref="M27">INDEX('MTA 28-09'!T:T,MATCH(B27,'MTA 28-09'!A:A,0))</f>
        <v>Contrato inexigibilidade EMBRAER</v>
      </c>
      <c r="N27" s="32" t="str">
        <f t="array" ref="N27">INDEX('MTA 28-09'!U:U,MATCH(B27,'MTA 28-09'!A:A,0))</f>
        <v>Publicação</v>
      </c>
      <c r="O27" s="59">
        <f t="array" ref="O27">INDEX('MTA 28-09'!AC:AC,MATCH(B27,'MTA 28-09'!A:A,0))</f>
        <v>48359.38</v>
      </c>
      <c r="P27" s="32" t="str">
        <f t="array" ref="P27">INDEX('MTA 28-09'!N:N,MATCH(B27,'MTA 28-09'!A:A,0))</f>
        <v>CELOG</v>
      </c>
      <c r="Q27" s="67" t="str">
        <f t="array" ref="Q27">INDEX('MTA 28-09'!Z:Z,MATCH(B27,'MTA 28-09'!A:A,0))</f>
        <v>339039</v>
      </c>
      <c r="R27" s="32" t="str">
        <f t="array" ref="R27">INDEX('MTA 28-09'!L:L,MATCH(B27,'MTA 28-09'!A:A,0))</f>
        <v>A</v>
      </c>
      <c r="S27" s="72" t="str">
        <f t="array" ref="S27">INDEX('MTA 28-09'!X:X,MATCH(B27,'MTA 28-09'!A:A,0))</f>
        <v>REQUISIÇÃO</v>
      </c>
      <c r="T27" s="72" t="str">
        <f t="array" ref="T27">INDEX('MTA 28-09'!W:W,MATCH(B27,'MTA 28-09'!A:A,0))</f>
        <v>Não</v>
      </c>
      <c r="U27" s="81">
        <f t="array" ref="U27">INDEX('MTA 28-09'!AE:AE,MATCH(B27,'MTA 28-09'!A:A,0))</f>
        <v>46107</v>
      </c>
      <c r="V27" s="12"/>
      <c r="W27" s="12"/>
      <c r="X27" s="12"/>
      <c r="Y27" s="12"/>
      <c r="Z27" s="12"/>
      <c r="AA27" s="12"/>
      <c r="AB27" s="12"/>
      <c r="AC27" s="12"/>
      <c r="AD27" s="12"/>
      <c r="AE27" s="12"/>
      <c r="AF27" s="12"/>
      <c r="AG27" s="12"/>
      <c r="AH27" s="12"/>
      <c r="AI27" s="12"/>
      <c r="AJ27" s="12"/>
      <c r="AK27" s="12"/>
      <c r="AL27" s="12"/>
      <c r="AM27" s="12"/>
    </row>
    <row r="28">
      <c r="A28" s="88" t="s">
        <v>44</v>
      </c>
      <c r="B28" s="98">
        <v>10280.0</v>
      </c>
      <c r="C28" s="92" t="str">
        <f t="array" ref="C28">INDEX('MTA 28-09'!B:B,MATCH(B28,'MTA 28-09'!A:A,0))</f>
        <v>SIM</v>
      </c>
      <c r="D28" s="95">
        <f t="array" ref="D28">INDEX('MTA 28-09'!D:D,MATCH(B28,'MTA 28-09'!A:A,0))</f>
        <v>2048</v>
      </c>
      <c r="E28" s="98" t="str">
        <f t="array" ref="E28">INDEX('MTA 28-09'!F:F,MATCH(B28,'MTA 28-09'!A:A,0))</f>
        <v/>
      </c>
      <c r="F28" s="144" t="str">
        <f t="array" ref="F28">INDEX('MTA 28-09'!I:I,MATCH(B28,'MTA 28-09'!A:A,0))</f>
        <v/>
      </c>
      <c r="G28" s="100" t="str">
        <f t="array" ref="G28">INDEX('MTA 28-09'!J:J,MATCH(B28,'MTA 28-09'!A:A,0))</f>
        <v/>
      </c>
      <c r="H28" s="153">
        <v>46276.0</v>
      </c>
      <c r="I28" s="154" t="s">
        <v>152</v>
      </c>
      <c r="J28" s="102" t="s">
        <v>153</v>
      </c>
      <c r="K28" s="103"/>
      <c r="L28" s="102" t="str">
        <f t="array" ref="L28">INDEX('MTA 28-09'!S:S,MATCH(B28,'MTA 28-09'!A:A,0))</f>
        <v>C-97</v>
      </c>
      <c r="M28" s="98" t="str">
        <f t="array" ref="M28">INDEX('MTA 28-09'!T:T,MATCH(B28,'MTA 28-09'!A:A,0))</f>
        <v>Requisição CABW</v>
      </c>
      <c r="N28" s="98" t="str">
        <f t="array" ref="N28">INDEX('MTA 28-09'!U:U,MATCH(B28,'MTA 28-09'!A:A,0))</f>
        <v>Requisição Consumíveis</v>
      </c>
      <c r="O28" s="104">
        <f t="array" ref="O28">INDEX('MTA 28-09'!AC:AC,MATCH(B28,'MTA 28-09'!A:A,0))</f>
        <v>235062.94</v>
      </c>
      <c r="P28" s="98" t="str">
        <f t="array" ref="P28">INDEX('MTA 28-09'!N:N,MATCH(B28,'MTA 28-09'!A:A,0))</f>
        <v>CABW</v>
      </c>
      <c r="Q28" s="105" t="str">
        <f t="array" ref="Q28">INDEX('MTA 28-09'!Z:Z,MATCH(B28,'MTA 28-09'!A:A,0))</f>
        <v>339030</v>
      </c>
      <c r="R28" s="98" t="str">
        <f t="array" ref="R28">INDEX('MTA 28-09'!L:L,MATCH(B28,'MTA 28-09'!A:A,0))</f>
        <v>A</v>
      </c>
      <c r="S28" s="107" t="str">
        <f t="array" ref="S28">INDEX('MTA 28-09'!X:X,MATCH(B28,'MTA 28-09'!A:A,0))</f>
        <v>REQUISIÇÃO</v>
      </c>
      <c r="T28" s="107" t="str">
        <f t="array" ref="T28">INDEX('MTA 28-09'!W:W,MATCH(B28,'MTA 28-09'!A:A,0))</f>
        <v>Não</v>
      </c>
      <c r="U28" s="109">
        <f t="array" ref="U28">INDEX('MTA 28-09'!AE:AE,MATCH(B28,'MTA 28-09'!A:A,0))</f>
        <v>46291</v>
      </c>
      <c r="V28" s="29"/>
      <c r="W28" s="29"/>
      <c r="X28" s="29"/>
      <c r="Y28" s="29"/>
      <c r="Z28" s="29"/>
      <c r="AA28" s="29"/>
      <c r="AB28" s="29"/>
      <c r="AC28" s="29"/>
      <c r="AD28" s="29"/>
      <c r="AE28" s="29"/>
      <c r="AF28" s="29"/>
      <c r="AG28" s="29"/>
      <c r="AH28" s="29"/>
      <c r="AI28" s="29"/>
      <c r="AJ28" s="29"/>
      <c r="AK28" s="29"/>
      <c r="AL28" s="29"/>
      <c r="AM28" s="29"/>
    </row>
    <row r="29">
      <c r="A29" s="31" t="s">
        <v>44</v>
      </c>
      <c r="B29" s="38">
        <v>10281.0</v>
      </c>
      <c r="C29" s="33" t="str">
        <f t="array" ref="C29">INDEX('MTA 28-09'!B:B,MATCH(B29,'MTA 28-09'!A:A,0))</f>
        <v>SIM</v>
      </c>
      <c r="D29" s="34">
        <f t="array" ref="D29">INDEX('MTA 28-09'!D:D,MATCH(B29,'MTA 28-09'!A:A,0))</f>
        <v>2048</v>
      </c>
      <c r="E29" s="32" t="str">
        <f t="array" ref="E29">INDEX('MTA 28-09'!F:F,MATCH(B29,'MTA 28-09'!A:A,0))</f>
        <v>ATENDIDO</v>
      </c>
      <c r="F29" s="137">
        <f t="array" ref="F29">INDEX('MTA 28-09'!I:I,MATCH(B29,'MTA 28-09'!A:A,0))</f>
        <v>46192</v>
      </c>
      <c r="G29" s="36" t="str">
        <f t="array" ref="G29">INDEX('MTA 28-09'!J:J,MATCH(B29,'MTA 28-09'!A:A,0))</f>
        <v>C26121</v>
      </c>
      <c r="H29" s="37" t="s">
        <v>421</v>
      </c>
      <c r="I29" s="38"/>
      <c r="J29" s="39"/>
      <c r="K29" s="40"/>
      <c r="L29" s="39" t="str">
        <f t="array" ref="L29">INDEX('MTA 28-09'!S:S,MATCH(B29,'MTA 28-09'!A:A,0))</f>
        <v>C-97</v>
      </c>
      <c r="M29" s="32" t="str">
        <f t="array" ref="M29">INDEX('MTA 28-09'!T:T,MATCH(B29,'MTA 28-09'!A:A,0))</f>
        <v>Requisição CABW</v>
      </c>
      <c r="N29" s="32" t="str">
        <f t="array" ref="N29">INDEX('MTA 28-09'!U:U,MATCH(B29,'MTA 28-09'!A:A,0))</f>
        <v>Atualização de GPS</v>
      </c>
      <c r="O29" s="59">
        <f t="array" ref="O29">INDEX('MTA 28-09'!AC:AC,MATCH(B29,'MTA 28-09'!A:A,0))</f>
        <v>37180</v>
      </c>
      <c r="P29" s="32" t="str">
        <f t="array" ref="P29">INDEX('MTA 28-09'!N:N,MATCH(B29,'MTA 28-09'!A:A,0))</f>
        <v>CABW</v>
      </c>
      <c r="Q29" s="67" t="str">
        <f t="array" ref="Q29">INDEX('MTA 28-09'!Z:Z,MATCH(B29,'MTA 28-09'!A:A,0))</f>
        <v>339039</v>
      </c>
      <c r="R29" s="32" t="str">
        <f t="array" ref="R29">INDEX('MTA 28-09'!L:L,MATCH(B29,'MTA 28-09'!A:A,0))</f>
        <v>A</v>
      </c>
      <c r="S29" s="72" t="str">
        <f t="array" ref="S29">INDEX('MTA 28-09'!X:X,MATCH(B29,'MTA 28-09'!A:A,0))</f>
        <v>REQUISIÇÃO</v>
      </c>
      <c r="T29" s="72" t="str">
        <f t="array" ref="T29">INDEX('MTA 28-09'!W:W,MATCH(B29,'MTA 28-09'!A:A,0))</f>
        <v>Não</v>
      </c>
      <c r="U29" s="81">
        <f t="array" ref="U29">INDEX('MTA 28-09'!AE:AE,MATCH(B29,'MTA 28-09'!A:A,0))</f>
        <v>46291</v>
      </c>
      <c r="V29" s="12"/>
      <c r="W29" s="12"/>
      <c r="X29" s="12"/>
      <c r="Y29" s="12"/>
      <c r="Z29" s="12"/>
      <c r="AA29" s="12"/>
      <c r="AB29" s="12"/>
      <c r="AC29" s="12"/>
      <c r="AD29" s="12"/>
      <c r="AE29" s="12"/>
      <c r="AF29" s="12"/>
      <c r="AG29" s="12"/>
      <c r="AH29" s="12"/>
      <c r="AI29" s="12"/>
      <c r="AJ29" s="12"/>
      <c r="AK29" s="12"/>
      <c r="AL29" s="12"/>
      <c r="AM29" s="12"/>
    </row>
    <row r="30">
      <c r="A30" s="88" t="s">
        <v>45</v>
      </c>
      <c r="B30" s="98">
        <v>10300.0</v>
      </c>
      <c r="C30" s="92" t="str">
        <f t="array" ref="C30">INDEX('MTA 28-09'!B:B,MATCH(B30,'MTA 28-09'!A:A,0))</f>
        <v>SIM</v>
      </c>
      <c r="D30" s="95">
        <f t="array" ref="D30">INDEX('MTA 28-09'!D:D,MATCH(B30,'MTA 28-09'!A:A,0))</f>
        <v>2048</v>
      </c>
      <c r="E30" s="98" t="str">
        <f t="array" ref="E30">INDEX('MTA 28-09'!F:F,MATCH(B30,'MTA 28-09'!A:A,0))</f>
        <v/>
      </c>
      <c r="F30" s="152" t="str">
        <f t="array" ref="F30">INDEX('MTA 28-09'!I:I,MATCH(B30,'MTA 28-09'!A:A,0))</f>
        <v/>
      </c>
      <c r="G30" s="100" t="str">
        <f t="array" ref="G30">INDEX('MTA 28-09'!J:J,MATCH(B30,'MTA 28-09'!A:A,0))</f>
        <v/>
      </c>
      <c r="H30" s="159">
        <v>46276.0</v>
      </c>
      <c r="I30" s="154" t="s">
        <v>152</v>
      </c>
      <c r="J30" s="102" t="s">
        <v>153</v>
      </c>
      <c r="K30" s="103"/>
      <c r="L30" s="102" t="str">
        <f t="array" ref="L30">INDEX('MTA 28-09'!S:S,MATCH(B30,'MTA 28-09'!A:A,0))</f>
        <v>C-98</v>
      </c>
      <c r="M30" s="98" t="str">
        <f t="array" ref="M30">INDEX('MTA 28-09'!T:T,MATCH(B30,'MTA 28-09'!A:A,0))</f>
        <v>Requisição CABW</v>
      </c>
      <c r="N30" s="98" t="str">
        <f t="array" ref="N30">INDEX('MTA 28-09'!U:U,MATCH(B30,'MTA 28-09'!A:A,0))</f>
        <v>Requisição Consumíveis</v>
      </c>
      <c r="O30" s="104">
        <f t="array" ref="O30">INDEX('MTA 28-09'!AC:AC,MATCH(B30,'MTA 28-09'!A:A,0))</f>
        <v>135000</v>
      </c>
      <c r="P30" s="98" t="str">
        <f t="array" ref="P30">INDEX('MTA 28-09'!N:N,MATCH(B30,'MTA 28-09'!A:A,0))</f>
        <v>CABW</v>
      </c>
      <c r="Q30" s="105" t="str">
        <f t="array" ref="Q30">INDEX('MTA 28-09'!Z:Z,MATCH(B30,'MTA 28-09'!A:A,0))</f>
        <v>339030</v>
      </c>
      <c r="R30" s="98" t="str">
        <f t="array" ref="R30">INDEX('MTA 28-09'!L:L,MATCH(B30,'MTA 28-09'!A:A,0))</f>
        <v>A</v>
      </c>
      <c r="S30" s="107" t="str">
        <f t="array" ref="S30">INDEX('MTA 28-09'!X:X,MATCH(B30,'MTA 28-09'!A:A,0))</f>
        <v>REQUISIÇÃO</v>
      </c>
      <c r="T30" s="107" t="str">
        <f t="array" ref="T30">INDEX('MTA 28-09'!W:W,MATCH(B30,'MTA 28-09'!A:A,0))</f>
        <v>Não</v>
      </c>
      <c r="U30" s="109">
        <f t="array" ref="U30">INDEX('MTA 28-09'!AE:AE,MATCH(B30,'MTA 28-09'!A:A,0))</f>
        <v>46291</v>
      </c>
      <c r="V30" s="29"/>
      <c r="W30" s="29"/>
      <c r="X30" s="29"/>
      <c r="Y30" s="29"/>
      <c r="Z30" s="29"/>
      <c r="AA30" s="29"/>
      <c r="AB30" s="29"/>
      <c r="AC30" s="29"/>
      <c r="AD30" s="29"/>
      <c r="AE30" s="29"/>
      <c r="AF30" s="29"/>
      <c r="AG30" s="29"/>
      <c r="AH30" s="29"/>
      <c r="AI30" s="29"/>
      <c r="AJ30" s="29"/>
      <c r="AK30" s="29"/>
      <c r="AL30" s="29"/>
      <c r="AM30" s="29"/>
    </row>
    <row r="31">
      <c r="A31" s="31" t="s">
        <v>49</v>
      </c>
      <c r="B31" s="32">
        <v>10320.0</v>
      </c>
      <c r="C31" s="33" t="str">
        <f t="array" ref="C31">INDEX('MTA 28-09'!B:B,MATCH(B31,'MTA 28-09'!A:A,0))</f>
        <v>NÃO</v>
      </c>
      <c r="D31" s="34" t="str">
        <f t="array" ref="D31">INDEX('MTA 28-09'!D:D,MATCH(B31,'MTA 28-09'!A:A,0))</f>
        <v/>
      </c>
      <c r="E31" s="32" t="str">
        <f t="array" ref="E31">INDEX('MTA 28-09'!F:F,MATCH(B31,'MTA 28-09'!A:A,0))</f>
        <v/>
      </c>
      <c r="F31" s="137" t="str">
        <f t="array" ref="F31">INDEX('MTA 28-09'!I:I,MATCH(B31,'MTA 28-09'!A:A,0))</f>
        <v/>
      </c>
      <c r="G31" s="36" t="str">
        <f t="array" ref="G31">INDEX('MTA 28-09'!J:J,MATCH(B31,'MTA 28-09'!A:A,0))</f>
        <v/>
      </c>
      <c r="H31" s="287" t="s">
        <v>157</v>
      </c>
      <c r="I31" s="38"/>
      <c r="J31" s="39" t="s">
        <v>291</v>
      </c>
      <c r="K31" s="40"/>
      <c r="L31" s="39" t="str">
        <f t="array" ref="L31">INDEX('MTA 28-09'!S:S,MATCH(B31,'MTA 28-09'!A:A,0))</f>
        <v>IU-93M</v>
      </c>
      <c r="M31" s="32" t="str">
        <f t="array" ref="M31">INDEX('MTA 28-09'!T:T,MATCH(B31,'MTA 28-09'!A:A,0))</f>
        <v>Requisição CABW</v>
      </c>
      <c r="N31" s="32" t="str">
        <f t="array" ref="N31">INDEX('MTA 28-09'!U:U,MATCH(B31,'MTA 28-09'!A:A,0))</f>
        <v>Atualização de GPS</v>
      </c>
      <c r="O31" s="59">
        <f t="array" ref="O31">INDEX('MTA 28-09'!AC:AC,MATCH(B31,'MTA 28-09'!A:A,0))</f>
        <v>435113.38</v>
      </c>
      <c r="P31" s="32" t="str">
        <f t="array" ref="P31">INDEX('MTA 28-09'!N:N,MATCH(B31,'MTA 28-09'!A:A,0))</f>
        <v>CABW</v>
      </c>
      <c r="Q31" s="67" t="str">
        <f t="array" ref="Q31">INDEX('MTA 28-09'!Z:Z,MATCH(B31,'MTA 28-09'!A:A,0))</f>
        <v>339039</v>
      </c>
      <c r="R31" s="32" t="str">
        <f t="array" ref="R31">INDEX('MTA 28-09'!L:L,MATCH(B31,'MTA 28-09'!A:A,0))</f>
        <v>B</v>
      </c>
      <c r="S31" s="72" t="str">
        <f t="array" ref="S31">INDEX('MTA 28-09'!X:X,MATCH(B31,'MTA 28-09'!A:A,0))</f>
        <v>REQUISIÇÃO</v>
      </c>
      <c r="T31" s="72" t="str">
        <f t="array" ref="T31">INDEX('MTA 28-09'!W:W,MATCH(B31,'MTA 28-09'!A:A,0))</f>
        <v>Não</v>
      </c>
      <c r="U31" s="81">
        <f t="array" ref="U31">INDEX('MTA 28-09'!AE:AE,MATCH(B31,'MTA 28-09'!A:A,0))</f>
        <v>46260</v>
      </c>
      <c r="V31" s="12"/>
      <c r="W31" s="12"/>
      <c r="X31" s="12"/>
      <c r="Y31" s="12"/>
      <c r="Z31" s="12"/>
      <c r="AA31" s="12"/>
      <c r="AB31" s="12"/>
      <c r="AC31" s="12"/>
      <c r="AD31" s="12"/>
      <c r="AE31" s="12"/>
      <c r="AF31" s="12"/>
      <c r="AG31" s="12"/>
      <c r="AH31" s="12"/>
      <c r="AI31" s="12"/>
      <c r="AJ31" s="12"/>
      <c r="AK31" s="12"/>
      <c r="AL31" s="12"/>
      <c r="AM31" s="12"/>
    </row>
    <row r="32">
      <c r="A32" s="88" t="s">
        <v>49</v>
      </c>
      <c r="B32" s="90">
        <v>10321.0</v>
      </c>
      <c r="C32" s="92" t="str">
        <f t="array" ref="C32">INDEX('MTA 28-09'!B:B,MATCH(B32,'MTA 28-09'!A:A,0))</f>
        <v>SIM</v>
      </c>
      <c r="D32" s="95" t="str">
        <f t="array" ref="D32">INDEX('MTA 28-09'!D:D,MATCH(B32,'MTA 28-09'!A:A,0))</f>
        <v>20XV</v>
      </c>
      <c r="E32" s="98" t="str">
        <f t="array" ref="E32">INDEX('MTA 28-09'!F:F,MATCH(B32,'MTA 28-09'!A:A,0))</f>
        <v>ATENDIDO</v>
      </c>
      <c r="F32" s="289">
        <f t="array" ref="F32">INDEX('MTA 28-09'!I:I,MATCH(B32,'MTA 28-09'!A:A,0))</f>
        <v>46098</v>
      </c>
      <c r="G32" s="100" t="str">
        <f t="array" ref="G32">INDEX('MTA 28-09'!J:J,MATCH(B32,'MTA 28-09'!A:A,0))</f>
        <v>C26059</v>
      </c>
      <c r="H32" s="101" t="s">
        <v>154</v>
      </c>
      <c r="I32" s="90"/>
      <c r="J32" s="102"/>
      <c r="K32" s="103"/>
      <c r="L32" s="102" t="str">
        <f t="array" ref="L32">INDEX('MTA 28-09'!S:S,MATCH(B32,'MTA 28-09'!A:A,0))</f>
        <v>IU-93M</v>
      </c>
      <c r="M32" s="98" t="str">
        <f t="array" ref="M32">INDEX('MTA 28-09'!T:T,MATCH(B32,'MTA 28-09'!A:A,0))</f>
        <v>Requisição CABW</v>
      </c>
      <c r="N32" s="98" t="str">
        <f t="array" ref="N32">INDEX('MTA 28-09'!U:U,MATCH(B32,'MTA 28-09'!A:A,0))</f>
        <v>Atualização de GPS</v>
      </c>
      <c r="O32" s="104">
        <f t="array" ref="O32">INDEX('MTA 28-09'!AC:AC,MATCH(B32,'MTA 28-09'!A:A,0))</f>
        <v>133812</v>
      </c>
      <c r="P32" s="98" t="str">
        <f t="array" ref="P32">INDEX('MTA 28-09'!N:N,MATCH(B32,'MTA 28-09'!A:A,0))</f>
        <v>CABW</v>
      </c>
      <c r="Q32" s="105" t="str">
        <f t="array" ref="Q32">INDEX('MTA 28-09'!Z:Z,MATCH(B32,'MTA 28-09'!A:A,0))</f>
        <v>339039</v>
      </c>
      <c r="R32" s="98" t="str">
        <f t="array" ref="R32">INDEX('MTA 28-09'!L:L,MATCH(B32,'MTA 28-09'!A:A,0))</f>
        <v>A</v>
      </c>
      <c r="S32" s="107" t="str">
        <f t="array" ref="S32">INDEX('MTA 28-09'!X:X,MATCH(B32,'MTA 28-09'!A:A,0))</f>
        <v>REQUISIÇÃO</v>
      </c>
      <c r="T32" s="107" t="str">
        <f t="array" ref="T32">INDEX('MTA 28-09'!W:W,MATCH(B32,'MTA 28-09'!A:A,0))</f>
        <v>Não</v>
      </c>
      <c r="U32" s="109">
        <f t="array" ref="U32">INDEX('MTA 28-09'!AE:AE,MATCH(B32,'MTA 28-09'!A:A,0))</f>
        <v>46107</v>
      </c>
      <c r="V32" s="29"/>
      <c r="W32" s="29"/>
      <c r="X32" s="29"/>
      <c r="Y32" s="29"/>
      <c r="Z32" s="29"/>
      <c r="AA32" s="29"/>
      <c r="AB32" s="29"/>
      <c r="AC32" s="29"/>
      <c r="AD32" s="29"/>
      <c r="AE32" s="29"/>
      <c r="AF32" s="29"/>
      <c r="AG32" s="29"/>
      <c r="AH32" s="29"/>
      <c r="AI32" s="29"/>
      <c r="AJ32" s="29"/>
      <c r="AK32" s="29"/>
      <c r="AL32" s="29"/>
      <c r="AM32" s="29"/>
    </row>
    <row r="33">
      <c r="A33" s="31" t="s">
        <v>49</v>
      </c>
      <c r="B33" s="38">
        <v>10322.0</v>
      </c>
      <c r="C33" s="33" t="str">
        <f t="array" ref="C33">INDEX('MTA 28-09'!B:B,MATCH(B33,'MTA 28-09'!A:A,0))</f>
        <v>SIM</v>
      </c>
      <c r="D33" s="34" t="str">
        <f t="array" ref="D33">INDEX('MTA 28-09'!D:D,MATCH(B33,'MTA 28-09'!A:A,0))</f>
        <v>20XV</v>
      </c>
      <c r="E33" s="32" t="str">
        <f t="array" ref="E33">INDEX('MTA 28-09'!F:F,MATCH(B33,'MTA 28-09'!A:A,0))</f>
        <v>ATENDIDO</v>
      </c>
      <c r="F33" s="35">
        <f t="array" ref="F33">INDEX('MTA 28-09'!I:I,MATCH(B33,'MTA 28-09'!A:A,0))</f>
        <v>46210</v>
      </c>
      <c r="G33" s="36" t="str">
        <f t="array" ref="G33">INDEX('MTA 28-09'!J:J,MATCH(B33,'MTA 28-09'!A:A,0))</f>
        <v>C26059</v>
      </c>
      <c r="H33" s="37" t="s">
        <v>375</v>
      </c>
      <c r="I33" s="38"/>
      <c r="J33" s="39"/>
      <c r="K33" s="40"/>
      <c r="L33" s="39" t="str">
        <f t="array" ref="L33">INDEX('MTA 28-09'!S:S,MATCH(B33,'MTA 28-09'!A:A,0))</f>
        <v>IU-93M</v>
      </c>
      <c r="M33" s="32" t="str">
        <f t="array" ref="M33">INDEX('MTA 28-09'!T:T,MATCH(B33,'MTA 28-09'!A:A,0))</f>
        <v>Requisição CABW</v>
      </c>
      <c r="N33" s="32" t="str">
        <f t="array" ref="N33">INDEX('MTA 28-09'!U:U,MATCH(B33,'MTA 28-09'!A:A,0))</f>
        <v>Atualização de GPS</v>
      </c>
      <c r="O33" s="59">
        <f t="array" ref="O33">INDEX('MTA 28-09'!AC:AC,MATCH(B33,'MTA 28-09'!A:A,0))</f>
        <v>616082.32</v>
      </c>
      <c r="P33" s="32" t="str">
        <f t="array" ref="P33">INDEX('MTA 28-09'!N:N,MATCH(B33,'MTA 28-09'!A:A,0))</f>
        <v>CABW</v>
      </c>
      <c r="Q33" s="67" t="str">
        <f t="array" ref="Q33">INDEX('MTA 28-09'!Z:Z,MATCH(B33,'MTA 28-09'!A:A,0))</f>
        <v>339039</v>
      </c>
      <c r="R33" s="32" t="str">
        <f t="array" ref="R33">INDEX('MTA 28-09'!L:L,MATCH(B33,'MTA 28-09'!A:A,0))</f>
        <v>A</v>
      </c>
      <c r="S33" s="72" t="str">
        <f t="array" ref="S33">INDEX('MTA 28-09'!X:X,MATCH(B33,'MTA 28-09'!A:A,0))</f>
        <v>REQUISIÇÃO</v>
      </c>
      <c r="T33" s="72" t="str">
        <f t="array" ref="T33">INDEX('MTA 28-09'!W:W,MATCH(B33,'MTA 28-09'!A:A,0))</f>
        <v>Não</v>
      </c>
      <c r="U33" s="81">
        <f t="array" ref="U33">INDEX('MTA 28-09'!AE:AE,MATCH(B33,'MTA 28-09'!A:A,0))</f>
        <v>46260</v>
      </c>
      <c r="V33" s="12"/>
      <c r="W33" s="12"/>
      <c r="X33" s="12"/>
      <c r="Y33" s="12"/>
      <c r="Z33" s="12"/>
      <c r="AA33" s="12"/>
      <c r="AB33" s="12"/>
      <c r="AC33" s="12"/>
      <c r="AD33" s="12"/>
      <c r="AE33" s="12"/>
      <c r="AF33" s="12"/>
      <c r="AG33" s="12"/>
      <c r="AH33" s="12"/>
      <c r="AI33" s="12"/>
      <c r="AJ33" s="12"/>
      <c r="AK33" s="12"/>
      <c r="AL33" s="12"/>
      <c r="AM33" s="12"/>
    </row>
    <row r="34">
      <c r="A34" s="88" t="s">
        <v>49</v>
      </c>
      <c r="B34" s="98">
        <v>10340.0</v>
      </c>
      <c r="C34" s="92" t="str">
        <f t="array" ref="C34">INDEX('MTA 28-09'!B:B,MATCH(B34,'MTA 28-09'!A:A,0))</f>
        <v>SIM</v>
      </c>
      <c r="D34" s="95" t="str">
        <f t="array" ref="D34">INDEX('MTA 28-09'!D:D,MATCH(B34,'MTA 28-09'!A:A,0))</f>
        <v>20XV</v>
      </c>
      <c r="E34" s="98" t="str">
        <f t="array" ref="E34">INDEX('MTA 28-09'!F:F,MATCH(B34,'MTA 28-09'!A:A,0))</f>
        <v>CANCELADO</v>
      </c>
      <c r="F34" s="99" t="str">
        <f t="array" ref="F34">INDEX('MTA 28-09'!I:I,MATCH(B34,'MTA 28-09'!A:A,0))</f>
        <v/>
      </c>
      <c r="G34" s="100" t="str">
        <f t="array" ref="G34">INDEX('MTA 28-09'!J:J,MATCH(B34,'MTA 28-09'!A:A,0))</f>
        <v/>
      </c>
      <c r="H34" s="101">
        <v>1.0</v>
      </c>
      <c r="I34" s="90"/>
      <c r="J34" s="102"/>
      <c r="K34" s="103"/>
      <c r="L34" s="102" t="str">
        <f t="array" ref="L34">INDEX('MTA 28-09'!S:S,MATCH(B34,'MTA 28-09'!A:A,0))</f>
        <v>IU-93M</v>
      </c>
      <c r="M34" s="98" t="str">
        <f t="array" ref="M34">INDEX('MTA 28-09'!T:T,MATCH(B34,'MTA 28-09'!A:A,0))</f>
        <v>CNT 061/CAE-PAMALS/2020</v>
      </c>
      <c r="N34" s="98" t="str">
        <f t="array" ref="N34">INDEX('MTA 28-09'!U:U,MATCH(B34,'MTA 28-09'!A:A,0))</f>
        <v>MPI autorizado pela DIRMAB</v>
      </c>
      <c r="O34" s="104" t="str">
        <f t="array" ref="O34">INDEX('MTA 28-09'!AC:AC,MATCH(B34,'MTA 28-09'!A:A,0))</f>
        <v> -</v>
      </c>
      <c r="P34" s="98" t="str">
        <f t="array" ref="P34">INDEX('MTA 28-09'!N:N,MATCH(B34,'MTA 28-09'!A:A,0))</f>
        <v>CELOG</v>
      </c>
      <c r="Q34" s="105" t="str">
        <f t="array" ref="Q34">INDEX('MTA 28-09'!Z:Z,MATCH(B34,'MTA 28-09'!A:A,0))</f>
        <v>339039</v>
      </c>
      <c r="R34" s="98" t="str">
        <f t="array" ref="R34">INDEX('MTA 28-09'!L:L,MATCH(B34,'MTA 28-09'!A:A,0))</f>
        <v>A</v>
      </c>
      <c r="S34" s="107" t="str">
        <f t="array" ref="S34">INDEX('MTA 28-09'!X:X,MATCH(B34,'MTA 28-09'!A:A,0))</f>
        <v>SOB DEMANDA</v>
      </c>
      <c r="T34" s="107" t="str">
        <f t="array" ref="T34">INDEX('MTA 28-09'!W:W,MATCH(B34,'MTA 28-09'!A:A,0))</f>
        <v>SIM</v>
      </c>
      <c r="U34" s="109">
        <f t="array" ref="U34">INDEX('MTA 28-09'!AE:AE,MATCH(B34,'MTA 28-09'!A:A,0))</f>
        <v>46107</v>
      </c>
      <c r="V34" s="29"/>
      <c r="W34" s="29"/>
      <c r="X34" s="29"/>
      <c r="Y34" s="29"/>
      <c r="Z34" s="29"/>
      <c r="AA34" s="29"/>
      <c r="AB34" s="29"/>
      <c r="AC34" s="29"/>
      <c r="AD34" s="29"/>
      <c r="AE34" s="29"/>
      <c r="AF34" s="29"/>
      <c r="AG34" s="29"/>
      <c r="AH34" s="29"/>
      <c r="AI34" s="29"/>
      <c r="AJ34" s="29"/>
      <c r="AK34" s="29"/>
      <c r="AL34" s="29"/>
      <c r="AM34" s="29"/>
    </row>
    <row r="35">
      <c r="A35" s="31" t="s">
        <v>49</v>
      </c>
      <c r="B35" s="38">
        <v>10341.0</v>
      </c>
      <c r="C35" s="33" t="str">
        <f t="array" ref="C35">INDEX('MTA 28-09'!B:B,MATCH(B35,'MTA 28-09'!A:A,0))</f>
        <v>SIM</v>
      </c>
      <c r="D35" s="34" t="str">
        <f t="array" ref="D35">INDEX('MTA 28-09'!D:D,MATCH(B35,'MTA 28-09'!A:A,0))</f>
        <v>20XV</v>
      </c>
      <c r="E35" s="32" t="str">
        <f t="array" ref="E35">INDEX('MTA 28-09'!F:F,MATCH(B35,'MTA 28-09'!A:A,0))</f>
        <v>ATENDIDO</v>
      </c>
      <c r="F35" s="294">
        <f t="array" ref="F35">INDEX('MTA 28-09'!I:I,MATCH(B35,'MTA 28-09'!A:A,0))</f>
        <v>46191</v>
      </c>
      <c r="G35" s="36" t="str">
        <f t="array" ref="G35">INDEX('MTA 28-09'!J:J,MATCH(B35,'MTA 28-09'!A:A,0))</f>
        <v>C26300</v>
      </c>
      <c r="H35" s="287" t="s">
        <v>157</v>
      </c>
      <c r="I35" s="295"/>
      <c r="J35" s="39"/>
      <c r="K35" s="40"/>
      <c r="L35" s="39" t="str">
        <f t="array" ref="L35">INDEX('MTA 28-09'!S:S,MATCH(B35,'MTA 28-09'!A:A,0))</f>
        <v>IU-93M</v>
      </c>
      <c r="M35" s="32" t="str">
        <f t="array" ref="M35">INDEX('MTA 28-09'!T:T,MATCH(B35,'MTA 28-09'!A:A,0))</f>
        <v>CNT 061/CAE-PAMALS/2020</v>
      </c>
      <c r="N35" s="32" t="str">
        <f t="array" ref="N35">INDEX('MTA 28-09'!U:U,MATCH(B35,'MTA 28-09'!A:A,0))</f>
        <v>MPI autorizado pela DIRMAB</v>
      </c>
      <c r="O35" s="59">
        <f t="array" ref="O35">INDEX('MTA 28-09'!AC:AC,MATCH(B35,'MTA 28-09'!A:A,0))</f>
        <v>3000000</v>
      </c>
      <c r="P35" s="32" t="str">
        <f t="array" ref="P35">INDEX('MTA 28-09'!N:N,MATCH(B35,'MTA 28-09'!A:A,0))</f>
        <v>CELOG</v>
      </c>
      <c r="Q35" s="67" t="str">
        <f t="array" ref="Q35">INDEX('MTA 28-09'!Z:Z,MATCH(B35,'MTA 28-09'!A:A,0))</f>
        <v>339030</v>
      </c>
      <c r="R35" s="32" t="str">
        <f t="array" ref="R35">INDEX('MTA 28-09'!L:L,MATCH(B35,'MTA 28-09'!A:A,0))</f>
        <v>A</v>
      </c>
      <c r="S35" s="72" t="str">
        <f t="array" ref="S35">INDEX('MTA 28-09'!X:X,MATCH(B35,'MTA 28-09'!A:A,0))</f>
        <v>SOB DEMANDA</v>
      </c>
      <c r="T35" s="72" t="str">
        <f t="array" ref="T35">INDEX('MTA 28-09'!W:W,MATCH(B35,'MTA 28-09'!A:A,0))</f>
        <v>SIM</v>
      </c>
      <c r="U35" s="81" t="str">
        <f t="array" ref="U35">INDEX('MTA 28-09'!AE:AE,MATCH(B35,'MTA 28-09'!A:A,0))</f>
        <v/>
      </c>
      <c r="V35" s="12"/>
      <c r="W35" s="12"/>
      <c r="X35" s="12"/>
      <c r="Y35" s="12"/>
      <c r="Z35" s="12"/>
      <c r="AA35" s="12"/>
      <c r="AB35" s="12"/>
      <c r="AC35" s="12"/>
      <c r="AD35" s="12"/>
      <c r="AE35" s="12"/>
      <c r="AF35" s="12"/>
      <c r="AG35" s="12"/>
      <c r="AH35" s="12"/>
      <c r="AI35" s="12"/>
      <c r="AJ35" s="12"/>
      <c r="AK35" s="12"/>
      <c r="AL35" s="12"/>
      <c r="AM35" s="12"/>
    </row>
    <row r="36">
      <c r="A36" s="88" t="s">
        <v>107</v>
      </c>
      <c r="B36" s="98">
        <v>10360.0</v>
      </c>
      <c r="C36" s="92" t="str">
        <f t="array" ref="C36">INDEX('MTA 28-09'!B:B,MATCH(B36,'MTA 28-09'!A:A,0))</f>
        <v>NÃO</v>
      </c>
      <c r="D36" s="95" t="str">
        <f t="array" ref="D36">INDEX('MTA 28-09'!D:D,MATCH(B36,'MTA 28-09'!A:A,0))</f>
        <v/>
      </c>
      <c r="E36" s="98" t="str">
        <f t="array" ref="E36">INDEX('MTA 28-09'!F:F,MATCH(B36,'MTA 28-09'!A:A,0))</f>
        <v>BLOQUEIO</v>
      </c>
      <c r="F36" s="99" t="str">
        <f t="array" ref="F36">INDEX('MTA 28-09'!I:I,MATCH(B36,'MTA 28-09'!A:A,0))</f>
        <v/>
      </c>
      <c r="G36" s="100" t="str">
        <f t="array" ref="G36">INDEX('MTA 28-09'!J:J,MATCH(B36,'MTA 28-09'!A:A,0))</f>
        <v/>
      </c>
      <c r="H36" s="159" t="s">
        <v>157</v>
      </c>
      <c r="I36" s="296"/>
      <c r="J36" s="102"/>
      <c r="K36" s="103"/>
      <c r="L36" s="102" t="str">
        <f t="array" ref="L36">INDEX('MTA 28-09'!S:S,MATCH(B36,'MTA 28-09'!A:A,0))</f>
        <v>APOIO</v>
      </c>
      <c r="M36" s="98" t="str">
        <f t="array" ref="M36">INDEX('MTA 28-09'!T:T,MATCH(B36,'MTA 28-09'!A:A,0))</f>
        <v>REQUISIÇÃO SSS TLV</v>
      </c>
      <c r="N36" s="98" t="str">
        <f t="array" ref="N36">INDEX('MTA 28-09'!U:U,MATCH(B36,'MTA 28-09'!A:A,0))</f>
        <v>AQUISIÇÃO ITENS SSS COM TEMPO LIMITE DE VIDA (CABW) 1/3</v>
      </c>
      <c r="O36" s="104">
        <f t="array" ref="O36">INDEX('MTA 28-09'!AC:AC,MATCH(B36,'MTA 28-09'!A:A,0))</f>
        <v>1679899.79</v>
      </c>
      <c r="P36" s="98" t="str">
        <f t="array" ref="P36">INDEX('MTA 28-09'!N:N,MATCH(B36,'MTA 28-09'!A:A,0))</f>
        <v>CABW</v>
      </c>
      <c r="Q36" s="105" t="str">
        <f t="array" ref="Q36">INDEX('MTA 28-09'!Z:Z,MATCH(B36,'MTA 28-09'!A:A,0))</f>
        <v>339030</v>
      </c>
      <c r="R36" s="98" t="str">
        <f t="array" ref="R36">INDEX('MTA 28-09'!L:L,MATCH(B36,'MTA 28-09'!A:A,0))</f>
        <v>B</v>
      </c>
      <c r="S36" s="107" t="str">
        <f t="array" ref="S36">INDEX('MTA 28-09'!X:X,MATCH(B36,'MTA 28-09'!A:A,0))</f>
        <v>REQUISIÇÃO</v>
      </c>
      <c r="T36" s="107" t="str">
        <f t="array" ref="T36">INDEX('MTA 28-09'!W:W,MATCH(B36,'MTA 28-09'!A:A,0))</f>
        <v>NÃO</v>
      </c>
      <c r="U36" s="109">
        <f t="array" ref="U36">INDEX('MTA 28-09'!AE:AE,MATCH(B36,'MTA 28-09'!A:A,0))</f>
        <v>46049</v>
      </c>
      <c r="V36" s="29"/>
      <c r="W36" s="29"/>
      <c r="X36" s="29"/>
      <c r="Y36" s="29"/>
      <c r="Z36" s="29"/>
      <c r="AA36" s="29"/>
      <c r="AB36" s="29"/>
      <c r="AC36" s="29"/>
      <c r="AD36" s="29"/>
      <c r="AE36" s="29"/>
      <c r="AF36" s="29"/>
      <c r="AG36" s="29"/>
      <c r="AH36" s="29"/>
      <c r="AI36" s="29"/>
      <c r="AJ36" s="29"/>
      <c r="AK36" s="29"/>
      <c r="AL36" s="29"/>
      <c r="AM36" s="29"/>
    </row>
    <row r="37">
      <c r="A37" s="31" t="s">
        <v>107</v>
      </c>
      <c r="B37" s="32">
        <v>10380.0</v>
      </c>
      <c r="C37" s="33" t="str">
        <f t="array" ref="C37">INDEX('MTA 28-09'!B:B,MATCH(B37,'MTA 28-09'!A:A,0))</f>
        <v>SIM</v>
      </c>
      <c r="D37" s="34">
        <f t="array" ref="D37">INDEX('MTA 28-09'!D:D,MATCH(B37,'MTA 28-09'!A:A,0))</f>
        <v>2048</v>
      </c>
      <c r="E37" s="32" t="str">
        <f t="array" ref="E37">INDEX('MTA 28-09'!F:F,MATCH(B37,'MTA 28-09'!A:A,0))</f>
        <v>ATENDIDO</v>
      </c>
      <c r="F37" s="35">
        <f t="array" ref="F37">INDEX('MTA 28-09'!I:I,MATCH(B37,'MTA 28-09'!A:A,0))</f>
        <v>46063</v>
      </c>
      <c r="G37" s="36" t="str">
        <f t="array" ref="G37">INDEX('MTA 28-09'!J:J,MATCH(B37,'MTA 28-09'!A:A,0))</f>
        <v>C26015</v>
      </c>
      <c r="H37" s="37">
        <v>1.0</v>
      </c>
      <c r="I37" s="38"/>
      <c r="J37" s="39"/>
      <c r="K37" s="40"/>
      <c r="L37" s="39" t="str">
        <f t="array" ref="L37">INDEX('MTA 28-09'!S:S,MATCH(B37,'MTA 28-09'!A:A,0))</f>
        <v>APOIO</v>
      </c>
      <c r="M37" s="32" t="str">
        <f t="array" ref="M37">INDEX('MTA 28-09'!T:T,MATCH(B37,'MTA 28-09'!A:A,0))</f>
        <v>REQUISIÇÃO PTA SSS</v>
      </c>
      <c r="N37" s="32" t="str">
        <f t="array" ref="N37">INDEX('MTA 28-09'!U:U,MATCH(B37,'MTA 28-09'!A:A,0))</f>
        <v>AQUISIÇÃO ITENS SSS CUMPRIR PTA (CABW) 1/2</v>
      </c>
      <c r="O37" s="59">
        <f t="array" ref="O37">INDEX('MTA 28-09'!AC:AC,MATCH(B37,'MTA 28-09'!A:A,0))</f>
        <v>760240.53</v>
      </c>
      <c r="P37" s="32" t="str">
        <f t="array" ref="P37">INDEX('MTA 28-09'!N:N,MATCH(B37,'MTA 28-09'!A:A,0))</f>
        <v>CABW</v>
      </c>
      <c r="Q37" s="67" t="str">
        <f t="array" ref="Q37">INDEX('MTA 28-09'!Z:Z,MATCH(B37,'MTA 28-09'!A:A,0))</f>
        <v>339030</v>
      </c>
      <c r="R37" s="32" t="str">
        <f t="array" ref="R37">INDEX('MTA 28-09'!L:L,MATCH(B37,'MTA 28-09'!A:A,0))</f>
        <v>A</v>
      </c>
      <c r="S37" s="72" t="str">
        <f t="array" ref="S37">INDEX('MTA 28-09'!X:X,MATCH(B37,'MTA 28-09'!A:A,0))</f>
        <v>REQUISIÇÃO</v>
      </c>
      <c r="T37" s="72" t="str">
        <f t="array" ref="T37">INDEX('MTA 28-09'!W:W,MATCH(B37,'MTA 28-09'!A:A,0))</f>
        <v>NÃO</v>
      </c>
      <c r="U37" s="81">
        <f t="array" ref="U37">INDEX('MTA 28-09'!AE:AE,MATCH(B37,'MTA 28-09'!A:A,0))</f>
        <v>46107</v>
      </c>
      <c r="V37" s="12"/>
      <c r="W37" s="12"/>
      <c r="X37" s="12"/>
      <c r="Y37" s="12"/>
      <c r="Z37" s="12"/>
      <c r="AA37" s="12"/>
      <c r="AB37" s="12"/>
      <c r="AC37" s="12"/>
      <c r="AD37" s="12"/>
      <c r="AE37" s="12"/>
      <c r="AF37" s="12"/>
      <c r="AG37" s="12"/>
      <c r="AH37" s="12"/>
      <c r="AI37" s="12"/>
      <c r="AJ37" s="12"/>
      <c r="AK37" s="12"/>
      <c r="AL37" s="12"/>
      <c r="AM37" s="12"/>
    </row>
    <row r="38">
      <c r="A38" s="88" t="s">
        <v>107</v>
      </c>
      <c r="B38" s="98">
        <v>10400.0</v>
      </c>
      <c r="C38" s="92" t="str">
        <f t="array" ref="C38">INDEX('MTA 28-09'!B:B,MATCH(B38,'MTA 28-09'!A:A,0))</f>
        <v>SIM</v>
      </c>
      <c r="D38" s="95">
        <f t="array" ref="D38">INDEX('MTA 28-09'!D:D,MATCH(B38,'MTA 28-09'!A:A,0))</f>
        <v>2048</v>
      </c>
      <c r="E38" s="98" t="str">
        <f t="array" ref="E38">INDEX('MTA 28-09'!F:F,MATCH(B38,'MTA 28-09'!A:A,0))</f>
        <v/>
      </c>
      <c r="F38" s="152" t="str">
        <f t="array" ref="F38">INDEX('MTA 28-09'!I:I,MATCH(B38,'MTA 28-09'!A:A,0))</f>
        <v/>
      </c>
      <c r="G38" s="100" t="str">
        <f t="array" ref="G38">INDEX('MTA 28-09'!J:J,MATCH(B38,'MTA 28-09'!A:A,0))</f>
        <v/>
      </c>
      <c r="H38" s="159">
        <v>46276.0</v>
      </c>
      <c r="I38" s="154" t="s">
        <v>152</v>
      </c>
      <c r="J38" s="102"/>
      <c r="K38" s="103"/>
      <c r="L38" s="102" t="str">
        <f t="array" ref="L38">INDEX('MTA 28-09'!S:S,MATCH(B38,'MTA 28-09'!A:A,0))</f>
        <v>APOIO</v>
      </c>
      <c r="M38" s="98" t="str">
        <f t="array" ref="M38">INDEX('MTA 28-09'!T:T,MATCH(B38,'MTA 28-09'!A:A,0))</f>
        <v>REQUISIÇÃO PTA SSS</v>
      </c>
      <c r="N38" s="98" t="str">
        <f t="array" ref="N38">INDEX('MTA 28-09'!U:U,MATCH(B38,'MTA 28-09'!A:A,0))</f>
        <v>AQUISIÇÃO DE ITENS SSS PARA CUMPRIR PTA</v>
      </c>
      <c r="O38" s="104">
        <f t="array" ref="O38">INDEX('MTA 28-09'!AC:AC,MATCH(B38,'MTA 28-09'!A:A,0))</f>
        <v>5172.75</v>
      </c>
      <c r="P38" s="98" t="str">
        <f t="array" ref="P38">INDEX('MTA 28-09'!N:N,MATCH(B38,'MTA 28-09'!A:A,0))</f>
        <v>CABW</v>
      </c>
      <c r="Q38" s="105" t="str">
        <f t="array" ref="Q38">INDEX('MTA 28-09'!Z:Z,MATCH(B38,'MTA 28-09'!A:A,0))</f>
        <v>339030</v>
      </c>
      <c r="R38" s="98" t="str">
        <f t="array" ref="R38">INDEX('MTA 28-09'!L:L,MATCH(B38,'MTA 28-09'!A:A,0))</f>
        <v>A</v>
      </c>
      <c r="S38" s="107" t="str">
        <f t="array" ref="S38">INDEX('MTA 28-09'!X:X,MATCH(B38,'MTA 28-09'!A:A,0))</f>
        <v>REQUISIÇÃO</v>
      </c>
      <c r="T38" s="107" t="str">
        <f t="array" ref="T38">INDEX('MTA 28-09'!W:W,MATCH(B38,'MTA 28-09'!A:A,0))</f>
        <v>NÃO</v>
      </c>
      <c r="U38" s="109">
        <f t="array" ref="U38">INDEX('MTA 28-09'!AE:AE,MATCH(B38,'MTA 28-09'!A:A,0))</f>
        <v>46049</v>
      </c>
      <c r="V38" s="29"/>
      <c r="W38" s="29"/>
      <c r="X38" s="29"/>
      <c r="Y38" s="29"/>
      <c r="Z38" s="29"/>
      <c r="AA38" s="29"/>
      <c r="AB38" s="29"/>
      <c r="AC38" s="29"/>
      <c r="AD38" s="29"/>
      <c r="AE38" s="29"/>
      <c r="AF38" s="29"/>
      <c r="AG38" s="29"/>
      <c r="AH38" s="29"/>
      <c r="AI38" s="29"/>
      <c r="AJ38" s="29"/>
      <c r="AK38" s="29"/>
      <c r="AL38" s="29"/>
      <c r="AM38" s="29"/>
    </row>
    <row r="39">
      <c r="A39" s="31" t="s">
        <v>46</v>
      </c>
      <c r="B39" s="32">
        <v>10420.0</v>
      </c>
      <c r="C39" s="33" t="str">
        <f t="array" ref="C39">INDEX('MTA 28-09'!B:B,MATCH(B39,'MTA 28-09'!A:A,0))</f>
        <v>SIM</v>
      </c>
      <c r="D39" s="34">
        <f t="array" ref="D39">INDEX('MTA 28-09'!D:D,MATCH(B39,'MTA 28-09'!A:A,0))</f>
        <v>2048</v>
      </c>
      <c r="E39" s="32" t="str">
        <f t="array" ref="E39">INDEX('MTA 28-09'!F:F,MATCH(B39,'MTA 28-09'!A:A,0))</f>
        <v>ATENDIDO</v>
      </c>
      <c r="F39" s="35">
        <f t="array" ref="F39">INDEX('MTA 28-09'!I:I,MATCH(B39,'MTA 28-09'!A:A,0))</f>
        <v>46041</v>
      </c>
      <c r="G39" s="36" t="str">
        <f t="array" ref="G39">INDEX('MTA 28-09'!J:J,MATCH(B39,'MTA 28-09'!A:A,0))</f>
        <v>C26054</v>
      </c>
      <c r="H39" s="37">
        <v>1.0</v>
      </c>
      <c r="I39" s="38"/>
      <c r="J39" s="39"/>
      <c r="K39" s="40"/>
      <c r="L39" s="39" t="str">
        <f t="array" ref="L39">INDEX('MTA 28-09'!S:S,MATCH(B39,'MTA 28-09'!A:A,0))</f>
        <v>T-27</v>
      </c>
      <c r="M39" s="32" t="str">
        <f t="array" ref="M39">INDEX('MTA 28-09'!T:T,MATCH(B39,'MTA 28-09'!A:A,0))</f>
        <v>CTT 009/CELOG-PAMALS/2025 – Aquisição de Consumíveis</v>
      </c>
      <c r="N39" s="32" t="str">
        <f t="array" ref="N39">INDEX('MTA 28-09'!U:U,MATCH(B39,'MTA 28-09'!A:A,0))</f>
        <v>Sob demanda 1/8</v>
      </c>
      <c r="O39" s="59">
        <f t="array" ref="O39">INDEX('MTA 28-09'!AC:AC,MATCH(B39,'MTA 28-09'!A:A,0))</f>
        <v>1130000</v>
      </c>
      <c r="P39" s="32" t="str">
        <f t="array" ref="P39">INDEX('MTA 28-09'!N:N,MATCH(B39,'MTA 28-09'!A:A,0))</f>
        <v>CELOG</v>
      </c>
      <c r="Q39" s="67" t="str">
        <f t="array" ref="Q39">INDEX('MTA 28-09'!Z:Z,MATCH(B39,'MTA 28-09'!A:A,0))</f>
        <v>339030</v>
      </c>
      <c r="R39" s="32" t="str">
        <f t="array" ref="R39">INDEX('MTA 28-09'!L:L,MATCH(B39,'MTA 28-09'!A:A,0))</f>
        <v>A</v>
      </c>
      <c r="S39" s="72" t="str">
        <f t="array" ref="S39">INDEX('MTA 28-09'!X:X,MATCH(B39,'MTA 28-09'!A:A,0))</f>
        <v>SOB DEMANDA</v>
      </c>
      <c r="T39" s="72" t="str">
        <f t="array" ref="T39">INDEX('MTA 28-09'!W:W,MATCH(B39,'MTA 28-09'!A:A,0))</f>
        <v>Não</v>
      </c>
      <c r="U39" s="81">
        <f t="array" ref="U39">INDEX('MTA 28-09'!AE:AE,MATCH(B39,'MTA 28-09'!A:A,0))</f>
        <v>46107</v>
      </c>
      <c r="V39" s="12"/>
      <c r="W39" s="12"/>
      <c r="X39" s="12"/>
      <c r="Y39" s="12"/>
      <c r="Z39" s="12"/>
      <c r="AA39" s="12"/>
      <c r="AB39" s="12"/>
      <c r="AC39" s="12"/>
      <c r="AD39" s="12"/>
      <c r="AE39" s="12"/>
      <c r="AF39" s="12"/>
      <c r="AG39" s="12"/>
      <c r="AH39" s="12"/>
      <c r="AI39" s="12"/>
      <c r="AJ39" s="12"/>
      <c r="AK39" s="12"/>
      <c r="AL39" s="12"/>
      <c r="AM39" s="12"/>
    </row>
    <row r="40">
      <c r="A40" s="88" t="s">
        <v>39</v>
      </c>
      <c r="B40" s="98">
        <v>10440.0</v>
      </c>
      <c r="C40" s="92" t="str">
        <f t="array" ref="C40">INDEX('MTA 28-09'!B:B,MATCH(B40,'MTA 28-09'!A:A,0))</f>
        <v>SIM</v>
      </c>
      <c r="D40" s="95">
        <f t="array" ref="D40">INDEX('MTA 28-09'!D:D,MATCH(B40,'MTA 28-09'!A:A,0))</f>
        <v>2048</v>
      </c>
      <c r="E40" s="98" t="str">
        <f t="array" ref="E40">INDEX('MTA 28-09'!F:F,MATCH(B40,'MTA 28-09'!A:A,0))</f>
        <v>ATENDIDO</v>
      </c>
      <c r="F40" s="99">
        <f t="array" ref="F40">INDEX('MTA 28-09'!I:I,MATCH(B40,'MTA 28-09'!A:A,0))</f>
        <v>46041</v>
      </c>
      <c r="G40" s="100" t="str">
        <f t="array" ref="G40">INDEX('MTA 28-09'!J:J,MATCH(B40,'MTA 28-09'!A:A,0))</f>
        <v>C26059</v>
      </c>
      <c r="H40" s="101">
        <v>1.0</v>
      </c>
      <c r="I40" s="90"/>
      <c r="J40" s="102"/>
      <c r="K40" s="103"/>
      <c r="L40" s="102" t="str">
        <f t="array" ref="L40">INDEX('MTA 28-09'!S:S,MATCH(B40,'MTA 28-09'!A:A,0))</f>
        <v>A-29</v>
      </c>
      <c r="M40" s="98" t="str">
        <f t="array" ref="M40">INDEX('MTA 28-09'!T:T,MATCH(B40,'MTA 28-09'!A:A,0))</f>
        <v>CTT 102/CELOG-PAMALS/2023 – EMBRAER - PSLI</v>
      </c>
      <c r="N40" s="98" t="str">
        <f t="array" ref="N40">INDEX('MTA 28-09'!U:U,MATCH(B40,'MTA 28-09'!A:A,0))</f>
        <v>Módulo Extra - Sob demanda 1/4</v>
      </c>
      <c r="O40" s="104">
        <f t="array" ref="O40">INDEX('MTA 28-09'!AC:AC,MATCH(B40,'MTA 28-09'!A:A,0))</f>
        <v>1294030.55</v>
      </c>
      <c r="P40" s="98" t="str">
        <f t="array" ref="P40">INDEX('MTA 28-09'!N:N,MATCH(B40,'MTA 28-09'!A:A,0))</f>
        <v>CELOG</v>
      </c>
      <c r="Q40" s="105" t="str">
        <f t="array" ref="Q40">INDEX('MTA 28-09'!Z:Z,MATCH(B40,'MTA 28-09'!A:A,0))</f>
        <v>339039</v>
      </c>
      <c r="R40" s="98" t="str">
        <f t="array" ref="R40">INDEX('MTA 28-09'!L:L,MATCH(B40,'MTA 28-09'!A:A,0))</f>
        <v>A</v>
      </c>
      <c r="S40" s="107" t="str">
        <f t="array" ref="S40">INDEX('MTA 28-09'!X:X,MATCH(B40,'MTA 28-09'!A:A,0))</f>
        <v>SOB DEMANDA</v>
      </c>
      <c r="T40" s="107" t="str">
        <f t="array" ref="T40">INDEX('MTA 28-09'!W:W,MATCH(B40,'MTA 28-09'!A:A,0))</f>
        <v>Não</v>
      </c>
      <c r="U40" s="109">
        <f t="array" ref="U40">INDEX('MTA 28-09'!AE:AE,MATCH(B40,'MTA 28-09'!A:A,0))</f>
        <v>46107</v>
      </c>
      <c r="V40" s="29"/>
      <c r="W40" s="29"/>
      <c r="X40" s="29"/>
      <c r="Y40" s="29"/>
      <c r="Z40" s="29"/>
      <c r="AA40" s="29"/>
      <c r="AB40" s="29"/>
      <c r="AC40" s="29"/>
      <c r="AD40" s="29"/>
      <c r="AE40" s="29"/>
      <c r="AF40" s="29"/>
      <c r="AG40" s="29"/>
      <c r="AH40" s="29"/>
      <c r="AI40" s="29"/>
      <c r="AJ40" s="29"/>
      <c r="AK40" s="29"/>
      <c r="AL40" s="29"/>
      <c r="AM40" s="29"/>
    </row>
    <row r="41">
      <c r="A41" s="31" t="s">
        <v>39</v>
      </c>
      <c r="B41" s="32">
        <v>10460.0</v>
      </c>
      <c r="C41" s="33" t="str">
        <f t="array" ref="C41">INDEX('MTA 28-09'!B:B,MATCH(B41,'MTA 28-09'!A:A,0))</f>
        <v>SIM</v>
      </c>
      <c r="D41" s="34" t="str">
        <f t="array" ref="D41">INDEX('MTA 28-09'!D:D,MATCH(B41,'MTA 28-09'!A:A,0))</f>
        <v>2048 PO 02</v>
      </c>
      <c r="E41" s="32" t="str">
        <f t="array" ref="E41">INDEX('MTA 28-09'!F:F,MATCH(B41,'MTA 28-09'!A:A,0))</f>
        <v>ATENDER</v>
      </c>
      <c r="F41" s="35" t="str">
        <f t="array" ref="F41">INDEX('MTA 28-09'!I:I,MATCH(B41,'MTA 28-09'!A:A,0))</f>
        <v/>
      </c>
      <c r="G41" s="36" t="str">
        <f t="array" ref="G41">INDEX('MTA 28-09'!J:J,MATCH(B41,'MTA 28-09'!A:A,0))</f>
        <v/>
      </c>
      <c r="H41" s="287">
        <v>46276.0</v>
      </c>
      <c r="I41" s="38" t="s">
        <v>705</v>
      </c>
      <c r="J41" s="39"/>
      <c r="K41" s="40"/>
      <c r="L41" s="39" t="str">
        <f t="array" ref="L41">INDEX('MTA 28-09'!S:S,MATCH(B41,'MTA 28-09'!A:A,0))</f>
        <v>A-29</v>
      </c>
      <c r="M41" s="32" t="str">
        <f t="array" ref="M41">INDEX('MTA 28-09'!T:T,MATCH(B41,'MTA 28-09'!A:A,0))</f>
        <v>CNT 040/CELOG-PAMALS/2022 - AEL - CLS AVIONICO</v>
      </c>
      <c r="N41" s="32" t="str">
        <f t="array" ref="N41">INDEX('MTA 28-09'!U:U,MATCH(B41,'MTA 28-09'!A:A,0))</f>
        <v>Módulo Extra - Sob demanda</v>
      </c>
      <c r="O41" s="59">
        <f t="array" ref="O41">INDEX('MTA 28-09'!AC:AC,MATCH(B41,'MTA 28-09'!A:A,0))</f>
        <v>412184.26</v>
      </c>
      <c r="P41" s="32" t="str">
        <f t="array" ref="P41">INDEX('MTA 28-09'!N:N,MATCH(B41,'MTA 28-09'!A:A,0))</f>
        <v>CELOG</v>
      </c>
      <c r="Q41" s="67" t="str">
        <f t="array" ref="Q41">INDEX('MTA 28-09'!Z:Z,MATCH(B41,'MTA 28-09'!A:A,0))</f>
        <v>339039</v>
      </c>
      <c r="R41" s="32" t="str">
        <f t="array" ref="R41">INDEX('MTA 28-09'!L:L,MATCH(B41,'MTA 28-09'!A:A,0))</f>
        <v>A</v>
      </c>
      <c r="S41" s="72" t="str">
        <f t="array" ref="S41">INDEX('MTA 28-09'!X:X,MATCH(B41,'MTA 28-09'!A:A,0))</f>
        <v>SOB DEMANDA</v>
      </c>
      <c r="T41" s="72" t="str">
        <f t="array" ref="T41">INDEX('MTA 28-09'!W:W,MATCH(B41,'MTA 28-09'!A:A,0))</f>
        <v>Não</v>
      </c>
      <c r="U41" s="81">
        <f t="array" ref="U41">INDEX('MTA 28-09'!AE:AE,MATCH(B41,'MTA 28-09'!A:A,0))</f>
        <v>46321</v>
      </c>
      <c r="V41" s="12"/>
      <c r="W41" s="12"/>
      <c r="X41" s="12"/>
      <c r="Y41" s="12"/>
      <c r="Z41" s="12"/>
      <c r="AA41" s="12"/>
      <c r="AB41" s="12"/>
      <c r="AC41" s="12"/>
      <c r="AD41" s="12"/>
      <c r="AE41" s="12"/>
      <c r="AF41" s="12"/>
      <c r="AG41" s="12"/>
      <c r="AH41" s="12"/>
      <c r="AI41" s="12"/>
      <c r="AJ41" s="12"/>
      <c r="AK41" s="12"/>
      <c r="AL41" s="12"/>
      <c r="AM41" s="12"/>
    </row>
    <row r="42">
      <c r="A42" s="88" t="s">
        <v>43</v>
      </c>
      <c r="B42" s="98">
        <v>10480.0</v>
      </c>
      <c r="C42" s="92" t="str">
        <f t="array" ref="C42">INDEX('MTA 28-09'!B:B,MATCH(B42,'MTA 28-09'!A:A,0))</f>
        <v>SIM</v>
      </c>
      <c r="D42" s="95" t="str">
        <f t="array" ref="D42">INDEX('MTA 28-09'!D:D,MATCH(B42,'MTA 28-09'!A:A,0))</f>
        <v>20XV</v>
      </c>
      <c r="E42" s="98" t="str">
        <f t="array" ref="E42">INDEX('MTA 28-09'!F:F,MATCH(B42,'MTA 28-09'!A:A,0))</f>
        <v>ATENDIDO</v>
      </c>
      <c r="F42" s="352">
        <f t="array" ref="F42">INDEX('MTA 28-09'!I:I,MATCH(B42,'MTA 28-09'!A:A,0))</f>
        <v>46176</v>
      </c>
      <c r="G42" s="100" t="str">
        <f t="array" ref="G42">INDEX('MTA 28-09'!J:J,MATCH(B42,'MTA 28-09'!A:A,0))</f>
        <v>C26289</v>
      </c>
      <c r="H42" s="101" t="s">
        <v>421</v>
      </c>
      <c r="I42" s="90"/>
      <c r="J42" s="102"/>
      <c r="K42" s="103"/>
      <c r="L42" s="102" t="str">
        <f t="array" ref="L42">INDEX('MTA 28-09'!S:S,MATCH(B42,'MTA 28-09'!A:A,0))</f>
        <v>C-95M</v>
      </c>
      <c r="M42" s="98" t="str">
        <f t="array" ref="M42">INDEX('MTA 28-09'!T:T,MATCH(B42,'MTA 28-09'!A:A,0))</f>
        <v>CTT 028/CELOG-PAMALS/2025 – CLS AVIÔNICOS</v>
      </c>
      <c r="N42" s="98" t="str">
        <f t="array" ref="N42">INDEX('MTA 28-09'!U:U,MATCH(B42,'MTA 28-09'!A:A,0))</f>
        <v>Módulo Extra - Sob demanda 1/4</v>
      </c>
      <c r="O42" s="104">
        <f t="array" ref="O42">INDEX('MTA 28-09'!AC:AC,MATCH(B42,'MTA 28-09'!A:A,0))</f>
        <v>525000</v>
      </c>
      <c r="P42" s="98" t="str">
        <f t="array" ref="P42">INDEX('MTA 28-09'!N:N,MATCH(B42,'MTA 28-09'!A:A,0))</f>
        <v>CELOG</v>
      </c>
      <c r="Q42" s="105" t="str">
        <f t="array" ref="Q42">INDEX('MTA 28-09'!Z:Z,MATCH(B42,'MTA 28-09'!A:A,0))</f>
        <v>339030</v>
      </c>
      <c r="R42" s="98" t="str">
        <f t="array" ref="R42">INDEX('MTA 28-09'!L:L,MATCH(B42,'MTA 28-09'!A:A,0))</f>
        <v>A</v>
      </c>
      <c r="S42" s="107" t="str">
        <f t="array" ref="S42">INDEX('MTA 28-09'!X:X,MATCH(B42,'MTA 28-09'!A:A,0))</f>
        <v>SOB DEMANDA</v>
      </c>
      <c r="T42" s="107" t="str">
        <f t="array" ref="T42">INDEX('MTA 28-09'!W:W,MATCH(B42,'MTA 28-09'!A:A,0))</f>
        <v>Não</v>
      </c>
      <c r="U42" s="109">
        <f t="array" ref="U42">INDEX('MTA 28-09'!AE:AE,MATCH(B42,'MTA 28-09'!A:A,0))</f>
        <v>46107</v>
      </c>
      <c r="V42" s="29"/>
      <c r="W42" s="29"/>
      <c r="X42" s="29"/>
      <c r="Y42" s="29"/>
      <c r="Z42" s="29"/>
      <c r="AA42" s="29"/>
      <c r="AB42" s="29"/>
      <c r="AC42" s="29"/>
      <c r="AD42" s="29"/>
      <c r="AE42" s="29"/>
      <c r="AF42" s="29"/>
      <c r="AG42" s="29"/>
      <c r="AH42" s="29"/>
      <c r="AI42" s="29"/>
      <c r="AJ42" s="29"/>
      <c r="AK42" s="29"/>
      <c r="AL42" s="29"/>
      <c r="AM42" s="29"/>
    </row>
    <row r="43">
      <c r="A43" s="31" t="s">
        <v>43</v>
      </c>
      <c r="B43" s="32">
        <v>10500.0</v>
      </c>
      <c r="C43" s="33" t="str">
        <f t="array" ref="C43">INDEX('MTA 28-09'!B:B,MATCH(B43,'MTA 28-09'!A:A,0))</f>
        <v>SIM</v>
      </c>
      <c r="D43" s="34" t="str">
        <f t="array" ref="D43">INDEX('MTA 28-09'!D:D,MATCH(B43,'MTA 28-09'!A:A,0))</f>
        <v>20XV</v>
      </c>
      <c r="E43" s="32" t="str">
        <f t="array" ref="E43">INDEX('MTA 28-09'!F:F,MATCH(B43,'MTA 28-09'!A:A,0))</f>
        <v>ATENDIDO</v>
      </c>
      <c r="F43" s="35">
        <f t="array" ref="F43">INDEX('MTA 28-09'!I:I,MATCH(B43,'MTA 28-09'!A:A,0))</f>
        <v>46066</v>
      </c>
      <c r="G43" s="36" t="str">
        <f t="array" ref="G43">INDEX('MTA 28-09'!J:J,MATCH(B43,'MTA 28-09'!A:A,0))</f>
        <v>C26085</v>
      </c>
      <c r="H43" s="37">
        <v>1.0</v>
      </c>
      <c r="I43" s="38"/>
      <c r="J43" s="39"/>
      <c r="K43" s="40"/>
      <c r="L43" s="39" t="str">
        <f t="array" ref="L43">INDEX('MTA 28-09'!S:S,MATCH(B43,'MTA 28-09'!A:A,0))</f>
        <v>C-95M</v>
      </c>
      <c r="M43" s="32" t="str">
        <f t="array" ref="M43">INDEX('MTA 28-09'!T:T,MATCH(B43,'MTA 28-09'!A:A,0))</f>
        <v>CTT 049/CELOG-PAMALS/2024 – Aquisição de Consumíveis</v>
      </c>
      <c r="N43" s="32" t="str">
        <f t="array" ref="N43">INDEX('MTA 28-09'!U:U,MATCH(B43,'MTA 28-09'!A:A,0))</f>
        <v>Sob demanda 1/6</v>
      </c>
      <c r="O43" s="59">
        <f t="array" ref="O43">INDEX('MTA 28-09'!AC:AC,MATCH(B43,'MTA 28-09'!A:A,0))</f>
        <v>1360000</v>
      </c>
      <c r="P43" s="32" t="str">
        <f t="array" ref="P43">INDEX('MTA 28-09'!N:N,MATCH(B43,'MTA 28-09'!A:A,0))</f>
        <v>CELOG</v>
      </c>
      <c r="Q43" s="67" t="str">
        <f t="array" ref="Q43">INDEX('MTA 28-09'!Z:Z,MATCH(B43,'MTA 28-09'!A:A,0))</f>
        <v>339030</v>
      </c>
      <c r="R43" s="32" t="str">
        <f t="array" ref="R43">INDEX('MTA 28-09'!L:L,MATCH(B43,'MTA 28-09'!A:A,0))</f>
        <v>A</v>
      </c>
      <c r="S43" s="72" t="str">
        <f t="array" ref="S43">INDEX('MTA 28-09'!X:X,MATCH(B43,'MTA 28-09'!A:A,0))</f>
        <v>SOB DEMANDA</v>
      </c>
      <c r="T43" s="72" t="str">
        <f t="array" ref="T43">INDEX('MTA 28-09'!W:W,MATCH(B43,'MTA 28-09'!A:A,0))</f>
        <v>Não</v>
      </c>
      <c r="U43" s="81">
        <f t="array" ref="U43">INDEX('MTA 28-09'!AE:AE,MATCH(B43,'MTA 28-09'!A:A,0))</f>
        <v>46107</v>
      </c>
      <c r="V43" s="12"/>
      <c r="W43" s="12"/>
      <c r="X43" s="12"/>
      <c r="Y43" s="12"/>
      <c r="Z43" s="12"/>
      <c r="AA43" s="12"/>
      <c r="AB43" s="12"/>
      <c r="AC43" s="12"/>
      <c r="AD43" s="12"/>
      <c r="AE43" s="12"/>
      <c r="AF43" s="12"/>
      <c r="AG43" s="12"/>
      <c r="AH43" s="12"/>
      <c r="AI43" s="12"/>
      <c r="AJ43" s="12"/>
      <c r="AK43" s="12"/>
      <c r="AL43" s="12"/>
      <c r="AM43" s="12"/>
    </row>
    <row r="44">
      <c r="A44" s="88" t="s">
        <v>39</v>
      </c>
      <c r="B44" s="98">
        <v>10520.0</v>
      </c>
      <c r="C44" s="92" t="str">
        <f t="array" ref="C44">INDEX('MTA 28-09'!B:B,MATCH(B44,'MTA 28-09'!A:A,0))</f>
        <v>SIM</v>
      </c>
      <c r="D44" s="95">
        <f t="array" ref="D44">INDEX('MTA 28-09'!D:D,MATCH(B44,'MTA 28-09'!A:A,0))</f>
        <v>2048</v>
      </c>
      <c r="E44" s="98" t="str">
        <f t="array" ref="E44">INDEX('MTA 28-09'!F:F,MATCH(B44,'MTA 28-09'!A:A,0))</f>
        <v>ATENDIDO</v>
      </c>
      <c r="F44" s="99">
        <f t="array" ref="F44">INDEX('MTA 28-09'!I:I,MATCH(B44,'MTA 28-09'!A:A,0))</f>
        <v>46073</v>
      </c>
      <c r="G44" s="100" t="str">
        <f t="array" ref="G44">INDEX('MTA 28-09'!J:J,MATCH(B44,'MTA 28-09'!A:A,0))</f>
        <v>C26109</v>
      </c>
      <c r="H44" s="101">
        <v>1.0</v>
      </c>
      <c r="I44" s="90"/>
      <c r="J44" s="102"/>
      <c r="K44" s="103"/>
      <c r="L44" s="102" t="str">
        <f t="array" ref="L44">INDEX('MTA 28-09'!S:S,MATCH(B44,'MTA 28-09'!A:A,0))</f>
        <v>A-29</v>
      </c>
      <c r="M44" s="98" t="str">
        <f t="array" ref="M44">INDEX('MTA 28-09'!T:T,MATCH(B44,'MTA 28-09'!A:A,0))</f>
        <v>CTT 102/CELOG-PAMALS/2023 – EMBRAER - PSLI</v>
      </c>
      <c r="N44" s="98" t="str">
        <f t="array" ref="N44">INDEX('MTA 28-09'!U:U,MATCH(B44,'MTA 28-09'!A:A,0))</f>
        <v>Parcela Fixa 02/12</v>
      </c>
      <c r="O44" s="104">
        <f t="array" ref="O44">INDEX('MTA 28-09'!AC:AC,MATCH(B44,'MTA 28-09'!A:A,0))</f>
        <v>2310000</v>
      </c>
      <c r="P44" s="98" t="str">
        <f t="array" ref="P44">INDEX('MTA 28-09'!N:N,MATCH(B44,'MTA 28-09'!A:A,0))</f>
        <v>CELOG</v>
      </c>
      <c r="Q44" s="105" t="str">
        <f t="array" ref="Q44">INDEX('MTA 28-09'!Z:Z,MATCH(B44,'MTA 28-09'!A:A,0))</f>
        <v>339039</v>
      </c>
      <c r="R44" s="98" t="str">
        <f t="array" ref="R44">INDEX('MTA 28-09'!L:L,MATCH(B44,'MTA 28-09'!A:A,0))</f>
        <v>A</v>
      </c>
      <c r="S44" s="107" t="str">
        <f t="array" ref="S44">INDEX('MTA 28-09'!X:X,MATCH(B44,'MTA 28-09'!A:A,0))</f>
        <v>PARCELA FIXA</v>
      </c>
      <c r="T44" s="107" t="str">
        <f t="array" ref="T44">INDEX('MTA 28-09'!W:W,MATCH(B44,'MTA 28-09'!A:A,0))</f>
        <v>Não</v>
      </c>
      <c r="U44" s="109">
        <f t="array" ref="U44">INDEX('MTA 28-09'!AE:AE,MATCH(B44,'MTA 28-09'!A:A,0))</f>
        <v>46138</v>
      </c>
      <c r="V44" s="29"/>
      <c r="W44" s="29"/>
      <c r="X44" s="29"/>
      <c r="Y44" s="29"/>
      <c r="Z44" s="29"/>
      <c r="AA44" s="29"/>
      <c r="AB44" s="29"/>
      <c r="AC44" s="29"/>
      <c r="AD44" s="29"/>
      <c r="AE44" s="29"/>
      <c r="AF44" s="29"/>
      <c r="AG44" s="29"/>
      <c r="AH44" s="29"/>
      <c r="AI44" s="29"/>
      <c r="AJ44" s="29"/>
      <c r="AK44" s="29"/>
      <c r="AL44" s="29"/>
      <c r="AM44" s="29"/>
    </row>
    <row r="45">
      <c r="A45" s="31" t="s">
        <v>44</v>
      </c>
      <c r="B45" s="32">
        <v>10540.0</v>
      </c>
      <c r="C45" s="33" t="str">
        <f t="array" ref="C45">INDEX('MTA 28-09'!B:B,MATCH(B45,'MTA 28-09'!A:A,0))</f>
        <v>SIM</v>
      </c>
      <c r="D45" s="34">
        <f t="array" ref="D45">INDEX('MTA 28-09'!D:D,MATCH(B45,'MTA 28-09'!A:A,0))</f>
        <v>2048</v>
      </c>
      <c r="E45" s="32" t="str">
        <f t="array" ref="E45">INDEX('MTA 28-09'!F:F,MATCH(B45,'MTA 28-09'!A:A,0))</f>
        <v>ATENDIDO</v>
      </c>
      <c r="F45" s="35">
        <f t="array" ref="F45">INDEX('MTA 28-09'!I:I,MATCH(B45,'MTA 28-09'!A:A,0))</f>
        <v>46076</v>
      </c>
      <c r="G45" s="36" t="str">
        <f t="array" ref="G45">INDEX('MTA 28-09'!J:J,MATCH(B45,'MTA 28-09'!A:A,0))</f>
        <v>C26110</v>
      </c>
      <c r="H45" s="37">
        <v>1.0</v>
      </c>
      <c r="I45" s="38"/>
      <c r="J45" s="39"/>
      <c r="K45" s="40"/>
      <c r="L45" s="39" t="str">
        <f t="array" ref="L45">INDEX('MTA 28-09'!S:S,MATCH(B45,'MTA 28-09'!A:A,0))</f>
        <v>C-97</v>
      </c>
      <c r="M45" s="32" t="str">
        <f t="array" ref="M45">INDEX('MTA 28-09'!T:T,MATCH(B45,'MTA 28-09'!A:A,0))</f>
        <v>CTT 096/CAE-PAMALS/2021 - CLS C-97</v>
      </c>
      <c r="N45" s="32" t="str">
        <f t="array" ref="N45">INDEX('MTA 28-09'!U:U,MATCH(B45,'MTA 28-09'!A:A,0))</f>
        <v>Parcela Fixa 02/12</v>
      </c>
      <c r="O45" s="59">
        <f t="array" ref="O45">INDEX('MTA 28-09'!AC:AC,MATCH(B45,'MTA 28-09'!A:A,0))</f>
        <v>332718.75</v>
      </c>
      <c r="P45" s="32" t="str">
        <f t="array" ref="P45">INDEX('MTA 28-09'!N:N,MATCH(B45,'MTA 28-09'!A:A,0))</f>
        <v>CELOG</v>
      </c>
      <c r="Q45" s="67" t="str">
        <f t="array" ref="Q45">INDEX('MTA 28-09'!Z:Z,MATCH(B45,'MTA 28-09'!A:A,0))</f>
        <v>339039</v>
      </c>
      <c r="R45" s="32" t="str">
        <f t="array" ref="R45">INDEX('MTA 28-09'!L:L,MATCH(B45,'MTA 28-09'!A:A,0))</f>
        <v>A</v>
      </c>
      <c r="S45" s="72" t="str">
        <f t="array" ref="S45">INDEX('MTA 28-09'!X:X,MATCH(B45,'MTA 28-09'!A:A,0))</f>
        <v>PARCELA FIXA</v>
      </c>
      <c r="T45" s="72" t="str">
        <f t="array" ref="T45">INDEX('MTA 28-09'!W:W,MATCH(B45,'MTA 28-09'!A:A,0))</f>
        <v>Não</v>
      </c>
      <c r="U45" s="81">
        <f t="array" ref="U45">INDEX('MTA 28-09'!AE:AE,MATCH(B45,'MTA 28-09'!A:A,0))</f>
        <v>46138</v>
      </c>
      <c r="V45" s="12"/>
      <c r="W45" s="12"/>
      <c r="X45" s="12"/>
      <c r="Y45" s="12"/>
      <c r="Z45" s="12"/>
      <c r="AA45" s="12"/>
      <c r="AB45" s="12"/>
      <c r="AC45" s="12"/>
      <c r="AD45" s="12"/>
      <c r="AE45" s="12"/>
      <c r="AF45" s="12"/>
      <c r="AG45" s="12"/>
      <c r="AH45" s="12"/>
      <c r="AI45" s="12"/>
      <c r="AJ45" s="12"/>
      <c r="AK45" s="12"/>
      <c r="AL45" s="12"/>
      <c r="AM45" s="12"/>
    </row>
    <row r="46">
      <c r="A46" s="88" t="s">
        <v>39</v>
      </c>
      <c r="B46" s="98">
        <v>10560.0</v>
      </c>
      <c r="C46" s="92" t="str">
        <f t="array" ref="C46">INDEX('MTA 28-09'!B:B,MATCH(B46,'MTA 28-09'!A:A,0))</f>
        <v>SIM</v>
      </c>
      <c r="D46" s="95">
        <f t="array" ref="D46">INDEX('MTA 28-09'!D:D,MATCH(B46,'MTA 28-09'!A:A,0))</f>
        <v>2048</v>
      </c>
      <c r="E46" s="98" t="str">
        <f t="array" ref="E46">INDEX('MTA 28-09'!F:F,MATCH(B46,'MTA 28-09'!A:A,0))</f>
        <v>ATENDIDO</v>
      </c>
      <c r="F46" s="99">
        <f t="array" ref="F46">INDEX('MTA 28-09'!I:I,MATCH(B46,'MTA 28-09'!A:A,0))</f>
        <v>46085</v>
      </c>
      <c r="G46" s="100" t="str">
        <f t="array" ref="G46">INDEX('MTA 28-09'!J:J,MATCH(B46,'MTA 28-09'!A:A,0))</f>
        <v>C26138</v>
      </c>
      <c r="H46" s="101">
        <v>1.0</v>
      </c>
      <c r="I46" s="90"/>
      <c r="J46" s="102"/>
      <c r="K46" s="103"/>
      <c r="L46" s="102" t="str">
        <f t="array" ref="L46">INDEX('MTA 28-09'!S:S,MATCH(B46,'MTA 28-09'!A:A,0))</f>
        <v>A-29</v>
      </c>
      <c r="M46" s="98" t="str">
        <f t="array" ref="M46">INDEX('MTA 28-09'!T:T,MATCH(B46,'MTA 28-09'!A:A,0))</f>
        <v>CTT 102/CELOG-PAMALS/2023 – EMBRAER - PSLI</v>
      </c>
      <c r="N46" s="98" t="str">
        <f t="array" ref="N46">INDEX('MTA 28-09'!U:U,MATCH(B46,'MTA 28-09'!A:A,0))</f>
        <v>Hora de Voo 02/10 - 1000 HV</v>
      </c>
      <c r="O46" s="104">
        <f t="array" ref="O46">INDEX('MTA 28-09'!AC:AC,MATCH(B46,'MTA 28-09'!A:A,0))</f>
        <v>4995310.98</v>
      </c>
      <c r="P46" s="98" t="str">
        <f t="array" ref="P46">INDEX('MTA 28-09'!N:N,MATCH(B46,'MTA 28-09'!A:A,0))</f>
        <v>CELOG</v>
      </c>
      <c r="Q46" s="105" t="str">
        <f t="array" ref="Q46">INDEX('MTA 28-09'!Z:Z,MATCH(B46,'MTA 28-09'!A:A,0))</f>
        <v>339039</v>
      </c>
      <c r="R46" s="98" t="str">
        <f t="array" ref="R46">INDEX('MTA 28-09'!L:L,MATCH(B46,'MTA 28-09'!A:A,0))</f>
        <v>A</v>
      </c>
      <c r="S46" s="107" t="str">
        <f t="array" ref="S46">INDEX('MTA 28-09'!X:X,MATCH(B46,'MTA 28-09'!A:A,0))</f>
        <v>HORA DE VOO</v>
      </c>
      <c r="T46" s="107" t="str">
        <f t="array" ref="T46">INDEX('MTA 28-09'!W:W,MATCH(B46,'MTA 28-09'!A:A,0))</f>
        <v>Não</v>
      </c>
      <c r="U46" s="109">
        <f t="array" ref="U46">INDEX('MTA 28-09'!AE:AE,MATCH(B46,'MTA 28-09'!A:A,0))</f>
        <v>46168</v>
      </c>
      <c r="V46" s="29"/>
      <c r="W46" s="29"/>
      <c r="X46" s="29"/>
      <c r="Y46" s="29"/>
      <c r="Z46" s="29"/>
      <c r="AA46" s="29"/>
      <c r="AB46" s="29"/>
      <c r="AC46" s="29"/>
      <c r="AD46" s="29"/>
      <c r="AE46" s="29"/>
      <c r="AF46" s="29"/>
      <c r="AG46" s="29"/>
      <c r="AH46" s="29"/>
      <c r="AI46" s="29"/>
      <c r="AJ46" s="29"/>
      <c r="AK46" s="29"/>
      <c r="AL46" s="29"/>
      <c r="AM46" s="29"/>
    </row>
    <row r="47">
      <c r="A47" s="31" t="s">
        <v>39</v>
      </c>
      <c r="B47" s="38">
        <v>10561.0</v>
      </c>
      <c r="C47" s="33" t="str">
        <f t="array" ref="C47">INDEX('MTA 28-09'!B:B,MATCH(B47,'MTA 28-09'!A:A,0))</f>
        <v>SIM</v>
      </c>
      <c r="D47" s="34" t="str">
        <f t="array" ref="D47">INDEX('MTA 28-09'!D:D,MATCH(B47,'MTA 28-09'!A:A,0))</f>
        <v>DESTQ02</v>
      </c>
      <c r="E47" s="32" t="str">
        <f t="array" ref="E47">INDEX('MTA 28-09'!F:F,MATCH(B47,'MTA 28-09'!A:A,0))</f>
        <v>ATENDIDO</v>
      </c>
      <c r="F47" s="155">
        <f t="array" ref="F47">INDEX('MTA 28-09'!I:I,MATCH(B47,'MTA 28-09'!A:A,0))</f>
        <v>46085</v>
      </c>
      <c r="G47" s="36" t="str">
        <f t="array" ref="G47">INDEX('MTA 28-09'!J:J,MATCH(B47,'MTA 28-09'!A:A,0))</f>
        <v>C26130</v>
      </c>
      <c r="H47" s="37">
        <v>1.0</v>
      </c>
      <c r="I47" s="38"/>
      <c r="J47" s="39"/>
      <c r="K47" s="40"/>
      <c r="L47" s="39" t="str">
        <f t="array" ref="L47">INDEX('MTA 28-09'!S:S,MATCH(B47,'MTA 28-09'!A:A,0))</f>
        <v>A-29</v>
      </c>
      <c r="M47" s="32" t="str">
        <f t="array" ref="M47">INDEX('MTA 28-09'!T:T,MATCH(B47,'MTA 28-09'!A:A,0))</f>
        <v>CTT 102/CELOG-PAMALS/2023 – EMBRAER - PSLI</v>
      </c>
      <c r="N47" s="32" t="str">
        <f t="array" ref="N47">INDEX('MTA 28-09'!U:U,MATCH(B47,'MTA 28-09'!A:A,0))</f>
        <v>Hora de Voo 02/10 - 1000 HV</v>
      </c>
      <c r="O47" s="59">
        <f t="array" ref="O47">INDEX('MTA 28-09'!AC:AC,MATCH(B47,'MTA 28-09'!A:A,0))</f>
        <v>920987.62</v>
      </c>
      <c r="P47" s="32" t="str">
        <f t="array" ref="P47">INDEX('MTA 28-09'!N:N,MATCH(B47,'MTA 28-09'!A:A,0))</f>
        <v>CELOG</v>
      </c>
      <c r="Q47" s="67" t="str">
        <f t="array" ref="Q47">INDEX('MTA 28-09'!Z:Z,MATCH(B47,'MTA 28-09'!A:A,0))</f>
        <v>339039</v>
      </c>
      <c r="R47" s="32" t="str">
        <f t="array" ref="R47">INDEX('MTA 28-09'!L:L,MATCH(B47,'MTA 28-09'!A:A,0))</f>
        <v>A</v>
      </c>
      <c r="S47" s="72" t="str">
        <f t="array" ref="S47">INDEX('MTA 28-09'!X:X,MATCH(B47,'MTA 28-09'!A:A,0))</f>
        <v>HORA DE VOO</v>
      </c>
      <c r="T47" s="72" t="str">
        <f t="array" ref="T47">INDEX('MTA 28-09'!W:W,MATCH(B47,'MTA 28-09'!A:A,0))</f>
        <v>Não</v>
      </c>
      <c r="U47" s="81">
        <f t="array" ref="U47">INDEX('MTA 28-09'!AE:AE,MATCH(B47,'MTA 28-09'!A:A,0))</f>
        <v>46168</v>
      </c>
      <c r="V47" s="12"/>
      <c r="W47" s="12"/>
      <c r="X47" s="12"/>
      <c r="Y47" s="12"/>
      <c r="Z47" s="12"/>
      <c r="AA47" s="12"/>
      <c r="AB47" s="12"/>
      <c r="AC47" s="12"/>
      <c r="AD47" s="12"/>
      <c r="AE47" s="12"/>
      <c r="AF47" s="12"/>
      <c r="AG47" s="12"/>
      <c r="AH47" s="12"/>
      <c r="AI47" s="12"/>
      <c r="AJ47" s="12"/>
      <c r="AK47" s="12"/>
      <c r="AL47" s="12"/>
      <c r="AM47" s="12"/>
    </row>
    <row r="48">
      <c r="A48" s="88" t="s">
        <v>46</v>
      </c>
      <c r="B48" s="98">
        <v>10580.0</v>
      </c>
      <c r="C48" s="92" t="str">
        <f t="array" ref="C48">INDEX('MTA 28-09'!B:B,MATCH(B48,'MTA 28-09'!A:A,0))</f>
        <v>SIM</v>
      </c>
      <c r="D48" s="95">
        <f t="array" ref="D48">INDEX('MTA 28-09'!D:D,MATCH(B48,'MTA 28-09'!A:A,0))</f>
        <v>2048</v>
      </c>
      <c r="E48" s="98" t="str">
        <f t="array" ref="E48">INDEX('MTA 28-09'!F:F,MATCH(B48,'MTA 28-09'!A:A,0))</f>
        <v/>
      </c>
      <c r="F48" s="144" t="str">
        <f t="array" ref="F48">INDEX('MTA 28-09'!I:I,MATCH(B48,'MTA 28-09'!A:A,0))</f>
        <v/>
      </c>
      <c r="G48" s="100" t="str">
        <f t="array" ref="G48">INDEX('MTA 28-09'!J:J,MATCH(B48,'MTA 28-09'!A:A,0))</f>
        <v/>
      </c>
      <c r="H48" s="159" t="s">
        <v>157</v>
      </c>
      <c r="I48" s="296"/>
      <c r="J48" s="102"/>
      <c r="K48" s="103"/>
      <c r="L48" s="102" t="str">
        <f t="array" ref="L48">INDEX('MTA 28-09'!S:S,MATCH(B48,'MTA 28-09'!A:A,0))</f>
        <v>T-27</v>
      </c>
      <c r="M48" s="98" t="str">
        <f t="array" ref="M48">INDEX('MTA 28-09'!T:T,MATCH(B48,'MTA 28-09'!A:A,0))</f>
        <v>CNT XXX/CELOG-PAMASP/2026 - XX - Material</v>
      </c>
      <c r="N48" s="98" t="str">
        <f t="array" ref="N48">INDEX('MTA 28-09'!U:U,MATCH(B48,'MTA 28-09'!A:A,0))</f>
        <v>Material reparo PT6A-25C (2/4)</v>
      </c>
      <c r="O48" s="104">
        <f t="array" ref="O48">INDEX('MTA 28-09'!AC:AC,MATCH(B48,'MTA 28-09'!A:A,0))</f>
        <v>750000</v>
      </c>
      <c r="P48" s="98" t="str">
        <f t="array" ref="P48">INDEX('MTA 28-09'!N:N,MATCH(B48,'MTA 28-09'!A:A,0))</f>
        <v>CELOG</v>
      </c>
      <c r="Q48" s="105" t="str">
        <f t="array" ref="Q48">INDEX('MTA 28-09'!Z:Z,MATCH(B48,'MTA 28-09'!A:A,0))</f>
        <v>339030</v>
      </c>
      <c r="R48" s="98" t="str">
        <f t="array" ref="R48">INDEX('MTA 28-09'!L:L,MATCH(B48,'MTA 28-09'!A:A,0))</f>
        <v>A</v>
      </c>
      <c r="S48" s="107" t="str">
        <f t="array" ref="S48">INDEX('MTA 28-09'!X:X,MATCH(B48,'MTA 28-09'!A:A,0))</f>
        <v>SOB DEMANDA</v>
      </c>
      <c r="T48" s="107" t="str">
        <f t="array" ref="T48">INDEX('MTA 28-09'!W:W,MATCH(B48,'MTA 28-09'!A:A,0))</f>
        <v>SIM</v>
      </c>
      <c r="U48" s="109">
        <f t="array" ref="U48">INDEX('MTA 28-09'!AE:AE,MATCH(B48,'MTA 28-09'!A:A,0))</f>
        <v>46382</v>
      </c>
      <c r="V48" s="29"/>
      <c r="W48" s="29"/>
      <c r="X48" s="29"/>
      <c r="Y48" s="29"/>
      <c r="Z48" s="29"/>
      <c r="AA48" s="29"/>
      <c r="AB48" s="29"/>
      <c r="AC48" s="29"/>
      <c r="AD48" s="29"/>
      <c r="AE48" s="29"/>
      <c r="AF48" s="29"/>
      <c r="AG48" s="29"/>
      <c r="AH48" s="29"/>
      <c r="AI48" s="29"/>
      <c r="AJ48" s="29"/>
      <c r="AK48" s="29"/>
      <c r="AL48" s="29"/>
      <c r="AM48" s="29"/>
    </row>
    <row r="49">
      <c r="A49" s="31" t="s">
        <v>46</v>
      </c>
      <c r="B49" s="32">
        <v>10600.0</v>
      </c>
      <c r="C49" s="33" t="str">
        <f t="array" ref="C49">INDEX('MTA 28-09'!B:B,MATCH(B49,'MTA 28-09'!A:A,0))</f>
        <v>SIM</v>
      </c>
      <c r="D49" s="34">
        <f t="array" ref="D49">INDEX('MTA 28-09'!D:D,MATCH(B49,'MTA 28-09'!A:A,0))</f>
        <v>2048</v>
      </c>
      <c r="E49" s="32" t="str">
        <f t="array" ref="E49">INDEX('MTA 28-09'!F:F,MATCH(B49,'MTA 28-09'!A:A,0))</f>
        <v>CANCELADO</v>
      </c>
      <c r="F49" s="155" t="str">
        <f t="array" ref="F49">INDEX('MTA 28-09'!I:I,MATCH(B49,'MTA 28-09'!A:A,0))</f>
        <v/>
      </c>
      <c r="G49" s="36" t="str">
        <f t="array" ref="G49">INDEX('MTA 28-09'!J:J,MATCH(B49,'MTA 28-09'!A:A,0))</f>
        <v/>
      </c>
      <c r="H49" s="287" t="s">
        <v>157</v>
      </c>
      <c r="I49" s="295"/>
      <c r="J49" s="39"/>
      <c r="K49" s="40"/>
      <c r="L49" s="39" t="str">
        <f t="array" ref="L49">INDEX('MTA 28-09'!S:S,MATCH(B49,'MTA 28-09'!A:A,0))</f>
        <v>T-27</v>
      </c>
      <c r="M49" s="32" t="str">
        <f t="array" ref="M49">INDEX('MTA 28-09'!T:T,MATCH(B49,'MTA 28-09'!A:A,0))</f>
        <v>REQUISIÇÃO SERVIÇO</v>
      </c>
      <c r="N49" s="32" t="str">
        <f t="array" ref="N49">INDEX('MTA 28-09'!U:U,MATCH(B49,'MTA 28-09'!A:A,0))</f>
        <v>RG Flow Divider 6 EA</v>
      </c>
      <c r="O49" s="59" t="str">
        <f t="array" ref="O49">INDEX('MTA 28-09'!AC:AC,MATCH(B49,'MTA 28-09'!A:A,0))</f>
        <v> -</v>
      </c>
      <c r="P49" s="32" t="str">
        <f t="array" ref="P49">INDEX('MTA 28-09'!N:N,MATCH(B49,'MTA 28-09'!A:A,0))</f>
        <v>CABW</v>
      </c>
      <c r="Q49" s="67" t="str">
        <f t="array" ref="Q49">INDEX('MTA 28-09'!Z:Z,MATCH(B49,'MTA 28-09'!A:A,0))</f>
        <v>339039</v>
      </c>
      <c r="R49" s="32" t="str">
        <f t="array" ref="R49">INDEX('MTA 28-09'!L:L,MATCH(B49,'MTA 28-09'!A:A,0))</f>
        <v>A</v>
      </c>
      <c r="S49" s="72" t="str">
        <f t="array" ref="S49">INDEX('MTA 28-09'!X:X,MATCH(B49,'MTA 28-09'!A:A,0))</f>
        <v>REQUISIÇÃO</v>
      </c>
      <c r="T49" s="72" t="str">
        <f t="array" ref="T49">INDEX('MTA 28-09'!W:W,MATCH(B49,'MTA 28-09'!A:A,0))</f>
        <v>SIM</v>
      </c>
      <c r="U49" s="81">
        <f t="array" ref="U49">INDEX('MTA 28-09'!AE:AE,MATCH(B49,'MTA 28-09'!A:A,0))</f>
        <v>46169</v>
      </c>
      <c r="V49" s="12"/>
      <c r="W49" s="12"/>
      <c r="X49" s="12"/>
      <c r="Y49" s="12"/>
      <c r="Z49" s="12"/>
      <c r="AA49" s="12"/>
      <c r="AB49" s="12"/>
      <c r="AC49" s="12"/>
      <c r="AD49" s="12"/>
      <c r="AE49" s="12"/>
      <c r="AF49" s="12"/>
      <c r="AG49" s="12"/>
      <c r="AH49" s="12"/>
      <c r="AI49" s="12"/>
      <c r="AJ49" s="12"/>
      <c r="AK49" s="12"/>
      <c r="AL49" s="12"/>
      <c r="AM49" s="12"/>
    </row>
    <row r="50">
      <c r="A50" s="88" t="s">
        <v>46</v>
      </c>
      <c r="B50" s="98">
        <v>10620.0</v>
      </c>
      <c r="C50" s="92" t="str">
        <f t="array" ref="C50">INDEX('MTA 28-09'!B:B,MATCH(B50,'MTA 28-09'!A:A,0))</f>
        <v>SIM</v>
      </c>
      <c r="D50" s="95">
        <f t="array" ref="D50">INDEX('MTA 28-09'!D:D,MATCH(B50,'MTA 28-09'!A:A,0))</f>
        <v>2048</v>
      </c>
      <c r="E50" s="98" t="str">
        <f t="array" ref="E50">INDEX('MTA 28-09'!F:F,MATCH(B50,'MTA 28-09'!A:A,0))</f>
        <v>CANCELADO</v>
      </c>
      <c r="F50" s="99" t="str">
        <f t="array" ref="F50">INDEX('MTA 28-09'!I:I,MATCH(B50,'MTA 28-09'!A:A,0))</f>
        <v/>
      </c>
      <c r="G50" s="100" t="str">
        <f t="array" ref="G50">INDEX('MTA 28-09'!J:J,MATCH(B50,'MTA 28-09'!A:A,0))</f>
        <v/>
      </c>
      <c r="H50" s="159" t="s">
        <v>157</v>
      </c>
      <c r="I50" s="296"/>
      <c r="J50" s="102"/>
      <c r="K50" s="103"/>
      <c r="L50" s="102" t="str">
        <f t="array" ref="L50">INDEX('MTA 28-09'!S:S,MATCH(B50,'MTA 28-09'!A:A,0))</f>
        <v>T-27</v>
      </c>
      <c r="M50" s="98" t="str">
        <f t="array" ref="M50">INDEX('MTA 28-09'!T:T,MATCH(B50,'MTA 28-09'!A:A,0))</f>
        <v>REQUISIÇÃO SERVIÇO</v>
      </c>
      <c r="N50" s="98" t="str">
        <f t="array" ref="N50">INDEX('MTA 28-09'!U:U,MATCH(B50,'MTA 28-09'!A:A,0))</f>
        <v>RG Fuel Control Unit 2 EA (1/4)</v>
      </c>
      <c r="O50" s="104" t="str">
        <f t="array" ref="O50">INDEX('MTA 28-09'!AC:AC,MATCH(B50,'MTA 28-09'!A:A,0))</f>
        <v> -</v>
      </c>
      <c r="P50" s="98" t="str">
        <f t="array" ref="P50">INDEX('MTA 28-09'!N:N,MATCH(B50,'MTA 28-09'!A:A,0))</f>
        <v>CABW</v>
      </c>
      <c r="Q50" s="105" t="str">
        <f t="array" ref="Q50">INDEX('MTA 28-09'!Z:Z,MATCH(B50,'MTA 28-09'!A:A,0))</f>
        <v>339039</v>
      </c>
      <c r="R50" s="98" t="str">
        <f t="array" ref="R50">INDEX('MTA 28-09'!L:L,MATCH(B50,'MTA 28-09'!A:A,0))</f>
        <v>A</v>
      </c>
      <c r="S50" s="107" t="str">
        <f t="array" ref="S50">INDEX('MTA 28-09'!X:X,MATCH(B50,'MTA 28-09'!A:A,0))</f>
        <v>REQUISIÇÃO</v>
      </c>
      <c r="T50" s="107" t="str">
        <f t="array" ref="T50">INDEX('MTA 28-09'!W:W,MATCH(B50,'MTA 28-09'!A:A,0))</f>
        <v>SIM</v>
      </c>
      <c r="U50" s="109">
        <f t="array" ref="U50">INDEX('MTA 28-09'!AE:AE,MATCH(B50,'MTA 28-09'!A:A,0))</f>
        <v>46169</v>
      </c>
      <c r="V50" s="29"/>
      <c r="W50" s="29"/>
      <c r="X50" s="29"/>
      <c r="Y50" s="29"/>
      <c r="Z50" s="29"/>
      <c r="AA50" s="29"/>
      <c r="AB50" s="29"/>
      <c r="AC50" s="29"/>
      <c r="AD50" s="29"/>
      <c r="AE50" s="29"/>
      <c r="AF50" s="29"/>
      <c r="AG50" s="29"/>
      <c r="AH50" s="29"/>
      <c r="AI50" s="29"/>
      <c r="AJ50" s="29"/>
      <c r="AK50" s="29"/>
      <c r="AL50" s="29"/>
      <c r="AM50" s="29"/>
    </row>
    <row r="51">
      <c r="A51" s="31" t="s">
        <v>47</v>
      </c>
      <c r="B51" s="38">
        <v>10621.0</v>
      </c>
      <c r="C51" s="33" t="str">
        <f t="array" ref="C51">INDEX('MTA 28-09'!B:B,MATCH(B51,'MTA 28-09'!A:A,0))</f>
        <v>SIM</v>
      </c>
      <c r="D51" s="34">
        <f t="array" ref="D51">INDEX('MTA 28-09'!D:D,MATCH(B51,'MTA 28-09'!A:A,0))</f>
        <v>2048</v>
      </c>
      <c r="E51" s="32" t="str">
        <f t="array" ref="E51">INDEX('MTA 28-09'!F:F,MATCH(B51,'MTA 28-09'!A:A,0))</f>
        <v>ATENDIDO</v>
      </c>
      <c r="F51" s="35">
        <f t="array" ref="F51">INDEX('MTA 28-09'!I:I,MATCH(B51,'MTA 28-09'!A:A,0))</f>
        <v>46251</v>
      </c>
      <c r="G51" s="36" t="str">
        <f t="array" ref="G51">INDEX('MTA 28-09'!J:J,MATCH(B51,'MTA 28-09'!A:A,0))</f>
        <v>C26183</v>
      </c>
      <c r="H51" s="287">
        <v>46251.0</v>
      </c>
      <c r="I51" s="38"/>
      <c r="J51" s="39"/>
      <c r="K51" s="40"/>
      <c r="L51" s="39" t="str">
        <f t="array" ref="L51">INDEX('MTA 28-09'!S:S,MATCH(B51,'MTA 28-09'!A:A,0))</f>
        <v>T-25</v>
      </c>
      <c r="M51" s="32" t="str">
        <f t="array" ref="M51">INDEX('MTA 28-09'!T:T,MATCH(B51,'MTA 28-09'!A:A,0))</f>
        <v>REQUISIÇÃO CONSUMO</v>
      </c>
      <c r="N51" s="32" t="str">
        <f t="array" ref="N51">INDEX('MTA 28-09'!U:U,MATCH(B51,'MTA 28-09'!A:A,0))</f>
        <v>Repair KIT</v>
      </c>
      <c r="O51" s="59">
        <f t="array" ref="O51">INDEX('MTA 28-09'!AC:AC,MATCH(B51,'MTA 28-09'!A:A,0))</f>
        <v>81185.35</v>
      </c>
      <c r="P51" s="32" t="str">
        <f t="array" ref="P51">INDEX('MTA 28-09'!N:N,MATCH(B51,'MTA 28-09'!A:A,0))</f>
        <v>CABW</v>
      </c>
      <c r="Q51" s="67" t="str">
        <f t="array" ref="Q51">INDEX('MTA 28-09'!Z:Z,MATCH(B51,'MTA 28-09'!A:A,0))</f>
        <v>339030</v>
      </c>
      <c r="R51" s="32" t="str">
        <f t="array" ref="R51">INDEX('MTA 28-09'!L:L,MATCH(B51,'MTA 28-09'!A:A,0))</f>
        <v>A</v>
      </c>
      <c r="S51" s="72" t="str">
        <f t="array" ref="S51">INDEX('MTA 28-09'!X:X,MATCH(B51,'MTA 28-09'!A:A,0))</f>
        <v>REQUISIÇÃO</v>
      </c>
      <c r="T51" s="72" t="str">
        <f t="array" ref="T51">INDEX('MTA 28-09'!W:W,MATCH(B51,'MTA 28-09'!A:A,0))</f>
        <v>NÃO</v>
      </c>
      <c r="U51" s="81">
        <f t="array" ref="U51">INDEX('MTA 28-09'!AE:AE,MATCH(B51,'MTA 28-09'!A:A,0))</f>
        <v>46169</v>
      </c>
      <c r="V51" s="12"/>
      <c r="W51" s="12"/>
      <c r="X51" s="12"/>
      <c r="Y51" s="12"/>
      <c r="Z51" s="12"/>
      <c r="AA51" s="12"/>
      <c r="AB51" s="12"/>
      <c r="AC51" s="12"/>
      <c r="AD51" s="12"/>
      <c r="AE51" s="12"/>
      <c r="AF51" s="12"/>
      <c r="AG51" s="12"/>
      <c r="AH51" s="12"/>
      <c r="AI51" s="12"/>
      <c r="AJ51" s="12"/>
      <c r="AK51" s="12"/>
      <c r="AL51" s="12"/>
      <c r="AM51" s="12"/>
    </row>
    <row r="52">
      <c r="A52" s="88" t="s">
        <v>46</v>
      </c>
      <c r="B52" s="98">
        <v>10640.0</v>
      </c>
      <c r="C52" s="92" t="str">
        <f t="array" ref="C52">INDEX('MTA 28-09'!B:B,MATCH(B52,'MTA 28-09'!A:A,0))</f>
        <v>SIM</v>
      </c>
      <c r="D52" s="95">
        <f t="array" ref="D52">INDEX('MTA 28-09'!D:D,MATCH(B52,'MTA 28-09'!A:A,0))</f>
        <v>2048</v>
      </c>
      <c r="E52" s="98" t="str">
        <f t="array" ref="E52">INDEX('MTA 28-09'!F:F,MATCH(B52,'MTA 28-09'!A:A,0))</f>
        <v>CANCELADO</v>
      </c>
      <c r="F52" s="352" t="str">
        <f t="array" ref="F52">INDEX('MTA 28-09'!I:I,MATCH(B52,'MTA 28-09'!A:A,0))</f>
        <v/>
      </c>
      <c r="G52" s="100" t="str">
        <f t="array" ref="G52">INDEX('MTA 28-09'!J:J,MATCH(B52,'MTA 28-09'!A:A,0))</f>
        <v/>
      </c>
      <c r="H52" s="159" t="s">
        <v>157</v>
      </c>
      <c r="I52" s="296"/>
      <c r="J52" s="102"/>
      <c r="K52" s="103"/>
      <c r="L52" s="102" t="str">
        <f t="array" ref="L52">INDEX('MTA 28-09'!S:S,MATCH(B52,'MTA 28-09'!A:A,0))</f>
        <v>T-27</v>
      </c>
      <c r="M52" s="98" t="str">
        <f t="array" ref="M52">INDEX('MTA 28-09'!T:T,MATCH(B52,'MTA 28-09'!A:A,0))</f>
        <v>REQUISIÇÃO SERVIÇO</v>
      </c>
      <c r="N52" s="98" t="str">
        <f t="array" ref="N52">INDEX('MTA 28-09'!U:U,MATCH(B52,'MTA 28-09'!A:A,0))</f>
        <v>RG Fuel Pump 4 EA (1/2)</v>
      </c>
      <c r="O52" s="104" t="str">
        <f t="array" ref="O52">INDEX('MTA 28-09'!AC:AC,MATCH(B52,'MTA 28-09'!A:A,0))</f>
        <v> -</v>
      </c>
      <c r="P52" s="98" t="str">
        <f t="array" ref="P52">INDEX('MTA 28-09'!N:N,MATCH(B52,'MTA 28-09'!A:A,0))</f>
        <v>CABW</v>
      </c>
      <c r="Q52" s="105" t="str">
        <f t="array" ref="Q52">INDEX('MTA 28-09'!Z:Z,MATCH(B52,'MTA 28-09'!A:A,0))</f>
        <v>339039</v>
      </c>
      <c r="R52" s="98" t="str">
        <f t="array" ref="R52">INDEX('MTA 28-09'!L:L,MATCH(B52,'MTA 28-09'!A:A,0))</f>
        <v>A</v>
      </c>
      <c r="S52" s="107" t="str">
        <f t="array" ref="S52">INDEX('MTA 28-09'!X:X,MATCH(B52,'MTA 28-09'!A:A,0))</f>
        <v>REQUISIÇÃO</v>
      </c>
      <c r="T52" s="107" t="str">
        <f t="array" ref="T52">INDEX('MTA 28-09'!W:W,MATCH(B52,'MTA 28-09'!A:A,0))</f>
        <v>SIM</v>
      </c>
      <c r="U52" s="109">
        <f t="array" ref="U52">INDEX('MTA 28-09'!AE:AE,MATCH(B52,'MTA 28-09'!A:A,0))</f>
        <v>46169</v>
      </c>
      <c r="V52" s="29"/>
      <c r="W52" s="29"/>
      <c r="X52" s="29"/>
      <c r="Y52" s="29"/>
      <c r="Z52" s="29"/>
      <c r="AA52" s="29"/>
      <c r="AB52" s="29"/>
      <c r="AC52" s="29"/>
      <c r="AD52" s="29"/>
      <c r="AE52" s="29"/>
      <c r="AF52" s="29"/>
      <c r="AG52" s="29"/>
      <c r="AH52" s="29"/>
      <c r="AI52" s="29"/>
      <c r="AJ52" s="29"/>
      <c r="AK52" s="29"/>
      <c r="AL52" s="29"/>
      <c r="AM52" s="29"/>
    </row>
    <row r="53">
      <c r="A53" s="31" t="s">
        <v>43</v>
      </c>
      <c r="B53" s="32">
        <v>10660.0</v>
      </c>
      <c r="C53" s="33" t="str">
        <f t="array" ref="C53">INDEX('MTA 28-09'!B:B,MATCH(B53,'MTA 28-09'!A:A,0))</f>
        <v>SIM</v>
      </c>
      <c r="D53" s="34" t="str">
        <f t="array" ref="D53">INDEX('MTA 28-09'!D:D,MATCH(B53,'MTA 28-09'!A:A,0))</f>
        <v>20XV</v>
      </c>
      <c r="E53" s="32" t="str">
        <f t="array" ref="E53">INDEX('MTA 28-09'!F:F,MATCH(B53,'MTA 28-09'!A:A,0))</f>
        <v>ATENDIDO</v>
      </c>
      <c r="F53" s="35">
        <f t="array" ref="F53">INDEX('MTA 28-09'!I:I,MATCH(B53,'MTA 28-09'!A:A,0))</f>
        <v>46083</v>
      </c>
      <c r="G53" s="36" t="str">
        <f t="array" ref="G53">INDEX('MTA 28-09'!J:J,MATCH(B53,'MTA 28-09'!A:A,0))</f>
        <v>C26049</v>
      </c>
      <c r="H53" s="287" t="s">
        <v>157</v>
      </c>
      <c r="I53" s="295"/>
      <c r="J53" s="39"/>
      <c r="K53" s="40"/>
      <c r="L53" s="39" t="str">
        <f t="array" ref="L53">INDEX('MTA 28-09'!S:S,MATCH(B53,'MTA 28-09'!A:A,0))</f>
        <v>C-95M</v>
      </c>
      <c r="M53" s="32" t="str">
        <f t="array" ref="M53">INDEX('MTA 28-09'!T:T,MATCH(B53,'MTA 28-09'!A:A,0))</f>
        <v>REQUISIÇÃO CONSUMO</v>
      </c>
      <c r="N53" s="32" t="str">
        <f t="array" ref="N53">INDEX('MTA 28-09'!U:U,MATCH(B53,'MTA 28-09'!A:A,0))</f>
        <v>Material para FCU</v>
      </c>
      <c r="O53" s="59">
        <f t="array" ref="O53">INDEX('MTA 28-09'!AC:AC,MATCH(B53,'MTA 28-09'!A:A,0))</f>
        <v>570000</v>
      </c>
      <c r="P53" s="32" t="str">
        <f t="array" ref="P53">INDEX('MTA 28-09'!N:N,MATCH(B53,'MTA 28-09'!A:A,0))</f>
        <v>CABW</v>
      </c>
      <c r="Q53" s="67" t="str">
        <f t="array" ref="Q53">INDEX('MTA 28-09'!Z:Z,MATCH(B53,'MTA 28-09'!A:A,0))</f>
        <v>339030</v>
      </c>
      <c r="R53" s="32" t="str">
        <f t="array" ref="R53">INDEX('MTA 28-09'!L:L,MATCH(B53,'MTA 28-09'!A:A,0))</f>
        <v>A</v>
      </c>
      <c r="S53" s="72" t="str">
        <f t="array" ref="S53">INDEX('MTA 28-09'!X:X,MATCH(B53,'MTA 28-09'!A:A,0))</f>
        <v>REQUISIÇÃO</v>
      </c>
      <c r="T53" s="72" t="str">
        <f t="array" ref="T53">INDEX('MTA 28-09'!W:W,MATCH(B53,'MTA 28-09'!A:A,0))</f>
        <v>SIM</v>
      </c>
      <c r="U53" s="81">
        <f t="array" ref="U53">INDEX('MTA 28-09'!AE:AE,MATCH(B53,'MTA 28-09'!A:A,0))</f>
        <v>46260</v>
      </c>
      <c r="V53" s="12"/>
      <c r="W53" s="12"/>
      <c r="X53" s="12"/>
      <c r="Y53" s="12"/>
      <c r="Z53" s="12"/>
      <c r="AA53" s="12"/>
      <c r="AB53" s="12"/>
      <c r="AC53" s="12"/>
      <c r="AD53" s="12"/>
      <c r="AE53" s="12"/>
      <c r="AF53" s="12"/>
      <c r="AG53" s="12"/>
      <c r="AH53" s="12"/>
      <c r="AI53" s="12"/>
      <c r="AJ53" s="12"/>
      <c r="AK53" s="12"/>
      <c r="AL53" s="12"/>
      <c r="AM53" s="12"/>
    </row>
    <row r="54">
      <c r="A54" s="88" t="s">
        <v>43</v>
      </c>
      <c r="B54" s="98">
        <v>10680.0</v>
      </c>
      <c r="C54" s="92" t="str">
        <f t="array" ref="C54">INDEX('MTA 28-09'!B:B,MATCH(B54,'MTA 28-09'!A:A,0))</f>
        <v>SIM</v>
      </c>
      <c r="D54" s="95">
        <f t="array" ref="D54">INDEX('MTA 28-09'!D:D,MATCH(B54,'MTA 28-09'!A:A,0))</f>
        <v>2048</v>
      </c>
      <c r="E54" s="98" t="str">
        <f t="array" ref="E54">INDEX('MTA 28-09'!F:F,MATCH(B54,'MTA 28-09'!A:A,0))</f>
        <v>CANCELADO</v>
      </c>
      <c r="F54" s="99" t="str">
        <f t="array" ref="F54">INDEX('MTA 28-09'!I:I,MATCH(B54,'MTA 28-09'!A:A,0))</f>
        <v/>
      </c>
      <c r="G54" s="100" t="str">
        <f t="array" ref="G54">INDEX('MTA 28-09'!J:J,MATCH(B54,'MTA 28-09'!A:A,0))</f>
        <v/>
      </c>
      <c r="H54" s="159" t="s">
        <v>157</v>
      </c>
      <c r="I54" s="296"/>
      <c r="J54" s="102"/>
      <c r="K54" s="103"/>
      <c r="L54" s="102" t="str">
        <f t="array" ref="L54">INDEX('MTA 28-09'!S:S,MATCH(B54,'MTA 28-09'!A:A,0))</f>
        <v>C-95M</v>
      </c>
      <c r="M54" s="98" t="str">
        <f t="array" ref="M54">INDEX('MTA 28-09'!T:T,MATCH(B54,'MTA 28-09'!A:A,0))</f>
        <v>REQUISIÇÃO SERVIÇO</v>
      </c>
      <c r="N54" s="98" t="str">
        <f t="array" ref="N54">INDEX('MTA 28-09'!U:U,MATCH(B54,'MTA 28-09'!A:A,0))</f>
        <v>RG Fuel Pump 4 EA (1/2)</v>
      </c>
      <c r="O54" s="104" t="str">
        <f t="array" ref="O54">INDEX('MTA 28-09'!AC:AC,MATCH(B54,'MTA 28-09'!A:A,0))</f>
        <v> -</v>
      </c>
      <c r="P54" s="98" t="str">
        <f t="array" ref="P54">INDEX('MTA 28-09'!N:N,MATCH(B54,'MTA 28-09'!A:A,0))</f>
        <v>CABW</v>
      </c>
      <c r="Q54" s="105" t="str">
        <f t="array" ref="Q54">INDEX('MTA 28-09'!Z:Z,MATCH(B54,'MTA 28-09'!A:A,0))</f>
        <v>339039</v>
      </c>
      <c r="R54" s="98" t="str">
        <f t="array" ref="R54">INDEX('MTA 28-09'!L:L,MATCH(B54,'MTA 28-09'!A:A,0))</f>
        <v>A</v>
      </c>
      <c r="S54" s="107" t="str">
        <f t="array" ref="S54">INDEX('MTA 28-09'!X:X,MATCH(B54,'MTA 28-09'!A:A,0))</f>
        <v>REQUISIÇÃO</v>
      </c>
      <c r="T54" s="107" t="str">
        <f t="array" ref="T54">INDEX('MTA 28-09'!W:W,MATCH(B54,'MTA 28-09'!A:A,0))</f>
        <v>SIM</v>
      </c>
      <c r="U54" s="109">
        <f t="array" ref="U54">INDEX('MTA 28-09'!AE:AE,MATCH(B54,'MTA 28-09'!A:A,0))</f>
        <v>46169</v>
      </c>
      <c r="V54" s="29"/>
      <c r="W54" s="29"/>
      <c r="X54" s="29"/>
      <c r="Y54" s="29"/>
      <c r="Z54" s="29"/>
      <c r="AA54" s="29"/>
      <c r="AB54" s="29"/>
      <c r="AC54" s="29"/>
      <c r="AD54" s="29"/>
      <c r="AE54" s="29"/>
      <c r="AF54" s="29"/>
      <c r="AG54" s="29"/>
      <c r="AH54" s="29"/>
      <c r="AI54" s="29"/>
      <c r="AJ54" s="29"/>
      <c r="AK54" s="29"/>
      <c r="AL54" s="29"/>
      <c r="AM54" s="29"/>
    </row>
    <row r="55">
      <c r="A55" s="31" t="s">
        <v>43</v>
      </c>
      <c r="B55" s="32">
        <v>10700.0</v>
      </c>
      <c r="C55" s="33" t="str">
        <f t="array" ref="C55">INDEX('MTA 28-09'!B:B,MATCH(B55,'MTA 28-09'!A:A,0))</f>
        <v>SIM</v>
      </c>
      <c r="D55" s="34">
        <f t="array" ref="D55">INDEX('MTA 28-09'!D:D,MATCH(B55,'MTA 28-09'!A:A,0))</f>
        <v>2048</v>
      </c>
      <c r="E55" s="32" t="str">
        <f t="array" ref="E55">INDEX('MTA 28-09'!F:F,MATCH(B55,'MTA 28-09'!A:A,0))</f>
        <v>ATENDIDO</v>
      </c>
      <c r="F55" s="35">
        <f t="array" ref="F55">INDEX('MTA 28-09'!I:I,MATCH(B55,'MTA 28-09'!A:A,0))</f>
        <v>46073</v>
      </c>
      <c r="G55" s="36" t="str">
        <f t="array" ref="G55">INDEX('MTA 28-09'!J:J,MATCH(B55,'MTA 28-09'!A:A,0))</f>
        <v>C26039</v>
      </c>
      <c r="H55" s="287" t="s">
        <v>157</v>
      </c>
      <c r="I55" s="295"/>
      <c r="J55" s="39"/>
      <c r="K55" s="40"/>
      <c r="L55" s="39" t="str">
        <f t="array" ref="L55">INDEX('MTA 28-09'!S:S,MATCH(B55,'MTA 28-09'!A:A,0))</f>
        <v>C-95M</v>
      </c>
      <c r="M55" s="32" t="str">
        <f t="array" ref="M55">INDEX('MTA 28-09'!T:T,MATCH(B55,'MTA 28-09'!A:A,0))</f>
        <v>REQUISIÇÃO SERVIÇO</v>
      </c>
      <c r="N55" s="32" t="str">
        <f t="array" ref="N55">INDEX('MTA 28-09'!U:U,MATCH(B55,'MTA 28-09'!A:A,0))</f>
        <v>Reparo de CTVR 2 EA (1/3)</v>
      </c>
      <c r="O55" s="59">
        <f t="array" ref="O55">INDEX('MTA 28-09'!AC:AC,MATCH(B55,'MTA 28-09'!A:A,0))</f>
        <v>110238</v>
      </c>
      <c r="P55" s="32" t="str">
        <f t="array" ref="P55">INDEX('MTA 28-09'!N:N,MATCH(B55,'MTA 28-09'!A:A,0))</f>
        <v>CABW</v>
      </c>
      <c r="Q55" s="67" t="str">
        <f t="array" ref="Q55">INDEX('MTA 28-09'!Z:Z,MATCH(B55,'MTA 28-09'!A:A,0))</f>
        <v>339039</v>
      </c>
      <c r="R55" s="32" t="str">
        <f t="array" ref="R55">INDEX('MTA 28-09'!L:L,MATCH(B55,'MTA 28-09'!A:A,0))</f>
        <v>A</v>
      </c>
      <c r="S55" s="72" t="str">
        <f t="array" ref="S55">INDEX('MTA 28-09'!X:X,MATCH(B55,'MTA 28-09'!A:A,0))</f>
        <v>REQUISIÇÃO</v>
      </c>
      <c r="T55" s="72" t="str">
        <f t="array" ref="T55">INDEX('MTA 28-09'!W:W,MATCH(B55,'MTA 28-09'!A:A,0))</f>
        <v>SIM</v>
      </c>
      <c r="U55" s="81">
        <f t="array" ref="U55">INDEX('MTA 28-09'!AE:AE,MATCH(B55,'MTA 28-09'!A:A,0))</f>
        <v>46260</v>
      </c>
      <c r="V55" s="12"/>
      <c r="W55" s="12"/>
      <c r="X55" s="12"/>
      <c r="Y55" s="12"/>
      <c r="Z55" s="12"/>
      <c r="AA55" s="12"/>
      <c r="AB55" s="12"/>
      <c r="AC55" s="12"/>
      <c r="AD55" s="12"/>
      <c r="AE55" s="12"/>
      <c r="AF55" s="12"/>
      <c r="AG55" s="12"/>
      <c r="AH55" s="12"/>
      <c r="AI55" s="12"/>
      <c r="AJ55" s="12"/>
      <c r="AK55" s="12"/>
      <c r="AL55" s="12"/>
      <c r="AM55" s="12"/>
    </row>
    <row r="56">
      <c r="A56" s="88" t="s">
        <v>43</v>
      </c>
      <c r="B56" s="98">
        <v>10720.0</v>
      </c>
      <c r="C56" s="92" t="str">
        <f t="array" ref="C56">INDEX('MTA 28-09'!B:B,MATCH(B56,'MTA 28-09'!A:A,0))</f>
        <v>SIM</v>
      </c>
      <c r="D56" s="95">
        <f t="array" ref="D56">INDEX('MTA 28-09'!D:D,MATCH(B56,'MTA 28-09'!A:A,0))</f>
        <v>2048</v>
      </c>
      <c r="E56" s="98" t="str">
        <f t="array" ref="E56">INDEX('MTA 28-09'!F:F,MATCH(B56,'MTA 28-09'!A:A,0))</f>
        <v>ATENDIDO</v>
      </c>
      <c r="F56" s="99">
        <f t="array" ref="F56">INDEX('MTA 28-09'!I:I,MATCH(B56,'MTA 28-09'!A:A,0))</f>
        <v>46265</v>
      </c>
      <c r="G56" s="100" t="str">
        <f t="array" ref="G56">INDEX('MTA 28-09'!J:J,MATCH(B56,'MTA 28-09'!A:A,0))</f>
        <v>C26195</v>
      </c>
      <c r="H56" s="159" t="s">
        <v>157</v>
      </c>
      <c r="I56" s="296"/>
      <c r="J56" s="102"/>
      <c r="K56" s="103"/>
      <c r="L56" s="102" t="str">
        <f t="array" ref="L56">INDEX('MTA 28-09'!S:S,MATCH(B56,'MTA 28-09'!A:A,0))</f>
        <v>C-95M</v>
      </c>
      <c r="M56" s="98" t="str">
        <f t="array" ref="M56">INDEX('MTA 28-09'!T:T,MATCH(B56,'MTA 28-09'!A:A,0))</f>
        <v>REQUISIÇÃO SERVIÇO</v>
      </c>
      <c r="N56" s="98" t="str">
        <f t="array" ref="N56">INDEX('MTA 28-09'!U:U,MATCH(B56,'MTA 28-09'!A:A,0))</f>
        <v>Reparo de PTVR 3 EA (1/2)</v>
      </c>
      <c r="O56" s="104">
        <f t="array" ref="O56">INDEX('MTA 28-09'!AC:AC,MATCH(B56,'MTA 28-09'!A:A,0))</f>
        <v>107231.58</v>
      </c>
      <c r="P56" s="98" t="str">
        <f t="array" ref="P56">INDEX('MTA 28-09'!N:N,MATCH(B56,'MTA 28-09'!A:A,0))</f>
        <v>CABW</v>
      </c>
      <c r="Q56" s="105" t="str">
        <f t="array" ref="Q56">INDEX('MTA 28-09'!Z:Z,MATCH(B56,'MTA 28-09'!A:A,0))</f>
        <v>339039</v>
      </c>
      <c r="R56" s="98" t="str">
        <f t="array" ref="R56">INDEX('MTA 28-09'!L:L,MATCH(B56,'MTA 28-09'!A:A,0))</f>
        <v>A</v>
      </c>
      <c r="S56" s="107" t="str">
        <f t="array" ref="S56">INDEX('MTA 28-09'!X:X,MATCH(B56,'MTA 28-09'!A:A,0))</f>
        <v>REQUISIÇÃO</v>
      </c>
      <c r="T56" s="107" t="str">
        <f t="array" ref="T56">INDEX('MTA 28-09'!W:W,MATCH(B56,'MTA 28-09'!A:A,0))</f>
        <v>SIM</v>
      </c>
      <c r="U56" s="109">
        <f t="array" ref="U56">INDEX('MTA 28-09'!AE:AE,MATCH(B56,'MTA 28-09'!A:A,0))</f>
        <v>46169</v>
      </c>
      <c r="V56" s="29"/>
      <c r="W56" s="29"/>
      <c r="X56" s="29"/>
      <c r="Y56" s="29"/>
      <c r="Z56" s="29"/>
      <c r="AA56" s="29"/>
      <c r="AB56" s="29"/>
      <c r="AC56" s="29"/>
      <c r="AD56" s="29"/>
      <c r="AE56" s="29"/>
      <c r="AF56" s="29"/>
      <c r="AG56" s="29"/>
      <c r="AH56" s="29"/>
      <c r="AI56" s="29"/>
      <c r="AJ56" s="29"/>
      <c r="AK56" s="29"/>
      <c r="AL56" s="29"/>
      <c r="AM56" s="29"/>
    </row>
    <row r="57">
      <c r="A57" s="31" t="s">
        <v>104</v>
      </c>
      <c r="B57" s="32">
        <v>10740.0</v>
      </c>
      <c r="C57" s="33" t="str">
        <f t="array" ref="C57">INDEX('MTA 28-09'!B:B,MATCH(B57,'MTA 28-09'!A:A,0))</f>
        <v>SIM</v>
      </c>
      <c r="D57" s="34">
        <f t="array" ref="D57">INDEX('MTA 28-09'!D:D,MATCH(B57,'MTA 28-09'!A:A,0))</f>
        <v>2048</v>
      </c>
      <c r="E57" s="32" t="str">
        <f t="array" ref="E57">INDEX('MTA 28-09'!F:F,MATCH(B57,'MTA 28-09'!A:A,0))</f>
        <v/>
      </c>
      <c r="F57" s="155" t="str">
        <f t="array" ref="F57">INDEX('MTA 28-09'!I:I,MATCH(B57,'MTA 28-09'!A:A,0))</f>
        <v/>
      </c>
      <c r="G57" s="36" t="str">
        <f t="array" ref="G57">INDEX('MTA 28-09'!J:J,MATCH(B57,'MTA 28-09'!A:A,0))</f>
        <v/>
      </c>
      <c r="H57" s="287" t="s">
        <v>157</v>
      </c>
      <c r="I57" s="38" t="s">
        <v>1183</v>
      </c>
      <c r="J57" s="39"/>
      <c r="K57" s="40"/>
      <c r="L57" s="39" t="str">
        <f t="array" ref="L57">INDEX('MTA 28-09'!S:S,MATCH(B57,'MTA 28-09'!A:A,0))</f>
        <v>APOIO</v>
      </c>
      <c r="M57" s="32" t="str">
        <f t="array" ref="M57">INDEX('MTA 28-09'!T:T,MATCH(B57,'MTA 28-09'!A:A,0))</f>
        <v>ADQUIRIR PNEUS DE AVIAÇÃO</v>
      </c>
      <c r="N57" s="32" t="str">
        <f t="array" ref="N57">INDEX('MTA 28-09'!U:U,MATCH(B57,'MTA 28-09'!A:A,0))</f>
        <v>Aquisição de Pneu de Aviação - ARP - 1/5</v>
      </c>
      <c r="O57" s="59">
        <f t="array" ref="O57">INDEX('MTA 28-09'!AC:AC,MATCH(B57,'MTA 28-09'!A:A,0))</f>
        <v>538000</v>
      </c>
      <c r="P57" s="32" t="str">
        <f t="array" ref="P57">INDEX('MTA 28-09'!N:N,MATCH(B57,'MTA 28-09'!A:A,0))</f>
        <v>CELOG</v>
      </c>
      <c r="Q57" s="67" t="str">
        <f t="array" ref="Q57">INDEX('MTA 28-09'!Z:Z,MATCH(B57,'MTA 28-09'!A:A,0))</f>
        <v>339030</v>
      </c>
      <c r="R57" s="32" t="str">
        <f t="array" ref="R57">INDEX('MTA 28-09'!L:L,MATCH(B57,'MTA 28-09'!A:A,0))</f>
        <v>A</v>
      </c>
      <c r="S57" s="72" t="str">
        <f t="array" ref="S57">INDEX('MTA 28-09'!X:X,MATCH(B57,'MTA 28-09'!A:A,0))</f>
        <v>REQUISIÇÃO</v>
      </c>
      <c r="T57" s="72" t="str">
        <f t="array" ref="T57">INDEX('MTA 28-09'!W:W,MATCH(B57,'MTA 28-09'!A:A,0))</f>
        <v>NÃO</v>
      </c>
      <c r="U57" s="81">
        <f t="array" ref="U57">INDEX('MTA 28-09'!AE:AE,MATCH(B57,'MTA 28-09'!A:A,0))</f>
        <v>46352</v>
      </c>
      <c r="V57" s="12"/>
      <c r="W57" s="12"/>
      <c r="X57" s="12"/>
      <c r="Y57" s="12"/>
      <c r="Z57" s="12"/>
      <c r="AA57" s="12"/>
      <c r="AB57" s="12"/>
      <c r="AC57" s="12"/>
      <c r="AD57" s="12"/>
      <c r="AE57" s="12"/>
      <c r="AF57" s="12"/>
      <c r="AG57" s="12"/>
      <c r="AH57" s="12"/>
      <c r="AI57" s="12"/>
      <c r="AJ57" s="12"/>
      <c r="AK57" s="12"/>
      <c r="AL57" s="12"/>
      <c r="AM57" s="12"/>
    </row>
    <row r="58">
      <c r="A58" s="88" t="s">
        <v>104</v>
      </c>
      <c r="B58" s="98">
        <v>10741.0</v>
      </c>
      <c r="C58" s="92" t="str">
        <f t="array" ref="C58">INDEX('MTA 28-09'!B:B,MATCH(B58,'MTA 28-09'!A:A,0))</f>
        <v>SIM</v>
      </c>
      <c r="D58" s="95">
        <f t="array" ref="D58">INDEX('MTA 28-09'!D:D,MATCH(B58,'MTA 28-09'!A:A,0))</f>
        <v>2048</v>
      </c>
      <c r="E58" s="98" t="str">
        <f t="array" ref="E58">INDEX('MTA 28-09'!F:F,MATCH(B58,'MTA 28-09'!A:A,0))</f>
        <v>ATENDIDO</v>
      </c>
      <c r="F58" s="152">
        <f t="array" ref="F58">INDEX('MTA 28-09'!I:I,MATCH(B58,'MTA 28-09'!A:A,0))</f>
        <v>46042</v>
      </c>
      <c r="G58" s="100" t="str">
        <f t="array" ref="G58">INDEX('MTA 28-09'!J:J,MATCH(B58,'MTA 28-09'!A:A,0))</f>
        <v>C26055</v>
      </c>
      <c r="H58" s="101">
        <v>1.0</v>
      </c>
      <c r="I58" s="90"/>
      <c r="J58" s="102"/>
      <c r="K58" s="103"/>
      <c r="L58" s="102" t="str">
        <f t="array" ref="L58">INDEX('MTA 28-09'!S:S,MATCH(B58,'MTA 28-09'!A:A,0))</f>
        <v>APOIO</v>
      </c>
      <c r="M58" s="98" t="str">
        <f t="array" ref="M58">INDEX('MTA 28-09'!T:T,MATCH(B58,'MTA 28-09'!A:A,0))</f>
        <v>ADQUIRIR PNEUS DE AVIAÇÃO</v>
      </c>
      <c r="N58" s="98" t="str">
        <f t="array" ref="N58">INDEX('MTA 28-09'!U:U,MATCH(B58,'MTA 28-09'!A:A,0))</f>
        <v>Aquisição de Pneu de Aviação - ARP - 1/5</v>
      </c>
      <c r="O58" s="104">
        <f t="array" ref="O58">INDEX('MTA 28-09'!AC:AC,MATCH(B58,'MTA 28-09'!A:A,0))</f>
        <v>462000</v>
      </c>
      <c r="P58" s="98" t="str">
        <f t="array" ref="P58">INDEX('MTA 28-09'!N:N,MATCH(B58,'MTA 28-09'!A:A,0))</f>
        <v>CELOG</v>
      </c>
      <c r="Q58" s="105" t="str">
        <f t="array" ref="Q58">INDEX('MTA 28-09'!Z:Z,MATCH(B58,'MTA 28-09'!A:A,0))</f>
        <v>339030</v>
      </c>
      <c r="R58" s="98" t="str">
        <f t="array" ref="R58">INDEX('MTA 28-09'!L:L,MATCH(B58,'MTA 28-09'!A:A,0))</f>
        <v>A</v>
      </c>
      <c r="S58" s="107" t="str">
        <f t="array" ref="S58">INDEX('MTA 28-09'!X:X,MATCH(B58,'MTA 28-09'!A:A,0))</f>
        <v>REQUISIÇÃO</v>
      </c>
      <c r="T58" s="107" t="str">
        <f t="array" ref="T58">INDEX('MTA 28-09'!W:W,MATCH(B58,'MTA 28-09'!A:A,0))</f>
        <v>NÃO</v>
      </c>
      <c r="U58" s="109">
        <f t="array" ref="U58">INDEX('MTA 28-09'!AE:AE,MATCH(B58,'MTA 28-09'!A:A,0))</f>
        <v>46107</v>
      </c>
      <c r="V58" s="29"/>
      <c r="W58" s="29"/>
      <c r="X58" s="29"/>
      <c r="Y58" s="29"/>
      <c r="Z58" s="29"/>
      <c r="AA58" s="29"/>
      <c r="AB58" s="29"/>
      <c r="AC58" s="29"/>
      <c r="AD58" s="29"/>
      <c r="AE58" s="29"/>
      <c r="AF58" s="29"/>
      <c r="AG58" s="29"/>
      <c r="AH58" s="29"/>
      <c r="AI58" s="29"/>
      <c r="AJ58" s="29"/>
      <c r="AK58" s="29"/>
      <c r="AL58" s="29"/>
      <c r="AM58" s="29"/>
    </row>
    <row r="59">
      <c r="A59" s="31" t="s">
        <v>45</v>
      </c>
      <c r="B59" s="32">
        <v>10760.0</v>
      </c>
      <c r="C59" s="33" t="str">
        <f t="array" ref="C59">INDEX('MTA 28-09'!B:B,MATCH(B59,'MTA 28-09'!A:A,0))</f>
        <v>SIM</v>
      </c>
      <c r="D59" s="34">
        <f t="array" ref="D59">INDEX('MTA 28-09'!D:D,MATCH(B59,'MTA 28-09'!A:A,0))</f>
        <v>2048</v>
      </c>
      <c r="E59" s="32" t="str">
        <f t="array" ref="E59">INDEX('MTA 28-09'!F:F,MATCH(B59,'MTA 28-09'!A:A,0))</f>
        <v>CANCELADO</v>
      </c>
      <c r="F59" s="35" t="str">
        <f t="array" ref="F59">INDEX('MTA 28-09'!I:I,MATCH(B59,'MTA 28-09'!A:A,0))</f>
        <v/>
      </c>
      <c r="G59" s="36" t="str">
        <f t="array" ref="G59">INDEX('MTA 28-09'!J:J,MATCH(B59,'MTA 28-09'!A:A,0))</f>
        <v/>
      </c>
      <c r="H59" s="287" t="s">
        <v>157</v>
      </c>
      <c r="I59" s="295"/>
      <c r="J59" s="39"/>
      <c r="K59" s="40"/>
      <c r="L59" s="39" t="str">
        <f t="array" ref="L59">INDEX('MTA 28-09'!S:S,MATCH(B59,'MTA 28-09'!A:A,0))</f>
        <v>C-98</v>
      </c>
      <c r="M59" s="32" t="str">
        <f t="array" ref="M59">INDEX('MTA 28-09'!T:T,MATCH(B59,'MTA 28-09'!A:A,0))</f>
        <v>Requisição CABW</v>
      </c>
      <c r="N59" s="32" t="str">
        <f t="array" ref="N59">INDEX('MTA 28-09'!U:U,MATCH(B59,'MTA 28-09'!A:A,0))</f>
        <v>Material reparo acessórios PT6A-114A (1/3)</v>
      </c>
      <c r="O59" s="59" t="str">
        <f t="array" ref="O59">INDEX('MTA 28-09'!AC:AC,MATCH(B59,'MTA 28-09'!A:A,0))</f>
        <v> -</v>
      </c>
      <c r="P59" s="32" t="str">
        <f t="array" ref="P59">INDEX('MTA 28-09'!N:N,MATCH(B59,'MTA 28-09'!A:A,0))</f>
        <v>CABW</v>
      </c>
      <c r="Q59" s="67" t="str">
        <f t="array" ref="Q59">INDEX('MTA 28-09'!Z:Z,MATCH(B59,'MTA 28-09'!A:A,0))</f>
        <v>339030</v>
      </c>
      <c r="R59" s="32" t="str">
        <f t="array" ref="R59">INDEX('MTA 28-09'!L:L,MATCH(B59,'MTA 28-09'!A:A,0))</f>
        <v>A</v>
      </c>
      <c r="S59" s="72" t="str">
        <f t="array" ref="S59">INDEX('MTA 28-09'!X:X,MATCH(B59,'MTA 28-09'!A:A,0))</f>
        <v>REQUISIÇÃO</v>
      </c>
      <c r="T59" s="72" t="str">
        <f t="array" ref="T59">INDEX('MTA 28-09'!W:W,MATCH(B59,'MTA 28-09'!A:A,0))</f>
        <v>SIM</v>
      </c>
      <c r="U59" s="81">
        <f t="array" ref="U59">INDEX('MTA 28-09'!AE:AE,MATCH(B59,'MTA 28-09'!A:A,0))</f>
        <v>46382</v>
      </c>
      <c r="V59" s="12"/>
      <c r="W59" s="12"/>
      <c r="X59" s="12"/>
      <c r="Y59" s="12"/>
      <c r="Z59" s="12"/>
      <c r="AA59" s="12"/>
      <c r="AB59" s="12"/>
      <c r="AC59" s="12"/>
      <c r="AD59" s="12"/>
      <c r="AE59" s="12"/>
      <c r="AF59" s="12"/>
      <c r="AG59" s="12"/>
      <c r="AH59" s="12"/>
      <c r="AI59" s="12"/>
      <c r="AJ59" s="12"/>
      <c r="AK59" s="12"/>
      <c r="AL59" s="12"/>
      <c r="AM59" s="12"/>
    </row>
    <row r="60">
      <c r="A60" s="88" t="s">
        <v>45</v>
      </c>
      <c r="B60" s="98">
        <v>10780.0</v>
      </c>
      <c r="C60" s="92" t="str">
        <f t="array" ref="C60">INDEX('MTA 28-09'!B:B,MATCH(B60,'MTA 28-09'!A:A,0))</f>
        <v>SIM</v>
      </c>
      <c r="D60" s="95">
        <f t="array" ref="D60">INDEX('MTA 28-09'!D:D,MATCH(B60,'MTA 28-09'!A:A,0))</f>
        <v>2048</v>
      </c>
      <c r="E60" s="98" t="str">
        <f t="array" ref="E60">INDEX('MTA 28-09'!F:F,MATCH(B60,'MTA 28-09'!A:A,0))</f>
        <v>CANCELADO</v>
      </c>
      <c r="F60" s="99" t="str">
        <f t="array" ref="F60">INDEX('MTA 28-09'!I:I,MATCH(B60,'MTA 28-09'!A:A,0))</f>
        <v/>
      </c>
      <c r="G60" s="100" t="str">
        <f t="array" ref="G60">INDEX('MTA 28-09'!J:J,MATCH(B60,'MTA 28-09'!A:A,0))</f>
        <v/>
      </c>
      <c r="H60" s="159" t="s">
        <v>157</v>
      </c>
      <c r="I60" s="296"/>
      <c r="J60" s="102"/>
      <c r="K60" s="103"/>
      <c r="L60" s="102" t="str">
        <f t="array" ref="L60">INDEX('MTA 28-09'!S:S,MATCH(B60,'MTA 28-09'!A:A,0))</f>
        <v>C-98</v>
      </c>
      <c r="M60" s="98" t="str">
        <f t="array" ref="M60">INDEX('MTA 28-09'!T:T,MATCH(B60,'MTA 28-09'!A:A,0))</f>
        <v>REQUISIÇÃO SERVIÇO</v>
      </c>
      <c r="N60" s="98" t="str">
        <f t="array" ref="N60">INDEX('MTA 28-09'!U:U,MATCH(B60,'MTA 28-09'!A:A,0))</f>
        <v>RG FCU 3 EA (1/2)</v>
      </c>
      <c r="O60" s="104" t="str">
        <f t="array" ref="O60">INDEX('MTA 28-09'!AC:AC,MATCH(B60,'MTA 28-09'!A:A,0))</f>
        <v> -</v>
      </c>
      <c r="P60" s="98" t="str">
        <f t="array" ref="P60">INDEX('MTA 28-09'!N:N,MATCH(B60,'MTA 28-09'!A:A,0))</f>
        <v>CABW</v>
      </c>
      <c r="Q60" s="105" t="str">
        <f t="array" ref="Q60">INDEX('MTA 28-09'!Z:Z,MATCH(B60,'MTA 28-09'!A:A,0))</f>
        <v>339039</v>
      </c>
      <c r="R60" s="98" t="str">
        <f t="array" ref="R60">INDEX('MTA 28-09'!L:L,MATCH(B60,'MTA 28-09'!A:A,0))</f>
        <v>A</v>
      </c>
      <c r="S60" s="107" t="str">
        <f t="array" ref="S60">INDEX('MTA 28-09'!X:X,MATCH(B60,'MTA 28-09'!A:A,0))</f>
        <v>REQUISIÇÃO</v>
      </c>
      <c r="T60" s="107" t="str">
        <f t="array" ref="T60">INDEX('MTA 28-09'!W:W,MATCH(B60,'MTA 28-09'!A:A,0))</f>
        <v>SIM</v>
      </c>
      <c r="U60" s="109">
        <f t="array" ref="U60">INDEX('MTA 28-09'!AE:AE,MATCH(B60,'MTA 28-09'!A:A,0))</f>
        <v>46169</v>
      </c>
      <c r="V60" s="29"/>
      <c r="W60" s="29"/>
      <c r="X60" s="29"/>
      <c r="Y60" s="29"/>
      <c r="Z60" s="29"/>
      <c r="AA60" s="29"/>
      <c r="AB60" s="29"/>
      <c r="AC60" s="29"/>
      <c r="AD60" s="29"/>
      <c r="AE60" s="29"/>
      <c r="AF60" s="29"/>
      <c r="AG60" s="29"/>
      <c r="AH60" s="29"/>
      <c r="AI60" s="29"/>
      <c r="AJ60" s="29"/>
      <c r="AK60" s="29"/>
      <c r="AL60" s="29"/>
      <c r="AM60" s="29"/>
    </row>
    <row r="61">
      <c r="A61" s="31" t="s">
        <v>45</v>
      </c>
      <c r="B61" s="32">
        <v>10800.0</v>
      </c>
      <c r="C61" s="33" t="str">
        <f t="array" ref="C61">INDEX('MTA 28-09'!B:B,MATCH(B61,'MTA 28-09'!A:A,0))</f>
        <v>SIM</v>
      </c>
      <c r="D61" s="34">
        <f t="array" ref="D61">INDEX('MTA 28-09'!D:D,MATCH(B61,'MTA 28-09'!A:A,0))</f>
        <v>2048</v>
      </c>
      <c r="E61" s="32" t="str">
        <f t="array" ref="E61">INDEX('MTA 28-09'!F:F,MATCH(B61,'MTA 28-09'!A:A,0))</f>
        <v>CANCELADO</v>
      </c>
      <c r="F61" s="137" t="str">
        <f t="array" ref="F61">INDEX('MTA 28-09'!I:I,MATCH(B61,'MTA 28-09'!A:A,0))</f>
        <v/>
      </c>
      <c r="G61" s="36" t="str">
        <f t="array" ref="G61">INDEX('MTA 28-09'!J:J,MATCH(B61,'MTA 28-09'!A:A,0))</f>
        <v/>
      </c>
      <c r="H61" s="287" t="s">
        <v>157</v>
      </c>
      <c r="I61" s="295"/>
      <c r="J61" s="39"/>
      <c r="K61" s="40"/>
      <c r="L61" s="39" t="str">
        <f t="array" ref="L61">INDEX('MTA 28-09'!S:S,MATCH(B61,'MTA 28-09'!A:A,0))</f>
        <v>C-98</v>
      </c>
      <c r="M61" s="32" t="str">
        <f t="array" ref="M61">INDEX('MTA 28-09'!T:T,MATCH(B61,'MTA 28-09'!A:A,0))</f>
        <v>REQUISIÇÃO SERVIÇO</v>
      </c>
      <c r="N61" s="32" t="str">
        <f t="array" ref="N61">INDEX('MTA 28-09'!U:U,MATCH(B61,'MTA 28-09'!A:A,0))</f>
        <v>RG Fuel Pump 5 EA (1/1)</v>
      </c>
      <c r="O61" s="59" t="str">
        <f t="array" ref="O61">INDEX('MTA 28-09'!AC:AC,MATCH(B61,'MTA 28-09'!A:A,0))</f>
        <v> -</v>
      </c>
      <c r="P61" s="32" t="str">
        <f t="array" ref="P61">INDEX('MTA 28-09'!N:N,MATCH(B61,'MTA 28-09'!A:A,0))</f>
        <v>CABW</v>
      </c>
      <c r="Q61" s="67" t="str">
        <f t="array" ref="Q61">INDEX('MTA 28-09'!Z:Z,MATCH(B61,'MTA 28-09'!A:A,0))</f>
        <v>339039</v>
      </c>
      <c r="R61" s="32" t="str">
        <f t="array" ref="R61">INDEX('MTA 28-09'!L:L,MATCH(B61,'MTA 28-09'!A:A,0))</f>
        <v>A</v>
      </c>
      <c r="S61" s="72" t="str">
        <f t="array" ref="S61">INDEX('MTA 28-09'!X:X,MATCH(B61,'MTA 28-09'!A:A,0))</f>
        <v>REQUISIÇÃO</v>
      </c>
      <c r="T61" s="72" t="str">
        <f t="array" ref="T61">INDEX('MTA 28-09'!W:W,MATCH(B61,'MTA 28-09'!A:A,0))</f>
        <v>SIM</v>
      </c>
      <c r="U61" s="81">
        <f t="array" ref="U61">INDEX('MTA 28-09'!AE:AE,MATCH(B61,'MTA 28-09'!A:A,0))</f>
        <v>46169</v>
      </c>
      <c r="V61" s="12"/>
      <c r="W61" s="12"/>
      <c r="X61" s="12"/>
      <c r="Y61" s="12"/>
      <c r="Z61" s="12"/>
      <c r="AA61" s="12"/>
      <c r="AB61" s="12"/>
      <c r="AC61" s="12"/>
      <c r="AD61" s="12"/>
      <c r="AE61" s="12"/>
      <c r="AF61" s="12"/>
      <c r="AG61" s="12"/>
      <c r="AH61" s="12"/>
      <c r="AI61" s="12"/>
      <c r="AJ61" s="12"/>
      <c r="AK61" s="12"/>
      <c r="AL61" s="12"/>
      <c r="AM61" s="12"/>
    </row>
    <row r="62">
      <c r="A62" s="88" t="s">
        <v>107</v>
      </c>
      <c r="B62" s="98">
        <v>10820.0</v>
      </c>
      <c r="C62" s="92" t="str">
        <f t="array" ref="C62">INDEX('MTA 28-09'!B:B,MATCH(B62,'MTA 28-09'!A:A,0))</f>
        <v>SIM</v>
      </c>
      <c r="D62" s="95">
        <f t="array" ref="D62">INDEX('MTA 28-09'!D:D,MATCH(B62,'MTA 28-09'!A:A,0))</f>
        <v>2048</v>
      </c>
      <c r="E62" s="98" t="str">
        <f t="array" ref="E62">INDEX('MTA 28-09'!F:F,MATCH(B62,'MTA 28-09'!A:A,0))</f>
        <v/>
      </c>
      <c r="F62" s="152" t="str">
        <f t="array" ref="F62">INDEX('MTA 28-09'!I:I,MATCH(B62,'MTA 28-09'!A:A,0))</f>
        <v/>
      </c>
      <c r="G62" s="100" t="str">
        <f t="array" ref="G62">INDEX('MTA 28-09'!J:J,MATCH(B62,'MTA 28-09'!A:A,0))</f>
        <v/>
      </c>
      <c r="H62" s="159">
        <v>46276.0</v>
      </c>
      <c r="I62" s="90" t="s">
        <v>1307</v>
      </c>
      <c r="J62" s="102"/>
      <c r="K62" s="103"/>
      <c r="L62" s="102" t="str">
        <f t="array" ref="L62">INDEX('MTA 28-09'!S:S,MATCH(B62,'MTA 28-09'!A:A,0))</f>
        <v>APOIO</v>
      </c>
      <c r="M62" s="98" t="str">
        <f t="array" ref="M62">INDEX('MTA 28-09'!T:T,MATCH(B62,'MTA 28-09'!A:A,0))</f>
        <v>REQUISIÇÃO SSS TLV</v>
      </c>
      <c r="N62" s="98" t="str">
        <f t="array" ref="N62">INDEX('MTA 28-09'!U:U,MATCH(B62,'MTA 28-09'!A:A,0))</f>
        <v>AQUISIÇÃO ITENS SSS COM TEMPO LIMITE DE VIDA (FMS)</v>
      </c>
      <c r="O62" s="104">
        <f t="array" ref="O62">INDEX('MTA 28-09'!AC:AC,MATCH(B62,'MTA 28-09'!A:A,0))</f>
        <v>364240.65</v>
      </c>
      <c r="P62" s="98" t="str">
        <f t="array" ref="P62">INDEX('MTA 28-09'!N:N,MATCH(B62,'MTA 28-09'!A:A,0))</f>
        <v>FMS</v>
      </c>
      <c r="Q62" s="105" t="str">
        <f t="array" ref="Q62">INDEX('MTA 28-09'!Z:Z,MATCH(B62,'MTA 28-09'!A:A,0))</f>
        <v>339030</v>
      </c>
      <c r="R62" s="98" t="str">
        <f t="array" ref="R62">INDEX('MTA 28-09'!L:L,MATCH(B62,'MTA 28-09'!A:A,0))</f>
        <v>A</v>
      </c>
      <c r="S62" s="107" t="str">
        <f t="array" ref="S62">INDEX('MTA 28-09'!X:X,MATCH(B62,'MTA 28-09'!A:A,0))</f>
        <v>REQUISIÇÃO</v>
      </c>
      <c r="T62" s="107" t="str">
        <f t="array" ref="T62">INDEX('MTA 28-09'!W:W,MATCH(B62,'MTA 28-09'!A:A,0))</f>
        <v>NÃO</v>
      </c>
      <c r="U62" s="109">
        <f t="array" ref="U62">INDEX('MTA 28-09'!AE:AE,MATCH(B62,'MTA 28-09'!A:A,0))</f>
        <v>46352</v>
      </c>
      <c r="V62" s="29"/>
      <c r="W62" s="29"/>
      <c r="X62" s="29"/>
      <c r="Y62" s="29"/>
      <c r="Z62" s="29"/>
      <c r="AA62" s="29"/>
      <c r="AB62" s="29"/>
      <c r="AC62" s="29"/>
      <c r="AD62" s="29"/>
      <c r="AE62" s="29"/>
      <c r="AF62" s="29"/>
      <c r="AG62" s="29"/>
      <c r="AH62" s="29"/>
      <c r="AI62" s="29"/>
      <c r="AJ62" s="29"/>
      <c r="AK62" s="29"/>
      <c r="AL62" s="29"/>
      <c r="AM62" s="29"/>
    </row>
    <row r="63">
      <c r="A63" s="31" t="s">
        <v>107</v>
      </c>
      <c r="B63" s="32">
        <v>10840.0</v>
      </c>
      <c r="C63" s="33" t="str">
        <f t="array" ref="C63">INDEX('MTA 28-09'!B:B,MATCH(B63,'MTA 28-09'!A:A,0))</f>
        <v>SIM</v>
      </c>
      <c r="D63" s="34">
        <f t="array" ref="D63">INDEX('MTA 28-09'!D:D,MATCH(B63,'MTA 28-09'!A:A,0))</f>
        <v>2048</v>
      </c>
      <c r="E63" s="32" t="str">
        <f t="array" ref="E63">INDEX('MTA 28-09'!F:F,MATCH(B63,'MTA 28-09'!A:A,0))</f>
        <v/>
      </c>
      <c r="F63" s="35" t="str">
        <f t="array" ref="F63">INDEX('MTA 28-09'!I:I,MATCH(B63,'MTA 28-09'!A:A,0))</f>
        <v/>
      </c>
      <c r="G63" s="36" t="str">
        <f t="array" ref="G63">INDEX('MTA 28-09'!J:J,MATCH(B63,'MTA 28-09'!A:A,0))</f>
        <v/>
      </c>
      <c r="H63" s="287">
        <v>46276.0</v>
      </c>
      <c r="I63" s="38" t="s">
        <v>705</v>
      </c>
      <c r="J63" s="39"/>
      <c r="K63" s="40"/>
      <c r="L63" s="39" t="str">
        <f t="array" ref="L63">INDEX('MTA 28-09'!S:S,MATCH(B63,'MTA 28-09'!A:A,0))</f>
        <v>APOIO</v>
      </c>
      <c r="M63" s="32" t="str">
        <f t="array" ref="M63">INDEX('MTA 28-09'!T:T,MATCH(B63,'MTA 28-09'!A:A,0))</f>
        <v>REQUISIÇÃO SSS TLV</v>
      </c>
      <c r="N63" s="32" t="str">
        <f t="array" ref="N63">INDEX('MTA 28-09'!U:U,MATCH(B63,'MTA 28-09'!A:A,0))</f>
        <v>AQUISIÇÃO ITENS SSS COM TEMPO LIMITE DE VIDA (CELOG)</v>
      </c>
      <c r="O63" s="59">
        <f t="array" ref="O63">INDEX('MTA 28-09'!AC:AC,MATCH(B63,'MTA 28-09'!A:A,0))</f>
        <v>216272.2</v>
      </c>
      <c r="P63" s="32" t="str">
        <f t="array" ref="P63">INDEX('MTA 28-09'!N:N,MATCH(B63,'MTA 28-09'!A:A,0))</f>
        <v>CELOG</v>
      </c>
      <c r="Q63" s="67" t="str">
        <f t="array" ref="Q63">INDEX('MTA 28-09'!Z:Z,MATCH(B63,'MTA 28-09'!A:A,0))</f>
        <v>339030</v>
      </c>
      <c r="R63" s="32" t="str">
        <f t="array" ref="R63">INDEX('MTA 28-09'!L:L,MATCH(B63,'MTA 28-09'!A:A,0))</f>
        <v>A</v>
      </c>
      <c r="S63" s="72" t="str">
        <f t="array" ref="S63">INDEX('MTA 28-09'!X:X,MATCH(B63,'MTA 28-09'!A:A,0))</f>
        <v>REQUISIÇÃO</v>
      </c>
      <c r="T63" s="72" t="str">
        <f t="array" ref="T63">INDEX('MTA 28-09'!W:W,MATCH(B63,'MTA 28-09'!A:A,0))</f>
        <v>NÃO</v>
      </c>
      <c r="U63" s="81">
        <f t="array" ref="U63">INDEX('MTA 28-09'!AE:AE,MATCH(B63,'MTA 28-09'!A:A,0))</f>
        <v>46352</v>
      </c>
      <c r="V63" s="12"/>
      <c r="W63" s="12"/>
      <c r="X63" s="12"/>
      <c r="Y63" s="12"/>
      <c r="Z63" s="12"/>
      <c r="AA63" s="12"/>
      <c r="AB63" s="12"/>
      <c r="AC63" s="12"/>
      <c r="AD63" s="12"/>
      <c r="AE63" s="12"/>
      <c r="AF63" s="12"/>
      <c r="AG63" s="12"/>
      <c r="AH63" s="12"/>
      <c r="AI63" s="12"/>
      <c r="AJ63" s="12"/>
      <c r="AK63" s="12"/>
      <c r="AL63" s="12"/>
      <c r="AM63" s="12"/>
    </row>
    <row r="64">
      <c r="A64" s="88" t="s">
        <v>107</v>
      </c>
      <c r="B64" s="90">
        <v>10841.0</v>
      </c>
      <c r="C64" s="92" t="str">
        <f t="array" ref="C64">INDEX('MTA 28-09'!B:B,MATCH(B64,'MTA 28-09'!A:A,0))</f>
        <v>SIM</v>
      </c>
      <c r="D64" s="95">
        <f t="array" ref="D64">INDEX('MTA 28-09'!D:D,MATCH(B64,'MTA 28-09'!A:A,0))</f>
        <v>2048</v>
      </c>
      <c r="E64" s="98" t="str">
        <f t="array" ref="E64">INDEX('MTA 28-09'!F:F,MATCH(B64,'MTA 28-09'!A:A,0))</f>
        <v>ATENDIDO</v>
      </c>
      <c r="F64" s="99">
        <f t="array" ref="F64">INDEX('MTA 28-09'!I:I,MATCH(B64,'MTA 28-09'!A:A,0))</f>
        <v>46279</v>
      </c>
      <c r="G64" s="100" t="str">
        <f t="array" ref="G64">INDEX('MTA 28-09'!J:J,MATCH(B64,'MTA 28-09'!A:A,0))</f>
        <v>C26455</v>
      </c>
      <c r="H64" s="159"/>
      <c r="I64" s="90"/>
      <c r="J64" s="102"/>
      <c r="K64" s="103"/>
      <c r="L64" s="102"/>
      <c r="M64" s="98" t="str">
        <f t="array" ref="M64">INDEX('MTA 28-09'!T:T,MATCH(B64,'MTA 28-09'!A:A,0))</f>
        <v>REQUISIÇÃO SSS TLV</v>
      </c>
      <c r="N64" s="98" t="str">
        <f t="array" ref="N64">INDEX('MTA 28-09'!U:U,MATCH(B64,'MTA 28-09'!A:A,0))</f>
        <v>AQUISIÇÃO ITENS SSS COM TEMPO LIMITE DE VIDA (CELOG)</v>
      </c>
      <c r="O64" s="104">
        <f t="array" ref="O64">INDEX('MTA 28-09'!AC:AC,MATCH(B64,'MTA 28-09'!A:A,0))</f>
        <v>3581.99</v>
      </c>
      <c r="P64" s="98" t="str">
        <f t="array" ref="P64">INDEX('MTA 28-09'!N:N,MATCH(B64,'MTA 28-09'!A:A,0))</f>
        <v>CELOG</v>
      </c>
      <c r="Q64" s="105" t="str">
        <f t="array" ref="Q64">INDEX('MTA 28-09'!Z:Z,MATCH(B64,'MTA 28-09'!A:A,0))</f>
        <v>339030</v>
      </c>
      <c r="R64" s="98" t="str">
        <f t="array" ref="R64">INDEX('MTA 28-09'!L:L,MATCH(B64,'MTA 28-09'!A:A,0))</f>
        <v>A</v>
      </c>
      <c r="S64" s="107" t="str">
        <f t="array" ref="S64">INDEX('MTA 28-09'!X:X,MATCH(B64,'MTA 28-09'!A:A,0))</f>
        <v>REQUISIÇÃO</v>
      </c>
      <c r="T64" s="107" t="str">
        <f t="array" ref="T64">INDEX('MTA 28-09'!W:W,MATCH(B64,'MTA 28-09'!A:A,0))</f>
        <v>NÃO</v>
      </c>
      <c r="U64" s="109">
        <f t="array" ref="U64">INDEX('MTA 28-09'!AE:AE,MATCH(B64,'MTA 28-09'!A:A,0))</f>
        <v>46352</v>
      </c>
      <c r="V64" s="29"/>
      <c r="W64" s="29"/>
      <c r="X64" s="29"/>
      <c r="Y64" s="29"/>
      <c r="Z64" s="29"/>
      <c r="AA64" s="29"/>
      <c r="AB64" s="29"/>
      <c r="AC64" s="29"/>
      <c r="AD64" s="29"/>
      <c r="AE64" s="29"/>
      <c r="AF64" s="29"/>
      <c r="AG64" s="29"/>
      <c r="AH64" s="29"/>
      <c r="AI64" s="29"/>
      <c r="AJ64" s="29"/>
      <c r="AK64" s="29"/>
      <c r="AL64" s="29"/>
      <c r="AM64" s="29"/>
    </row>
    <row r="65">
      <c r="A65" s="31" t="s">
        <v>107</v>
      </c>
      <c r="B65" s="32">
        <v>10860.0</v>
      </c>
      <c r="C65" s="33" t="str">
        <f t="array" ref="C65">INDEX('MTA 28-09'!B:B,MATCH(B65,'MTA 28-09'!A:A,0))</f>
        <v>SIM</v>
      </c>
      <c r="D65" s="34">
        <f t="array" ref="D65">INDEX('MTA 28-09'!D:D,MATCH(B65,'MTA 28-09'!A:A,0))</f>
        <v>2048</v>
      </c>
      <c r="E65" s="32" t="str">
        <f t="array" ref="E65">INDEX('MTA 28-09'!F:F,MATCH(B65,'MTA 28-09'!A:A,0))</f>
        <v>ATENDIDO</v>
      </c>
      <c r="F65" s="35">
        <f t="array" ref="F65">INDEX('MTA 28-09'!I:I,MATCH(B65,'MTA 28-09'!A:A,0))</f>
        <v>46073</v>
      </c>
      <c r="G65" s="36" t="str">
        <f t="array" ref="G65">INDEX('MTA 28-09'!J:J,MATCH(B65,'MTA 28-09'!A:A,0))</f>
        <v>C26033</v>
      </c>
      <c r="H65" s="37">
        <v>1.0</v>
      </c>
      <c r="I65" s="38"/>
      <c r="J65" s="39"/>
      <c r="K65" s="40"/>
      <c r="L65" s="39" t="str">
        <f t="array" ref="L65">INDEX('MTA 28-09'!S:S,MATCH(B65,'MTA 28-09'!A:A,0))</f>
        <v>APOIO</v>
      </c>
      <c r="M65" s="32" t="str">
        <f t="array" ref="M65">INDEX('MTA 28-09'!T:T,MATCH(B65,'MTA 28-09'!A:A,0))</f>
        <v>REQUISIÇÃO PTA SSS</v>
      </c>
      <c r="N65" s="32" t="str">
        <f t="array" ref="N65">INDEX('MTA 28-09'!U:U,MATCH(B65,'MTA 28-09'!A:A,0))</f>
        <v>AQUISIÇÃO ITENS SSS CUMPRIR PTA (CABW) 2/2</v>
      </c>
      <c r="O65" s="59">
        <f t="array" ref="O65">INDEX('MTA 28-09'!AC:AC,MATCH(B65,'MTA 28-09'!A:A,0))</f>
        <v>760240.53</v>
      </c>
      <c r="P65" s="32" t="str">
        <f t="array" ref="P65">INDEX('MTA 28-09'!N:N,MATCH(B65,'MTA 28-09'!A:A,0))</f>
        <v>CABW</v>
      </c>
      <c r="Q65" s="67" t="str">
        <f t="array" ref="Q65">INDEX('MTA 28-09'!Z:Z,MATCH(B65,'MTA 28-09'!A:A,0))</f>
        <v>339030</v>
      </c>
      <c r="R65" s="32" t="str">
        <f t="array" ref="R65">INDEX('MTA 28-09'!L:L,MATCH(B65,'MTA 28-09'!A:A,0))</f>
        <v>A</v>
      </c>
      <c r="S65" s="72" t="str">
        <f t="array" ref="S65">INDEX('MTA 28-09'!X:X,MATCH(B65,'MTA 28-09'!A:A,0))</f>
        <v>REQUISIÇÃO</v>
      </c>
      <c r="T65" s="72" t="str">
        <f t="array" ref="T65">INDEX('MTA 28-09'!W:W,MATCH(B65,'MTA 28-09'!A:A,0))</f>
        <v>NÃO</v>
      </c>
      <c r="U65" s="81">
        <f t="array" ref="U65">INDEX('MTA 28-09'!AE:AE,MATCH(B65,'MTA 28-09'!A:A,0))</f>
        <v>46138</v>
      </c>
      <c r="V65" s="12"/>
      <c r="W65" s="12"/>
      <c r="X65" s="12"/>
      <c r="Y65" s="12"/>
      <c r="Z65" s="12"/>
      <c r="AA65" s="12"/>
      <c r="AB65" s="12"/>
      <c r="AC65" s="12"/>
      <c r="AD65" s="12"/>
      <c r="AE65" s="12"/>
      <c r="AF65" s="12"/>
      <c r="AG65" s="12"/>
      <c r="AH65" s="12"/>
      <c r="AI65" s="12"/>
      <c r="AJ65" s="12"/>
      <c r="AK65" s="12"/>
      <c r="AL65" s="12"/>
      <c r="AM65" s="12"/>
    </row>
    <row r="66">
      <c r="A66" s="88" t="s">
        <v>107</v>
      </c>
      <c r="B66" s="98">
        <v>10880.0</v>
      </c>
      <c r="C66" s="92" t="str">
        <f t="array" ref="C66">INDEX('MTA 28-09'!B:B,MATCH(B66,'MTA 28-09'!A:A,0))</f>
        <v>NÃO</v>
      </c>
      <c r="D66" s="95" t="str">
        <f t="array" ref="D66">INDEX('MTA 28-09'!D:D,MATCH(B66,'MTA 28-09'!A:A,0))</f>
        <v/>
      </c>
      <c r="E66" s="98" t="str">
        <f t="array" ref="E66">INDEX('MTA 28-09'!F:F,MATCH(B66,'MTA 28-09'!A:A,0))</f>
        <v/>
      </c>
      <c r="F66" s="99" t="str">
        <f t="array" ref="F66">INDEX('MTA 28-09'!I:I,MATCH(B66,'MTA 28-09'!A:A,0))</f>
        <v/>
      </c>
      <c r="G66" s="100" t="str">
        <f t="array" ref="G66">INDEX('MTA 28-09'!J:J,MATCH(B66,'MTA 28-09'!A:A,0))</f>
        <v/>
      </c>
      <c r="H66" s="159" t="s">
        <v>157</v>
      </c>
      <c r="I66" s="296"/>
      <c r="J66" s="102"/>
      <c r="K66" s="103"/>
      <c r="L66" s="102" t="str">
        <f t="array" ref="L66">INDEX('MTA 28-09'!S:S,MATCH(B66,'MTA 28-09'!A:A,0))</f>
        <v>APOIO</v>
      </c>
      <c r="M66" s="98" t="str">
        <f t="array" ref="M66">INDEX('MTA 28-09'!T:T,MATCH(B66,'MTA 28-09'!A:A,0))</f>
        <v>REQUISIÇÃO PTA SSS</v>
      </c>
      <c r="N66" s="98" t="str">
        <f t="array" ref="N66">INDEX('MTA 28-09'!U:U,MATCH(B66,'MTA 28-09'!A:A,0))</f>
        <v>AQUISIÇÃO ITENS SSS CUMPRIR PTA (FMS)</v>
      </c>
      <c r="O66" s="104">
        <f t="array" ref="O66">INDEX('MTA 28-09'!AC:AC,MATCH(B66,'MTA 28-09'!A:A,0))</f>
        <v>139975.96</v>
      </c>
      <c r="P66" s="98" t="str">
        <f t="array" ref="P66">INDEX('MTA 28-09'!N:N,MATCH(B66,'MTA 28-09'!A:A,0))</f>
        <v>FMS</v>
      </c>
      <c r="Q66" s="105" t="str">
        <f t="array" ref="Q66">INDEX('MTA 28-09'!Z:Z,MATCH(B66,'MTA 28-09'!A:A,0))</f>
        <v>339030</v>
      </c>
      <c r="R66" s="98" t="str">
        <f t="array" ref="R66">INDEX('MTA 28-09'!L:L,MATCH(B66,'MTA 28-09'!A:A,0))</f>
        <v>B</v>
      </c>
      <c r="S66" s="107" t="str">
        <f t="array" ref="S66">INDEX('MTA 28-09'!X:X,MATCH(B66,'MTA 28-09'!A:A,0))</f>
        <v>REQUISIÇÃO</v>
      </c>
      <c r="T66" s="107" t="str">
        <f t="array" ref="T66">INDEX('MTA 28-09'!W:W,MATCH(B66,'MTA 28-09'!A:A,0))</f>
        <v>NÃO</v>
      </c>
      <c r="U66" s="109">
        <f t="array" ref="U66">INDEX('MTA 28-09'!AE:AE,MATCH(B66,'MTA 28-09'!A:A,0))</f>
        <v>46352</v>
      </c>
      <c r="V66" s="29"/>
      <c r="W66" s="29"/>
      <c r="X66" s="29"/>
      <c r="Y66" s="29"/>
      <c r="Z66" s="29"/>
      <c r="AA66" s="29"/>
      <c r="AB66" s="29"/>
      <c r="AC66" s="29"/>
      <c r="AD66" s="29"/>
      <c r="AE66" s="29"/>
      <c r="AF66" s="29"/>
      <c r="AG66" s="29"/>
      <c r="AH66" s="29"/>
      <c r="AI66" s="29"/>
      <c r="AJ66" s="29"/>
      <c r="AK66" s="29"/>
      <c r="AL66" s="29"/>
      <c r="AM66" s="29"/>
    </row>
    <row r="67">
      <c r="A67" s="31" t="s">
        <v>107</v>
      </c>
      <c r="B67" s="38">
        <v>10881.0</v>
      </c>
      <c r="C67" s="33" t="str">
        <f t="array" ref="C67">INDEX('MTA 28-09'!B:B,MATCH(B67,'MTA 28-09'!A:A,0))</f>
        <v>SIM</v>
      </c>
      <c r="D67" s="34" t="str">
        <f t="array" ref="D67">INDEX('MTA 28-09'!D:D,MATCH(B67,'MTA 28-09'!A:A,0))</f>
        <v>20XV</v>
      </c>
      <c r="E67" s="32" t="str">
        <f t="array" ref="E67">INDEX('MTA 28-09'!F:F,MATCH(B67,'MTA 28-09'!A:A,0))</f>
        <v>ATENDIDO</v>
      </c>
      <c r="F67" s="294">
        <f t="array" ref="F67">INDEX('MTA 28-09'!I:I,MATCH(B67,'MTA 28-09'!A:A,0))</f>
        <v>46224</v>
      </c>
      <c r="G67" s="36" t="str">
        <f t="array" ref="G67">INDEX('MTA 28-09'!J:J,MATCH(B67,'MTA 28-09'!A:A,0))</f>
        <v>C26154</v>
      </c>
      <c r="H67" s="287" t="s">
        <v>157</v>
      </c>
      <c r="I67" s="295"/>
      <c r="J67" s="39"/>
      <c r="K67" s="40"/>
      <c r="L67" s="39" t="str">
        <f t="array" ref="L67">INDEX('MTA 28-09'!S:S,MATCH(B67,'MTA 28-09'!A:A,0))</f>
        <v>APOIO</v>
      </c>
      <c r="M67" s="32" t="str">
        <f t="array" ref="M67">INDEX('MTA 28-09'!T:T,MATCH(B67,'MTA 28-09'!A:A,0))</f>
        <v>REQUISIÇÃO PTA SSS</v>
      </c>
      <c r="N67" s="32" t="str">
        <f t="array" ref="N67">INDEX('MTA 28-09'!U:U,MATCH(B67,'MTA 28-09'!A:A,0))</f>
        <v>AQUISIÇÃO ITENS SSS CUMPRIR PTA (FMS)</v>
      </c>
      <c r="O67" s="59">
        <f t="array" ref="O67">INDEX('MTA 28-09'!AC:AC,MATCH(B67,'MTA 28-09'!A:A,0))</f>
        <v>660464.25</v>
      </c>
      <c r="P67" s="32" t="str">
        <f t="array" ref="P67">INDEX('MTA 28-09'!N:N,MATCH(B67,'MTA 28-09'!A:A,0))</f>
        <v>FMS</v>
      </c>
      <c r="Q67" s="67" t="str">
        <f t="array" ref="Q67">INDEX('MTA 28-09'!Z:Z,MATCH(B67,'MTA 28-09'!A:A,0))</f>
        <v>339030</v>
      </c>
      <c r="R67" s="32" t="str">
        <f t="array" ref="R67">INDEX('MTA 28-09'!L:L,MATCH(B67,'MTA 28-09'!A:A,0))</f>
        <v>A</v>
      </c>
      <c r="S67" s="72" t="str">
        <f t="array" ref="S67">INDEX('MTA 28-09'!X:X,MATCH(B67,'MTA 28-09'!A:A,0))</f>
        <v>REQUISIÇÃO</v>
      </c>
      <c r="T67" s="72" t="str">
        <f t="array" ref="T67">INDEX('MTA 28-09'!W:W,MATCH(B67,'MTA 28-09'!A:A,0))</f>
        <v>NÃO</v>
      </c>
      <c r="U67" s="81">
        <f t="array" ref="U67">INDEX('MTA 28-09'!AE:AE,MATCH(B67,'MTA 28-09'!A:A,0))</f>
        <v>46352</v>
      </c>
      <c r="V67" s="12"/>
      <c r="W67" s="12"/>
      <c r="X67" s="12"/>
      <c r="Y67" s="12"/>
      <c r="Z67" s="12"/>
      <c r="AA67" s="12"/>
      <c r="AB67" s="12"/>
      <c r="AC67" s="12"/>
      <c r="AD67" s="12"/>
      <c r="AE67" s="12"/>
      <c r="AF67" s="12"/>
      <c r="AG67" s="12"/>
      <c r="AH67" s="12"/>
      <c r="AI67" s="12"/>
      <c r="AJ67" s="12"/>
      <c r="AK67" s="12"/>
      <c r="AL67" s="12"/>
      <c r="AM67" s="12"/>
    </row>
    <row r="68">
      <c r="A68" s="88" t="s">
        <v>107</v>
      </c>
      <c r="B68" s="98">
        <v>10900.0</v>
      </c>
      <c r="C68" s="92" t="str">
        <f t="array" ref="C68">INDEX('MTA 28-09'!B:B,MATCH(B68,'MTA 28-09'!A:A,0))</f>
        <v>NÃO</v>
      </c>
      <c r="D68" s="95" t="str">
        <f t="array" ref="D68">INDEX('MTA 28-09'!D:D,MATCH(B68,'MTA 28-09'!A:A,0))</f>
        <v/>
      </c>
      <c r="E68" s="98" t="str">
        <f t="array" ref="E68">INDEX('MTA 28-09'!F:F,MATCH(B68,'MTA 28-09'!A:A,0))</f>
        <v>BLOQUEIO</v>
      </c>
      <c r="F68" s="99" t="str">
        <f t="array" ref="F68">INDEX('MTA 28-09'!I:I,MATCH(B68,'MTA 28-09'!A:A,0))</f>
        <v/>
      </c>
      <c r="G68" s="100" t="str">
        <f t="array" ref="G68">INDEX('MTA 28-09'!J:J,MATCH(B68,'MTA 28-09'!A:A,0))</f>
        <v/>
      </c>
      <c r="H68" s="159" t="s">
        <v>157</v>
      </c>
      <c r="I68" s="296"/>
      <c r="J68" s="102"/>
      <c r="K68" s="103"/>
      <c r="L68" s="102" t="str">
        <f t="array" ref="L68">INDEX('MTA 28-09'!S:S,MATCH(B68,'MTA 28-09'!A:A,0))</f>
        <v>APOIO</v>
      </c>
      <c r="M68" s="98" t="str">
        <f t="array" ref="M68">INDEX('MTA 28-09'!T:T,MATCH(B68,'MTA 28-09'!A:A,0))</f>
        <v>REQUISIÇÃO LOTAÇÃO SSS</v>
      </c>
      <c r="N68" s="98" t="str">
        <f t="array" ref="N68">INDEX('MTA 28-09'!U:U,MATCH(B68,'MTA 28-09'!A:A,0))</f>
        <v>AQUISIÇÃO ITENS SSS ATENDER 100% DA LOTAÇÃO (FMS)</v>
      </c>
      <c r="O68" s="104">
        <f t="array" ref="O68">INDEX('MTA 28-09'!AC:AC,MATCH(B68,'MTA 28-09'!A:A,0))</f>
        <v>1488230.04</v>
      </c>
      <c r="P68" s="98" t="str">
        <f t="array" ref="P68">INDEX('MTA 28-09'!N:N,MATCH(B68,'MTA 28-09'!A:A,0))</f>
        <v>FMS</v>
      </c>
      <c r="Q68" s="105" t="str">
        <f t="array" ref="Q68">INDEX('MTA 28-09'!Z:Z,MATCH(B68,'MTA 28-09'!A:A,0))</f>
        <v>339030</v>
      </c>
      <c r="R68" s="98" t="str">
        <f t="array" ref="R68">INDEX('MTA 28-09'!L:L,MATCH(B68,'MTA 28-09'!A:A,0))</f>
        <v>B</v>
      </c>
      <c r="S68" s="107" t="str">
        <f t="array" ref="S68">INDEX('MTA 28-09'!X:X,MATCH(B68,'MTA 28-09'!A:A,0))</f>
        <v>REQUISIÇÃO</v>
      </c>
      <c r="T68" s="107" t="str">
        <f t="array" ref="T68">INDEX('MTA 28-09'!W:W,MATCH(B68,'MTA 28-09'!A:A,0))</f>
        <v>NÃO</v>
      </c>
      <c r="U68" s="109">
        <f t="array" ref="U68">INDEX('MTA 28-09'!AE:AE,MATCH(B68,'MTA 28-09'!A:A,0))</f>
        <v>46291</v>
      </c>
      <c r="V68" s="29"/>
      <c r="W68" s="29"/>
      <c r="X68" s="29"/>
      <c r="Y68" s="29"/>
      <c r="Z68" s="29"/>
      <c r="AA68" s="29"/>
      <c r="AB68" s="29"/>
      <c r="AC68" s="29"/>
      <c r="AD68" s="29"/>
      <c r="AE68" s="29"/>
      <c r="AF68" s="29"/>
      <c r="AG68" s="29"/>
      <c r="AH68" s="29"/>
      <c r="AI68" s="29"/>
      <c r="AJ68" s="29"/>
      <c r="AK68" s="29"/>
      <c r="AL68" s="29"/>
      <c r="AM68" s="29"/>
    </row>
    <row r="69">
      <c r="A69" s="31" t="s">
        <v>39</v>
      </c>
      <c r="B69" s="32">
        <v>10920.0</v>
      </c>
      <c r="C69" s="33" t="str">
        <f t="array" ref="C69">INDEX('MTA 28-09'!B:B,MATCH(B69,'MTA 28-09'!A:A,0))</f>
        <v>SIM</v>
      </c>
      <c r="D69" s="34">
        <f t="array" ref="D69">INDEX('MTA 28-09'!D:D,MATCH(B69,'MTA 28-09'!A:A,0))</f>
        <v>2048</v>
      </c>
      <c r="E69" s="32" t="str">
        <f t="array" ref="E69">INDEX('MTA 28-09'!F:F,MATCH(B69,'MTA 28-09'!A:A,0))</f>
        <v>ATENDIDO</v>
      </c>
      <c r="F69" s="35">
        <f t="array" ref="F69">INDEX('MTA 28-09'!I:I,MATCH(B69,'MTA 28-09'!A:A,0))</f>
        <v>46098</v>
      </c>
      <c r="G69" s="36" t="str">
        <f t="array" ref="G69">INDEX('MTA 28-09'!J:J,MATCH(B69,'MTA 28-09'!A:A,0))</f>
        <v>C26156</v>
      </c>
      <c r="H69" s="37">
        <v>1.0</v>
      </c>
      <c r="I69" s="38"/>
      <c r="J69" s="39"/>
      <c r="K69" s="40"/>
      <c r="L69" s="39" t="str">
        <f t="array" ref="L69">INDEX('MTA 28-09'!S:S,MATCH(B69,'MTA 28-09'!A:A,0))</f>
        <v>A-29</v>
      </c>
      <c r="M69" s="32" t="str">
        <f t="array" ref="M69">INDEX('MTA 28-09'!T:T,MATCH(B69,'MTA 28-09'!A:A,0))</f>
        <v>CTT 102/CELOG-PAMALS/2023 – EMBRAER - PSLI</v>
      </c>
      <c r="N69" s="32" t="str">
        <f t="array" ref="N69">INDEX('MTA 28-09'!U:U,MATCH(B69,'MTA 28-09'!A:A,0))</f>
        <v>Parcela Fixa 03/12</v>
      </c>
      <c r="O69" s="59">
        <f t="array" ref="O69">INDEX('MTA 28-09'!AC:AC,MATCH(B69,'MTA 28-09'!A:A,0))</f>
        <v>2310000</v>
      </c>
      <c r="P69" s="32" t="str">
        <f t="array" ref="P69">INDEX('MTA 28-09'!N:N,MATCH(B69,'MTA 28-09'!A:A,0))</f>
        <v>CELOG</v>
      </c>
      <c r="Q69" s="67" t="str">
        <f t="array" ref="Q69">INDEX('MTA 28-09'!Z:Z,MATCH(B69,'MTA 28-09'!A:A,0))</f>
        <v>339039</v>
      </c>
      <c r="R69" s="32" t="str">
        <f t="array" ref="R69">INDEX('MTA 28-09'!L:L,MATCH(B69,'MTA 28-09'!A:A,0))</f>
        <v>A</v>
      </c>
      <c r="S69" s="72" t="str">
        <f t="array" ref="S69">INDEX('MTA 28-09'!X:X,MATCH(B69,'MTA 28-09'!A:A,0))</f>
        <v>PARCELA FIXA</v>
      </c>
      <c r="T69" s="72" t="str">
        <f t="array" ref="T69">INDEX('MTA 28-09'!W:W,MATCH(B69,'MTA 28-09'!A:A,0))</f>
        <v>Não</v>
      </c>
      <c r="U69" s="81">
        <f t="array" ref="U69">INDEX('MTA 28-09'!AE:AE,MATCH(B69,'MTA 28-09'!A:A,0))</f>
        <v>46168</v>
      </c>
      <c r="V69" s="12"/>
      <c r="W69" s="12"/>
      <c r="X69" s="12"/>
      <c r="Y69" s="12"/>
      <c r="Z69" s="12"/>
      <c r="AA69" s="12"/>
      <c r="AB69" s="12"/>
      <c r="AC69" s="12"/>
      <c r="AD69" s="12"/>
      <c r="AE69" s="12"/>
      <c r="AF69" s="12"/>
      <c r="AG69" s="12"/>
      <c r="AH69" s="12"/>
      <c r="AI69" s="12"/>
      <c r="AJ69" s="12"/>
      <c r="AK69" s="12"/>
      <c r="AL69" s="12"/>
      <c r="AM69" s="12"/>
    </row>
    <row r="70">
      <c r="A70" s="88" t="s">
        <v>44</v>
      </c>
      <c r="B70" s="98">
        <v>10940.0</v>
      </c>
      <c r="C70" s="92" t="str">
        <f t="array" ref="C70">INDEX('MTA 28-09'!B:B,MATCH(B70,'MTA 28-09'!A:A,0))</f>
        <v>SIM</v>
      </c>
      <c r="D70" s="95">
        <f t="array" ref="D70">INDEX('MTA 28-09'!D:D,MATCH(B70,'MTA 28-09'!A:A,0))</f>
        <v>2048</v>
      </c>
      <c r="E70" s="98" t="str">
        <f t="array" ref="E70">INDEX('MTA 28-09'!F:F,MATCH(B70,'MTA 28-09'!A:A,0))</f>
        <v>ATENDIDO</v>
      </c>
      <c r="F70" s="289">
        <f t="array" ref="F70">INDEX('MTA 28-09'!I:I,MATCH(B70,'MTA 28-09'!A:A,0))</f>
        <v>46098</v>
      </c>
      <c r="G70" s="100" t="str">
        <f t="array" ref="G70">INDEX('MTA 28-09'!J:J,MATCH(B70,'MTA 28-09'!A:A,0))</f>
        <v>C26154</v>
      </c>
      <c r="H70" s="101">
        <v>1.0</v>
      </c>
      <c r="I70" s="90"/>
      <c r="J70" s="102"/>
      <c r="K70" s="103"/>
      <c r="L70" s="102" t="str">
        <f t="array" ref="L70">INDEX('MTA 28-09'!S:S,MATCH(B70,'MTA 28-09'!A:A,0))</f>
        <v>C-97</v>
      </c>
      <c r="M70" s="98" t="str">
        <f t="array" ref="M70">INDEX('MTA 28-09'!T:T,MATCH(B70,'MTA 28-09'!A:A,0))</f>
        <v>CTT 096/CAE-PAMALS/2021 - CLS C-97</v>
      </c>
      <c r="N70" s="98" t="str">
        <f t="array" ref="N70">INDEX('MTA 28-09'!U:U,MATCH(B70,'MTA 28-09'!A:A,0))</f>
        <v>Parcela Fixa 03/12</v>
      </c>
      <c r="O70" s="104">
        <f t="array" ref="O70">INDEX('MTA 28-09'!AC:AC,MATCH(B70,'MTA 28-09'!A:A,0))</f>
        <v>332718.75</v>
      </c>
      <c r="P70" s="98" t="str">
        <f t="array" ref="P70">INDEX('MTA 28-09'!N:N,MATCH(B70,'MTA 28-09'!A:A,0))</f>
        <v>CELOG</v>
      </c>
      <c r="Q70" s="105" t="str">
        <f t="array" ref="Q70">INDEX('MTA 28-09'!Z:Z,MATCH(B70,'MTA 28-09'!A:A,0))</f>
        <v>339039</v>
      </c>
      <c r="R70" s="98" t="str">
        <f t="array" ref="R70">INDEX('MTA 28-09'!L:L,MATCH(B70,'MTA 28-09'!A:A,0))</f>
        <v>A</v>
      </c>
      <c r="S70" s="107" t="str">
        <f t="array" ref="S70">INDEX('MTA 28-09'!X:X,MATCH(B70,'MTA 28-09'!A:A,0))</f>
        <v>PARCELA FIXA</v>
      </c>
      <c r="T70" s="107" t="str">
        <f t="array" ref="T70">INDEX('MTA 28-09'!W:W,MATCH(B70,'MTA 28-09'!A:A,0))</f>
        <v>Não</v>
      </c>
      <c r="U70" s="109">
        <f t="array" ref="U70">INDEX('MTA 28-09'!AE:AE,MATCH(B70,'MTA 28-09'!A:A,0))</f>
        <v>46168</v>
      </c>
      <c r="V70" s="29"/>
      <c r="W70" s="29"/>
      <c r="X70" s="29"/>
      <c r="Y70" s="29"/>
      <c r="Z70" s="29"/>
      <c r="AA70" s="29"/>
      <c r="AB70" s="29"/>
      <c r="AC70" s="29"/>
      <c r="AD70" s="29"/>
      <c r="AE70" s="29"/>
      <c r="AF70" s="29"/>
      <c r="AG70" s="29"/>
      <c r="AH70" s="29"/>
      <c r="AI70" s="29"/>
      <c r="AJ70" s="29"/>
      <c r="AK70" s="29"/>
      <c r="AL70" s="29"/>
      <c r="AM70" s="29"/>
    </row>
    <row r="71">
      <c r="A71" s="31" t="s">
        <v>44</v>
      </c>
      <c r="B71" s="38">
        <v>10941.0</v>
      </c>
      <c r="C71" s="33" t="str">
        <f t="array" ref="C71">INDEX('MTA 28-09'!B:B,MATCH(B71,'MTA 28-09'!A:A,0))</f>
        <v>SIM</v>
      </c>
      <c r="D71" s="34">
        <f t="array" ref="D71">INDEX('MTA 28-09'!D:D,MATCH(B71,'MTA 28-09'!A:A,0))</f>
        <v>2048</v>
      </c>
      <c r="E71" s="32" t="str">
        <f t="array" ref="E71">INDEX('MTA 28-09'!F:F,MATCH(B71,'MTA 28-09'!A:A,0))</f>
        <v>ATENDIDO</v>
      </c>
      <c r="F71" s="137">
        <f t="array" ref="F71">INDEX('MTA 28-09'!I:I,MATCH(B71,'MTA 28-09'!A:A,0))</f>
        <v>46098</v>
      </c>
      <c r="G71" s="36" t="str">
        <f t="array" ref="G71">INDEX('MTA 28-09'!J:J,MATCH(B71,'MTA 28-09'!A:A,0))</f>
        <v>C26154</v>
      </c>
      <c r="H71" s="287" t="s">
        <v>157</v>
      </c>
      <c r="I71" s="38"/>
      <c r="J71" s="39"/>
      <c r="K71" s="40"/>
      <c r="L71" s="39" t="str">
        <f t="array" ref="L71">INDEX('MTA 28-09'!S:S,MATCH(B71,'MTA 28-09'!A:A,0))</f>
        <v>C-97</v>
      </c>
      <c r="M71" s="32" t="str">
        <f t="array" ref="M71">INDEX('MTA 28-09'!T:T,MATCH(B71,'MTA 28-09'!A:A,0))</f>
        <v>CTT 096/CAE-PAMALS/2021 - CLS C-97</v>
      </c>
      <c r="N71" s="32" t="str">
        <f t="array" ref="N71">INDEX('MTA 28-09'!U:U,MATCH(B71,'MTA 28-09'!A:A,0))</f>
        <v>Parcela Fixa 03/12</v>
      </c>
      <c r="O71" s="59">
        <f t="array" ref="O71">INDEX('MTA 28-09'!AC:AC,MATCH(B71,'MTA 28-09'!A:A,0))</f>
        <v>28040.56</v>
      </c>
      <c r="P71" s="32" t="str">
        <f t="array" ref="P71">INDEX('MTA 28-09'!N:N,MATCH(B71,'MTA 28-09'!A:A,0))</f>
        <v>CELOG</v>
      </c>
      <c r="Q71" s="67" t="str">
        <f t="array" ref="Q71">INDEX('MTA 28-09'!Z:Z,MATCH(B71,'MTA 28-09'!A:A,0))</f>
        <v>339039</v>
      </c>
      <c r="R71" s="32" t="str">
        <f t="array" ref="R71">INDEX('MTA 28-09'!L:L,MATCH(B71,'MTA 28-09'!A:A,0))</f>
        <v>A</v>
      </c>
      <c r="S71" s="72" t="str">
        <f t="array" ref="S71">INDEX('MTA 28-09'!X:X,MATCH(B71,'MTA 28-09'!A:A,0))</f>
        <v>PARCELA FIXA</v>
      </c>
      <c r="T71" s="72" t="str">
        <f t="array" ref="T71">INDEX('MTA 28-09'!W:W,MATCH(B71,'MTA 28-09'!A:A,0))</f>
        <v>Não</v>
      </c>
      <c r="U71" s="81">
        <f t="array" ref="U71">INDEX('MTA 28-09'!AE:AE,MATCH(B71,'MTA 28-09'!A:A,0))</f>
        <v>46168</v>
      </c>
      <c r="V71" s="12"/>
      <c r="W71" s="12"/>
      <c r="X71" s="12"/>
      <c r="Y71" s="12"/>
      <c r="Z71" s="12"/>
      <c r="AA71" s="12"/>
      <c r="AB71" s="12"/>
      <c r="AC71" s="12"/>
      <c r="AD71" s="12"/>
      <c r="AE71" s="12"/>
      <c r="AF71" s="12"/>
      <c r="AG71" s="12"/>
      <c r="AH71" s="12"/>
      <c r="AI71" s="12"/>
      <c r="AJ71" s="12"/>
      <c r="AK71" s="12"/>
      <c r="AL71" s="12"/>
      <c r="AM71" s="12"/>
    </row>
    <row r="72">
      <c r="A72" s="88" t="s">
        <v>39</v>
      </c>
      <c r="B72" s="98">
        <v>10960.0</v>
      </c>
      <c r="C72" s="92" t="str">
        <f t="array" ref="C72">INDEX('MTA 28-09'!B:B,MATCH(B72,'MTA 28-09'!A:A,0))</f>
        <v>SIM</v>
      </c>
      <c r="D72" s="95">
        <f t="array" ref="D72">INDEX('MTA 28-09'!D:D,MATCH(B72,'MTA 28-09'!A:A,0))</f>
        <v>2048</v>
      </c>
      <c r="E72" s="98" t="str">
        <f t="array" ref="E72">INDEX('MTA 28-09'!F:F,MATCH(B72,'MTA 28-09'!A:A,0))</f>
        <v>ATENDIDO</v>
      </c>
      <c r="F72" s="99">
        <f t="array" ref="F72">INDEX('MTA 28-09'!I:I,MATCH(B72,'MTA 28-09'!A:A,0))</f>
        <v>46118</v>
      </c>
      <c r="G72" s="100" t="str">
        <f t="array" ref="G72">INDEX('MTA 28-09'!J:J,MATCH(B72,'MTA 28-09'!A:A,0))</f>
        <v>C26192</v>
      </c>
      <c r="H72" s="101" t="s">
        <v>1398</v>
      </c>
      <c r="I72" s="90"/>
      <c r="J72" s="102"/>
      <c r="K72" s="103"/>
      <c r="L72" s="102" t="str">
        <f t="array" ref="L72">INDEX('MTA 28-09'!S:S,MATCH(B72,'MTA 28-09'!A:A,0))</f>
        <v>A-29</v>
      </c>
      <c r="M72" s="98" t="str">
        <f t="array" ref="M72">INDEX('MTA 28-09'!T:T,MATCH(B72,'MTA 28-09'!A:A,0))</f>
        <v>CNT 040/CELOG-PAMALS/2022 - AEL - CLS AVIONICO</v>
      </c>
      <c r="N72" s="98" t="str">
        <f t="array" ref="N72">INDEX('MTA 28-09'!U:U,MATCH(B72,'MTA 28-09'!A:A,0))</f>
        <v>Hora de Voo 02/10 - 1000 HV</v>
      </c>
      <c r="O72" s="104">
        <f t="array" ref="O72">INDEX('MTA 28-09'!AC:AC,MATCH(B72,'MTA 28-09'!A:A,0))</f>
        <v>853419.45</v>
      </c>
      <c r="P72" s="98" t="str">
        <f t="array" ref="P72">INDEX('MTA 28-09'!N:N,MATCH(B72,'MTA 28-09'!A:A,0))</f>
        <v>CELOG</v>
      </c>
      <c r="Q72" s="105" t="str">
        <f t="array" ref="Q72">INDEX('MTA 28-09'!Z:Z,MATCH(B72,'MTA 28-09'!A:A,0))</f>
        <v>339039</v>
      </c>
      <c r="R72" s="98" t="str">
        <f t="array" ref="R72">INDEX('MTA 28-09'!L:L,MATCH(B72,'MTA 28-09'!A:A,0))</f>
        <v>A</v>
      </c>
      <c r="S72" s="107" t="str">
        <f t="array" ref="S72">INDEX('MTA 28-09'!X:X,MATCH(B72,'MTA 28-09'!A:A,0))</f>
        <v>HORA DE VOO</v>
      </c>
      <c r="T72" s="107" t="str">
        <f t="array" ref="T72">INDEX('MTA 28-09'!W:W,MATCH(B72,'MTA 28-09'!A:A,0))</f>
        <v>Não</v>
      </c>
      <c r="U72" s="109">
        <f t="array" ref="U72">INDEX('MTA 28-09'!AE:AE,MATCH(B72,'MTA 28-09'!A:A,0))</f>
        <v>46168</v>
      </c>
      <c r="V72" s="29"/>
      <c r="W72" s="29"/>
      <c r="X72" s="29"/>
      <c r="Y72" s="29"/>
      <c r="Z72" s="29"/>
      <c r="AA72" s="29"/>
      <c r="AB72" s="29"/>
      <c r="AC72" s="29"/>
      <c r="AD72" s="29"/>
      <c r="AE72" s="29"/>
      <c r="AF72" s="29"/>
      <c r="AG72" s="29"/>
      <c r="AH72" s="29"/>
      <c r="AI72" s="29"/>
      <c r="AJ72" s="29"/>
      <c r="AK72" s="29"/>
      <c r="AL72" s="29"/>
      <c r="AM72" s="29"/>
    </row>
    <row r="73">
      <c r="A73" s="31" t="s">
        <v>43</v>
      </c>
      <c r="B73" s="32">
        <v>10980.0</v>
      </c>
      <c r="C73" s="33" t="str">
        <f t="array" ref="C73">INDEX('MTA 28-09'!B:B,MATCH(B73,'MTA 28-09'!A:A,0))</f>
        <v>SIM</v>
      </c>
      <c r="D73" s="34">
        <f t="array" ref="D73">INDEX('MTA 28-09'!D:D,MATCH(B73,'MTA 28-09'!A:A,0))</f>
        <v>2048</v>
      </c>
      <c r="E73" s="32" t="str">
        <f t="array" ref="E73">INDEX('MTA 28-09'!F:F,MATCH(B73,'MTA 28-09'!A:A,0))</f>
        <v>ATENDIDO</v>
      </c>
      <c r="F73" s="35">
        <f t="array" ref="F73">INDEX('MTA 28-09'!I:I,MATCH(B73,'MTA 28-09'!A:A,0))</f>
        <v>46098</v>
      </c>
      <c r="G73" s="36" t="str">
        <f t="array" ref="G73">INDEX('MTA 28-09'!J:J,MATCH(B73,'MTA 28-09'!A:A,0))</f>
        <v>C26157</v>
      </c>
      <c r="H73" s="37">
        <v>1.0</v>
      </c>
      <c r="I73" s="38"/>
      <c r="J73" s="39"/>
      <c r="K73" s="40"/>
      <c r="L73" s="39" t="str">
        <f t="array" ref="L73">INDEX('MTA 28-09'!S:S,MATCH(B73,'MTA 28-09'!A:A,0))</f>
        <v>C-95M</v>
      </c>
      <c r="M73" s="32" t="str">
        <f t="array" ref="M73">INDEX('MTA 28-09'!T:T,MATCH(B73,'MTA 28-09'!A:A,0))</f>
        <v>CTT 028/CELOG-PAMALS/2025 – CLS AVIÔNICOS</v>
      </c>
      <c r="N73" s="32" t="str">
        <f t="array" ref="N73">INDEX('MTA 28-09'!U:U,MATCH(B73,'MTA 28-09'!A:A,0))</f>
        <v>Hora de Voo 02/09 - 1000 HV</v>
      </c>
      <c r="O73" s="59">
        <f t="array" ref="O73">INDEX('MTA 28-09'!AC:AC,MATCH(B73,'MTA 28-09'!A:A,0))</f>
        <v>635270.89</v>
      </c>
      <c r="P73" s="32" t="str">
        <f t="array" ref="P73">INDEX('MTA 28-09'!N:N,MATCH(B73,'MTA 28-09'!A:A,0))</f>
        <v>CELOG</v>
      </c>
      <c r="Q73" s="67" t="str">
        <f t="array" ref="Q73">INDEX('MTA 28-09'!Z:Z,MATCH(B73,'MTA 28-09'!A:A,0))</f>
        <v>339039</v>
      </c>
      <c r="R73" s="32" t="str">
        <f t="array" ref="R73">INDEX('MTA 28-09'!L:L,MATCH(B73,'MTA 28-09'!A:A,0))</f>
        <v>A</v>
      </c>
      <c r="S73" s="72" t="str">
        <f t="array" ref="S73">INDEX('MTA 28-09'!X:X,MATCH(B73,'MTA 28-09'!A:A,0))</f>
        <v>HORA DE VOO</v>
      </c>
      <c r="T73" s="72" t="str">
        <f t="array" ref="T73">INDEX('MTA 28-09'!W:W,MATCH(B73,'MTA 28-09'!A:A,0))</f>
        <v>Não</v>
      </c>
      <c r="U73" s="81">
        <f t="array" ref="U73">INDEX('MTA 28-09'!AE:AE,MATCH(B73,'MTA 28-09'!A:A,0))</f>
        <v>46168</v>
      </c>
      <c r="V73" s="12"/>
      <c r="W73" s="12"/>
      <c r="X73" s="12"/>
      <c r="Y73" s="12"/>
      <c r="Z73" s="12"/>
      <c r="AA73" s="12"/>
      <c r="AB73" s="12"/>
      <c r="AC73" s="12"/>
      <c r="AD73" s="12"/>
      <c r="AE73" s="12"/>
      <c r="AF73" s="12"/>
      <c r="AG73" s="12"/>
      <c r="AH73" s="12"/>
      <c r="AI73" s="12"/>
      <c r="AJ73" s="12"/>
      <c r="AK73" s="12"/>
      <c r="AL73" s="12"/>
      <c r="AM73" s="12"/>
    </row>
    <row r="74">
      <c r="A74" s="88" t="s">
        <v>44</v>
      </c>
      <c r="B74" s="98">
        <v>11000.0</v>
      </c>
      <c r="C74" s="92" t="str">
        <f t="array" ref="C74">INDEX('MTA 28-09'!B:B,MATCH(B74,'MTA 28-09'!A:A,0))</f>
        <v>SIM</v>
      </c>
      <c r="D74" s="95">
        <f t="array" ref="D74">INDEX('MTA 28-09'!D:D,MATCH(B74,'MTA 28-09'!A:A,0))</f>
        <v>2048</v>
      </c>
      <c r="E74" s="98" t="str">
        <f t="array" ref="E74">INDEX('MTA 28-09'!F:F,MATCH(B74,'MTA 28-09'!A:A,0))</f>
        <v>ATENDIDO</v>
      </c>
      <c r="F74" s="99">
        <f t="array" ref="F74">INDEX('MTA 28-09'!I:I,MATCH(B74,'MTA 28-09'!A:A,0))</f>
        <v>46098</v>
      </c>
      <c r="G74" s="100" t="str">
        <f t="array" ref="G74">INDEX('MTA 28-09'!J:J,MATCH(B74,'MTA 28-09'!A:A,0))</f>
        <v>C26154</v>
      </c>
      <c r="H74" s="101">
        <v>1.0</v>
      </c>
      <c r="I74" s="90"/>
      <c r="J74" s="102"/>
      <c r="K74" s="103"/>
      <c r="L74" s="102" t="str">
        <f t="array" ref="L74">INDEX('MTA 28-09'!S:S,MATCH(B74,'MTA 28-09'!A:A,0))</f>
        <v>C-97</v>
      </c>
      <c r="M74" s="98" t="str">
        <f t="array" ref="M74">INDEX('MTA 28-09'!T:T,MATCH(B74,'MTA 28-09'!A:A,0))</f>
        <v>CTT 096/CAE-PAMALS/2021 - CLS C-97</v>
      </c>
      <c r="N74" s="98" t="str">
        <f t="array" ref="N74">INDEX('MTA 28-09'!U:U,MATCH(B74,'MTA 28-09'!A:A,0))</f>
        <v>Hora de Voo 02/09 (500HV)</v>
      </c>
      <c r="O74" s="104">
        <f t="array" ref="O74">INDEX('MTA 28-09'!AC:AC,MATCH(B74,'MTA 28-09'!A:A,0))</f>
        <v>2572500</v>
      </c>
      <c r="P74" s="98" t="str">
        <f t="array" ref="P74">INDEX('MTA 28-09'!N:N,MATCH(B74,'MTA 28-09'!A:A,0))</f>
        <v>CELOG</v>
      </c>
      <c r="Q74" s="105" t="str">
        <f t="array" ref="Q74">INDEX('MTA 28-09'!Z:Z,MATCH(B74,'MTA 28-09'!A:A,0))</f>
        <v>339039</v>
      </c>
      <c r="R74" s="98" t="str">
        <f t="array" ref="R74">INDEX('MTA 28-09'!L:L,MATCH(B74,'MTA 28-09'!A:A,0))</f>
        <v>A</v>
      </c>
      <c r="S74" s="107" t="str">
        <f t="array" ref="S74">INDEX('MTA 28-09'!X:X,MATCH(B74,'MTA 28-09'!A:A,0))</f>
        <v>HORA DE VOO</v>
      </c>
      <c r="T74" s="107" t="str">
        <f t="array" ref="T74">INDEX('MTA 28-09'!W:W,MATCH(B74,'MTA 28-09'!A:A,0))</f>
        <v>Não</v>
      </c>
      <c r="U74" s="109">
        <f t="array" ref="U74">INDEX('MTA 28-09'!AE:AE,MATCH(B74,'MTA 28-09'!A:A,0))</f>
        <v>46168</v>
      </c>
      <c r="V74" s="29"/>
      <c r="W74" s="29"/>
      <c r="X74" s="29"/>
      <c r="Y74" s="29"/>
      <c r="Z74" s="29"/>
      <c r="AA74" s="29"/>
      <c r="AB74" s="29"/>
      <c r="AC74" s="29"/>
      <c r="AD74" s="29"/>
      <c r="AE74" s="29"/>
      <c r="AF74" s="29"/>
      <c r="AG74" s="29"/>
      <c r="AH74" s="29"/>
      <c r="AI74" s="29"/>
      <c r="AJ74" s="29"/>
      <c r="AK74" s="29"/>
      <c r="AL74" s="29"/>
      <c r="AM74" s="29"/>
    </row>
    <row r="75">
      <c r="A75" s="31" t="s">
        <v>49</v>
      </c>
      <c r="B75" s="32">
        <v>11020.0</v>
      </c>
      <c r="C75" s="33" t="str">
        <f t="array" ref="C75">INDEX('MTA 28-09'!B:B,MATCH(B75,'MTA 28-09'!A:A,0))</f>
        <v>SIM</v>
      </c>
      <c r="D75" s="34" t="str">
        <f t="array" ref="D75">INDEX('MTA 28-09'!D:D,MATCH(B75,'MTA 28-09'!A:A,0))</f>
        <v>20XV</v>
      </c>
      <c r="E75" s="32" t="str">
        <f t="array" ref="E75">INDEX('MTA 28-09'!F:F,MATCH(B75,'MTA 28-09'!A:A,0))</f>
        <v>ATENDIDO</v>
      </c>
      <c r="F75" s="137">
        <f t="array" ref="F75">INDEX('MTA 28-09'!I:I,MATCH(B75,'MTA 28-09'!A:A,0))</f>
        <v>46065</v>
      </c>
      <c r="G75" s="36" t="str">
        <f t="array" ref="G75">INDEX('MTA 28-09'!J:J,MATCH(B75,'MTA 28-09'!A:A,0))</f>
        <v>C26088</v>
      </c>
      <c r="H75" s="37">
        <v>1.0</v>
      </c>
      <c r="I75" s="38"/>
      <c r="J75" s="39"/>
      <c r="K75" s="40"/>
      <c r="L75" s="39" t="str">
        <f t="array" ref="L75">INDEX('MTA 28-09'!S:S,MATCH(B75,'MTA 28-09'!A:A,0))</f>
        <v>IU-93M</v>
      </c>
      <c r="M75" s="32" t="str">
        <f t="array" ref="M75">INDEX('MTA 28-09'!T:T,MATCH(B75,'MTA 28-09'!A:A,0))</f>
        <v>CNT 024/CELOG-PAMALS/2022 - VEE ONE</v>
      </c>
      <c r="N75" s="32" t="str">
        <f t="array" ref="N75">INDEX('MTA 28-09'!U:U,MATCH(B75,'MTA 28-09'!A:A,0))</f>
        <v>Hora de Voo 03/12 (100HV)</v>
      </c>
      <c r="O75" s="59">
        <f t="array" ref="O75">INDEX('MTA 28-09'!AC:AC,MATCH(B75,'MTA 28-09'!A:A,0))</f>
        <v>2303463</v>
      </c>
      <c r="P75" s="32" t="str">
        <f t="array" ref="P75">INDEX('MTA 28-09'!N:N,MATCH(B75,'MTA 28-09'!A:A,0))</f>
        <v>CELOG</v>
      </c>
      <c r="Q75" s="67" t="str">
        <f t="array" ref="Q75">INDEX('MTA 28-09'!Z:Z,MATCH(B75,'MTA 28-09'!A:A,0))</f>
        <v>339039</v>
      </c>
      <c r="R75" s="32" t="str">
        <f t="array" ref="R75">INDEX('MTA 28-09'!L:L,MATCH(B75,'MTA 28-09'!A:A,0))</f>
        <v>A</v>
      </c>
      <c r="S75" s="72" t="str">
        <f t="array" ref="S75">INDEX('MTA 28-09'!X:X,MATCH(B75,'MTA 28-09'!A:A,0))</f>
        <v>HORA DE VOO</v>
      </c>
      <c r="T75" s="72" t="str">
        <f t="array" ref="T75">INDEX('MTA 28-09'!W:W,MATCH(B75,'MTA 28-09'!A:A,0))</f>
        <v>Não</v>
      </c>
      <c r="U75" s="81">
        <f t="array" ref="U75">INDEX('MTA 28-09'!AE:AE,MATCH(B75,'MTA 28-09'!A:A,0))</f>
        <v>46168</v>
      </c>
      <c r="V75" s="12"/>
      <c r="W75" s="12"/>
      <c r="X75" s="12"/>
      <c r="Y75" s="12"/>
      <c r="Z75" s="12"/>
      <c r="AA75" s="12"/>
      <c r="AB75" s="12"/>
      <c r="AC75" s="12"/>
      <c r="AD75" s="12"/>
      <c r="AE75" s="12"/>
      <c r="AF75" s="12"/>
      <c r="AG75" s="12"/>
      <c r="AH75" s="12"/>
      <c r="AI75" s="12"/>
      <c r="AJ75" s="12"/>
      <c r="AK75" s="12"/>
      <c r="AL75" s="12"/>
      <c r="AM75" s="12"/>
    </row>
    <row r="76">
      <c r="A76" s="88" t="s">
        <v>47</v>
      </c>
      <c r="B76" s="98">
        <v>11040.0</v>
      </c>
      <c r="C76" s="92" t="str">
        <f t="array" ref="C76">INDEX('MTA 28-09'!B:B,MATCH(B76,'MTA 28-09'!A:A,0))</f>
        <v>SIM</v>
      </c>
      <c r="D76" s="95">
        <f t="array" ref="D76">INDEX('MTA 28-09'!D:D,MATCH(B76,'MTA 28-09'!A:A,0))</f>
        <v>2048</v>
      </c>
      <c r="E76" s="98" t="str">
        <f t="array" ref="E76">INDEX('MTA 28-09'!F:F,MATCH(B76,'MTA 28-09'!A:A,0))</f>
        <v>ATENDIDO</v>
      </c>
      <c r="F76" s="99">
        <f t="array" ref="F76">INDEX('MTA 28-09'!I:I,MATCH(B76,'MTA 28-09'!A:A,0))</f>
        <v>46224</v>
      </c>
      <c r="G76" s="100" t="str">
        <f t="array" ref="G76">INDEX('MTA 28-09'!J:J,MATCH(B76,'MTA 28-09'!A:A,0))</f>
        <v>C26156</v>
      </c>
      <c r="H76" s="101" t="s">
        <v>1451</v>
      </c>
      <c r="I76" s="90"/>
      <c r="J76" s="102"/>
      <c r="K76" s="103"/>
      <c r="L76" s="102" t="str">
        <f t="array" ref="L76">INDEX('MTA 28-09'!S:S,MATCH(B76,'MTA 28-09'!A:A,0))</f>
        <v>T-25</v>
      </c>
      <c r="M76" s="98" t="str">
        <f t="array" ref="M76">INDEX('MTA 28-09'!T:T,MATCH(B76,'MTA 28-09'!A:A,0))</f>
        <v>Requisição FMS</v>
      </c>
      <c r="N76" s="98" t="str">
        <f t="array" ref="N76">INDEX('MTA 28-09'!U:U,MATCH(B76,'MTA 28-09'!A:A,0))</f>
        <v>Requisições Consumíveis 1/4</v>
      </c>
      <c r="O76" s="104">
        <f t="array" ref="O76">INDEX('MTA 28-09'!AC:AC,MATCH(B76,'MTA 28-09'!A:A,0))</f>
        <v>272054</v>
      </c>
      <c r="P76" s="98" t="str">
        <f t="array" ref="P76">INDEX('MTA 28-09'!N:N,MATCH(B76,'MTA 28-09'!A:A,0))</f>
        <v>CABW</v>
      </c>
      <c r="Q76" s="105" t="str">
        <f t="array" ref="Q76">INDEX('MTA 28-09'!Z:Z,MATCH(B76,'MTA 28-09'!A:A,0))</f>
        <v>339030</v>
      </c>
      <c r="R76" s="98" t="str">
        <f t="array" ref="R76">INDEX('MTA 28-09'!L:L,MATCH(B76,'MTA 28-09'!A:A,0))</f>
        <v>A</v>
      </c>
      <c r="S76" s="107" t="str">
        <f t="array" ref="S76">INDEX('MTA 28-09'!X:X,MATCH(B76,'MTA 28-09'!A:A,0))</f>
        <v>REQUISIÇÃO</v>
      </c>
      <c r="T76" s="107" t="str">
        <f t="array" ref="T76">INDEX('MTA 28-09'!W:W,MATCH(B76,'MTA 28-09'!A:A,0))</f>
        <v>Não</v>
      </c>
      <c r="U76" s="109">
        <f t="array" ref="U76">INDEX('MTA 28-09'!AE:AE,MATCH(B76,'MTA 28-09'!A:A,0))</f>
        <v>46291</v>
      </c>
      <c r="V76" s="29"/>
      <c r="W76" s="29"/>
      <c r="X76" s="29"/>
      <c r="Y76" s="29"/>
      <c r="Z76" s="29"/>
      <c r="AA76" s="29"/>
      <c r="AB76" s="29"/>
      <c r="AC76" s="29"/>
      <c r="AD76" s="29"/>
      <c r="AE76" s="29"/>
      <c r="AF76" s="29"/>
      <c r="AG76" s="29"/>
      <c r="AH76" s="29"/>
      <c r="AI76" s="29"/>
      <c r="AJ76" s="29"/>
      <c r="AK76" s="29"/>
      <c r="AL76" s="29"/>
      <c r="AM76" s="29"/>
    </row>
    <row r="77">
      <c r="A77" s="31" t="s">
        <v>47</v>
      </c>
      <c r="B77" s="32">
        <v>11060.0</v>
      </c>
      <c r="C77" s="33" t="str">
        <f t="array" ref="C77">INDEX('MTA 28-09'!B:B,MATCH(B77,'MTA 28-09'!A:A,0))</f>
        <v>SIM</v>
      </c>
      <c r="D77" s="34">
        <f t="array" ref="D77">INDEX('MTA 28-09'!D:D,MATCH(B77,'MTA 28-09'!A:A,0))</f>
        <v>2048</v>
      </c>
      <c r="E77" s="32" t="str">
        <f t="array" ref="E77">INDEX('MTA 28-09'!F:F,MATCH(B77,'MTA 28-09'!A:A,0))</f>
        <v>ATENDIDO</v>
      </c>
      <c r="F77" s="35">
        <f t="array" ref="F77">INDEX('MTA 28-09'!I:I,MATCH(B77,'MTA 28-09'!A:A,0))</f>
        <v>46213</v>
      </c>
      <c r="G77" s="36" t="str">
        <f t="array" ref="G77">INDEX('MTA 28-09'!J:J,MATCH(B77,'MTA 28-09'!A:A,0))</f>
        <v>C26156</v>
      </c>
      <c r="H77" s="37" t="s">
        <v>1451</v>
      </c>
      <c r="I77" s="38"/>
      <c r="J77" s="39"/>
      <c r="K77" s="40"/>
      <c r="L77" s="39" t="str">
        <f t="array" ref="L77">INDEX('MTA 28-09'!S:S,MATCH(B77,'MTA 28-09'!A:A,0))</f>
        <v>T-25</v>
      </c>
      <c r="M77" s="32" t="str">
        <f t="array" ref="M77">INDEX('MTA 28-09'!T:T,MATCH(B77,'MTA 28-09'!A:A,0))</f>
        <v>Requisição CABW</v>
      </c>
      <c r="N77" s="32" t="str">
        <f t="array" ref="N77">INDEX('MTA 28-09'!U:U,MATCH(B77,'MTA 28-09'!A:A,0))</f>
        <v>Requisições Consumíveis 1/4</v>
      </c>
      <c r="O77" s="59">
        <f t="array" ref="O77">INDEX('MTA 28-09'!AC:AC,MATCH(B77,'MTA 28-09'!A:A,0))</f>
        <v>403533.01</v>
      </c>
      <c r="P77" s="32" t="str">
        <f t="array" ref="P77">INDEX('MTA 28-09'!N:N,MATCH(B77,'MTA 28-09'!A:A,0))</f>
        <v>CABW</v>
      </c>
      <c r="Q77" s="67" t="str">
        <f t="array" ref="Q77">INDEX('MTA 28-09'!Z:Z,MATCH(B77,'MTA 28-09'!A:A,0))</f>
        <v>339030</v>
      </c>
      <c r="R77" s="32" t="str">
        <f t="array" ref="R77">INDEX('MTA 28-09'!L:L,MATCH(B77,'MTA 28-09'!A:A,0))</f>
        <v>A</v>
      </c>
      <c r="S77" s="72" t="str">
        <f t="array" ref="S77">INDEX('MTA 28-09'!X:X,MATCH(B77,'MTA 28-09'!A:A,0))</f>
        <v>REQUISIÇÃO</v>
      </c>
      <c r="T77" s="72" t="str">
        <f t="array" ref="T77">INDEX('MTA 28-09'!W:W,MATCH(B77,'MTA 28-09'!A:A,0))</f>
        <v>Não</v>
      </c>
      <c r="U77" s="81">
        <f t="array" ref="U77">INDEX('MTA 28-09'!AE:AE,MATCH(B77,'MTA 28-09'!A:A,0))</f>
        <v>46352</v>
      </c>
      <c r="V77" s="12"/>
      <c r="W77" s="12"/>
      <c r="X77" s="12"/>
      <c r="Y77" s="12"/>
      <c r="Z77" s="12"/>
      <c r="AA77" s="12"/>
      <c r="AB77" s="12"/>
      <c r="AC77" s="12"/>
      <c r="AD77" s="12"/>
      <c r="AE77" s="12"/>
      <c r="AF77" s="12"/>
      <c r="AG77" s="12"/>
      <c r="AH77" s="12"/>
      <c r="AI77" s="12"/>
      <c r="AJ77" s="12"/>
      <c r="AK77" s="12"/>
      <c r="AL77" s="12"/>
      <c r="AM77" s="12"/>
    </row>
    <row r="78">
      <c r="A78" s="88" t="s">
        <v>47</v>
      </c>
      <c r="B78" s="98">
        <v>11061.0</v>
      </c>
      <c r="C78" s="92" t="str">
        <f t="array" ref="C78">INDEX('MTA 28-09'!B:B,MATCH(B78,'MTA 28-09'!A:A,0))</f>
        <v>SIM</v>
      </c>
      <c r="D78" s="95">
        <f t="array" ref="D78">INDEX('MTA 28-09'!D:D,MATCH(B78,'MTA 28-09'!A:A,0))</f>
        <v>2048</v>
      </c>
      <c r="E78" s="98" t="str">
        <f t="array" ref="E78">INDEX('MTA 28-09'!F:F,MATCH(B78,'MTA 28-09'!A:A,0))</f>
        <v>ATENDIDO</v>
      </c>
      <c r="F78" s="99">
        <f t="array" ref="F78">INDEX('MTA 28-09'!I:I,MATCH(B78,'MTA 28-09'!A:A,0))</f>
        <v>46055</v>
      </c>
      <c r="G78" s="100" t="str">
        <f t="array" ref="G78">INDEX('MTA 28-09'!J:J,MATCH(B78,'MTA 28-09'!A:A,0))</f>
        <v>C26010</v>
      </c>
      <c r="H78" s="101">
        <v>1.0</v>
      </c>
      <c r="I78" s="90"/>
      <c r="J78" s="102"/>
      <c r="K78" s="103"/>
      <c r="L78" s="102" t="str">
        <f t="array" ref="L78">INDEX('MTA 28-09'!S:S,MATCH(B78,'MTA 28-09'!A:A,0))</f>
        <v>T-25</v>
      </c>
      <c r="M78" s="98" t="str">
        <f t="array" ref="M78">INDEX('MTA 28-09'!T:T,MATCH(B78,'MTA 28-09'!A:A,0))</f>
        <v>Requisição CABW</v>
      </c>
      <c r="N78" s="98" t="str">
        <f t="array" ref="N78">INDEX('MTA 28-09'!U:U,MATCH(B78,'MTA 28-09'!A:A,0))</f>
        <v>Requisições Consumíveis 1/4</v>
      </c>
      <c r="O78" s="104">
        <f t="array" ref="O78">INDEX('MTA 28-09'!AC:AC,MATCH(B78,'MTA 28-09'!A:A,0))</f>
        <v>1300000</v>
      </c>
      <c r="P78" s="98" t="str">
        <f t="array" ref="P78">INDEX('MTA 28-09'!N:N,MATCH(B78,'MTA 28-09'!A:A,0))</f>
        <v>CABW</v>
      </c>
      <c r="Q78" s="105" t="str">
        <f t="array" ref="Q78">INDEX('MTA 28-09'!Z:Z,MATCH(B78,'MTA 28-09'!A:A,0))</f>
        <v>339030</v>
      </c>
      <c r="R78" s="98" t="str">
        <f t="array" ref="R78">INDEX('MTA 28-09'!L:L,MATCH(B78,'MTA 28-09'!A:A,0))</f>
        <v>A</v>
      </c>
      <c r="S78" s="107" t="str">
        <f t="array" ref="S78">INDEX('MTA 28-09'!X:X,MATCH(B78,'MTA 28-09'!A:A,0))</f>
        <v>REQUISIÇÃO</v>
      </c>
      <c r="T78" s="107" t="str">
        <f t="array" ref="T78">INDEX('MTA 28-09'!W:W,MATCH(B78,'MTA 28-09'!A:A,0))</f>
        <v>Não</v>
      </c>
      <c r="U78" s="109">
        <f t="array" ref="U78">INDEX('MTA 28-09'!AE:AE,MATCH(B78,'MTA 28-09'!A:A,0))</f>
        <v>46107</v>
      </c>
      <c r="V78" s="29"/>
      <c r="W78" s="29"/>
      <c r="X78" s="29"/>
      <c r="Y78" s="29"/>
      <c r="Z78" s="29"/>
      <c r="AA78" s="29"/>
      <c r="AB78" s="29"/>
      <c r="AC78" s="29"/>
      <c r="AD78" s="29"/>
      <c r="AE78" s="29"/>
      <c r="AF78" s="29"/>
      <c r="AG78" s="29"/>
      <c r="AH78" s="29"/>
      <c r="AI78" s="29"/>
      <c r="AJ78" s="29"/>
      <c r="AK78" s="29"/>
      <c r="AL78" s="29"/>
      <c r="AM78" s="29"/>
    </row>
    <row r="79">
      <c r="A79" s="31" t="s">
        <v>47</v>
      </c>
      <c r="B79" s="38">
        <v>11062.0</v>
      </c>
      <c r="C79" s="33" t="str">
        <f t="array" ref="C79">INDEX('MTA 28-09'!B:B,MATCH(B79,'MTA 28-09'!A:A,0))</f>
        <v>SIM</v>
      </c>
      <c r="D79" s="34">
        <f t="array" ref="D79">INDEX('MTA 28-09'!D:D,MATCH(B79,'MTA 28-09'!A:A,0))</f>
        <v>2048</v>
      </c>
      <c r="E79" s="32" t="str">
        <f t="array" ref="E79">INDEX('MTA 28-09'!F:F,MATCH(B79,'MTA 28-09'!A:A,0))</f>
        <v>ATENDIDO</v>
      </c>
      <c r="F79" s="137">
        <f t="array" ref="F79">INDEX('MTA 28-09'!I:I,MATCH(B79,'MTA 28-09'!A:A,0))</f>
        <v>46118</v>
      </c>
      <c r="G79" s="36" t="str">
        <f t="array" ref="G79">INDEX('MTA 28-09'!J:J,MATCH(B79,'MTA 28-09'!A:A,0))</f>
        <v>C26075</v>
      </c>
      <c r="H79" s="37" t="s">
        <v>1398</v>
      </c>
      <c r="I79" s="38"/>
      <c r="J79" s="39"/>
      <c r="K79" s="40"/>
      <c r="L79" s="39" t="str">
        <f t="array" ref="L79">INDEX('MTA 28-09'!S:S,MATCH(B79,'MTA 28-09'!A:A,0))</f>
        <v>T-25</v>
      </c>
      <c r="M79" s="32" t="str">
        <f t="array" ref="M79">INDEX('MTA 28-09'!T:T,MATCH(B79,'MTA 28-09'!A:A,0))</f>
        <v>Requisição CABW</v>
      </c>
      <c r="N79" s="32" t="str">
        <f t="array" ref="N79">INDEX('MTA 28-09'!U:U,MATCH(B79,'MTA 28-09'!A:A,0))</f>
        <v>Requisições Consumíveis 1/4</v>
      </c>
      <c r="O79" s="59">
        <f t="array" ref="O79">INDEX('MTA 28-09'!AC:AC,MATCH(B79,'MTA 28-09'!A:A,0))</f>
        <v>119775.39</v>
      </c>
      <c r="P79" s="32" t="str">
        <f t="array" ref="P79">INDEX('MTA 28-09'!N:N,MATCH(B79,'MTA 28-09'!A:A,0))</f>
        <v>CABW</v>
      </c>
      <c r="Q79" s="67" t="str">
        <f t="array" ref="Q79">INDEX('MTA 28-09'!Z:Z,MATCH(B79,'MTA 28-09'!A:A,0))</f>
        <v>339030</v>
      </c>
      <c r="R79" s="32" t="str">
        <f t="array" ref="R79">INDEX('MTA 28-09'!L:L,MATCH(B79,'MTA 28-09'!A:A,0))</f>
        <v>A</v>
      </c>
      <c r="S79" s="72" t="str">
        <f t="array" ref="S79">INDEX('MTA 28-09'!X:X,MATCH(B79,'MTA 28-09'!A:A,0))</f>
        <v>REQUISIÇÃO</v>
      </c>
      <c r="T79" s="72" t="str">
        <f t="array" ref="T79">INDEX('MTA 28-09'!W:W,MATCH(B79,'MTA 28-09'!A:A,0))</f>
        <v>Não</v>
      </c>
      <c r="U79" s="81">
        <f t="array" ref="U79">INDEX('MTA 28-09'!AE:AE,MATCH(B79,'MTA 28-09'!A:A,0))</f>
        <v>46168</v>
      </c>
      <c r="V79" s="12"/>
      <c r="W79" s="12"/>
      <c r="X79" s="12"/>
      <c r="Y79" s="12"/>
      <c r="Z79" s="12"/>
      <c r="AA79" s="12"/>
      <c r="AB79" s="12"/>
      <c r="AC79" s="12"/>
      <c r="AD79" s="12"/>
      <c r="AE79" s="12"/>
      <c r="AF79" s="12"/>
      <c r="AG79" s="12"/>
      <c r="AH79" s="12"/>
      <c r="AI79" s="12"/>
      <c r="AJ79" s="12"/>
      <c r="AK79" s="12"/>
      <c r="AL79" s="12"/>
      <c r="AM79" s="12"/>
    </row>
    <row r="80">
      <c r="A80" s="88" t="s">
        <v>47</v>
      </c>
      <c r="B80" s="90">
        <v>11063.0</v>
      </c>
      <c r="C80" s="92" t="str">
        <f t="array" ref="C80">INDEX('MTA 28-09'!B:B,MATCH(B80,'MTA 28-09'!A:A,0))</f>
        <v>SIM</v>
      </c>
      <c r="D80" s="95">
        <f t="array" ref="D80">INDEX('MTA 28-09'!D:D,MATCH(B80,'MTA 28-09'!A:A,0))</f>
        <v>2048</v>
      </c>
      <c r="E80" s="98" t="str">
        <f t="array" ref="E80">INDEX('MTA 28-09'!F:F,MATCH(B80,'MTA 28-09'!A:A,0))</f>
        <v>ATENDIDO</v>
      </c>
      <c r="F80" s="99">
        <f t="array" ref="F80">INDEX('MTA 28-09'!I:I,MATCH(B80,'MTA 28-09'!A:A,0))</f>
        <v>46192</v>
      </c>
      <c r="G80" s="100" t="str">
        <f t="array" ref="G80">INDEX('MTA 28-09'!J:J,MATCH(B80,'MTA 28-09'!A:A,0))</f>
        <v>C26124</v>
      </c>
      <c r="H80" s="372" t="s">
        <v>1466</v>
      </c>
      <c r="I80" s="90"/>
      <c r="J80" s="102"/>
      <c r="K80" s="103"/>
      <c r="L80" s="102" t="str">
        <f t="array" ref="L80">INDEX('MTA 28-09'!S:S,MATCH(B80,'MTA 28-09'!A:A,0))</f>
        <v>T-25</v>
      </c>
      <c r="M80" s="98" t="str">
        <f t="array" ref="M80">INDEX('MTA 28-09'!T:T,MATCH(B80,'MTA 28-09'!A:A,0))</f>
        <v>Requisição CABW</v>
      </c>
      <c r="N80" s="98" t="str">
        <f t="array" ref="N80">INDEX('MTA 28-09'!U:U,MATCH(B80,'MTA 28-09'!A:A,0))</f>
        <v>Requisições Consumíveis 1/4</v>
      </c>
      <c r="O80" s="104">
        <f t="array" ref="O80">INDEX('MTA 28-09'!AC:AC,MATCH(B80,'MTA 28-09'!A:A,0))</f>
        <v>670330</v>
      </c>
      <c r="P80" s="98" t="str">
        <f t="array" ref="P80">INDEX('MTA 28-09'!N:N,MATCH(B80,'MTA 28-09'!A:A,0))</f>
        <v>CABW</v>
      </c>
      <c r="Q80" s="105" t="str">
        <f t="array" ref="Q80">INDEX('MTA 28-09'!Z:Z,MATCH(B80,'MTA 28-09'!A:A,0))</f>
        <v>339030</v>
      </c>
      <c r="R80" s="98" t="str">
        <f t="array" ref="R80">INDEX('MTA 28-09'!L:L,MATCH(B80,'MTA 28-09'!A:A,0))</f>
        <v>A</v>
      </c>
      <c r="S80" s="107" t="str">
        <f t="array" ref="S80">INDEX('MTA 28-09'!X:X,MATCH(B80,'MTA 28-09'!A:A,0))</f>
        <v>REQUISIÇÃO</v>
      </c>
      <c r="T80" s="107" t="str">
        <f t="array" ref="T80">INDEX('MTA 28-09'!W:W,MATCH(B80,'MTA 28-09'!A:A,0))</f>
        <v>Não</v>
      </c>
      <c r="U80" s="109">
        <f t="array" ref="U80">INDEX('MTA 28-09'!AE:AE,MATCH(B80,'MTA 28-09'!A:A,0))</f>
        <v>46260</v>
      </c>
      <c r="V80" s="29"/>
      <c r="W80" s="29"/>
      <c r="X80" s="29"/>
      <c r="Y80" s="29"/>
      <c r="Z80" s="29"/>
      <c r="AA80" s="29"/>
      <c r="AB80" s="29"/>
      <c r="AC80" s="29"/>
      <c r="AD80" s="29"/>
      <c r="AE80" s="29"/>
      <c r="AF80" s="29"/>
      <c r="AG80" s="29"/>
      <c r="AH80" s="29"/>
      <c r="AI80" s="29"/>
      <c r="AJ80" s="29"/>
      <c r="AK80" s="29"/>
      <c r="AL80" s="29"/>
      <c r="AM80" s="29"/>
    </row>
    <row r="81">
      <c r="A81" s="31" t="s">
        <v>47</v>
      </c>
      <c r="B81" s="32">
        <v>11080.0</v>
      </c>
      <c r="C81" s="33" t="str">
        <f t="array" ref="C81">INDEX('MTA 28-09'!B:B,MATCH(B81,'MTA 28-09'!A:A,0))</f>
        <v>NÃO</v>
      </c>
      <c r="D81" s="34" t="str">
        <f t="array" ref="D81">INDEX('MTA 28-09'!D:D,MATCH(B81,'MTA 28-09'!A:A,0))</f>
        <v/>
      </c>
      <c r="E81" s="32" t="str">
        <f t="array" ref="E81">INDEX('MTA 28-09'!F:F,MATCH(B81,'MTA 28-09'!A:A,0))</f>
        <v>BLOQUEIO</v>
      </c>
      <c r="F81" s="137" t="str">
        <f t="array" ref="F81">INDEX('MTA 28-09'!I:I,MATCH(B81,'MTA 28-09'!A:A,0))</f>
        <v/>
      </c>
      <c r="G81" s="36" t="str">
        <f t="array" ref="G81">INDEX('MTA 28-09'!J:J,MATCH(B81,'MTA 28-09'!A:A,0))</f>
        <v/>
      </c>
      <c r="H81" s="287" t="s">
        <v>157</v>
      </c>
      <c r="I81" s="295"/>
      <c r="J81" s="39"/>
      <c r="K81" s="40"/>
      <c r="L81" s="39" t="str">
        <f t="array" ref="L81">INDEX('MTA 28-09'!S:S,MATCH(B81,'MTA 28-09'!A:A,0))</f>
        <v>T-25</v>
      </c>
      <c r="M81" s="32" t="str">
        <f t="array" ref="M81">INDEX('MTA 28-09'!T:T,MATCH(B81,'MTA 28-09'!A:A,0))</f>
        <v>Requisição CABW</v>
      </c>
      <c r="N81" s="32" t="str">
        <f t="array" ref="N81">INDEX('MTA 28-09'!U:U,MATCH(B81,'MTA 28-09'!A:A,0))</f>
        <v>Requisições Consumíveis 3/4</v>
      </c>
      <c r="O81" s="59">
        <f t="array" ref="O81">INDEX('MTA 28-09'!AC:AC,MATCH(B81,'MTA 28-09'!A:A,0))</f>
        <v>2500000</v>
      </c>
      <c r="P81" s="32" t="str">
        <f t="array" ref="P81">INDEX('MTA 28-09'!N:N,MATCH(B81,'MTA 28-09'!A:A,0))</f>
        <v>CABW</v>
      </c>
      <c r="Q81" s="67" t="str">
        <f t="array" ref="Q81">INDEX('MTA 28-09'!Z:Z,MATCH(B81,'MTA 28-09'!A:A,0))</f>
        <v>339030</v>
      </c>
      <c r="R81" s="32" t="str">
        <f t="array" ref="R81">INDEX('MTA 28-09'!L:L,MATCH(B81,'MTA 28-09'!A:A,0))</f>
        <v>B</v>
      </c>
      <c r="S81" s="72" t="str">
        <f t="array" ref="S81">INDEX('MTA 28-09'!X:X,MATCH(B81,'MTA 28-09'!A:A,0))</f>
        <v>REQUISIÇÃO</v>
      </c>
      <c r="T81" s="72" t="str">
        <f t="array" ref="T81">INDEX('MTA 28-09'!W:W,MATCH(B81,'MTA 28-09'!A:A,0))</f>
        <v>Não</v>
      </c>
      <c r="U81" s="81">
        <f t="array" ref="U81">INDEX('MTA 28-09'!AE:AE,MATCH(B81,'MTA 28-09'!A:A,0))</f>
        <v>46049</v>
      </c>
      <c r="V81" s="12"/>
      <c r="W81" s="12"/>
      <c r="X81" s="12"/>
      <c r="Y81" s="12"/>
      <c r="Z81" s="12"/>
      <c r="AA81" s="12"/>
      <c r="AB81" s="12"/>
      <c r="AC81" s="12"/>
      <c r="AD81" s="12"/>
      <c r="AE81" s="12"/>
      <c r="AF81" s="12"/>
      <c r="AG81" s="12"/>
      <c r="AH81" s="12"/>
      <c r="AI81" s="12"/>
      <c r="AJ81" s="12"/>
      <c r="AK81" s="12"/>
      <c r="AL81" s="12"/>
      <c r="AM81" s="12"/>
    </row>
    <row r="82">
      <c r="A82" s="88" t="s">
        <v>47</v>
      </c>
      <c r="B82" s="98">
        <v>11100.0</v>
      </c>
      <c r="C82" s="92" t="str">
        <f t="array" ref="C82">INDEX('MTA 28-09'!B:B,MATCH(B82,'MTA 28-09'!A:A,0))</f>
        <v>SIM</v>
      </c>
      <c r="D82" s="95">
        <f t="array" ref="D82">INDEX('MTA 28-09'!D:D,MATCH(B82,'MTA 28-09'!A:A,0))</f>
        <v>2048</v>
      </c>
      <c r="E82" s="98" t="str">
        <f t="array" ref="E82">INDEX('MTA 28-09'!F:F,MATCH(B82,'MTA 28-09'!A:A,0))</f>
        <v>ATENDIDO</v>
      </c>
      <c r="F82" s="289">
        <f t="array" ref="F82">INDEX('MTA 28-09'!I:I,MATCH(B82,'MTA 28-09'!A:A,0))</f>
        <v>46213</v>
      </c>
      <c r="G82" s="100" t="str">
        <f t="array" ref="G82">INDEX('MTA 28-09'!J:J,MATCH(B82,'MTA 28-09'!A:A,0))</f>
        <v>C26156</v>
      </c>
      <c r="H82" s="101" t="s">
        <v>1451</v>
      </c>
      <c r="I82" s="90"/>
      <c r="J82" s="102"/>
      <c r="K82" s="103"/>
      <c r="L82" s="102" t="str">
        <f t="array" ref="L82">INDEX('MTA 28-09'!S:S,MATCH(B82,'MTA 28-09'!A:A,0))</f>
        <v>T-25</v>
      </c>
      <c r="M82" s="98" t="str">
        <f t="array" ref="M82">INDEX('MTA 28-09'!T:T,MATCH(B82,'MTA 28-09'!A:A,0))</f>
        <v>Requisição CABW</v>
      </c>
      <c r="N82" s="98" t="str">
        <f t="array" ref="N82">INDEX('MTA 28-09'!U:U,MATCH(B82,'MTA 28-09'!A:A,0))</f>
        <v>Requisições Serviço 1/4</v>
      </c>
      <c r="O82" s="104">
        <f t="array" ref="O82">INDEX('MTA 28-09'!AC:AC,MATCH(B82,'MTA 28-09'!A:A,0))</f>
        <v>97898.07</v>
      </c>
      <c r="P82" s="98" t="str">
        <f t="array" ref="P82">INDEX('MTA 28-09'!N:N,MATCH(B82,'MTA 28-09'!A:A,0))</f>
        <v>CABW</v>
      </c>
      <c r="Q82" s="105" t="str">
        <f t="array" ref="Q82">INDEX('MTA 28-09'!Z:Z,MATCH(B82,'MTA 28-09'!A:A,0))</f>
        <v>339030</v>
      </c>
      <c r="R82" s="98" t="str">
        <f t="array" ref="R82">INDEX('MTA 28-09'!L:L,MATCH(B82,'MTA 28-09'!A:A,0))</f>
        <v>A</v>
      </c>
      <c r="S82" s="107" t="str">
        <f t="array" ref="S82">INDEX('MTA 28-09'!X:X,MATCH(B82,'MTA 28-09'!A:A,0))</f>
        <v>REQUISIÇÃO</v>
      </c>
      <c r="T82" s="107" t="str">
        <f t="array" ref="T82">INDEX('MTA 28-09'!W:W,MATCH(B82,'MTA 28-09'!A:A,0))</f>
        <v>Não</v>
      </c>
      <c r="U82" s="109">
        <f t="array" ref="U82">INDEX('MTA 28-09'!AE:AE,MATCH(B82,'MTA 28-09'!A:A,0))</f>
        <v>46049</v>
      </c>
      <c r="V82" s="29"/>
      <c r="W82" s="29"/>
      <c r="X82" s="29"/>
      <c r="Y82" s="29"/>
      <c r="Z82" s="29"/>
      <c r="AA82" s="29"/>
      <c r="AB82" s="29"/>
      <c r="AC82" s="29"/>
      <c r="AD82" s="29"/>
      <c r="AE82" s="29"/>
      <c r="AF82" s="29"/>
      <c r="AG82" s="29"/>
      <c r="AH82" s="29"/>
      <c r="AI82" s="29"/>
      <c r="AJ82" s="29"/>
      <c r="AK82" s="29"/>
      <c r="AL82" s="29"/>
      <c r="AM82" s="29"/>
    </row>
    <row r="83">
      <c r="A83" s="31" t="s">
        <v>47</v>
      </c>
      <c r="B83" s="32">
        <v>11120.0</v>
      </c>
      <c r="C83" s="33" t="str">
        <f t="array" ref="C83">INDEX('MTA 28-09'!B:B,MATCH(B83,'MTA 28-09'!A:A,0))</f>
        <v>SIM</v>
      </c>
      <c r="D83" s="34">
        <f t="array" ref="D83">INDEX('MTA 28-09'!D:D,MATCH(B83,'MTA 28-09'!A:A,0))</f>
        <v>2048</v>
      </c>
      <c r="E83" s="32" t="str">
        <f t="array" ref="E83">INDEX('MTA 28-09'!F:F,MATCH(B83,'MTA 28-09'!A:A,0))</f>
        <v>ATENDIDO</v>
      </c>
      <c r="F83" s="137">
        <f t="array" ref="F83">INDEX('MTA 28-09'!I:I,MATCH(B83,'MTA 28-09'!A:A,0))</f>
        <v>46213</v>
      </c>
      <c r="G83" s="36" t="str">
        <f t="array" ref="G83">INDEX('MTA 28-09'!J:J,MATCH(B83,'MTA 28-09'!A:A,0))</f>
        <v>C26156</v>
      </c>
      <c r="H83" s="37" t="s">
        <v>1451</v>
      </c>
      <c r="I83" s="38"/>
      <c r="J83" s="39" t="s">
        <v>155</v>
      </c>
      <c r="K83" s="40"/>
      <c r="L83" s="39" t="str">
        <f t="array" ref="L83">INDEX('MTA 28-09'!S:S,MATCH(B83,'MTA 28-09'!A:A,0))</f>
        <v>T-25</v>
      </c>
      <c r="M83" s="32" t="str">
        <f t="array" ref="M83">INDEX('MTA 28-09'!T:T,MATCH(B83,'MTA 28-09'!A:A,0))</f>
        <v>Requisição CABW</v>
      </c>
      <c r="N83" s="32" t="str">
        <f t="array" ref="N83">INDEX('MTA 28-09'!U:U,MATCH(B83,'MTA 28-09'!A:A,0))</f>
        <v>Requisições Serviço 3/4</v>
      </c>
      <c r="O83" s="59">
        <f t="array" ref="O83">INDEX('MTA 28-09'!AC:AC,MATCH(B83,'MTA 28-09'!A:A,0))</f>
        <v>95152.41</v>
      </c>
      <c r="P83" s="32" t="str">
        <f t="array" ref="P83">INDEX('MTA 28-09'!N:N,MATCH(B83,'MTA 28-09'!A:A,0))</f>
        <v>CABW</v>
      </c>
      <c r="Q83" s="67" t="str">
        <f t="array" ref="Q83">INDEX('MTA 28-09'!Z:Z,MATCH(B83,'MTA 28-09'!A:A,0))</f>
        <v>339030</v>
      </c>
      <c r="R83" s="32" t="str">
        <f t="array" ref="R83">INDEX('MTA 28-09'!L:L,MATCH(B83,'MTA 28-09'!A:A,0))</f>
        <v>A</v>
      </c>
      <c r="S83" s="72" t="str">
        <f t="array" ref="S83">INDEX('MTA 28-09'!X:X,MATCH(B83,'MTA 28-09'!A:A,0))</f>
        <v>REQUISIÇÃO</v>
      </c>
      <c r="T83" s="72" t="str">
        <f t="array" ref="T83">INDEX('MTA 28-09'!W:W,MATCH(B83,'MTA 28-09'!A:A,0))</f>
        <v>Não</v>
      </c>
      <c r="U83" s="81">
        <f t="array" ref="U83">INDEX('MTA 28-09'!AE:AE,MATCH(B83,'MTA 28-09'!A:A,0))</f>
        <v>46049</v>
      </c>
      <c r="V83" s="12"/>
      <c r="W83" s="12"/>
      <c r="X83" s="12"/>
      <c r="Y83" s="12"/>
      <c r="Z83" s="12"/>
      <c r="AA83" s="12"/>
      <c r="AB83" s="12"/>
      <c r="AC83" s="12"/>
      <c r="AD83" s="12"/>
      <c r="AE83" s="12"/>
      <c r="AF83" s="12"/>
      <c r="AG83" s="12"/>
      <c r="AH83" s="12"/>
      <c r="AI83" s="12"/>
      <c r="AJ83" s="12"/>
      <c r="AK83" s="12"/>
      <c r="AL83" s="12"/>
      <c r="AM83" s="12"/>
    </row>
    <row r="84">
      <c r="A84" s="88" t="s">
        <v>46</v>
      </c>
      <c r="B84" s="90">
        <v>11121.0</v>
      </c>
      <c r="C84" s="92" t="str">
        <f t="array" ref="C84">INDEX('MTA 28-09'!B:B,MATCH(B84,'MTA 28-09'!A:A,0))</f>
        <v>SIM</v>
      </c>
      <c r="D84" s="95">
        <f t="array" ref="D84">INDEX('MTA 28-09'!D:D,MATCH(B84,'MTA 28-09'!A:A,0))</f>
        <v>2048</v>
      </c>
      <c r="E84" s="98" t="str">
        <f t="array" ref="E84">INDEX('MTA 28-09'!F:F,MATCH(B84,'MTA 28-09'!A:A,0))</f>
        <v>ATENDIDO</v>
      </c>
      <c r="F84" s="144">
        <f t="array" ref="F84">INDEX('MTA 28-09'!I:I,MATCH(B84,'MTA 28-09'!A:A,0))</f>
        <v>46251</v>
      </c>
      <c r="G84" s="100" t="str">
        <f t="array" ref="G84">INDEX('MTA 28-09'!J:J,MATCH(B84,'MTA 28-09'!A:A,0))</f>
        <v>-</v>
      </c>
      <c r="H84" s="101" t="s">
        <v>1451</v>
      </c>
      <c r="I84" s="90"/>
      <c r="J84" s="102"/>
      <c r="K84" s="103"/>
      <c r="L84" s="102" t="str">
        <f t="array" ref="L84">INDEX('MTA 28-09'!S:S,MATCH(B84,'MTA 28-09'!A:A,0))</f>
        <v>T-27</v>
      </c>
      <c r="M84" s="98" t="str">
        <f t="array" ref="M84">INDEX('MTA 28-09'!T:T,MATCH(B84,'MTA 28-09'!A:A,0))</f>
        <v>ATA AR CONDICIONADO</v>
      </c>
      <c r="N84" s="98" t="str">
        <f t="array" ref="N84">INDEX('MTA 28-09'!U:U,MATCH(B84,'MTA 28-09'!A:A,0))</f>
        <v>Requisições Serviço 3/4</v>
      </c>
      <c r="O84" s="104">
        <f t="array" ref="O84">INDEX('MTA 28-09'!AC:AC,MATCH(B84,'MTA 28-09'!A:A,0))</f>
        <v>3402</v>
      </c>
      <c r="P84" s="98" t="str">
        <f t="array" ref="P84">INDEX('MTA 28-09'!N:N,MATCH(B84,'MTA 28-09'!A:A,0))</f>
        <v>EEAR</v>
      </c>
      <c r="Q84" s="105" t="str">
        <f t="array" ref="Q84">INDEX('MTA 28-09'!Z:Z,MATCH(B84,'MTA 28-09'!A:A,0))</f>
        <v>339030</v>
      </c>
      <c r="R84" s="98" t="str">
        <f t="array" ref="R84">INDEX('MTA 28-09'!L:L,MATCH(B84,'MTA 28-09'!A:A,0))</f>
        <v>A</v>
      </c>
      <c r="S84" s="107" t="str">
        <f t="array" ref="S84">INDEX('MTA 28-09'!X:X,MATCH(B84,'MTA 28-09'!A:A,0))</f>
        <v>REQUISIÇÃO</v>
      </c>
      <c r="T84" s="107" t="str">
        <f t="array" ref="T84">INDEX('MTA 28-09'!W:W,MATCH(B84,'MTA 28-09'!A:A,0))</f>
        <v>Não</v>
      </c>
      <c r="U84" s="109">
        <f t="array" ref="U84">INDEX('MTA 28-09'!AE:AE,MATCH(B84,'MTA 28-09'!A:A,0))</f>
        <v>46260</v>
      </c>
      <c r="V84" s="29"/>
      <c r="W84" s="29"/>
      <c r="X84" s="29"/>
      <c r="Y84" s="29"/>
      <c r="Z84" s="29"/>
      <c r="AA84" s="29"/>
      <c r="AB84" s="29"/>
      <c r="AC84" s="29"/>
      <c r="AD84" s="29"/>
      <c r="AE84" s="29"/>
      <c r="AF84" s="29"/>
      <c r="AG84" s="29"/>
      <c r="AH84" s="29"/>
      <c r="AI84" s="29"/>
      <c r="AJ84" s="29"/>
      <c r="AK84" s="29"/>
      <c r="AL84" s="29"/>
      <c r="AM84" s="29"/>
    </row>
    <row r="85">
      <c r="A85" s="31" t="s">
        <v>46</v>
      </c>
      <c r="B85" s="32">
        <v>11140.0</v>
      </c>
      <c r="C85" s="33" t="str">
        <f t="array" ref="C85">INDEX('MTA 28-09'!B:B,MATCH(B85,'MTA 28-09'!A:A,0))</f>
        <v>SIM</v>
      </c>
      <c r="D85" s="34">
        <f t="array" ref="D85">INDEX('MTA 28-09'!D:D,MATCH(B85,'MTA 28-09'!A:A,0))</f>
        <v>2048</v>
      </c>
      <c r="E85" s="32" t="str">
        <f t="array" ref="E85">INDEX('MTA 28-09'!F:F,MATCH(B85,'MTA 28-09'!A:A,0))</f>
        <v/>
      </c>
      <c r="F85" s="137" t="str">
        <f t="array" ref="F85">INDEX('MTA 28-09'!I:I,MATCH(B85,'MTA 28-09'!A:A,0))</f>
        <v/>
      </c>
      <c r="G85" s="36" t="str">
        <f t="array" ref="G85">INDEX('MTA 28-09'!J:J,MATCH(B85,'MTA 28-09'!A:A,0))</f>
        <v/>
      </c>
      <c r="H85" s="156">
        <v>46276.0</v>
      </c>
      <c r="I85" s="157" t="s">
        <v>152</v>
      </c>
      <c r="J85" s="39"/>
      <c r="K85" s="40"/>
      <c r="L85" s="39" t="str">
        <f t="array" ref="L85">INDEX('MTA 28-09'!S:S,MATCH(B85,'MTA 28-09'!A:A,0))</f>
        <v>T-27</v>
      </c>
      <c r="M85" s="32" t="str">
        <f t="array" ref="M85">INDEX('MTA 28-09'!T:T,MATCH(B85,'MTA 28-09'!A:A,0))</f>
        <v>Requisição CABW</v>
      </c>
      <c r="N85" s="32" t="str">
        <f t="array" ref="N85">INDEX('MTA 28-09'!U:U,MATCH(B85,'MTA 28-09'!A:A,0))</f>
        <v>Requisições Consumíveis</v>
      </c>
      <c r="O85" s="59">
        <f t="array" ref="O85">INDEX('MTA 28-09'!AC:AC,MATCH(B85,'MTA 28-09'!A:A,0))</f>
        <v>266598</v>
      </c>
      <c r="P85" s="32" t="str">
        <f t="array" ref="P85">INDEX('MTA 28-09'!N:N,MATCH(B85,'MTA 28-09'!A:A,0))</f>
        <v>CABW</v>
      </c>
      <c r="Q85" s="67" t="str">
        <f t="array" ref="Q85">INDEX('MTA 28-09'!Z:Z,MATCH(B85,'MTA 28-09'!A:A,0))</f>
        <v>339030</v>
      </c>
      <c r="R85" s="32" t="str">
        <f t="array" ref="R85">INDEX('MTA 28-09'!L:L,MATCH(B85,'MTA 28-09'!A:A,0))</f>
        <v>A</v>
      </c>
      <c r="S85" s="72" t="str">
        <f t="array" ref="S85">INDEX('MTA 28-09'!X:X,MATCH(B85,'MTA 28-09'!A:A,0))</f>
        <v>REQUISIÇÃO</v>
      </c>
      <c r="T85" s="72" t="str">
        <f t="array" ref="T85">INDEX('MTA 28-09'!W:W,MATCH(B85,'MTA 28-09'!A:A,0))</f>
        <v>Não</v>
      </c>
      <c r="U85" s="81">
        <f t="array" ref="U85">INDEX('MTA 28-09'!AE:AE,MATCH(B85,'MTA 28-09'!A:A,0))</f>
        <v>46352</v>
      </c>
      <c r="V85" s="12"/>
      <c r="W85" s="12"/>
      <c r="X85" s="12"/>
      <c r="Y85" s="12"/>
      <c r="Z85" s="12"/>
      <c r="AA85" s="12"/>
      <c r="AB85" s="12"/>
      <c r="AC85" s="12"/>
      <c r="AD85" s="12"/>
      <c r="AE85" s="12"/>
      <c r="AF85" s="12"/>
      <c r="AG85" s="12"/>
      <c r="AH85" s="12"/>
      <c r="AI85" s="12"/>
      <c r="AJ85" s="12"/>
      <c r="AK85" s="12"/>
      <c r="AL85" s="12"/>
      <c r="AM85" s="12"/>
    </row>
    <row r="86">
      <c r="A86" s="88" t="s">
        <v>46</v>
      </c>
      <c r="B86" s="90">
        <v>11141.0</v>
      </c>
      <c r="C86" s="92" t="str">
        <f t="array" ref="C86">INDEX('MTA 28-09'!B:B,MATCH(B86,'MTA 28-09'!A:A,0))</f>
        <v>SIM</v>
      </c>
      <c r="D86" s="95">
        <f t="array" ref="D86">INDEX('MTA 28-09'!D:D,MATCH(B86,'MTA 28-09'!A:A,0))</f>
        <v>2048</v>
      </c>
      <c r="E86" s="98" t="str">
        <f t="array" ref="E86">INDEX('MTA 28-09'!F:F,MATCH(B86,'MTA 28-09'!A:A,0))</f>
        <v>ATENDIDO</v>
      </c>
      <c r="F86" s="144">
        <f t="array" ref="F86">INDEX('MTA 28-09'!I:I,MATCH(B86,'MTA 28-09'!A:A,0))</f>
        <v>46205</v>
      </c>
      <c r="G86" s="100" t="str">
        <f t="array" ref="G86">INDEX('MTA 28-09'!J:J,MATCH(B86,'MTA 28-09'!A:A,0))</f>
        <v>C26135</v>
      </c>
      <c r="H86" s="159" t="s">
        <v>157</v>
      </c>
      <c r="I86" s="374"/>
      <c r="J86" s="102"/>
      <c r="K86" s="103"/>
      <c r="L86" s="102" t="str">
        <f t="array" ref="L86">INDEX('MTA 28-09'!S:S,MATCH(B86,'MTA 28-09'!A:A,0))</f>
        <v>T-25</v>
      </c>
      <c r="M86" s="98" t="str">
        <f t="array" ref="M86">INDEX('MTA 28-09'!T:T,MATCH(B86,'MTA 28-09'!A:A,0))</f>
        <v>Requisição FMS</v>
      </c>
      <c r="N86" s="98" t="str">
        <f t="array" ref="N86">INDEX('MTA 28-09'!U:U,MATCH(B86,'MTA 28-09'!A:A,0))</f>
        <v>Requisições Consumíveis 1/4</v>
      </c>
      <c r="O86" s="104">
        <f t="array" ref="O86">INDEX('MTA 28-09'!AC:AC,MATCH(B86,'MTA 28-09'!A:A,0))</f>
        <v>3085.07</v>
      </c>
      <c r="P86" s="98" t="str">
        <f t="array" ref="P86">INDEX('MTA 28-09'!N:N,MATCH(B86,'MTA 28-09'!A:A,0))</f>
        <v>CABW</v>
      </c>
      <c r="Q86" s="105" t="str">
        <f t="array" ref="Q86">INDEX('MTA 28-09'!Z:Z,MATCH(B86,'MTA 28-09'!A:A,0))</f>
        <v>339030</v>
      </c>
      <c r="R86" s="98" t="str">
        <f t="array" ref="R86">INDEX('MTA 28-09'!L:L,MATCH(B86,'MTA 28-09'!A:A,0))</f>
        <v>A</v>
      </c>
      <c r="S86" s="107" t="str">
        <f t="array" ref="S86">INDEX('MTA 28-09'!X:X,MATCH(B86,'MTA 28-09'!A:A,0))</f>
        <v>REQUISIÇÃO</v>
      </c>
      <c r="T86" s="107" t="str">
        <f t="array" ref="T86">INDEX('MTA 28-09'!W:W,MATCH(B86,'MTA 28-09'!A:A,0))</f>
        <v>Não</v>
      </c>
      <c r="U86" s="109">
        <f t="array" ref="U86">INDEX('MTA 28-09'!AE:AE,MATCH(B86,'MTA 28-09'!A:A,0))</f>
        <v>46260</v>
      </c>
      <c r="V86" s="29"/>
      <c r="W86" s="29"/>
      <c r="X86" s="29"/>
      <c r="Y86" s="29"/>
      <c r="Z86" s="29"/>
      <c r="AA86" s="29"/>
      <c r="AB86" s="29"/>
      <c r="AC86" s="29"/>
      <c r="AD86" s="29"/>
      <c r="AE86" s="29"/>
      <c r="AF86" s="29"/>
      <c r="AG86" s="29"/>
      <c r="AH86" s="29"/>
      <c r="AI86" s="29"/>
      <c r="AJ86" s="29"/>
      <c r="AK86" s="29"/>
      <c r="AL86" s="29"/>
      <c r="AM86" s="29"/>
    </row>
    <row r="87">
      <c r="A87" s="31" t="s">
        <v>46</v>
      </c>
      <c r="B87" s="32">
        <v>11160.0</v>
      </c>
      <c r="C87" s="33" t="str">
        <f t="array" ref="C87">INDEX('MTA 28-09'!B:B,MATCH(B87,'MTA 28-09'!A:A,0))</f>
        <v>SIM</v>
      </c>
      <c r="D87" s="34">
        <f t="array" ref="D87">INDEX('MTA 28-09'!D:D,MATCH(B87,'MTA 28-09'!A:A,0))</f>
        <v>2048</v>
      </c>
      <c r="E87" s="32" t="str">
        <f t="array" ref="E87">INDEX('MTA 28-09'!F:F,MATCH(B87,'MTA 28-09'!A:A,0))</f>
        <v>ATENDIDO</v>
      </c>
      <c r="F87" s="35">
        <f t="array" ref="F87">INDEX('MTA 28-09'!I:I,MATCH(B87,'MTA 28-09'!A:A,0))</f>
        <v>46091</v>
      </c>
      <c r="G87" s="36" t="str">
        <f t="array" ref="G87">INDEX('MTA 28-09'!J:J,MATCH(B87,'MTA 28-09'!A:A,0))</f>
        <v>C26035</v>
      </c>
      <c r="H87" s="37">
        <v>1.0</v>
      </c>
      <c r="I87" s="38"/>
      <c r="J87" s="39"/>
      <c r="K87" s="40"/>
      <c r="L87" s="39" t="str">
        <f t="array" ref="L87">INDEX('MTA 28-09'!S:S,MATCH(B87,'MTA 28-09'!A:A,0))</f>
        <v>T-27</v>
      </c>
      <c r="M87" s="32" t="str">
        <f t="array" ref="M87">INDEX('MTA 28-09'!T:T,MATCH(B87,'MTA 28-09'!A:A,0))</f>
        <v>Requisição CABW</v>
      </c>
      <c r="N87" s="32" t="str">
        <f t="array" ref="N87">INDEX('MTA 28-09'!U:U,MATCH(B87,'MTA 28-09'!A:A,0))</f>
        <v>Requisições Consumíveis 1/4</v>
      </c>
      <c r="O87" s="59">
        <f t="array" ref="O87">INDEX('MTA 28-09'!AC:AC,MATCH(B87,'MTA 28-09'!A:A,0))</f>
        <v>1059188.08</v>
      </c>
      <c r="P87" s="32" t="str">
        <f t="array" ref="P87">INDEX('MTA 28-09'!N:N,MATCH(B87,'MTA 28-09'!A:A,0))</f>
        <v>CABW</v>
      </c>
      <c r="Q87" s="67" t="str">
        <f t="array" ref="Q87">INDEX('MTA 28-09'!Z:Z,MATCH(B87,'MTA 28-09'!A:A,0))</f>
        <v>339030</v>
      </c>
      <c r="R87" s="32" t="str">
        <f t="array" ref="R87">INDEX('MTA 28-09'!L:L,MATCH(B87,'MTA 28-09'!A:A,0))</f>
        <v>A</v>
      </c>
      <c r="S87" s="72" t="str">
        <f t="array" ref="S87">INDEX('MTA 28-09'!X:X,MATCH(B87,'MTA 28-09'!A:A,0))</f>
        <v>REQUISIÇÃO</v>
      </c>
      <c r="T87" s="72" t="str">
        <f t="array" ref="T87">INDEX('MTA 28-09'!W:W,MATCH(B87,'MTA 28-09'!A:A,0))</f>
        <v>Não</v>
      </c>
      <c r="U87" s="81">
        <f t="array" ref="U87">INDEX('MTA 28-09'!AE:AE,MATCH(B87,'MTA 28-09'!A:A,0))</f>
        <v>46107</v>
      </c>
      <c r="V87" s="12"/>
      <c r="W87" s="12"/>
      <c r="X87" s="12"/>
      <c r="Y87" s="12"/>
      <c r="Z87" s="12"/>
      <c r="AA87" s="12"/>
      <c r="AB87" s="12"/>
      <c r="AC87" s="12"/>
      <c r="AD87" s="12"/>
      <c r="AE87" s="12"/>
      <c r="AF87" s="12"/>
      <c r="AG87" s="12"/>
      <c r="AH87" s="12"/>
      <c r="AI87" s="12"/>
      <c r="AJ87" s="12"/>
      <c r="AK87" s="12"/>
      <c r="AL87" s="12"/>
      <c r="AM87" s="12"/>
    </row>
    <row r="88">
      <c r="A88" s="88" t="s">
        <v>46</v>
      </c>
      <c r="B88" s="98">
        <v>11180.0</v>
      </c>
      <c r="C88" s="92" t="str">
        <f t="array" ref="C88">INDEX('MTA 28-09'!B:B,MATCH(B88,'MTA 28-09'!A:A,0))</f>
        <v>SIM</v>
      </c>
      <c r="D88" s="95">
        <f t="array" ref="D88">INDEX('MTA 28-09'!D:D,MATCH(B88,'MTA 28-09'!A:A,0))</f>
        <v>2048</v>
      </c>
      <c r="E88" s="98" t="str">
        <f t="array" ref="E88">INDEX('MTA 28-09'!F:F,MATCH(B88,'MTA 28-09'!A:A,0))</f>
        <v>ATENDIDO</v>
      </c>
      <c r="F88" s="144">
        <f t="array" ref="F88">INDEX('MTA 28-09'!I:I,MATCH(B88,'MTA 28-09'!A:A,0))</f>
        <v>46072</v>
      </c>
      <c r="G88" s="100" t="str">
        <f t="array" ref="G88">INDEX('MTA 28-09'!J:J,MATCH(B88,'MTA 28-09'!A:A,0))</f>
        <v>C26035</v>
      </c>
      <c r="H88" s="101">
        <v>1.0</v>
      </c>
      <c r="I88" s="90"/>
      <c r="J88" s="102"/>
      <c r="K88" s="103"/>
      <c r="L88" s="102" t="str">
        <f t="array" ref="L88">INDEX('MTA 28-09'!S:S,MATCH(B88,'MTA 28-09'!A:A,0))</f>
        <v>T-27</v>
      </c>
      <c r="M88" s="98" t="str">
        <f t="array" ref="M88">INDEX('MTA 28-09'!T:T,MATCH(B88,'MTA 28-09'!A:A,0))</f>
        <v>Requisição CABW</v>
      </c>
      <c r="N88" s="98" t="str">
        <f t="array" ref="N88">INDEX('MTA 28-09'!U:U,MATCH(B88,'MTA 28-09'!A:A,0))</f>
        <v>Requisições Consumíveis 3/4</v>
      </c>
      <c r="O88" s="104">
        <f t="array" ref="O88">INDEX('MTA 28-09'!AC:AC,MATCH(B88,'MTA 28-09'!A:A,0))</f>
        <v>1000000</v>
      </c>
      <c r="P88" s="98" t="str">
        <f t="array" ref="P88">INDEX('MTA 28-09'!N:N,MATCH(B88,'MTA 28-09'!A:A,0))</f>
        <v>CABW</v>
      </c>
      <c r="Q88" s="105" t="str">
        <f t="array" ref="Q88">INDEX('MTA 28-09'!Z:Z,MATCH(B88,'MTA 28-09'!A:A,0))</f>
        <v>339030</v>
      </c>
      <c r="R88" s="98" t="str">
        <f t="array" ref="R88">INDEX('MTA 28-09'!L:L,MATCH(B88,'MTA 28-09'!A:A,0))</f>
        <v>A</v>
      </c>
      <c r="S88" s="107" t="str">
        <f t="array" ref="S88">INDEX('MTA 28-09'!X:X,MATCH(B88,'MTA 28-09'!A:A,0))</f>
        <v>REQUISIÇÃO</v>
      </c>
      <c r="T88" s="107" t="str">
        <f t="array" ref="T88">INDEX('MTA 28-09'!W:W,MATCH(B88,'MTA 28-09'!A:A,0))</f>
        <v>Não</v>
      </c>
      <c r="U88" s="109">
        <f t="array" ref="U88">INDEX('MTA 28-09'!AE:AE,MATCH(B88,'MTA 28-09'!A:A,0))</f>
        <v>46107</v>
      </c>
      <c r="V88" s="29"/>
      <c r="W88" s="29"/>
      <c r="X88" s="29"/>
      <c r="Y88" s="29"/>
      <c r="Z88" s="29"/>
      <c r="AA88" s="29"/>
      <c r="AB88" s="29"/>
      <c r="AC88" s="29"/>
      <c r="AD88" s="29"/>
      <c r="AE88" s="29"/>
      <c r="AF88" s="29"/>
      <c r="AG88" s="29"/>
      <c r="AH88" s="29"/>
      <c r="AI88" s="29"/>
      <c r="AJ88" s="29"/>
      <c r="AK88" s="29"/>
      <c r="AL88" s="29"/>
      <c r="AM88" s="29"/>
    </row>
    <row r="89">
      <c r="A89" s="31" t="s">
        <v>46</v>
      </c>
      <c r="B89" s="32">
        <v>11200.0</v>
      </c>
      <c r="C89" s="33" t="str">
        <f t="array" ref="C89">INDEX('MTA 28-09'!B:B,MATCH(B89,'MTA 28-09'!A:A,0))</f>
        <v>SIM</v>
      </c>
      <c r="D89" s="34">
        <f t="array" ref="D89">INDEX('MTA 28-09'!D:D,MATCH(B89,'MTA 28-09'!A:A,0))</f>
        <v>2048</v>
      </c>
      <c r="E89" s="32" t="str">
        <f t="array" ref="E89">INDEX('MTA 28-09'!F:F,MATCH(B89,'MTA 28-09'!A:A,0))</f>
        <v>ATENDIDO</v>
      </c>
      <c r="F89" s="137">
        <f t="array" ref="F89">INDEX('MTA 28-09'!I:I,MATCH(B89,'MTA 28-09'!A:A,0))</f>
        <v>46073</v>
      </c>
      <c r="G89" s="36" t="str">
        <f t="array" ref="G89">INDEX('MTA 28-09'!J:J,MATCH(B89,'MTA 28-09'!A:A,0))</f>
        <v>C26108</v>
      </c>
      <c r="H89" s="287" t="s">
        <v>157</v>
      </c>
      <c r="I89" s="295"/>
      <c r="J89" s="39"/>
      <c r="K89" s="40"/>
      <c r="L89" s="39" t="str">
        <f t="array" ref="L89">INDEX('MTA 28-09'!S:S,MATCH(B89,'MTA 28-09'!A:A,0))</f>
        <v>T-27</v>
      </c>
      <c r="M89" s="32" t="str">
        <f t="array" ref="M89">INDEX('MTA 28-09'!T:T,MATCH(B89,'MTA 28-09'!A:A,0))</f>
        <v>CNT 048/CELOG-PAMASP/2022 - PW - Material</v>
      </c>
      <c r="N89" s="32" t="str">
        <f t="array" ref="N89">INDEX('MTA 28-09'!U:U,MATCH(B89,'MTA 28-09'!A:A,0))</f>
        <v>Material HSI PT6A-25C (1/7)</v>
      </c>
      <c r="O89" s="59">
        <f t="array" ref="O89">INDEX('MTA 28-09'!AC:AC,MATCH(B89,'MTA 28-09'!A:A,0))</f>
        <v>750000</v>
      </c>
      <c r="P89" s="32" t="str">
        <f t="array" ref="P89">INDEX('MTA 28-09'!N:N,MATCH(B89,'MTA 28-09'!A:A,0))</f>
        <v>CELOG</v>
      </c>
      <c r="Q89" s="67" t="str">
        <f t="array" ref="Q89">INDEX('MTA 28-09'!Z:Z,MATCH(B89,'MTA 28-09'!A:A,0))</f>
        <v>339030</v>
      </c>
      <c r="R89" s="32" t="str">
        <f t="array" ref="R89">INDEX('MTA 28-09'!L:L,MATCH(B89,'MTA 28-09'!A:A,0))</f>
        <v>A</v>
      </c>
      <c r="S89" s="72" t="str">
        <f t="array" ref="S89">INDEX('MTA 28-09'!X:X,MATCH(B89,'MTA 28-09'!A:A,0))</f>
        <v>SOB DEMANDA</v>
      </c>
      <c r="T89" s="72" t="str">
        <f t="array" ref="T89">INDEX('MTA 28-09'!W:W,MATCH(B89,'MTA 28-09'!A:A,0))</f>
        <v>SIM</v>
      </c>
      <c r="U89" s="81">
        <f t="array" ref="U89">INDEX('MTA 28-09'!AE:AE,MATCH(B89,'MTA 28-09'!A:A,0))</f>
        <v>46260</v>
      </c>
      <c r="V89" s="12"/>
      <c r="W89" s="12"/>
      <c r="X89" s="12"/>
      <c r="Y89" s="12"/>
      <c r="Z89" s="12"/>
      <c r="AA89" s="12"/>
      <c r="AB89" s="12"/>
      <c r="AC89" s="12"/>
      <c r="AD89" s="12"/>
      <c r="AE89" s="12"/>
      <c r="AF89" s="12"/>
      <c r="AG89" s="12"/>
      <c r="AH89" s="12"/>
      <c r="AI89" s="12"/>
      <c r="AJ89" s="12"/>
      <c r="AK89" s="12"/>
      <c r="AL89" s="12"/>
      <c r="AM89" s="12"/>
    </row>
    <row r="90">
      <c r="A90" s="88" t="s">
        <v>46</v>
      </c>
      <c r="B90" s="98">
        <v>11220.0</v>
      </c>
      <c r="C90" s="92" t="str">
        <f t="array" ref="C90">INDEX('MTA 28-09'!B:B,MATCH(B90,'MTA 28-09'!A:A,0))</f>
        <v>SIM</v>
      </c>
      <c r="D90" s="95">
        <f t="array" ref="D90">INDEX('MTA 28-09'!D:D,MATCH(B90,'MTA 28-09'!A:A,0))</f>
        <v>2048</v>
      </c>
      <c r="E90" s="98" t="str">
        <f t="array" ref="E90">INDEX('MTA 28-09'!F:F,MATCH(B90,'MTA 28-09'!A:A,0))</f>
        <v/>
      </c>
      <c r="F90" s="144" t="str">
        <f t="array" ref="F90">INDEX('MTA 28-09'!I:I,MATCH(B90,'MTA 28-09'!A:A,0))</f>
        <v/>
      </c>
      <c r="G90" s="100" t="str">
        <f t="array" ref="G90">INDEX('MTA 28-09'!J:J,MATCH(B90,'MTA 28-09'!A:A,0))</f>
        <v/>
      </c>
      <c r="H90" s="159" t="s">
        <v>157</v>
      </c>
      <c r="I90" s="296"/>
      <c r="J90" s="102"/>
      <c r="K90" s="103"/>
      <c r="L90" s="102" t="str">
        <f t="array" ref="L90">INDEX('MTA 28-09'!S:S,MATCH(B90,'MTA 28-09'!A:A,0))</f>
        <v>T-27</v>
      </c>
      <c r="M90" s="98" t="str">
        <f t="array" ref="M90">INDEX('MTA 28-09'!T:T,MATCH(B90,'MTA 28-09'!A:A,0))</f>
        <v>REQUISIÇÃO CONSUMO</v>
      </c>
      <c r="N90" s="98" t="str">
        <f t="array" ref="N90">INDEX('MTA 28-09'!U:U,MATCH(B90,'MTA 28-09'!A:A,0))</f>
        <v>Material acessórios PT6A-25C (1/3)</v>
      </c>
      <c r="O90" s="104" t="str">
        <f t="array" ref="O90">INDEX('MTA 28-09'!AC:AC,MATCH(B90,'MTA 28-09'!A:A,0))</f>
        <v> -</v>
      </c>
      <c r="P90" s="98" t="str">
        <f t="array" ref="P90">INDEX('MTA 28-09'!N:N,MATCH(B90,'MTA 28-09'!A:A,0))</f>
        <v>CABW</v>
      </c>
      <c r="Q90" s="105" t="str">
        <f t="array" ref="Q90">INDEX('MTA 28-09'!Z:Z,MATCH(B90,'MTA 28-09'!A:A,0))</f>
        <v>339030</v>
      </c>
      <c r="R90" s="98" t="str">
        <f t="array" ref="R90">INDEX('MTA 28-09'!L:L,MATCH(B90,'MTA 28-09'!A:A,0))</f>
        <v>A</v>
      </c>
      <c r="S90" s="107" t="str">
        <f t="array" ref="S90">INDEX('MTA 28-09'!X:X,MATCH(B90,'MTA 28-09'!A:A,0))</f>
        <v>REQUISIÇÃO</v>
      </c>
      <c r="T90" s="107" t="str">
        <f t="array" ref="T90">INDEX('MTA 28-09'!W:W,MATCH(B90,'MTA 28-09'!A:A,0))</f>
        <v>SIM</v>
      </c>
      <c r="U90" s="109">
        <f t="array" ref="U90">INDEX('MTA 28-09'!AE:AE,MATCH(B90,'MTA 28-09'!A:A,0))</f>
        <v>46168</v>
      </c>
      <c r="V90" s="29"/>
      <c r="W90" s="29"/>
      <c r="X90" s="29"/>
      <c r="Y90" s="29"/>
      <c r="Z90" s="29"/>
      <c r="AA90" s="29"/>
      <c r="AB90" s="29"/>
      <c r="AC90" s="29"/>
      <c r="AD90" s="29"/>
      <c r="AE90" s="29"/>
      <c r="AF90" s="29"/>
      <c r="AG90" s="29"/>
      <c r="AH90" s="29"/>
      <c r="AI90" s="29"/>
      <c r="AJ90" s="29"/>
      <c r="AK90" s="29"/>
      <c r="AL90" s="29"/>
      <c r="AM90" s="29"/>
    </row>
    <row r="91">
      <c r="A91" s="31" t="s">
        <v>46</v>
      </c>
      <c r="B91" s="38">
        <v>11221.0</v>
      </c>
      <c r="C91" s="33" t="str">
        <f t="array" ref="C91">INDEX('MTA 28-09'!B:B,MATCH(B91,'MTA 28-09'!A:A,0))</f>
        <v>SIM</v>
      </c>
      <c r="D91" s="34">
        <f t="array" ref="D91">INDEX('MTA 28-09'!D:D,MATCH(B91,'MTA 28-09'!A:A,0))</f>
        <v>2048</v>
      </c>
      <c r="E91" s="32" t="str">
        <f t="array" ref="E91">INDEX('MTA 28-09'!F:F,MATCH(B91,'MTA 28-09'!A:A,0))</f>
        <v>ATENDIDO</v>
      </c>
      <c r="F91" s="137">
        <f t="array" ref="F91">INDEX('MTA 28-09'!I:I,MATCH(B91,'MTA 28-09'!A:A,0))</f>
        <v>46247</v>
      </c>
      <c r="G91" s="36" t="str">
        <f t="array" ref="G91">INDEX('MTA 28-09'!J:J,MATCH(B91,'MTA 28-09'!A:A,0))</f>
        <v>C26038</v>
      </c>
      <c r="H91" s="287" t="s">
        <v>157</v>
      </c>
      <c r="I91" s="295"/>
      <c r="J91" s="39"/>
      <c r="K91" s="40"/>
      <c r="L91" s="39" t="str">
        <f t="array" ref="L91">INDEX('MTA 28-09'!S:S,MATCH(B91,'MTA 28-09'!A:A,0))</f>
        <v>T-27</v>
      </c>
      <c r="M91" s="32" t="str">
        <f t="array" ref="M91">INDEX('MTA 28-09'!T:T,MATCH(B91,'MTA 28-09'!A:A,0))</f>
        <v>REQUISIÇÃO SERVIÇO</v>
      </c>
      <c r="N91" s="32" t="str">
        <f t="array" ref="N91">INDEX('MTA 28-09'!U:U,MATCH(B91,'MTA 28-09'!A:A,0))</f>
        <v>REPARO PTVR</v>
      </c>
      <c r="O91" s="59">
        <f t="array" ref="O91">INDEX('MTA 28-09'!AC:AC,MATCH(B91,'MTA 28-09'!A:A,0))</f>
        <v>261544.32</v>
      </c>
      <c r="P91" s="32" t="str">
        <f t="array" ref="P91">INDEX('MTA 28-09'!N:N,MATCH(B91,'MTA 28-09'!A:A,0))</f>
        <v>CABW</v>
      </c>
      <c r="Q91" s="67" t="str">
        <f t="array" ref="Q91">INDEX('MTA 28-09'!Z:Z,MATCH(B91,'MTA 28-09'!A:A,0))</f>
        <v>339039</v>
      </c>
      <c r="R91" s="32" t="str">
        <f t="array" ref="R91">INDEX('MTA 28-09'!L:L,MATCH(B91,'MTA 28-09'!A:A,0))</f>
        <v>A</v>
      </c>
      <c r="S91" s="72" t="str">
        <f t="array" ref="S91">INDEX('MTA 28-09'!X:X,MATCH(B91,'MTA 28-09'!A:A,0))</f>
        <v>REQUISIÇÃO</v>
      </c>
      <c r="T91" s="72" t="str">
        <f t="array" ref="T91">INDEX('MTA 28-09'!W:W,MATCH(B91,'MTA 28-09'!A:A,0))</f>
        <v>SIM</v>
      </c>
      <c r="U91" s="81">
        <f t="array" ref="U91">INDEX('MTA 28-09'!AE:AE,MATCH(B91,'MTA 28-09'!A:A,0))</f>
        <v>46168</v>
      </c>
      <c r="V91" s="12"/>
      <c r="W91" s="12"/>
      <c r="X91" s="12"/>
      <c r="Y91" s="12"/>
      <c r="Z91" s="12"/>
      <c r="AA91" s="12"/>
      <c r="AB91" s="12"/>
      <c r="AC91" s="12"/>
      <c r="AD91" s="12"/>
      <c r="AE91" s="12"/>
      <c r="AF91" s="12"/>
      <c r="AG91" s="12"/>
      <c r="AH91" s="12"/>
      <c r="AI91" s="12"/>
      <c r="AJ91" s="12"/>
      <c r="AK91" s="12"/>
      <c r="AL91" s="12"/>
      <c r="AM91" s="12"/>
    </row>
    <row r="92">
      <c r="A92" s="88" t="s">
        <v>46</v>
      </c>
      <c r="B92" s="98">
        <v>11240.0</v>
      </c>
      <c r="C92" s="92" t="str">
        <f t="array" ref="C92">INDEX('MTA 28-09'!B:B,MATCH(B92,'MTA 28-09'!A:A,0))</f>
        <v>SIM</v>
      </c>
      <c r="D92" s="95">
        <f t="array" ref="D92">INDEX('MTA 28-09'!D:D,MATCH(B92,'MTA 28-09'!A:A,0))</f>
        <v>2048</v>
      </c>
      <c r="E92" s="98" t="str">
        <f t="array" ref="E92">INDEX('MTA 28-09'!F:F,MATCH(B92,'MTA 28-09'!A:A,0))</f>
        <v>CANCELADO</v>
      </c>
      <c r="F92" s="144" t="str">
        <f t="array" ref="F92">INDEX('MTA 28-09'!I:I,MATCH(B92,'MTA 28-09'!A:A,0))</f>
        <v/>
      </c>
      <c r="G92" s="100" t="str">
        <f t="array" ref="G92">INDEX('MTA 28-09'!J:J,MATCH(B92,'MTA 28-09'!A:A,0))</f>
        <v/>
      </c>
      <c r="H92" s="159" t="s">
        <v>157</v>
      </c>
      <c r="I92" s="296"/>
      <c r="J92" s="102"/>
      <c r="K92" s="103"/>
      <c r="L92" s="102" t="str">
        <f t="array" ref="L92">INDEX('MTA 28-09'!S:S,MATCH(B92,'MTA 28-09'!A:A,0))</f>
        <v>T-27</v>
      </c>
      <c r="M92" s="98" t="str">
        <f t="array" ref="M92">INDEX('MTA 28-09'!T:T,MATCH(B92,'MTA 28-09'!A:A,0))</f>
        <v>REQUISIÇÃO SERVIÇO</v>
      </c>
      <c r="N92" s="98" t="str">
        <f t="array" ref="N92">INDEX('MTA 28-09'!U:U,MATCH(B92,'MTA 28-09'!A:A,0))</f>
        <v>RG Controlador de Torque 3 EA (2/2)</v>
      </c>
      <c r="O92" s="104" t="str">
        <f t="array" ref="O92">INDEX('MTA 28-09'!AC:AC,MATCH(B92,'MTA 28-09'!A:A,0))</f>
        <v> -</v>
      </c>
      <c r="P92" s="98" t="str">
        <f t="array" ref="P92">INDEX('MTA 28-09'!N:N,MATCH(B92,'MTA 28-09'!A:A,0))</f>
        <v>CABW</v>
      </c>
      <c r="Q92" s="105" t="str">
        <f t="array" ref="Q92">INDEX('MTA 28-09'!Z:Z,MATCH(B92,'MTA 28-09'!A:A,0))</f>
        <v>339039</v>
      </c>
      <c r="R92" s="98" t="str">
        <f t="array" ref="R92">INDEX('MTA 28-09'!L:L,MATCH(B92,'MTA 28-09'!A:A,0))</f>
        <v>A</v>
      </c>
      <c r="S92" s="107" t="str">
        <f t="array" ref="S92">INDEX('MTA 28-09'!X:X,MATCH(B92,'MTA 28-09'!A:A,0))</f>
        <v>REQUISIÇÃO</v>
      </c>
      <c r="T92" s="107" t="str">
        <f t="array" ref="T92">INDEX('MTA 28-09'!W:W,MATCH(B92,'MTA 28-09'!A:A,0))</f>
        <v>SIM</v>
      </c>
      <c r="U92" s="109">
        <f t="array" ref="U92">INDEX('MTA 28-09'!AE:AE,MATCH(B92,'MTA 28-09'!A:A,0))</f>
        <v>46200</v>
      </c>
      <c r="V92" s="29"/>
      <c r="W92" s="29"/>
      <c r="X92" s="29"/>
      <c r="Y92" s="29"/>
      <c r="Z92" s="29"/>
      <c r="AA92" s="29"/>
      <c r="AB92" s="29"/>
      <c r="AC92" s="29"/>
      <c r="AD92" s="29"/>
      <c r="AE92" s="29"/>
      <c r="AF92" s="29"/>
      <c r="AG92" s="29"/>
      <c r="AH92" s="29"/>
      <c r="AI92" s="29"/>
      <c r="AJ92" s="29"/>
      <c r="AK92" s="29"/>
      <c r="AL92" s="29"/>
      <c r="AM92" s="29"/>
    </row>
    <row r="93">
      <c r="A93" s="31" t="s">
        <v>46</v>
      </c>
      <c r="B93" s="32">
        <v>11260.0</v>
      </c>
      <c r="C93" s="33" t="str">
        <f t="array" ref="C93">INDEX('MTA 28-09'!B:B,MATCH(B93,'MTA 28-09'!A:A,0))</f>
        <v>SIM</v>
      </c>
      <c r="D93" s="34">
        <f t="array" ref="D93">INDEX('MTA 28-09'!D:D,MATCH(B93,'MTA 28-09'!A:A,0))</f>
        <v>2048</v>
      </c>
      <c r="E93" s="32" t="str">
        <f t="array" ref="E93">INDEX('MTA 28-09'!F:F,MATCH(B93,'MTA 28-09'!A:A,0))</f>
        <v>CANCELADO</v>
      </c>
      <c r="F93" s="384" t="str">
        <f t="array" ref="F93">INDEX('MTA 28-09'!I:I,MATCH(B93,'MTA 28-09'!A:A,0))</f>
        <v/>
      </c>
      <c r="G93" s="36" t="str">
        <f t="array" ref="G93">INDEX('MTA 28-09'!J:J,MATCH(B93,'MTA 28-09'!A:A,0))</f>
        <v/>
      </c>
      <c r="H93" s="287" t="s">
        <v>157</v>
      </c>
      <c r="I93" s="295"/>
      <c r="J93" s="39"/>
      <c r="K93" s="40"/>
      <c r="L93" s="39" t="str">
        <f t="array" ref="L93">INDEX('MTA 28-09'!S:S,MATCH(B93,'MTA 28-09'!A:A,0))</f>
        <v>T-27</v>
      </c>
      <c r="M93" s="32" t="str">
        <f t="array" ref="M93">INDEX('MTA 28-09'!T:T,MATCH(B93,'MTA 28-09'!A:A,0))</f>
        <v>REQUISIÇÃO SERVIÇO</v>
      </c>
      <c r="N93" s="32" t="str">
        <f t="array" ref="N93">INDEX('MTA 28-09'!U:U,MATCH(B93,'MTA 28-09'!A:A,0))</f>
        <v>RG Fuel Control Unit 2 EA (2/4)</v>
      </c>
      <c r="O93" s="59" t="str">
        <f t="array" ref="O93">INDEX('MTA 28-09'!AC:AC,MATCH(B93,'MTA 28-09'!A:A,0))</f>
        <v> -</v>
      </c>
      <c r="P93" s="32" t="str">
        <f t="array" ref="P93">INDEX('MTA 28-09'!N:N,MATCH(B93,'MTA 28-09'!A:A,0))</f>
        <v>CABW</v>
      </c>
      <c r="Q93" s="67" t="str">
        <f t="array" ref="Q93">INDEX('MTA 28-09'!Z:Z,MATCH(B93,'MTA 28-09'!A:A,0))</f>
        <v>339039</v>
      </c>
      <c r="R93" s="32" t="str">
        <f t="array" ref="R93">INDEX('MTA 28-09'!L:L,MATCH(B93,'MTA 28-09'!A:A,0))</f>
        <v>A</v>
      </c>
      <c r="S93" s="72" t="str">
        <f t="array" ref="S93">INDEX('MTA 28-09'!X:X,MATCH(B93,'MTA 28-09'!A:A,0))</f>
        <v>REQUISIÇÃO</v>
      </c>
      <c r="T93" s="72" t="str">
        <f t="array" ref="T93">INDEX('MTA 28-09'!W:W,MATCH(B93,'MTA 28-09'!A:A,0))</f>
        <v>SIM</v>
      </c>
      <c r="U93" s="81">
        <f t="array" ref="U93">INDEX('MTA 28-09'!AE:AE,MATCH(B93,'MTA 28-09'!A:A,0))</f>
        <v>46200</v>
      </c>
      <c r="V93" s="12"/>
      <c r="W93" s="12"/>
      <c r="X93" s="12"/>
      <c r="Y93" s="12"/>
      <c r="Z93" s="12"/>
      <c r="AA93" s="12"/>
      <c r="AB93" s="12"/>
      <c r="AC93" s="12"/>
      <c r="AD93" s="12"/>
      <c r="AE93" s="12"/>
      <c r="AF93" s="12"/>
      <c r="AG93" s="12"/>
      <c r="AH93" s="12"/>
      <c r="AI93" s="12"/>
      <c r="AJ93" s="12"/>
      <c r="AK93" s="12"/>
      <c r="AL93" s="12"/>
      <c r="AM93" s="12"/>
    </row>
    <row r="94">
      <c r="A94" s="88" t="s">
        <v>46</v>
      </c>
      <c r="B94" s="98">
        <v>11280.0</v>
      </c>
      <c r="C94" s="92" t="str">
        <f t="array" ref="C94">INDEX('MTA 28-09'!B:B,MATCH(B94,'MTA 28-09'!A:A,0))</f>
        <v>SIM</v>
      </c>
      <c r="D94" s="95">
        <f t="array" ref="D94">INDEX('MTA 28-09'!D:D,MATCH(B94,'MTA 28-09'!A:A,0))</f>
        <v>2048</v>
      </c>
      <c r="E94" s="98" t="str">
        <f t="array" ref="E94">INDEX('MTA 28-09'!F:F,MATCH(B94,'MTA 28-09'!A:A,0))</f>
        <v>CANCELADO</v>
      </c>
      <c r="F94" s="352" t="str">
        <f t="array" ref="F94">INDEX('MTA 28-09'!I:I,MATCH(B94,'MTA 28-09'!A:A,0))</f>
        <v/>
      </c>
      <c r="G94" s="100" t="str">
        <f t="array" ref="G94">INDEX('MTA 28-09'!J:J,MATCH(B94,'MTA 28-09'!A:A,0))</f>
        <v/>
      </c>
      <c r="H94" s="159" t="s">
        <v>157</v>
      </c>
      <c r="I94" s="296"/>
      <c r="J94" s="102"/>
      <c r="K94" s="103"/>
      <c r="L94" s="102" t="str">
        <f t="array" ref="L94">INDEX('MTA 28-09'!S:S,MATCH(B94,'MTA 28-09'!A:A,0))</f>
        <v>T-27</v>
      </c>
      <c r="M94" s="98" t="str">
        <f t="array" ref="M94">INDEX('MTA 28-09'!T:T,MATCH(B94,'MTA 28-09'!A:A,0))</f>
        <v>REQUISIÇÃO SERVIÇO</v>
      </c>
      <c r="N94" s="98" t="str">
        <f t="array" ref="N94">INDEX('MTA 28-09'!U:U,MATCH(B94,'MTA 28-09'!A:A,0))</f>
        <v>RG Fuel Pump 4 EA (2/2)</v>
      </c>
      <c r="O94" s="104" t="str">
        <f t="array" ref="O94">INDEX('MTA 28-09'!AC:AC,MATCH(B94,'MTA 28-09'!A:A,0))</f>
        <v> -</v>
      </c>
      <c r="P94" s="98" t="str">
        <f t="array" ref="P94">INDEX('MTA 28-09'!N:N,MATCH(B94,'MTA 28-09'!A:A,0))</f>
        <v>CABW</v>
      </c>
      <c r="Q94" s="105" t="str">
        <f t="array" ref="Q94">INDEX('MTA 28-09'!Z:Z,MATCH(B94,'MTA 28-09'!A:A,0))</f>
        <v>339039</v>
      </c>
      <c r="R94" s="98" t="str">
        <f t="array" ref="R94">INDEX('MTA 28-09'!L:L,MATCH(B94,'MTA 28-09'!A:A,0))</f>
        <v>A</v>
      </c>
      <c r="S94" s="107" t="str">
        <f t="array" ref="S94">INDEX('MTA 28-09'!X:X,MATCH(B94,'MTA 28-09'!A:A,0))</f>
        <v>REQUISIÇÃO</v>
      </c>
      <c r="T94" s="107" t="str">
        <f t="array" ref="T94">INDEX('MTA 28-09'!W:W,MATCH(B94,'MTA 28-09'!A:A,0))</f>
        <v>SIM</v>
      </c>
      <c r="U94" s="109">
        <f t="array" ref="U94">INDEX('MTA 28-09'!AE:AE,MATCH(B94,'MTA 28-09'!A:A,0))</f>
        <v>46200</v>
      </c>
      <c r="V94" s="29"/>
      <c r="W94" s="29"/>
      <c r="X94" s="29"/>
      <c r="Y94" s="29"/>
      <c r="Z94" s="29"/>
      <c r="AA94" s="29"/>
      <c r="AB94" s="29"/>
      <c r="AC94" s="29"/>
      <c r="AD94" s="29"/>
      <c r="AE94" s="29"/>
      <c r="AF94" s="29"/>
      <c r="AG94" s="29"/>
      <c r="AH94" s="29"/>
      <c r="AI94" s="29"/>
      <c r="AJ94" s="29"/>
      <c r="AK94" s="29"/>
      <c r="AL94" s="29"/>
      <c r="AM94" s="29"/>
    </row>
    <row r="95">
      <c r="A95" s="31" t="s">
        <v>39</v>
      </c>
      <c r="B95" s="32">
        <v>11300.0</v>
      </c>
      <c r="C95" s="33" t="str">
        <f t="array" ref="C95">INDEX('MTA 28-09'!B:B,MATCH(B95,'MTA 28-09'!A:A,0))</f>
        <v>SIM</v>
      </c>
      <c r="D95" s="34">
        <f t="array" ref="D95">INDEX('MTA 28-09'!D:D,MATCH(B95,'MTA 28-09'!A:A,0))</f>
        <v>2048</v>
      </c>
      <c r="E95" s="32" t="str">
        <f t="array" ref="E95">INDEX('MTA 28-09'!F:F,MATCH(B95,'MTA 28-09'!A:A,0))</f>
        <v>ATENDIDO</v>
      </c>
      <c r="F95" s="137">
        <f t="array" ref="F95">INDEX('MTA 28-09'!I:I,MATCH(B95,'MTA 28-09'!A:A,0))</f>
        <v>46205</v>
      </c>
      <c r="G95" s="36" t="str">
        <f t="array" ref="G95">INDEX('MTA 28-09'!J:J,MATCH(B95,'MTA 28-09'!A:A,0))</f>
        <v>C26138</v>
      </c>
      <c r="H95" s="37" t="s">
        <v>1562</v>
      </c>
      <c r="I95" s="38"/>
      <c r="J95" s="39"/>
      <c r="K95" s="40"/>
      <c r="L95" s="39" t="str">
        <f t="array" ref="L95">INDEX('MTA 28-09'!S:S,MATCH(B95,'MTA 28-09'!A:A,0))</f>
        <v>A-29</v>
      </c>
      <c r="M95" s="32" t="str">
        <f t="array" ref="M95">INDEX('MTA 28-09'!T:T,MATCH(B95,'MTA 28-09'!A:A,0))</f>
        <v>Requisição CABW</v>
      </c>
      <c r="N95" s="32" t="str">
        <f t="array" ref="N95">INDEX('MTA 28-09'!U:U,MATCH(B95,'MTA 28-09'!A:A,0))</f>
        <v>Requisições Consumíveis 1/2</v>
      </c>
      <c r="O95" s="59">
        <f t="array" ref="O95">INDEX('MTA 28-09'!AC:AC,MATCH(B95,'MTA 28-09'!A:A,0))</f>
        <v>136026.22</v>
      </c>
      <c r="P95" s="32" t="str">
        <f t="array" ref="P95">INDEX('MTA 28-09'!N:N,MATCH(B95,'MTA 28-09'!A:A,0))</f>
        <v>CABW</v>
      </c>
      <c r="Q95" s="67" t="str">
        <f t="array" ref="Q95">INDEX('MTA 28-09'!Z:Z,MATCH(B95,'MTA 28-09'!A:A,0))</f>
        <v>339030</v>
      </c>
      <c r="R95" s="32" t="str">
        <f t="array" ref="R95">INDEX('MTA 28-09'!L:L,MATCH(B95,'MTA 28-09'!A:A,0))</f>
        <v>A</v>
      </c>
      <c r="S95" s="72" t="str">
        <f t="array" ref="S95">INDEX('MTA 28-09'!X:X,MATCH(B95,'MTA 28-09'!A:A,0))</f>
        <v>REQUISIÇÃO</v>
      </c>
      <c r="T95" s="72" t="str">
        <f t="array" ref="T95">INDEX('MTA 28-09'!W:W,MATCH(B95,'MTA 28-09'!A:A,0))</f>
        <v>Não</v>
      </c>
      <c r="U95" s="81">
        <f t="array" ref="U95">INDEX('MTA 28-09'!AE:AE,MATCH(B95,'MTA 28-09'!A:A,0))</f>
        <v>46260</v>
      </c>
      <c r="V95" s="12"/>
      <c r="W95" s="12"/>
      <c r="X95" s="12"/>
      <c r="Y95" s="12"/>
      <c r="Z95" s="12"/>
      <c r="AA95" s="12"/>
      <c r="AB95" s="12"/>
      <c r="AC95" s="12"/>
      <c r="AD95" s="12"/>
      <c r="AE95" s="12"/>
      <c r="AF95" s="12"/>
      <c r="AG95" s="12"/>
      <c r="AH95" s="12"/>
      <c r="AI95" s="12"/>
      <c r="AJ95" s="12"/>
      <c r="AK95" s="12"/>
      <c r="AL95" s="12"/>
      <c r="AM95" s="12"/>
    </row>
    <row r="96">
      <c r="A96" s="88" t="s">
        <v>39</v>
      </c>
      <c r="B96" s="98">
        <v>11320.0</v>
      </c>
      <c r="C96" s="92" t="str">
        <f t="array" ref="C96">INDEX('MTA 28-09'!B:B,MATCH(B96,'MTA 28-09'!A:A,0))</f>
        <v>SIM</v>
      </c>
      <c r="D96" s="95" t="str">
        <f t="array" ref="D96">INDEX('MTA 28-09'!D:D,MATCH(B96,'MTA 28-09'!A:A,0))</f>
        <v>20XV</v>
      </c>
      <c r="E96" s="98" t="str">
        <f t="array" ref="E96">INDEX('MTA 28-09'!F:F,MATCH(B96,'MTA 28-09'!A:A,0))</f>
        <v>ATENDIDO</v>
      </c>
      <c r="F96" s="144">
        <f t="array" ref="F96">INDEX('MTA 28-09'!I:I,MATCH(B96,'MTA 28-09'!A:A,0))</f>
        <v>46176</v>
      </c>
      <c r="G96" s="100" t="str">
        <f t="array" ref="G96">INDEX('MTA 28-09'!J:J,MATCH(B96,'MTA 28-09'!A:A,0))</f>
        <v>C26114</v>
      </c>
      <c r="H96" s="159" t="s">
        <v>157</v>
      </c>
      <c r="I96" s="90"/>
      <c r="J96" s="102"/>
      <c r="K96" s="103"/>
      <c r="L96" s="102" t="str">
        <f t="array" ref="L96">INDEX('MTA 28-09'!S:S,MATCH(B96,'MTA 28-09'!A:A,0))</f>
        <v>A-29</v>
      </c>
      <c r="M96" s="98" t="str">
        <f t="array" ref="M96">INDEX('MTA 28-09'!T:T,MATCH(B96,'MTA 28-09'!A:A,0))</f>
        <v>CNT 051/CELOG-PAMASP/2024 - STANDARD AERO - REVISÃO GERAL</v>
      </c>
      <c r="N96" s="98" t="str">
        <f t="array" ref="N96">INDEX('MTA 28-09'!U:U,MATCH(B96,'MTA 28-09'!A:A,0))</f>
        <v>Revisão Geral PT6A-68C 06/20</v>
      </c>
      <c r="O96" s="104">
        <f t="array" ref="O96">INDEX('MTA 28-09'!AC:AC,MATCH(B96,'MTA 28-09'!A:A,0))</f>
        <v>2835685.74</v>
      </c>
      <c r="P96" s="98" t="str">
        <f t="array" ref="P96">INDEX('MTA 28-09'!N:N,MATCH(B96,'MTA 28-09'!A:A,0))</f>
        <v>CABW</v>
      </c>
      <c r="Q96" s="105" t="str">
        <f t="array" ref="Q96">INDEX('MTA 28-09'!Z:Z,MATCH(B96,'MTA 28-09'!A:A,0))</f>
        <v>339039</v>
      </c>
      <c r="R96" s="98" t="str">
        <f t="array" ref="R96">INDEX('MTA 28-09'!L:L,MATCH(B96,'MTA 28-09'!A:A,0))</f>
        <v>A</v>
      </c>
      <c r="S96" s="107" t="str">
        <f t="array" ref="S96">INDEX('MTA 28-09'!X:X,MATCH(B96,'MTA 28-09'!A:A,0))</f>
        <v>SOB DEMANDA</v>
      </c>
      <c r="T96" s="107" t="str">
        <f t="array" ref="T96">INDEX('MTA 28-09'!W:W,MATCH(B96,'MTA 28-09'!A:A,0))</f>
        <v>SIM</v>
      </c>
      <c r="U96" s="109">
        <f t="array" ref="U96">INDEX('MTA 28-09'!AE:AE,MATCH(B96,'MTA 28-09'!A:A,0))</f>
        <v>46260</v>
      </c>
      <c r="V96" s="29"/>
      <c r="W96" s="29"/>
      <c r="X96" s="29"/>
      <c r="Y96" s="29"/>
      <c r="Z96" s="29"/>
      <c r="AA96" s="29"/>
      <c r="AB96" s="29"/>
      <c r="AC96" s="29"/>
      <c r="AD96" s="29"/>
      <c r="AE96" s="29"/>
      <c r="AF96" s="29"/>
      <c r="AG96" s="29"/>
      <c r="AH96" s="29"/>
      <c r="AI96" s="29"/>
      <c r="AJ96" s="29"/>
      <c r="AK96" s="29"/>
      <c r="AL96" s="29"/>
      <c r="AM96" s="29"/>
    </row>
    <row r="97">
      <c r="A97" s="31" t="s">
        <v>39</v>
      </c>
      <c r="B97" s="38">
        <v>11321.0</v>
      </c>
      <c r="C97" s="33" t="str">
        <f t="array" ref="C97">INDEX('MTA 28-09'!B:B,MATCH(B97,'MTA 28-09'!A:A,0))</f>
        <v>SIM</v>
      </c>
      <c r="D97" s="34" t="str">
        <f t="array" ref="D97">INDEX('MTA 28-09'!D:D,MATCH(B97,'MTA 28-09'!A:A,0))</f>
        <v>DESTQ20</v>
      </c>
      <c r="E97" s="32" t="str">
        <f t="array" ref="E97">INDEX('MTA 28-09'!F:F,MATCH(B97,'MTA 28-09'!A:A,0))</f>
        <v>ATENDIDO</v>
      </c>
      <c r="F97" s="137">
        <f t="array" ref="F97">INDEX('MTA 28-09'!I:I,MATCH(B97,'MTA 28-09'!A:A,0))</f>
        <v>46176</v>
      </c>
      <c r="G97" s="36" t="str">
        <f t="array" ref="G97">INDEX('MTA 28-09'!J:J,MATCH(B97,'MTA 28-09'!A:A,0))</f>
        <v>C26092</v>
      </c>
      <c r="H97" s="287" t="s">
        <v>157</v>
      </c>
      <c r="I97" s="38"/>
      <c r="J97" s="39"/>
      <c r="K97" s="40"/>
      <c r="L97" s="39" t="str">
        <f t="array" ref="L97">INDEX('MTA 28-09'!S:S,MATCH(B97,'MTA 28-09'!A:A,0))</f>
        <v>A-29</v>
      </c>
      <c r="M97" s="32" t="str">
        <f t="array" ref="M97">INDEX('MTA 28-09'!T:T,MATCH(B97,'MTA 28-09'!A:A,0))</f>
        <v>CNT 051/CELOG-PAMASP/2024 - STANDARD AERO - REVISÃO GERAL</v>
      </c>
      <c r="N97" s="32" t="str">
        <f t="array" ref="N97">INDEX('MTA 28-09'!U:U,MATCH(B97,'MTA 28-09'!A:A,0))</f>
        <v>Revisão Geral PT6A-68C 06/20</v>
      </c>
      <c r="O97" s="59">
        <f t="array" ref="O97">INDEX('MTA 28-09'!AC:AC,MATCH(B97,'MTA 28-09'!A:A,0))</f>
        <v>2063195.79</v>
      </c>
      <c r="P97" s="32" t="str">
        <f t="array" ref="P97">INDEX('MTA 28-09'!N:N,MATCH(B97,'MTA 28-09'!A:A,0))</f>
        <v>CABW</v>
      </c>
      <c r="Q97" s="67" t="str">
        <f t="array" ref="Q97">INDEX('MTA 28-09'!Z:Z,MATCH(B97,'MTA 28-09'!A:A,0))</f>
        <v>339039</v>
      </c>
      <c r="R97" s="32" t="str">
        <f t="array" ref="R97">INDEX('MTA 28-09'!L:L,MATCH(B97,'MTA 28-09'!A:A,0))</f>
        <v>A</v>
      </c>
      <c r="S97" s="72" t="str">
        <f t="array" ref="S97">INDEX('MTA 28-09'!X:X,MATCH(B97,'MTA 28-09'!A:A,0))</f>
        <v>SOB DEMANDA</v>
      </c>
      <c r="T97" s="72" t="str">
        <f t="array" ref="T97">INDEX('MTA 28-09'!W:W,MATCH(B97,'MTA 28-09'!A:A,0))</f>
        <v>SIM</v>
      </c>
      <c r="U97" s="81">
        <f t="array" ref="U97">INDEX('MTA 28-09'!AE:AE,MATCH(B97,'MTA 28-09'!A:A,0))</f>
        <v>46260</v>
      </c>
      <c r="V97" s="12"/>
      <c r="W97" s="12"/>
      <c r="X97" s="12"/>
      <c r="Y97" s="12"/>
      <c r="Z97" s="12"/>
      <c r="AA97" s="12"/>
      <c r="AB97" s="12"/>
      <c r="AC97" s="12"/>
      <c r="AD97" s="12"/>
      <c r="AE97" s="12"/>
      <c r="AF97" s="12"/>
      <c r="AG97" s="12"/>
      <c r="AH97" s="12"/>
      <c r="AI97" s="12"/>
      <c r="AJ97" s="12"/>
      <c r="AK97" s="12"/>
      <c r="AL97" s="12"/>
      <c r="AM97" s="12"/>
    </row>
    <row r="98">
      <c r="A98" s="88" t="s">
        <v>39</v>
      </c>
      <c r="B98" s="90">
        <v>11322.0</v>
      </c>
      <c r="C98" s="92" t="str">
        <f t="array" ref="C98">INDEX('MTA 28-09'!B:B,MATCH(B98,'MTA 28-09'!A:A,0))</f>
        <v>SIM</v>
      </c>
      <c r="D98" s="95" t="str">
        <f t="array" ref="D98">INDEX('MTA 28-09'!D:D,MATCH(B98,'MTA 28-09'!A:A,0))</f>
        <v>DESTQ21</v>
      </c>
      <c r="E98" s="98" t="str">
        <f t="array" ref="E98">INDEX('MTA 28-09'!F:F,MATCH(B98,'MTA 28-09'!A:A,0))</f>
        <v>ATENDIDO</v>
      </c>
      <c r="F98" s="352">
        <f t="array" ref="F98">INDEX('MTA 28-09'!I:I,MATCH(B98,'MTA 28-09'!A:A,0))</f>
        <v>46176</v>
      </c>
      <c r="G98" s="100" t="str">
        <f t="array" ref="G98">INDEX('MTA 28-09'!J:J,MATCH(B98,'MTA 28-09'!A:A,0))</f>
        <v>C26092</v>
      </c>
      <c r="H98" s="159" t="s">
        <v>157</v>
      </c>
      <c r="I98" s="90"/>
      <c r="J98" s="102"/>
      <c r="K98" s="103"/>
      <c r="L98" s="102" t="str">
        <f t="array" ref="L98">INDEX('MTA 28-09'!S:S,MATCH(B98,'MTA 28-09'!A:A,0))</f>
        <v>A-29</v>
      </c>
      <c r="M98" s="98" t="str">
        <f t="array" ref="M98">INDEX('MTA 28-09'!T:T,MATCH(B98,'MTA 28-09'!A:A,0))</f>
        <v>CNT 051/CELOG-PAMASP/2024 - STANDARD AERO - REVISÃO GERAL</v>
      </c>
      <c r="N98" s="98" t="str">
        <f t="array" ref="N98">INDEX('MTA 28-09'!U:U,MATCH(B98,'MTA 28-09'!A:A,0))</f>
        <v>Revisão Geral PT6A-68C 06/20</v>
      </c>
      <c r="O98" s="104">
        <f t="array" ref="O98">INDEX('MTA 28-09'!AC:AC,MATCH(B98,'MTA 28-09'!A:A,0))</f>
        <v>478271.48</v>
      </c>
      <c r="P98" s="98" t="str">
        <f t="array" ref="P98">INDEX('MTA 28-09'!N:N,MATCH(B98,'MTA 28-09'!A:A,0))</f>
        <v>CABW</v>
      </c>
      <c r="Q98" s="105" t="str">
        <f t="array" ref="Q98">INDEX('MTA 28-09'!Z:Z,MATCH(B98,'MTA 28-09'!A:A,0))</f>
        <v>339039</v>
      </c>
      <c r="R98" s="98" t="str">
        <f t="array" ref="R98">INDEX('MTA 28-09'!L:L,MATCH(B98,'MTA 28-09'!A:A,0))</f>
        <v>A</v>
      </c>
      <c r="S98" s="107" t="str">
        <f t="array" ref="S98">INDEX('MTA 28-09'!X:X,MATCH(B98,'MTA 28-09'!A:A,0))</f>
        <v>SOB DEMANDA</v>
      </c>
      <c r="T98" s="107" t="str">
        <f t="array" ref="T98">INDEX('MTA 28-09'!W:W,MATCH(B98,'MTA 28-09'!A:A,0))</f>
        <v>SIM</v>
      </c>
      <c r="U98" s="109">
        <f t="array" ref="U98">INDEX('MTA 28-09'!AE:AE,MATCH(B98,'MTA 28-09'!A:A,0))</f>
        <v>46260</v>
      </c>
      <c r="V98" s="29"/>
      <c r="W98" s="29"/>
      <c r="X98" s="29"/>
      <c r="Y98" s="29"/>
      <c r="Z98" s="29"/>
      <c r="AA98" s="29"/>
      <c r="AB98" s="29"/>
      <c r="AC98" s="29"/>
      <c r="AD98" s="29"/>
      <c r="AE98" s="29"/>
      <c r="AF98" s="29"/>
      <c r="AG98" s="29"/>
      <c r="AH98" s="29"/>
      <c r="AI98" s="29"/>
      <c r="AJ98" s="29"/>
      <c r="AK98" s="29"/>
      <c r="AL98" s="29"/>
      <c r="AM98" s="29"/>
    </row>
    <row r="99">
      <c r="A99" s="31" t="s">
        <v>39</v>
      </c>
      <c r="B99" s="38">
        <v>11323.0</v>
      </c>
      <c r="C99" s="33" t="str">
        <f t="array" ref="C99">INDEX('MTA 28-09'!B:B,MATCH(B99,'MTA 28-09'!A:A,0))</f>
        <v>SIM</v>
      </c>
      <c r="D99" s="34" t="str">
        <f t="array" ref="D99">INDEX('MTA 28-09'!D:D,MATCH(B99,'MTA 28-09'!A:A,0))</f>
        <v>DESTQ22</v>
      </c>
      <c r="E99" s="32" t="str">
        <f t="array" ref="E99">INDEX('MTA 28-09'!F:F,MATCH(B99,'MTA 28-09'!A:A,0))</f>
        <v>ATENDIDO</v>
      </c>
      <c r="F99" s="35">
        <f t="array" ref="F99">INDEX('MTA 28-09'!I:I,MATCH(B99,'MTA 28-09'!A:A,0))</f>
        <v>46176</v>
      </c>
      <c r="G99" s="36" t="str">
        <f t="array" ref="G99">INDEX('MTA 28-09'!J:J,MATCH(B99,'MTA 28-09'!A:A,0))</f>
        <v>C26092</v>
      </c>
      <c r="H99" s="287" t="s">
        <v>157</v>
      </c>
      <c r="I99" s="38"/>
      <c r="J99" s="39"/>
      <c r="K99" s="40"/>
      <c r="L99" s="39" t="str">
        <f t="array" ref="L99">INDEX('MTA 28-09'!S:S,MATCH(B99,'MTA 28-09'!A:A,0))</f>
        <v>A-29</v>
      </c>
      <c r="M99" s="32" t="str">
        <f t="array" ref="M99">INDEX('MTA 28-09'!T:T,MATCH(B99,'MTA 28-09'!A:A,0))</f>
        <v>CNT 051/CELOG-PAMASP/2024 - STANDARD AERO - REVISÃO GERAL</v>
      </c>
      <c r="N99" s="32" t="str">
        <f t="array" ref="N99">INDEX('MTA 28-09'!U:U,MATCH(B99,'MTA 28-09'!A:A,0))</f>
        <v>Revisão Geral PT6A-68C 06/20</v>
      </c>
      <c r="O99" s="59">
        <f t="array" ref="O99">INDEX('MTA 28-09'!AC:AC,MATCH(B99,'MTA 28-09'!A:A,0))</f>
        <v>55298.61</v>
      </c>
      <c r="P99" s="32" t="str">
        <f t="array" ref="P99">INDEX('MTA 28-09'!N:N,MATCH(B99,'MTA 28-09'!A:A,0))</f>
        <v>CABW</v>
      </c>
      <c r="Q99" s="67" t="str">
        <f t="array" ref="Q99">INDEX('MTA 28-09'!Z:Z,MATCH(B99,'MTA 28-09'!A:A,0))</f>
        <v>339039</v>
      </c>
      <c r="R99" s="32" t="str">
        <f t="array" ref="R99">INDEX('MTA 28-09'!L:L,MATCH(B99,'MTA 28-09'!A:A,0))</f>
        <v>A</v>
      </c>
      <c r="S99" s="72" t="str">
        <f t="array" ref="S99">INDEX('MTA 28-09'!X:X,MATCH(B99,'MTA 28-09'!A:A,0))</f>
        <v>SOB DEMANDA</v>
      </c>
      <c r="T99" s="72" t="str">
        <f t="array" ref="T99">INDEX('MTA 28-09'!W:W,MATCH(B99,'MTA 28-09'!A:A,0))</f>
        <v>SIM</v>
      </c>
      <c r="U99" s="81">
        <f t="array" ref="U99">INDEX('MTA 28-09'!AE:AE,MATCH(B99,'MTA 28-09'!A:A,0))</f>
        <v>46260</v>
      </c>
      <c r="V99" s="12"/>
      <c r="W99" s="12"/>
      <c r="X99" s="12"/>
      <c r="Y99" s="12"/>
      <c r="Z99" s="12"/>
      <c r="AA99" s="12"/>
      <c r="AB99" s="12"/>
      <c r="AC99" s="12"/>
      <c r="AD99" s="12"/>
      <c r="AE99" s="12"/>
      <c r="AF99" s="12"/>
      <c r="AG99" s="12"/>
      <c r="AH99" s="12"/>
      <c r="AI99" s="12"/>
      <c r="AJ99" s="12"/>
      <c r="AK99" s="12"/>
      <c r="AL99" s="12"/>
      <c r="AM99" s="12"/>
    </row>
    <row r="100">
      <c r="A100" s="88" t="s">
        <v>39</v>
      </c>
      <c r="B100" s="90">
        <v>11324.0</v>
      </c>
      <c r="C100" s="92" t="str">
        <f t="array" ref="C100">INDEX('MTA 28-09'!B:B,MATCH(B100,'MTA 28-09'!A:A,0))</f>
        <v>SIM</v>
      </c>
      <c r="D100" s="95" t="str">
        <f t="array" ref="D100">INDEX('MTA 28-09'!D:D,MATCH(B100,'MTA 28-09'!A:A,0))</f>
        <v>DESTQ23</v>
      </c>
      <c r="E100" s="98" t="str">
        <f t="array" ref="E100">INDEX('MTA 28-09'!F:F,MATCH(B100,'MTA 28-09'!A:A,0))</f>
        <v>ATENDIDO</v>
      </c>
      <c r="F100" s="144">
        <f t="array" ref="F100">INDEX('MTA 28-09'!I:I,MATCH(B100,'MTA 28-09'!A:A,0))</f>
        <v>46176</v>
      </c>
      <c r="G100" s="100" t="str">
        <f t="array" ref="G100">INDEX('MTA 28-09'!J:J,MATCH(B100,'MTA 28-09'!A:A,0))</f>
        <v>C26109</v>
      </c>
      <c r="H100" s="159" t="s">
        <v>157</v>
      </c>
      <c r="I100" s="90"/>
      <c r="J100" s="102"/>
      <c r="K100" s="103"/>
      <c r="L100" s="102" t="str">
        <f t="array" ref="L100">INDEX('MTA 28-09'!S:S,MATCH(B100,'MTA 28-09'!A:A,0))</f>
        <v>A-29</v>
      </c>
      <c r="M100" s="98" t="str">
        <f t="array" ref="M100">INDEX('MTA 28-09'!T:T,MATCH(B100,'MTA 28-09'!A:A,0))</f>
        <v>CNT 051/CELOG-PAMASP/2024 - STANDARD AERO - REVISÃO GERAL</v>
      </c>
      <c r="N100" s="98" t="str">
        <f t="array" ref="N100">INDEX('MTA 28-09'!U:U,MATCH(B100,'MTA 28-09'!A:A,0))</f>
        <v>Revisão Geral PT6A-68C 06/20</v>
      </c>
      <c r="O100" s="104">
        <f t="array" ref="O100">INDEX('MTA 28-09'!AC:AC,MATCH(B100,'MTA 28-09'!A:A,0))</f>
        <v>35301.14</v>
      </c>
      <c r="P100" s="98" t="str">
        <f t="array" ref="P100">INDEX('MTA 28-09'!N:N,MATCH(B100,'MTA 28-09'!A:A,0))</f>
        <v>CABW</v>
      </c>
      <c r="Q100" s="105" t="str">
        <f t="array" ref="Q100">INDEX('MTA 28-09'!Z:Z,MATCH(B100,'MTA 28-09'!A:A,0))</f>
        <v>339039</v>
      </c>
      <c r="R100" s="98" t="str">
        <f t="array" ref="R100">INDEX('MTA 28-09'!L:L,MATCH(B100,'MTA 28-09'!A:A,0))</f>
        <v>A</v>
      </c>
      <c r="S100" s="107" t="str">
        <f t="array" ref="S100">INDEX('MTA 28-09'!X:X,MATCH(B100,'MTA 28-09'!A:A,0))</f>
        <v>SOB DEMANDA</v>
      </c>
      <c r="T100" s="107" t="str">
        <f t="array" ref="T100">INDEX('MTA 28-09'!W:W,MATCH(B100,'MTA 28-09'!A:A,0))</f>
        <v>SIM</v>
      </c>
      <c r="U100" s="109">
        <f t="array" ref="U100">INDEX('MTA 28-09'!AE:AE,MATCH(B100,'MTA 28-09'!A:A,0))</f>
        <v>46260</v>
      </c>
      <c r="V100" s="29"/>
      <c r="W100" s="29"/>
      <c r="X100" s="29"/>
      <c r="Y100" s="29"/>
      <c r="Z100" s="29"/>
      <c r="AA100" s="29"/>
      <c r="AB100" s="29"/>
      <c r="AC100" s="29"/>
      <c r="AD100" s="29"/>
      <c r="AE100" s="29"/>
      <c r="AF100" s="29"/>
      <c r="AG100" s="29"/>
      <c r="AH100" s="29"/>
      <c r="AI100" s="29"/>
      <c r="AJ100" s="29"/>
      <c r="AK100" s="29"/>
      <c r="AL100" s="29"/>
      <c r="AM100" s="29"/>
    </row>
    <row r="101">
      <c r="A101" s="31" t="s">
        <v>39</v>
      </c>
      <c r="B101" s="38">
        <v>11325.0</v>
      </c>
      <c r="C101" s="33" t="str">
        <f t="array" ref="C101">INDEX('MTA 28-09'!B:B,MATCH(B101,'MTA 28-09'!A:A,0))</f>
        <v>SIM</v>
      </c>
      <c r="D101" s="34" t="str">
        <f t="array" ref="D101">INDEX('MTA 28-09'!D:D,MATCH(B101,'MTA 28-09'!A:A,0))</f>
        <v>DESTQ11</v>
      </c>
      <c r="E101" s="32" t="str">
        <f t="array" ref="E101">INDEX('MTA 28-09'!F:F,MATCH(B101,'MTA 28-09'!A:A,0))</f>
        <v>ATENDIDO</v>
      </c>
      <c r="F101" s="35">
        <f t="array" ref="F101">INDEX('MTA 28-09'!I:I,MATCH(B101,'MTA 28-09'!A:A,0))</f>
        <v>46134</v>
      </c>
      <c r="G101" s="36" t="str">
        <f t="array" ref="G101">INDEX('MTA 28-09'!J:J,MATCH(B101,'MTA 28-09'!A:A,0))</f>
        <v>C26092</v>
      </c>
      <c r="H101" s="287" t="s">
        <v>157</v>
      </c>
      <c r="I101" s="295"/>
      <c r="J101" s="39"/>
      <c r="K101" s="40"/>
      <c r="L101" s="39" t="str">
        <f t="array" ref="L101">INDEX('MTA 28-09'!S:S,MATCH(B101,'MTA 28-09'!A:A,0))</f>
        <v>A-29</v>
      </c>
      <c r="M101" s="32" t="str">
        <f t="array" ref="M101">INDEX('MTA 28-09'!T:T,MATCH(B101,'MTA 28-09'!A:A,0))</f>
        <v>CNT 051/CELOG-PAMASP/2024 - STANDARD AERO - REVISÃO GERAL</v>
      </c>
      <c r="N101" s="32" t="str">
        <f t="array" ref="N101">INDEX('MTA 28-09'!U:U,MATCH(B101,'MTA 28-09'!A:A,0))</f>
        <v>Revisão Geral PT6A-68C 06/20</v>
      </c>
      <c r="O101" s="59">
        <f t="array" ref="O101">INDEX('MTA 28-09'!AC:AC,MATCH(B101,'MTA 28-09'!A:A,0))</f>
        <v>1200000</v>
      </c>
      <c r="P101" s="32" t="str">
        <f t="array" ref="P101">INDEX('MTA 28-09'!N:N,MATCH(B101,'MTA 28-09'!A:A,0))</f>
        <v>CABW</v>
      </c>
      <c r="Q101" s="67" t="str">
        <f t="array" ref="Q101">INDEX('MTA 28-09'!Z:Z,MATCH(B101,'MTA 28-09'!A:A,0))</f>
        <v>339039</v>
      </c>
      <c r="R101" s="32" t="str">
        <f t="array" ref="R101">INDEX('MTA 28-09'!L:L,MATCH(B101,'MTA 28-09'!A:A,0))</f>
        <v>A</v>
      </c>
      <c r="S101" s="72" t="str">
        <f t="array" ref="S101">INDEX('MTA 28-09'!X:X,MATCH(B101,'MTA 28-09'!A:A,0))</f>
        <v>SOB DEMANDA</v>
      </c>
      <c r="T101" s="72" t="str">
        <f t="array" ref="T101">INDEX('MTA 28-09'!W:W,MATCH(B101,'MTA 28-09'!A:A,0))</f>
        <v>SIM</v>
      </c>
      <c r="U101" s="81">
        <f t="array" ref="U101">INDEX('MTA 28-09'!AE:AE,MATCH(B101,'MTA 28-09'!A:A,0))</f>
        <v>46168</v>
      </c>
      <c r="V101" s="12"/>
      <c r="W101" s="12"/>
      <c r="X101" s="12"/>
      <c r="Y101" s="12"/>
      <c r="Z101" s="12"/>
      <c r="AA101" s="12"/>
      <c r="AB101" s="12"/>
      <c r="AC101" s="12"/>
      <c r="AD101" s="12"/>
      <c r="AE101" s="12"/>
      <c r="AF101" s="12"/>
      <c r="AG101" s="12"/>
      <c r="AH101" s="12"/>
      <c r="AI101" s="12"/>
      <c r="AJ101" s="12"/>
      <c r="AK101" s="12"/>
      <c r="AL101" s="12"/>
      <c r="AM101" s="12"/>
    </row>
    <row r="102">
      <c r="A102" s="88" t="s">
        <v>39</v>
      </c>
      <c r="B102" s="90">
        <v>11326.0</v>
      </c>
      <c r="C102" s="92" t="str">
        <f t="array" ref="C102">INDEX('MTA 28-09'!B:B,MATCH(B102,'MTA 28-09'!A:A,0))</f>
        <v>SIM</v>
      </c>
      <c r="D102" s="95" t="str">
        <f t="array" ref="D102">INDEX('MTA 28-09'!D:D,MATCH(B102,'MTA 28-09'!A:A,0))</f>
        <v>DESTQ14</v>
      </c>
      <c r="E102" s="98" t="str">
        <f t="array" ref="E102">INDEX('MTA 28-09'!F:F,MATCH(B102,'MTA 28-09'!A:A,0))</f>
        <v>ATENDIDO</v>
      </c>
      <c r="F102" s="152">
        <f t="array" ref="F102">INDEX('MTA 28-09'!I:I,MATCH(B102,'MTA 28-09'!A:A,0))</f>
        <v>46146</v>
      </c>
      <c r="G102" s="100" t="str">
        <f t="array" ref="G102">INDEX('MTA 28-09'!J:J,MATCH(B102,'MTA 28-09'!A:A,0))</f>
        <v>C26109</v>
      </c>
      <c r="H102" s="159" t="s">
        <v>157</v>
      </c>
      <c r="I102" s="296"/>
      <c r="J102" s="102"/>
      <c r="K102" s="103"/>
      <c r="L102" s="102" t="str">
        <f t="array" ref="L102">INDEX('MTA 28-09'!S:S,MATCH(B102,'MTA 28-09'!A:A,0))</f>
        <v>A-29</v>
      </c>
      <c r="M102" s="98" t="str">
        <f t="array" ref="M102">INDEX('MTA 28-09'!T:T,MATCH(B102,'MTA 28-09'!A:A,0))</f>
        <v>CNT 051/CELOG-PAMASP/2024 - STANDARD AERO - REVISÃO GERAL</v>
      </c>
      <c r="N102" s="98" t="str">
        <f t="array" ref="N102">INDEX('MTA 28-09'!U:U,MATCH(B102,'MTA 28-09'!A:A,0))</f>
        <v>Revisão Geral PT6A-68C 06/20</v>
      </c>
      <c r="O102" s="104">
        <f t="array" ref="O102">INDEX('MTA 28-09'!AC:AC,MATCH(B102,'MTA 28-09'!A:A,0))</f>
        <v>1255102</v>
      </c>
      <c r="P102" s="98" t="str">
        <f t="array" ref="P102">INDEX('MTA 28-09'!N:N,MATCH(B102,'MTA 28-09'!A:A,0))</f>
        <v>CABW</v>
      </c>
      <c r="Q102" s="105" t="str">
        <f t="array" ref="Q102">INDEX('MTA 28-09'!Z:Z,MATCH(B102,'MTA 28-09'!A:A,0))</f>
        <v>339039</v>
      </c>
      <c r="R102" s="98" t="str">
        <f t="array" ref="R102">INDEX('MTA 28-09'!L:L,MATCH(B102,'MTA 28-09'!A:A,0))</f>
        <v>A</v>
      </c>
      <c r="S102" s="107" t="str">
        <f t="array" ref="S102">INDEX('MTA 28-09'!X:X,MATCH(B102,'MTA 28-09'!A:A,0))</f>
        <v>SOB DEMANDA</v>
      </c>
      <c r="T102" s="107" t="str">
        <f t="array" ref="T102">INDEX('MTA 28-09'!W:W,MATCH(B102,'MTA 28-09'!A:A,0))</f>
        <v>SIM</v>
      </c>
      <c r="U102" s="109">
        <f t="array" ref="U102">INDEX('MTA 28-09'!AE:AE,MATCH(B102,'MTA 28-09'!A:A,0))</f>
        <v>46168</v>
      </c>
      <c r="V102" s="29"/>
      <c r="W102" s="29"/>
      <c r="X102" s="29"/>
      <c r="Y102" s="29"/>
      <c r="Z102" s="29"/>
      <c r="AA102" s="29"/>
      <c r="AB102" s="29"/>
      <c r="AC102" s="29"/>
      <c r="AD102" s="29"/>
      <c r="AE102" s="29"/>
      <c r="AF102" s="29"/>
      <c r="AG102" s="29"/>
      <c r="AH102" s="29"/>
      <c r="AI102" s="29"/>
      <c r="AJ102" s="29"/>
      <c r="AK102" s="29"/>
      <c r="AL102" s="29"/>
      <c r="AM102" s="29"/>
    </row>
    <row r="103">
      <c r="A103" s="31" t="s">
        <v>39</v>
      </c>
      <c r="B103" s="38">
        <v>11327.0</v>
      </c>
      <c r="C103" s="33" t="str">
        <f t="array" ref="C103">INDEX('MTA 28-09'!B:B,MATCH(B103,'MTA 28-09'!A:A,0))</f>
        <v>SIM</v>
      </c>
      <c r="D103" s="34" t="str">
        <f t="array" ref="D103">INDEX('MTA 28-09'!D:D,MATCH(B103,'MTA 28-09'!A:A,0))</f>
        <v>DESTQ24</v>
      </c>
      <c r="E103" s="32" t="str">
        <f t="array" ref="E103">INDEX('MTA 28-09'!F:F,MATCH(B103,'MTA 28-09'!A:A,0))</f>
        <v>ATENDIDO</v>
      </c>
      <c r="F103" s="35">
        <f t="array" ref="F103">INDEX('MTA 28-09'!I:I,MATCH(B103,'MTA 28-09'!A:A,0))</f>
        <v>46176</v>
      </c>
      <c r="G103" s="36" t="str">
        <f t="array" ref="G103">INDEX('MTA 28-09'!J:J,MATCH(B103,'MTA 28-09'!A:A,0))</f>
        <v>C26109</v>
      </c>
      <c r="H103" s="287" t="s">
        <v>157</v>
      </c>
      <c r="I103" s="38"/>
      <c r="J103" s="39"/>
      <c r="K103" s="40"/>
      <c r="L103" s="39" t="str">
        <f t="array" ref="L103">INDEX('MTA 28-09'!S:S,MATCH(B103,'MTA 28-09'!A:A,0))</f>
        <v>A-29</v>
      </c>
      <c r="M103" s="32" t="str">
        <f t="array" ref="M103">INDEX('MTA 28-09'!T:T,MATCH(B103,'MTA 28-09'!A:A,0))</f>
        <v>CNT 051/CELOG-PAMASP/2024 - STANDARD AERO - REVISÃO GERAL</v>
      </c>
      <c r="N103" s="32" t="str">
        <f t="array" ref="N103">INDEX('MTA 28-09'!U:U,MATCH(B103,'MTA 28-09'!A:A,0))</f>
        <v>Revisão Geral PT6A-68C 06/20</v>
      </c>
      <c r="O103" s="59">
        <f t="array" ref="O103">INDEX('MTA 28-09'!AC:AC,MATCH(B103,'MTA 28-09'!A:A,0))</f>
        <v>65142.46</v>
      </c>
      <c r="P103" s="32" t="str">
        <f t="array" ref="P103">INDEX('MTA 28-09'!N:N,MATCH(B103,'MTA 28-09'!A:A,0))</f>
        <v>CABW</v>
      </c>
      <c r="Q103" s="67" t="str">
        <f t="array" ref="Q103">INDEX('MTA 28-09'!Z:Z,MATCH(B103,'MTA 28-09'!A:A,0))</f>
        <v>339039</v>
      </c>
      <c r="R103" s="32" t="str">
        <f t="array" ref="R103">INDEX('MTA 28-09'!L:L,MATCH(B103,'MTA 28-09'!A:A,0))</f>
        <v>A</v>
      </c>
      <c r="S103" s="72" t="str">
        <f t="array" ref="S103">INDEX('MTA 28-09'!X:X,MATCH(B103,'MTA 28-09'!A:A,0))</f>
        <v>SOB DEMANDA</v>
      </c>
      <c r="T103" s="72" t="str">
        <f t="array" ref="T103">INDEX('MTA 28-09'!W:W,MATCH(B103,'MTA 28-09'!A:A,0))</f>
        <v>SIM</v>
      </c>
      <c r="U103" s="81">
        <f t="array" ref="U103">INDEX('MTA 28-09'!AE:AE,MATCH(B103,'MTA 28-09'!A:A,0))</f>
        <v>46260</v>
      </c>
      <c r="V103" s="12"/>
      <c r="W103" s="12"/>
      <c r="X103" s="12"/>
      <c r="Y103" s="12"/>
      <c r="Z103" s="12"/>
      <c r="AA103" s="12"/>
      <c r="AB103" s="12"/>
      <c r="AC103" s="12"/>
      <c r="AD103" s="12"/>
      <c r="AE103" s="12"/>
      <c r="AF103" s="12"/>
      <c r="AG103" s="12"/>
      <c r="AH103" s="12"/>
      <c r="AI103" s="12"/>
      <c r="AJ103" s="12"/>
      <c r="AK103" s="12"/>
      <c r="AL103" s="12"/>
      <c r="AM103" s="12"/>
    </row>
    <row r="104">
      <c r="A104" s="88" t="s">
        <v>39</v>
      </c>
      <c r="B104" s="90">
        <v>11328.0</v>
      </c>
      <c r="C104" s="92" t="str">
        <f t="array" ref="C104">INDEX('MTA 28-09'!B:B,MATCH(B104,'MTA 28-09'!A:A,0))</f>
        <v>SIM</v>
      </c>
      <c r="D104" s="95" t="str">
        <f t="array" ref="D104">INDEX('MTA 28-09'!D:D,MATCH(B104,'MTA 28-09'!A:A,0))</f>
        <v>DESTQ25</v>
      </c>
      <c r="E104" s="98" t="str">
        <f t="array" ref="E104">INDEX('MTA 28-09'!F:F,MATCH(B104,'MTA 28-09'!A:A,0))</f>
        <v>ATENDIDO</v>
      </c>
      <c r="F104" s="144">
        <f t="array" ref="F104">INDEX('MTA 28-09'!I:I,MATCH(B104,'MTA 28-09'!A:A,0))</f>
        <v>46176</v>
      </c>
      <c r="G104" s="100" t="str">
        <f t="array" ref="G104">INDEX('MTA 28-09'!J:J,MATCH(B104,'MTA 28-09'!A:A,0))</f>
        <v>C26109</v>
      </c>
      <c r="H104" s="159" t="s">
        <v>157</v>
      </c>
      <c r="I104" s="90"/>
      <c r="J104" s="102"/>
      <c r="K104" s="103"/>
      <c r="L104" s="102" t="str">
        <f t="array" ref="L104">INDEX('MTA 28-09'!S:S,MATCH(B104,'MTA 28-09'!A:A,0))</f>
        <v>A-29</v>
      </c>
      <c r="M104" s="98" t="str">
        <f t="array" ref="M104">INDEX('MTA 28-09'!T:T,MATCH(B104,'MTA 28-09'!A:A,0))</f>
        <v>CNT 051/CELOG-PAMASP/2024 - STANDARD AERO - REVISÃO GERAL</v>
      </c>
      <c r="N104" s="98" t="str">
        <f t="array" ref="N104">INDEX('MTA 28-09'!U:U,MATCH(B104,'MTA 28-09'!A:A,0))</f>
        <v>Revisão Geral PT6A-68C 06/20</v>
      </c>
      <c r="O104" s="104">
        <f t="array" ref="O104">INDEX('MTA 28-09'!AC:AC,MATCH(B104,'MTA 28-09'!A:A,0))</f>
        <v>12002.78</v>
      </c>
      <c r="P104" s="98" t="str">
        <f t="array" ref="P104">INDEX('MTA 28-09'!N:N,MATCH(B104,'MTA 28-09'!A:A,0))</f>
        <v>CABW</v>
      </c>
      <c r="Q104" s="105" t="str">
        <f t="array" ref="Q104">INDEX('MTA 28-09'!Z:Z,MATCH(B104,'MTA 28-09'!A:A,0))</f>
        <v>339039</v>
      </c>
      <c r="R104" s="98" t="str">
        <f t="array" ref="R104">INDEX('MTA 28-09'!L:L,MATCH(B104,'MTA 28-09'!A:A,0))</f>
        <v>A</v>
      </c>
      <c r="S104" s="107" t="str">
        <f t="array" ref="S104">INDEX('MTA 28-09'!X:X,MATCH(B104,'MTA 28-09'!A:A,0))</f>
        <v>SOB DEMANDA</v>
      </c>
      <c r="T104" s="107" t="str">
        <f t="array" ref="T104">INDEX('MTA 28-09'!W:W,MATCH(B104,'MTA 28-09'!A:A,0))</f>
        <v>SIM</v>
      </c>
      <c r="U104" s="109">
        <f t="array" ref="U104">INDEX('MTA 28-09'!AE:AE,MATCH(B104,'MTA 28-09'!A:A,0))</f>
        <v>46260</v>
      </c>
      <c r="V104" s="29"/>
      <c r="W104" s="29"/>
      <c r="X104" s="29"/>
      <c r="Y104" s="29"/>
      <c r="Z104" s="29"/>
      <c r="AA104" s="29"/>
      <c r="AB104" s="29"/>
      <c r="AC104" s="29"/>
      <c r="AD104" s="29"/>
      <c r="AE104" s="29"/>
      <c r="AF104" s="29"/>
      <c r="AG104" s="29"/>
      <c r="AH104" s="29"/>
      <c r="AI104" s="29"/>
      <c r="AJ104" s="29"/>
      <c r="AK104" s="29"/>
      <c r="AL104" s="29"/>
      <c r="AM104" s="29"/>
    </row>
    <row r="105">
      <c r="A105" s="31" t="s">
        <v>39</v>
      </c>
      <c r="B105" s="32">
        <v>11340.0</v>
      </c>
      <c r="C105" s="33" t="str">
        <f t="array" ref="C105">INDEX('MTA 28-09'!B:B,MATCH(B105,'MTA 28-09'!A:A,0))</f>
        <v>SIM</v>
      </c>
      <c r="D105" s="34" t="str">
        <f t="array" ref="D105">INDEX('MTA 28-09'!D:D,MATCH(B105,'MTA 28-09'!A:A,0))</f>
        <v>20XV</v>
      </c>
      <c r="E105" s="32" t="str">
        <f t="array" ref="E105">INDEX('MTA 28-09'!F:F,MATCH(B105,'MTA 28-09'!A:A,0))</f>
        <v>ATENDIDO</v>
      </c>
      <c r="F105" s="137">
        <f t="array" ref="F105">INDEX('MTA 28-09'!I:I,MATCH(B105,'MTA 28-09'!A:A,0))</f>
        <v>46176</v>
      </c>
      <c r="G105" s="36" t="str">
        <f t="array" ref="G105">INDEX('MTA 28-09'!J:J,MATCH(B105,'MTA 28-09'!A:A,0))</f>
        <v>C26114</v>
      </c>
      <c r="H105" s="287" t="s">
        <v>157</v>
      </c>
      <c r="I105" s="38"/>
      <c r="J105" s="39"/>
      <c r="K105" s="40"/>
      <c r="L105" s="39" t="str">
        <f t="array" ref="L105">INDEX('MTA 28-09'!S:S,MATCH(B105,'MTA 28-09'!A:A,0))</f>
        <v>A-29</v>
      </c>
      <c r="M105" s="32" t="str">
        <f t="array" ref="M105">INDEX('MTA 28-09'!T:T,MATCH(B105,'MTA 28-09'!A:A,0))</f>
        <v>CNT 051/CELOG-PAMASP/2024 - STANDARD AERO - REVISÃO GERAL</v>
      </c>
      <c r="N105" s="32" t="str">
        <f t="array" ref="N105">INDEX('MTA 28-09'!U:U,MATCH(B105,'MTA 28-09'!A:A,0))</f>
        <v>Revisão Geral PT6A-68C 07/20</v>
      </c>
      <c r="O105" s="59">
        <f t="array" ref="O105">INDEX('MTA 28-09'!AC:AC,MATCH(B105,'MTA 28-09'!A:A,0))</f>
        <v>8000000</v>
      </c>
      <c r="P105" s="32" t="str">
        <f t="array" ref="P105">INDEX('MTA 28-09'!N:N,MATCH(B105,'MTA 28-09'!A:A,0))</f>
        <v>CABW</v>
      </c>
      <c r="Q105" s="67" t="str">
        <f t="array" ref="Q105">INDEX('MTA 28-09'!Z:Z,MATCH(B105,'MTA 28-09'!A:A,0))</f>
        <v>339039</v>
      </c>
      <c r="R105" s="32" t="str">
        <f t="array" ref="R105">INDEX('MTA 28-09'!L:L,MATCH(B105,'MTA 28-09'!A:A,0))</f>
        <v>A</v>
      </c>
      <c r="S105" s="72" t="str">
        <f t="array" ref="S105">INDEX('MTA 28-09'!X:X,MATCH(B105,'MTA 28-09'!A:A,0))</f>
        <v>SOB DEMANDA</v>
      </c>
      <c r="T105" s="72" t="str">
        <f t="array" ref="T105">INDEX('MTA 28-09'!W:W,MATCH(B105,'MTA 28-09'!A:A,0))</f>
        <v>SIM</v>
      </c>
      <c r="U105" s="81">
        <f t="array" ref="U105">INDEX('MTA 28-09'!AE:AE,MATCH(B105,'MTA 28-09'!A:A,0))</f>
        <v>46260</v>
      </c>
      <c r="V105" s="12"/>
      <c r="W105" s="12"/>
      <c r="X105" s="12"/>
      <c r="Y105" s="12"/>
      <c r="Z105" s="12"/>
      <c r="AA105" s="12"/>
      <c r="AB105" s="12"/>
      <c r="AC105" s="12"/>
      <c r="AD105" s="12"/>
      <c r="AE105" s="12"/>
      <c r="AF105" s="12"/>
      <c r="AG105" s="12"/>
      <c r="AH105" s="12"/>
      <c r="AI105" s="12"/>
      <c r="AJ105" s="12"/>
      <c r="AK105" s="12"/>
      <c r="AL105" s="12"/>
      <c r="AM105" s="12"/>
    </row>
    <row r="106">
      <c r="A106" s="88" t="s">
        <v>39</v>
      </c>
      <c r="B106" s="98">
        <v>11360.0</v>
      </c>
      <c r="C106" s="92" t="str">
        <f t="array" ref="C106">INDEX('MTA 28-09'!B:B,MATCH(B106,'MTA 28-09'!A:A,0))</f>
        <v>SIM</v>
      </c>
      <c r="D106" s="95">
        <f t="array" ref="D106">INDEX('MTA 28-09'!D:D,MATCH(B106,'MTA 28-09'!A:A,0))</f>
        <v>2048</v>
      </c>
      <c r="E106" s="98" t="str">
        <f t="array" ref="E106">INDEX('MTA 28-09'!F:F,MATCH(B106,'MTA 28-09'!A:A,0))</f>
        <v>ATENDIDO</v>
      </c>
      <c r="F106" s="99">
        <f t="array" ref="F106">INDEX('MTA 28-09'!I:I,MATCH(B106,'MTA 28-09'!A:A,0))</f>
        <v>46121</v>
      </c>
      <c r="G106" s="100" t="str">
        <f t="array" ref="G106">INDEX('MTA 28-09'!J:J,MATCH(B106,'MTA 28-09'!A:A,0))</f>
        <v>C26205</v>
      </c>
      <c r="H106" s="159" t="s">
        <v>157</v>
      </c>
      <c r="I106" s="296"/>
      <c r="J106" s="102"/>
      <c r="K106" s="103"/>
      <c r="L106" s="102" t="str">
        <f t="array" ref="L106">INDEX('MTA 28-09'!S:S,MATCH(B106,'MTA 28-09'!A:A,0))</f>
        <v>A-29</v>
      </c>
      <c r="M106" s="98" t="str">
        <f t="array" ref="M106">INDEX('MTA 28-09'!T:T,MATCH(B106,'MTA 28-09'!A:A,0))</f>
        <v>CNT 060/CELOG-PAMASP/2023 - PW - HSI/REPARO</v>
      </c>
      <c r="N106" s="98" t="str">
        <f t="array" ref="N106">INDEX('MTA 28-09'!U:U,MATCH(B106,'MTA 28-09'!A:A,0))</f>
        <v>Reparo PT6A-68C 2/9</v>
      </c>
      <c r="O106" s="104">
        <f t="array" ref="O106">INDEX('MTA 28-09'!AC:AC,MATCH(B106,'MTA 28-09'!A:A,0))</f>
        <v>1800000</v>
      </c>
      <c r="P106" s="98" t="str">
        <f t="array" ref="P106">INDEX('MTA 28-09'!N:N,MATCH(B106,'MTA 28-09'!A:A,0))</f>
        <v>CELOG</v>
      </c>
      <c r="Q106" s="105" t="str">
        <f t="array" ref="Q106">INDEX('MTA 28-09'!Z:Z,MATCH(B106,'MTA 28-09'!A:A,0))</f>
        <v>339039</v>
      </c>
      <c r="R106" s="98" t="str">
        <f t="array" ref="R106">INDEX('MTA 28-09'!L:L,MATCH(B106,'MTA 28-09'!A:A,0))</f>
        <v>A</v>
      </c>
      <c r="S106" s="107" t="str">
        <f t="array" ref="S106">INDEX('MTA 28-09'!X:X,MATCH(B106,'MTA 28-09'!A:A,0))</f>
        <v>SOB DEMANDA</v>
      </c>
      <c r="T106" s="107" t="str">
        <f t="array" ref="T106">INDEX('MTA 28-09'!W:W,MATCH(B106,'MTA 28-09'!A:A,0))</f>
        <v>SIM</v>
      </c>
      <c r="U106" s="109">
        <f t="array" ref="U106">INDEX('MTA 28-09'!AE:AE,MATCH(B106,'MTA 28-09'!A:A,0))</f>
        <v>46199</v>
      </c>
      <c r="V106" s="29"/>
      <c r="W106" s="29"/>
      <c r="X106" s="29"/>
      <c r="Y106" s="29"/>
      <c r="Z106" s="29"/>
      <c r="AA106" s="29"/>
      <c r="AB106" s="29"/>
      <c r="AC106" s="29"/>
      <c r="AD106" s="29"/>
      <c r="AE106" s="29"/>
      <c r="AF106" s="29"/>
      <c r="AG106" s="29"/>
      <c r="AH106" s="29"/>
      <c r="AI106" s="29"/>
      <c r="AJ106" s="29"/>
      <c r="AK106" s="29"/>
      <c r="AL106" s="29"/>
      <c r="AM106" s="29"/>
    </row>
    <row r="107">
      <c r="A107" s="31" t="s">
        <v>43</v>
      </c>
      <c r="B107" s="32">
        <v>11380.0</v>
      </c>
      <c r="C107" s="33" t="str">
        <f t="array" ref="C107">INDEX('MTA 28-09'!B:B,MATCH(B107,'MTA 28-09'!A:A,0))</f>
        <v>SIM</v>
      </c>
      <c r="D107" s="34">
        <f t="array" ref="D107">INDEX('MTA 28-09'!D:D,MATCH(B107,'MTA 28-09'!A:A,0))</f>
        <v>2048</v>
      </c>
      <c r="E107" s="32" t="str">
        <f t="array" ref="E107">INDEX('MTA 28-09'!F:F,MATCH(B107,'MTA 28-09'!A:A,0))</f>
        <v>CANCELADO</v>
      </c>
      <c r="F107" s="294" t="str">
        <f t="array" ref="F107">INDEX('MTA 28-09'!I:I,MATCH(B107,'MTA 28-09'!A:A,0))</f>
        <v/>
      </c>
      <c r="G107" s="36" t="str">
        <f t="array" ref="G107">INDEX('MTA 28-09'!J:J,MATCH(B107,'MTA 28-09'!A:A,0))</f>
        <v/>
      </c>
      <c r="H107" s="287" t="s">
        <v>157</v>
      </c>
      <c r="I107" s="411"/>
      <c r="J107" s="39"/>
      <c r="K107" s="40"/>
      <c r="L107" s="39" t="str">
        <f t="array" ref="L107">INDEX('MTA 28-09'!S:S,MATCH(B107,'MTA 28-09'!A:A,0))</f>
        <v>C-95M</v>
      </c>
      <c r="M107" s="32" t="str">
        <f t="array" ref="M107">INDEX('MTA 28-09'!T:T,MATCH(B107,'MTA 28-09'!A:A,0))</f>
        <v>Requisição CABW</v>
      </c>
      <c r="N107" s="32" t="str">
        <f t="array" ref="N107">INDEX('MTA 28-09'!U:U,MATCH(B107,'MTA 28-09'!A:A,0))</f>
        <v>Requisições Consumíveis 1/4</v>
      </c>
      <c r="O107" s="59" t="str">
        <f t="array" ref="O107">INDEX('MTA 28-09'!AC:AC,MATCH(B107,'MTA 28-09'!A:A,0))</f>
        <v> -</v>
      </c>
      <c r="P107" s="32" t="str">
        <f t="array" ref="P107">INDEX('MTA 28-09'!N:N,MATCH(B107,'MTA 28-09'!A:A,0))</f>
        <v>CABW</v>
      </c>
      <c r="Q107" s="67" t="str">
        <f t="array" ref="Q107">INDEX('MTA 28-09'!Z:Z,MATCH(B107,'MTA 28-09'!A:A,0))</f>
        <v>339030</v>
      </c>
      <c r="R107" s="32" t="str">
        <f t="array" ref="R107">INDEX('MTA 28-09'!L:L,MATCH(B107,'MTA 28-09'!A:A,0))</f>
        <v>A</v>
      </c>
      <c r="S107" s="72" t="str">
        <f t="array" ref="S107">INDEX('MTA 28-09'!X:X,MATCH(B107,'MTA 28-09'!A:A,0))</f>
        <v>REQUISIÇÃO</v>
      </c>
      <c r="T107" s="72" t="str">
        <f t="array" ref="T107">INDEX('MTA 28-09'!W:W,MATCH(B107,'MTA 28-09'!A:A,0))</f>
        <v>Não</v>
      </c>
      <c r="U107" s="81">
        <f t="array" ref="U107">INDEX('MTA 28-09'!AE:AE,MATCH(B107,'MTA 28-09'!A:A,0))</f>
        <v>46352</v>
      </c>
      <c r="V107" s="12"/>
      <c r="W107" s="12"/>
      <c r="X107" s="12"/>
      <c r="Y107" s="12"/>
      <c r="Z107" s="12"/>
      <c r="AA107" s="12"/>
      <c r="AB107" s="12"/>
      <c r="AC107" s="12"/>
      <c r="AD107" s="12"/>
      <c r="AE107" s="12"/>
      <c r="AF107" s="12"/>
      <c r="AG107" s="12"/>
      <c r="AH107" s="12"/>
      <c r="AI107" s="12"/>
      <c r="AJ107" s="12"/>
      <c r="AK107" s="12"/>
      <c r="AL107" s="12"/>
      <c r="AM107" s="12"/>
    </row>
    <row r="108">
      <c r="A108" s="88" t="s">
        <v>43</v>
      </c>
      <c r="B108" s="98">
        <v>11381.0</v>
      </c>
      <c r="C108" s="92" t="str">
        <f t="array" ref="C108">INDEX('MTA 28-09'!B:B,MATCH(B108,'MTA 28-09'!A:A,0))</f>
        <v>SIM</v>
      </c>
      <c r="D108" s="95">
        <f t="array" ref="D108">INDEX('MTA 28-09'!D:D,MATCH(B108,'MTA 28-09'!A:A,0))</f>
        <v>2048</v>
      </c>
      <c r="E108" s="98" t="str">
        <f t="array" ref="E108">INDEX('MTA 28-09'!F:F,MATCH(B108,'MTA 28-09'!A:A,0))</f>
        <v>ATENDIDO</v>
      </c>
      <c r="F108" s="99">
        <f t="array" ref="F108">INDEX('MTA 28-09'!I:I,MATCH(B108,'MTA 28-09'!A:A,0))</f>
        <v>46043</v>
      </c>
      <c r="G108" s="100" t="str">
        <f t="array" ref="G108">INDEX('MTA 28-09'!J:J,MATCH(B108,'MTA 28-09'!A:A,0))</f>
        <v>C26005</v>
      </c>
      <c r="H108" s="101">
        <v>1.0</v>
      </c>
      <c r="I108" s="90"/>
      <c r="J108" s="102"/>
      <c r="K108" s="103"/>
      <c r="L108" s="102" t="str">
        <f t="array" ref="L108">INDEX('MTA 28-09'!S:S,MATCH(B108,'MTA 28-09'!A:A,0))</f>
        <v>C-95M</v>
      </c>
      <c r="M108" s="98" t="str">
        <f t="array" ref="M108">INDEX('MTA 28-09'!T:T,MATCH(B108,'MTA 28-09'!A:A,0))</f>
        <v>Requisição CABW</v>
      </c>
      <c r="N108" s="98" t="str">
        <f t="array" ref="N108">INDEX('MTA 28-09'!U:U,MATCH(B108,'MTA 28-09'!A:A,0))</f>
        <v>Requisições Consumíveis 1/4</v>
      </c>
      <c r="O108" s="104">
        <f t="array" ref="O108">INDEX('MTA 28-09'!AC:AC,MATCH(B108,'MTA 28-09'!A:A,0))</f>
        <v>2000000</v>
      </c>
      <c r="P108" s="98" t="str">
        <f t="array" ref="P108">INDEX('MTA 28-09'!N:N,MATCH(B108,'MTA 28-09'!A:A,0))</f>
        <v>CABW</v>
      </c>
      <c r="Q108" s="105" t="str">
        <f t="array" ref="Q108">INDEX('MTA 28-09'!Z:Z,MATCH(B108,'MTA 28-09'!A:A,0))</f>
        <v>339030</v>
      </c>
      <c r="R108" s="98" t="str">
        <f t="array" ref="R108">INDEX('MTA 28-09'!L:L,MATCH(B108,'MTA 28-09'!A:A,0))</f>
        <v>A</v>
      </c>
      <c r="S108" s="107" t="str">
        <f t="array" ref="S108">INDEX('MTA 28-09'!X:X,MATCH(B108,'MTA 28-09'!A:A,0))</f>
        <v>REQUISIÇÃO</v>
      </c>
      <c r="T108" s="107" t="str">
        <f t="array" ref="T108">INDEX('MTA 28-09'!W:W,MATCH(B108,'MTA 28-09'!A:A,0))</f>
        <v>Não</v>
      </c>
      <c r="U108" s="109">
        <f t="array" ref="U108">INDEX('MTA 28-09'!AE:AE,MATCH(B108,'MTA 28-09'!A:A,0))</f>
        <v>46107</v>
      </c>
      <c r="V108" s="29"/>
      <c r="W108" s="29"/>
      <c r="X108" s="29"/>
      <c r="Y108" s="29"/>
      <c r="Z108" s="29"/>
      <c r="AA108" s="29"/>
      <c r="AB108" s="29"/>
      <c r="AC108" s="29"/>
      <c r="AD108" s="29"/>
      <c r="AE108" s="29"/>
      <c r="AF108" s="29"/>
      <c r="AG108" s="29"/>
      <c r="AH108" s="29"/>
      <c r="AI108" s="29"/>
      <c r="AJ108" s="29"/>
      <c r="AK108" s="29"/>
      <c r="AL108" s="29"/>
      <c r="AM108" s="29"/>
    </row>
    <row r="109">
      <c r="A109" s="31" t="s">
        <v>43</v>
      </c>
      <c r="B109" s="38">
        <v>11382.0</v>
      </c>
      <c r="C109" s="33" t="str">
        <f t="array" ref="C109">INDEX('MTA 28-09'!B:B,MATCH(B109,'MTA 28-09'!A:A,0))</f>
        <v>SIM</v>
      </c>
      <c r="D109" s="34">
        <f t="array" ref="D109">INDEX('MTA 28-09'!D:D,MATCH(B109,'MTA 28-09'!A:A,0))</f>
        <v>2048</v>
      </c>
      <c r="E109" s="32" t="str">
        <f t="array" ref="E109">INDEX('MTA 28-09'!F:F,MATCH(B109,'MTA 28-09'!A:A,0))</f>
        <v>ATENDIDO</v>
      </c>
      <c r="F109" s="35">
        <f t="array" ref="F109">INDEX('MTA 28-09'!I:I,MATCH(B109,'MTA 28-09'!A:A,0))</f>
        <v>46192</v>
      </c>
      <c r="G109" s="36" t="str">
        <f t="array" ref="G109">INDEX('MTA 28-09'!J:J,MATCH(B109,'MTA 28-09'!A:A,0))</f>
        <v>C26123</v>
      </c>
      <c r="H109" s="412" t="s">
        <v>1466</v>
      </c>
      <c r="I109" s="38"/>
      <c r="J109" s="39"/>
      <c r="K109" s="40"/>
      <c r="L109" s="39" t="str">
        <f t="array" ref="L109">INDEX('MTA 28-09'!S:S,MATCH(B109,'MTA 28-09'!A:A,0))</f>
        <v>C-95M</v>
      </c>
      <c r="M109" s="32" t="str">
        <f t="array" ref="M109">INDEX('MTA 28-09'!T:T,MATCH(B109,'MTA 28-09'!A:A,0))</f>
        <v>Requisição CABW</v>
      </c>
      <c r="N109" s="32" t="str">
        <f t="array" ref="N109">INDEX('MTA 28-09'!U:U,MATCH(B109,'MTA 28-09'!A:A,0))</f>
        <v>Requisições Consumíveis 1/4</v>
      </c>
      <c r="O109" s="59">
        <f t="array" ref="O109">INDEX('MTA 28-09'!AC:AC,MATCH(B109,'MTA 28-09'!A:A,0))</f>
        <v>146550</v>
      </c>
      <c r="P109" s="32" t="str">
        <f t="array" ref="P109">INDEX('MTA 28-09'!N:N,MATCH(B109,'MTA 28-09'!A:A,0))</f>
        <v>CABW</v>
      </c>
      <c r="Q109" s="67" t="str">
        <f t="array" ref="Q109">INDEX('MTA 28-09'!Z:Z,MATCH(B109,'MTA 28-09'!A:A,0))</f>
        <v>339030</v>
      </c>
      <c r="R109" s="32" t="str">
        <f t="array" ref="R109">INDEX('MTA 28-09'!L:L,MATCH(B109,'MTA 28-09'!A:A,0))</f>
        <v>A</v>
      </c>
      <c r="S109" s="72" t="str">
        <f t="array" ref="S109">INDEX('MTA 28-09'!X:X,MATCH(B109,'MTA 28-09'!A:A,0))</f>
        <v>REQUISIÇÃO</v>
      </c>
      <c r="T109" s="72" t="str">
        <f t="array" ref="T109">INDEX('MTA 28-09'!W:W,MATCH(B109,'MTA 28-09'!A:A,0))</f>
        <v>Não</v>
      </c>
      <c r="U109" s="81">
        <f t="array" ref="U109">INDEX('MTA 28-09'!AE:AE,MATCH(B109,'MTA 28-09'!A:A,0))</f>
        <v>46260</v>
      </c>
      <c r="V109" s="12"/>
      <c r="W109" s="12"/>
      <c r="X109" s="12"/>
      <c r="Y109" s="12"/>
      <c r="Z109" s="12"/>
      <c r="AA109" s="12"/>
      <c r="AB109" s="12"/>
      <c r="AC109" s="12"/>
      <c r="AD109" s="12"/>
      <c r="AE109" s="12"/>
      <c r="AF109" s="12"/>
      <c r="AG109" s="12"/>
      <c r="AH109" s="12"/>
      <c r="AI109" s="12"/>
      <c r="AJ109" s="12"/>
      <c r="AK109" s="12"/>
      <c r="AL109" s="12"/>
      <c r="AM109" s="12"/>
    </row>
    <row r="110">
      <c r="A110" s="88" t="s">
        <v>43</v>
      </c>
      <c r="B110" s="98">
        <v>11400.0</v>
      </c>
      <c r="C110" s="92" t="str">
        <f t="array" ref="C110">INDEX('MTA 28-09'!B:B,MATCH(B110,'MTA 28-09'!A:A,0))</f>
        <v>SIM</v>
      </c>
      <c r="D110" s="95">
        <f t="array" ref="D110">INDEX('MTA 28-09'!D:D,MATCH(B110,'MTA 28-09'!A:A,0))</f>
        <v>2048</v>
      </c>
      <c r="E110" s="98" t="str">
        <f t="array" ref="E110">INDEX('MTA 28-09'!F:F,MATCH(B110,'MTA 28-09'!A:A,0))</f>
        <v/>
      </c>
      <c r="F110" s="144" t="str">
        <f t="array" ref="F110">INDEX('MTA 28-09'!I:I,MATCH(B110,'MTA 28-09'!A:A,0))</f>
        <v/>
      </c>
      <c r="G110" s="100" t="str">
        <f t="array" ref="G110">INDEX('MTA 28-09'!J:J,MATCH(B110,'MTA 28-09'!A:A,0))</f>
        <v/>
      </c>
      <c r="H110" s="153">
        <v>46276.0</v>
      </c>
      <c r="I110" s="90" t="s">
        <v>1569</v>
      </c>
      <c r="J110" s="102"/>
      <c r="K110" s="103"/>
      <c r="L110" s="102" t="str">
        <f t="array" ref="L110">INDEX('MTA 28-09'!S:S,MATCH(B110,'MTA 28-09'!A:A,0))</f>
        <v>C-95M</v>
      </c>
      <c r="M110" s="98" t="str">
        <f t="array" ref="M110">INDEX('MTA 28-09'!T:T,MATCH(B110,'MTA 28-09'!A:A,0))</f>
        <v>Requisição CABW</v>
      </c>
      <c r="N110" s="98" t="str">
        <f t="array" ref="N110">INDEX('MTA 28-09'!U:U,MATCH(B110,'MTA 28-09'!A:A,0))</f>
        <v>Requisições Consumíveis 3/4</v>
      </c>
      <c r="O110" s="104">
        <f t="array" ref="O110">INDEX('MTA 28-09'!AC:AC,MATCH(B110,'MTA 28-09'!A:A,0))</f>
        <v>350603.94</v>
      </c>
      <c r="P110" s="98" t="str">
        <f t="array" ref="P110">INDEX('MTA 28-09'!N:N,MATCH(B110,'MTA 28-09'!A:A,0))</f>
        <v>CABW</v>
      </c>
      <c r="Q110" s="105" t="str">
        <f t="array" ref="Q110">INDEX('MTA 28-09'!Z:Z,MATCH(B110,'MTA 28-09'!A:A,0))</f>
        <v>339030</v>
      </c>
      <c r="R110" s="98" t="str">
        <f t="array" ref="R110">INDEX('MTA 28-09'!L:L,MATCH(B110,'MTA 28-09'!A:A,0))</f>
        <v>A</v>
      </c>
      <c r="S110" s="107" t="str">
        <f t="array" ref="S110">INDEX('MTA 28-09'!X:X,MATCH(B110,'MTA 28-09'!A:A,0))</f>
        <v>REQUISIÇÃO</v>
      </c>
      <c r="T110" s="107" t="str">
        <f t="array" ref="T110">INDEX('MTA 28-09'!W:W,MATCH(B110,'MTA 28-09'!A:A,0))</f>
        <v>Não</v>
      </c>
      <c r="U110" s="109">
        <f t="array" ref="U110">INDEX('MTA 28-09'!AE:AE,MATCH(B110,'MTA 28-09'!A:A,0))</f>
        <v>46352</v>
      </c>
      <c r="V110" s="29"/>
      <c r="W110" s="29"/>
      <c r="X110" s="29"/>
      <c r="Y110" s="29"/>
      <c r="Z110" s="29"/>
      <c r="AA110" s="29"/>
      <c r="AB110" s="29"/>
      <c r="AC110" s="29"/>
      <c r="AD110" s="29"/>
      <c r="AE110" s="29"/>
      <c r="AF110" s="29"/>
      <c r="AG110" s="29"/>
      <c r="AH110" s="29"/>
      <c r="AI110" s="29"/>
      <c r="AJ110" s="29"/>
      <c r="AK110" s="29"/>
      <c r="AL110" s="29"/>
      <c r="AM110" s="29"/>
    </row>
    <row r="111">
      <c r="A111" s="31" t="s">
        <v>43</v>
      </c>
      <c r="B111" s="32">
        <v>11420.0</v>
      </c>
      <c r="C111" s="33" t="str">
        <f t="array" ref="C111">INDEX('MTA 28-09'!B:B,MATCH(B111,'MTA 28-09'!A:A,0))</f>
        <v>NÃO</v>
      </c>
      <c r="D111" s="34" t="str">
        <f t="array" ref="D111">INDEX('MTA 28-09'!D:D,MATCH(B111,'MTA 28-09'!A:A,0))</f>
        <v/>
      </c>
      <c r="E111" s="32" t="str">
        <f t="array" ref="E111">INDEX('MTA 28-09'!F:F,MATCH(B111,'MTA 28-09'!A:A,0))</f>
        <v>BLOQUEIO</v>
      </c>
      <c r="F111" s="35" t="str">
        <f t="array" ref="F111">INDEX('MTA 28-09'!I:I,MATCH(B111,'MTA 28-09'!A:A,0))</f>
        <v/>
      </c>
      <c r="G111" s="36" t="str">
        <f t="array" ref="G111">INDEX('MTA 28-09'!J:J,MATCH(B111,'MTA 28-09'!A:A,0))</f>
        <v/>
      </c>
      <c r="H111" s="287" t="s">
        <v>157</v>
      </c>
      <c r="I111" s="295"/>
      <c r="J111" s="39"/>
      <c r="K111" s="40"/>
      <c r="L111" s="39" t="str">
        <f t="array" ref="L111">INDEX('MTA 28-09'!S:S,MATCH(B111,'MTA 28-09'!A:A,0))</f>
        <v>C-95M</v>
      </c>
      <c r="M111" s="32" t="str">
        <f t="array" ref="M111">INDEX('MTA 28-09'!T:T,MATCH(B111,'MTA 28-09'!A:A,0))</f>
        <v>Requisição FMS</v>
      </c>
      <c r="N111" s="32" t="str">
        <f t="array" ref="N111">INDEX('MTA 28-09'!U:U,MATCH(B111,'MTA 28-09'!A:A,0))</f>
        <v>Requisições Consumíveis 1/4</v>
      </c>
      <c r="O111" s="59">
        <f t="array" ref="O111">INDEX('MTA 28-09'!AC:AC,MATCH(B111,'MTA 28-09'!A:A,0))</f>
        <v>750000</v>
      </c>
      <c r="P111" s="32" t="str">
        <f t="array" ref="P111">INDEX('MTA 28-09'!N:N,MATCH(B111,'MTA 28-09'!A:A,0))</f>
        <v>FMS</v>
      </c>
      <c r="Q111" s="67" t="str">
        <f t="array" ref="Q111">INDEX('MTA 28-09'!Z:Z,MATCH(B111,'MTA 28-09'!A:A,0))</f>
        <v>339030</v>
      </c>
      <c r="R111" s="32" t="str">
        <f t="array" ref="R111">INDEX('MTA 28-09'!L:L,MATCH(B111,'MTA 28-09'!A:A,0))</f>
        <v>B</v>
      </c>
      <c r="S111" s="72" t="str">
        <f t="array" ref="S111">INDEX('MTA 28-09'!X:X,MATCH(B111,'MTA 28-09'!A:A,0))</f>
        <v>REQUISIÇÃO</v>
      </c>
      <c r="T111" s="72" t="str">
        <f t="array" ref="T111">INDEX('MTA 28-09'!W:W,MATCH(B111,'MTA 28-09'!A:A,0))</f>
        <v>Não</v>
      </c>
      <c r="U111" s="81">
        <f t="array" ref="U111">INDEX('MTA 28-09'!AE:AE,MATCH(B111,'MTA 28-09'!A:A,0))</f>
        <v>46291</v>
      </c>
      <c r="V111" s="12"/>
      <c r="W111" s="12"/>
      <c r="X111" s="12"/>
      <c r="Y111" s="12"/>
      <c r="Z111" s="12"/>
      <c r="AA111" s="12"/>
      <c r="AB111" s="12"/>
      <c r="AC111" s="12"/>
      <c r="AD111" s="12"/>
      <c r="AE111" s="12"/>
      <c r="AF111" s="12"/>
      <c r="AG111" s="12"/>
      <c r="AH111" s="12"/>
      <c r="AI111" s="12"/>
      <c r="AJ111" s="12"/>
      <c r="AK111" s="12"/>
      <c r="AL111" s="12"/>
      <c r="AM111" s="12"/>
    </row>
    <row r="112">
      <c r="A112" s="88" t="s">
        <v>43</v>
      </c>
      <c r="B112" s="98">
        <v>11440.0</v>
      </c>
      <c r="C112" s="92" t="str">
        <f t="array" ref="C112">INDEX('MTA 28-09'!B:B,MATCH(B112,'MTA 28-09'!A:A,0))</f>
        <v>SIM</v>
      </c>
      <c r="D112" s="95">
        <f t="array" ref="D112">INDEX('MTA 28-09'!D:D,MATCH(B112,'MTA 28-09'!A:A,0))</f>
        <v>2048</v>
      </c>
      <c r="E112" s="98" t="str">
        <f t="array" ref="E112">INDEX('MTA 28-09'!F:F,MATCH(B112,'MTA 28-09'!A:A,0))</f>
        <v>CANCELADO</v>
      </c>
      <c r="F112" s="99" t="str">
        <f t="array" ref="F112">INDEX('MTA 28-09'!I:I,MATCH(B112,'MTA 28-09'!A:A,0))</f>
        <v/>
      </c>
      <c r="G112" s="100" t="str">
        <f t="array" ref="G112">INDEX('MTA 28-09'!J:J,MATCH(B112,'MTA 28-09'!A:A,0))</f>
        <v/>
      </c>
      <c r="H112" s="159" t="s">
        <v>157</v>
      </c>
      <c r="I112" s="296"/>
      <c r="J112" s="102"/>
      <c r="K112" s="103"/>
      <c r="L112" s="102" t="str">
        <f t="array" ref="L112">INDEX('MTA 28-09'!S:S,MATCH(B112,'MTA 28-09'!A:A,0))</f>
        <v>C-95M</v>
      </c>
      <c r="M112" s="98" t="str">
        <f t="array" ref="M112">INDEX('MTA 28-09'!T:T,MATCH(B112,'MTA 28-09'!A:A,0))</f>
        <v>Requisição CABW</v>
      </c>
      <c r="N112" s="98" t="str">
        <f t="array" ref="N112">INDEX('MTA 28-09'!U:U,MATCH(B112,'MTA 28-09'!A:A,0))</f>
        <v>Material reparo acessórios PT6A-34 (1/3)</v>
      </c>
      <c r="O112" s="104">
        <f t="array" ref="O112">INDEX('MTA 28-09'!AC:AC,MATCH(B112,'MTA 28-09'!A:A,0))</f>
        <v>0</v>
      </c>
      <c r="P112" s="98" t="str">
        <f t="array" ref="P112">INDEX('MTA 28-09'!N:N,MATCH(B112,'MTA 28-09'!A:A,0))</f>
        <v>CABW</v>
      </c>
      <c r="Q112" s="105" t="str">
        <f t="array" ref="Q112">INDEX('MTA 28-09'!Z:Z,MATCH(B112,'MTA 28-09'!A:A,0))</f>
        <v>339030</v>
      </c>
      <c r="R112" s="98" t="str">
        <f t="array" ref="R112">INDEX('MTA 28-09'!L:L,MATCH(B112,'MTA 28-09'!A:A,0))</f>
        <v>A</v>
      </c>
      <c r="S112" s="107" t="str">
        <f t="array" ref="S112">INDEX('MTA 28-09'!X:X,MATCH(B112,'MTA 28-09'!A:A,0))</f>
        <v>REQUISIÇÃO</v>
      </c>
      <c r="T112" s="107" t="str">
        <f t="array" ref="T112">INDEX('MTA 28-09'!W:W,MATCH(B112,'MTA 28-09'!A:A,0))</f>
        <v>SIM</v>
      </c>
      <c r="U112" s="109">
        <f t="array" ref="U112">INDEX('MTA 28-09'!AE:AE,MATCH(B112,'MTA 28-09'!A:A,0))</f>
        <v>46049</v>
      </c>
      <c r="V112" s="29"/>
      <c r="W112" s="29"/>
      <c r="X112" s="29"/>
      <c r="Y112" s="29"/>
      <c r="Z112" s="29"/>
      <c r="AA112" s="29"/>
      <c r="AB112" s="29"/>
      <c r="AC112" s="29"/>
      <c r="AD112" s="29"/>
      <c r="AE112" s="29"/>
      <c r="AF112" s="29"/>
      <c r="AG112" s="29"/>
      <c r="AH112" s="29"/>
      <c r="AI112" s="29"/>
      <c r="AJ112" s="29"/>
      <c r="AK112" s="29"/>
      <c r="AL112" s="29"/>
      <c r="AM112" s="29"/>
    </row>
    <row r="113">
      <c r="A113" s="31" t="s">
        <v>43</v>
      </c>
      <c r="B113" s="38">
        <v>11441.0</v>
      </c>
      <c r="C113" s="33" t="str">
        <f t="array" ref="C113">INDEX('MTA 28-09'!B:B,MATCH(B113,'MTA 28-09'!A:A,0))</f>
        <v>SIM</v>
      </c>
      <c r="D113" s="34">
        <f t="array" ref="D113">INDEX('MTA 28-09'!D:D,MATCH(B113,'MTA 28-09'!A:A,0))</f>
        <v>2048</v>
      </c>
      <c r="E113" s="32" t="str">
        <f t="array" ref="E113">INDEX('MTA 28-09'!F:F,MATCH(B113,'MTA 28-09'!A:A,0))</f>
        <v>ATENDIDO</v>
      </c>
      <c r="F113" s="35">
        <f t="array" ref="F113">INDEX('MTA 28-09'!I:I,MATCH(B113,'MTA 28-09'!A:A,0))</f>
        <v>46192</v>
      </c>
      <c r="G113" s="36" t="str">
        <f t="array" ref="G113">INDEX('MTA 28-09'!J:J,MATCH(B113,'MTA 28-09'!A:A,0))</f>
        <v>C26103</v>
      </c>
      <c r="H113" s="287" t="s">
        <v>157</v>
      </c>
      <c r="I113" s="38"/>
      <c r="J113" s="39"/>
      <c r="K113" s="40"/>
      <c r="L113" s="39" t="str">
        <f t="array" ref="L113">INDEX('MTA 28-09'!S:S,MATCH(B113,'MTA 28-09'!A:A,0))</f>
        <v>C-95M</v>
      </c>
      <c r="M113" s="32" t="str">
        <f t="array" ref="M113">INDEX('MTA 28-09'!T:T,MATCH(B113,'MTA 28-09'!A:A,0))</f>
        <v>Requisição CABW</v>
      </c>
      <c r="N113" s="32" t="str">
        <f t="array" ref="N113">INDEX('MTA 28-09'!U:U,MATCH(B113,'MTA 28-09'!A:A,0))</f>
        <v>Material reparo acessórios PT6A-34 (1/3)</v>
      </c>
      <c r="O113" s="59">
        <f t="array" ref="O113">INDEX('MTA 28-09'!AC:AC,MATCH(B113,'MTA 28-09'!A:A,0))</f>
        <v>554690.94</v>
      </c>
      <c r="P113" s="32" t="str">
        <f t="array" ref="P113">INDEX('MTA 28-09'!N:N,MATCH(B113,'MTA 28-09'!A:A,0))</f>
        <v>CABW</v>
      </c>
      <c r="Q113" s="67" t="str">
        <f t="array" ref="Q113">INDEX('MTA 28-09'!Z:Z,MATCH(B113,'MTA 28-09'!A:A,0))</f>
        <v>339030</v>
      </c>
      <c r="R113" s="32" t="str">
        <f t="array" ref="R113">INDEX('MTA 28-09'!L:L,MATCH(B113,'MTA 28-09'!A:A,0))</f>
        <v>A</v>
      </c>
      <c r="S113" s="72" t="str">
        <f t="array" ref="S113">INDEX('MTA 28-09'!X:X,MATCH(B113,'MTA 28-09'!A:A,0))</f>
        <v>REQUISIÇÃO</v>
      </c>
      <c r="T113" s="72" t="str">
        <f t="array" ref="T113">INDEX('MTA 28-09'!W:W,MATCH(B113,'MTA 28-09'!A:A,0))</f>
        <v>SIM</v>
      </c>
      <c r="U113" s="81">
        <f t="array" ref="U113">INDEX('MTA 28-09'!AE:AE,MATCH(B113,'MTA 28-09'!A:A,0))</f>
        <v>46108</v>
      </c>
      <c r="V113" s="12"/>
      <c r="W113" s="12"/>
      <c r="X113" s="12"/>
      <c r="Y113" s="12"/>
      <c r="Z113" s="12"/>
      <c r="AA113" s="12"/>
      <c r="AB113" s="12"/>
      <c r="AC113" s="12"/>
      <c r="AD113" s="12"/>
      <c r="AE113" s="12"/>
      <c r="AF113" s="12"/>
      <c r="AG113" s="12"/>
      <c r="AH113" s="12"/>
      <c r="AI113" s="12"/>
      <c r="AJ113" s="12"/>
      <c r="AK113" s="12"/>
      <c r="AL113" s="12"/>
      <c r="AM113" s="12"/>
    </row>
    <row r="114">
      <c r="A114" s="88" t="s">
        <v>43</v>
      </c>
      <c r="B114" s="98">
        <v>11460.0</v>
      </c>
      <c r="C114" s="92" t="str">
        <f t="array" ref="C114">INDEX('MTA 28-09'!B:B,MATCH(B114,'MTA 28-09'!A:A,0))</f>
        <v>SIM</v>
      </c>
      <c r="D114" s="95">
        <f t="array" ref="D114">INDEX('MTA 28-09'!D:D,MATCH(B114,'MTA 28-09'!A:A,0))</f>
        <v>2048</v>
      </c>
      <c r="E114" s="98" t="str">
        <f t="array" ref="E114">INDEX('MTA 28-09'!F:F,MATCH(B114,'MTA 28-09'!A:A,0))</f>
        <v>ATENDIDO</v>
      </c>
      <c r="F114" s="144">
        <f t="array" ref="F114">INDEX('MTA 28-09'!I:I,MATCH(B114,'MTA 28-09'!A:A,0))</f>
        <v>46255</v>
      </c>
      <c r="G114" s="100" t="str">
        <f t="array" ref="G114">INDEX('MTA 28-09'!J:J,MATCH(B114,'MTA 28-09'!A:A,0))</f>
        <v>C26039</v>
      </c>
      <c r="H114" s="159" t="s">
        <v>157</v>
      </c>
      <c r="I114" s="296"/>
      <c r="J114" s="102"/>
      <c r="K114" s="103"/>
      <c r="L114" s="102" t="str">
        <f t="array" ref="L114">INDEX('MTA 28-09'!S:S,MATCH(B114,'MTA 28-09'!A:A,0))</f>
        <v>C-95M</v>
      </c>
      <c r="M114" s="98" t="str">
        <f t="array" ref="M114">INDEX('MTA 28-09'!T:T,MATCH(B114,'MTA 28-09'!A:A,0))</f>
        <v>REQUISIÇÃO SERVIÇO</v>
      </c>
      <c r="N114" s="98" t="str">
        <f t="array" ref="N114">INDEX('MTA 28-09'!U:U,MATCH(B114,'MTA 28-09'!A:A,0))</f>
        <v>RG FCU 4 EA (2/2)</v>
      </c>
      <c r="O114" s="104">
        <f t="array" ref="O114">INDEX('MTA 28-09'!AC:AC,MATCH(B114,'MTA 28-09'!A:A,0))</f>
        <v>338165.03</v>
      </c>
      <c r="P114" s="98" t="str">
        <f t="array" ref="P114">INDEX('MTA 28-09'!N:N,MATCH(B114,'MTA 28-09'!A:A,0))</f>
        <v>CABW</v>
      </c>
      <c r="Q114" s="105" t="str">
        <f t="array" ref="Q114">INDEX('MTA 28-09'!Z:Z,MATCH(B114,'MTA 28-09'!A:A,0))</f>
        <v>339039</v>
      </c>
      <c r="R114" s="98" t="str">
        <f t="array" ref="R114">INDEX('MTA 28-09'!L:L,MATCH(B114,'MTA 28-09'!A:A,0))</f>
        <v>A</v>
      </c>
      <c r="S114" s="107" t="str">
        <f t="array" ref="S114">INDEX('MTA 28-09'!X:X,MATCH(B114,'MTA 28-09'!A:A,0))</f>
        <v>REQUISIÇÃO</v>
      </c>
      <c r="T114" s="107" t="str">
        <f t="array" ref="T114">INDEX('MTA 28-09'!W:W,MATCH(B114,'MTA 28-09'!A:A,0))</f>
        <v>SIM</v>
      </c>
      <c r="U114" s="109">
        <f t="array" ref="U114">INDEX('MTA 28-09'!AE:AE,MATCH(B114,'MTA 28-09'!A:A,0))</f>
        <v>46169</v>
      </c>
      <c r="V114" s="29"/>
      <c r="W114" s="29"/>
      <c r="X114" s="29"/>
      <c r="Y114" s="29"/>
      <c r="Z114" s="29"/>
      <c r="AA114" s="29"/>
      <c r="AB114" s="29"/>
      <c r="AC114" s="29"/>
      <c r="AD114" s="29"/>
      <c r="AE114" s="29"/>
      <c r="AF114" s="29"/>
      <c r="AG114" s="29"/>
      <c r="AH114" s="29"/>
      <c r="AI114" s="29"/>
      <c r="AJ114" s="29"/>
      <c r="AK114" s="29"/>
      <c r="AL114" s="29"/>
      <c r="AM114" s="29"/>
    </row>
    <row r="115">
      <c r="A115" s="31" t="s">
        <v>43</v>
      </c>
      <c r="B115" s="38">
        <v>11461.0</v>
      </c>
      <c r="C115" s="33" t="str">
        <f t="array" ref="C115">INDEX('MTA 28-09'!B:B,MATCH(B115,'MTA 28-09'!A:A,0))</f>
        <v>SIM</v>
      </c>
      <c r="D115" s="34">
        <f t="array" ref="D115">INDEX('MTA 28-09'!D:D,MATCH(B115,'MTA 28-09'!A:A,0))</f>
        <v>2048</v>
      </c>
      <c r="E115" s="32" t="str">
        <f t="array" ref="E115">INDEX('MTA 28-09'!F:F,MATCH(B115,'MTA 28-09'!A:A,0))</f>
        <v>ATENDIDO</v>
      </c>
      <c r="F115" s="35">
        <f t="array" ref="F115">INDEX('MTA 28-09'!I:I,MATCH(B115,'MTA 28-09'!A:A,0))</f>
        <v>46149</v>
      </c>
      <c r="G115" s="36" t="str">
        <f t="array" ref="G115">INDEX('MTA 28-09'!J:J,MATCH(B115,'MTA 28-09'!A:A,0))</f>
        <v>C26097</v>
      </c>
      <c r="H115" s="287" t="s">
        <v>157</v>
      </c>
      <c r="I115" s="295"/>
      <c r="J115" s="39"/>
      <c r="K115" s="40"/>
      <c r="L115" s="39" t="str">
        <f t="array" ref="L115">INDEX('MTA 28-09'!S:S,MATCH(B115,'MTA 28-09'!A:A,0))</f>
        <v>C-95M</v>
      </c>
      <c r="M115" s="32" t="str">
        <f t="array" ref="M115">INDEX('MTA 28-09'!T:T,MATCH(B115,'MTA 28-09'!A:A,0))</f>
        <v>REQUISIÇÃO CONSUMO</v>
      </c>
      <c r="N115" s="32" t="str">
        <f t="array" ref="N115">INDEX('MTA 28-09'!U:U,MATCH(B115,'MTA 28-09'!A:A,0))</f>
        <v>Material para FCU</v>
      </c>
      <c r="O115" s="59">
        <f t="array" ref="O115">INDEX('MTA 28-09'!AC:AC,MATCH(B115,'MTA 28-09'!A:A,0))</f>
        <v>172769.98</v>
      </c>
      <c r="P115" s="32" t="str">
        <f t="array" ref="P115">INDEX('MTA 28-09'!N:N,MATCH(B115,'MTA 28-09'!A:A,0))</f>
        <v>CABW</v>
      </c>
      <c r="Q115" s="67" t="str">
        <f t="array" ref="Q115">INDEX('MTA 28-09'!Z:Z,MATCH(B115,'MTA 28-09'!A:A,0))</f>
        <v>339030</v>
      </c>
      <c r="R115" s="32" t="str">
        <f t="array" ref="R115">INDEX('MTA 28-09'!L:L,MATCH(B115,'MTA 28-09'!A:A,0))</f>
        <v>A</v>
      </c>
      <c r="S115" s="72" t="str">
        <f t="array" ref="S115">INDEX('MTA 28-09'!X:X,MATCH(B115,'MTA 28-09'!A:A,0))</f>
        <v>REQUISIÇÃO</v>
      </c>
      <c r="T115" s="72" t="str">
        <f t="array" ref="T115">INDEX('MTA 28-09'!W:W,MATCH(B115,'MTA 28-09'!A:A,0))</f>
        <v>SIM</v>
      </c>
      <c r="U115" s="81">
        <f t="array" ref="U115">INDEX('MTA 28-09'!AE:AE,MATCH(B115,'MTA 28-09'!A:A,0))</f>
        <v>46199</v>
      </c>
      <c r="V115" s="12"/>
      <c r="W115" s="12"/>
      <c r="X115" s="12"/>
      <c r="Y115" s="12"/>
      <c r="Z115" s="12"/>
      <c r="AA115" s="12"/>
      <c r="AB115" s="12"/>
      <c r="AC115" s="12"/>
      <c r="AD115" s="12"/>
      <c r="AE115" s="12"/>
      <c r="AF115" s="12"/>
      <c r="AG115" s="12"/>
      <c r="AH115" s="12"/>
      <c r="AI115" s="12"/>
      <c r="AJ115" s="12"/>
      <c r="AK115" s="12"/>
      <c r="AL115" s="12"/>
      <c r="AM115" s="12"/>
    </row>
    <row r="116">
      <c r="A116" s="88" t="s">
        <v>43</v>
      </c>
      <c r="B116" s="98">
        <v>11480.0</v>
      </c>
      <c r="C116" s="92" t="str">
        <f t="array" ref="C116">INDEX('MTA 28-09'!B:B,MATCH(B116,'MTA 28-09'!A:A,0))</f>
        <v>SIM</v>
      </c>
      <c r="D116" s="95">
        <f t="array" ref="D116">INDEX('MTA 28-09'!D:D,MATCH(B116,'MTA 28-09'!A:A,0))</f>
        <v>2048</v>
      </c>
      <c r="E116" s="98" t="str">
        <f t="array" ref="E116">INDEX('MTA 28-09'!F:F,MATCH(B116,'MTA 28-09'!A:A,0))</f>
        <v>ATENDIDO</v>
      </c>
      <c r="F116" s="99">
        <f t="array" ref="F116">INDEX('MTA 28-09'!I:I,MATCH(B116,'MTA 28-09'!A:A,0))</f>
        <v>46265</v>
      </c>
      <c r="G116" s="100" t="str">
        <f t="array" ref="G116">INDEX('MTA 28-09'!J:J,MATCH(B116,'MTA 28-09'!A:A,0))</f>
        <v>C26197</v>
      </c>
      <c r="H116" s="159" t="s">
        <v>157</v>
      </c>
      <c r="I116" s="296"/>
      <c r="J116" s="102"/>
      <c r="K116" s="103"/>
      <c r="L116" s="102" t="str">
        <f t="array" ref="L116">INDEX('MTA 28-09'!S:S,MATCH(B116,'MTA 28-09'!A:A,0))</f>
        <v>C-95M</v>
      </c>
      <c r="M116" s="98" t="str">
        <f t="array" ref="M116">INDEX('MTA 28-09'!T:T,MATCH(B116,'MTA 28-09'!A:A,0))</f>
        <v>REQUISIÇÃO SERVIÇO</v>
      </c>
      <c r="N116" s="98" t="str">
        <f t="array" ref="N116">INDEX('MTA 28-09'!U:U,MATCH(B116,'MTA 28-09'!A:A,0))</f>
        <v>RG Fuel Pump 4 EA (2/2)</v>
      </c>
      <c r="O116" s="104">
        <f t="array" ref="O116">INDEX('MTA 28-09'!AC:AC,MATCH(B116,'MTA 28-09'!A:A,0))</f>
        <v>303822.79</v>
      </c>
      <c r="P116" s="98" t="str">
        <f t="array" ref="P116">INDEX('MTA 28-09'!N:N,MATCH(B116,'MTA 28-09'!A:A,0))</f>
        <v>CABW</v>
      </c>
      <c r="Q116" s="105" t="str">
        <f t="array" ref="Q116">INDEX('MTA 28-09'!Z:Z,MATCH(B116,'MTA 28-09'!A:A,0))</f>
        <v>339039</v>
      </c>
      <c r="R116" s="98" t="str">
        <f t="array" ref="R116">INDEX('MTA 28-09'!L:L,MATCH(B116,'MTA 28-09'!A:A,0))</f>
        <v>A</v>
      </c>
      <c r="S116" s="107" t="str">
        <f t="array" ref="S116">INDEX('MTA 28-09'!X:X,MATCH(B116,'MTA 28-09'!A:A,0))</f>
        <v>REQUISIÇÃO</v>
      </c>
      <c r="T116" s="107" t="str">
        <f t="array" ref="T116">INDEX('MTA 28-09'!W:W,MATCH(B116,'MTA 28-09'!A:A,0))</f>
        <v>SIM</v>
      </c>
      <c r="U116" s="109">
        <f t="array" ref="U116">INDEX('MTA 28-09'!AE:AE,MATCH(B116,'MTA 28-09'!A:A,0))</f>
        <v>46169</v>
      </c>
      <c r="V116" s="29"/>
      <c r="W116" s="29"/>
      <c r="X116" s="29"/>
      <c r="Y116" s="29"/>
      <c r="Z116" s="29"/>
      <c r="AA116" s="29"/>
      <c r="AB116" s="29"/>
      <c r="AC116" s="29"/>
      <c r="AD116" s="29"/>
      <c r="AE116" s="29"/>
      <c r="AF116" s="29"/>
      <c r="AG116" s="29"/>
      <c r="AH116" s="29"/>
      <c r="AI116" s="29"/>
      <c r="AJ116" s="29"/>
      <c r="AK116" s="29"/>
      <c r="AL116" s="29"/>
      <c r="AM116" s="29"/>
    </row>
    <row r="117">
      <c r="A117" s="31" t="s">
        <v>43</v>
      </c>
      <c r="B117" s="32">
        <v>11500.0</v>
      </c>
      <c r="C117" s="33" t="str">
        <f t="array" ref="C117">INDEX('MTA 28-09'!B:B,MATCH(B117,'MTA 28-09'!A:A,0))</f>
        <v>SIM</v>
      </c>
      <c r="D117" s="34">
        <f t="array" ref="D117">INDEX('MTA 28-09'!D:D,MATCH(B117,'MTA 28-09'!A:A,0))</f>
        <v>2048</v>
      </c>
      <c r="E117" s="32" t="str">
        <f t="array" ref="E117">INDEX('MTA 28-09'!F:F,MATCH(B117,'MTA 28-09'!A:A,0))</f>
        <v>CANCELADO</v>
      </c>
      <c r="F117" s="137" t="str">
        <f t="array" ref="F117">INDEX('MTA 28-09'!I:I,MATCH(B117,'MTA 28-09'!A:A,0))</f>
        <v/>
      </c>
      <c r="G117" s="36" t="str">
        <f t="array" ref="G117">INDEX('MTA 28-09'!J:J,MATCH(B117,'MTA 28-09'!A:A,0))</f>
        <v/>
      </c>
      <c r="H117" s="287" t="s">
        <v>157</v>
      </c>
      <c r="I117" s="295"/>
      <c r="J117" s="39"/>
      <c r="K117" s="40"/>
      <c r="L117" s="39" t="str">
        <f t="array" ref="L117">INDEX('MTA 28-09'!S:S,MATCH(B117,'MTA 28-09'!A:A,0))</f>
        <v>C-95M</v>
      </c>
      <c r="M117" s="32" t="str">
        <f t="array" ref="M117">INDEX('MTA 28-09'!T:T,MATCH(B117,'MTA 28-09'!A:A,0))</f>
        <v>REQUISIÇÃO SERVIÇO</v>
      </c>
      <c r="N117" s="32" t="str">
        <f t="array" ref="N117">INDEX('MTA 28-09'!U:U,MATCH(B117,'MTA 28-09'!A:A,0))</f>
        <v>Reparo de CTVR 2 EA (3/3)</v>
      </c>
      <c r="O117" s="59" t="str">
        <f t="array" ref="O117">INDEX('MTA 28-09'!AC:AC,MATCH(B117,'MTA 28-09'!A:A,0))</f>
        <v> -</v>
      </c>
      <c r="P117" s="32" t="str">
        <f t="array" ref="P117">INDEX('MTA 28-09'!N:N,MATCH(B117,'MTA 28-09'!A:A,0))</f>
        <v>CABW</v>
      </c>
      <c r="Q117" s="67" t="str">
        <f t="array" ref="Q117">INDEX('MTA 28-09'!Z:Z,MATCH(B117,'MTA 28-09'!A:A,0))</f>
        <v>339039</v>
      </c>
      <c r="R117" s="32" t="str">
        <f t="array" ref="R117">INDEX('MTA 28-09'!L:L,MATCH(B117,'MTA 28-09'!A:A,0))</f>
        <v>A</v>
      </c>
      <c r="S117" s="72" t="str">
        <f t="array" ref="S117">INDEX('MTA 28-09'!X:X,MATCH(B117,'MTA 28-09'!A:A,0))</f>
        <v>REQUISIÇÃO</v>
      </c>
      <c r="T117" s="72" t="str">
        <f t="array" ref="T117">INDEX('MTA 28-09'!W:W,MATCH(B117,'MTA 28-09'!A:A,0))</f>
        <v>SIM</v>
      </c>
      <c r="U117" s="81">
        <f t="array" ref="U117">INDEX('MTA 28-09'!AE:AE,MATCH(B117,'MTA 28-09'!A:A,0))</f>
        <v>46200</v>
      </c>
      <c r="V117" s="12"/>
      <c r="W117" s="12"/>
      <c r="X117" s="12"/>
      <c r="Y117" s="12"/>
      <c r="Z117" s="12"/>
      <c r="AA117" s="12"/>
      <c r="AB117" s="12"/>
      <c r="AC117" s="12"/>
      <c r="AD117" s="12"/>
      <c r="AE117" s="12"/>
      <c r="AF117" s="12"/>
      <c r="AG117" s="12"/>
      <c r="AH117" s="12"/>
      <c r="AI117" s="12"/>
      <c r="AJ117" s="12"/>
      <c r="AK117" s="12"/>
      <c r="AL117" s="12"/>
      <c r="AM117" s="12"/>
    </row>
    <row r="118">
      <c r="A118" s="88" t="s">
        <v>43</v>
      </c>
      <c r="B118" s="98">
        <v>11520.0</v>
      </c>
      <c r="C118" s="92" t="str">
        <f t="array" ref="C118">INDEX('MTA 28-09'!B:B,MATCH(B118,'MTA 28-09'!A:A,0))</f>
        <v>SIM</v>
      </c>
      <c r="D118" s="95">
        <f t="array" ref="D118">INDEX('MTA 28-09'!D:D,MATCH(B118,'MTA 28-09'!A:A,0))</f>
        <v>2048</v>
      </c>
      <c r="E118" s="98" t="str">
        <f t="array" ref="E118">INDEX('MTA 28-09'!F:F,MATCH(B118,'MTA 28-09'!A:A,0))</f>
        <v/>
      </c>
      <c r="F118" s="99" t="str">
        <f t="array" ref="F118">INDEX('MTA 28-09'!I:I,MATCH(B118,'MTA 28-09'!A:A,0))</f>
        <v/>
      </c>
      <c r="G118" s="100" t="str">
        <f t="array" ref="G118">INDEX('MTA 28-09'!J:J,MATCH(B118,'MTA 28-09'!A:A,0))</f>
        <v/>
      </c>
      <c r="H118" s="159" t="s">
        <v>157</v>
      </c>
      <c r="I118" s="296"/>
      <c r="J118" s="102"/>
      <c r="K118" s="103"/>
      <c r="L118" s="102" t="str">
        <f t="array" ref="L118">INDEX('MTA 28-09'!S:S,MATCH(B118,'MTA 28-09'!A:A,0))</f>
        <v>C-95M</v>
      </c>
      <c r="M118" s="98" t="str">
        <f t="array" ref="M118">INDEX('MTA 28-09'!T:T,MATCH(B118,'MTA 28-09'!A:A,0))</f>
        <v>REQUISIÇÃO PUBLICAÇÃO</v>
      </c>
      <c r="N118" s="98" t="str">
        <f t="array" ref="N118">INDEX('MTA 28-09'!U:U,MATCH(B118,'MTA 28-09'!A:A,0))</f>
        <v>Maintenance and Overhaul Collection PN 3077123 PT6A-34/114A</v>
      </c>
      <c r="O118" s="104">
        <f t="array" ref="O118">INDEX('MTA 28-09'!AC:AC,MATCH(B118,'MTA 28-09'!A:A,0))</f>
        <v>200000</v>
      </c>
      <c r="P118" s="98" t="str">
        <f t="array" ref="P118">INDEX('MTA 28-09'!N:N,MATCH(B118,'MTA 28-09'!A:A,0))</f>
        <v>CABW</v>
      </c>
      <c r="Q118" s="105" t="str">
        <f t="array" ref="Q118">INDEX('MTA 28-09'!Z:Z,MATCH(B118,'MTA 28-09'!A:A,0))</f>
        <v>339039</v>
      </c>
      <c r="R118" s="98" t="str">
        <f t="array" ref="R118">INDEX('MTA 28-09'!L:L,MATCH(B118,'MTA 28-09'!A:A,0))</f>
        <v>A</v>
      </c>
      <c r="S118" s="107" t="str">
        <f t="array" ref="S118">INDEX('MTA 28-09'!X:X,MATCH(B118,'MTA 28-09'!A:A,0))</f>
        <v>REQUISIÇÃO</v>
      </c>
      <c r="T118" s="107" t="str">
        <f t="array" ref="T118">INDEX('MTA 28-09'!W:W,MATCH(B118,'MTA 28-09'!A:A,0))</f>
        <v>SIM</v>
      </c>
      <c r="U118" s="109">
        <f t="array" ref="U118">INDEX('MTA 28-09'!AE:AE,MATCH(B118,'MTA 28-09'!A:A,0))</f>
        <v>46352</v>
      </c>
      <c r="V118" s="29"/>
      <c r="W118" s="29"/>
      <c r="X118" s="29"/>
      <c r="Y118" s="29"/>
      <c r="Z118" s="29"/>
      <c r="AA118" s="29"/>
      <c r="AB118" s="29"/>
      <c r="AC118" s="29"/>
      <c r="AD118" s="29"/>
      <c r="AE118" s="29"/>
      <c r="AF118" s="29"/>
      <c r="AG118" s="29"/>
      <c r="AH118" s="29"/>
      <c r="AI118" s="29"/>
      <c r="AJ118" s="29"/>
      <c r="AK118" s="29"/>
      <c r="AL118" s="29"/>
      <c r="AM118" s="29"/>
    </row>
    <row r="119">
      <c r="A119" s="31" t="s">
        <v>43</v>
      </c>
      <c r="B119" s="32">
        <v>11540.0</v>
      </c>
      <c r="C119" s="33" t="str">
        <f t="array" ref="C119">INDEX('MTA 28-09'!B:B,MATCH(B119,'MTA 28-09'!A:A,0))</f>
        <v>SIM</v>
      </c>
      <c r="D119" s="34">
        <f t="array" ref="D119">INDEX('MTA 28-09'!D:D,MATCH(B119,'MTA 28-09'!A:A,0))</f>
        <v>2048</v>
      </c>
      <c r="E119" s="32" t="str">
        <f t="array" ref="E119">INDEX('MTA 28-09'!F:F,MATCH(B119,'MTA 28-09'!A:A,0))</f>
        <v>CANCELADO</v>
      </c>
      <c r="F119" s="294" t="str">
        <f t="array" ref="F119">INDEX('MTA 28-09'!I:I,MATCH(B119,'MTA 28-09'!A:A,0))</f>
        <v/>
      </c>
      <c r="G119" s="36" t="str">
        <f t="array" ref="G119">INDEX('MTA 28-09'!J:J,MATCH(B119,'MTA 28-09'!A:A,0))</f>
        <v/>
      </c>
      <c r="H119" s="287" t="s">
        <v>157</v>
      </c>
      <c r="I119" s="295"/>
      <c r="J119" s="39"/>
      <c r="K119" s="40"/>
      <c r="L119" s="39" t="str">
        <f t="array" ref="L119">INDEX('MTA 28-09'!S:S,MATCH(B119,'MTA 28-09'!A:A,0))</f>
        <v>C-95M</v>
      </c>
      <c r="M119" s="32" t="str">
        <f t="array" ref="M119">INDEX('MTA 28-09'!T:T,MATCH(B119,'MTA 28-09'!A:A,0))</f>
        <v>REQUISIÇÃO PUBLICAÇÃO</v>
      </c>
      <c r="N119" s="32" t="str">
        <f t="array" ref="N119">INDEX('MTA 28-09'!U:U,MATCH(B119,'MTA 28-09'!A:A,0))</f>
        <v>Publicações de Acessórios PT6A-34</v>
      </c>
      <c r="O119" s="59" t="str">
        <f t="array" ref="O119">INDEX('MTA 28-09'!AC:AC,MATCH(B119,'MTA 28-09'!A:A,0))</f>
        <v> -</v>
      </c>
      <c r="P119" s="32" t="str">
        <f t="array" ref="P119">INDEX('MTA 28-09'!N:N,MATCH(B119,'MTA 28-09'!A:A,0))</f>
        <v>CABW</v>
      </c>
      <c r="Q119" s="67" t="str">
        <f t="array" ref="Q119">INDEX('MTA 28-09'!Z:Z,MATCH(B119,'MTA 28-09'!A:A,0))</f>
        <v>339039</v>
      </c>
      <c r="R119" s="32" t="str">
        <f t="array" ref="R119">INDEX('MTA 28-09'!L:L,MATCH(B119,'MTA 28-09'!A:A,0))</f>
        <v>A</v>
      </c>
      <c r="S119" s="72" t="str">
        <f t="array" ref="S119">INDEX('MTA 28-09'!X:X,MATCH(B119,'MTA 28-09'!A:A,0))</f>
        <v>REQUISIÇÃO</v>
      </c>
      <c r="T119" s="72" t="str">
        <f t="array" ref="T119">INDEX('MTA 28-09'!W:W,MATCH(B119,'MTA 28-09'!A:A,0))</f>
        <v>SIM</v>
      </c>
      <c r="U119" s="81">
        <f t="array" ref="U119">INDEX('MTA 28-09'!AE:AE,MATCH(B119,'MTA 28-09'!A:A,0))</f>
        <v>46352</v>
      </c>
      <c r="V119" s="12"/>
      <c r="W119" s="12"/>
      <c r="X119" s="12"/>
      <c r="Y119" s="12"/>
      <c r="Z119" s="12"/>
      <c r="AA119" s="12"/>
      <c r="AB119" s="12"/>
      <c r="AC119" s="12"/>
      <c r="AD119" s="12"/>
      <c r="AE119" s="12"/>
      <c r="AF119" s="12"/>
      <c r="AG119" s="12"/>
      <c r="AH119" s="12"/>
      <c r="AI119" s="12"/>
      <c r="AJ119" s="12"/>
      <c r="AK119" s="12"/>
      <c r="AL119" s="12"/>
      <c r="AM119" s="12"/>
    </row>
    <row r="120">
      <c r="A120" s="88" t="s">
        <v>104</v>
      </c>
      <c r="B120" s="98">
        <v>11560.0</v>
      </c>
      <c r="C120" s="92" t="str">
        <f t="array" ref="C120">INDEX('MTA 28-09'!B:B,MATCH(B120,'MTA 28-09'!A:A,0))</f>
        <v>SIM</v>
      </c>
      <c r="D120" s="95">
        <f t="array" ref="D120">INDEX('MTA 28-09'!D:D,MATCH(B120,'MTA 28-09'!A:A,0))</f>
        <v>2048</v>
      </c>
      <c r="E120" s="98" t="str">
        <f t="array" ref="E120">INDEX('MTA 28-09'!F:F,MATCH(B120,'MTA 28-09'!A:A,0))</f>
        <v/>
      </c>
      <c r="F120" s="99" t="str">
        <f t="array" ref="F120">INDEX('MTA 28-09'!I:I,MATCH(B120,'MTA 28-09'!A:A,0))</f>
        <v/>
      </c>
      <c r="G120" s="100" t="str">
        <f t="array" ref="G120">INDEX('MTA 28-09'!J:J,MATCH(B120,'MTA 28-09'!A:A,0))</f>
        <v/>
      </c>
      <c r="H120" s="159" t="s">
        <v>157</v>
      </c>
      <c r="I120" s="90" t="s">
        <v>1183</v>
      </c>
      <c r="J120" s="102"/>
      <c r="K120" s="103"/>
      <c r="L120" s="102" t="str">
        <f t="array" ref="L120">INDEX('MTA 28-09'!S:S,MATCH(B120,'MTA 28-09'!A:A,0))</f>
        <v>APOIO</v>
      </c>
      <c r="M120" s="98" t="str">
        <f t="array" ref="M120">INDEX('MTA 28-09'!T:T,MATCH(B120,'MTA 28-09'!A:A,0))</f>
        <v>Requisição CABW</v>
      </c>
      <c r="N120" s="98" t="str">
        <f t="array" ref="N120">INDEX('MTA 28-09'!U:U,MATCH(B120,'MTA 28-09'!A:A,0))</f>
        <v>Requisições Consumíveis 1/2</v>
      </c>
      <c r="O120" s="104">
        <f t="array" ref="O120">INDEX('MTA 28-09'!AC:AC,MATCH(B120,'MTA 28-09'!A:A,0))</f>
        <v>190000</v>
      </c>
      <c r="P120" s="98" t="str">
        <f t="array" ref="P120">INDEX('MTA 28-09'!N:N,MATCH(B120,'MTA 28-09'!A:A,0))</f>
        <v>CELOG</v>
      </c>
      <c r="Q120" s="105" t="str">
        <f t="array" ref="Q120">INDEX('MTA 28-09'!Z:Z,MATCH(B120,'MTA 28-09'!A:A,0))</f>
        <v>339030</v>
      </c>
      <c r="R120" s="98" t="str">
        <f t="array" ref="R120">INDEX('MTA 28-09'!L:L,MATCH(B120,'MTA 28-09'!A:A,0))</f>
        <v>A</v>
      </c>
      <c r="S120" s="107" t="str">
        <f t="array" ref="S120">INDEX('MTA 28-09'!X:X,MATCH(B120,'MTA 28-09'!A:A,0))</f>
        <v>REQUISIÇÃO</v>
      </c>
      <c r="T120" s="107" t="str">
        <f t="array" ref="T120">INDEX('MTA 28-09'!W:W,MATCH(B120,'MTA 28-09'!A:A,0))</f>
        <v>NÃO</v>
      </c>
      <c r="U120" s="109">
        <f t="array" ref="U120">INDEX('MTA 28-09'!AE:AE,MATCH(B120,'MTA 28-09'!A:A,0))</f>
        <v>46352</v>
      </c>
      <c r="V120" s="29"/>
      <c r="W120" s="29"/>
      <c r="X120" s="29"/>
      <c r="Y120" s="29"/>
      <c r="Z120" s="29"/>
      <c r="AA120" s="29"/>
      <c r="AB120" s="29"/>
      <c r="AC120" s="29"/>
      <c r="AD120" s="29"/>
      <c r="AE120" s="29"/>
      <c r="AF120" s="29"/>
      <c r="AG120" s="29"/>
      <c r="AH120" s="29"/>
      <c r="AI120" s="29"/>
      <c r="AJ120" s="29"/>
      <c r="AK120" s="29"/>
      <c r="AL120" s="29"/>
      <c r="AM120" s="29"/>
    </row>
    <row r="121">
      <c r="A121" s="31" t="s">
        <v>44</v>
      </c>
      <c r="B121" s="32">
        <v>11580.0</v>
      </c>
      <c r="C121" s="33" t="str">
        <f t="array" ref="C121">INDEX('MTA 28-09'!B:B,MATCH(B121,'MTA 28-09'!A:A,0))</f>
        <v>NÃO</v>
      </c>
      <c r="D121" s="34" t="str">
        <f t="array" ref="D121">INDEX('MTA 28-09'!D:D,MATCH(B121,'MTA 28-09'!A:A,0))</f>
        <v/>
      </c>
      <c r="E121" s="32" t="str">
        <f t="array" ref="E121">INDEX('MTA 28-09'!F:F,MATCH(B121,'MTA 28-09'!A:A,0))</f>
        <v>BLOQUEIO</v>
      </c>
      <c r="F121" s="35" t="str">
        <f t="array" ref="F121">INDEX('MTA 28-09'!I:I,MATCH(B121,'MTA 28-09'!A:A,0))</f>
        <v/>
      </c>
      <c r="G121" s="36" t="str">
        <f t="array" ref="G121">INDEX('MTA 28-09'!J:J,MATCH(B121,'MTA 28-09'!A:A,0))</f>
        <v/>
      </c>
      <c r="H121" s="287" t="s">
        <v>157</v>
      </c>
      <c r="I121" s="295"/>
      <c r="J121" s="39"/>
      <c r="K121" s="40"/>
      <c r="L121" s="39" t="str">
        <f t="array" ref="L121">INDEX('MTA 28-09'!S:S,MATCH(B121,'MTA 28-09'!A:A,0))</f>
        <v>C-97</v>
      </c>
      <c r="M121" s="32" t="str">
        <f t="array" ref="M121">INDEX('MTA 28-09'!T:T,MATCH(B121,'MTA 28-09'!A:A,0))</f>
        <v>CTT XXX/CELOG-PAMALS/2026 - MOTORES</v>
      </c>
      <c r="N121" s="32" t="str">
        <f t="array" ref="N121">INDEX('MTA 28-09'!U:U,MATCH(B121,'MTA 28-09'!A:A,0))</f>
        <v>Revisão Geral 1/1</v>
      </c>
      <c r="O121" s="59">
        <f t="array" ref="O121">INDEX('MTA 28-09'!AC:AC,MATCH(B121,'MTA 28-09'!A:A,0))</f>
        <v>4700000</v>
      </c>
      <c r="P121" s="32" t="str">
        <f t="array" ref="P121">INDEX('MTA 28-09'!N:N,MATCH(B121,'MTA 28-09'!A:A,0))</f>
        <v>CELOG</v>
      </c>
      <c r="Q121" s="67" t="str">
        <f t="array" ref="Q121">INDEX('MTA 28-09'!Z:Z,MATCH(B121,'MTA 28-09'!A:A,0))</f>
        <v>339039</v>
      </c>
      <c r="R121" s="32" t="str">
        <f t="array" ref="R121">INDEX('MTA 28-09'!L:L,MATCH(B121,'MTA 28-09'!A:A,0))</f>
        <v>B</v>
      </c>
      <c r="S121" s="72" t="str">
        <f t="array" ref="S121">INDEX('MTA 28-09'!X:X,MATCH(B121,'MTA 28-09'!A:A,0))</f>
        <v>SOB DEMANDA</v>
      </c>
      <c r="T121" s="72" t="str">
        <f t="array" ref="T121">INDEX('MTA 28-09'!W:W,MATCH(B121,'MTA 28-09'!A:A,0))</f>
        <v>SIM</v>
      </c>
      <c r="U121" s="81">
        <f t="array" ref="U121">INDEX('MTA 28-09'!AE:AE,MATCH(B121,'MTA 28-09'!A:A,0))</f>
        <v>46382</v>
      </c>
      <c r="V121" s="12"/>
      <c r="W121" s="12"/>
      <c r="X121" s="12"/>
      <c r="Y121" s="12"/>
      <c r="Z121" s="12"/>
      <c r="AA121" s="12"/>
      <c r="AB121" s="12"/>
      <c r="AC121" s="12"/>
      <c r="AD121" s="12"/>
      <c r="AE121" s="12"/>
      <c r="AF121" s="12"/>
      <c r="AG121" s="12"/>
      <c r="AH121" s="12"/>
      <c r="AI121" s="12"/>
      <c r="AJ121" s="12"/>
      <c r="AK121" s="12"/>
      <c r="AL121" s="12"/>
      <c r="AM121" s="12"/>
    </row>
    <row r="122">
      <c r="A122" s="88" t="s">
        <v>44</v>
      </c>
      <c r="B122" s="98">
        <v>11600.0</v>
      </c>
      <c r="C122" s="92" t="str">
        <f t="array" ref="C122">INDEX('MTA 28-09'!B:B,MATCH(B122,'MTA 28-09'!A:A,0))</f>
        <v>NÃO</v>
      </c>
      <c r="D122" s="95" t="str">
        <f t="array" ref="D122">INDEX('MTA 28-09'!D:D,MATCH(B122,'MTA 28-09'!A:A,0))</f>
        <v/>
      </c>
      <c r="E122" s="98" t="str">
        <f t="array" ref="E122">INDEX('MTA 28-09'!F:F,MATCH(B122,'MTA 28-09'!A:A,0))</f>
        <v>BLOQUEIO</v>
      </c>
      <c r="F122" s="99" t="str">
        <f t="array" ref="F122">INDEX('MTA 28-09'!I:I,MATCH(B122,'MTA 28-09'!A:A,0))</f>
        <v/>
      </c>
      <c r="G122" s="100" t="str">
        <f t="array" ref="G122">INDEX('MTA 28-09'!J:J,MATCH(B122,'MTA 28-09'!A:A,0))</f>
        <v/>
      </c>
      <c r="H122" s="159" t="s">
        <v>157</v>
      </c>
      <c r="I122" s="296"/>
      <c r="J122" s="102"/>
      <c r="K122" s="103"/>
      <c r="L122" s="102" t="str">
        <f t="array" ref="L122">INDEX('MTA 28-09'!S:S,MATCH(B122,'MTA 28-09'!A:A,0))</f>
        <v>C-97</v>
      </c>
      <c r="M122" s="98" t="str">
        <f t="array" ref="M122">INDEX('MTA 28-09'!T:T,MATCH(B122,'MTA 28-09'!A:A,0))</f>
        <v>CTT XXX/CELOG-PAMALS/2026 - MOTORES</v>
      </c>
      <c r="N122" s="98" t="str">
        <f t="array" ref="N122">INDEX('MTA 28-09'!U:U,MATCH(B122,'MTA 28-09'!A:A,0))</f>
        <v>HSI 1/2</v>
      </c>
      <c r="O122" s="104">
        <f t="array" ref="O122">INDEX('MTA 28-09'!AC:AC,MATCH(B122,'MTA 28-09'!A:A,0))</f>
        <v>2800000</v>
      </c>
      <c r="P122" s="98" t="str">
        <f t="array" ref="P122">INDEX('MTA 28-09'!N:N,MATCH(B122,'MTA 28-09'!A:A,0))</f>
        <v>CELOG</v>
      </c>
      <c r="Q122" s="105" t="str">
        <f t="array" ref="Q122">INDEX('MTA 28-09'!Z:Z,MATCH(B122,'MTA 28-09'!A:A,0))</f>
        <v>339039</v>
      </c>
      <c r="R122" s="98" t="str">
        <f t="array" ref="R122">INDEX('MTA 28-09'!L:L,MATCH(B122,'MTA 28-09'!A:A,0))</f>
        <v>B</v>
      </c>
      <c r="S122" s="107" t="str">
        <f t="array" ref="S122">INDEX('MTA 28-09'!X:X,MATCH(B122,'MTA 28-09'!A:A,0))</f>
        <v>SOB DEMANDA</v>
      </c>
      <c r="T122" s="107" t="str">
        <f t="array" ref="T122">INDEX('MTA 28-09'!W:W,MATCH(B122,'MTA 28-09'!A:A,0))</f>
        <v>SIM</v>
      </c>
      <c r="U122" s="109">
        <f t="array" ref="U122">INDEX('MTA 28-09'!AE:AE,MATCH(B122,'MTA 28-09'!A:A,0))</f>
        <v>46382</v>
      </c>
      <c r="V122" s="29"/>
      <c r="W122" s="29"/>
      <c r="X122" s="29"/>
      <c r="Y122" s="29"/>
      <c r="Z122" s="29"/>
      <c r="AA122" s="29"/>
      <c r="AB122" s="29"/>
      <c r="AC122" s="29"/>
      <c r="AD122" s="29"/>
      <c r="AE122" s="29"/>
      <c r="AF122" s="29"/>
      <c r="AG122" s="29"/>
      <c r="AH122" s="29"/>
      <c r="AI122" s="29"/>
      <c r="AJ122" s="29"/>
      <c r="AK122" s="29"/>
      <c r="AL122" s="29"/>
      <c r="AM122" s="29"/>
    </row>
    <row r="123">
      <c r="A123" s="31" t="s">
        <v>44</v>
      </c>
      <c r="B123" s="32">
        <v>11620.0</v>
      </c>
      <c r="C123" s="33" t="str">
        <f t="array" ref="C123">INDEX('MTA 28-09'!B:B,MATCH(B123,'MTA 28-09'!A:A,0))</f>
        <v>NÃO</v>
      </c>
      <c r="D123" s="34" t="str">
        <f t="array" ref="D123">INDEX('MTA 28-09'!D:D,MATCH(B123,'MTA 28-09'!A:A,0))</f>
        <v/>
      </c>
      <c r="E123" s="32" t="str">
        <f t="array" ref="E123">INDEX('MTA 28-09'!F:F,MATCH(B123,'MTA 28-09'!A:A,0))</f>
        <v>BLOQUEIO</v>
      </c>
      <c r="F123" s="35" t="str">
        <f t="array" ref="F123">INDEX('MTA 28-09'!I:I,MATCH(B123,'MTA 28-09'!A:A,0))</f>
        <v/>
      </c>
      <c r="G123" s="36" t="str">
        <f t="array" ref="G123">INDEX('MTA 28-09'!J:J,MATCH(B123,'MTA 28-09'!A:A,0))</f>
        <v/>
      </c>
      <c r="H123" s="287" t="s">
        <v>157</v>
      </c>
      <c r="I123" s="295"/>
      <c r="J123" s="39"/>
      <c r="K123" s="40"/>
      <c r="L123" s="39" t="str">
        <f t="array" ref="L123">INDEX('MTA 28-09'!S:S,MATCH(B123,'MTA 28-09'!A:A,0))</f>
        <v>C-97</v>
      </c>
      <c r="M123" s="32" t="str">
        <f t="array" ref="M123">INDEX('MTA 28-09'!T:T,MATCH(B123,'MTA 28-09'!A:A,0))</f>
        <v>CTT XXX/CELOG-PAMALS/2026 - MOTORES</v>
      </c>
      <c r="N123" s="32" t="str">
        <f t="array" ref="N123">INDEX('MTA 28-09'!U:U,MATCH(B123,'MTA 28-09'!A:A,0))</f>
        <v>HSI 2/2</v>
      </c>
      <c r="O123" s="59">
        <f t="array" ref="O123">INDEX('MTA 28-09'!AC:AC,MATCH(B123,'MTA 28-09'!A:A,0))</f>
        <v>2800000</v>
      </c>
      <c r="P123" s="32" t="str">
        <f t="array" ref="P123">INDEX('MTA 28-09'!N:N,MATCH(B123,'MTA 28-09'!A:A,0))</f>
        <v>CELOG</v>
      </c>
      <c r="Q123" s="67" t="str">
        <f t="array" ref="Q123">INDEX('MTA 28-09'!Z:Z,MATCH(B123,'MTA 28-09'!A:A,0))</f>
        <v>339039</v>
      </c>
      <c r="R123" s="32" t="str">
        <f t="array" ref="R123">INDEX('MTA 28-09'!L:L,MATCH(B123,'MTA 28-09'!A:A,0))</f>
        <v>B</v>
      </c>
      <c r="S123" s="72" t="str">
        <f t="array" ref="S123">INDEX('MTA 28-09'!X:X,MATCH(B123,'MTA 28-09'!A:A,0))</f>
        <v>SOB DEMANDA</v>
      </c>
      <c r="T123" s="72" t="str">
        <f t="array" ref="T123">INDEX('MTA 28-09'!W:W,MATCH(B123,'MTA 28-09'!A:A,0))</f>
        <v>SIM</v>
      </c>
      <c r="U123" s="413">
        <f t="array" ref="U123">INDEX('MTA 28-09'!AE:AE,MATCH(B123,'MTA 28-09'!A:A,0))</f>
        <v>46382</v>
      </c>
      <c r="V123" s="12"/>
      <c r="W123" s="12"/>
      <c r="X123" s="12"/>
      <c r="Y123" s="12"/>
      <c r="Z123" s="12"/>
      <c r="AA123" s="12"/>
      <c r="AB123" s="12"/>
      <c r="AC123" s="12"/>
      <c r="AD123" s="12"/>
      <c r="AE123" s="12"/>
      <c r="AF123" s="12"/>
      <c r="AG123" s="12"/>
      <c r="AH123" s="12"/>
      <c r="AI123" s="12"/>
      <c r="AJ123" s="12"/>
      <c r="AK123" s="12"/>
      <c r="AL123" s="12"/>
      <c r="AM123" s="12"/>
    </row>
    <row r="124">
      <c r="A124" s="88" t="s">
        <v>44</v>
      </c>
      <c r="B124" s="98">
        <v>11640.0</v>
      </c>
      <c r="C124" s="92" t="str">
        <f t="array" ref="C124">INDEX('MTA 28-09'!B:B,MATCH(B124,'MTA 28-09'!A:A,0))</f>
        <v>SIM</v>
      </c>
      <c r="D124" s="95">
        <f t="array" ref="D124">INDEX('MTA 28-09'!D:D,MATCH(B124,'MTA 28-09'!A:A,0))</f>
        <v>2048</v>
      </c>
      <c r="E124" s="98" t="str">
        <f t="array" ref="E124">INDEX('MTA 28-09'!F:F,MATCH(B124,'MTA 28-09'!A:A,0))</f>
        <v>ATENDIDO</v>
      </c>
      <c r="F124" s="99">
        <f t="array" ref="F124">INDEX('MTA 28-09'!I:I,MATCH(B124,'MTA 28-09'!A:A,0))</f>
        <v>46205</v>
      </c>
      <c r="G124" s="100" t="str">
        <f t="array" ref="G124">INDEX('MTA 28-09'!J:J,MATCH(B124,'MTA 28-09'!A:A,0))</f>
        <v>C26136</v>
      </c>
      <c r="H124" s="101" t="s">
        <v>1562</v>
      </c>
      <c r="I124" s="90"/>
      <c r="J124" s="102"/>
      <c r="K124" s="103"/>
      <c r="L124" s="102" t="str">
        <f t="array" ref="L124">INDEX('MTA 28-09'!S:S,MATCH(B124,'MTA 28-09'!A:A,0))</f>
        <v>C-97</v>
      </c>
      <c r="M124" s="98" t="str">
        <f t="array" ref="M124">INDEX('MTA 28-09'!T:T,MATCH(B124,'MTA 28-09'!A:A,0))</f>
        <v>Requisição CABW</v>
      </c>
      <c r="N124" s="98" t="str">
        <f t="array" ref="N124">INDEX('MTA 28-09'!U:U,MATCH(B124,'MTA 28-09'!A:A,0))</f>
        <v>Requisições Consumíveis 1/4</v>
      </c>
      <c r="O124" s="104">
        <f t="array" ref="O124">INDEX('MTA 28-09'!AC:AC,MATCH(B124,'MTA 28-09'!A:A,0))</f>
        <v>87963.66</v>
      </c>
      <c r="P124" s="98" t="str">
        <f t="array" ref="P124">INDEX('MTA 28-09'!N:N,MATCH(B124,'MTA 28-09'!A:A,0))</f>
        <v>CABW</v>
      </c>
      <c r="Q124" s="105" t="str">
        <f t="array" ref="Q124">INDEX('MTA 28-09'!Z:Z,MATCH(B124,'MTA 28-09'!A:A,0))</f>
        <v>339030</v>
      </c>
      <c r="R124" s="98" t="str">
        <f t="array" ref="R124">INDEX('MTA 28-09'!L:L,MATCH(B124,'MTA 28-09'!A:A,0))</f>
        <v>A</v>
      </c>
      <c r="S124" s="107" t="str">
        <f t="array" ref="S124">INDEX('MTA 28-09'!X:X,MATCH(B124,'MTA 28-09'!A:A,0))</f>
        <v>REQUISIÇÃO</v>
      </c>
      <c r="T124" s="107" t="str">
        <f t="array" ref="T124">INDEX('MTA 28-09'!W:W,MATCH(B124,'MTA 28-09'!A:A,0))</f>
        <v>Não</v>
      </c>
      <c r="U124" s="109">
        <f t="array" ref="U124">INDEX('MTA 28-09'!AE:AE,MATCH(B124,'MTA 28-09'!A:A,0))</f>
        <v>46291</v>
      </c>
      <c r="V124" s="29"/>
      <c r="W124" s="29"/>
      <c r="X124" s="29"/>
      <c r="Y124" s="29"/>
      <c r="Z124" s="29"/>
      <c r="AA124" s="29"/>
      <c r="AB124" s="29"/>
      <c r="AC124" s="29"/>
      <c r="AD124" s="29"/>
      <c r="AE124" s="29"/>
      <c r="AF124" s="29"/>
      <c r="AG124" s="29"/>
      <c r="AH124" s="29"/>
      <c r="AI124" s="29"/>
      <c r="AJ124" s="29"/>
      <c r="AK124" s="29"/>
      <c r="AL124" s="29"/>
      <c r="AM124" s="29"/>
    </row>
    <row r="125">
      <c r="A125" s="31" t="s">
        <v>44</v>
      </c>
      <c r="B125" s="32">
        <v>11660.0</v>
      </c>
      <c r="C125" s="33" t="str">
        <f t="array" ref="C125">INDEX('MTA 28-09'!B:B,MATCH(B125,'MTA 28-09'!A:A,0))</f>
        <v>SIM</v>
      </c>
      <c r="D125" s="34" t="str">
        <f t="array" ref="D125">INDEX('MTA 28-09'!D:D,MATCH(B125,'MTA 28-09'!A:A,0))</f>
        <v>DESTQ28</v>
      </c>
      <c r="E125" s="32" t="str">
        <f t="array" ref="E125">INDEX('MTA 28-09'!F:F,MATCH(B125,'MTA 28-09'!A:A,0))</f>
        <v>ATENDIDO</v>
      </c>
      <c r="F125" s="35">
        <f t="array" ref="F125">INDEX('MTA 28-09'!I:I,MATCH(B125,'MTA 28-09'!A:A,0))</f>
        <v>46199</v>
      </c>
      <c r="G125" s="36" t="str">
        <f t="array" ref="G125">INDEX('MTA 28-09'!J:J,MATCH(B125,'MTA 28-09'!A:A,0))</f>
        <v>C26325</v>
      </c>
      <c r="H125" s="37" t="s">
        <v>375</v>
      </c>
      <c r="I125" s="38"/>
      <c r="J125" s="39"/>
      <c r="K125" s="40"/>
      <c r="L125" s="39" t="str">
        <f t="array" ref="L125">INDEX('MTA 28-09'!S:S,MATCH(B125,'MTA 28-09'!A:A,0))</f>
        <v>C-97</v>
      </c>
      <c r="M125" s="32" t="str">
        <f t="array" ref="M125">INDEX('MTA 28-09'!T:T,MATCH(B125,'MTA 28-09'!A:A,0))</f>
        <v>CTT 096/CAE-PAMALS/2021 - CLS C-97</v>
      </c>
      <c r="N125" s="32" t="str">
        <f t="array" ref="N125">INDEX('MTA 28-09'!U:U,MATCH(B125,'MTA 28-09'!A:A,0))</f>
        <v>Módulo Extra - Elevação de Giro 1/2</v>
      </c>
      <c r="O125" s="59">
        <f t="array" ref="O125">INDEX('MTA 28-09'!AC:AC,MATCH(B125,'MTA 28-09'!A:A,0))</f>
        <v>2675833.86</v>
      </c>
      <c r="P125" s="32" t="str">
        <f t="array" ref="P125">INDEX('MTA 28-09'!N:N,MATCH(B125,'MTA 28-09'!A:A,0))</f>
        <v>CELOG</v>
      </c>
      <c r="Q125" s="67" t="str">
        <f t="array" ref="Q125">INDEX('MTA 28-09'!Z:Z,MATCH(B125,'MTA 28-09'!A:A,0))</f>
        <v>339039</v>
      </c>
      <c r="R125" s="32" t="str">
        <f t="array" ref="R125">INDEX('MTA 28-09'!L:L,MATCH(B125,'MTA 28-09'!A:A,0))</f>
        <v>A</v>
      </c>
      <c r="S125" s="72" t="str">
        <f t="array" ref="S125">INDEX('MTA 28-09'!X:X,MATCH(B125,'MTA 28-09'!A:A,0))</f>
        <v>SOB DEMANDA</v>
      </c>
      <c r="T125" s="72" t="str">
        <f t="array" ref="T125">INDEX('MTA 28-09'!W:W,MATCH(B125,'MTA 28-09'!A:A,0))</f>
        <v>Não</v>
      </c>
      <c r="U125" s="81">
        <f t="array" ref="U125">INDEX('MTA 28-09'!AE:AE,MATCH(B125,'MTA 28-09'!A:A,0))</f>
        <v>46260</v>
      </c>
      <c r="V125" s="12"/>
      <c r="W125" s="12"/>
      <c r="X125" s="12"/>
      <c r="Y125" s="12"/>
      <c r="Z125" s="12"/>
      <c r="AA125" s="12"/>
      <c r="AB125" s="12"/>
      <c r="AC125" s="12"/>
      <c r="AD125" s="12"/>
      <c r="AE125" s="12"/>
      <c r="AF125" s="12"/>
      <c r="AG125" s="12"/>
      <c r="AH125" s="12"/>
      <c r="AI125" s="12"/>
      <c r="AJ125" s="12"/>
      <c r="AK125" s="12"/>
      <c r="AL125" s="12"/>
      <c r="AM125" s="12"/>
    </row>
    <row r="126">
      <c r="A126" s="88" t="s">
        <v>45</v>
      </c>
      <c r="B126" s="98">
        <v>11680.0</v>
      </c>
      <c r="C126" s="92" t="str">
        <f t="array" ref="C126">INDEX('MTA 28-09'!B:B,MATCH(B126,'MTA 28-09'!A:A,0))</f>
        <v>SIM</v>
      </c>
      <c r="D126" s="95">
        <f t="array" ref="D126">INDEX('MTA 28-09'!D:D,MATCH(B126,'MTA 28-09'!A:A,0))</f>
        <v>2048</v>
      </c>
      <c r="E126" s="98" t="str">
        <f t="array" ref="E126">INDEX('MTA 28-09'!F:F,MATCH(B126,'MTA 28-09'!A:A,0))</f>
        <v>CANCELADO</v>
      </c>
      <c r="F126" s="99" t="str">
        <f t="array" ref="F126">INDEX('MTA 28-09'!I:I,MATCH(B126,'MTA 28-09'!A:A,0))</f>
        <v/>
      </c>
      <c r="G126" s="100" t="str">
        <f t="array" ref="G126">INDEX('MTA 28-09'!J:J,MATCH(B126,'MTA 28-09'!A:A,0))</f>
        <v/>
      </c>
      <c r="H126" s="159" t="s">
        <v>157</v>
      </c>
      <c r="I126" s="296"/>
      <c r="J126" s="102" t="s">
        <v>153</v>
      </c>
      <c r="K126" s="103"/>
      <c r="L126" s="102" t="str">
        <f t="array" ref="L126">INDEX('MTA 28-09'!S:S,MATCH(B126,'MTA 28-09'!A:A,0))</f>
        <v>C-98</v>
      </c>
      <c r="M126" s="98" t="str">
        <f t="array" ref="M126">INDEX('MTA 28-09'!T:T,MATCH(B126,'MTA 28-09'!A:A,0))</f>
        <v>REQUISIÇÃO PUBLICAÇÃO</v>
      </c>
      <c r="N126" s="98" t="str">
        <f t="array" ref="N126">INDEX('MTA 28-09'!U:U,MATCH(B126,'MTA 28-09'!A:A,0))</f>
        <v>Publicações</v>
      </c>
      <c r="O126" s="104" t="str">
        <f t="array" ref="O126">INDEX('MTA 28-09'!AC:AC,MATCH(B126,'MTA 28-09'!A:A,0))</f>
        <v> -</v>
      </c>
      <c r="P126" s="98" t="str">
        <f t="array" ref="P126">INDEX('MTA 28-09'!N:N,MATCH(B126,'MTA 28-09'!A:A,0))</f>
        <v>CABW</v>
      </c>
      <c r="Q126" s="105" t="str">
        <f t="array" ref="Q126">INDEX('MTA 28-09'!Z:Z,MATCH(B126,'MTA 28-09'!A:A,0))</f>
        <v>339039</v>
      </c>
      <c r="R126" s="98" t="str">
        <f t="array" ref="R126">INDEX('MTA 28-09'!L:L,MATCH(B126,'MTA 28-09'!A:A,0))</f>
        <v>A</v>
      </c>
      <c r="S126" s="107" t="str">
        <f t="array" ref="S126">INDEX('MTA 28-09'!X:X,MATCH(B126,'MTA 28-09'!A:A,0))</f>
        <v>REQUISIÇÃO</v>
      </c>
      <c r="T126" s="107" t="str">
        <f t="array" ref="T126">INDEX('MTA 28-09'!W:W,MATCH(B126,'MTA 28-09'!A:A,0))</f>
        <v>SIM</v>
      </c>
      <c r="U126" s="109">
        <f t="array" ref="U126">INDEX('MTA 28-09'!AE:AE,MATCH(B126,'MTA 28-09'!A:A,0))</f>
        <v>46352</v>
      </c>
      <c r="V126" s="29"/>
      <c r="W126" s="29"/>
      <c r="X126" s="29"/>
      <c r="Y126" s="29"/>
      <c r="Z126" s="29"/>
      <c r="AA126" s="29"/>
      <c r="AB126" s="29"/>
      <c r="AC126" s="29"/>
      <c r="AD126" s="29"/>
      <c r="AE126" s="29"/>
      <c r="AF126" s="29"/>
      <c r="AG126" s="29"/>
      <c r="AH126" s="29"/>
      <c r="AI126" s="29"/>
      <c r="AJ126" s="29"/>
      <c r="AK126" s="29"/>
      <c r="AL126" s="29"/>
      <c r="AM126" s="29"/>
    </row>
    <row r="127">
      <c r="A127" s="31" t="s">
        <v>45</v>
      </c>
      <c r="B127" s="32">
        <v>11700.0</v>
      </c>
      <c r="C127" s="33" t="str">
        <f t="array" ref="C127">INDEX('MTA 28-09'!B:B,MATCH(B127,'MTA 28-09'!A:A,0))</f>
        <v>SIM</v>
      </c>
      <c r="D127" s="34">
        <f t="array" ref="D127">INDEX('MTA 28-09'!D:D,MATCH(B127,'MTA 28-09'!A:A,0))</f>
        <v>2048</v>
      </c>
      <c r="E127" s="32" t="str">
        <f t="array" ref="E127">INDEX('MTA 28-09'!F:F,MATCH(B127,'MTA 28-09'!A:A,0))</f>
        <v>ATENDIDO</v>
      </c>
      <c r="F127" s="35">
        <f t="array" ref="F127">INDEX('MTA 28-09'!I:I,MATCH(B127,'MTA 28-09'!A:A,0))</f>
        <v>46121</v>
      </c>
      <c r="G127" s="36" t="str">
        <f t="array" ref="G127">INDEX('MTA 28-09'!J:J,MATCH(B127,'MTA 28-09'!A:A,0))</f>
        <v>C26216</v>
      </c>
      <c r="H127" s="287" t="s">
        <v>157</v>
      </c>
      <c r="I127" s="295"/>
      <c r="J127" s="39"/>
      <c r="K127" s="40"/>
      <c r="L127" s="39" t="str">
        <f t="array" ref="L127">INDEX('MTA 28-09'!S:S,MATCH(B127,'MTA 28-09'!A:A,0))</f>
        <v>C-98</v>
      </c>
      <c r="M127" s="32" t="str">
        <f t="array" ref="M127">INDEX('MTA 28-09'!T:T,MATCH(B127,'MTA 28-09'!A:A,0))</f>
        <v>CNT 031/CELOG-PAMASP/2022 - PW - RG</v>
      </c>
      <c r="N127" s="32" t="str">
        <f t="array" ref="N127">INDEX('MTA 28-09'!U:U,MATCH(B127,'MTA 28-09'!A:A,0))</f>
        <v>Revisão Geral PT6A-114A (3/6)</v>
      </c>
      <c r="O127" s="59">
        <f t="array" ref="O127">INDEX('MTA 28-09'!AC:AC,MATCH(B127,'MTA 28-09'!A:A,0))</f>
        <v>3799999.6</v>
      </c>
      <c r="P127" s="32" t="str">
        <f t="array" ref="P127">INDEX('MTA 28-09'!N:N,MATCH(B127,'MTA 28-09'!A:A,0))</f>
        <v>CELOG</v>
      </c>
      <c r="Q127" s="67" t="str">
        <f t="array" ref="Q127">INDEX('MTA 28-09'!Z:Z,MATCH(B127,'MTA 28-09'!A:A,0))</f>
        <v>339039</v>
      </c>
      <c r="R127" s="32" t="str">
        <f t="array" ref="R127">INDEX('MTA 28-09'!L:L,MATCH(B127,'MTA 28-09'!A:A,0))</f>
        <v>A</v>
      </c>
      <c r="S127" s="72" t="str">
        <f t="array" ref="S127">INDEX('MTA 28-09'!X:X,MATCH(B127,'MTA 28-09'!A:A,0))</f>
        <v>SOB DEMANDA</v>
      </c>
      <c r="T127" s="72" t="str">
        <f t="array" ref="T127">INDEX('MTA 28-09'!W:W,MATCH(B127,'MTA 28-09'!A:A,0))</f>
        <v>SIM</v>
      </c>
      <c r="U127" s="81">
        <f t="array" ref="U127">INDEX('MTA 28-09'!AE:AE,MATCH(B127,'MTA 28-09'!A:A,0))</f>
        <v>46138</v>
      </c>
      <c r="V127" s="12"/>
      <c r="W127" s="12"/>
      <c r="X127" s="12"/>
      <c r="Y127" s="12"/>
      <c r="Z127" s="12"/>
      <c r="AA127" s="12"/>
      <c r="AB127" s="12"/>
      <c r="AC127" s="12"/>
      <c r="AD127" s="12"/>
      <c r="AE127" s="12"/>
      <c r="AF127" s="12"/>
      <c r="AG127" s="12"/>
      <c r="AH127" s="12"/>
      <c r="AI127" s="12"/>
      <c r="AJ127" s="12"/>
      <c r="AK127" s="12"/>
      <c r="AL127" s="12"/>
      <c r="AM127" s="12"/>
    </row>
    <row r="128">
      <c r="A128" s="88" t="s">
        <v>45</v>
      </c>
      <c r="B128" s="98">
        <v>11720.0</v>
      </c>
      <c r="C128" s="92" t="str">
        <f t="array" ref="C128">INDEX('MTA 28-09'!B:B,MATCH(B128,'MTA 28-09'!A:A,0))</f>
        <v>SIM</v>
      </c>
      <c r="D128" s="95">
        <f t="array" ref="D128">INDEX('MTA 28-09'!D:D,MATCH(B128,'MTA 28-09'!A:A,0))</f>
        <v>2048</v>
      </c>
      <c r="E128" s="98" t="str">
        <f t="array" ref="E128">INDEX('MTA 28-09'!F:F,MATCH(B128,'MTA 28-09'!A:A,0))</f>
        <v>CANCELADO</v>
      </c>
      <c r="F128" s="99" t="str">
        <f t="array" ref="F128">INDEX('MTA 28-09'!I:I,MATCH(B128,'MTA 28-09'!A:A,0))</f>
        <v/>
      </c>
      <c r="G128" s="100" t="str">
        <f t="array" ref="G128">INDEX('MTA 28-09'!J:J,MATCH(B128,'MTA 28-09'!A:A,0))</f>
        <v/>
      </c>
      <c r="H128" s="159" t="s">
        <v>157</v>
      </c>
      <c r="I128" s="296"/>
      <c r="J128" s="102"/>
      <c r="K128" s="103"/>
      <c r="L128" s="102" t="str">
        <f t="array" ref="L128">INDEX('MTA 28-09'!S:S,MATCH(B128,'MTA 28-09'!A:A,0))</f>
        <v>C-98</v>
      </c>
      <c r="M128" s="98" t="str">
        <f t="array" ref="M128">INDEX('MTA 28-09'!T:T,MATCH(B128,'MTA 28-09'!A:A,0))</f>
        <v>REQUISIÇÃO SERVIÇO</v>
      </c>
      <c r="N128" s="98" t="str">
        <f t="array" ref="N128">INDEX('MTA 28-09'!U:U,MATCH(B128,'MTA 28-09'!A:A,0))</f>
        <v>RG FCU 3 EA (2/2)</v>
      </c>
      <c r="O128" s="104" t="str">
        <f t="array" ref="O128">INDEX('MTA 28-09'!AC:AC,MATCH(B128,'MTA 28-09'!A:A,0))</f>
        <v> -</v>
      </c>
      <c r="P128" s="98" t="str">
        <f t="array" ref="P128">INDEX('MTA 28-09'!N:N,MATCH(B128,'MTA 28-09'!A:A,0))</f>
        <v>CABW</v>
      </c>
      <c r="Q128" s="105" t="str">
        <f t="array" ref="Q128">INDEX('MTA 28-09'!Z:Z,MATCH(B128,'MTA 28-09'!A:A,0))</f>
        <v>339039</v>
      </c>
      <c r="R128" s="98" t="str">
        <f t="array" ref="R128">INDEX('MTA 28-09'!L:L,MATCH(B128,'MTA 28-09'!A:A,0))</f>
        <v>A</v>
      </c>
      <c r="S128" s="107" t="str">
        <f t="array" ref="S128">INDEX('MTA 28-09'!X:X,MATCH(B128,'MTA 28-09'!A:A,0))</f>
        <v>REQUISIÇÃO</v>
      </c>
      <c r="T128" s="107" t="str">
        <f t="array" ref="T128">INDEX('MTA 28-09'!W:W,MATCH(B128,'MTA 28-09'!A:A,0))</f>
        <v>SIM</v>
      </c>
      <c r="U128" s="109">
        <f t="array" ref="U128">INDEX('MTA 28-09'!AE:AE,MATCH(B128,'MTA 28-09'!A:A,0))</f>
        <v>46200</v>
      </c>
      <c r="V128" s="29"/>
      <c r="W128" s="29"/>
      <c r="X128" s="29"/>
      <c r="Y128" s="29"/>
      <c r="Z128" s="29"/>
      <c r="AA128" s="29"/>
      <c r="AB128" s="29"/>
      <c r="AC128" s="29"/>
      <c r="AD128" s="29"/>
      <c r="AE128" s="29"/>
      <c r="AF128" s="29"/>
      <c r="AG128" s="29"/>
      <c r="AH128" s="29"/>
      <c r="AI128" s="29"/>
      <c r="AJ128" s="29"/>
      <c r="AK128" s="29"/>
      <c r="AL128" s="29"/>
      <c r="AM128" s="29"/>
    </row>
    <row r="129">
      <c r="A129" s="31" t="s">
        <v>45</v>
      </c>
      <c r="B129" s="32">
        <v>11740.0</v>
      </c>
      <c r="C129" s="33" t="str">
        <f t="array" ref="C129">INDEX('MTA 28-09'!B:B,MATCH(B129,'MTA 28-09'!A:A,0))</f>
        <v>SIM</v>
      </c>
      <c r="D129" s="34">
        <f t="array" ref="D129">INDEX('MTA 28-09'!D:D,MATCH(B129,'MTA 28-09'!A:A,0))</f>
        <v>2048</v>
      </c>
      <c r="E129" s="32" t="str">
        <f t="array" ref="E129">INDEX('MTA 28-09'!F:F,MATCH(B129,'MTA 28-09'!A:A,0))</f>
        <v/>
      </c>
      <c r="F129" s="35" t="str">
        <f t="array" ref="F129">INDEX('MTA 28-09'!I:I,MATCH(B129,'MTA 28-09'!A:A,0))</f>
        <v/>
      </c>
      <c r="G129" s="36" t="str">
        <f t="array" ref="G129">INDEX('MTA 28-09'!J:J,MATCH(B129,'MTA 28-09'!A:A,0))</f>
        <v/>
      </c>
      <c r="H129" s="287" t="s">
        <v>157</v>
      </c>
      <c r="I129" s="295"/>
      <c r="J129" s="39"/>
      <c r="K129" s="40"/>
      <c r="L129" s="39" t="str">
        <f t="array" ref="L129">INDEX('MTA 28-09'!S:S,MATCH(B129,'MTA 28-09'!A:A,0))</f>
        <v>C-98</v>
      </c>
      <c r="M129" s="32" t="str">
        <f t="array" ref="M129">INDEX('MTA 28-09'!T:T,MATCH(B129,'MTA 28-09'!A:A,0))</f>
        <v>REQUISIÇÃO SERVIÇO</v>
      </c>
      <c r="N129" s="32" t="str">
        <f t="array" ref="N129">INDEX('MTA 28-09'!U:U,MATCH(B129,'MTA 28-09'!A:A,0))</f>
        <v>RG IGNITION EXCITER 4 EA (1/1)</v>
      </c>
      <c r="O129" s="59">
        <f t="array" ref="O129">INDEX('MTA 28-09'!AC:AC,MATCH(B129,'MTA 28-09'!A:A,0))</f>
        <v>60000</v>
      </c>
      <c r="P129" s="32" t="str">
        <f t="array" ref="P129">INDEX('MTA 28-09'!N:N,MATCH(B129,'MTA 28-09'!A:A,0))</f>
        <v>CABW</v>
      </c>
      <c r="Q129" s="67" t="str">
        <f t="array" ref="Q129">INDEX('MTA 28-09'!Z:Z,MATCH(B129,'MTA 28-09'!A:A,0))</f>
        <v>339039</v>
      </c>
      <c r="R129" s="32" t="str">
        <f t="array" ref="R129">INDEX('MTA 28-09'!L:L,MATCH(B129,'MTA 28-09'!A:A,0))</f>
        <v>A</v>
      </c>
      <c r="S129" s="72" t="str">
        <f t="array" ref="S129">INDEX('MTA 28-09'!X:X,MATCH(B129,'MTA 28-09'!A:A,0))</f>
        <v>REQUISIÇÃO</v>
      </c>
      <c r="T129" s="72" t="str">
        <f t="array" ref="T129">INDEX('MTA 28-09'!W:W,MATCH(B129,'MTA 28-09'!A:A,0))</f>
        <v>SIM</v>
      </c>
      <c r="U129" s="81">
        <f t="array" ref="U129">INDEX('MTA 28-09'!AE:AE,MATCH(B129,'MTA 28-09'!A:A,0))</f>
        <v>46200</v>
      </c>
      <c r="V129" s="12"/>
      <c r="W129" s="12"/>
      <c r="X129" s="12"/>
      <c r="Y129" s="12"/>
      <c r="Z129" s="12"/>
      <c r="AA129" s="12"/>
      <c r="AB129" s="12"/>
      <c r="AC129" s="12"/>
      <c r="AD129" s="12"/>
      <c r="AE129" s="12"/>
      <c r="AF129" s="12"/>
      <c r="AG129" s="12"/>
      <c r="AH129" s="12"/>
      <c r="AI129" s="12"/>
      <c r="AJ129" s="12"/>
      <c r="AK129" s="12"/>
      <c r="AL129" s="12"/>
      <c r="AM129" s="12"/>
    </row>
    <row r="130">
      <c r="A130" s="88" t="s">
        <v>45</v>
      </c>
      <c r="B130" s="98">
        <v>11760.0</v>
      </c>
      <c r="C130" s="92" t="str">
        <f t="array" ref="C130">INDEX('MTA 28-09'!B:B,MATCH(B130,'MTA 28-09'!A:A,0))</f>
        <v>SIM</v>
      </c>
      <c r="D130" s="95">
        <f t="array" ref="D130">INDEX('MTA 28-09'!D:D,MATCH(B130,'MTA 28-09'!A:A,0))</f>
        <v>2048</v>
      </c>
      <c r="E130" s="98" t="str">
        <f t="array" ref="E130">INDEX('MTA 28-09'!F:F,MATCH(B130,'MTA 28-09'!A:A,0))</f>
        <v>CANCELADO</v>
      </c>
      <c r="F130" s="99" t="str">
        <f t="array" ref="F130">INDEX('MTA 28-09'!I:I,MATCH(B130,'MTA 28-09'!A:A,0))</f>
        <v/>
      </c>
      <c r="G130" s="100" t="str">
        <f t="array" ref="G130">INDEX('MTA 28-09'!J:J,MATCH(B130,'MTA 28-09'!A:A,0))</f>
        <v/>
      </c>
      <c r="H130" s="159" t="s">
        <v>157</v>
      </c>
      <c r="I130" s="296"/>
      <c r="J130" s="102"/>
      <c r="K130" s="103"/>
      <c r="L130" s="102" t="str">
        <f t="array" ref="L130">INDEX('MTA 28-09'!S:S,MATCH(B130,'MTA 28-09'!A:A,0))</f>
        <v>C-98</v>
      </c>
      <c r="M130" s="98" t="str">
        <f t="array" ref="M130">INDEX('MTA 28-09'!T:T,MATCH(B130,'MTA 28-09'!A:A,0))</f>
        <v>REQUISIÇÃO PUBLICAÇÃO</v>
      </c>
      <c r="N130" s="98" t="str">
        <f t="array" ref="N130">INDEX('MTA 28-09'!U:U,MATCH(B130,'MTA 28-09'!A:A,0))</f>
        <v>Maintenance and Overhaul Collection PN 3077123 PT6A-34/114A</v>
      </c>
      <c r="O130" s="104" t="str">
        <f t="array" ref="O130">INDEX('MTA 28-09'!AC:AC,MATCH(B130,'MTA 28-09'!A:A,0))</f>
        <v> -</v>
      </c>
      <c r="P130" s="98" t="str">
        <f t="array" ref="P130">INDEX('MTA 28-09'!N:N,MATCH(B130,'MTA 28-09'!A:A,0))</f>
        <v>CABW</v>
      </c>
      <c r="Q130" s="105" t="str">
        <f t="array" ref="Q130">INDEX('MTA 28-09'!Z:Z,MATCH(B130,'MTA 28-09'!A:A,0))</f>
        <v>339039</v>
      </c>
      <c r="R130" s="98" t="str">
        <f t="array" ref="R130">INDEX('MTA 28-09'!L:L,MATCH(B130,'MTA 28-09'!A:A,0))</f>
        <v>A</v>
      </c>
      <c r="S130" s="107" t="str">
        <f t="array" ref="S130">INDEX('MTA 28-09'!X:X,MATCH(B130,'MTA 28-09'!A:A,0))</f>
        <v>REQUISIÇÃO</v>
      </c>
      <c r="T130" s="107" t="str">
        <f t="array" ref="T130">INDEX('MTA 28-09'!W:W,MATCH(B130,'MTA 28-09'!A:A,0))</f>
        <v>SIM</v>
      </c>
      <c r="U130" s="109">
        <f t="array" ref="U130">INDEX('MTA 28-09'!AE:AE,MATCH(B130,'MTA 28-09'!A:A,0))</f>
        <v>46352</v>
      </c>
      <c r="V130" s="29"/>
      <c r="W130" s="29"/>
      <c r="X130" s="29"/>
      <c r="Y130" s="29"/>
      <c r="Z130" s="29"/>
      <c r="AA130" s="29"/>
      <c r="AB130" s="29"/>
      <c r="AC130" s="29"/>
      <c r="AD130" s="29"/>
      <c r="AE130" s="29"/>
      <c r="AF130" s="29"/>
      <c r="AG130" s="29"/>
      <c r="AH130" s="29"/>
      <c r="AI130" s="29"/>
      <c r="AJ130" s="29"/>
      <c r="AK130" s="29"/>
      <c r="AL130" s="29"/>
      <c r="AM130" s="29"/>
    </row>
    <row r="131">
      <c r="A131" s="31" t="s">
        <v>45</v>
      </c>
      <c r="B131" s="32">
        <v>11780.0</v>
      </c>
      <c r="C131" s="33" t="str">
        <f t="array" ref="C131">INDEX('MTA 28-09'!B:B,MATCH(B131,'MTA 28-09'!A:A,0))</f>
        <v>SIM</v>
      </c>
      <c r="D131" s="34">
        <f t="array" ref="D131">INDEX('MTA 28-09'!D:D,MATCH(B131,'MTA 28-09'!A:A,0))</f>
        <v>2048</v>
      </c>
      <c r="E131" s="32" t="str">
        <f t="array" ref="E131">INDEX('MTA 28-09'!F:F,MATCH(B131,'MTA 28-09'!A:A,0))</f>
        <v>CANCELADO</v>
      </c>
      <c r="F131" s="137" t="str">
        <f t="array" ref="F131">INDEX('MTA 28-09'!I:I,MATCH(B131,'MTA 28-09'!A:A,0))</f>
        <v/>
      </c>
      <c r="G131" s="36" t="str">
        <f t="array" ref="G131">INDEX('MTA 28-09'!J:J,MATCH(B131,'MTA 28-09'!A:A,0))</f>
        <v/>
      </c>
      <c r="H131" s="287" t="s">
        <v>157</v>
      </c>
      <c r="I131" s="295"/>
      <c r="J131" s="39"/>
      <c r="K131" s="40"/>
      <c r="L131" s="39" t="str">
        <f t="array" ref="L131">INDEX('MTA 28-09'!S:S,MATCH(B131,'MTA 28-09'!A:A,0))</f>
        <v>C-98</v>
      </c>
      <c r="M131" s="32" t="str">
        <f t="array" ref="M131">INDEX('MTA 28-09'!T:T,MATCH(B131,'MTA 28-09'!A:A,0))</f>
        <v>REQUISIÇÃO PUBLICAÇÃO</v>
      </c>
      <c r="N131" s="32" t="str">
        <f t="array" ref="N131">INDEX('MTA 28-09'!U:U,MATCH(B131,'MTA 28-09'!A:A,0))</f>
        <v>Publicações de Acessórios PT6A-114A</v>
      </c>
      <c r="O131" s="59" t="str">
        <f t="array" ref="O131">INDEX('MTA 28-09'!AC:AC,MATCH(B131,'MTA 28-09'!A:A,0))</f>
        <v> -</v>
      </c>
      <c r="P131" s="32" t="str">
        <f t="array" ref="P131">INDEX('MTA 28-09'!N:N,MATCH(B131,'MTA 28-09'!A:A,0))</f>
        <v>CABW</v>
      </c>
      <c r="Q131" s="67" t="str">
        <f t="array" ref="Q131">INDEX('MTA 28-09'!Z:Z,MATCH(B131,'MTA 28-09'!A:A,0))</f>
        <v>339039</v>
      </c>
      <c r="R131" s="32" t="str">
        <f t="array" ref="R131">INDEX('MTA 28-09'!L:L,MATCH(B131,'MTA 28-09'!A:A,0))</f>
        <v>A</v>
      </c>
      <c r="S131" s="72" t="str">
        <f t="array" ref="S131">INDEX('MTA 28-09'!X:X,MATCH(B131,'MTA 28-09'!A:A,0))</f>
        <v>REQUISIÇÃO</v>
      </c>
      <c r="T131" s="72" t="str">
        <f t="array" ref="T131">INDEX('MTA 28-09'!W:W,MATCH(B131,'MTA 28-09'!A:A,0))</f>
        <v>SIM</v>
      </c>
      <c r="U131" s="81">
        <f t="array" ref="U131">INDEX('MTA 28-09'!AE:AE,MATCH(B131,'MTA 28-09'!A:A,0))</f>
        <v>46352</v>
      </c>
      <c r="V131" s="12"/>
      <c r="W131" s="12"/>
      <c r="X131" s="12"/>
      <c r="Y131" s="12"/>
      <c r="Z131" s="12"/>
      <c r="AA131" s="12"/>
      <c r="AB131" s="12"/>
      <c r="AC131" s="12"/>
      <c r="AD131" s="12"/>
      <c r="AE131" s="12"/>
      <c r="AF131" s="12"/>
      <c r="AG131" s="12"/>
      <c r="AH131" s="12"/>
      <c r="AI131" s="12"/>
      <c r="AJ131" s="12"/>
      <c r="AK131" s="12"/>
      <c r="AL131" s="12"/>
      <c r="AM131" s="12"/>
    </row>
    <row r="132">
      <c r="A132" s="88" t="s">
        <v>45</v>
      </c>
      <c r="B132" s="98">
        <v>11800.0</v>
      </c>
      <c r="C132" s="92" t="str">
        <f t="array" ref="C132">INDEX('MTA 28-09'!B:B,MATCH(B132,'MTA 28-09'!A:A,0))</f>
        <v>SIM</v>
      </c>
      <c r="D132" s="95">
        <f t="array" ref="D132">INDEX('MTA 28-09'!D:D,MATCH(B132,'MTA 28-09'!A:A,0))</f>
        <v>2048</v>
      </c>
      <c r="E132" s="98" t="str">
        <f t="array" ref="E132">INDEX('MTA 28-09'!F:F,MATCH(B132,'MTA 28-09'!A:A,0))</f>
        <v>ATENDIDO</v>
      </c>
      <c r="F132" s="99">
        <f t="array" ref="F132">INDEX('MTA 28-09'!I:I,MATCH(B132,'MTA 28-09'!A:A,0))</f>
        <v>46079</v>
      </c>
      <c r="G132" s="100" t="str">
        <f t="array" ref="G132">INDEX('MTA 28-09'!J:J,MATCH(B132,'MTA 28-09'!A:A,0))</f>
        <v>C26042</v>
      </c>
      <c r="H132" s="101">
        <v>1.0</v>
      </c>
      <c r="I132" s="90"/>
      <c r="J132" s="102"/>
      <c r="K132" s="103"/>
      <c r="L132" s="102" t="str">
        <f t="array" ref="L132">INDEX('MTA 28-09'!S:S,MATCH(B132,'MTA 28-09'!A:A,0))</f>
        <v>C-98</v>
      </c>
      <c r="M132" s="98" t="str">
        <f t="array" ref="M132">INDEX('MTA 28-09'!T:T,MATCH(B132,'MTA 28-09'!A:A,0))</f>
        <v>Requisição CABW</v>
      </c>
      <c r="N132" s="98" t="str">
        <f t="array" ref="N132">INDEX('MTA 28-09'!U:U,MATCH(B132,'MTA 28-09'!A:A,0))</f>
        <v>Requisições Consumíveis 1/8</v>
      </c>
      <c r="O132" s="104">
        <f t="array" ref="O132">INDEX('MTA 28-09'!AC:AC,MATCH(B132,'MTA 28-09'!A:A,0))</f>
        <v>1187433.02</v>
      </c>
      <c r="P132" s="98" t="str">
        <f t="array" ref="P132">INDEX('MTA 28-09'!N:N,MATCH(B132,'MTA 28-09'!A:A,0))</f>
        <v>CABW</v>
      </c>
      <c r="Q132" s="105" t="str">
        <f t="array" ref="Q132">INDEX('MTA 28-09'!Z:Z,MATCH(B132,'MTA 28-09'!A:A,0))</f>
        <v>339030</v>
      </c>
      <c r="R132" s="98" t="str">
        <f t="array" ref="R132">INDEX('MTA 28-09'!L:L,MATCH(B132,'MTA 28-09'!A:A,0))</f>
        <v>A</v>
      </c>
      <c r="S132" s="107" t="str">
        <f t="array" ref="S132">INDEX('MTA 28-09'!X:X,MATCH(B132,'MTA 28-09'!A:A,0))</f>
        <v>REQUISIÇÃO</v>
      </c>
      <c r="T132" s="107" t="str">
        <f t="array" ref="T132">INDEX('MTA 28-09'!W:W,MATCH(B132,'MTA 28-09'!A:A,0))</f>
        <v>Não</v>
      </c>
      <c r="U132" s="109">
        <f t="array" ref="U132">INDEX('MTA 28-09'!AE:AE,MATCH(B132,'MTA 28-09'!A:A,0))</f>
        <v>46168</v>
      </c>
      <c r="V132" s="29"/>
      <c r="W132" s="29"/>
      <c r="X132" s="29"/>
      <c r="Y132" s="29"/>
      <c r="Z132" s="29"/>
      <c r="AA132" s="29"/>
      <c r="AB132" s="29"/>
      <c r="AC132" s="29"/>
      <c r="AD132" s="29"/>
      <c r="AE132" s="29"/>
      <c r="AF132" s="29"/>
      <c r="AG132" s="29"/>
      <c r="AH132" s="29"/>
      <c r="AI132" s="29"/>
      <c r="AJ132" s="29"/>
      <c r="AK132" s="29"/>
      <c r="AL132" s="29"/>
      <c r="AM132" s="29"/>
    </row>
    <row r="133">
      <c r="A133" s="31" t="s">
        <v>45</v>
      </c>
      <c r="B133" s="32">
        <v>11820.0</v>
      </c>
      <c r="C133" s="33" t="str">
        <f t="array" ref="C133">INDEX('MTA 28-09'!B:B,MATCH(B133,'MTA 28-09'!A:A,0))</f>
        <v>SIM</v>
      </c>
      <c r="D133" s="34">
        <f t="array" ref="D133">INDEX('MTA 28-09'!D:D,MATCH(B133,'MTA 28-09'!A:A,0))</f>
        <v>2048</v>
      </c>
      <c r="E133" s="32" t="str">
        <f t="array" ref="E133">INDEX('MTA 28-09'!F:F,MATCH(B133,'MTA 28-09'!A:A,0))</f>
        <v/>
      </c>
      <c r="F133" s="35" t="str">
        <f t="array" ref="F133">INDEX('MTA 28-09'!I:I,MATCH(B133,'MTA 28-09'!A:A,0))</f>
        <v/>
      </c>
      <c r="G133" s="36" t="str">
        <f t="array" ref="G133">INDEX('MTA 28-09'!J:J,MATCH(B133,'MTA 28-09'!A:A,0))</f>
        <v/>
      </c>
      <c r="H133" s="287">
        <v>46276.0</v>
      </c>
      <c r="I133" s="38" t="s">
        <v>293</v>
      </c>
      <c r="J133" s="39"/>
      <c r="K133" s="40"/>
      <c r="L133" s="39" t="str">
        <f t="array" ref="L133">INDEX('MTA 28-09'!S:S,MATCH(B133,'MTA 28-09'!A:A,0))</f>
        <v>C-98</v>
      </c>
      <c r="M133" s="32" t="str">
        <f t="array" ref="M133">INDEX('MTA 28-09'!T:T,MATCH(B133,'MTA 28-09'!A:A,0))</f>
        <v>Requisição CABW</v>
      </c>
      <c r="N133" s="32" t="str">
        <f t="array" ref="N133">INDEX('MTA 28-09'!U:U,MATCH(B133,'MTA 28-09'!A:A,0))</f>
        <v>Requisições Consumíveis 3/8</v>
      </c>
      <c r="O133" s="59">
        <f t="array" ref="O133">INDEX('MTA 28-09'!AC:AC,MATCH(B133,'MTA 28-09'!A:A,0))</f>
        <v>1000000</v>
      </c>
      <c r="P133" s="32" t="str">
        <f t="array" ref="P133">INDEX('MTA 28-09'!N:N,MATCH(B133,'MTA 28-09'!A:A,0))</f>
        <v>CABW</v>
      </c>
      <c r="Q133" s="67" t="str">
        <f t="array" ref="Q133">INDEX('MTA 28-09'!Z:Z,MATCH(B133,'MTA 28-09'!A:A,0))</f>
        <v>339030</v>
      </c>
      <c r="R133" s="32" t="str">
        <f t="array" ref="R133">INDEX('MTA 28-09'!L:L,MATCH(B133,'MTA 28-09'!A:A,0))</f>
        <v>A</v>
      </c>
      <c r="S133" s="72" t="str">
        <f t="array" ref="S133">INDEX('MTA 28-09'!X:X,MATCH(B133,'MTA 28-09'!A:A,0))</f>
        <v>REQUISIÇÃO</v>
      </c>
      <c r="T133" s="72" t="str">
        <f t="array" ref="T133">INDEX('MTA 28-09'!W:W,MATCH(B133,'MTA 28-09'!A:A,0))</f>
        <v>Não</v>
      </c>
      <c r="U133" s="81">
        <f t="array" ref="U133">INDEX('MTA 28-09'!AE:AE,MATCH(B133,'MTA 28-09'!A:A,0))</f>
        <v>46049</v>
      </c>
      <c r="V133" s="12"/>
      <c r="W133" s="12"/>
      <c r="X133" s="12"/>
      <c r="Y133" s="12"/>
      <c r="Z133" s="12"/>
      <c r="AA133" s="12"/>
      <c r="AB133" s="12"/>
      <c r="AC133" s="12"/>
      <c r="AD133" s="12"/>
      <c r="AE133" s="12"/>
      <c r="AF133" s="12"/>
      <c r="AG133" s="12"/>
      <c r="AH133" s="12"/>
      <c r="AI133" s="12"/>
      <c r="AJ133" s="12"/>
      <c r="AK133" s="12"/>
      <c r="AL133" s="12"/>
      <c r="AM133" s="12"/>
    </row>
    <row r="134">
      <c r="A134" s="88" t="s">
        <v>45</v>
      </c>
      <c r="B134" s="98">
        <v>11840.0</v>
      </c>
      <c r="C134" s="92" t="str">
        <f t="array" ref="C134">INDEX('MTA 28-09'!B:B,MATCH(B134,'MTA 28-09'!A:A,0))</f>
        <v>SIM</v>
      </c>
      <c r="D134" s="95">
        <f t="array" ref="D134">INDEX('MTA 28-09'!D:D,MATCH(B134,'MTA 28-09'!A:A,0))</f>
        <v>2048</v>
      </c>
      <c r="E134" s="98" t="str">
        <f t="array" ref="E134">INDEX('MTA 28-09'!F:F,MATCH(B134,'MTA 28-09'!A:A,0))</f>
        <v/>
      </c>
      <c r="F134" s="99" t="str">
        <f t="array" ref="F134">INDEX('MTA 28-09'!I:I,MATCH(B134,'MTA 28-09'!A:A,0))</f>
        <v/>
      </c>
      <c r="G134" s="100" t="str">
        <f t="array" ref="G134">INDEX('MTA 28-09'!J:J,MATCH(B134,'MTA 28-09'!A:A,0))</f>
        <v/>
      </c>
      <c r="H134" s="159">
        <v>46276.0</v>
      </c>
      <c r="I134" s="90" t="s">
        <v>293</v>
      </c>
      <c r="J134" s="102"/>
      <c r="K134" s="103"/>
      <c r="L134" s="102" t="str">
        <f t="array" ref="L134">INDEX('MTA 28-09'!S:S,MATCH(B134,'MTA 28-09'!A:A,0))</f>
        <v>C-98</v>
      </c>
      <c r="M134" s="98" t="str">
        <f t="array" ref="M134">INDEX('MTA 28-09'!T:T,MATCH(B134,'MTA 28-09'!A:A,0))</f>
        <v>Requisição CABW</v>
      </c>
      <c r="N134" s="98" t="str">
        <f t="array" ref="N134">INDEX('MTA 28-09'!U:U,MATCH(B134,'MTA 28-09'!A:A,0))</f>
        <v>Requisições Consumíveis 5/8</v>
      </c>
      <c r="O134" s="104">
        <f t="array" ref="O134">INDEX('MTA 28-09'!AC:AC,MATCH(B134,'MTA 28-09'!A:A,0))</f>
        <v>1000000</v>
      </c>
      <c r="P134" s="98" t="str">
        <f t="array" ref="P134">INDEX('MTA 28-09'!N:N,MATCH(B134,'MTA 28-09'!A:A,0))</f>
        <v>CABW</v>
      </c>
      <c r="Q134" s="105" t="str">
        <f t="array" ref="Q134">INDEX('MTA 28-09'!Z:Z,MATCH(B134,'MTA 28-09'!A:A,0))</f>
        <v>339030</v>
      </c>
      <c r="R134" s="98" t="str">
        <f t="array" ref="R134">INDEX('MTA 28-09'!L:L,MATCH(B134,'MTA 28-09'!A:A,0))</f>
        <v>A</v>
      </c>
      <c r="S134" s="107" t="str">
        <f t="array" ref="S134">INDEX('MTA 28-09'!X:X,MATCH(B134,'MTA 28-09'!A:A,0))</f>
        <v>REQUISIÇÃO</v>
      </c>
      <c r="T134" s="107" t="str">
        <f t="array" ref="T134">INDEX('MTA 28-09'!W:W,MATCH(B134,'MTA 28-09'!A:A,0))</f>
        <v>Não</v>
      </c>
      <c r="U134" s="109">
        <f t="array" ref="U134">INDEX('MTA 28-09'!AE:AE,MATCH(B134,'MTA 28-09'!A:A,0))</f>
        <v>46049</v>
      </c>
      <c r="V134" s="29"/>
      <c r="W134" s="29"/>
      <c r="X134" s="29"/>
      <c r="Y134" s="29"/>
      <c r="Z134" s="29"/>
      <c r="AA134" s="29"/>
      <c r="AB134" s="29"/>
      <c r="AC134" s="29"/>
      <c r="AD134" s="29"/>
      <c r="AE134" s="29"/>
      <c r="AF134" s="29"/>
      <c r="AG134" s="29"/>
      <c r="AH134" s="29"/>
      <c r="AI134" s="29"/>
      <c r="AJ134" s="29"/>
      <c r="AK134" s="29"/>
      <c r="AL134" s="29"/>
      <c r="AM134" s="29"/>
    </row>
    <row r="135">
      <c r="A135" s="31" t="s">
        <v>45</v>
      </c>
      <c r="B135" s="32">
        <v>11860.0</v>
      </c>
      <c r="C135" s="33" t="str">
        <f t="array" ref="C135">INDEX('MTA 28-09'!B:B,MATCH(B135,'MTA 28-09'!A:A,0))</f>
        <v>SIM</v>
      </c>
      <c r="D135" s="34">
        <f t="array" ref="D135">INDEX('MTA 28-09'!D:D,MATCH(B135,'MTA 28-09'!A:A,0))</f>
        <v>2048</v>
      </c>
      <c r="E135" s="32" t="str">
        <f t="array" ref="E135">INDEX('MTA 28-09'!F:F,MATCH(B135,'MTA 28-09'!A:A,0))</f>
        <v/>
      </c>
      <c r="F135" s="35" t="str">
        <f t="array" ref="F135">INDEX('MTA 28-09'!I:I,MATCH(B135,'MTA 28-09'!A:A,0))</f>
        <v/>
      </c>
      <c r="G135" s="36" t="str">
        <f t="array" ref="G135">INDEX('MTA 28-09'!J:J,MATCH(B135,'MTA 28-09'!A:A,0))</f>
        <v/>
      </c>
      <c r="H135" s="287">
        <v>46276.0</v>
      </c>
      <c r="I135" s="38" t="s">
        <v>293</v>
      </c>
      <c r="J135" s="39"/>
      <c r="K135" s="40"/>
      <c r="L135" s="39" t="str">
        <f t="array" ref="L135">INDEX('MTA 28-09'!S:S,MATCH(B135,'MTA 28-09'!A:A,0))</f>
        <v>C-98</v>
      </c>
      <c r="M135" s="32" t="str">
        <f t="array" ref="M135">INDEX('MTA 28-09'!T:T,MATCH(B135,'MTA 28-09'!A:A,0))</f>
        <v>Requisição CABW</v>
      </c>
      <c r="N135" s="32" t="str">
        <f t="array" ref="N135">INDEX('MTA 28-09'!U:U,MATCH(B135,'MTA 28-09'!A:A,0))</f>
        <v>Requisições Consumíveis 7/8</v>
      </c>
      <c r="O135" s="59">
        <f t="array" ref="O135">INDEX('MTA 28-09'!AC:AC,MATCH(B135,'MTA 28-09'!A:A,0))</f>
        <v>1000000</v>
      </c>
      <c r="P135" s="32" t="str">
        <f t="array" ref="P135">INDEX('MTA 28-09'!N:N,MATCH(B135,'MTA 28-09'!A:A,0))</f>
        <v>CABW</v>
      </c>
      <c r="Q135" s="67" t="str">
        <f t="array" ref="Q135">INDEX('MTA 28-09'!Z:Z,MATCH(B135,'MTA 28-09'!A:A,0))</f>
        <v>339030</v>
      </c>
      <c r="R135" s="32" t="str">
        <f t="array" ref="R135">INDEX('MTA 28-09'!L:L,MATCH(B135,'MTA 28-09'!A:A,0))</f>
        <v>A</v>
      </c>
      <c r="S135" s="72" t="str">
        <f t="array" ref="S135">INDEX('MTA 28-09'!X:X,MATCH(B135,'MTA 28-09'!A:A,0))</f>
        <v>REQUISIÇÃO</v>
      </c>
      <c r="T135" s="72" t="str">
        <f t="array" ref="T135">INDEX('MTA 28-09'!W:W,MATCH(B135,'MTA 28-09'!A:A,0))</f>
        <v>Não</v>
      </c>
      <c r="U135" s="81">
        <f t="array" ref="U135">INDEX('MTA 28-09'!AE:AE,MATCH(B135,'MTA 28-09'!A:A,0))</f>
        <v>46049</v>
      </c>
      <c r="V135" s="12"/>
      <c r="W135" s="12"/>
      <c r="X135" s="12"/>
      <c r="Y135" s="12"/>
      <c r="Z135" s="12"/>
      <c r="AA135" s="12"/>
      <c r="AB135" s="12"/>
      <c r="AC135" s="12"/>
      <c r="AD135" s="12"/>
      <c r="AE135" s="12"/>
      <c r="AF135" s="12"/>
      <c r="AG135" s="12"/>
      <c r="AH135" s="12"/>
      <c r="AI135" s="12"/>
      <c r="AJ135" s="12"/>
      <c r="AK135" s="12"/>
      <c r="AL135" s="12"/>
      <c r="AM135" s="12"/>
    </row>
    <row r="136">
      <c r="A136" s="88" t="s">
        <v>45</v>
      </c>
      <c r="B136" s="98">
        <v>11880.0</v>
      </c>
      <c r="C136" s="92" t="str">
        <f t="array" ref="C136">INDEX('MTA 28-09'!B:B,MATCH(B136,'MTA 28-09'!A:A,0))</f>
        <v>SIM</v>
      </c>
      <c r="D136" s="95">
        <f t="array" ref="D136">INDEX('MTA 28-09'!D:D,MATCH(B136,'MTA 28-09'!A:A,0))</f>
        <v>2048</v>
      </c>
      <c r="E136" s="98" t="str">
        <f t="array" ref="E136">INDEX('MTA 28-09'!F:F,MATCH(B136,'MTA 28-09'!A:A,0))</f>
        <v/>
      </c>
      <c r="F136" s="144" t="str">
        <f t="array" ref="F136">INDEX('MTA 28-09'!I:I,MATCH(B136,'MTA 28-09'!A:A,0))</f>
        <v/>
      </c>
      <c r="G136" s="100" t="str">
        <f t="array" ref="G136">INDEX('MTA 28-09'!J:J,MATCH(B136,'MTA 28-09'!A:A,0))</f>
        <v/>
      </c>
      <c r="H136" s="159">
        <v>46276.0</v>
      </c>
      <c r="I136" s="90" t="s">
        <v>293</v>
      </c>
      <c r="J136" s="102"/>
      <c r="K136" s="103"/>
      <c r="L136" s="102" t="str">
        <f t="array" ref="L136">INDEX('MTA 28-09'!S:S,MATCH(B136,'MTA 28-09'!A:A,0))</f>
        <v>C-98</v>
      </c>
      <c r="M136" s="98" t="str">
        <f t="array" ref="M136">INDEX('MTA 28-09'!T:T,MATCH(B136,'MTA 28-09'!A:A,0))</f>
        <v>Requisição FMS</v>
      </c>
      <c r="N136" s="98" t="str">
        <f t="array" ref="N136">INDEX('MTA 28-09'!U:U,MATCH(B136,'MTA 28-09'!A:A,0))</f>
        <v>Requisições Consumíveis 1/4</v>
      </c>
      <c r="O136" s="104">
        <f t="array" ref="O136">INDEX('MTA 28-09'!AC:AC,MATCH(B136,'MTA 28-09'!A:A,0))</f>
        <v>100000</v>
      </c>
      <c r="P136" s="98" t="str">
        <f t="array" ref="P136">INDEX('MTA 28-09'!N:N,MATCH(B136,'MTA 28-09'!A:A,0))</f>
        <v>FMS</v>
      </c>
      <c r="Q136" s="105" t="str">
        <f t="array" ref="Q136">INDEX('MTA 28-09'!Z:Z,MATCH(B136,'MTA 28-09'!A:A,0))</f>
        <v>339030</v>
      </c>
      <c r="R136" s="98" t="str">
        <f t="array" ref="R136">INDEX('MTA 28-09'!L:L,MATCH(B136,'MTA 28-09'!A:A,0))</f>
        <v>A</v>
      </c>
      <c r="S136" s="107" t="str">
        <f t="array" ref="S136">INDEX('MTA 28-09'!X:X,MATCH(B136,'MTA 28-09'!A:A,0))</f>
        <v>REQUISIÇÃO</v>
      </c>
      <c r="T136" s="107" t="str">
        <f t="array" ref="T136">INDEX('MTA 28-09'!W:W,MATCH(B136,'MTA 28-09'!A:A,0))</f>
        <v>Não</v>
      </c>
      <c r="U136" s="109">
        <f t="array" ref="U136">INDEX('MTA 28-09'!AE:AE,MATCH(B136,'MTA 28-09'!A:A,0))</f>
        <v>46291</v>
      </c>
      <c r="V136" s="29"/>
      <c r="W136" s="29"/>
      <c r="X136" s="29"/>
      <c r="Y136" s="29"/>
      <c r="Z136" s="29"/>
      <c r="AA136" s="29"/>
      <c r="AB136" s="29"/>
      <c r="AC136" s="29"/>
      <c r="AD136" s="29"/>
      <c r="AE136" s="29"/>
      <c r="AF136" s="29"/>
      <c r="AG136" s="29"/>
      <c r="AH136" s="29"/>
      <c r="AI136" s="29"/>
      <c r="AJ136" s="29"/>
      <c r="AK136" s="29"/>
      <c r="AL136" s="29"/>
      <c r="AM136" s="29"/>
    </row>
    <row r="137">
      <c r="A137" s="31" t="s">
        <v>49</v>
      </c>
      <c r="B137" s="32">
        <v>11900.0</v>
      </c>
      <c r="C137" s="33" t="str">
        <f t="array" ref="C137">INDEX('MTA 28-09'!B:B,MATCH(B137,'MTA 28-09'!A:A,0))</f>
        <v>SIM</v>
      </c>
      <c r="D137" s="34">
        <f t="array" ref="D137">INDEX('MTA 28-09'!D:D,MATCH(B137,'MTA 28-09'!A:A,0))</f>
        <v>2048</v>
      </c>
      <c r="E137" s="32" t="str">
        <f t="array" ref="E137">INDEX('MTA 28-09'!F:F,MATCH(B137,'MTA 28-09'!A:A,0))</f>
        <v>CANCELADO</v>
      </c>
      <c r="F137" s="137" t="str">
        <f t="array" ref="F137">INDEX('MTA 28-09'!I:I,MATCH(B137,'MTA 28-09'!A:A,0))</f>
        <v/>
      </c>
      <c r="G137" s="36" t="str">
        <f t="array" ref="G137">INDEX('MTA 28-09'!J:J,MATCH(B137,'MTA 28-09'!A:A,0))</f>
        <v/>
      </c>
      <c r="H137" s="37" t="s">
        <v>1451</v>
      </c>
      <c r="I137" s="157" t="s">
        <v>1570</v>
      </c>
      <c r="J137" s="39"/>
      <c r="K137" s="40"/>
      <c r="L137" s="39" t="str">
        <f t="array" ref="L137">INDEX('MTA 28-09'!S:S,MATCH(B137,'MTA 28-09'!A:A,0))</f>
        <v>IU-93M</v>
      </c>
      <c r="M137" s="32" t="str">
        <f t="array" ref="M137">INDEX('MTA 28-09'!T:T,MATCH(B137,'MTA 28-09'!A:A,0))</f>
        <v>Requisição CABW</v>
      </c>
      <c r="N137" s="32" t="str">
        <f t="array" ref="N137">INDEX('MTA 28-09'!U:U,MATCH(B137,'MTA 28-09'!A:A,0))</f>
        <v>Requisições Consumíveis 1/4</v>
      </c>
      <c r="O137" s="59" t="str">
        <f t="array" ref="O137">INDEX('MTA 28-09'!AC:AC,MATCH(B137,'MTA 28-09'!A:A,0))</f>
        <v> -</v>
      </c>
      <c r="P137" s="32" t="str">
        <f t="array" ref="P137">INDEX('MTA 28-09'!N:N,MATCH(B137,'MTA 28-09'!A:A,0))</f>
        <v>CABW</v>
      </c>
      <c r="Q137" s="67" t="str">
        <f t="array" ref="Q137">INDEX('MTA 28-09'!Z:Z,MATCH(B137,'MTA 28-09'!A:A,0))</f>
        <v>339030</v>
      </c>
      <c r="R137" s="32" t="str">
        <f t="array" ref="R137">INDEX('MTA 28-09'!L:L,MATCH(B137,'MTA 28-09'!A:A,0))</f>
        <v>A</v>
      </c>
      <c r="S137" s="72" t="str">
        <f t="array" ref="S137">INDEX('MTA 28-09'!X:X,MATCH(B137,'MTA 28-09'!A:A,0))</f>
        <v>REQUISIÇÃO</v>
      </c>
      <c r="T137" s="72" t="str">
        <f t="array" ref="T137">INDEX('MTA 28-09'!W:W,MATCH(B137,'MTA 28-09'!A:A,0))</f>
        <v>Não</v>
      </c>
      <c r="U137" s="81">
        <f t="array" ref="U137">INDEX('MTA 28-09'!AE:AE,MATCH(B137,'MTA 28-09'!A:A,0))</f>
        <v>46352</v>
      </c>
      <c r="V137" s="12"/>
      <c r="W137" s="12"/>
      <c r="X137" s="12"/>
      <c r="Y137" s="12"/>
      <c r="Z137" s="12"/>
      <c r="AA137" s="12"/>
      <c r="AB137" s="12"/>
      <c r="AC137" s="12"/>
      <c r="AD137" s="12"/>
      <c r="AE137" s="12"/>
      <c r="AF137" s="12"/>
      <c r="AG137" s="12"/>
      <c r="AH137" s="12"/>
      <c r="AI137" s="12"/>
      <c r="AJ137" s="12"/>
      <c r="AK137" s="12"/>
      <c r="AL137" s="12"/>
      <c r="AM137" s="12"/>
    </row>
    <row r="138">
      <c r="A138" s="88" t="s">
        <v>48</v>
      </c>
      <c r="B138" s="98">
        <v>11920.0</v>
      </c>
      <c r="C138" s="92" t="str">
        <f t="array" ref="C138">INDEX('MTA 28-09'!B:B,MATCH(B138,'MTA 28-09'!A:A,0))</f>
        <v>SIM</v>
      </c>
      <c r="D138" s="95">
        <f t="array" ref="D138">INDEX('MTA 28-09'!D:D,MATCH(B138,'MTA 28-09'!A:A,0))</f>
        <v>2048</v>
      </c>
      <c r="E138" s="98" t="str">
        <f t="array" ref="E138">INDEX('MTA 28-09'!F:F,MATCH(B138,'MTA 28-09'!A:A,0))</f>
        <v>ATENDIDO</v>
      </c>
      <c r="F138" s="152">
        <f t="array" ref="F138">INDEX('MTA 28-09'!I:I,MATCH(B138,'MTA 28-09'!A:A,0))</f>
        <v>46079</v>
      </c>
      <c r="G138" s="100" t="str">
        <f t="array" ref="G138">INDEX('MTA 28-09'!J:J,MATCH(B138,'MTA 28-09'!A:A,0))</f>
        <v>C26048</v>
      </c>
      <c r="H138" s="101">
        <v>1.0</v>
      </c>
      <c r="I138" s="90"/>
      <c r="J138" s="102"/>
      <c r="K138" s="103"/>
      <c r="L138" s="102" t="str">
        <f t="array" ref="L138">INDEX('MTA 28-09'!S:S,MATCH(B138,'MTA 28-09'!A:A,0))</f>
        <v>G-19</v>
      </c>
      <c r="M138" s="98" t="str">
        <f t="array" ref="M138">INDEX('MTA 28-09'!T:T,MATCH(B138,'MTA 28-09'!A:A,0))</f>
        <v>Requisição CABW</v>
      </c>
      <c r="N138" s="98" t="str">
        <f t="array" ref="N138">INDEX('MTA 28-09'!U:U,MATCH(B138,'MTA 28-09'!A:A,0))</f>
        <v>Requisições Consumíveis 1/8</v>
      </c>
      <c r="O138" s="104">
        <f t="array" ref="O138">INDEX('MTA 28-09'!AC:AC,MATCH(B138,'MTA 28-09'!A:A,0))</f>
        <v>143554.6</v>
      </c>
      <c r="P138" s="98" t="str">
        <f t="array" ref="P138">INDEX('MTA 28-09'!N:N,MATCH(B138,'MTA 28-09'!A:A,0))</f>
        <v>CABW</v>
      </c>
      <c r="Q138" s="105" t="str">
        <f t="array" ref="Q138">INDEX('MTA 28-09'!Z:Z,MATCH(B138,'MTA 28-09'!A:A,0))</f>
        <v>339030</v>
      </c>
      <c r="R138" s="98" t="str">
        <f t="array" ref="R138">INDEX('MTA 28-09'!L:L,MATCH(B138,'MTA 28-09'!A:A,0))</f>
        <v>A</v>
      </c>
      <c r="S138" s="107" t="str">
        <f t="array" ref="S138">INDEX('MTA 28-09'!X:X,MATCH(B138,'MTA 28-09'!A:A,0))</f>
        <v>REQUISIÇÃO</v>
      </c>
      <c r="T138" s="107" t="str">
        <f t="array" ref="T138">INDEX('MTA 28-09'!W:W,MATCH(B138,'MTA 28-09'!A:A,0))</f>
        <v>Não</v>
      </c>
      <c r="U138" s="109">
        <f t="array" ref="U138">INDEX('MTA 28-09'!AE:AE,MATCH(B138,'MTA 28-09'!A:A,0))</f>
        <v>46168</v>
      </c>
      <c r="V138" s="29"/>
      <c r="W138" s="29"/>
      <c r="X138" s="29"/>
      <c r="Y138" s="29"/>
      <c r="Z138" s="29"/>
      <c r="AA138" s="29"/>
      <c r="AB138" s="29"/>
      <c r="AC138" s="29"/>
      <c r="AD138" s="29"/>
      <c r="AE138" s="29"/>
      <c r="AF138" s="29"/>
      <c r="AG138" s="29"/>
      <c r="AH138" s="29"/>
      <c r="AI138" s="29"/>
      <c r="AJ138" s="29"/>
      <c r="AK138" s="29"/>
      <c r="AL138" s="29"/>
      <c r="AM138" s="29"/>
    </row>
    <row r="139">
      <c r="A139" s="31" t="s">
        <v>47</v>
      </c>
      <c r="B139" s="38">
        <v>11921.0</v>
      </c>
      <c r="C139" s="33" t="str">
        <f t="array" ref="C139">INDEX('MTA 28-09'!B:B,MATCH(B139,'MTA 28-09'!A:A,0))</f>
        <v>SIM</v>
      </c>
      <c r="D139" s="34">
        <f t="array" ref="D139">INDEX('MTA 28-09'!D:D,MATCH(B139,'MTA 28-09'!A:A,0))</f>
        <v>2048</v>
      </c>
      <c r="E139" s="32" t="str">
        <f t="array" ref="E139">INDEX('MTA 28-09'!F:F,MATCH(B139,'MTA 28-09'!A:A,0))</f>
        <v>ATENDIDO</v>
      </c>
      <c r="F139" s="294">
        <f t="array" ref="F139">INDEX('MTA 28-09'!I:I,MATCH(B139,'MTA 28-09'!A:A,0))</f>
        <v>46079</v>
      </c>
      <c r="G139" s="36" t="str">
        <f t="array" ref="G139">INDEX('MTA 28-09'!J:J,MATCH(B139,'MTA 28-09'!A:A,0))</f>
        <v>C26075</v>
      </c>
      <c r="H139" s="287" t="s">
        <v>157</v>
      </c>
      <c r="I139" s="295"/>
      <c r="J139" s="39"/>
      <c r="K139" s="40"/>
      <c r="L139" s="39" t="str">
        <f t="array" ref="L139">INDEX('MTA 28-09'!S:S,MATCH(B139,'MTA 28-09'!A:A,0))</f>
        <v>T-25</v>
      </c>
      <c r="M139" s="32" t="str">
        <f t="array" ref="M139">INDEX('MTA 28-09'!T:T,MATCH(B139,'MTA 28-09'!A:A,0))</f>
        <v>Requisição CABW</v>
      </c>
      <c r="N139" s="32" t="str">
        <f t="array" ref="N139">INDEX('MTA 28-09'!U:U,MATCH(B139,'MTA 28-09'!A:A,0))</f>
        <v>Requisições Consumíveis 1/4</v>
      </c>
      <c r="O139" s="59">
        <f t="array" ref="O139">INDEX('MTA 28-09'!AC:AC,MATCH(B139,'MTA 28-09'!A:A,0))</f>
        <v>594.84</v>
      </c>
      <c r="P139" s="32" t="str">
        <f t="array" ref="P139">INDEX('MTA 28-09'!N:N,MATCH(B139,'MTA 28-09'!A:A,0))</f>
        <v>CABW</v>
      </c>
      <c r="Q139" s="67" t="str">
        <f t="array" ref="Q139">INDEX('MTA 28-09'!Z:Z,MATCH(B139,'MTA 28-09'!A:A,0))</f>
        <v>339030</v>
      </c>
      <c r="R139" s="32" t="str">
        <f t="array" ref="R139">INDEX('MTA 28-09'!L:L,MATCH(B139,'MTA 28-09'!A:A,0))</f>
        <v>A</v>
      </c>
      <c r="S139" s="72" t="str">
        <f t="array" ref="S139">INDEX('MTA 28-09'!X:X,MATCH(B139,'MTA 28-09'!A:A,0))</f>
        <v>REQUISIÇÃO</v>
      </c>
      <c r="T139" s="72" t="str">
        <f t="array" ref="T139">INDEX('MTA 28-09'!W:W,MATCH(B139,'MTA 28-09'!A:A,0))</f>
        <v>Não</v>
      </c>
      <c r="U139" s="81">
        <f t="array" ref="U139">INDEX('MTA 28-09'!AE:AE,MATCH(B139,'MTA 28-09'!A:A,0))</f>
        <v>46168</v>
      </c>
      <c r="V139" s="12"/>
      <c r="W139" s="12"/>
      <c r="X139" s="12"/>
      <c r="Y139" s="12"/>
      <c r="Z139" s="12"/>
      <c r="AA139" s="12"/>
      <c r="AB139" s="12"/>
      <c r="AC139" s="12"/>
      <c r="AD139" s="12"/>
      <c r="AE139" s="12"/>
      <c r="AF139" s="12"/>
      <c r="AG139" s="12"/>
      <c r="AH139" s="12"/>
      <c r="AI139" s="12"/>
      <c r="AJ139" s="12"/>
      <c r="AK139" s="12"/>
      <c r="AL139" s="12"/>
      <c r="AM139" s="12"/>
    </row>
    <row r="140">
      <c r="A140" s="88" t="s">
        <v>46</v>
      </c>
      <c r="B140" s="90">
        <v>11922.0</v>
      </c>
      <c r="C140" s="92" t="str">
        <f t="array" ref="C140">INDEX('MTA 28-09'!B:B,MATCH(B140,'MTA 28-09'!A:A,0))</f>
        <v>SIM</v>
      </c>
      <c r="D140" s="95">
        <f t="array" ref="D140">INDEX('MTA 28-09'!D:D,MATCH(B140,'MTA 28-09'!A:A,0))</f>
        <v>2048</v>
      </c>
      <c r="E140" s="98" t="str">
        <f t="array" ref="E140">INDEX('MTA 28-09'!F:F,MATCH(B140,'MTA 28-09'!A:A,0))</f>
        <v>ATENDIDO</v>
      </c>
      <c r="F140" s="289">
        <f t="array" ref="F140">INDEX('MTA 28-09'!I:I,MATCH(B140,'MTA 28-09'!A:A,0))</f>
        <v>46079</v>
      </c>
      <c r="G140" s="100" t="str">
        <f t="array" ref="G140">INDEX('MTA 28-09'!J:J,MATCH(B140,'MTA 28-09'!A:A,0))</f>
        <v>C26035</v>
      </c>
      <c r="H140" s="159" t="s">
        <v>157</v>
      </c>
      <c r="I140" s="296"/>
      <c r="J140" s="102"/>
      <c r="K140" s="103"/>
      <c r="L140" s="102" t="str">
        <f t="array" ref="L140">INDEX('MTA 28-09'!S:S,MATCH(B140,'MTA 28-09'!A:A,0))</f>
        <v>T-27</v>
      </c>
      <c r="M140" s="98" t="str">
        <f t="array" ref="M140">INDEX('MTA 28-09'!T:T,MATCH(B140,'MTA 28-09'!A:A,0))</f>
        <v>Requisição CABW</v>
      </c>
      <c r="N140" s="98" t="str">
        <f t="array" ref="N140">INDEX('MTA 28-09'!U:U,MATCH(B140,'MTA 28-09'!A:A,0))</f>
        <v>Requisições Consumíveis</v>
      </c>
      <c r="O140" s="104">
        <f t="array" ref="O140">INDEX('MTA 28-09'!AC:AC,MATCH(B140,'MTA 28-09'!A:A,0))</f>
        <v>850.56</v>
      </c>
      <c r="P140" s="98" t="str">
        <f t="array" ref="P140">INDEX('MTA 28-09'!N:N,MATCH(B140,'MTA 28-09'!A:A,0))</f>
        <v>CABW</v>
      </c>
      <c r="Q140" s="105" t="str">
        <f t="array" ref="Q140">INDEX('MTA 28-09'!Z:Z,MATCH(B140,'MTA 28-09'!A:A,0))</f>
        <v>339030</v>
      </c>
      <c r="R140" s="98" t="str">
        <f t="array" ref="R140">INDEX('MTA 28-09'!L:L,MATCH(B140,'MTA 28-09'!A:A,0))</f>
        <v>A</v>
      </c>
      <c r="S140" s="107" t="str">
        <f t="array" ref="S140">INDEX('MTA 28-09'!X:X,MATCH(B140,'MTA 28-09'!A:A,0))</f>
        <v>REQUISIÇÃO</v>
      </c>
      <c r="T140" s="107" t="str">
        <f t="array" ref="T140">INDEX('MTA 28-09'!W:W,MATCH(B140,'MTA 28-09'!A:A,0))</f>
        <v>Não</v>
      </c>
      <c r="U140" s="109">
        <f t="array" ref="U140">INDEX('MTA 28-09'!AE:AE,MATCH(B140,'MTA 28-09'!A:A,0))</f>
        <v>46168</v>
      </c>
      <c r="V140" s="29"/>
      <c r="W140" s="29"/>
      <c r="X140" s="29"/>
      <c r="Y140" s="29"/>
      <c r="Z140" s="29"/>
      <c r="AA140" s="29"/>
      <c r="AB140" s="29"/>
      <c r="AC140" s="29"/>
      <c r="AD140" s="29"/>
      <c r="AE140" s="29"/>
      <c r="AF140" s="29"/>
      <c r="AG140" s="29"/>
      <c r="AH140" s="29"/>
      <c r="AI140" s="29"/>
      <c r="AJ140" s="29"/>
      <c r="AK140" s="29"/>
      <c r="AL140" s="29"/>
      <c r="AM140" s="29"/>
    </row>
    <row r="141">
      <c r="A141" s="31" t="s">
        <v>48</v>
      </c>
      <c r="B141" s="32">
        <v>11940.0</v>
      </c>
      <c r="C141" s="33" t="str">
        <f t="array" ref="C141">INDEX('MTA 28-09'!B:B,MATCH(B141,'MTA 28-09'!A:A,0))</f>
        <v>SIM</v>
      </c>
      <c r="D141" s="34">
        <f t="array" ref="D141">INDEX('MTA 28-09'!D:D,MATCH(B141,'MTA 28-09'!A:A,0))</f>
        <v>2048</v>
      </c>
      <c r="E141" s="32" t="str">
        <f t="array" ref="E141">INDEX('MTA 28-09'!F:F,MATCH(B141,'MTA 28-09'!A:A,0))</f>
        <v>ATENDIDO</v>
      </c>
      <c r="F141" s="35">
        <f t="array" ref="F141">INDEX('MTA 28-09'!I:I,MATCH(B141,'MTA 28-09'!A:A,0))</f>
        <v>46079</v>
      </c>
      <c r="G141" s="36" t="str">
        <f t="array" ref="G141">INDEX('MTA 28-09'!J:J,MATCH(B141,'MTA 28-09'!A:A,0))</f>
        <v>C26048</v>
      </c>
      <c r="H141" s="37">
        <v>1.0</v>
      </c>
      <c r="I141" s="38"/>
      <c r="J141" s="39"/>
      <c r="K141" s="40"/>
      <c r="L141" s="39" t="str">
        <f t="array" ref="L141">INDEX('MTA 28-09'!S:S,MATCH(B141,'MTA 28-09'!A:A,0))</f>
        <v>G-19</v>
      </c>
      <c r="M141" s="32" t="str">
        <f t="array" ref="M141">INDEX('MTA 28-09'!T:T,MATCH(B141,'MTA 28-09'!A:A,0))</f>
        <v>Requisição CABW</v>
      </c>
      <c r="N141" s="32" t="str">
        <f t="array" ref="N141">INDEX('MTA 28-09'!U:U,MATCH(B141,'MTA 28-09'!A:A,0))</f>
        <v>Requisições Consumíveis 3/8</v>
      </c>
      <c r="O141" s="59">
        <f t="array" ref="O141">INDEX('MTA 28-09'!AC:AC,MATCH(B141,'MTA 28-09'!A:A,0))</f>
        <v>128581.69</v>
      </c>
      <c r="P141" s="32" t="str">
        <f t="array" ref="P141">INDEX('MTA 28-09'!N:N,MATCH(B141,'MTA 28-09'!A:A,0))</f>
        <v>CABW</v>
      </c>
      <c r="Q141" s="67" t="str">
        <f t="array" ref="Q141">INDEX('MTA 28-09'!Z:Z,MATCH(B141,'MTA 28-09'!A:A,0))</f>
        <v>339030</v>
      </c>
      <c r="R141" s="32" t="str">
        <f t="array" ref="R141">INDEX('MTA 28-09'!L:L,MATCH(B141,'MTA 28-09'!A:A,0))</f>
        <v>A</v>
      </c>
      <c r="S141" s="72" t="str">
        <f t="array" ref="S141">INDEX('MTA 28-09'!X:X,MATCH(B141,'MTA 28-09'!A:A,0))</f>
        <v>REQUISIÇÃO</v>
      </c>
      <c r="T141" s="72" t="str">
        <f t="array" ref="T141">INDEX('MTA 28-09'!W:W,MATCH(B141,'MTA 28-09'!A:A,0))</f>
        <v>Não</v>
      </c>
      <c r="U141" s="81">
        <f t="array" ref="U141">INDEX('MTA 28-09'!AE:AE,MATCH(B141,'MTA 28-09'!A:A,0))</f>
        <v>46168</v>
      </c>
      <c r="V141" s="12"/>
      <c r="W141" s="12"/>
      <c r="X141" s="12"/>
      <c r="Y141" s="12"/>
      <c r="Z141" s="12"/>
      <c r="AA141" s="12"/>
      <c r="AB141" s="12"/>
      <c r="AC141" s="12"/>
      <c r="AD141" s="12"/>
      <c r="AE141" s="12"/>
      <c r="AF141" s="12"/>
      <c r="AG141" s="12"/>
      <c r="AH141" s="12"/>
      <c r="AI141" s="12"/>
      <c r="AJ141" s="12"/>
      <c r="AK141" s="12"/>
      <c r="AL141" s="12"/>
      <c r="AM141" s="12"/>
    </row>
    <row r="142">
      <c r="A142" s="88" t="s">
        <v>48</v>
      </c>
      <c r="B142" s="98">
        <v>11960.0</v>
      </c>
      <c r="C142" s="92" t="str">
        <f t="array" ref="C142">INDEX('MTA 28-09'!B:B,MATCH(B142,'MTA 28-09'!A:A,0))</f>
        <v>NÃO</v>
      </c>
      <c r="D142" s="95" t="str">
        <f t="array" ref="D142">INDEX('MTA 28-09'!D:D,MATCH(B142,'MTA 28-09'!A:A,0))</f>
        <v/>
      </c>
      <c r="E142" s="98" t="str">
        <f t="array" ref="E142">INDEX('MTA 28-09'!F:F,MATCH(B142,'MTA 28-09'!A:A,0))</f>
        <v>BLOQUEIO</v>
      </c>
      <c r="F142" s="99" t="str">
        <f t="array" ref="F142">INDEX('MTA 28-09'!I:I,MATCH(B142,'MTA 28-09'!A:A,0))</f>
        <v/>
      </c>
      <c r="G142" s="100" t="str">
        <f t="array" ref="G142">INDEX('MTA 28-09'!J:J,MATCH(B142,'MTA 28-09'!A:A,0))</f>
        <v/>
      </c>
      <c r="H142" s="159" t="s">
        <v>157</v>
      </c>
      <c r="I142" s="296"/>
      <c r="J142" s="102"/>
      <c r="K142" s="103"/>
      <c r="L142" s="102" t="str">
        <f t="array" ref="L142">INDEX('MTA 28-09'!S:S,MATCH(B142,'MTA 28-09'!A:A,0))</f>
        <v>G-19</v>
      </c>
      <c r="M142" s="98" t="str">
        <f t="array" ref="M142">INDEX('MTA 28-09'!T:T,MATCH(B142,'MTA 28-09'!A:A,0))</f>
        <v>Requisição FMS</v>
      </c>
      <c r="N142" s="98" t="str">
        <f t="array" ref="N142">INDEX('MTA 28-09'!U:U,MATCH(B142,'MTA 28-09'!A:A,0))</f>
        <v>Requisições Consumíveis 1/4</v>
      </c>
      <c r="O142" s="104">
        <f t="array" ref="O142">INDEX('MTA 28-09'!AC:AC,MATCH(B142,'MTA 28-09'!A:A,0))</f>
        <v>20000</v>
      </c>
      <c r="P142" s="98" t="str">
        <f t="array" ref="P142">INDEX('MTA 28-09'!N:N,MATCH(B142,'MTA 28-09'!A:A,0))</f>
        <v>FMS</v>
      </c>
      <c r="Q142" s="105" t="str">
        <f t="array" ref="Q142">INDEX('MTA 28-09'!Z:Z,MATCH(B142,'MTA 28-09'!A:A,0))</f>
        <v>339030</v>
      </c>
      <c r="R142" s="98" t="str">
        <f t="array" ref="R142">INDEX('MTA 28-09'!L:L,MATCH(B142,'MTA 28-09'!A:A,0))</f>
        <v>B</v>
      </c>
      <c r="S142" s="107" t="str">
        <f t="array" ref="S142">INDEX('MTA 28-09'!X:X,MATCH(B142,'MTA 28-09'!A:A,0))</f>
        <v>REQUISIÇÃO</v>
      </c>
      <c r="T142" s="107" t="str">
        <f t="array" ref="T142">INDEX('MTA 28-09'!W:W,MATCH(B142,'MTA 28-09'!A:A,0))</f>
        <v>Não</v>
      </c>
      <c r="U142" s="109">
        <f t="array" ref="U142">INDEX('MTA 28-09'!AE:AE,MATCH(B142,'MTA 28-09'!A:A,0))</f>
        <v>46291</v>
      </c>
      <c r="V142" s="29"/>
      <c r="W142" s="29"/>
      <c r="X142" s="29"/>
      <c r="Y142" s="29"/>
      <c r="Z142" s="29"/>
      <c r="AA142" s="29"/>
      <c r="AB142" s="29"/>
      <c r="AC142" s="29"/>
      <c r="AD142" s="29"/>
      <c r="AE142" s="29"/>
      <c r="AF142" s="29"/>
      <c r="AG142" s="29"/>
      <c r="AH142" s="29"/>
      <c r="AI142" s="29"/>
      <c r="AJ142" s="29"/>
      <c r="AK142" s="29"/>
      <c r="AL142" s="29"/>
      <c r="AM142" s="29"/>
    </row>
    <row r="143">
      <c r="A143" s="31" t="s">
        <v>107</v>
      </c>
      <c r="B143" s="32">
        <v>11980.0</v>
      </c>
      <c r="C143" s="33" t="str">
        <f t="array" ref="C143">INDEX('MTA 28-09'!B:B,MATCH(B143,'MTA 28-09'!A:A,0))</f>
        <v>NÃO</v>
      </c>
      <c r="D143" s="34" t="str">
        <f t="array" ref="D143">INDEX('MTA 28-09'!D:D,MATCH(B143,'MTA 28-09'!A:A,0))</f>
        <v/>
      </c>
      <c r="E143" s="32" t="str">
        <f t="array" ref="E143">INDEX('MTA 28-09'!F:F,MATCH(B143,'MTA 28-09'!A:A,0))</f>
        <v>BLOQUEIO</v>
      </c>
      <c r="F143" s="294" t="str">
        <f t="array" ref="F143">INDEX('MTA 28-09'!I:I,MATCH(B143,'MTA 28-09'!A:A,0))</f>
        <v/>
      </c>
      <c r="G143" s="36" t="str">
        <f t="array" ref="G143">INDEX('MTA 28-09'!J:J,MATCH(B143,'MTA 28-09'!A:A,0))</f>
        <v/>
      </c>
      <c r="H143" s="287" t="s">
        <v>157</v>
      </c>
      <c r="I143" s="295"/>
      <c r="J143" s="39"/>
      <c r="K143" s="40"/>
      <c r="L143" s="39" t="str">
        <f t="array" ref="L143">INDEX('MTA 28-09'!S:S,MATCH(B143,'MTA 28-09'!A:A,0))</f>
        <v>APOIO</v>
      </c>
      <c r="M143" s="32" t="str">
        <f t="array" ref="M143">INDEX('MTA 28-09'!T:T,MATCH(B143,'MTA 28-09'!A:A,0))</f>
        <v>REQUISIÇÃO SSS TLV</v>
      </c>
      <c r="N143" s="32" t="str">
        <f t="array" ref="N143">INDEX('MTA 28-09'!U:U,MATCH(B143,'MTA 28-09'!A:A,0))</f>
        <v>AQUISIÇÃO ITENS SSS COM TEMPO LIMITE DE VIDA (CABW) 2/3</v>
      </c>
      <c r="O143" s="59">
        <f t="array" ref="O143">INDEX('MTA 28-09'!AC:AC,MATCH(B143,'MTA 28-09'!A:A,0))</f>
        <v>1679899.79</v>
      </c>
      <c r="P143" s="32" t="str">
        <f t="array" ref="P143">INDEX('MTA 28-09'!N:N,MATCH(B143,'MTA 28-09'!A:A,0))</f>
        <v>CABW</v>
      </c>
      <c r="Q143" s="67" t="str">
        <f t="array" ref="Q143">INDEX('MTA 28-09'!Z:Z,MATCH(B143,'MTA 28-09'!A:A,0))</f>
        <v>339030</v>
      </c>
      <c r="R143" s="32" t="str">
        <f t="array" ref="R143">INDEX('MTA 28-09'!L:L,MATCH(B143,'MTA 28-09'!A:A,0))</f>
        <v>B</v>
      </c>
      <c r="S143" s="72" t="str">
        <f t="array" ref="S143">INDEX('MTA 28-09'!X:X,MATCH(B143,'MTA 28-09'!A:A,0))</f>
        <v>REQUISIÇÃO</v>
      </c>
      <c r="T143" s="72" t="str">
        <f t="array" ref="T143">INDEX('MTA 28-09'!W:W,MATCH(B143,'MTA 28-09'!A:A,0))</f>
        <v>NÃO</v>
      </c>
      <c r="U143" s="81">
        <f t="array" ref="U143">INDEX('MTA 28-09'!AE:AE,MATCH(B143,'MTA 28-09'!A:A,0))</f>
        <v>46049</v>
      </c>
      <c r="V143" s="12"/>
      <c r="W143" s="12"/>
      <c r="X143" s="12"/>
      <c r="Y143" s="12"/>
      <c r="Z143" s="12"/>
      <c r="AA143" s="12"/>
      <c r="AB143" s="12"/>
      <c r="AC143" s="12"/>
      <c r="AD143" s="12"/>
      <c r="AE143" s="12"/>
      <c r="AF143" s="12"/>
      <c r="AG143" s="12"/>
      <c r="AH143" s="12"/>
      <c r="AI143" s="12"/>
      <c r="AJ143" s="12"/>
      <c r="AK143" s="12"/>
      <c r="AL143" s="12"/>
      <c r="AM143" s="12"/>
    </row>
    <row r="144">
      <c r="A144" s="88" t="s">
        <v>107</v>
      </c>
      <c r="B144" s="98">
        <v>12000.0</v>
      </c>
      <c r="C144" s="92" t="str">
        <f t="array" ref="C144">INDEX('MTA 28-09'!B:B,MATCH(B144,'MTA 28-09'!A:A,0))</f>
        <v>SIM</v>
      </c>
      <c r="D144" s="95">
        <f t="array" ref="D144">INDEX('MTA 28-09'!D:D,MATCH(B144,'MTA 28-09'!A:A,0))</f>
        <v>2048</v>
      </c>
      <c r="E144" s="98" t="str">
        <f t="array" ref="E144">INDEX('MTA 28-09'!F:F,MATCH(B144,'MTA 28-09'!A:A,0))</f>
        <v/>
      </c>
      <c r="F144" s="144" t="str">
        <f t="array" ref="F144">INDEX('MTA 28-09'!I:I,MATCH(B144,'MTA 28-09'!A:A,0))</f>
        <v/>
      </c>
      <c r="G144" s="100" t="str">
        <f t="array" ref="G144">INDEX('MTA 28-09'!J:J,MATCH(B144,'MTA 28-09'!A:A,0))</f>
        <v/>
      </c>
      <c r="H144" s="159">
        <v>46276.0</v>
      </c>
      <c r="I144" s="414" t="s">
        <v>1571</v>
      </c>
      <c r="J144" s="102"/>
      <c r="K144" s="103"/>
      <c r="L144" s="102" t="str">
        <f t="array" ref="L144">INDEX('MTA 28-09'!S:S,MATCH(B144,'MTA 28-09'!A:A,0))</f>
        <v>APOIO</v>
      </c>
      <c r="M144" s="98" t="str">
        <f t="array" ref="M144">INDEX('MTA 28-09'!T:T,MATCH(B144,'MTA 28-09'!A:A,0))</f>
        <v>REVISÃO ITEM SSS EXTERIOR</v>
      </c>
      <c r="N144" s="98" t="str">
        <f t="array" ref="N144">INDEX('MTA 28-09'!U:U,MATCH(B144,'MTA 28-09'!A:A,0))</f>
        <v>REVISÃO ITENS SSS NO EXTERIOR (CABW)</v>
      </c>
      <c r="O144" s="104">
        <f t="array" ref="O144">INDEX('MTA 28-09'!AC:AC,MATCH(B144,'MTA 28-09'!A:A,0))</f>
        <v>38304</v>
      </c>
      <c r="P144" s="98" t="str">
        <f t="array" ref="P144">INDEX('MTA 28-09'!N:N,MATCH(B144,'MTA 28-09'!A:A,0))</f>
        <v>CABW</v>
      </c>
      <c r="Q144" s="105" t="str">
        <f t="array" ref="Q144">INDEX('MTA 28-09'!Z:Z,MATCH(B144,'MTA 28-09'!A:A,0))</f>
        <v>339039</v>
      </c>
      <c r="R144" s="98" t="str">
        <f t="array" ref="R144">INDEX('MTA 28-09'!L:L,MATCH(B144,'MTA 28-09'!A:A,0))</f>
        <v>A</v>
      </c>
      <c r="S144" s="107" t="str">
        <f t="array" ref="S144">INDEX('MTA 28-09'!X:X,MATCH(B144,'MTA 28-09'!A:A,0))</f>
        <v>REQUISIÇÃO</v>
      </c>
      <c r="T144" s="107" t="str">
        <f t="array" ref="T144">INDEX('MTA 28-09'!W:W,MATCH(B144,'MTA 28-09'!A:A,0))</f>
        <v>NÃO</v>
      </c>
      <c r="U144" s="109">
        <f t="array" ref="U144">INDEX('MTA 28-09'!AE:AE,MATCH(B144,'MTA 28-09'!A:A,0))</f>
        <v>46260</v>
      </c>
      <c r="V144" s="29"/>
      <c r="W144" s="29"/>
      <c r="X144" s="29"/>
      <c r="Y144" s="29"/>
      <c r="Z144" s="29"/>
      <c r="AA144" s="29"/>
      <c r="AB144" s="29"/>
      <c r="AC144" s="29"/>
      <c r="AD144" s="29"/>
      <c r="AE144" s="29"/>
      <c r="AF144" s="29"/>
      <c r="AG144" s="29"/>
      <c r="AH144" s="29"/>
      <c r="AI144" s="29"/>
      <c r="AJ144" s="29"/>
      <c r="AK144" s="29"/>
      <c r="AL144" s="29"/>
      <c r="AM144" s="29"/>
    </row>
    <row r="145">
      <c r="A145" s="31" t="s">
        <v>107</v>
      </c>
      <c r="B145" s="38">
        <v>12001.0</v>
      </c>
      <c r="C145" s="33" t="str">
        <f t="array" ref="C145">INDEX('MTA 28-09'!B:B,MATCH(B145,'MTA 28-09'!A:A,0))</f>
        <v>SIM</v>
      </c>
      <c r="D145" s="34">
        <f t="array" ref="D145">INDEX('MTA 28-09'!D:D,MATCH(B145,'MTA 28-09'!A:A,0))</f>
        <v>2048</v>
      </c>
      <c r="E145" s="32" t="str">
        <f t="array" ref="E145">INDEX('MTA 28-09'!F:F,MATCH(B145,'MTA 28-09'!A:A,0))</f>
        <v>ATENDIDO</v>
      </c>
      <c r="F145" s="294">
        <f t="array" ref="F145">INDEX('MTA 28-09'!I:I,MATCH(B145,'MTA 28-09'!A:A,0))</f>
        <v>46196</v>
      </c>
      <c r="G145" s="36" t="str">
        <f t="array" ref="G145">INDEX('MTA 28-09'!J:J,MATCH(B145,'MTA 28-09'!A:A,0))</f>
        <v>C26125</v>
      </c>
      <c r="H145" s="37" t="s">
        <v>375</v>
      </c>
      <c r="I145" s="38"/>
      <c r="J145" s="39"/>
      <c r="K145" s="40"/>
      <c r="L145" s="39" t="str">
        <f t="array" ref="L145">INDEX('MTA 28-09'!S:S,MATCH(B145,'MTA 28-09'!A:A,0))</f>
        <v>APOIO</v>
      </c>
      <c r="M145" s="32" t="str">
        <f t="array" ref="M145">INDEX('MTA 28-09'!T:T,MATCH(B145,'MTA 28-09'!A:A,0))</f>
        <v>REVISÃO ITEM SSS EXTERIOR</v>
      </c>
      <c r="N145" s="32" t="str">
        <f t="array" ref="N145">INDEX('MTA 28-09'!U:U,MATCH(B145,'MTA 28-09'!A:A,0))</f>
        <v>REVISÃO ITENS SSS NO EXTERIOR (CABW)</v>
      </c>
      <c r="O145" s="59">
        <f t="array" ref="O145">INDEX('MTA 28-09'!AC:AC,MATCH(B145,'MTA 28-09'!A:A,0))</f>
        <v>27914.61</v>
      </c>
      <c r="P145" s="32" t="str">
        <f t="array" ref="P145">INDEX('MTA 28-09'!N:N,MATCH(B145,'MTA 28-09'!A:A,0))</f>
        <v>CABW</v>
      </c>
      <c r="Q145" s="67" t="str">
        <f t="array" ref="Q145">INDEX('MTA 28-09'!Z:Z,MATCH(B145,'MTA 28-09'!A:A,0))</f>
        <v>339039</v>
      </c>
      <c r="R145" s="32" t="str">
        <f t="array" ref="R145">INDEX('MTA 28-09'!L:L,MATCH(B145,'MTA 28-09'!A:A,0))</f>
        <v>A</v>
      </c>
      <c r="S145" s="72" t="str">
        <f t="array" ref="S145">INDEX('MTA 28-09'!X:X,MATCH(B145,'MTA 28-09'!A:A,0))</f>
        <v>REQUISIÇÃO</v>
      </c>
      <c r="T145" s="72" t="str">
        <f t="array" ref="T145">INDEX('MTA 28-09'!W:W,MATCH(B145,'MTA 28-09'!A:A,0))</f>
        <v>NÃO</v>
      </c>
      <c r="U145" s="413">
        <f t="array" ref="U145">INDEX('MTA 28-09'!AE:AE,MATCH(B145,'MTA 28-09'!A:A,0))</f>
        <v>46260</v>
      </c>
      <c r="V145" s="12"/>
      <c r="W145" s="12"/>
      <c r="X145" s="12"/>
      <c r="Y145" s="12"/>
      <c r="Z145" s="12"/>
      <c r="AA145" s="12"/>
      <c r="AB145" s="12"/>
      <c r="AC145" s="12"/>
      <c r="AD145" s="12"/>
      <c r="AE145" s="12"/>
      <c r="AF145" s="12"/>
      <c r="AG145" s="12"/>
      <c r="AH145" s="12"/>
      <c r="AI145" s="12"/>
      <c r="AJ145" s="12"/>
      <c r="AK145" s="12"/>
      <c r="AL145" s="12"/>
      <c r="AM145" s="12"/>
    </row>
    <row r="146">
      <c r="A146" s="88" t="s">
        <v>1572</v>
      </c>
      <c r="B146" s="98">
        <v>12020.0</v>
      </c>
      <c r="C146" s="92" t="str">
        <f t="array" ref="C146">INDEX('MTA 28-09'!B:B,MATCH(B146,'MTA 28-09'!A:A,0))</f>
        <v>SIM</v>
      </c>
      <c r="D146" s="95">
        <f t="array" ref="D146">INDEX('MTA 28-09'!D:D,MATCH(B146,'MTA 28-09'!A:A,0))</f>
        <v>2048</v>
      </c>
      <c r="E146" s="98" t="str">
        <f t="array" ref="E146">INDEX('MTA 28-09'!F:F,MATCH(B146,'MTA 28-09'!A:A,0))</f>
        <v>ATENDIDO</v>
      </c>
      <c r="F146" s="144">
        <f t="array" ref="F146">INDEX('MTA 28-09'!I:I,MATCH(B146,'MTA 28-09'!A:A,0))</f>
        <v>46043</v>
      </c>
      <c r="G146" s="100" t="str">
        <f t="array" ref="G146">INDEX('MTA 28-09'!J:J,MATCH(B146,'MTA 28-09'!A:A,0))</f>
        <v>C26006</v>
      </c>
      <c r="H146" s="101">
        <v>1.0</v>
      </c>
      <c r="I146" s="90"/>
      <c r="J146" s="102"/>
      <c r="K146" s="103"/>
      <c r="L146" s="102" t="str">
        <f t="array" ref="L146">INDEX('MTA 28-09'!S:S,MATCH(B146,'MTA 28-09'!A:A,0))</f>
        <v>APOIO</v>
      </c>
      <c r="M146" s="98" t="str">
        <f t="array" ref="M146">INDEX('MTA 28-09'!T:T,MATCH(B146,'MTA 28-09'!A:A,0))</f>
        <v>Requisição CABW</v>
      </c>
      <c r="N146" s="98" t="str">
        <f t="array" ref="N146">INDEX('MTA 28-09'!U:U,MATCH(B146,'MTA 28-09'!A:A,0))</f>
        <v>Requisições Consumíveis 1/4</v>
      </c>
      <c r="O146" s="104">
        <f t="array" ref="O146">INDEX('MTA 28-09'!AC:AC,MATCH(B146,'MTA 28-09'!A:A,0))</f>
        <v>280000</v>
      </c>
      <c r="P146" s="98" t="str">
        <f t="array" ref="P146">INDEX('MTA 28-09'!N:N,MATCH(B146,'MTA 28-09'!A:A,0))</f>
        <v>CABW</v>
      </c>
      <c r="Q146" s="105" t="str">
        <f t="array" ref="Q146">INDEX('MTA 28-09'!Z:Z,MATCH(B146,'MTA 28-09'!A:A,0))</f>
        <v>339030</v>
      </c>
      <c r="R146" s="98" t="str">
        <f t="array" ref="R146">INDEX('MTA 28-09'!L:L,MATCH(B146,'MTA 28-09'!A:A,0))</f>
        <v>A</v>
      </c>
      <c r="S146" s="107" t="str">
        <f t="array" ref="S146">INDEX('MTA 28-09'!X:X,MATCH(B146,'MTA 28-09'!A:A,0))</f>
        <v>REQUISIÇÃO</v>
      </c>
      <c r="T146" s="107" t="str">
        <f t="array" ref="T146">INDEX('MTA 28-09'!W:W,MATCH(B146,'MTA 28-09'!A:A,0))</f>
        <v>NÃO</v>
      </c>
      <c r="U146" s="109">
        <f t="array" ref="U146">INDEX('MTA 28-09'!AE:AE,MATCH(B146,'MTA 28-09'!A:A,0))</f>
        <v>46107</v>
      </c>
      <c r="V146" s="29"/>
      <c r="W146" s="29"/>
      <c r="X146" s="29"/>
      <c r="Y146" s="29"/>
      <c r="Z146" s="29"/>
      <c r="AA146" s="29"/>
      <c r="AB146" s="29"/>
      <c r="AC146" s="29"/>
      <c r="AD146" s="29"/>
      <c r="AE146" s="29"/>
      <c r="AF146" s="29"/>
      <c r="AG146" s="29"/>
      <c r="AH146" s="29"/>
      <c r="AI146" s="29"/>
      <c r="AJ146" s="29"/>
      <c r="AK146" s="29"/>
      <c r="AL146" s="29"/>
      <c r="AM146" s="29"/>
    </row>
    <row r="147">
      <c r="A147" s="31" t="s">
        <v>97</v>
      </c>
      <c r="B147" s="32">
        <v>12040.0</v>
      </c>
      <c r="C147" s="33" t="str">
        <f t="array" ref="C147">INDEX('MTA 28-09'!B:B,MATCH(B147,'MTA 28-09'!A:A,0))</f>
        <v>NÃO</v>
      </c>
      <c r="D147" s="34" t="str">
        <f t="array" ref="D147">INDEX('MTA 28-09'!D:D,MATCH(B147,'MTA 28-09'!A:A,0))</f>
        <v/>
      </c>
      <c r="E147" s="32" t="str">
        <f t="array" ref="E147">INDEX('MTA 28-09'!F:F,MATCH(B147,'MTA 28-09'!A:A,0))</f>
        <v/>
      </c>
      <c r="F147" s="35" t="str">
        <f t="array" ref="F147">INDEX('MTA 28-09'!I:I,MATCH(B147,'MTA 28-09'!A:A,0))</f>
        <v/>
      </c>
      <c r="G147" s="36" t="str">
        <f t="array" ref="G147">INDEX('MTA 28-09'!J:J,MATCH(B147,'MTA 28-09'!A:A,0))</f>
        <v/>
      </c>
      <c r="H147" s="287" t="s">
        <v>157</v>
      </c>
      <c r="I147" s="295"/>
      <c r="J147" s="39"/>
      <c r="K147" s="40"/>
      <c r="L147" s="39" t="str">
        <f t="array" ref="L147">INDEX('MTA 28-09'!S:S,MATCH(B147,'MTA 28-09'!A:A,0))</f>
        <v>APOIO</v>
      </c>
      <c r="M147" s="32" t="str">
        <f t="array" ref="M147">INDEX('MTA 28-09'!T:T,MATCH(B147,'MTA 28-09'!A:A,0))</f>
        <v>Requisição CABW</v>
      </c>
      <c r="N147" s="32" t="str">
        <f t="array" ref="N147">INDEX('MTA 28-09'!U:U,MATCH(B147,'MTA 28-09'!A:A,0))</f>
        <v>Requisições Consumíveis 3/4</v>
      </c>
      <c r="O147" s="59">
        <f t="array" ref="O147">INDEX('MTA 28-09'!AC:AC,MATCH(B147,'MTA 28-09'!A:A,0))</f>
        <v>82000</v>
      </c>
      <c r="P147" s="32" t="str">
        <f t="array" ref="P147">INDEX('MTA 28-09'!N:N,MATCH(B147,'MTA 28-09'!A:A,0))</f>
        <v>CABW</v>
      </c>
      <c r="Q147" s="67" t="str">
        <f t="array" ref="Q147">INDEX('MTA 28-09'!Z:Z,MATCH(B147,'MTA 28-09'!A:A,0))</f>
        <v>339030</v>
      </c>
      <c r="R147" s="32" t="str">
        <f t="array" ref="R147">INDEX('MTA 28-09'!L:L,MATCH(B147,'MTA 28-09'!A:A,0))</f>
        <v>B</v>
      </c>
      <c r="S147" s="72" t="str">
        <f t="array" ref="S147">INDEX('MTA 28-09'!X:X,MATCH(B147,'MTA 28-09'!A:A,0))</f>
        <v>REQUISIÇÃO</v>
      </c>
      <c r="T147" s="72" t="str">
        <f t="array" ref="T147">INDEX('MTA 28-09'!W:W,MATCH(B147,'MTA 28-09'!A:A,0))</f>
        <v>NÃO</v>
      </c>
      <c r="U147" s="81">
        <f t="array" ref="U147">INDEX('MTA 28-09'!AE:AE,MATCH(B147,'MTA 28-09'!A:A,0))</f>
        <v>46352</v>
      </c>
      <c r="V147" s="12"/>
      <c r="W147" s="12"/>
      <c r="X147" s="12"/>
      <c r="Y147" s="12"/>
      <c r="Z147" s="12"/>
      <c r="AA147" s="12"/>
      <c r="AB147" s="12"/>
      <c r="AC147" s="12"/>
      <c r="AD147" s="12"/>
      <c r="AE147" s="12"/>
      <c r="AF147" s="12"/>
      <c r="AG147" s="12"/>
      <c r="AH147" s="12"/>
      <c r="AI147" s="12"/>
      <c r="AJ147" s="12"/>
      <c r="AK147" s="12"/>
      <c r="AL147" s="12"/>
      <c r="AM147" s="12"/>
    </row>
    <row r="148">
      <c r="A148" s="88" t="s">
        <v>1573</v>
      </c>
      <c r="B148" s="98">
        <v>12060.0</v>
      </c>
      <c r="C148" s="92" t="str">
        <f t="array" ref="C148">INDEX('MTA 28-09'!B:B,MATCH(B148,'MTA 28-09'!A:A,0))</f>
        <v>SIM</v>
      </c>
      <c r="D148" s="95">
        <f t="array" ref="D148">INDEX('MTA 28-09'!D:D,MATCH(B148,'MTA 28-09'!A:A,0))</f>
        <v>2048</v>
      </c>
      <c r="E148" s="98" t="str">
        <f t="array" ref="E148">INDEX('MTA 28-09'!F:F,MATCH(B148,'MTA 28-09'!A:A,0))</f>
        <v>ATENDIDO</v>
      </c>
      <c r="F148" s="99">
        <f t="array" ref="F148">INDEX('MTA 28-09'!I:I,MATCH(B148,'MTA 28-09'!A:A,0))</f>
        <v>46079</v>
      </c>
      <c r="G148" s="100" t="str">
        <f t="array" ref="G148">INDEX('MTA 28-09'!J:J,MATCH(B148,'MTA 28-09'!A:A,0))</f>
        <v>C26044</v>
      </c>
      <c r="H148" s="101">
        <v>1.0</v>
      </c>
      <c r="I148" s="90"/>
      <c r="J148" s="102"/>
      <c r="K148" s="103"/>
      <c r="L148" s="102" t="str">
        <f t="array" ref="L148">INDEX('MTA 28-09'!S:S,MATCH(B148,'MTA 28-09'!A:A,0))</f>
        <v>APOIO</v>
      </c>
      <c r="M148" s="98" t="str">
        <f t="array" ref="M148">INDEX('MTA 28-09'!T:T,MATCH(B148,'MTA 28-09'!A:A,0))</f>
        <v>Requisição CABW</v>
      </c>
      <c r="N148" s="98" t="str">
        <f t="array" ref="N148">INDEX('MTA 28-09'!U:U,MATCH(B148,'MTA 28-09'!A:A,0))</f>
        <v>Requisições Consumíveis 1/4</v>
      </c>
      <c r="O148" s="104">
        <f t="array" ref="O148">INDEX('MTA 28-09'!AC:AC,MATCH(B148,'MTA 28-09'!A:A,0))</f>
        <v>250000</v>
      </c>
      <c r="P148" s="98" t="str">
        <f t="array" ref="P148">INDEX('MTA 28-09'!N:N,MATCH(B148,'MTA 28-09'!A:A,0))</f>
        <v>CABW</v>
      </c>
      <c r="Q148" s="105" t="str">
        <f t="array" ref="Q148">INDEX('MTA 28-09'!Z:Z,MATCH(B148,'MTA 28-09'!A:A,0))</f>
        <v>339030</v>
      </c>
      <c r="R148" s="98" t="str">
        <f t="array" ref="R148">INDEX('MTA 28-09'!L:L,MATCH(B148,'MTA 28-09'!A:A,0))</f>
        <v>A</v>
      </c>
      <c r="S148" s="107" t="str">
        <f t="array" ref="S148">INDEX('MTA 28-09'!X:X,MATCH(B148,'MTA 28-09'!A:A,0))</f>
        <v>REQUISIÇÃO</v>
      </c>
      <c r="T148" s="107" t="str">
        <f t="array" ref="T148">INDEX('MTA 28-09'!W:W,MATCH(B148,'MTA 28-09'!A:A,0))</f>
        <v>NÃO</v>
      </c>
      <c r="U148" s="109">
        <f t="array" ref="U148">INDEX('MTA 28-09'!AE:AE,MATCH(B148,'MTA 28-09'!A:A,0))</f>
        <v>46168</v>
      </c>
      <c r="V148" s="29"/>
      <c r="W148" s="29"/>
      <c r="X148" s="29"/>
      <c r="Y148" s="29"/>
      <c r="Z148" s="29"/>
      <c r="AA148" s="29"/>
      <c r="AB148" s="29"/>
      <c r="AC148" s="29"/>
      <c r="AD148" s="29"/>
      <c r="AE148" s="29"/>
      <c r="AF148" s="29"/>
      <c r="AG148" s="29"/>
      <c r="AH148" s="29"/>
      <c r="AI148" s="29"/>
      <c r="AJ148" s="29"/>
      <c r="AK148" s="29"/>
      <c r="AL148" s="29"/>
      <c r="AM148" s="29"/>
    </row>
    <row r="149">
      <c r="A149" s="31" t="s">
        <v>1574</v>
      </c>
      <c r="B149" s="32">
        <v>12080.0</v>
      </c>
      <c r="C149" s="33" t="str">
        <f t="array" ref="C149">INDEX('MTA 28-09'!B:B,MATCH(B149,'MTA 28-09'!A:A,0))</f>
        <v>SIM</v>
      </c>
      <c r="D149" s="34">
        <f t="array" ref="D149">INDEX('MTA 28-09'!D:D,MATCH(B149,'MTA 28-09'!A:A,0))</f>
        <v>2048</v>
      </c>
      <c r="E149" s="32" t="str">
        <f t="array" ref="E149">INDEX('MTA 28-09'!F:F,MATCH(B149,'MTA 28-09'!A:A,0))</f>
        <v>ATENDIDO</v>
      </c>
      <c r="F149" s="35">
        <f t="array" ref="F149">INDEX('MTA 28-09'!I:I,MATCH(B149,'MTA 28-09'!A:A,0))</f>
        <v>46205</v>
      </c>
      <c r="G149" s="36" t="str">
        <f t="array" ref="G149">INDEX('MTA 28-09'!J:J,MATCH(B149,'MTA 28-09'!A:A,0))</f>
        <v>C26133</v>
      </c>
      <c r="H149" s="37" t="s">
        <v>1562</v>
      </c>
      <c r="I149" s="38"/>
      <c r="J149" s="39"/>
      <c r="K149" s="40"/>
      <c r="L149" s="39" t="str">
        <f t="array" ref="L149">INDEX('MTA 28-09'!S:S,MATCH(B149,'MTA 28-09'!A:A,0))</f>
        <v>APOIO</v>
      </c>
      <c r="M149" s="32" t="str">
        <f t="array" ref="M149">INDEX('MTA 28-09'!T:T,MATCH(B149,'MTA 28-09'!A:A,0))</f>
        <v>Requisição CABW</v>
      </c>
      <c r="N149" s="32" t="str">
        <f t="array" ref="N149">INDEX('MTA 28-09'!U:U,MATCH(B149,'MTA 28-09'!A:A,0))</f>
        <v>Requisições Consumíveis 3/4</v>
      </c>
      <c r="O149" s="59">
        <f t="array" ref="O149">INDEX('MTA 28-09'!AC:AC,MATCH(B149,'MTA 28-09'!A:A,0))</f>
        <v>61665.24</v>
      </c>
      <c r="P149" s="32" t="str">
        <f t="array" ref="P149">INDEX('MTA 28-09'!N:N,MATCH(B149,'MTA 28-09'!A:A,0))</f>
        <v>CABW</v>
      </c>
      <c r="Q149" s="67" t="str">
        <f t="array" ref="Q149">INDEX('MTA 28-09'!Z:Z,MATCH(B149,'MTA 28-09'!A:A,0))</f>
        <v>339030</v>
      </c>
      <c r="R149" s="32" t="str">
        <f t="array" ref="R149">INDEX('MTA 28-09'!L:L,MATCH(B149,'MTA 28-09'!A:A,0))</f>
        <v>A</v>
      </c>
      <c r="S149" s="72" t="str">
        <f t="array" ref="S149">INDEX('MTA 28-09'!X:X,MATCH(B149,'MTA 28-09'!A:A,0))</f>
        <v>REQUISIÇÃO</v>
      </c>
      <c r="T149" s="72" t="str">
        <f t="array" ref="T149">INDEX('MTA 28-09'!W:W,MATCH(B149,'MTA 28-09'!A:A,0))</f>
        <v>NÃO</v>
      </c>
      <c r="U149" s="81">
        <f t="array" ref="U149">INDEX('MTA 28-09'!AE:AE,MATCH(B149,'MTA 28-09'!A:A,0))</f>
        <v>46291</v>
      </c>
      <c r="V149" s="12"/>
      <c r="W149" s="12"/>
      <c r="X149" s="12"/>
      <c r="Y149" s="12"/>
      <c r="Z149" s="12"/>
      <c r="AA149" s="12"/>
      <c r="AB149" s="12"/>
      <c r="AC149" s="12"/>
      <c r="AD149" s="12"/>
      <c r="AE149" s="12"/>
      <c r="AF149" s="12"/>
      <c r="AG149" s="12"/>
      <c r="AH149" s="12"/>
      <c r="AI149" s="12"/>
      <c r="AJ149" s="12"/>
      <c r="AK149" s="12"/>
      <c r="AL149" s="12"/>
      <c r="AM149" s="12"/>
    </row>
    <row r="150">
      <c r="A150" s="88" t="s">
        <v>1575</v>
      </c>
      <c r="B150" s="98">
        <v>12100.0</v>
      </c>
      <c r="C150" s="92" t="str">
        <f t="array" ref="C150">INDEX('MTA 28-09'!B:B,MATCH(B150,'MTA 28-09'!A:A,0))</f>
        <v>SIM</v>
      </c>
      <c r="D150" s="95">
        <f t="array" ref="D150">INDEX('MTA 28-09'!D:D,MATCH(B150,'MTA 28-09'!A:A,0))</f>
        <v>2048</v>
      </c>
      <c r="E150" s="98" t="str">
        <f t="array" ref="E150">INDEX('MTA 28-09'!F:F,MATCH(B150,'MTA 28-09'!A:A,0))</f>
        <v>ATENDIDO</v>
      </c>
      <c r="F150" s="152">
        <f t="array" ref="F150">INDEX('MTA 28-09'!I:I,MATCH(B150,'MTA 28-09'!A:A,0))</f>
        <v>46073</v>
      </c>
      <c r="G150" s="100" t="str">
        <f t="array" ref="G150">INDEX('MTA 28-09'!J:J,MATCH(B150,'MTA 28-09'!A:A,0))</f>
        <v>C26034</v>
      </c>
      <c r="H150" s="101">
        <v>1.0</v>
      </c>
      <c r="I150" s="90"/>
      <c r="J150" s="102"/>
      <c r="K150" s="103"/>
      <c r="L150" s="102" t="str">
        <f t="array" ref="L150">INDEX('MTA 28-09'!S:S,MATCH(B150,'MTA 28-09'!A:A,0))</f>
        <v>APOIO</v>
      </c>
      <c r="M150" s="98" t="str">
        <f t="array" ref="M150">INDEX('MTA 28-09'!T:T,MATCH(B150,'MTA 28-09'!A:A,0))</f>
        <v>Requisição CABW</v>
      </c>
      <c r="N150" s="98" t="str">
        <f t="array" ref="N150">INDEX('MTA 28-09'!U:U,MATCH(B150,'MTA 28-09'!A:A,0))</f>
        <v>Requisições Consumíveis 1/4</v>
      </c>
      <c r="O150" s="104">
        <f t="array" ref="O150">INDEX('MTA 28-09'!AC:AC,MATCH(B150,'MTA 28-09'!A:A,0))</f>
        <v>380000</v>
      </c>
      <c r="P150" s="98" t="str">
        <f t="array" ref="P150">INDEX('MTA 28-09'!N:N,MATCH(B150,'MTA 28-09'!A:A,0))</f>
        <v>CABW</v>
      </c>
      <c r="Q150" s="105" t="str">
        <f t="array" ref="Q150">INDEX('MTA 28-09'!Z:Z,MATCH(B150,'MTA 28-09'!A:A,0))</f>
        <v>339030</v>
      </c>
      <c r="R150" s="98" t="str">
        <f t="array" ref="R150">INDEX('MTA 28-09'!L:L,MATCH(B150,'MTA 28-09'!A:A,0))</f>
        <v>A</v>
      </c>
      <c r="S150" s="107" t="str">
        <f t="array" ref="S150">INDEX('MTA 28-09'!X:X,MATCH(B150,'MTA 28-09'!A:A,0))</f>
        <v>REQUISIÇÃO</v>
      </c>
      <c r="T150" s="107" t="str">
        <f t="array" ref="T150">INDEX('MTA 28-09'!W:W,MATCH(B150,'MTA 28-09'!A:A,0))</f>
        <v>NÃO</v>
      </c>
      <c r="U150" s="109">
        <f t="array" ref="U150">INDEX('MTA 28-09'!AE:AE,MATCH(B150,'MTA 28-09'!A:A,0))</f>
        <v>46352</v>
      </c>
      <c r="V150" s="29"/>
      <c r="W150" s="29"/>
      <c r="X150" s="29"/>
      <c r="Y150" s="29"/>
      <c r="Z150" s="29"/>
      <c r="AA150" s="29"/>
      <c r="AB150" s="29"/>
      <c r="AC150" s="29"/>
      <c r="AD150" s="29"/>
      <c r="AE150" s="29"/>
      <c r="AF150" s="29"/>
      <c r="AG150" s="29"/>
      <c r="AH150" s="29"/>
      <c r="AI150" s="29"/>
      <c r="AJ150" s="29"/>
      <c r="AK150" s="29"/>
      <c r="AL150" s="29"/>
      <c r="AM150" s="29"/>
    </row>
    <row r="151">
      <c r="A151" s="31" t="s">
        <v>1575</v>
      </c>
      <c r="B151" s="32">
        <v>12120.0</v>
      </c>
      <c r="C151" s="33" t="str">
        <f t="array" ref="C151">INDEX('MTA 28-09'!B:B,MATCH(B151,'MTA 28-09'!A:A,0))</f>
        <v>SIM</v>
      </c>
      <c r="D151" s="34">
        <f t="array" ref="D151">INDEX('MTA 28-09'!D:D,MATCH(B151,'MTA 28-09'!A:A,0))</f>
        <v>2048</v>
      </c>
      <c r="E151" s="32" t="str">
        <f t="array" ref="E151">INDEX('MTA 28-09'!F:F,MATCH(B151,'MTA 28-09'!A:A,0))</f>
        <v>ATENDIDO</v>
      </c>
      <c r="F151" s="137">
        <f t="array" ref="F151">INDEX('MTA 28-09'!I:I,MATCH(B151,'MTA 28-09'!A:A,0))</f>
        <v>46192</v>
      </c>
      <c r="G151" s="36" t="str">
        <f t="array" ref="G151">INDEX('MTA 28-09'!J:J,MATCH(B151,'MTA 28-09'!A:A,0))</f>
        <v>C26044</v>
      </c>
      <c r="H151" s="412" t="s">
        <v>1466</v>
      </c>
      <c r="I151" s="38"/>
      <c r="J151" s="39"/>
      <c r="K151" s="40"/>
      <c r="L151" s="39" t="str">
        <f t="array" ref="L151">INDEX('MTA 28-09'!S:S,MATCH(B151,'MTA 28-09'!A:A,0))</f>
        <v>APOIO</v>
      </c>
      <c r="M151" s="32" t="str">
        <f t="array" ref="M151">INDEX('MTA 28-09'!T:T,MATCH(B151,'MTA 28-09'!A:A,0))</f>
        <v>Requisição CABW</v>
      </c>
      <c r="N151" s="32" t="str">
        <f t="array" ref="N151">INDEX('MTA 28-09'!U:U,MATCH(B151,'MTA 28-09'!A:A,0))</f>
        <v>Requisições Consumíveis 3/4</v>
      </c>
      <c r="O151" s="59">
        <f t="array" ref="O151">INDEX('MTA 28-09'!AC:AC,MATCH(B151,'MTA 28-09'!A:A,0))</f>
        <v>1161000</v>
      </c>
      <c r="P151" s="32" t="str">
        <f t="array" ref="P151">INDEX('MTA 28-09'!N:N,MATCH(B151,'MTA 28-09'!A:A,0))</f>
        <v>CABW</v>
      </c>
      <c r="Q151" s="67" t="str">
        <f t="array" ref="Q151">INDEX('MTA 28-09'!Z:Z,MATCH(B151,'MTA 28-09'!A:A,0))</f>
        <v>339030</v>
      </c>
      <c r="R151" s="32" t="str">
        <f t="array" ref="R151">INDEX('MTA 28-09'!L:L,MATCH(B151,'MTA 28-09'!A:A,0))</f>
        <v>A</v>
      </c>
      <c r="S151" s="72" t="str">
        <f t="array" ref="S151">INDEX('MTA 28-09'!X:X,MATCH(B151,'MTA 28-09'!A:A,0))</f>
        <v>REQUISIÇÃO</v>
      </c>
      <c r="T151" s="72" t="str">
        <f t="array" ref="T151">INDEX('MTA 28-09'!W:W,MATCH(B151,'MTA 28-09'!A:A,0))</f>
        <v>NÃO</v>
      </c>
      <c r="U151" s="81">
        <f t="array" ref="U151">INDEX('MTA 28-09'!AE:AE,MATCH(B151,'MTA 28-09'!A:A,0))</f>
        <v>46260</v>
      </c>
      <c r="V151" s="12"/>
      <c r="W151" s="12"/>
      <c r="X151" s="12"/>
      <c r="Y151" s="12"/>
      <c r="Z151" s="12"/>
      <c r="AA151" s="12"/>
      <c r="AB151" s="12"/>
      <c r="AC151" s="12"/>
      <c r="AD151" s="12"/>
      <c r="AE151" s="12"/>
      <c r="AF151" s="12"/>
      <c r="AG151" s="12"/>
      <c r="AH151" s="12"/>
      <c r="AI151" s="12"/>
      <c r="AJ151" s="12"/>
      <c r="AK151" s="12"/>
      <c r="AL151" s="12"/>
      <c r="AM151" s="12"/>
    </row>
    <row r="152">
      <c r="A152" s="88" t="s">
        <v>1576</v>
      </c>
      <c r="B152" s="98">
        <v>12140.0</v>
      </c>
      <c r="C152" s="92" t="str">
        <f t="array" ref="C152">INDEX('MTA 28-09'!B:B,MATCH(B152,'MTA 28-09'!A:A,0))</f>
        <v>SIM</v>
      </c>
      <c r="D152" s="95">
        <f t="array" ref="D152">INDEX('MTA 28-09'!D:D,MATCH(B152,'MTA 28-09'!A:A,0))</f>
        <v>2048</v>
      </c>
      <c r="E152" s="98" t="str">
        <f t="array" ref="E152">INDEX('MTA 28-09'!F:F,MATCH(B152,'MTA 28-09'!A:A,0))</f>
        <v>ATENDIDO</v>
      </c>
      <c r="F152" s="144">
        <f t="array" ref="F152">INDEX('MTA 28-09'!I:I,MATCH(B152,'MTA 28-09'!A:A,0))</f>
        <v>46079</v>
      </c>
      <c r="G152" s="100" t="str">
        <f t="array" ref="G152">INDEX('MTA 28-09'!J:J,MATCH(B152,'MTA 28-09'!A:A,0))</f>
        <v>C26044</v>
      </c>
      <c r="H152" s="101">
        <v>1.0</v>
      </c>
      <c r="I152" s="90"/>
      <c r="J152" s="102"/>
      <c r="K152" s="103"/>
      <c r="L152" s="102" t="str">
        <f t="array" ref="L152">INDEX('MTA 28-09'!S:S,MATCH(B152,'MTA 28-09'!A:A,0))</f>
        <v>APOIO</v>
      </c>
      <c r="M152" s="98" t="str">
        <f t="array" ref="M152">INDEX('MTA 28-09'!T:T,MATCH(B152,'MTA 28-09'!A:A,0))</f>
        <v>Requisição CABW</v>
      </c>
      <c r="N152" s="98" t="str">
        <f t="array" ref="N152">INDEX('MTA 28-09'!U:U,MATCH(B152,'MTA 28-09'!A:A,0))</f>
        <v>Requisições Consumíveis 1/4</v>
      </c>
      <c r="O152" s="104">
        <f t="array" ref="O152">INDEX('MTA 28-09'!AC:AC,MATCH(B152,'MTA 28-09'!A:A,0))</f>
        <v>50000</v>
      </c>
      <c r="P152" s="98" t="str">
        <f t="array" ref="P152">INDEX('MTA 28-09'!N:N,MATCH(B152,'MTA 28-09'!A:A,0))</f>
        <v>CABW</v>
      </c>
      <c r="Q152" s="105" t="str">
        <f t="array" ref="Q152">INDEX('MTA 28-09'!Z:Z,MATCH(B152,'MTA 28-09'!A:A,0))</f>
        <v>339030</v>
      </c>
      <c r="R152" s="98" t="str">
        <f t="array" ref="R152">INDEX('MTA 28-09'!L:L,MATCH(B152,'MTA 28-09'!A:A,0))</f>
        <v>A</v>
      </c>
      <c r="S152" s="107" t="str">
        <f t="array" ref="S152">INDEX('MTA 28-09'!X:X,MATCH(B152,'MTA 28-09'!A:A,0))</f>
        <v>REQUISIÇÃO</v>
      </c>
      <c r="T152" s="107" t="str">
        <f t="array" ref="T152">INDEX('MTA 28-09'!W:W,MATCH(B152,'MTA 28-09'!A:A,0))</f>
        <v>NÃO</v>
      </c>
      <c r="U152" s="109">
        <f t="array" ref="U152">INDEX('MTA 28-09'!AE:AE,MATCH(B152,'MTA 28-09'!A:A,0))</f>
        <v>46168</v>
      </c>
      <c r="V152" s="29"/>
      <c r="W152" s="29"/>
      <c r="X152" s="29"/>
      <c r="Y152" s="29"/>
      <c r="Z152" s="29"/>
      <c r="AA152" s="29"/>
      <c r="AB152" s="29"/>
      <c r="AC152" s="29"/>
      <c r="AD152" s="29"/>
      <c r="AE152" s="29"/>
      <c r="AF152" s="29"/>
      <c r="AG152" s="29"/>
      <c r="AH152" s="29"/>
      <c r="AI152" s="29"/>
      <c r="AJ152" s="29"/>
      <c r="AK152" s="29"/>
      <c r="AL152" s="29"/>
      <c r="AM152" s="29"/>
    </row>
    <row r="153">
      <c r="A153" s="31" t="s">
        <v>97</v>
      </c>
      <c r="B153" s="32">
        <v>12160.0</v>
      </c>
      <c r="C153" s="33" t="str">
        <f t="array" ref="C153">INDEX('MTA 28-09'!B:B,MATCH(B153,'MTA 28-09'!A:A,0))</f>
        <v>SIM</v>
      </c>
      <c r="D153" s="34">
        <f t="array" ref="D153">INDEX('MTA 28-09'!D:D,MATCH(B153,'MTA 28-09'!A:A,0))</f>
        <v>2048</v>
      </c>
      <c r="E153" s="32" t="str">
        <f t="array" ref="E153">INDEX('MTA 28-09'!F:F,MATCH(B153,'MTA 28-09'!A:A,0))</f>
        <v>ATENDIDO</v>
      </c>
      <c r="F153" s="294">
        <f t="array" ref="F153">INDEX('MTA 28-09'!I:I,MATCH(B153,'MTA 28-09'!A:A,0))</f>
        <v>46079</v>
      </c>
      <c r="G153" s="36" t="str">
        <f t="array" ref="G153">INDEX('MTA 28-09'!J:J,MATCH(B153,'MTA 28-09'!A:A,0))</f>
        <v>C26044</v>
      </c>
      <c r="H153" s="37">
        <v>1.0</v>
      </c>
      <c r="I153" s="38"/>
      <c r="J153" s="39"/>
      <c r="K153" s="40"/>
      <c r="L153" s="39" t="str">
        <f t="array" ref="L153">INDEX('MTA 28-09'!S:S,MATCH(B153,'MTA 28-09'!A:A,0))</f>
        <v>APOIO</v>
      </c>
      <c r="M153" s="32" t="str">
        <f t="array" ref="M153">INDEX('MTA 28-09'!T:T,MATCH(B153,'MTA 28-09'!A:A,0))</f>
        <v>Requisição CABW</v>
      </c>
      <c r="N153" s="32" t="str">
        <f t="array" ref="N153">INDEX('MTA 28-09'!U:U,MATCH(B153,'MTA 28-09'!A:A,0))</f>
        <v>Requisições Consumíveis 1/4</v>
      </c>
      <c r="O153" s="59">
        <f t="array" ref="O153">INDEX('MTA 28-09'!AC:AC,MATCH(B153,'MTA 28-09'!A:A,0))</f>
        <v>82000</v>
      </c>
      <c r="P153" s="32" t="str">
        <f t="array" ref="P153">INDEX('MTA 28-09'!N:N,MATCH(B153,'MTA 28-09'!A:A,0))</f>
        <v>CABW</v>
      </c>
      <c r="Q153" s="67" t="str">
        <f t="array" ref="Q153">INDEX('MTA 28-09'!Z:Z,MATCH(B153,'MTA 28-09'!A:A,0))</f>
        <v>339030</v>
      </c>
      <c r="R153" s="32" t="str">
        <f t="array" ref="R153">INDEX('MTA 28-09'!L:L,MATCH(B153,'MTA 28-09'!A:A,0))</f>
        <v>A</v>
      </c>
      <c r="S153" s="72" t="str">
        <f t="array" ref="S153">INDEX('MTA 28-09'!X:X,MATCH(B153,'MTA 28-09'!A:A,0))</f>
        <v>REQUISIÇÃO</v>
      </c>
      <c r="T153" s="72" t="str">
        <f t="array" ref="T153">INDEX('MTA 28-09'!W:W,MATCH(B153,'MTA 28-09'!A:A,0))</f>
        <v>NÃO</v>
      </c>
      <c r="U153" s="81">
        <f t="array" ref="U153">INDEX('MTA 28-09'!AE:AE,MATCH(B153,'MTA 28-09'!A:A,0))</f>
        <v>46168</v>
      </c>
      <c r="V153" s="12"/>
      <c r="W153" s="12"/>
      <c r="X153" s="12"/>
      <c r="Y153" s="12"/>
      <c r="Z153" s="12"/>
      <c r="AA153" s="12"/>
      <c r="AB153" s="12"/>
      <c r="AC153" s="12"/>
      <c r="AD153" s="12"/>
      <c r="AE153" s="12"/>
      <c r="AF153" s="12"/>
      <c r="AG153" s="12"/>
      <c r="AH153" s="12"/>
      <c r="AI153" s="12"/>
      <c r="AJ153" s="12"/>
      <c r="AK153" s="12"/>
      <c r="AL153" s="12"/>
      <c r="AM153" s="12"/>
    </row>
    <row r="154">
      <c r="A154" s="88" t="s">
        <v>1577</v>
      </c>
      <c r="B154" s="98">
        <v>12180.0</v>
      </c>
      <c r="C154" s="92" t="str">
        <f t="array" ref="C154">INDEX('MTA 28-09'!B:B,MATCH(B154,'MTA 28-09'!A:A,0))</f>
        <v>SIM</v>
      </c>
      <c r="D154" s="95">
        <f t="array" ref="D154">INDEX('MTA 28-09'!D:D,MATCH(B154,'MTA 28-09'!A:A,0))</f>
        <v>2048</v>
      </c>
      <c r="E154" s="98" t="str">
        <f t="array" ref="E154">INDEX('MTA 28-09'!F:F,MATCH(B154,'MTA 28-09'!A:A,0))</f>
        <v>ATENDIDO</v>
      </c>
      <c r="F154" s="144">
        <f t="array" ref="F154">INDEX('MTA 28-09'!I:I,MATCH(B154,'MTA 28-09'!A:A,0))</f>
        <v>46079</v>
      </c>
      <c r="G154" s="100" t="str">
        <f t="array" ref="G154">INDEX('MTA 28-09'!J:J,MATCH(B154,'MTA 28-09'!A:A,0))</f>
        <v>C26044</v>
      </c>
      <c r="H154" s="101">
        <v>1.0</v>
      </c>
      <c r="I154" s="90"/>
      <c r="J154" s="102"/>
      <c r="K154" s="103"/>
      <c r="L154" s="102" t="str">
        <f t="array" ref="L154">INDEX('MTA 28-09'!S:S,MATCH(B154,'MTA 28-09'!A:A,0))</f>
        <v>APOIO</v>
      </c>
      <c r="M154" s="98" t="str">
        <f t="array" ref="M154">INDEX('MTA 28-09'!T:T,MATCH(B154,'MTA 28-09'!A:A,0))</f>
        <v>Requisição CABW</v>
      </c>
      <c r="N154" s="98" t="str">
        <f t="array" ref="N154">INDEX('MTA 28-09'!U:U,MATCH(B154,'MTA 28-09'!A:A,0))</f>
        <v>Requisições Consumíveis 1/4</v>
      </c>
      <c r="O154" s="104">
        <f t="array" ref="O154">INDEX('MTA 28-09'!AC:AC,MATCH(B154,'MTA 28-09'!A:A,0))</f>
        <v>497000</v>
      </c>
      <c r="P154" s="98" t="str">
        <f t="array" ref="P154">INDEX('MTA 28-09'!N:N,MATCH(B154,'MTA 28-09'!A:A,0))</f>
        <v>CABW</v>
      </c>
      <c r="Q154" s="105" t="str">
        <f t="array" ref="Q154">INDEX('MTA 28-09'!Z:Z,MATCH(B154,'MTA 28-09'!A:A,0))</f>
        <v>339030</v>
      </c>
      <c r="R154" s="98" t="str">
        <f t="array" ref="R154">INDEX('MTA 28-09'!L:L,MATCH(B154,'MTA 28-09'!A:A,0))</f>
        <v>A</v>
      </c>
      <c r="S154" s="107" t="str">
        <f t="array" ref="S154">INDEX('MTA 28-09'!X:X,MATCH(B154,'MTA 28-09'!A:A,0))</f>
        <v>REQUISIÇÃO</v>
      </c>
      <c r="T154" s="107" t="str">
        <f t="array" ref="T154">INDEX('MTA 28-09'!W:W,MATCH(B154,'MTA 28-09'!A:A,0))</f>
        <v>NÃO</v>
      </c>
      <c r="U154" s="109">
        <f t="array" ref="U154">INDEX('MTA 28-09'!AE:AE,MATCH(B154,'MTA 28-09'!A:A,0))</f>
        <v>46168</v>
      </c>
      <c r="V154" s="29"/>
      <c r="W154" s="29"/>
      <c r="X154" s="29"/>
      <c r="Y154" s="29"/>
      <c r="Z154" s="29"/>
      <c r="AA154" s="29"/>
      <c r="AB154" s="29"/>
      <c r="AC154" s="29"/>
      <c r="AD154" s="29"/>
      <c r="AE154" s="29"/>
      <c r="AF154" s="29"/>
      <c r="AG154" s="29"/>
      <c r="AH154" s="29"/>
      <c r="AI154" s="29"/>
      <c r="AJ154" s="29"/>
      <c r="AK154" s="29"/>
      <c r="AL154" s="29"/>
      <c r="AM154" s="29"/>
    </row>
    <row r="155">
      <c r="A155" s="31" t="s">
        <v>1577</v>
      </c>
      <c r="B155" s="32">
        <v>12200.0</v>
      </c>
      <c r="C155" s="33" t="str">
        <f t="array" ref="C155">INDEX('MTA 28-09'!B:B,MATCH(B155,'MTA 28-09'!A:A,0))</f>
        <v>SIM</v>
      </c>
      <c r="D155" s="34">
        <f t="array" ref="D155">INDEX('MTA 28-09'!D:D,MATCH(B155,'MTA 28-09'!A:A,0))</f>
        <v>2048</v>
      </c>
      <c r="E155" s="32" t="str">
        <f t="array" ref="E155">INDEX('MTA 28-09'!F:F,MATCH(B155,'MTA 28-09'!A:A,0))</f>
        <v>ATENDIDO</v>
      </c>
      <c r="F155" s="137">
        <f t="array" ref="F155">INDEX('MTA 28-09'!I:I,MATCH(B155,'MTA 28-09'!A:A,0))</f>
        <v>46205</v>
      </c>
      <c r="G155" s="36" t="str">
        <f t="array" ref="G155">INDEX('MTA 28-09'!J:J,MATCH(B155,'MTA 28-09'!A:A,0))</f>
        <v>C26133</v>
      </c>
      <c r="H155" s="37" t="s">
        <v>1578</v>
      </c>
      <c r="I155" s="38"/>
      <c r="J155" s="39"/>
      <c r="K155" s="40"/>
      <c r="L155" s="39" t="str">
        <f t="array" ref="L155">INDEX('MTA 28-09'!S:S,MATCH(B155,'MTA 28-09'!A:A,0))</f>
        <v>APOIO</v>
      </c>
      <c r="M155" s="32" t="str">
        <f t="array" ref="M155">INDEX('MTA 28-09'!T:T,MATCH(B155,'MTA 28-09'!A:A,0))</f>
        <v>Requisição CABW</v>
      </c>
      <c r="N155" s="32" t="str">
        <f t="array" ref="N155">INDEX('MTA 28-09'!U:U,MATCH(B155,'MTA 28-09'!A:A,0))</f>
        <v>Requisições Consumíveis 3/4</v>
      </c>
      <c r="O155" s="59">
        <f t="array" ref="O155">INDEX('MTA 28-09'!AC:AC,MATCH(B155,'MTA 28-09'!A:A,0))</f>
        <v>450700.51</v>
      </c>
      <c r="P155" s="32" t="str">
        <f t="array" ref="P155">INDEX('MTA 28-09'!N:N,MATCH(B155,'MTA 28-09'!A:A,0))</f>
        <v>CABW</v>
      </c>
      <c r="Q155" s="67" t="str">
        <f t="array" ref="Q155">INDEX('MTA 28-09'!Z:Z,MATCH(B155,'MTA 28-09'!A:A,0))</f>
        <v>339030</v>
      </c>
      <c r="R155" s="32" t="str">
        <f t="array" ref="R155">INDEX('MTA 28-09'!L:L,MATCH(B155,'MTA 28-09'!A:A,0))</f>
        <v>A</v>
      </c>
      <c r="S155" s="72" t="str">
        <f t="array" ref="S155">INDEX('MTA 28-09'!X:X,MATCH(B155,'MTA 28-09'!A:A,0))</f>
        <v>REQUISIÇÃO</v>
      </c>
      <c r="T155" s="72" t="str">
        <f t="array" ref="T155">INDEX('MTA 28-09'!W:W,MATCH(B155,'MTA 28-09'!A:A,0))</f>
        <v>NÃO</v>
      </c>
      <c r="U155" s="81">
        <f t="array" ref="U155">INDEX('MTA 28-09'!AE:AE,MATCH(B155,'MTA 28-09'!A:A,0))</f>
        <v>46291</v>
      </c>
      <c r="V155" s="12"/>
      <c r="W155" s="12"/>
      <c r="X155" s="12"/>
      <c r="Y155" s="12"/>
      <c r="Z155" s="12"/>
      <c r="AA155" s="12"/>
      <c r="AB155" s="12"/>
      <c r="AC155" s="12"/>
      <c r="AD155" s="12"/>
      <c r="AE155" s="12"/>
      <c r="AF155" s="12"/>
      <c r="AG155" s="12"/>
      <c r="AH155" s="12"/>
      <c r="AI155" s="12"/>
      <c r="AJ155" s="12"/>
      <c r="AK155" s="12"/>
      <c r="AL155" s="12"/>
      <c r="AM155" s="12"/>
    </row>
    <row r="156">
      <c r="A156" s="88" t="s">
        <v>1576</v>
      </c>
      <c r="B156" s="98">
        <v>12220.0</v>
      </c>
      <c r="C156" s="92" t="str">
        <f t="array" ref="C156">INDEX('MTA 28-09'!B:B,MATCH(B156,'MTA 28-09'!A:A,0))</f>
        <v>SIM</v>
      </c>
      <c r="D156" s="95">
        <f t="array" ref="D156">INDEX('MTA 28-09'!D:D,MATCH(B156,'MTA 28-09'!A:A,0))</f>
        <v>2048</v>
      </c>
      <c r="E156" s="98" t="str">
        <f t="array" ref="E156">INDEX('MTA 28-09'!F:F,MATCH(B156,'MTA 28-09'!A:A,0))</f>
        <v>ATENDIDO</v>
      </c>
      <c r="F156" s="99">
        <f t="array" ref="F156">INDEX('MTA 28-09'!I:I,MATCH(B156,'MTA 28-09'!A:A,0))</f>
        <v>46192</v>
      </c>
      <c r="G156" s="100" t="str">
        <f t="array" ref="G156">INDEX('MTA 28-09'!J:J,MATCH(B156,'MTA 28-09'!A:A,0))</f>
        <v>C26044</v>
      </c>
      <c r="H156" s="372" t="s">
        <v>1466</v>
      </c>
      <c r="I156" s="90"/>
      <c r="J156" s="102"/>
      <c r="K156" s="103"/>
      <c r="L156" s="102" t="str">
        <f t="array" ref="L156">INDEX('MTA 28-09'!S:S,MATCH(B156,'MTA 28-09'!A:A,0))</f>
        <v>APOIO</v>
      </c>
      <c r="M156" s="98" t="str">
        <f t="array" ref="M156">INDEX('MTA 28-09'!T:T,MATCH(B156,'MTA 28-09'!A:A,0))</f>
        <v>Requisição CABW</v>
      </c>
      <c r="N156" s="98" t="str">
        <f t="array" ref="N156">INDEX('MTA 28-09'!U:U,MATCH(B156,'MTA 28-09'!A:A,0))</f>
        <v>Requisições Consumíveis 3/4</v>
      </c>
      <c r="O156" s="104">
        <f t="array" ref="O156">INDEX('MTA 28-09'!AC:AC,MATCH(B156,'MTA 28-09'!A:A,0))</f>
        <v>71600</v>
      </c>
      <c r="P156" s="98" t="str">
        <f t="array" ref="P156">INDEX('MTA 28-09'!N:N,MATCH(B156,'MTA 28-09'!A:A,0))</f>
        <v>CABW</v>
      </c>
      <c r="Q156" s="105" t="str">
        <f t="array" ref="Q156">INDEX('MTA 28-09'!Z:Z,MATCH(B156,'MTA 28-09'!A:A,0))</f>
        <v>339030</v>
      </c>
      <c r="R156" s="98" t="str">
        <f t="array" ref="R156">INDEX('MTA 28-09'!L:L,MATCH(B156,'MTA 28-09'!A:A,0))</f>
        <v>A</v>
      </c>
      <c r="S156" s="107" t="str">
        <f t="array" ref="S156">INDEX('MTA 28-09'!X:X,MATCH(B156,'MTA 28-09'!A:A,0))</f>
        <v>REQUISIÇÃO</v>
      </c>
      <c r="T156" s="107" t="str">
        <f t="array" ref="T156">INDEX('MTA 28-09'!W:W,MATCH(B156,'MTA 28-09'!A:A,0))</f>
        <v>NÃO</v>
      </c>
      <c r="U156" s="109">
        <f t="array" ref="U156">INDEX('MTA 28-09'!AE:AE,MATCH(B156,'MTA 28-09'!A:A,0))</f>
        <v>46260</v>
      </c>
      <c r="V156" s="29"/>
      <c r="W156" s="29"/>
      <c r="X156" s="29"/>
      <c r="Y156" s="29"/>
      <c r="Z156" s="29"/>
      <c r="AA156" s="29"/>
      <c r="AB156" s="29"/>
      <c r="AC156" s="29"/>
      <c r="AD156" s="29"/>
      <c r="AE156" s="29"/>
      <c r="AF156" s="29"/>
      <c r="AG156" s="29"/>
      <c r="AH156" s="29"/>
      <c r="AI156" s="29"/>
      <c r="AJ156" s="29"/>
      <c r="AK156" s="29"/>
      <c r="AL156" s="29"/>
      <c r="AM156" s="29"/>
    </row>
    <row r="157">
      <c r="A157" s="31" t="s">
        <v>1572</v>
      </c>
      <c r="B157" s="32">
        <v>12240.0</v>
      </c>
      <c r="C157" s="33" t="str">
        <f t="array" ref="C157">INDEX('MTA 28-09'!B:B,MATCH(B157,'MTA 28-09'!A:A,0))</f>
        <v>SIM</v>
      </c>
      <c r="D157" s="34">
        <f t="array" ref="D157">INDEX('MTA 28-09'!D:D,MATCH(B157,'MTA 28-09'!A:A,0))</f>
        <v>2048</v>
      </c>
      <c r="E157" s="32" t="str">
        <f t="array" ref="E157">INDEX('MTA 28-09'!F:F,MATCH(B157,'MTA 28-09'!A:A,0))</f>
        <v>ATENDIDO</v>
      </c>
      <c r="F157" s="294">
        <f t="array" ref="F157">INDEX('MTA 28-09'!I:I,MATCH(B157,'MTA 28-09'!A:A,0))</f>
        <v>46118</v>
      </c>
      <c r="G157" s="36" t="str">
        <f t="array" ref="G157">INDEX('MTA 28-09'!J:J,MATCH(B157,'MTA 28-09'!A:A,0))</f>
        <v>C26044</v>
      </c>
      <c r="H157" s="37" t="s">
        <v>1398</v>
      </c>
      <c r="I157" s="38"/>
      <c r="J157" s="39"/>
      <c r="K157" s="40"/>
      <c r="L157" s="39" t="str">
        <f t="array" ref="L157">INDEX('MTA 28-09'!S:S,MATCH(B157,'MTA 28-09'!A:A,0))</f>
        <v>APOIO</v>
      </c>
      <c r="M157" s="32" t="str">
        <f t="array" ref="M157">INDEX('MTA 28-09'!T:T,MATCH(B157,'MTA 28-09'!A:A,0))</f>
        <v>Requisição CABW</v>
      </c>
      <c r="N157" s="32" t="str">
        <f t="array" ref="N157">INDEX('MTA 28-09'!U:U,MATCH(B157,'MTA 28-09'!A:A,0))</f>
        <v>Requisições Consumíveis 3/4</v>
      </c>
      <c r="O157" s="59">
        <f t="array" ref="O157">INDEX('MTA 28-09'!AC:AC,MATCH(B157,'MTA 28-09'!A:A,0))</f>
        <v>626420.34</v>
      </c>
      <c r="P157" s="32" t="str">
        <f t="array" ref="P157">INDEX('MTA 28-09'!N:N,MATCH(B157,'MTA 28-09'!A:A,0))</f>
        <v>CABW</v>
      </c>
      <c r="Q157" s="67" t="str">
        <f t="array" ref="Q157">INDEX('MTA 28-09'!Z:Z,MATCH(B157,'MTA 28-09'!A:A,0))</f>
        <v>339030</v>
      </c>
      <c r="R157" s="32" t="str">
        <f t="array" ref="R157">INDEX('MTA 28-09'!L:L,MATCH(B157,'MTA 28-09'!A:A,0))</f>
        <v>A</v>
      </c>
      <c r="S157" s="72" t="str">
        <f t="array" ref="S157">INDEX('MTA 28-09'!X:X,MATCH(B157,'MTA 28-09'!A:A,0))</f>
        <v>REQUISIÇÃO</v>
      </c>
      <c r="T157" s="72" t="str">
        <f t="array" ref="T157">INDEX('MTA 28-09'!W:W,MATCH(B157,'MTA 28-09'!A:A,0))</f>
        <v>NÃO</v>
      </c>
      <c r="U157" s="81">
        <f t="array" ref="U157">INDEX('MTA 28-09'!AE:AE,MATCH(B157,'MTA 28-09'!A:A,0))</f>
        <v>46168</v>
      </c>
      <c r="V157" s="12"/>
      <c r="W157" s="12"/>
      <c r="X157" s="12"/>
      <c r="Y157" s="12"/>
      <c r="Z157" s="12"/>
      <c r="AA157" s="12"/>
      <c r="AB157" s="12"/>
      <c r="AC157" s="12"/>
      <c r="AD157" s="12"/>
      <c r="AE157" s="12"/>
      <c r="AF157" s="12"/>
      <c r="AG157" s="12"/>
      <c r="AH157" s="12"/>
      <c r="AI157" s="12"/>
      <c r="AJ157" s="12"/>
      <c r="AK157" s="12"/>
      <c r="AL157" s="12"/>
      <c r="AM157" s="12"/>
    </row>
    <row r="158">
      <c r="A158" s="88" t="s">
        <v>107</v>
      </c>
      <c r="B158" s="98">
        <v>12260.0</v>
      </c>
      <c r="C158" s="92" t="str">
        <f t="array" ref="C158">INDEX('MTA 28-09'!B:B,MATCH(B158,'MTA 28-09'!A:A,0))</f>
        <v>SIM</v>
      </c>
      <c r="D158" s="95">
        <f t="array" ref="D158">INDEX('MTA 28-09'!D:D,MATCH(B158,'MTA 28-09'!A:A,0))</f>
        <v>2048</v>
      </c>
      <c r="E158" s="98" t="str">
        <f t="array" ref="E158">INDEX('MTA 28-09'!F:F,MATCH(B158,'MTA 28-09'!A:A,0))</f>
        <v>CANCELADO</v>
      </c>
      <c r="F158" s="99" t="str">
        <f t="array" ref="F158">INDEX('MTA 28-09'!I:I,MATCH(B158,'MTA 28-09'!A:A,0))</f>
        <v/>
      </c>
      <c r="G158" s="100" t="str">
        <f t="array" ref="G158">INDEX('MTA 28-09'!J:J,MATCH(B158,'MTA 28-09'!A:A,0))</f>
        <v/>
      </c>
      <c r="H158" s="159">
        <v>46276.0</v>
      </c>
      <c r="I158" s="90" t="s">
        <v>1579</v>
      </c>
      <c r="J158" s="102"/>
      <c r="K158" s="103"/>
      <c r="L158" s="102" t="str">
        <f t="array" ref="L158">INDEX('MTA 28-09'!S:S,MATCH(B158,'MTA 28-09'!A:A,0))</f>
        <v>APOIO</v>
      </c>
      <c r="M158" s="98" t="str">
        <f t="array" ref="M158">INDEX('MTA 28-09'!T:T,MATCH(B158,'MTA 28-09'!A:A,0))</f>
        <v>CURSO MANUTENÇÃO BOTES KC390 (SSS)</v>
      </c>
      <c r="N158" s="98" t="str">
        <f t="array" ref="N158">INDEX('MTA 28-09'!U:U,MATCH(B158,'MTA 28-09'!A:A,0))</f>
        <v>CURSO MANUTENÇÃO BOTES KC390 (SSS)</v>
      </c>
      <c r="O158" s="104" t="str">
        <f t="array" ref="O158">INDEX('MTA 28-09'!AC:AC,MATCH(B158,'MTA 28-09'!A:A,0))</f>
        <v> -</v>
      </c>
      <c r="P158" s="98" t="str">
        <f t="array" ref="P158">INDEX('MTA 28-09'!N:N,MATCH(B158,'MTA 28-09'!A:A,0))</f>
        <v>CABW</v>
      </c>
      <c r="Q158" s="105" t="str">
        <f t="array" ref="Q158">INDEX('MTA 28-09'!Z:Z,MATCH(B158,'MTA 28-09'!A:A,0))</f>
        <v>339039</v>
      </c>
      <c r="R158" s="98" t="str">
        <f t="array" ref="R158">INDEX('MTA 28-09'!L:L,MATCH(B158,'MTA 28-09'!A:A,0))</f>
        <v>A</v>
      </c>
      <c r="S158" s="107" t="str">
        <f t="array" ref="S158">INDEX('MTA 28-09'!X:X,MATCH(B158,'MTA 28-09'!A:A,0))</f>
        <v>REQUISIÇÃO</v>
      </c>
      <c r="T158" s="107" t="str">
        <f t="array" ref="T158">INDEX('MTA 28-09'!W:W,MATCH(B158,'MTA 28-09'!A:A,0))</f>
        <v>NÃO</v>
      </c>
      <c r="U158" s="109">
        <f t="array" ref="U158">INDEX('MTA 28-09'!AE:AE,MATCH(B158,'MTA 28-09'!A:A,0))</f>
        <v>46291</v>
      </c>
      <c r="V158" s="29"/>
      <c r="W158" s="29"/>
      <c r="X158" s="29"/>
      <c r="Y158" s="29"/>
      <c r="Z158" s="29"/>
      <c r="AA158" s="29"/>
      <c r="AB158" s="29"/>
      <c r="AC158" s="29"/>
      <c r="AD158" s="29"/>
      <c r="AE158" s="29"/>
      <c r="AF158" s="29"/>
      <c r="AG158" s="29"/>
      <c r="AH158" s="29"/>
      <c r="AI158" s="29"/>
      <c r="AJ158" s="29"/>
      <c r="AK158" s="29"/>
      <c r="AL158" s="29"/>
      <c r="AM158" s="29"/>
    </row>
    <row r="159">
      <c r="A159" s="31" t="s">
        <v>1573</v>
      </c>
      <c r="B159" s="32">
        <v>12280.0</v>
      </c>
      <c r="C159" s="33" t="str">
        <f t="array" ref="C159">INDEX('MTA 28-09'!B:B,MATCH(B159,'MTA 28-09'!A:A,0))</f>
        <v>SIM</v>
      </c>
      <c r="D159" s="34">
        <f t="array" ref="D159">INDEX('MTA 28-09'!D:D,MATCH(B159,'MTA 28-09'!A:A,0))</f>
        <v>2048</v>
      </c>
      <c r="E159" s="32" t="str">
        <f t="array" ref="E159">INDEX('MTA 28-09'!F:F,MATCH(B159,'MTA 28-09'!A:A,0))</f>
        <v>ATENDIDO</v>
      </c>
      <c r="F159" s="137">
        <f t="array" ref="F159">INDEX('MTA 28-09'!I:I,MATCH(B159,'MTA 28-09'!A:A,0))</f>
        <v>46192</v>
      </c>
      <c r="G159" s="36" t="str">
        <f t="array" ref="G159">INDEX('MTA 28-09'!J:J,MATCH(B159,'MTA 28-09'!A:A,0))</f>
        <v>C26044</v>
      </c>
      <c r="H159" s="412" t="s">
        <v>1466</v>
      </c>
      <c r="I159" s="38"/>
      <c r="J159" s="39"/>
      <c r="K159" s="40"/>
      <c r="L159" s="39" t="str">
        <f t="array" ref="L159">INDEX('MTA 28-09'!S:S,MATCH(B159,'MTA 28-09'!A:A,0))</f>
        <v>APOIO</v>
      </c>
      <c r="M159" s="32" t="str">
        <f t="array" ref="M159">INDEX('MTA 28-09'!T:T,MATCH(B159,'MTA 28-09'!A:A,0))</f>
        <v>Requisição CABW</v>
      </c>
      <c r="N159" s="32" t="str">
        <f t="array" ref="N159">INDEX('MTA 28-09'!U:U,MATCH(B159,'MTA 28-09'!A:A,0))</f>
        <v>Requisições Consumíveis 3/4</v>
      </c>
      <c r="O159" s="59">
        <f t="array" ref="O159">INDEX('MTA 28-09'!AC:AC,MATCH(B159,'MTA 28-09'!A:A,0))</f>
        <v>649000</v>
      </c>
      <c r="P159" s="32" t="str">
        <f t="array" ref="P159">INDEX('MTA 28-09'!N:N,MATCH(B159,'MTA 28-09'!A:A,0))</f>
        <v>CABW</v>
      </c>
      <c r="Q159" s="67" t="str">
        <f t="array" ref="Q159">INDEX('MTA 28-09'!Z:Z,MATCH(B159,'MTA 28-09'!A:A,0))</f>
        <v>339030</v>
      </c>
      <c r="R159" s="32" t="str">
        <f t="array" ref="R159">INDEX('MTA 28-09'!L:L,MATCH(B159,'MTA 28-09'!A:A,0))</f>
        <v>A</v>
      </c>
      <c r="S159" s="72" t="str">
        <f t="array" ref="S159">INDEX('MTA 28-09'!X:X,MATCH(B159,'MTA 28-09'!A:A,0))</f>
        <v>REQUISIÇÃO</v>
      </c>
      <c r="T159" s="72" t="str">
        <f t="array" ref="T159">INDEX('MTA 28-09'!W:W,MATCH(B159,'MTA 28-09'!A:A,0))</f>
        <v>NÃO</v>
      </c>
      <c r="U159" s="81">
        <f t="array" ref="U159">INDEX('MTA 28-09'!AE:AE,MATCH(B159,'MTA 28-09'!A:A,0))</f>
        <v>46260</v>
      </c>
      <c r="V159" s="12"/>
      <c r="W159" s="12"/>
      <c r="X159" s="12"/>
      <c r="Y159" s="12"/>
      <c r="Z159" s="12"/>
      <c r="AA159" s="12"/>
      <c r="AB159" s="12"/>
      <c r="AC159" s="12"/>
      <c r="AD159" s="12"/>
      <c r="AE159" s="12"/>
      <c r="AF159" s="12"/>
      <c r="AG159" s="12"/>
      <c r="AH159" s="12"/>
      <c r="AI159" s="12"/>
      <c r="AJ159" s="12"/>
      <c r="AK159" s="12"/>
      <c r="AL159" s="12"/>
      <c r="AM159" s="12"/>
    </row>
    <row r="160">
      <c r="A160" s="88" t="s">
        <v>1574</v>
      </c>
      <c r="B160" s="98">
        <v>12300.0</v>
      </c>
      <c r="C160" s="92" t="str">
        <f t="array" ref="C160">INDEX('MTA 28-09'!B:B,MATCH(B160,'MTA 28-09'!A:A,0))</f>
        <v>SIM</v>
      </c>
      <c r="D160" s="95">
        <f t="array" ref="D160">INDEX('MTA 28-09'!D:D,MATCH(B160,'MTA 28-09'!A:A,0))</f>
        <v>2048</v>
      </c>
      <c r="E160" s="98" t="str">
        <f t="array" ref="E160">INDEX('MTA 28-09'!F:F,MATCH(B160,'MTA 28-09'!A:A,0))</f>
        <v>ATENDIDO</v>
      </c>
      <c r="F160" s="99">
        <f t="array" ref="F160">INDEX('MTA 28-09'!I:I,MATCH(B160,'MTA 28-09'!A:A,0))</f>
        <v>46079</v>
      </c>
      <c r="G160" s="100" t="str">
        <f t="array" ref="G160">INDEX('MTA 28-09'!J:J,MATCH(B160,'MTA 28-09'!A:A,0))</f>
        <v>C26044</v>
      </c>
      <c r="H160" s="101">
        <v>1.0</v>
      </c>
      <c r="I160" s="90"/>
      <c r="J160" s="102"/>
      <c r="K160" s="103"/>
      <c r="L160" s="102" t="str">
        <f t="array" ref="L160">INDEX('MTA 28-09'!S:S,MATCH(B160,'MTA 28-09'!A:A,0))</f>
        <v>APOIO</v>
      </c>
      <c r="M160" s="98" t="str">
        <f t="array" ref="M160">INDEX('MTA 28-09'!T:T,MATCH(B160,'MTA 28-09'!A:A,0))</f>
        <v>Requisição CABW</v>
      </c>
      <c r="N160" s="98" t="str">
        <f t="array" ref="N160">INDEX('MTA 28-09'!U:U,MATCH(B160,'MTA 28-09'!A:A,0))</f>
        <v>Requisições Consumíveis 1/4</v>
      </c>
      <c r="O160" s="104">
        <f t="array" ref="O160">INDEX('MTA 28-09'!AC:AC,MATCH(B160,'MTA 28-09'!A:A,0))</f>
        <v>68000</v>
      </c>
      <c r="P160" s="98" t="str">
        <f t="array" ref="P160">INDEX('MTA 28-09'!N:N,MATCH(B160,'MTA 28-09'!A:A,0))</f>
        <v>CABW</v>
      </c>
      <c r="Q160" s="105" t="str">
        <f t="array" ref="Q160">INDEX('MTA 28-09'!Z:Z,MATCH(B160,'MTA 28-09'!A:A,0))</f>
        <v>339030</v>
      </c>
      <c r="R160" s="98" t="str">
        <f t="array" ref="R160">INDEX('MTA 28-09'!L:L,MATCH(B160,'MTA 28-09'!A:A,0))</f>
        <v>A</v>
      </c>
      <c r="S160" s="107" t="str">
        <f t="array" ref="S160">INDEX('MTA 28-09'!X:X,MATCH(B160,'MTA 28-09'!A:A,0))</f>
        <v>REQUISIÇÃO</v>
      </c>
      <c r="T160" s="107" t="str">
        <f t="array" ref="T160">INDEX('MTA 28-09'!W:W,MATCH(B160,'MTA 28-09'!A:A,0))</f>
        <v>NÃO</v>
      </c>
      <c r="U160" s="109">
        <f t="array" ref="U160">INDEX('MTA 28-09'!AE:AE,MATCH(B160,'MTA 28-09'!A:A,0))</f>
        <v>46168</v>
      </c>
      <c r="V160" s="29"/>
      <c r="W160" s="29"/>
      <c r="X160" s="29"/>
      <c r="Y160" s="29"/>
      <c r="Z160" s="29"/>
      <c r="AA160" s="29"/>
      <c r="AB160" s="29"/>
      <c r="AC160" s="29"/>
      <c r="AD160" s="29"/>
      <c r="AE160" s="29"/>
      <c r="AF160" s="29"/>
      <c r="AG160" s="29"/>
      <c r="AH160" s="29"/>
      <c r="AI160" s="29"/>
      <c r="AJ160" s="29"/>
      <c r="AK160" s="29"/>
      <c r="AL160" s="29"/>
      <c r="AM160" s="29"/>
    </row>
    <row r="161">
      <c r="A161" s="31" t="s">
        <v>47</v>
      </c>
      <c r="B161" s="32">
        <v>12320.0</v>
      </c>
      <c r="C161" s="33" t="str">
        <f t="array" ref="C161">INDEX('MTA 28-09'!B:B,MATCH(B161,'MTA 28-09'!A:A,0))</f>
        <v>NÃO</v>
      </c>
      <c r="D161" s="34" t="str">
        <f t="array" ref="D161">INDEX('MTA 28-09'!D:D,MATCH(B161,'MTA 28-09'!A:A,0))</f>
        <v/>
      </c>
      <c r="E161" s="32" t="str">
        <f t="array" ref="E161">INDEX('MTA 28-09'!F:F,MATCH(B161,'MTA 28-09'!A:A,0))</f>
        <v>BLOQUEIO</v>
      </c>
      <c r="F161" s="137" t="str">
        <f t="array" ref="F161">INDEX('MTA 28-09'!I:I,MATCH(B161,'MTA 28-09'!A:A,0))</f>
        <v/>
      </c>
      <c r="G161" s="36" t="str">
        <f t="array" ref="G161">INDEX('MTA 28-09'!J:J,MATCH(B161,'MTA 28-09'!A:A,0))</f>
        <v/>
      </c>
      <c r="H161" s="287" t="s">
        <v>157</v>
      </c>
      <c r="I161" s="295"/>
      <c r="J161" s="39"/>
      <c r="K161" s="40"/>
      <c r="L161" s="39" t="str">
        <f t="array" ref="L161">INDEX('MTA 28-09'!S:S,MATCH(B161,'MTA 28-09'!A:A,0))</f>
        <v>T-25</v>
      </c>
      <c r="M161" s="32" t="str">
        <f t="array" ref="M161">INDEX('MTA 28-09'!T:T,MATCH(B161,'MTA 28-09'!A:A,0))</f>
        <v>Contrato de reparáveis</v>
      </c>
      <c r="N161" s="32" t="str">
        <f t="array" ref="N161">INDEX('MTA 28-09'!U:U,MATCH(B161,'MTA 28-09'!A:A,0))</f>
        <v>Reparo sob demanda 1/6</v>
      </c>
      <c r="O161" s="59">
        <f t="array" ref="O161">INDEX('MTA 28-09'!AC:AC,MATCH(B161,'MTA 28-09'!A:A,0))</f>
        <v>310000</v>
      </c>
      <c r="P161" s="32" t="str">
        <f t="array" ref="P161">INDEX('MTA 28-09'!N:N,MATCH(B161,'MTA 28-09'!A:A,0))</f>
        <v>CELOG</v>
      </c>
      <c r="Q161" s="67" t="str">
        <f t="array" ref="Q161">INDEX('MTA 28-09'!Z:Z,MATCH(B161,'MTA 28-09'!A:A,0))</f>
        <v>339039</v>
      </c>
      <c r="R161" s="32" t="str">
        <f t="array" ref="R161">INDEX('MTA 28-09'!L:L,MATCH(B161,'MTA 28-09'!A:A,0))</f>
        <v>B</v>
      </c>
      <c r="S161" s="72" t="str">
        <f t="array" ref="S161">INDEX('MTA 28-09'!X:X,MATCH(B161,'MTA 28-09'!A:A,0))</f>
        <v>SOB DEMANDA</v>
      </c>
      <c r="T161" s="72" t="str">
        <f t="array" ref="T161">INDEX('MTA 28-09'!W:W,MATCH(B161,'MTA 28-09'!A:A,0))</f>
        <v>Não</v>
      </c>
      <c r="U161" s="81">
        <f t="array" ref="U161">INDEX('MTA 28-09'!AE:AE,MATCH(B161,'MTA 28-09'!A:A,0))</f>
        <v>46382</v>
      </c>
      <c r="V161" s="12"/>
      <c r="W161" s="12"/>
      <c r="X161" s="12"/>
      <c r="Y161" s="12"/>
      <c r="Z161" s="12"/>
      <c r="AA161" s="12"/>
      <c r="AB161" s="12"/>
      <c r="AC161" s="12"/>
      <c r="AD161" s="12"/>
      <c r="AE161" s="12"/>
      <c r="AF161" s="12"/>
      <c r="AG161" s="12"/>
      <c r="AH161" s="12"/>
      <c r="AI161" s="12"/>
      <c r="AJ161" s="12"/>
      <c r="AK161" s="12"/>
      <c r="AL161" s="12"/>
      <c r="AM161" s="12"/>
    </row>
    <row r="162">
      <c r="A162" s="88" t="s">
        <v>46</v>
      </c>
      <c r="B162" s="98">
        <v>12340.0</v>
      </c>
      <c r="C162" s="92" t="str">
        <f t="array" ref="C162">INDEX('MTA 28-09'!B:B,MATCH(B162,'MTA 28-09'!A:A,0))</f>
        <v>SIM</v>
      </c>
      <c r="D162" s="95">
        <f t="array" ref="D162">INDEX('MTA 28-09'!D:D,MATCH(B162,'MTA 28-09'!A:A,0))</f>
        <v>2048</v>
      </c>
      <c r="E162" s="98" t="str">
        <f t="array" ref="E162">INDEX('MTA 28-09'!F:F,MATCH(B162,'MTA 28-09'!A:A,0))</f>
        <v>ATENDIDO</v>
      </c>
      <c r="F162" s="99">
        <f t="array" ref="F162">INDEX('MTA 28-09'!I:I,MATCH(B162,'MTA 28-09'!A:A,0))</f>
        <v>46118</v>
      </c>
      <c r="G162" s="100" t="str">
        <f t="array" ref="G162">INDEX('MTA 28-09'!J:J,MATCH(B162,'MTA 28-09'!A:A,0))</f>
        <v>C26153</v>
      </c>
      <c r="H162" s="101" t="s">
        <v>1580</v>
      </c>
      <c r="I162" s="90"/>
      <c r="J162" s="102"/>
      <c r="K162" s="103"/>
      <c r="L162" s="102" t="str">
        <f t="array" ref="L162">INDEX('MTA 28-09'!S:S,MATCH(B162,'MTA 28-09'!A:A,0))</f>
        <v>T-27</v>
      </c>
      <c r="M162" s="98" t="str">
        <f t="array" ref="M162">INDEX('MTA 28-09'!T:T,MATCH(B162,'MTA 28-09'!A:A,0))</f>
        <v>Contrato de reparáveis</v>
      </c>
      <c r="N162" s="98" t="str">
        <f t="array" ref="N162">INDEX('MTA 28-09'!U:U,MATCH(B162,'MTA 28-09'!A:A,0))</f>
        <v>Reparo sob demanda 1/6</v>
      </c>
      <c r="O162" s="104">
        <f t="array" ref="O162">INDEX('MTA 28-09'!AC:AC,MATCH(B162,'MTA 28-09'!A:A,0))</f>
        <v>330000</v>
      </c>
      <c r="P162" s="98" t="str">
        <f t="array" ref="P162">INDEX('MTA 28-09'!N:N,MATCH(B162,'MTA 28-09'!A:A,0))</f>
        <v>CELOG</v>
      </c>
      <c r="Q162" s="105" t="str">
        <f t="array" ref="Q162">INDEX('MTA 28-09'!Z:Z,MATCH(B162,'MTA 28-09'!A:A,0))</f>
        <v>339039</v>
      </c>
      <c r="R162" s="98" t="str">
        <f t="array" ref="R162">INDEX('MTA 28-09'!L:L,MATCH(B162,'MTA 28-09'!A:A,0))</f>
        <v>A</v>
      </c>
      <c r="S162" s="107" t="str">
        <f t="array" ref="S162">INDEX('MTA 28-09'!X:X,MATCH(B162,'MTA 28-09'!A:A,0))</f>
        <v>SOB DEMANDA</v>
      </c>
      <c r="T162" s="107" t="str">
        <f t="array" ref="T162">INDEX('MTA 28-09'!W:W,MATCH(B162,'MTA 28-09'!A:A,0))</f>
        <v>Não</v>
      </c>
      <c r="U162" s="109">
        <f t="array" ref="U162">INDEX('MTA 28-09'!AE:AE,MATCH(B162,'MTA 28-09'!A:A,0))</f>
        <v>46138</v>
      </c>
      <c r="V162" s="29"/>
      <c r="W162" s="29"/>
      <c r="X162" s="29"/>
      <c r="Y162" s="29"/>
      <c r="Z162" s="29"/>
      <c r="AA162" s="29"/>
      <c r="AB162" s="29"/>
      <c r="AC162" s="29"/>
      <c r="AD162" s="29"/>
      <c r="AE162" s="29"/>
      <c r="AF162" s="29"/>
      <c r="AG162" s="29"/>
      <c r="AH162" s="29"/>
      <c r="AI162" s="29"/>
      <c r="AJ162" s="29"/>
      <c r="AK162" s="29"/>
      <c r="AL162" s="29"/>
      <c r="AM162" s="29"/>
    </row>
    <row r="163">
      <c r="A163" s="31" t="s">
        <v>39</v>
      </c>
      <c r="B163" s="32">
        <v>12360.0</v>
      </c>
      <c r="C163" s="33" t="str">
        <f t="array" ref="C163">INDEX('MTA 28-09'!B:B,MATCH(B163,'MTA 28-09'!A:A,0))</f>
        <v>SIM</v>
      </c>
      <c r="D163" s="34">
        <f t="array" ref="D163">INDEX('MTA 28-09'!D:D,MATCH(B163,'MTA 28-09'!A:A,0))</f>
        <v>2048</v>
      </c>
      <c r="E163" s="32" t="str">
        <f t="array" ref="E163">INDEX('MTA 28-09'!F:F,MATCH(B163,'MTA 28-09'!A:A,0))</f>
        <v>ATENDIDO</v>
      </c>
      <c r="F163" s="155">
        <f t="array" ref="F163">INDEX('MTA 28-09'!I:I,MATCH(B163,'MTA 28-09'!A:A,0))</f>
        <v>46213</v>
      </c>
      <c r="G163" s="36" t="str">
        <f t="array" ref="G163">INDEX('MTA 28-09'!J:J,MATCH(B163,'MTA 28-09'!A:A,0))</f>
        <v>C26340</v>
      </c>
      <c r="H163" s="37" t="s">
        <v>421</v>
      </c>
      <c r="I163" s="38"/>
      <c r="J163" s="39"/>
      <c r="K163" s="40"/>
      <c r="L163" s="39" t="str">
        <f t="array" ref="L163">INDEX('MTA 28-09'!S:S,MATCH(B163,'MTA 28-09'!A:A,0))</f>
        <v>A-29</v>
      </c>
      <c r="M163" s="32" t="str">
        <f t="array" ref="M163">INDEX('MTA 28-09'!T:T,MATCH(B163,'MTA 28-09'!A:A,0))</f>
        <v>CTT 102/CELOG-PAMALS/2023 – EMBRAER - PSLI</v>
      </c>
      <c r="N163" s="32" t="str">
        <f t="array" ref="N163">INDEX('MTA 28-09'!U:U,MATCH(B163,'MTA 28-09'!A:A,0))</f>
        <v>Módulo Extra - Aquisição ERU</v>
      </c>
      <c r="O163" s="59">
        <f t="array" ref="O163">INDEX('MTA 28-09'!AC:AC,MATCH(B163,'MTA 28-09'!A:A,0))</f>
        <v>5756640</v>
      </c>
      <c r="P163" s="32" t="str">
        <f t="array" ref="P163">INDEX('MTA 28-09'!N:N,MATCH(B163,'MTA 28-09'!A:A,0))</f>
        <v>CELOG</v>
      </c>
      <c r="Q163" s="67" t="str">
        <f t="array" ref="Q163">INDEX('MTA 28-09'!Z:Z,MATCH(B163,'MTA 28-09'!A:A,0))</f>
        <v>339030</v>
      </c>
      <c r="R163" s="32" t="str">
        <f t="array" ref="R163">INDEX('MTA 28-09'!L:L,MATCH(B163,'MTA 28-09'!A:A,0))</f>
        <v>A</v>
      </c>
      <c r="S163" s="72" t="str">
        <f t="array" ref="S163">INDEX('MTA 28-09'!X:X,MATCH(B163,'MTA 28-09'!A:A,0))</f>
        <v>SOB DEMANDA</v>
      </c>
      <c r="T163" s="72" t="str">
        <f t="array" ref="T163">INDEX('MTA 28-09'!W:W,MATCH(B163,'MTA 28-09'!A:A,0))</f>
        <v>Não</v>
      </c>
      <c r="U163" s="81">
        <f t="array" ref="U163">INDEX('MTA 28-09'!AE:AE,MATCH(B163,'MTA 28-09'!A:A,0))</f>
        <v>46229</v>
      </c>
      <c r="V163" s="12"/>
      <c r="W163" s="12"/>
      <c r="X163" s="12"/>
      <c r="Y163" s="12"/>
      <c r="Z163" s="12"/>
      <c r="AA163" s="12"/>
      <c r="AB163" s="12"/>
      <c r="AC163" s="12"/>
      <c r="AD163" s="12"/>
      <c r="AE163" s="12"/>
      <c r="AF163" s="12"/>
      <c r="AG163" s="12"/>
      <c r="AH163" s="12"/>
      <c r="AI163" s="12"/>
      <c r="AJ163" s="12"/>
      <c r="AK163" s="12"/>
      <c r="AL163" s="12"/>
      <c r="AM163" s="12"/>
    </row>
    <row r="164">
      <c r="A164" s="88" t="s">
        <v>43</v>
      </c>
      <c r="B164" s="98">
        <v>12380.0</v>
      </c>
      <c r="C164" s="92" t="str">
        <f t="array" ref="C164">INDEX('MTA 28-09'!B:B,MATCH(B164,'MTA 28-09'!A:A,0))</f>
        <v>SIM</v>
      </c>
      <c r="D164" s="95">
        <f t="array" ref="D164">INDEX('MTA 28-09'!D:D,MATCH(B164,'MTA 28-09'!A:A,0))</f>
        <v>2048</v>
      </c>
      <c r="E164" s="98" t="str">
        <f t="array" ref="E164">INDEX('MTA 28-09'!F:F,MATCH(B164,'MTA 28-09'!A:A,0))</f>
        <v>CANCELADO</v>
      </c>
      <c r="F164" s="99" t="str">
        <f t="array" ref="F164">INDEX('MTA 28-09'!I:I,MATCH(B164,'MTA 28-09'!A:A,0))</f>
        <v/>
      </c>
      <c r="G164" s="100" t="str">
        <f t="array" ref="G164">INDEX('MTA 28-09'!J:J,MATCH(B164,'MTA 28-09'!A:A,0))</f>
        <v/>
      </c>
      <c r="H164" s="153">
        <v>46276.0</v>
      </c>
      <c r="I164" s="154" t="s">
        <v>1581</v>
      </c>
      <c r="J164" s="102"/>
      <c r="K164" s="103"/>
      <c r="L164" s="102" t="str">
        <f t="array" ref="L164">INDEX('MTA 28-09'!S:S,MATCH(B164,'MTA 28-09'!A:A,0))</f>
        <v>C-95M</v>
      </c>
      <c r="M164" s="98" t="str">
        <f t="array" ref="M164">INDEX('MTA 28-09'!T:T,MATCH(B164,'MTA 28-09'!A:A,0))</f>
        <v>Contrato de reparáveis</v>
      </c>
      <c r="N164" s="98" t="str">
        <f t="array" ref="N164">INDEX('MTA 28-09'!U:U,MATCH(B164,'MTA 28-09'!A:A,0))</f>
        <v>Reparo sob demanda 1/8</v>
      </c>
      <c r="O164" s="104" t="str">
        <f t="array" ref="O164">INDEX('MTA 28-09'!AC:AC,MATCH(B164,'MTA 28-09'!A:A,0))</f>
        <v> -</v>
      </c>
      <c r="P164" s="98" t="str">
        <f t="array" ref="P164">INDEX('MTA 28-09'!N:N,MATCH(B164,'MTA 28-09'!A:A,0))</f>
        <v>CELOG</v>
      </c>
      <c r="Q164" s="105" t="str">
        <f t="array" ref="Q164">INDEX('MTA 28-09'!Z:Z,MATCH(B164,'MTA 28-09'!A:A,0))</f>
        <v>339039</v>
      </c>
      <c r="R164" s="98" t="str">
        <f t="array" ref="R164">INDEX('MTA 28-09'!L:L,MATCH(B164,'MTA 28-09'!A:A,0))</f>
        <v>A</v>
      </c>
      <c r="S164" s="107" t="str">
        <f t="array" ref="S164">INDEX('MTA 28-09'!X:X,MATCH(B164,'MTA 28-09'!A:A,0))</f>
        <v>SOB DEMANDA</v>
      </c>
      <c r="T164" s="107" t="str">
        <f t="array" ref="T164">INDEX('MTA 28-09'!W:W,MATCH(B164,'MTA 28-09'!A:A,0))</f>
        <v>Não</v>
      </c>
      <c r="U164" s="109">
        <f t="array" ref="U164">INDEX('MTA 28-09'!AE:AE,MATCH(B164,'MTA 28-09'!A:A,0))</f>
        <v>46049</v>
      </c>
      <c r="V164" s="29"/>
      <c r="W164" s="29"/>
      <c r="X164" s="29"/>
      <c r="Y164" s="29"/>
      <c r="Z164" s="29"/>
      <c r="AA164" s="29"/>
      <c r="AB164" s="29"/>
      <c r="AC164" s="29"/>
      <c r="AD164" s="29"/>
      <c r="AE164" s="29"/>
      <c r="AF164" s="29"/>
      <c r="AG164" s="29"/>
      <c r="AH164" s="29"/>
      <c r="AI164" s="29"/>
      <c r="AJ164" s="29"/>
      <c r="AK164" s="29"/>
      <c r="AL164" s="29"/>
      <c r="AM164" s="29"/>
    </row>
    <row r="165">
      <c r="A165" s="31" t="s">
        <v>44</v>
      </c>
      <c r="B165" s="32">
        <v>12400.0</v>
      </c>
      <c r="C165" s="33" t="str">
        <f t="array" ref="C165">INDEX('MTA 28-09'!B:B,MATCH(B165,'MTA 28-09'!A:A,0))</f>
        <v>NÃO</v>
      </c>
      <c r="D165" s="34" t="str">
        <f t="array" ref="D165">INDEX('MTA 28-09'!D:D,MATCH(B165,'MTA 28-09'!A:A,0))</f>
        <v/>
      </c>
      <c r="E165" s="32" t="str">
        <f t="array" ref="E165">INDEX('MTA 28-09'!F:F,MATCH(B165,'MTA 28-09'!A:A,0))</f>
        <v>BLOQUEIO</v>
      </c>
      <c r="F165" s="35" t="str">
        <f t="array" ref="F165">INDEX('MTA 28-09'!I:I,MATCH(B165,'MTA 28-09'!A:A,0))</f>
        <v/>
      </c>
      <c r="G165" s="36" t="str">
        <f t="array" ref="G165">INDEX('MTA 28-09'!J:J,MATCH(B165,'MTA 28-09'!A:A,0))</f>
        <v/>
      </c>
      <c r="H165" s="287" t="s">
        <v>157</v>
      </c>
      <c r="I165" s="295"/>
      <c r="J165" s="39"/>
      <c r="K165" s="40"/>
      <c r="L165" s="39" t="str">
        <f t="array" ref="L165">INDEX('MTA 28-09'!S:S,MATCH(B165,'MTA 28-09'!A:A,0))</f>
        <v>C-97</v>
      </c>
      <c r="M165" s="32" t="str">
        <f t="array" ref="M165">INDEX('MTA 28-09'!T:T,MATCH(B165,'MTA 28-09'!A:A,0))</f>
        <v>CTT 096/CAE-PAMALS/2021 - CLS C-97</v>
      </c>
      <c r="N165" s="32" t="str">
        <f t="array" ref="N165">INDEX('MTA 28-09'!U:U,MATCH(B165,'MTA 28-09'!A:A,0))</f>
        <v>Módulo Extra - Aplicação de Boletins de Serviço para cumprir Diretriz de Aeronavegabilidade</v>
      </c>
      <c r="O165" s="59">
        <f t="array" ref="O165">INDEX('MTA 28-09'!AC:AC,MATCH(B165,'MTA 28-09'!A:A,0))</f>
        <v>1500000</v>
      </c>
      <c r="P165" s="32" t="str">
        <f t="array" ref="P165">INDEX('MTA 28-09'!N:N,MATCH(B165,'MTA 28-09'!A:A,0))</f>
        <v>CELOG</v>
      </c>
      <c r="Q165" s="67" t="str">
        <f t="array" ref="Q165">INDEX('MTA 28-09'!Z:Z,MATCH(B165,'MTA 28-09'!A:A,0))</f>
        <v>339039</v>
      </c>
      <c r="R165" s="32" t="str">
        <f t="array" ref="R165">INDEX('MTA 28-09'!L:L,MATCH(B165,'MTA 28-09'!A:A,0))</f>
        <v>B</v>
      </c>
      <c r="S165" s="72" t="str">
        <f t="array" ref="S165">INDEX('MTA 28-09'!X:X,MATCH(B165,'MTA 28-09'!A:A,0))</f>
        <v>SOB DEMANDA</v>
      </c>
      <c r="T165" s="72" t="str">
        <f t="array" ref="T165">INDEX('MTA 28-09'!W:W,MATCH(B165,'MTA 28-09'!A:A,0))</f>
        <v>Não</v>
      </c>
      <c r="U165" s="81">
        <f t="array" ref="U165">INDEX('MTA 28-09'!AE:AE,MATCH(B165,'MTA 28-09'!A:A,0))</f>
        <v>46352</v>
      </c>
      <c r="V165" s="12"/>
      <c r="W165" s="12"/>
      <c r="X165" s="12"/>
      <c r="Y165" s="12"/>
      <c r="Z165" s="12"/>
      <c r="AA165" s="12"/>
      <c r="AB165" s="12"/>
      <c r="AC165" s="12"/>
      <c r="AD165" s="12"/>
      <c r="AE165" s="12"/>
      <c r="AF165" s="12"/>
      <c r="AG165" s="12"/>
      <c r="AH165" s="12"/>
      <c r="AI165" s="12"/>
      <c r="AJ165" s="12"/>
      <c r="AK165" s="12"/>
      <c r="AL165" s="12"/>
      <c r="AM165" s="12"/>
    </row>
    <row r="166">
      <c r="A166" s="88" t="s">
        <v>44</v>
      </c>
      <c r="B166" s="98">
        <v>12420.0</v>
      </c>
      <c r="C166" s="92" t="str">
        <f t="array" ref="C166">INDEX('MTA 28-09'!B:B,MATCH(B166,'MTA 28-09'!A:A,0))</f>
        <v>SIM</v>
      </c>
      <c r="D166" s="95">
        <f t="array" ref="D166">INDEX('MTA 28-09'!D:D,MATCH(B166,'MTA 28-09'!A:A,0))</f>
        <v>2048</v>
      </c>
      <c r="E166" s="98" t="str">
        <f t="array" ref="E166">INDEX('MTA 28-09'!F:F,MATCH(B166,'MTA 28-09'!A:A,0))</f>
        <v>ATENDIDO</v>
      </c>
      <c r="F166" s="144">
        <f t="array" ref="F166">INDEX('MTA 28-09'!I:I,MATCH(B166,'MTA 28-09'!A:A,0))</f>
        <v>46118</v>
      </c>
      <c r="G166" s="100" t="str">
        <f t="array" ref="G166">INDEX('MTA 28-09'!J:J,MATCH(B166,'MTA 28-09'!A:A,0))</f>
        <v>C26079</v>
      </c>
      <c r="H166" s="101" t="s">
        <v>1398</v>
      </c>
      <c r="I166" s="90"/>
      <c r="J166" s="102"/>
      <c r="K166" s="103"/>
      <c r="L166" s="102" t="str">
        <f t="array" ref="L166">INDEX('MTA 28-09'!S:S,MATCH(B166,'MTA 28-09'!A:A,0))</f>
        <v>C-97</v>
      </c>
      <c r="M166" s="98" t="str">
        <f t="array" ref="M166">INDEX('MTA 28-09'!T:T,MATCH(B166,'MTA 28-09'!A:A,0))</f>
        <v>CTT 096/CAE-PAMALS/2021 - CLS C-97</v>
      </c>
      <c r="N166" s="98" t="str">
        <f t="array" ref="N166">INDEX('MTA 28-09'!U:U,MATCH(B166,'MTA 28-09'!A:A,0))</f>
        <v>Parcela Fixa 04/12</v>
      </c>
      <c r="O166" s="104">
        <f t="array" ref="O166">INDEX('MTA 28-09'!AC:AC,MATCH(B166,'MTA 28-09'!A:A,0))</f>
        <v>332718.75</v>
      </c>
      <c r="P166" s="98" t="str">
        <f t="array" ref="P166">INDEX('MTA 28-09'!N:N,MATCH(B166,'MTA 28-09'!A:A,0))</f>
        <v>CELOG</v>
      </c>
      <c r="Q166" s="105" t="str">
        <f t="array" ref="Q166">INDEX('MTA 28-09'!Z:Z,MATCH(B166,'MTA 28-09'!A:A,0))</f>
        <v>339039</v>
      </c>
      <c r="R166" s="98" t="str">
        <f t="array" ref="R166">INDEX('MTA 28-09'!L:L,MATCH(B166,'MTA 28-09'!A:A,0))</f>
        <v>A</v>
      </c>
      <c r="S166" s="107" t="str">
        <f t="array" ref="S166">INDEX('MTA 28-09'!X:X,MATCH(B166,'MTA 28-09'!A:A,0))</f>
        <v>PARCELA FIXA</v>
      </c>
      <c r="T166" s="107" t="str">
        <f t="array" ref="T166">INDEX('MTA 28-09'!W:W,MATCH(B166,'MTA 28-09'!A:A,0))</f>
        <v>Não</v>
      </c>
      <c r="U166" s="109">
        <f t="array" ref="U166">INDEX('MTA 28-09'!AE:AE,MATCH(B166,'MTA 28-09'!A:A,0))</f>
        <v>46199</v>
      </c>
      <c r="V166" s="29"/>
      <c r="W166" s="29"/>
      <c r="X166" s="29"/>
      <c r="Y166" s="29"/>
      <c r="Z166" s="29"/>
      <c r="AA166" s="29"/>
      <c r="AB166" s="29"/>
      <c r="AC166" s="29"/>
      <c r="AD166" s="29"/>
      <c r="AE166" s="29"/>
      <c r="AF166" s="29"/>
      <c r="AG166" s="29"/>
      <c r="AH166" s="29"/>
      <c r="AI166" s="29"/>
      <c r="AJ166" s="29"/>
      <c r="AK166" s="29"/>
      <c r="AL166" s="29"/>
      <c r="AM166" s="29"/>
    </row>
    <row r="167">
      <c r="A167" s="31" t="s">
        <v>1572</v>
      </c>
      <c r="B167" s="32">
        <v>12440.0</v>
      </c>
      <c r="C167" s="33" t="str">
        <f t="array" ref="C167">INDEX('MTA 28-09'!B:B,MATCH(B167,'MTA 28-09'!A:A,0))</f>
        <v>SIM</v>
      </c>
      <c r="D167" s="34">
        <f t="array" ref="D167">INDEX('MTA 28-09'!D:D,MATCH(B167,'MTA 28-09'!A:A,0))</f>
        <v>2048</v>
      </c>
      <c r="E167" s="32" t="str">
        <f t="array" ref="E167">INDEX('MTA 28-09'!F:F,MATCH(B167,'MTA 28-09'!A:A,0))</f>
        <v>ATENDIDO</v>
      </c>
      <c r="F167" s="155">
        <f t="array" ref="F167">INDEX('MTA 28-09'!I:I,MATCH(B167,'MTA 28-09'!A:A,0))</f>
        <v>46213</v>
      </c>
      <c r="G167" s="36" t="str">
        <f t="array" ref="G167">INDEX('MTA 28-09'!J:J,MATCH(B167,'MTA 28-09'!A:A,0))</f>
        <v>C26133</v>
      </c>
      <c r="H167" s="37" t="s">
        <v>1451</v>
      </c>
      <c r="I167" s="38"/>
      <c r="J167" s="39"/>
      <c r="K167" s="40"/>
      <c r="L167" s="39" t="str">
        <f t="array" ref="L167">INDEX('MTA 28-09'!S:S,MATCH(B167,'MTA 28-09'!A:A,0))</f>
        <v>APOIO</v>
      </c>
      <c r="M167" s="32" t="str">
        <f t="array" ref="M167">INDEX('MTA 28-09'!T:T,MATCH(B167,'MTA 28-09'!A:A,0))</f>
        <v>Requisição CABW</v>
      </c>
      <c r="N167" s="32" t="str">
        <f t="array" ref="N167">INDEX('MTA 28-09'!U:U,MATCH(B167,'MTA 28-09'!A:A,0))</f>
        <v>Requisições Consumíveis 4/4</v>
      </c>
      <c r="O167" s="59">
        <f t="array" ref="O167">INDEX('MTA 28-09'!AC:AC,MATCH(B167,'MTA 28-09'!A:A,0))</f>
        <v>33488.24</v>
      </c>
      <c r="P167" s="32" t="str">
        <f t="array" ref="P167">INDEX('MTA 28-09'!N:N,MATCH(B167,'MTA 28-09'!A:A,0))</f>
        <v>CABW</v>
      </c>
      <c r="Q167" s="67" t="str">
        <f t="array" ref="Q167">INDEX('MTA 28-09'!Z:Z,MATCH(B167,'MTA 28-09'!A:A,0))</f>
        <v>339030</v>
      </c>
      <c r="R167" s="32" t="str">
        <f t="array" ref="R167">INDEX('MTA 28-09'!L:L,MATCH(B167,'MTA 28-09'!A:A,0))</f>
        <v>A</v>
      </c>
      <c r="S167" s="72" t="str">
        <f t="array" ref="S167">INDEX('MTA 28-09'!X:X,MATCH(B167,'MTA 28-09'!A:A,0))</f>
        <v>SOB DEMANDA</v>
      </c>
      <c r="T167" s="72" t="str">
        <f t="array" ref="T167">INDEX('MTA 28-09'!W:W,MATCH(B167,'MTA 28-09'!A:A,0))</f>
        <v>NÃO</v>
      </c>
      <c r="U167" s="81">
        <f t="array" ref="U167">INDEX('MTA 28-09'!AE:AE,MATCH(B167,'MTA 28-09'!A:A,0))</f>
        <v>46382</v>
      </c>
      <c r="V167" s="12"/>
      <c r="W167" s="12"/>
      <c r="X167" s="12"/>
      <c r="Y167" s="12"/>
      <c r="Z167" s="12"/>
      <c r="AA167" s="12"/>
      <c r="AB167" s="12"/>
      <c r="AC167" s="12"/>
      <c r="AD167" s="12"/>
      <c r="AE167" s="12"/>
      <c r="AF167" s="12"/>
      <c r="AG167" s="12"/>
      <c r="AH167" s="12"/>
      <c r="AI167" s="12"/>
      <c r="AJ167" s="12"/>
      <c r="AK167" s="12"/>
      <c r="AL167" s="12"/>
      <c r="AM167" s="12"/>
    </row>
    <row r="168">
      <c r="A168" s="88" t="s">
        <v>1575</v>
      </c>
      <c r="B168" s="98">
        <v>12460.0</v>
      </c>
      <c r="C168" s="92" t="str">
        <f t="array" ref="C168">INDEX('MTA 28-09'!B:B,MATCH(B168,'MTA 28-09'!A:A,0))</f>
        <v>SIM</v>
      </c>
      <c r="D168" s="95">
        <f t="array" ref="D168">INDEX('MTA 28-09'!D:D,MATCH(B168,'MTA 28-09'!A:A,0))</f>
        <v>2048</v>
      </c>
      <c r="E168" s="98" t="str">
        <f t="array" ref="E168">INDEX('MTA 28-09'!F:F,MATCH(B168,'MTA 28-09'!A:A,0))</f>
        <v>CANCELADO</v>
      </c>
      <c r="F168" s="99" t="str">
        <f t="array" ref="F168">INDEX('MTA 28-09'!I:I,MATCH(B168,'MTA 28-09'!A:A,0))</f>
        <v/>
      </c>
      <c r="G168" s="100" t="str">
        <f t="array" ref="G168">INDEX('MTA 28-09'!J:J,MATCH(B168,'MTA 28-09'!A:A,0))</f>
        <v/>
      </c>
      <c r="H168" s="159" t="s">
        <v>157</v>
      </c>
      <c r="I168" s="296"/>
      <c r="J168" s="102"/>
      <c r="K168" s="103"/>
      <c r="L168" s="102" t="str">
        <f t="array" ref="L168">INDEX('MTA 28-09'!S:S,MATCH(B168,'MTA 28-09'!A:A,0))</f>
        <v>APOIO</v>
      </c>
      <c r="M168" s="98" t="str">
        <f t="array" ref="M168">INDEX('MTA 28-09'!T:T,MATCH(B168,'MTA 28-09'!A:A,0))</f>
        <v>CTT XXX/GAPLS-PAMALS/2026 – Gestão de Frota</v>
      </c>
      <c r="N168" s="98" t="str">
        <f t="array" ref="N168">INDEX('MTA 28-09'!U:U,MATCH(B168,'MTA 28-09'!A:A,0))</f>
        <v>Serviço de Reparo 1/4</v>
      </c>
      <c r="O168" s="104" t="str">
        <f t="array" ref="O168">INDEX('MTA 28-09'!AC:AC,MATCH(B168,'MTA 28-09'!A:A,0))</f>
        <v> -</v>
      </c>
      <c r="P168" s="98" t="str">
        <f t="array" ref="P168">INDEX('MTA 28-09'!N:N,MATCH(B168,'MTA 28-09'!A:A,0))</f>
        <v>GAP-LS</v>
      </c>
      <c r="Q168" s="105" t="str">
        <f t="array" ref="Q168">INDEX('MTA 28-09'!Z:Z,MATCH(B168,'MTA 28-09'!A:A,0))</f>
        <v>339039</v>
      </c>
      <c r="R168" s="98" t="str">
        <f t="array" ref="R168">INDEX('MTA 28-09'!L:L,MATCH(B168,'MTA 28-09'!A:A,0))</f>
        <v>A</v>
      </c>
      <c r="S168" s="107" t="str">
        <f t="array" ref="S168">INDEX('MTA 28-09'!X:X,MATCH(B168,'MTA 28-09'!A:A,0))</f>
        <v>SOB DEMANDA</v>
      </c>
      <c r="T168" s="107" t="str">
        <f t="array" ref="T168">INDEX('MTA 28-09'!W:W,MATCH(B168,'MTA 28-09'!A:A,0))</f>
        <v>NÃO</v>
      </c>
      <c r="U168" s="418" t="str">
        <f t="array" ref="U168">INDEX('MTA 28-09'!AE:AE,MATCH(B168,'MTA 28-09'!A:A,0))</f>
        <v>-</v>
      </c>
      <c r="V168" s="29"/>
      <c r="W168" s="29"/>
      <c r="X168" s="29"/>
      <c r="Y168" s="29"/>
      <c r="Z168" s="29"/>
      <c r="AA168" s="29"/>
      <c r="AB168" s="29"/>
      <c r="AC168" s="29"/>
      <c r="AD168" s="29"/>
      <c r="AE168" s="29"/>
      <c r="AF168" s="29"/>
      <c r="AG168" s="29"/>
      <c r="AH168" s="29"/>
      <c r="AI168" s="29"/>
      <c r="AJ168" s="29"/>
      <c r="AK168" s="29"/>
      <c r="AL168" s="29"/>
      <c r="AM168" s="29"/>
    </row>
    <row r="169">
      <c r="A169" s="31" t="s">
        <v>1575</v>
      </c>
      <c r="B169" s="32">
        <v>12480.0</v>
      </c>
      <c r="C169" s="33" t="str">
        <f t="array" ref="C169">INDEX('MTA 28-09'!B:B,MATCH(B169,'MTA 28-09'!A:A,0))</f>
        <v>SIM</v>
      </c>
      <c r="D169" s="34">
        <f t="array" ref="D169">INDEX('MTA 28-09'!D:D,MATCH(B169,'MTA 28-09'!A:A,0))</f>
        <v>2048</v>
      </c>
      <c r="E169" s="32" t="str">
        <f t="array" ref="E169">INDEX('MTA 28-09'!F:F,MATCH(B169,'MTA 28-09'!A:A,0))</f>
        <v>CANCELADO</v>
      </c>
      <c r="F169" s="294" t="str">
        <f t="array" ref="F169">INDEX('MTA 28-09'!I:I,MATCH(B169,'MTA 28-09'!A:A,0))</f>
        <v/>
      </c>
      <c r="G169" s="36" t="str">
        <f t="array" ref="G169">INDEX('MTA 28-09'!J:J,MATCH(B169,'MTA 28-09'!A:A,0))</f>
        <v/>
      </c>
      <c r="H169" s="287" t="s">
        <v>157</v>
      </c>
      <c r="I169" s="38"/>
      <c r="J169" s="39"/>
      <c r="K169" s="40"/>
      <c r="L169" s="39" t="str">
        <f t="array" ref="L169">INDEX('MTA 28-09'!S:S,MATCH(B169,'MTA 28-09'!A:A,0))</f>
        <v>APOIO</v>
      </c>
      <c r="M169" s="32" t="str">
        <f t="array" ref="M169">INDEX('MTA 28-09'!T:T,MATCH(B169,'MTA 28-09'!A:A,0))</f>
        <v>CTT XXX/CELOG-PAMALS/2026 – Aquisição de Consumíveis</v>
      </c>
      <c r="N169" s="32" t="str">
        <f t="array" ref="N169">INDEX('MTA 28-09'!U:U,MATCH(B169,'MTA 28-09'!A:A,0))</f>
        <v>Aquisição de consumíveis 1/4</v>
      </c>
      <c r="O169" s="59" t="str">
        <f t="array" ref="O169">INDEX('MTA 28-09'!AC:AC,MATCH(B169,'MTA 28-09'!A:A,0))</f>
        <v> -</v>
      </c>
      <c r="P169" s="32" t="str">
        <f t="array" ref="P169">INDEX('MTA 28-09'!N:N,MATCH(B169,'MTA 28-09'!A:A,0))</f>
        <v>CELOG</v>
      </c>
      <c r="Q169" s="67" t="str">
        <f t="array" ref="Q169">INDEX('MTA 28-09'!Z:Z,MATCH(B169,'MTA 28-09'!A:A,0))</f>
        <v>339030</v>
      </c>
      <c r="R169" s="32" t="str">
        <f t="array" ref="R169">INDEX('MTA 28-09'!L:L,MATCH(B169,'MTA 28-09'!A:A,0))</f>
        <v>A</v>
      </c>
      <c r="S169" s="72" t="str">
        <f t="array" ref="S169">INDEX('MTA 28-09'!X:X,MATCH(B169,'MTA 28-09'!A:A,0))</f>
        <v>SOB DEMANDA</v>
      </c>
      <c r="T169" s="72" t="str">
        <f t="array" ref="T169">INDEX('MTA 28-09'!W:W,MATCH(B169,'MTA 28-09'!A:A,0))</f>
        <v>NÃO</v>
      </c>
      <c r="U169" s="419" t="str">
        <f t="array" ref="U169">INDEX('MTA 28-09'!AE:AE,MATCH(B169,'MTA 28-09'!A:A,0))</f>
        <v>-</v>
      </c>
      <c r="V169" s="12"/>
      <c r="W169" s="12"/>
      <c r="X169" s="12"/>
      <c r="Y169" s="12"/>
      <c r="Z169" s="12"/>
      <c r="AA169" s="12"/>
      <c r="AB169" s="12"/>
      <c r="AC169" s="12"/>
      <c r="AD169" s="12"/>
      <c r="AE169" s="12"/>
      <c r="AF169" s="12"/>
      <c r="AG169" s="12"/>
      <c r="AH169" s="12"/>
      <c r="AI169" s="12"/>
      <c r="AJ169" s="12"/>
      <c r="AK169" s="12"/>
      <c r="AL169" s="12"/>
      <c r="AM169" s="12"/>
    </row>
    <row r="170">
      <c r="A170" s="88" t="s">
        <v>1573</v>
      </c>
      <c r="B170" s="98">
        <v>12500.0</v>
      </c>
      <c r="C170" s="92" t="str">
        <f t="array" ref="C170">INDEX('MTA 28-09'!B:B,MATCH(B170,'MTA 28-09'!A:A,0))</f>
        <v>SIM</v>
      </c>
      <c r="D170" s="95">
        <f t="array" ref="D170">INDEX('MTA 28-09'!D:D,MATCH(B170,'MTA 28-09'!A:A,0))</f>
        <v>2048</v>
      </c>
      <c r="E170" s="98" t="str">
        <f t="array" ref="E170">INDEX('MTA 28-09'!F:F,MATCH(B170,'MTA 28-09'!A:A,0))</f>
        <v>CANCELADO</v>
      </c>
      <c r="F170" s="144" t="str">
        <f t="array" ref="F170">INDEX('MTA 28-09'!I:I,MATCH(B170,'MTA 28-09'!A:A,0))</f>
        <v/>
      </c>
      <c r="G170" s="100" t="str">
        <f t="array" ref="G170">INDEX('MTA 28-09'!J:J,MATCH(B170,'MTA 28-09'!A:A,0))</f>
        <v/>
      </c>
      <c r="H170" s="159" t="s">
        <v>157</v>
      </c>
      <c r="I170" s="90"/>
      <c r="J170" s="102"/>
      <c r="K170" s="103"/>
      <c r="L170" s="102" t="str">
        <f t="array" ref="L170">INDEX('MTA 28-09'!S:S,MATCH(B170,'MTA 28-09'!A:A,0))</f>
        <v>APOIO</v>
      </c>
      <c r="M170" s="98" t="str">
        <f t="array" ref="M170">INDEX('MTA 28-09'!T:T,MATCH(B170,'MTA 28-09'!A:A,0))</f>
        <v>CTT XXX/CELOG-PAMALS/2026 – Aquisição de Consumíveis</v>
      </c>
      <c r="N170" s="98" t="str">
        <f t="array" ref="N170">INDEX('MTA 28-09'!U:U,MATCH(B170,'MTA 28-09'!A:A,0))</f>
        <v>Aquisição de consumíveis 1/4</v>
      </c>
      <c r="O170" s="104" t="str">
        <f t="array" ref="O170">INDEX('MTA 28-09'!AC:AC,MATCH(B170,'MTA 28-09'!A:A,0))</f>
        <v> -</v>
      </c>
      <c r="P170" s="98" t="str">
        <f t="array" ref="P170">INDEX('MTA 28-09'!N:N,MATCH(B170,'MTA 28-09'!A:A,0))</f>
        <v>CELOG</v>
      </c>
      <c r="Q170" s="105" t="str">
        <f t="array" ref="Q170">INDEX('MTA 28-09'!Z:Z,MATCH(B170,'MTA 28-09'!A:A,0))</f>
        <v>339030</v>
      </c>
      <c r="R170" s="98" t="str">
        <f t="array" ref="R170">INDEX('MTA 28-09'!L:L,MATCH(B170,'MTA 28-09'!A:A,0))</f>
        <v>A</v>
      </c>
      <c r="S170" s="107" t="str">
        <f t="array" ref="S170">INDEX('MTA 28-09'!X:X,MATCH(B170,'MTA 28-09'!A:A,0))</f>
        <v>SOB DEMANDA</v>
      </c>
      <c r="T170" s="107" t="str">
        <f t="array" ref="T170">INDEX('MTA 28-09'!W:W,MATCH(B170,'MTA 28-09'!A:A,0))</f>
        <v>NÃO</v>
      </c>
      <c r="U170" s="418" t="str">
        <f t="array" ref="U170">INDEX('MTA 28-09'!AE:AE,MATCH(B170,'MTA 28-09'!A:A,0))</f>
        <v>-</v>
      </c>
      <c r="V170" s="29"/>
      <c r="W170" s="29"/>
      <c r="X170" s="29"/>
      <c r="Y170" s="29"/>
      <c r="Z170" s="29"/>
      <c r="AA170" s="29"/>
      <c r="AB170" s="29"/>
      <c r="AC170" s="29"/>
      <c r="AD170" s="29"/>
      <c r="AE170" s="29"/>
      <c r="AF170" s="29"/>
      <c r="AG170" s="29"/>
      <c r="AH170" s="29"/>
      <c r="AI170" s="29"/>
      <c r="AJ170" s="29"/>
      <c r="AK170" s="29"/>
      <c r="AL170" s="29"/>
      <c r="AM170" s="29"/>
    </row>
    <row r="171">
      <c r="A171" s="31" t="s">
        <v>1576</v>
      </c>
      <c r="B171" s="32">
        <v>12520.0</v>
      </c>
      <c r="C171" s="33" t="str">
        <f t="array" ref="C171">INDEX('MTA 28-09'!B:B,MATCH(B171,'MTA 28-09'!A:A,0))</f>
        <v>SIM</v>
      </c>
      <c r="D171" s="34">
        <f t="array" ref="D171">INDEX('MTA 28-09'!D:D,MATCH(B171,'MTA 28-09'!A:A,0))</f>
        <v>2048</v>
      </c>
      <c r="E171" s="32" t="str">
        <f t="array" ref="E171">INDEX('MTA 28-09'!F:F,MATCH(B171,'MTA 28-09'!A:A,0))</f>
        <v>CANCELADO</v>
      </c>
      <c r="F171" s="137" t="str">
        <f t="array" ref="F171">INDEX('MTA 28-09'!I:I,MATCH(B171,'MTA 28-09'!A:A,0))</f>
        <v/>
      </c>
      <c r="G171" s="36" t="str">
        <f t="array" ref="G171">INDEX('MTA 28-09'!J:J,MATCH(B171,'MTA 28-09'!A:A,0))</f>
        <v/>
      </c>
      <c r="H171" s="287" t="s">
        <v>157</v>
      </c>
      <c r="I171" s="295"/>
      <c r="J171" s="39"/>
      <c r="K171" s="40"/>
      <c r="L171" s="39" t="str">
        <f t="array" ref="L171">INDEX('MTA 28-09'!S:S,MATCH(B171,'MTA 28-09'!A:A,0))</f>
        <v>APOIO</v>
      </c>
      <c r="M171" s="32" t="str">
        <f t="array" ref="M171">INDEX('MTA 28-09'!T:T,MATCH(B171,'MTA 28-09'!A:A,0))</f>
        <v>CTT XXX/GAPLS-PAMALS/2026 – Gestão de Frota</v>
      </c>
      <c r="N171" s="32" t="str">
        <f t="array" ref="N171">INDEX('MTA 28-09'!U:U,MATCH(B171,'MTA 28-09'!A:A,0))</f>
        <v>Serviço de Reparo 1/4</v>
      </c>
      <c r="O171" s="59" t="str">
        <f t="array" ref="O171">INDEX('MTA 28-09'!AC:AC,MATCH(B171,'MTA 28-09'!A:A,0))</f>
        <v> -</v>
      </c>
      <c r="P171" s="32" t="str">
        <f t="array" ref="P171">INDEX('MTA 28-09'!N:N,MATCH(B171,'MTA 28-09'!A:A,0))</f>
        <v>GAP-LS</v>
      </c>
      <c r="Q171" s="67" t="str">
        <f t="array" ref="Q171">INDEX('MTA 28-09'!Z:Z,MATCH(B171,'MTA 28-09'!A:A,0))</f>
        <v>339039</v>
      </c>
      <c r="R171" s="32" t="str">
        <f t="array" ref="R171">INDEX('MTA 28-09'!L:L,MATCH(B171,'MTA 28-09'!A:A,0))</f>
        <v>A</v>
      </c>
      <c r="S171" s="72" t="str">
        <f t="array" ref="S171">INDEX('MTA 28-09'!X:X,MATCH(B171,'MTA 28-09'!A:A,0))</f>
        <v>SOB DEMANDA</v>
      </c>
      <c r="T171" s="72" t="str">
        <f t="array" ref="T171">INDEX('MTA 28-09'!W:W,MATCH(B171,'MTA 28-09'!A:A,0))</f>
        <v>NÃO</v>
      </c>
      <c r="U171" s="419" t="str">
        <f t="array" ref="U171">INDEX('MTA 28-09'!AE:AE,MATCH(B171,'MTA 28-09'!A:A,0))</f>
        <v>-</v>
      </c>
      <c r="V171" s="12"/>
      <c r="W171" s="12"/>
      <c r="X171" s="12"/>
      <c r="Y171" s="12"/>
      <c r="Z171" s="12"/>
      <c r="AA171" s="12"/>
      <c r="AB171" s="12"/>
      <c r="AC171" s="12"/>
      <c r="AD171" s="12"/>
      <c r="AE171" s="12"/>
      <c r="AF171" s="12"/>
      <c r="AG171" s="12"/>
      <c r="AH171" s="12"/>
      <c r="AI171" s="12"/>
      <c r="AJ171" s="12"/>
      <c r="AK171" s="12"/>
      <c r="AL171" s="12"/>
      <c r="AM171" s="12"/>
    </row>
    <row r="172">
      <c r="A172" s="88" t="s">
        <v>1573</v>
      </c>
      <c r="B172" s="98">
        <v>12540.0</v>
      </c>
      <c r="C172" s="92" t="str">
        <f t="array" ref="C172">INDEX('MTA 28-09'!B:B,MATCH(B172,'MTA 28-09'!A:A,0))</f>
        <v>SIM</v>
      </c>
      <c r="D172" s="95">
        <f t="array" ref="D172">INDEX('MTA 28-09'!D:D,MATCH(B172,'MTA 28-09'!A:A,0))</f>
        <v>2048</v>
      </c>
      <c r="E172" s="98" t="str">
        <f t="array" ref="E172">INDEX('MTA 28-09'!F:F,MATCH(B172,'MTA 28-09'!A:A,0))</f>
        <v>ATENDIDO</v>
      </c>
      <c r="F172" s="144">
        <f t="array" ref="F172">INDEX('MTA 28-09'!I:I,MATCH(B172,'MTA 28-09'!A:A,0))</f>
        <v>46213</v>
      </c>
      <c r="G172" s="100" t="str">
        <f t="array" ref="G172">INDEX('MTA 28-09'!J:J,MATCH(B172,'MTA 28-09'!A:A,0))</f>
        <v>C26133</v>
      </c>
      <c r="H172" s="101" t="s">
        <v>1451</v>
      </c>
      <c r="I172" s="90"/>
      <c r="J172" s="102"/>
      <c r="K172" s="103"/>
      <c r="L172" s="102" t="str">
        <f t="array" ref="L172">INDEX('MTA 28-09'!S:S,MATCH(B172,'MTA 28-09'!A:A,0))</f>
        <v>APOIO</v>
      </c>
      <c r="M172" s="98" t="str">
        <f t="array" ref="M172">INDEX('MTA 28-09'!T:T,MATCH(B172,'MTA 28-09'!A:A,0))</f>
        <v>Requisição CABW</v>
      </c>
      <c r="N172" s="98" t="str">
        <f t="array" ref="N172">INDEX('MTA 28-09'!U:U,MATCH(B172,'MTA 28-09'!A:A,0))</f>
        <v>Requisições Consumíveis 4/4</v>
      </c>
      <c r="O172" s="104">
        <f t="array" ref="O172">INDEX('MTA 28-09'!AC:AC,MATCH(B172,'MTA 28-09'!A:A,0))</f>
        <v>533.97</v>
      </c>
      <c r="P172" s="98" t="str">
        <f t="array" ref="P172">INDEX('MTA 28-09'!N:N,MATCH(B172,'MTA 28-09'!A:A,0))</f>
        <v>CABW</v>
      </c>
      <c r="Q172" s="105" t="str">
        <f t="array" ref="Q172">INDEX('MTA 28-09'!Z:Z,MATCH(B172,'MTA 28-09'!A:A,0))</f>
        <v>339030</v>
      </c>
      <c r="R172" s="98" t="str">
        <f t="array" ref="R172">INDEX('MTA 28-09'!L:L,MATCH(B172,'MTA 28-09'!A:A,0))</f>
        <v>A</v>
      </c>
      <c r="S172" s="107" t="str">
        <f t="array" ref="S172">INDEX('MTA 28-09'!X:X,MATCH(B172,'MTA 28-09'!A:A,0))</f>
        <v>SOB DEMANDA</v>
      </c>
      <c r="T172" s="107" t="str">
        <f t="array" ref="T172">INDEX('MTA 28-09'!W:W,MATCH(B172,'MTA 28-09'!A:A,0))</f>
        <v>NÃO</v>
      </c>
      <c r="U172" s="109">
        <f t="array" ref="U172">INDEX('MTA 28-09'!AE:AE,MATCH(B172,'MTA 28-09'!A:A,0))</f>
        <v>46382</v>
      </c>
      <c r="V172" s="29"/>
      <c r="W172" s="29"/>
      <c r="X172" s="29"/>
      <c r="Y172" s="29"/>
      <c r="Z172" s="29"/>
      <c r="AA172" s="29"/>
      <c r="AB172" s="29"/>
      <c r="AC172" s="29"/>
      <c r="AD172" s="29"/>
      <c r="AE172" s="29"/>
      <c r="AF172" s="29"/>
      <c r="AG172" s="29"/>
      <c r="AH172" s="29"/>
      <c r="AI172" s="29"/>
      <c r="AJ172" s="29"/>
      <c r="AK172" s="29"/>
      <c r="AL172" s="29"/>
      <c r="AM172" s="29"/>
    </row>
    <row r="173">
      <c r="A173" s="31" t="s">
        <v>1572</v>
      </c>
      <c r="B173" s="32">
        <v>12560.0</v>
      </c>
      <c r="C173" s="33" t="str">
        <f t="array" ref="C173">INDEX('MTA 28-09'!B:B,MATCH(B173,'MTA 28-09'!A:A,0))</f>
        <v>SIM</v>
      </c>
      <c r="D173" s="34">
        <f t="array" ref="D173">INDEX('MTA 28-09'!D:D,MATCH(B173,'MTA 28-09'!A:A,0))</f>
        <v>2048</v>
      </c>
      <c r="E173" s="32" t="str">
        <f t="array" ref="E173">INDEX('MTA 28-09'!F:F,MATCH(B173,'MTA 28-09'!A:A,0))</f>
        <v>ATENDIDO</v>
      </c>
      <c r="F173" s="35">
        <f t="array" ref="F173">INDEX('MTA 28-09'!I:I,MATCH(B173,'MTA 28-09'!A:A,0))</f>
        <v>46213</v>
      </c>
      <c r="G173" s="36" t="str">
        <f t="array" ref="G173">INDEX('MTA 28-09'!J:J,MATCH(B173,'MTA 28-09'!A:A,0))</f>
        <v>C26133</v>
      </c>
      <c r="H173" s="37" t="s">
        <v>1451</v>
      </c>
      <c r="I173" s="38"/>
      <c r="J173" s="39"/>
      <c r="K173" s="40"/>
      <c r="L173" s="39" t="str">
        <f t="array" ref="L173">INDEX('MTA 28-09'!S:S,MATCH(B173,'MTA 28-09'!A:A,0))</f>
        <v>APOIO</v>
      </c>
      <c r="M173" s="32" t="str">
        <f t="array" ref="M173">INDEX('MTA 28-09'!T:T,MATCH(B173,'MTA 28-09'!A:A,0))</f>
        <v>Requisição CABW</v>
      </c>
      <c r="N173" s="32" t="str">
        <f t="array" ref="N173">INDEX('MTA 28-09'!U:U,MATCH(B173,'MTA 28-09'!A:A,0))</f>
        <v>Requisições Consumíveis 4/4</v>
      </c>
      <c r="O173" s="59">
        <f t="array" ref="O173">INDEX('MTA 28-09'!AC:AC,MATCH(B173,'MTA 28-09'!A:A,0))</f>
        <v>15183.34</v>
      </c>
      <c r="P173" s="32" t="str">
        <f t="array" ref="P173">INDEX('MTA 28-09'!N:N,MATCH(B173,'MTA 28-09'!A:A,0))</f>
        <v>CABW</v>
      </c>
      <c r="Q173" s="67" t="str">
        <f t="array" ref="Q173">INDEX('MTA 28-09'!Z:Z,MATCH(B173,'MTA 28-09'!A:A,0))</f>
        <v>339030</v>
      </c>
      <c r="R173" s="32" t="str">
        <f t="array" ref="R173">INDEX('MTA 28-09'!L:L,MATCH(B173,'MTA 28-09'!A:A,0))</f>
        <v>A</v>
      </c>
      <c r="S173" s="72" t="str">
        <f t="array" ref="S173">INDEX('MTA 28-09'!X:X,MATCH(B173,'MTA 28-09'!A:A,0))</f>
        <v>SOB DEMANDA</v>
      </c>
      <c r="T173" s="72" t="str">
        <f t="array" ref="T173">INDEX('MTA 28-09'!W:W,MATCH(B173,'MTA 28-09'!A:A,0))</f>
        <v>NÃO</v>
      </c>
      <c r="U173" s="81">
        <f t="array" ref="U173">INDEX('MTA 28-09'!AE:AE,MATCH(B173,'MTA 28-09'!A:A,0))</f>
        <v>46382</v>
      </c>
      <c r="V173" s="12"/>
      <c r="W173" s="12"/>
      <c r="X173" s="12"/>
      <c r="Y173" s="12"/>
      <c r="Z173" s="12"/>
      <c r="AA173" s="12"/>
      <c r="AB173" s="12"/>
      <c r="AC173" s="12"/>
      <c r="AD173" s="12"/>
      <c r="AE173" s="12"/>
      <c r="AF173" s="12"/>
      <c r="AG173" s="12"/>
      <c r="AH173" s="12"/>
      <c r="AI173" s="12"/>
      <c r="AJ173" s="12"/>
      <c r="AK173" s="12"/>
      <c r="AL173" s="12"/>
      <c r="AM173" s="12"/>
    </row>
    <row r="174">
      <c r="A174" s="88" t="s">
        <v>1572</v>
      </c>
      <c r="B174" s="98">
        <v>12561.0</v>
      </c>
      <c r="C174" s="92" t="str">
        <f t="array" ref="C174">INDEX('MTA 28-09'!B:B,MATCH(B174,'MTA 28-09'!A:A,0))</f>
        <v>SIM</v>
      </c>
      <c r="D174" s="95">
        <f t="array" ref="D174">INDEX('MTA 28-09'!D:D,MATCH(B174,'MTA 28-09'!A:A,0))</f>
        <v>2048</v>
      </c>
      <c r="E174" s="98" t="str">
        <f t="array" ref="E174">INDEX('MTA 28-09'!F:F,MATCH(B174,'MTA 28-09'!A:A,0))</f>
        <v>ATENDIDO</v>
      </c>
      <c r="F174" s="144">
        <f t="array" ref="F174">INDEX('MTA 28-09'!I:I,MATCH(B174,'MTA 28-09'!A:A,0))</f>
        <v>46077</v>
      </c>
      <c r="G174" s="100" t="str">
        <f t="array" ref="G174">INDEX('MTA 28-09'!J:J,MATCH(B174,'MTA 28-09'!A:A,0))</f>
        <v>C26037</v>
      </c>
      <c r="H174" s="101">
        <v>1.0</v>
      </c>
      <c r="I174" s="90"/>
      <c r="J174" s="102"/>
      <c r="K174" s="103"/>
      <c r="L174" s="102" t="str">
        <f t="array" ref="L174">INDEX('MTA 28-09'!S:S,MATCH(B174,'MTA 28-09'!A:A,0))</f>
        <v>APOIO</v>
      </c>
      <c r="M174" s="98" t="str">
        <f t="array" ref="M174">INDEX('MTA 28-09'!T:T,MATCH(B174,'MTA 28-09'!A:A,0))</f>
        <v>CTT XXX/GAPLS-PAMALS/2026 – Gestão de Frota</v>
      </c>
      <c r="N174" s="98" t="str">
        <f t="array" ref="N174">INDEX('MTA 28-09'!U:U,MATCH(B174,'MTA 28-09'!A:A,0))</f>
        <v>Serviço de Reparo 1/4</v>
      </c>
      <c r="O174" s="104">
        <f t="array" ref="O174">INDEX('MTA 28-09'!AC:AC,MATCH(B174,'MTA 28-09'!A:A,0))</f>
        <v>42500</v>
      </c>
      <c r="P174" s="98" t="str">
        <f t="array" ref="P174">INDEX('MTA 28-09'!N:N,MATCH(B174,'MTA 28-09'!A:A,0))</f>
        <v>BANT</v>
      </c>
      <c r="Q174" s="105" t="str">
        <f t="array" ref="Q174">INDEX('MTA 28-09'!Z:Z,MATCH(B174,'MTA 28-09'!A:A,0))</f>
        <v>339030</v>
      </c>
      <c r="R174" s="98" t="str">
        <f t="array" ref="R174">INDEX('MTA 28-09'!L:L,MATCH(B174,'MTA 28-09'!A:A,0))</f>
        <v>A</v>
      </c>
      <c r="S174" s="107" t="str">
        <f t="array" ref="S174">INDEX('MTA 28-09'!X:X,MATCH(B174,'MTA 28-09'!A:A,0))</f>
        <v>SOB DEMANDA</v>
      </c>
      <c r="T174" s="107" t="str">
        <f t="array" ref="T174">INDEX('MTA 28-09'!W:W,MATCH(B174,'MTA 28-09'!A:A,0))</f>
        <v>NÃO</v>
      </c>
      <c r="U174" s="109">
        <f t="array" ref="U174">INDEX('MTA 28-09'!AE:AE,MATCH(B174,'MTA 28-09'!A:A,0))</f>
        <v>46107</v>
      </c>
      <c r="V174" s="29"/>
      <c r="W174" s="29"/>
      <c r="X174" s="29"/>
      <c r="Y174" s="29"/>
      <c r="Z174" s="29"/>
      <c r="AA174" s="29"/>
      <c r="AB174" s="29"/>
      <c r="AC174" s="29"/>
      <c r="AD174" s="29"/>
      <c r="AE174" s="29"/>
      <c r="AF174" s="29"/>
      <c r="AG174" s="29"/>
      <c r="AH174" s="29"/>
      <c r="AI174" s="29"/>
      <c r="AJ174" s="29"/>
      <c r="AK174" s="29"/>
      <c r="AL174" s="29"/>
      <c r="AM174" s="29"/>
    </row>
    <row r="175">
      <c r="A175" s="31" t="s">
        <v>1572</v>
      </c>
      <c r="B175" s="38">
        <v>12562.0</v>
      </c>
      <c r="C175" s="33" t="str">
        <f t="array" ref="C175">INDEX('MTA 28-09'!B:B,MATCH(B175,'MTA 28-09'!A:A,0))</f>
        <v>SIM</v>
      </c>
      <c r="D175" s="34">
        <f t="array" ref="D175">INDEX('MTA 28-09'!D:D,MATCH(B175,'MTA 28-09'!A:A,0))</f>
        <v>2048</v>
      </c>
      <c r="E175" s="32" t="str">
        <f t="array" ref="E175">INDEX('MTA 28-09'!F:F,MATCH(B175,'MTA 28-09'!A:A,0))</f>
        <v>ATENDIDO</v>
      </c>
      <c r="F175" s="137">
        <f t="array" ref="F175">INDEX('MTA 28-09'!I:I,MATCH(B175,'MTA 28-09'!A:A,0))</f>
        <v>46092</v>
      </c>
      <c r="G175" s="36" t="str">
        <f t="array" ref="G175">INDEX('MTA 28-09'!J:J,MATCH(B175,'MTA 28-09'!A:A,0))</f>
        <v>C26051</v>
      </c>
      <c r="H175" s="287" t="s">
        <v>157</v>
      </c>
      <c r="I175" s="295"/>
      <c r="J175" s="39"/>
      <c r="K175" s="40"/>
      <c r="L175" s="39" t="str">
        <f t="array" ref="L175">INDEX('MTA 28-09'!S:S,MATCH(B175,'MTA 28-09'!A:A,0))</f>
        <v>APOIO</v>
      </c>
      <c r="M175" s="32" t="str">
        <f t="array" ref="M175">INDEX('MTA 28-09'!T:T,MATCH(B175,'MTA 28-09'!A:A,0))</f>
        <v>CTT XXX/GAPLS-PAMALS/2026 – Gestão de Frota</v>
      </c>
      <c r="N175" s="32" t="str">
        <f t="array" ref="N175">INDEX('MTA 28-09'!U:U,MATCH(B175,'MTA 28-09'!A:A,0))</f>
        <v>Serviço de Reparo 1/4</v>
      </c>
      <c r="O175" s="59">
        <f t="array" ref="O175">INDEX('MTA 28-09'!AC:AC,MATCH(B175,'MTA 28-09'!A:A,0))</f>
        <v>10439.8</v>
      </c>
      <c r="P175" s="32" t="str">
        <f t="array" ref="P175">INDEX('MTA 28-09'!N:N,MATCH(B175,'MTA 28-09'!A:A,0))</f>
        <v>BANT</v>
      </c>
      <c r="Q175" s="67" t="str">
        <f t="array" ref="Q175">INDEX('MTA 28-09'!Z:Z,MATCH(B175,'MTA 28-09'!A:A,0))</f>
        <v>339030</v>
      </c>
      <c r="R175" s="32" t="str">
        <f t="array" ref="R175">INDEX('MTA 28-09'!L:L,MATCH(B175,'MTA 28-09'!A:A,0))</f>
        <v>A</v>
      </c>
      <c r="S175" s="72" t="str">
        <f t="array" ref="S175">INDEX('MTA 28-09'!X:X,MATCH(B175,'MTA 28-09'!A:A,0))</f>
        <v>SOB DEMANDA</v>
      </c>
      <c r="T175" s="72" t="str">
        <f t="array" ref="T175">INDEX('MTA 28-09'!W:W,MATCH(B175,'MTA 28-09'!A:A,0))</f>
        <v>NÃO</v>
      </c>
      <c r="U175" s="81">
        <f t="array" ref="U175">INDEX('MTA 28-09'!AE:AE,MATCH(B175,'MTA 28-09'!A:A,0))</f>
        <v>46168</v>
      </c>
      <c r="V175" s="12"/>
      <c r="W175" s="12"/>
      <c r="X175" s="12"/>
      <c r="Y175" s="12"/>
      <c r="Z175" s="12"/>
      <c r="AA175" s="12"/>
      <c r="AB175" s="12"/>
      <c r="AC175" s="12"/>
      <c r="AD175" s="12"/>
      <c r="AE175" s="12"/>
      <c r="AF175" s="12"/>
      <c r="AG175" s="12"/>
      <c r="AH175" s="12"/>
      <c r="AI175" s="12"/>
      <c r="AJ175" s="12"/>
      <c r="AK175" s="12"/>
      <c r="AL175" s="12"/>
      <c r="AM175" s="12"/>
    </row>
    <row r="176">
      <c r="A176" s="88" t="s">
        <v>1574</v>
      </c>
      <c r="B176" s="98">
        <v>12580.0</v>
      </c>
      <c r="C176" s="92" t="str">
        <f t="array" ref="C176">INDEX('MTA 28-09'!B:B,MATCH(B176,'MTA 28-09'!A:A,0))</f>
        <v>SIM</v>
      </c>
      <c r="D176" s="95">
        <f t="array" ref="D176">INDEX('MTA 28-09'!D:D,MATCH(B176,'MTA 28-09'!A:A,0))</f>
        <v>2048</v>
      </c>
      <c r="E176" s="98" t="str">
        <f t="array" ref="E176">INDEX('MTA 28-09'!F:F,MATCH(B176,'MTA 28-09'!A:A,0))</f>
        <v>CANCELADO</v>
      </c>
      <c r="F176" s="152" t="str">
        <f t="array" ref="F176">INDEX('MTA 28-09'!I:I,MATCH(B176,'MTA 28-09'!A:A,0))</f>
        <v/>
      </c>
      <c r="G176" s="100" t="str">
        <f t="array" ref="G176">INDEX('MTA 28-09'!J:J,MATCH(B176,'MTA 28-09'!A:A,0))</f>
        <v/>
      </c>
      <c r="H176" s="159" t="s">
        <v>157</v>
      </c>
      <c r="I176" s="90"/>
      <c r="J176" s="102"/>
      <c r="K176" s="103"/>
      <c r="L176" s="102" t="str">
        <f t="array" ref="L176">INDEX('MTA 28-09'!S:S,MATCH(B176,'MTA 28-09'!A:A,0))</f>
        <v>APOIO</v>
      </c>
      <c r="M176" s="98" t="str">
        <f t="array" ref="M176">INDEX('MTA 28-09'!T:T,MATCH(B176,'MTA 28-09'!A:A,0))</f>
        <v>CTT XXX/CELOG-PAMALS/2026 – Aquisição de Consumíveis</v>
      </c>
      <c r="N176" s="98" t="str">
        <f t="array" ref="N176">INDEX('MTA 28-09'!U:U,MATCH(B176,'MTA 28-09'!A:A,0))</f>
        <v>Aquisição de consumíveis 1/4</v>
      </c>
      <c r="O176" s="104" t="str">
        <f t="array" ref="O176">INDEX('MTA 28-09'!AC:AC,MATCH(B176,'MTA 28-09'!A:A,0))</f>
        <v> -</v>
      </c>
      <c r="P176" s="98" t="str">
        <f t="array" ref="P176">INDEX('MTA 28-09'!N:N,MATCH(B176,'MTA 28-09'!A:A,0))</f>
        <v>CELOG</v>
      </c>
      <c r="Q176" s="105" t="str">
        <f t="array" ref="Q176">INDEX('MTA 28-09'!Z:Z,MATCH(B176,'MTA 28-09'!A:A,0))</f>
        <v>339030</v>
      </c>
      <c r="R176" s="98" t="str">
        <f t="array" ref="R176">INDEX('MTA 28-09'!L:L,MATCH(B176,'MTA 28-09'!A:A,0))</f>
        <v>A</v>
      </c>
      <c r="S176" s="107" t="str">
        <f t="array" ref="S176">INDEX('MTA 28-09'!X:X,MATCH(B176,'MTA 28-09'!A:A,0))</f>
        <v>SOB DEMANDA</v>
      </c>
      <c r="T176" s="107" t="str">
        <f t="array" ref="T176">INDEX('MTA 28-09'!W:W,MATCH(B176,'MTA 28-09'!A:A,0))</f>
        <v>NÃO</v>
      </c>
      <c r="U176" s="109">
        <f t="array" ref="U176">INDEX('MTA 28-09'!AE:AE,MATCH(B176,'MTA 28-09'!A:A,0))</f>
        <v>46168</v>
      </c>
      <c r="V176" s="29"/>
      <c r="W176" s="29"/>
      <c r="X176" s="29"/>
      <c r="Y176" s="29"/>
      <c r="Z176" s="29"/>
      <c r="AA176" s="29"/>
      <c r="AB176" s="29"/>
      <c r="AC176" s="29"/>
      <c r="AD176" s="29"/>
      <c r="AE176" s="29"/>
      <c r="AF176" s="29"/>
      <c r="AG176" s="29"/>
      <c r="AH176" s="29"/>
      <c r="AI176" s="29"/>
      <c r="AJ176" s="29"/>
      <c r="AK176" s="29"/>
      <c r="AL176" s="29"/>
      <c r="AM176" s="29"/>
    </row>
    <row r="177">
      <c r="A177" s="31" t="s">
        <v>1574</v>
      </c>
      <c r="B177" s="32">
        <v>12600.0</v>
      </c>
      <c r="C177" s="33" t="str">
        <f t="array" ref="C177">INDEX('MTA 28-09'!B:B,MATCH(B177,'MTA 28-09'!A:A,0))</f>
        <v>SIM</v>
      </c>
      <c r="D177" s="34">
        <f t="array" ref="D177">INDEX('MTA 28-09'!D:D,MATCH(B177,'MTA 28-09'!A:A,0))</f>
        <v>2048</v>
      </c>
      <c r="E177" s="32" t="str">
        <f t="array" ref="E177">INDEX('MTA 28-09'!F:F,MATCH(B177,'MTA 28-09'!A:A,0))</f>
        <v>ATENDIDO</v>
      </c>
      <c r="F177" s="137">
        <f t="array" ref="F177">INDEX('MTA 28-09'!I:I,MATCH(B177,'MTA 28-09'!A:A,0))</f>
        <v>46213</v>
      </c>
      <c r="G177" s="36" t="str">
        <f t="array" ref="G177">INDEX('MTA 28-09'!J:J,MATCH(B177,'MTA 28-09'!A:A,0))</f>
        <v>C26133</v>
      </c>
      <c r="H177" s="37" t="s">
        <v>1451</v>
      </c>
      <c r="I177" s="38"/>
      <c r="J177" s="39"/>
      <c r="K177" s="40"/>
      <c r="L177" s="39" t="str">
        <f t="array" ref="L177">INDEX('MTA 28-09'!S:S,MATCH(B177,'MTA 28-09'!A:A,0))</f>
        <v>APOIO</v>
      </c>
      <c r="M177" s="32" t="str">
        <f t="array" ref="M177">INDEX('MTA 28-09'!T:T,MATCH(B177,'MTA 28-09'!A:A,0))</f>
        <v>Requisição CABW</v>
      </c>
      <c r="N177" s="32" t="str">
        <f t="array" ref="N177">INDEX('MTA 28-09'!U:U,MATCH(B177,'MTA 28-09'!A:A,0))</f>
        <v>Requisições Consumíveis 4/4</v>
      </c>
      <c r="O177" s="59">
        <f t="array" ref="O177">INDEX('MTA 28-09'!AC:AC,MATCH(B177,'MTA 28-09'!A:A,0))</f>
        <v>9611.78</v>
      </c>
      <c r="P177" s="32" t="str">
        <f t="array" ref="P177">INDEX('MTA 28-09'!N:N,MATCH(B177,'MTA 28-09'!A:A,0))</f>
        <v>CABW</v>
      </c>
      <c r="Q177" s="67" t="str">
        <f t="array" ref="Q177">INDEX('MTA 28-09'!Z:Z,MATCH(B177,'MTA 28-09'!A:A,0))</f>
        <v>339030</v>
      </c>
      <c r="R177" s="32" t="str">
        <f t="array" ref="R177">INDEX('MTA 28-09'!L:L,MATCH(B177,'MTA 28-09'!A:A,0))</f>
        <v>A</v>
      </c>
      <c r="S177" s="72" t="str">
        <f t="array" ref="S177">INDEX('MTA 28-09'!X:X,MATCH(B177,'MTA 28-09'!A:A,0))</f>
        <v>SOB DEMANDA</v>
      </c>
      <c r="T177" s="72" t="str">
        <f t="array" ref="T177">INDEX('MTA 28-09'!W:W,MATCH(B177,'MTA 28-09'!A:A,0))</f>
        <v>NÃO</v>
      </c>
      <c r="U177" s="81">
        <f t="array" ref="U177">INDEX('MTA 28-09'!AE:AE,MATCH(B177,'MTA 28-09'!A:A,0))</f>
        <v>46382</v>
      </c>
      <c r="V177" s="12"/>
      <c r="W177" s="12"/>
      <c r="X177" s="12"/>
      <c r="Y177" s="12"/>
      <c r="Z177" s="12"/>
      <c r="AA177" s="12"/>
      <c r="AB177" s="12"/>
      <c r="AC177" s="12"/>
      <c r="AD177" s="12"/>
      <c r="AE177" s="12"/>
      <c r="AF177" s="12"/>
      <c r="AG177" s="12"/>
      <c r="AH177" s="12"/>
      <c r="AI177" s="12"/>
      <c r="AJ177" s="12"/>
      <c r="AK177" s="12"/>
      <c r="AL177" s="12"/>
      <c r="AM177" s="12"/>
    </row>
    <row r="178">
      <c r="A178" s="88" t="s">
        <v>39</v>
      </c>
      <c r="B178" s="98">
        <v>12620.0</v>
      </c>
      <c r="C178" s="92" t="str">
        <f t="array" ref="C178">INDEX('MTA 28-09'!B:B,MATCH(B178,'MTA 28-09'!A:A,0))</f>
        <v>SIM</v>
      </c>
      <c r="D178" s="95">
        <f t="array" ref="D178">INDEX('MTA 28-09'!D:D,MATCH(B178,'MTA 28-09'!A:A,0))</f>
        <v>2048</v>
      </c>
      <c r="E178" s="98" t="str">
        <f t="array" ref="E178">INDEX('MTA 28-09'!F:F,MATCH(B178,'MTA 28-09'!A:A,0))</f>
        <v>ATENDIDO</v>
      </c>
      <c r="F178" s="99">
        <f t="array" ref="F178">INDEX('MTA 28-09'!I:I,MATCH(B178,'MTA 28-09'!A:A,0))</f>
        <v>46118</v>
      </c>
      <c r="G178" s="100" t="str">
        <f t="array" ref="G178">INDEX('MTA 28-09'!J:J,MATCH(B178,'MTA 28-09'!A:A,0))</f>
        <v>C26138</v>
      </c>
      <c r="H178" s="101" t="s">
        <v>1398</v>
      </c>
      <c r="I178" s="90"/>
      <c r="J178" s="102"/>
      <c r="K178" s="103"/>
      <c r="L178" s="102" t="str">
        <f t="array" ref="L178">INDEX('MTA 28-09'!S:S,MATCH(B178,'MTA 28-09'!A:A,0))</f>
        <v>A-29</v>
      </c>
      <c r="M178" s="98" t="str">
        <f t="array" ref="M178">INDEX('MTA 28-09'!T:T,MATCH(B178,'MTA 28-09'!A:A,0))</f>
        <v>CTT 102/CELOG-PAMALS/2023 – EMBRAER - PSLI</v>
      </c>
      <c r="N178" s="98" t="str">
        <f t="array" ref="N178">INDEX('MTA 28-09'!U:U,MATCH(B178,'MTA 28-09'!A:A,0))</f>
        <v>Parcela Fixa 04/12</v>
      </c>
      <c r="O178" s="104">
        <f t="array" ref="O178">INDEX('MTA 28-09'!AC:AC,MATCH(B178,'MTA 28-09'!A:A,0))</f>
        <v>2310000</v>
      </c>
      <c r="P178" s="98" t="str">
        <f t="array" ref="P178">INDEX('MTA 28-09'!N:N,MATCH(B178,'MTA 28-09'!A:A,0))</f>
        <v>CELOG</v>
      </c>
      <c r="Q178" s="105" t="str">
        <f t="array" ref="Q178">INDEX('MTA 28-09'!Z:Z,MATCH(B178,'MTA 28-09'!A:A,0))</f>
        <v>339039</v>
      </c>
      <c r="R178" s="98" t="str">
        <f t="array" ref="R178">INDEX('MTA 28-09'!L:L,MATCH(B178,'MTA 28-09'!A:A,0))</f>
        <v>A</v>
      </c>
      <c r="S178" s="107" t="str">
        <f t="array" ref="S178">INDEX('MTA 28-09'!X:X,MATCH(B178,'MTA 28-09'!A:A,0))</f>
        <v>PARCELA FIXA</v>
      </c>
      <c r="T178" s="107" t="str">
        <f t="array" ref="T178">INDEX('MTA 28-09'!W:W,MATCH(B178,'MTA 28-09'!A:A,0))</f>
        <v>Não</v>
      </c>
      <c r="U178" s="109">
        <f t="array" ref="U178">INDEX('MTA 28-09'!AE:AE,MATCH(B178,'MTA 28-09'!A:A,0))</f>
        <v>46199</v>
      </c>
      <c r="V178" s="29"/>
      <c r="W178" s="29"/>
      <c r="X178" s="29"/>
      <c r="Y178" s="29"/>
      <c r="Z178" s="29"/>
      <c r="AA178" s="29"/>
      <c r="AB178" s="29"/>
      <c r="AC178" s="29"/>
      <c r="AD178" s="29"/>
      <c r="AE178" s="29"/>
      <c r="AF178" s="29"/>
      <c r="AG178" s="29"/>
      <c r="AH178" s="29"/>
      <c r="AI178" s="29"/>
      <c r="AJ178" s="29"/>
      <c r="AK178" s="29"/>
      <c r="AL178" s="29"/>
      <c r="AM178" s="29"/>
    </row>
    <row r="179">
      <c r="A179" s="31" t="s">
        <v>44</v>
      </c>
      <c r="B179" s="32">
        <v>12640.0</v>
      </c>
      <c r="C179" s="33" t="str">
        <f t="array" ref="C179">INDEX('MTA 28-09'!B:B,MATCH(B179,'MTA 28-09'!A:A,0))</f>
        <v>SIM</v>
      </c>
      <c r="D179" s="34">
        <f t="array" ref="D179">INDEX('MTA 28-09'!D:D,MATCH(B179,'MTA 28-09'!A:A,0))</f>
        <v>2048</v>
      </c>
      <c r="E179" s="32" t="str">
        <f t="array" ref="E179">INDEX('MTA 28-09'!F:F,MATCH(B179,'MTA 28-09'!A:A,0))</f>
        <v>ATENDIDO</v>
      </c>
      <c r="F179" s="420">
        <f t="array" ref="F179">INDEX('MTA 28-09'!I:I,MATCH(B179,'MTA 28-09'!A:A,0))</f>
        <v>46118</v>
      </c>
      <c r="G179" s="36" t="str">
        <f t="array" ref="G179">INDEX('MTA 28-09'!J:J,MATCH(B179,'MTA 28-09'!A:A,0))</f>
        <v>C26079</v>
      </c>
      <c r="H179" s="37" t="s">
        <v>1398</v>
      </c>
      <c r="I179" s="38"/>
      <c r="J179" s="39"/>
      <c r="K179" s="40"/>
      <c r="L179" s="39" t="str">
        <f t="array" ref="L179">INDEX('MTA 28-09'!S:S,MATCH(B179,'MTA 28-09'!A:A,0))</f>
        <v>C-97</v>
      </c>
      <c r="M179" s="32" t="str">
        <f t="array" ref="M179">INDEX('MTA 28-09'!T:T,MATCH(B179,'MTA 28-09'!A:A,0))</f>
        <v>CTT 096/CAE-PAMALS/2021 - CLS C-97</v>
      </c>
      <c r="N179" s="32" t="str">
        <f t="array" ref="N179">INDEX('MTA 28-09'!U:U,MATCH(B179,'MTA 28-09'!A:A,0))</f>
        <v>Hora de Voo 03/09 (500HV)</v>
      </c>
      <c r="O179" s="59">
        <f t="array" ref="O179">INDEX('MTA 28-09'!AC:AC,MATCH(B179,'MTA 28-09'!A:A,0))</f>
        <v>2572500</v>
      </c>
      <c r="P179" s="32" t="str">
        <f t="array" ref="P179">INDEX('MTA 28-09'!N:N,MATCH(B179,'MTA 28-09'!A:A,0))</f>
        <v>CELOG</v>
      </c>
      <c r="Q179" s="67" t="str">
        <f t="array" ref="Q179">INDEX('MTA 28-09'!Z:Z,MATCH(B179,'MTA 28-09'!A:A,0))</f>
        <v>339039</v>
      </c>
      <c r="R179" s="32" t="str">
        <f t="array" ref="R179">INDEX('MTA 28-09'!L:L,MATCH(B179,'MTA 28-09'!A:A,0))</f>
        <v>A</v>
      </c>
      <c r="S179" s="72" t="str">
        <f t="array" ref="S179">INDEX('MTA 28-09'!X:X,MATCH(B179,'MTA 28-09'!A:A,0))</f>
        <v>HORA DE VOO</v>
      </c>
      <c r="T179" s="72" t="str">
        <f t="array" ref="T179">INDEX('MTA 28-09'!W:W,MATCH(B179,'MTA 28-09'!A:A,0))</f>
        <v>Não</v>
      </c>
      <c r="U179" s="81">
        <f t="array" ref="U179">INDEX('MTA 28-09'!AE:AE,MATCH(B179,'MTA 28-09'!A:A,0))</f>
        <v>46199</v>
      </c>
      <c r="V179" s="12"/>
      <c r="W179" s="12"/>
      <c r="X179" s="12"/>
      <c r="Y179" s="12"/>
      <c r="Z179" s="12"/>
      <c r="AA179" s="12"/>
      <c r="AB179" s="12"/>
      <c r="AC179" s="12"/>
      <c r="AD179" s="12"/>
      <c r="AE179" s="12"/>
      <c r="AF179" s="12"/>
      <c r="AG179" s="12"/>
      <c r="AH179" s="12"/>
      <c r="AI179" s="12"/>
      <c r="AJ179" s="12"/>
      <c r="AK179" s="12"/>
      <c r="AL179" s="12"/>
      <c r="AM179" s="12"/>
    </row>
    <row r="180">
      <c r="A180" s="88" t="s">
        <v>39</v>
      </c>
      <c r="B180" s="98">
        <v>12660.0</v>
      </c>
      <c r="C180" s="92" t="str">
        <f t="array" ref="C180">INDEX('MTA 28-09'!B:B,MATCH(B180,'MTA 28-09'!A:A,0))</f>
        <v>SIM</v>
      </c>
      <c r="D180" s="95">
        <f t="array" ref="D180">INDEX('MTA 28-09'!D:D,MATCH(B180,'MTA 28-09'!A:A,0))</f>
        <v>2048</v>
      </c>
      <c r="E180" s="98" t="str">
        <f t="array" ref="E180">INDEX('MTA 28-09'!F:F,MATCH(B180,'MTA 28-09'!A:A,0))</f>
        <v>ATENDIDO</v>
      </c>
      <c r="F180" s="152">
        <f t="array" ref="F180">INDEX('MTA 28-09'!I:I,MATCH(B180,'MTA 28-09'!A:A,0))</f>
        <v>46118</v>
      </c>
      <c r="G180" s="100" t="str">
        <f t="array" ref="G180">INDEX('MTA 28-09'!J:J,MATCH(B180,'MTA 28-09'!A:A,0))</f>
        <v>C26192</v>
      </c>
      <c r="H180" s="101" t="s">
        <v>1398</v>
      </c>
      <c r="I180" s="90"/>
      <c r="J180" s="102"/>
      <c r="K180" s="103"/>
      <c r="L180" s="102" t="str">
        <f t="array" ref="L180">INDEX('MTA 28-09'!S:S,MATCH(B180,'MTA 28-09'!A:A,0))</f>
        <v>A-29</v>
      </c>
      <c r="M180" s="98" t="str">
        <f t="array" ref="M180">INDEX('MTA 28-09'!T:T,MATCH(B180,'MTA 28-09'!A:A,0))</f>
        <v>CNT 040/CELOG-PAMALS/2022 - AEL - CLS AVIONICO</v>
      </c>
      <c r="N180" s="98" t="str">
        <f t="array" ref="N180">INDEX('MTA 28-09'!U:U,MATCH(B180,'MTA 28-09'!A:A,0))</f>
        <v>Hora de Voo 03/10 - 1000 HV</v>
      </c>
      <c r="O180" s="104">
        <f t="array" ref="O180">INDEX('MTA 28-09'!AC:AC,MATCH(B180,'MTA 28-09'!A:A,0))</f>
        <v>1260800.55</v>
      </c>
      <c r="P180" s="98" t="str">
        <f t="array" ref="P180">INDEX('MTA 28-09'!N:N,MATCH(B180,'MTA 28-09'!A:A,0))</f>
        <v>CELOG</v>
      </c>
      <c r="Q180" s="105" t="str">
        <f t="array" ref="Q180">INDEX('MTA 28-09'!Z:Z,MATCH(B180,'MTA 28-09'!A:A,0))</f>
        <v>339039</v>
      </c>
      <c r="R180" s="98" t="str">
        <f t="array" ref="R180">INDEX('MTA 28-09'!L:L,MATCH(B180,'MTA 28-09'!A:A,0))</f>
        <v>A</v>
      </c>
      <c r="S180" s="107" t="str">
        <f t="array" ref="S180">INDEX('MTA 28-09'!X:X,MATCH(B180,'MTA 28-09'!A:A,0))</f>
        <v>HORA DE VOO</v>
      </c>
      <c r="T180" s="107" t="str">
        <f t="array" ref="T180">INDEX('MTA 28-09'!W:W,MATCH(B180,'MTA 28-09'!A:A,0))</f>
        <v>Não</v>
      </c>
      <c r="U180" s="109">
        <f t="array" ref="U180">INDEX('MTA 28-09'!AE:AE,MATCH(B180,'MTA 28-09'!A:A,0))</f>
        <v>46199</v>
      </c>
      <c r="V180" s="29"/>
      <c r="W180" s="29"/>
      <c r="X180" s="29"/>
      <c r="Y180" s="29"/>
      <c r="Z180" s="29"/>
      <c r="AA180" s="29"/>
      <c r="AB180" s="29"/>
      <c r="AC180" s="29"/>
      <c r="AD180" s="29"/>
      <c r="AE180" s="29"/>
      <c r="AF180" s="29"/>
      <c r="AG180" s="29"/>
      <c r="AH180" s="29"/>
      <c r="AI180" s="29"/>
      <c r="AJ180" s="29"/>
      <c r="AK180" s="29"/>
      <c r="AL180" s="29"/>
      <c r="AM180" s="29"/>
    </row>
    <row r="181">
      <c r="A181" s="31" t="s">
        <v>39</v>
      </c>
      <c r="B181" s="32">
        <v>12680.0</v>
      </c>
      <c r="C181" s="33" t="str">
        <f t="array" ref="C181">INDEX('MTA 28-09'!B:B,MATCH(B181,'MTA 28-09'!A:A,0))</f>
        <v>SIM</v>
      </c>
      <c r="D181" s="34">
        <f t="array" ref="D181">INDEX('MTA 28-09'!D:D,MATCH(B181,'MTA 28-09'!A:A,0))</f>
        <v>2048</v>
      </c>
      <c r="E181" s="32" t="str">
        <f t="array" ref="E181">INDEX('MTA 28-09'!F:F,MATCH(B181,'MTA 28-09'!A:A,0))</f>
        <v>ATENDIDO</v>
      </c>
      <c r="F181" s="137">
        <f t="array" ref="F181">INDEX('MTA 28-09'!I:I,MATCH(B181,'MTA 28-09'!A:A,0))</f>
        <v>46118</v>
      </c>
      <c r="G181" s="36" t="str">
        <f t="array" ref="G181">INDEX('MTA 28-09'!J:J,MATCH(B181,'MTA 28-09'!A:A,0))</f>
        <v>C26138</v>
      </c>
      <c r="H181" s="37" t="s">
        <v>1398</v>
      </c>
      <c r="I181" s="38"/>
      <c r="J181" s="39"/>
      <c r="K181" s="40"/>
      <c r="L181" s="39" t="str">
        <f t="array" ref="L181">INDEX('MTA 28-09'!S:S,MATCH(B181,'MTA 28-09'!A:A,0))</f>
        <v>A-29</v>
      </c>
      <c r="M181" s="32" t="str">
        <f t="array" ref="M181">INDEX('MTA 28-09'!T:T,MATCH(B181,'MTA 28-09'!A:A,0))</f>
        <v>CTT 102/CELOG-PAMALS/2023 – EMBRAER - PSLI</v>
      </c>
      <c r="N181" s="32" t="str">
        <f t="array" ref="N181">INDEX('MTA 28-09'!U:U,MATCH(B181,'MTA 28-09'!A:A,0))</f>
        <v>Hora de Voo 03/10 - 1000 HV</v>
      </c>
      <c r="O181" s="59">
        <f t="array" ref="O181">INDEX('MTA 28-09'!AC:AC,MATCH(B181,'MTA 28-09'!A:A,0))</f>
        <v>4072680</v>
      </c>
      <c r="P181" s="32" t="str">
        <f t="array" ref="P181">INDEX('MTA 28-09'!N:N,MATCH(B181,'MTA 28-09'!A:A,0))</f>
        <v>CELOG</v>
      </c>
      <c r="Q181" s="67" t="str">
        <f t="array" ref="Q181">INDEX('MTA 28-09'!Z:Z,MATCH(B181,'MTA 28-09'!A:A,0))</f>
        <v>339039</v>
      </c>
      <c r="R181" s="32" t="str">
        <f t="array" ref="R181">INDEX('MTA 28-09'!L:L,MATCH(B181,'MTA 28-09'!A:A,0))</f>
        <v>A</v>
      </c>
      <c r="S181" s="72" t="str">
        <f t="array" ref="S181">INDEX('MTA 28-09'!X:X,MATCH(B181,'MTA 28-09'!A:A,0))</f>
        <v>HORA DE VOO</v>
      </c>
      <c r="T181" s="72" t="str">
        <f t="array" ref="T181">INDEX('MTA 28-09'!W:W,MATCH(B181,'MTA 28-09'!A:A,0))</f>
        <v>Não</v>
      </c>
      <c r="U181" s="81">
        <f t="array" ref="U181">INDEX('MTA 28-09'!AE:AE,MATCH(B181,'MTA 28-09'!A:A,0))</f>
        <v>46199</v>
      </c>
      <c r="V181" s="12"/>
      <c r="W181" s="12"/>
      <c r="X181" s="12"/>
      <c r="Y181" s="12"/>
      <c r="Z181" s="12"/>
      <c r="AA181" s="12"/>
      <c r="AB181" s="12"/>
      <c r="AC181" s="12"/>
      <c r="AD181" s="12"/>
      <c r="AE181" s="12"/>
      <c r="AF181" s="12"/>
      <c r="AG181" s="12"/>
      <c r="AH181" s="12"/>
      <c r="AI181" s="12"/>
      <c r="AJ181" s="12"/>
      <c r="AK181" s="12"/>
      <c r="AL181" s="12"/>
      <c r="AM181" s="12"/>
    </row>
    <row r="182">
      <c r="A182" s="88" t="s">
        <v>43</v>
      </c>
      <c r="B182" s="98">
        <v>12700.0</v>
      </c>
      <c r="C182" s="92" t="str">
        <f t="array" ref="C182">INDEX('MTA 28-09'!B:B,MATCH(B182,'MTA 28-09'!A:A,0))</f>
        <v>SIM</v>
      </c>
      <c r="D182" s="95">
        <f t="array" ref="D182">INDEX('MTA 28-09'!D:D,MATCH(B182,'MTA 28-09'!A:A,0))</f>
        <v>2048</v>
      </c>
      <c r="E182" s="98" t="str">
        <f t="array" ref="E182">INDEX('MTA 28-09'!F:F,MATCH(B182,'MTA 28-09'!A:A,0))</f>
        <v>ATENDIDO</v>
      </c>
      <c r="F182" s="152">
        <f t="array" ref="F182">INDEX('MTA 28-09'!I:I,MATCH(B182,'MTA 28-09'!A:A,0))</f>
        <v>46098</v>
      </c>
      <c r="G182" s="100" t="str">
        <f t="array" ref="G182">INDEX('MTA 28-09'!J:J,MATCH(B182,'MTA 28-09'!A:A,0))</f>
        <v>C26157</v>
      </c>
      <c r="H182" s="101" t="s">
        <v>154</v>
      </c>
      <c r="I182" s="90"/>
      <c r="J182" s="102"/>
      <c r="K182" s="103"/>
      <c r="L182" s="102" t="str">
        <f t="array" ref="L182">INDEX('MTA 28-09'!S:S,MATCH(B182,'MTA 28-09'!A:A,0))</f>
        <v>C-95M</v>
      </c>
      <c r="M182" s="98" t="str">
        <f t="array" ref="M182">INDEX('MTA 28-09'!T:T,MATCH(B182,'MTA 28-09'!A:A,0))</f>
        <v>CTT 028/CELOG-PAMALS/2025 – CLS AVIÔNICOS</v>
      </c>
      <c r="N182" s="98" t="str">
        <f t="array" ref="N182">INDEX('MTA 28-09'!U:U,MATCH(B182,'MTA 28-09'!A:A,0))</f>
        <v>Hora de Voo 03/09 - 1000 HV</v>
      </c>
      <c r="O182" s="104">
        <f t="array" ref="O182">INDEX('MTA 28-09'!AC:AC,MATCH(B182,'MTA 28-09'!A:A,0))</f>
        <v>619070</v>
      </c>
      <c r="P182" s="98" t="str">
        <f t="array" ref="P182">INDEX('MTA 28-09'!N:N,MATCH(B182,'MTA 28-09'!A:A,0))</f>
        <v>CELOG</v>
      </c>
      <c r="Q182" s="105" t="str">
        <f t="array" ref="Q182">INDEX('MTA 28-09'!Z:Z,MATCH(B182,'MTA 28-09'!A:A,0))</f>
        <v>339039</v>
      </c>
      <c r="R182" s="98" t="str">
        <f t="array" ref="R182">INDEX('MTA 28-09'!L:L,MATCH(B182,'MTA 28-09'!A:A,0))</f>
        <v>A</v>
      </c>
      <c r="S182" s="107" t="str">
        <f t="array" ref="S182">INDEX('MTA 28-09'!X:X,MATCH(B182,'MTA 28-09'!A:A,0))</f>
        <v>HORA DE VOO</v>
      </c>
      <c r="T182" s="107" t="str">
        <f t="array" ref="T182">INDEX('MTA 28-09'!W:W,MATCH(B182,'MTA 28-09'!A:A,0))</f>
        <v>Não</v>
      </c>
      <c r="U182" s="109">
        <f t="array" ref="U182">INDEX('MTA 28-09'!AE:AE,MATCH(B182,'MTA 28-09'!A:A,0))</f>
        <v>46229</v>
      </c>
      <c r="V182" s="29"/>
      <c r="W182" s="29"/>
      <c r="X182" s="29"/>
      <c r="Y182" s="29"/>
      <c r="Z182" s="29"/>
      <c r="AA182" s="29"/>
      <c r="AB182" s="29"/>
      <c r="AC182" s="29"/>
      <c r="AD182" s="29"/>
      <c r="AE182" s="29"/>
      <c r="AF182" s="29"/>
      <c r="AG182" s="29"/>
      <c r="AH182" s="29"/>
      <c r="AI182" s="29"/>
      <c r="AJ182" s="29"/>
      <c r="AK182" s="29"/>
      <c r="AL182" s="29"/>
      <c r="AM182" s="29"/>
    </row>
    <row r="183">
      <c r="A183" s="31" t="s">
        <v>44</v>
      </c>
      <c r="B183" s="32">
        <v>12720.0</v>
      </c>
      <c r="C183" s="33" t="str">
        <f t="array" ref="C183">INDEX('MTA 28-09'!B:B,MATCH(B183,'MTA 28-09'!A:A,0))</f>
        <v>SIM</v>
      </c>
      <c r="D183" s="34">
        <f t="array" ref="D183">INDEX('MTA 28-09'!D:D,MATCH(B183,'MTA 28-09'!A:A,0))</f>
        <v>2048</v>
      </c>
      <c r="E183" s="32" t="str">
        <f t="array" ref="E183">INDEX('MTA 28-09'!F:F,MATCH(B183,'MTA 28-09'!A:A,0))</f>
        <v>ATENDIDO</v>
      </c>
      <c r="F183" s="155">
        <f t="array" ref="F183">INDEX('MTA 28-09'!I:I,MATCH(B183,'MTA 28-09'!A:A,0))</f>
        <v>46121</v>
      </c>
      <c r="G183" s="36" t="str">
        <f t="array" ref="G183">INDEX('MTA 28-09'!J:J,MATCH(B183,'MTA 28-09'!A:A,0))</f>
        <v>C26154</v>
      </c>
      <c r="H183" s="37" t="s">
        <v>1582</v>
      </c>
      <c r="I183" s="38"/>
      <c r="J183" s="39"/>
      <c r="K183" s="40"/>
      <c r="L183" s="39" t="str">
        <f t="array" ref="L183">INDEX('MTA 28-09'!S:S,MATCH(B183,'MTA 28-09'!A:A,0))</f>
        <v>C-97</v>
      </c>
      <c r="M183" s="32" t="str">
        <f t="array" ref="M183">INDEX('MTA 28-09'!T:T,MATCH(B183,'MTA 28-09'!A:A,0))</f>
        <v>CTT 096/CAE-PAMALS/2021 - CLS C-97</v>
      </c>
      <c r="N183" s="32" t="str">
        <f t="array" ref="N183">INDEX('MTA 28-09'!U:U,MATCH(B183,'MTA 28-09'!A:A,0))</f>
        <v>Parcela Fixa 05/12</v>
      </c>
      <c r="O183" s="59">
        <f t="array" ref="O183">INDEX('MTA 28-09'!AC:AC,MATCH(B183,'MTA 28-09'!A:A,0))</f>
        <v>332718.75</v>
      </c>
      <c r="P183" s="32" t="str">
        <f t="array" ref="P183">INDEX('MTA 28-09'!N:N,MATCH(B183,'MTA 28-09'!A:A,0))</f>
        <v>CELOG</v>
      </c>
      <c r="Q183" s="67" t="str">
        <f t="array" ref="Q183">INDEX('MTA 28-09'!Z:Z,MATCH(B183,'MTA 28-09'!A:A,0))</f>
        <v>339039</v>
      </c>
      <c r="R183" s="32" t="str">
        <f t="array" ref="R183">INDEX('MTA 28-09'!L:L,MATCH(B183,'MTA 28-09'!A:A,0))</f>
        <v>A</v>
      </c>
      <c r="S183" s="72" t="str">
        <f t="array" ref="S183">INDEX('MTA 28-09'!X:X,MATCH(B183,'MTA 28-09'!A:A,0))</f>
        <v>PARCELA FIXA</v>
      </c>
      <c r="T183" s="72" t="str">
        <f t="array" ref="T183">INDEX('MTA 28-09'!W:W,MATCH(B183,'MTA 28-09'!A:A,0))</f>
        <v>Não</v>
      </c>
      <c r="U183" s="81">
        <f t="array" ref="U183">INDEX('MTA 28-09'!AE:AE,MATCH(B183,'MTA 28-09'!A:A,0))</f>
        <v>46229</v>
      </c>
      <c r="V183" s="12"/>
      <c r="W183" s="12"/>
      <c r="X183" s="12"/>
      <c r="Y183" s="12"/>
      <c r="Z183" s="12"/>
      <c r="AA183" s="12"/>
      <c r="AB183" s="12"/>
      <c r="AC183" s="12"/>
      <c r="AD183" s="12"/>
      <c r="AE183" s="12"/>
      <c r="AF183" s="12"/>
      <c r="AG183" s="12"/>
      <c r="AH183" s="12"/>
      <c r="AI183" s="12"/>
      <c r="AJ183" s="12"/>
      <c r="AK183" s="12"/>
      <c r="AL183" s="12"/>
      <c r="AM183" s="12"/>
    </row>
    <row r="184">
      <c r="A184" s="88" t="s">
        <v>45</v>
      </c>
      <c r="B184" s="98">
        <v>12740.0</v>
      </c>
      <c r="C184" s="92" t="str">
        <f t="array" ref="C184">INDEX('MTA 28-09'!B:B,MATCH(B184,'MTA 28-09'!A:A,0))</f>
        <v>SIM</v>
      </c>
      <c r="D184" s="95">
        <f t="array" ref="D184">INDEX('MTA 28-09'!D:D,MATCH(B184,'MTA 28-09'!A:A,0))</f>
        <v>2048</v>
      </c>
      <c r="E184" s="98" t="str">
        <f t="array" ref="E184">INDEX('MTA 28-09'!F:F,MATCH(B184,'MTA 28-09'!A:A,0))</f>
        <v>ATENDIDO</v>
      </c>
      <c r="F184" s="152">
        <f t="array" ref="F184">INDEX('MTA 28-09'!I:I,MATCH(B184,'MTA 28-09'!A:A,0))</f>
        <v>46098</v>
      </c>
      <c r="G184" s="100" t="str">
        <f t="array" ref="G184">INDEX('MTA 28-09'!J:J,MATCH(B184,'MTA 28-09'!A:A,0))</f>
        <v>C26163</v>
      </c>
      <c r="H184" s="101">
        <v>1.0</v>
      </c>
      <c r="I184" s="90"/>
      <c r="J184" s="102"/>
      <c r="K184" s="103"/>
      <c r="L184" s="102" t="str">
        <f t="array" ref="L184">INDEX('MTA 28-09'!S:S,MATCH(B184,'MTA 28-09'!A:A,0))</f>
        <v>C-98</v>
      </c>
      <c r="M184" s="98" t="str">
        <f t="array" ref="M184">INDEX('MTA 28-09'!T:T,MATCH(B184,'MTA 28-09'!A:A,0))</f>
        <v>CNT 005/CELOG-PAMALS/2025 - VEE ONE</v>
      </c>
      <c r="N184" s="98" t="str">
        <f t="array" ref="N184">INDEX('MTA 28-09'!U:U,MATCH(B184,'MTA 28-09'!A:A,0))</f>
        <v>Hora de Voo 03/10 - 1000 HV</v>
      </c>
      <c r="O184" s="104">
        <f t="array" ref="O184">INDEX('MTA 28-09'!AC:AC,MATCH(B184,'MTA 28-09'!A:A,0))</f>
        <v>1770880.5</v>
      </c>
      <c r="P184" s="98" t="str">
        <f t="array" ref="P184">INDEX('MTA 28-09'!N:N,MATCH(B184,'MTA 28-09'!A:A,0))</f>
        <v>CELOG</v>
      </c>
      <c r="Q184" s="105" t="str">
        <f t="array" ref="Q184">INDEX('MTA 28-09'!Z:Z,MATCH(B184,'MTA 28-09'!A:A,0))</f>
        <v>339039</v>
      </c>
      <c r="R184" s="98" t="str">
        <f t="array" ref="R184">INDEX('MTA 28-09'!L:L,MATCH(B184,'MTA 28-09'!A:A,0))</f>
        <v>A</v>
      </c>
      <c r="S184" s="107" t="str">
        <f t="array" ref="S184">INDEX('MTA 28-09'!X:X,MATCH(B184,'MTA 28-09'!A:A,0))</f>
        <v>HORA DE VOO</v>
      </c>
      <c r="T184" s="107" t="str">
        <f t="array" ref="T184">INDEX('MTA 28-09'!W:W,MATCH(B184,'MTA 28-09'!A:A,0))</f>
        <v>Não</v>
      </c>
      <c r="U184" s="109">
        <f t="array" ref="U184">INDEX('MTA 28-09'!AE:AE,MATCH(B184,'MTA 28-09'!A:A,0))</f>
        <v>46168</v>
      </c>
      <c r="V184" s="29"/>
      <c r="W184" s="29"/>
      <c r="X184" s="29"/>
      <c r="Y184" s="29"/>
      <c r="Z184" s="29"/>
      <c r="AA184" s="29"/>
      <c r="AB184" s="29"/>
      <c r="AC184" s="29"/>
      <c r="AD184" s="29"/>
      <c r="AE184" s="29"/>
      <c r="AF184" s="29"/>
      <c r="AG184" s="29"/>
      <c r="AH184" s="29"/>
      <c r="AI184" s="29"/>
      <c r="AJ184" s="29"/>
      <c r="AK184" s="29"/>
      <c r="AL184" s="29"/>
      <c r="AM184" s="29"/>
    </row>
    <row r="185">
      <c r="A185" s="31" t="s">
        <v>49</v>
      </c>
      <c r="B185" s="32">
        <v>12760.0</v>
      </c>
      <c r="C185" s="33" t="str">
        <f t="array" ref="C185">INDEX('MTA 28-09'!B:B,MATCH(B185,'MTA 28-09'!A:A,0))</f>
        <v>SIM</v>
      </c>
      <c r="D185" s="34" t="str">
        <f t="array" ref="D185">INDEX('MTA 28-09'!D:D,MATCH(B185,'MTA 28-09'!A:A,0))</f>
        <v>20XV</v>
      </c>
      <c r="E185" s="32" t="str">
        <f t="array" ref="E185">INDEX('MTA 28-09'!F:F,MATCH(B185,'MTA 28-09'!A:A,0))</f>
        <v>ATENDIDO</v>
      </c>
      <c r="F185" s="155">
        <f t="array" ref="F185">INDEX('MTA 28-09'!I:I,MATCH(B185,'MTA 28-09'!A:A,0))</f>
        <v>46098</v>
      </c>
      <c r="G185" s="36" t="str">
        <f t="array" ref="G185">INDEX('MTA 28-09'!J:J,MATCH(B185,'MTA 28-09'!A:A,0))</f>
        <v>C26152</v>
      </c>
      <c r="H185" s="37" t="s">
        <v>154</v>
      </c>
      <c r="I185" s="38"/>
      <c r="J185" s="39"/>
      <c r="K185" s="40"/>
      <c r="L185" s="39" t="str">
        <f t="array" ref="L185">INDEX('MTA 28-09'!S:S,MATCH(B185,'MTA 28-09'!A:A,0))</f>
        <v>IU-93M</v>
      </c>
      <c r="M185" s="32" t="str">
        <f t="array" ref="M185">INDEX('MTA 28-09'!T:T,MATCH(B185,'MTA 28-09'!A:A,0))</f>
        <v>CNT 024/CELOG-PAMALS/2022 - VEE ONE</v>
      </c>
      <c r="N185" s="32" t="str">
        <f t="array" ref="N185">INDEX('MTA 28-09'!U:U,MATCH(B185,'MTA 28-09'!A:A,0))</f>
        <v>Hora de Voo 04/12 (100HV)</v>
      </c>
      <c r="O185" s="59">
        <f t="array" ref="O185">INDEX('MTA 28-09'!AC:AC,MATCH(B185,'MTA 28-09'!A:A,0))</f>
        <v>1892821</v>
      </c>
      <c r="P185" s="32" t="str">
        <f t="array" ref="P185">INDEX('MTA 28-09'!N:N,MATCH(B185,'MTA 28-09'!A:A,0))</f>
        <v>CELOG</v>
      </c>
      <c r="Q185" s="67" t="str">
        <f t="array" ref="Q185">INDEX('MTA 28-09'!Z:Z,MATCH(B185,'MTA 28-09'!A:A,0))</f>
        <v>339039</v>
      </c>
      <c r="R185" s="32" t="str">
        <f t="array" ref="R185">INDEX('MTA 28-09'!L:L,MATCH(B185,'MTA 28-09'!A:A,0))</f>
        <v>A</v>
      </c>
      <c r="S185" s="72" t="str">
        <f t="array" ref="S185">INDEX('MTA 28-09'!X:X,MATCH(B185,'MTA 28-09'!A:A,0))</f>
        <v>HORA DE VOO</v>
      </c>
      <c r="T185" s="72" t="str">
        <f t="array" ref="T185">INDEX('MTA 28-09'!W:W,MATCH(B185,'MTA 28-09'!A:A,0))</f>
        <v>Não</v>
      </c>
      <c r="U185" s="81">
        <f t="array" ref="U185">INDEX('MTA 28-09'!AE:AE,MATCH(B185,'MTA 28-09'!A:A,0))</f>
        <v>46199</v>
      </c>
      <c r="V185" s="12"/>
      <c r="W185" s="12"/>
      <c r="X185" s="12"/>
      <c r="Y185" s="12"/>
      <c r="Z185" s="12"/>
      <c r="AA185" s="12"/>
      <c r="AB185" s="12"/>
      <c r="AC185" s="12"/>
      <c r="AD185" s="12"/>
      <c r="AE185" s="12"/>
      <c r="AF185" s="12"/>
      <c r="AG185" s="12"/>
      <c r="AH185" s="12"/>
      <c r="AI185" s="12"/>
      <c r="AJ185" s="12"/>
      <c r="AK185" s="12"/>
      <c r="AL185" s="12"/>
      <c r="AM185" s="12"/>
    </row>
    <row r="186">
      <c r="A186" s="88" t="s">
        <v>46</v>
      </c>
      <c r="B186" s="98">
        <v>12780.0</v>
      </c>
      <c r="C186" s="92" t="str">
        <f t="array" ref="C186">INDEX('MTA 28-09'!B:B,MATCH(B186,'MTA 28-09'!A:A,0))</f>
        <v>SIM</v>
      </c>
      <c r="D186" s="95">
        <f t="array" ref="D186">INDEX('MTA 28-09'!D:D,MATCH(B186,'MTA 28-09'!A:A,0))</f>
        <v>2048</v>
      </c>
      <c r="E186" s="98" t="str">
        <f t="array" ref="E186">INDEX('MTA 28-09'!F:F,MATCH(B186,'MTA 28-09'!A:A,0))</f>
        <v/>
      </c>
      <c r="F186" s="152" t="str">
        <f t="array" ref="F186">INDEX('MTA 28-09'!I:I,MATCH(B186,'MTA 28-09'!A:A,0))</f>
        <v/>
      </c>
      <c r="G186" s="100" t="str">
        <f t="array" ref="G186">INDEX('MTA 28-09'!J:J,MATCH(B186,'MTA 28-09'!A:A,0))</f>
        <v/>
      </c>
      <c r="H186" s="159" t="s">
        <v>157</v>
      </c>
      <c r="I186" s="296"/>
      <c r="J186" s="102"/>
      <c r="K186" s="103"/>
      <c r="L186" s="102" t="str">
        <f t="array" ref="L186">INDEX('MTA 28-09'!S:S,MATCH(B186,'MTA 28-09'!A:A,0))</f>
        <v>T-27</v>
      </c>
      <c r="M186" s="98" t="str">
        <f t="array" ref="M186">INDEX('MTA 28-09'!T:T,MATCH(B186,'MTA 28-09'!A:A,0))</f>
        <v>Requisição CABW</v>
      </c>
      <c r="N186" s="98" t="str">
        <f t="array" ref="N186">INDEX('MTA 28-09'!U:U,MATCH(B186,'MTA 28-09'!A:A,0))</f>
        <v>Material acessórios PT6A-25C (2/3)</v>
      </c>
      <c r="O186" s="104" t="str">
        <f t="array" ref="O186">INDEX('MTA 28-09'!AC:AC,MATCH(B186,'MTA 28-09'!A:A,0))</f>
        <v> -</v>
      </c>
      <c r="P186" s="98" t="str">
        <f t="array" ref="P186">INDEX('MTA 28-09'!N:N,MATCH(B186,'MTA 28-09'!A:A,0))</f>
        <v>CABW</v>
      </c>
      <c r="Q186" s="105" t="str">
        <f t="array" ref="Q186">INDEX('MTA 28-09'!Z:Z,MATCH(B186,'MTA 28-09'!A:A,0))</f>
        <v>339030</v>
      </c>
      <c r="R186" s="98" t="str">
        <f t="array" ref="R186">INDEX('MTA 28-09'!L:L,MATCH(B186,'MTA 28-09'!A:A,0))</f>
        <v>A</v>
      </c>
      <c r="S186" s="107" t="str">
        <f t="array" ref="S186">INDEX('MTA 28-09'!X:X,MATCH(B186,'MTA 28-09'!A:A,0))</f>
        <v>REQUISIÇÃO</v>
      </c>
      <c r="T186" s="107" t="str">
        <f t="array" ref="T186">INDEX('MTA 28-09'!W:W,MATCH(B186,'MTA 28-09'!A:A,0))</f>
        <v>SIM</v>
      </c>
      <c r="U186" s="109">
        <f t="array" ref="U186">INDEX('MTA 28-09'!AE:AE,MATCH(B186,'MTA 28-09'!A:A,0))</f>
        <v>46199</v>
      </c>
      <c r="V186" s="29"/>
      <c r="W186" s="29"/>
      <c r="X186" s="29"/>
      <c r="Y186" s="29"/>
      <c r="Z186" s="29"/>
      <c r="AA186" s="29"/>
      <c r="AB186" s="29"/>
      <c r="AC186" s="29"/>
      <c r="AD186" s="29"/>
      <c r="AE186" s="29"/>
      <c r="AF186" s="29"/>
      <c r="AG186" s="29"/>
      <c r="AH186" s="29"/>
      <c r="AI186" s="29"/>
      <c r="AJ186" s="29"/>
      <c r="AK186" s="29"/>
      <c r="AL186" s="29"/>
      <c r="AM186" s="29"/>
    </row>
    <row r="187">
      <c r="A187" s="31" t="s">
        <v>46</v>
      </c>
      <c r="B187" s="32">
        <v>12800.0</v>
      </c>
      <c r="C187" s="33" t="str">
        <f t="array" ref="C187">INDEX('MTA 28-09'!B:B,MATCH(B187,'MTA 28-09'!A:A,0))</f>
        <v>SIM</v>
      </c>
      <c r="D187" s="34">
        <f t="array" ref="D187">INDEX('MTA 28-09'!D:D,MATCH(B187,'MTA 28-09'!A:A,0))</f>
        <v>2048</v>
      </c>
      <c r="E187" s="32" t="str">
        <f t="array" ref="E187">INDEX('MTA 28-09'!F:F,MATCH(B187,'MTA 28-09'!A:A,0))</f>
        <v>CANCELADO</v>
      </c>
      <c r="F187" s="155" t="str">
        <f t="array" ref="F187">INDEX('MTA 28-09'!I:I,MATCH(B187,'MTA 28-09'!A:A,0))</f>
        <v/>
      </c>
      <c r="G187" s="36" t="str">
        <f t="array" ref="G187">INDEX('MTA 28-09'!J:J,MATCH(B187,'MTA 28-09'!A:A,0))</f>
        <v/>
      </c>
      <c r="H187" s="287" t="s">
        <v>157</v>
      </c>
      <c r="I187" s="295"/>
      <c r="J187" s="39"/>
      <c r="K187" s="40"/>
      <c r="L187" s="39" t="str">
        <f t="array" ref="L187">INDEX('MTA 28-09'!S:S,MATCH(B187,'MTA 28-09'!A:A,0))</f>
        <v>T-27</v>
      </c>
      <c r="M187" s="32" t="str">
        <f t="array" ref="M187">INDEX('MTA 28-09'!T:T,MATCH(B187,'MTA 28-09'!A:A,0))</f>
        <v>REQUISIÇÃO SERVIÇO</v>
      </c>
      <c r="N187" s="32" t="str">
        <f t="array" ref="N187">INDEX('MTA 28-09'!U:U,MATCH(B187,'MTA 28-09'!A:A,0))</f>
        <v>RG Fuel Control Unit 2 EA (3/4)</v>
      </c>
      <c r="O187" s="59" t="str">
        <f t="array" ref="O187">INDEX('MTA 28-09'!AC:AC,MATCH(B187,'MTA 28-09'!A:A,0))</f>
        <v> -</v>
      </c>
      <c r="P187" s="32" t="str">
        <f t="array" ref="P187">INDEX('MTA 28-09'!N:N,MATCH(B187,'MTA 28-09'!A:A,0))</f>
        <v>CABW</v>
      </c>
      <c r="Q187" s="67" t="str">
        <f t="array" ref="Q187">INDEX('MTA 28-09'!Z:Z,MATCH(B187,'MTA 28-09'!A:A,0))</f>
        <v>339039</v>
      </c>
      <c r="R187" s="32" t="str">
        <f t="array" ref="R187">INDEX('MTA 28-09'!L:L,MATCH(B187,'MTA 28-09'!A:A,0))</f>
        <v>A</v>
      </c>
      <c r="S187" s="72" t="str">
        <f t="array" ref="S187">INDEX('MTA 28-09'!X:X,MATCH(B187,'MTA 28-09'!A:A,0))</f>
        <v>REQUISIÇÃO</v>
      </c>
      <c r="T187" s="72" t="str">
        <f t="array" ref="T187">INDEX('MTA 28-09'!W:W,MATCH(B187,'MTA 28-09'!A:A,0))</f>
        <v>SIM</v>
      </c>
      <c r="U187" s="81">
        <f t="array" ref="U187">INDEX('MTA 28-09'!AE:AE,MATCH(B187,'MTA 28-09'!A:A,0))</f>
        <v>46230</v>
      </c>
      <c r="V187" s="12"/>
      <c r="W187" s="12"/>
      <c r="X187" s="12"/>
      <c r="Y187" s="12"/>
      <c r="Z187" s="12"/>
      <c r="AA187" s="12"/>
      <c r="AB187" s="12"/>
      <c r="AC187" s="12"/>
      <c r="AD187" s="12"/>
      <c r="AE187" s="12"/>
      <c r="AF187" s="12"/>
      <c r="AG187" s="12"/>
      <c r="AH187" s="12"/>
      <c r="AI187" s="12"/>
      <c r="AJ187" s="12"/>
      <c r="AK187" s="12"/>
      <c r="AL187" s="12"/>
      <c r="AM187" s="12"/>
    </row>
    <row r="188">
      <c r="A188" s="88" t="s">
        <v>39</v>
      </c>
      <c r="B188" s="98">
        <v>12820.0</v>
      </c>
      <c r="C188" s="92" t="str">
        <f t="array" ref="C188">INDEX('MTA 28-09'!B:B,MATCH(B188,'MTA 28-09'!A:A,0))</f>
        <v>SIM</v>
      </c>
      <c r="D188" s="95" t="str">
        <f t="array" ref="D188">INDEX('MTA 28-09'!D:D,MATCH(B188,'MTA 28-09'!A:A,0))</f>
        <v>20XV</v>
      </c>
      <c r="E188" s="98" t="str">
        <f t="array" ref="E188">INDEX('MTA 28-09'!F:F,MATCH(B188,'MTA 28-09'!A:A,0))</f>
        <v>ATENDIDO</v>
      </c>
      <c r="F188" s="152">
        <f t="array" ref="F188">INDEX('MTA 28-09'!I:I,MATCH(B188,'MTA 28-09'!A:A,0))</f>
        <v>46176</v>
      </c>
      <c r="G188" s="100" t="str">
        <f t="array" ref="G188">INDEX('MTA 28-09'!J:J,MATCH(B188,'MTA 28-09'!A:A,0))</f>
        <v>C26288</v>
      </c>
      <c r="H188" s="159" t="s">
        <v>157</v>
      </c>
      <c r="I188" s="296"/>
      <c r="J188" s="102"/>
      <c r="K188" s="103"/>
      <c r="L188" s="102" t="str">
        <f t="array" ref="L188">INDEX('MTA 28-09'!S:S,MATCH(B188,'MTA 28-09'!A:A,0))</f>
        <v>A-29</v>
      </c>
      <c r="M188" s="98" t="str">
        <f t="array" ref="M188">INDEX('MTA 28-09'!T:T,MATCH(B188,'MTA 28-09'!A:A,0))</f>
        <v>CTT 004/CELOG-PAMASP/2025 - PW - AQ. PEÇAS</v>
      </c>
      <c r="N188" s="98" t="str">
        <f t="array" ref="N188">INDEX('MTA 28-09'!U:U,MATCH(B188,'MTA 28-09'!A:A,0))</f>
        <v>Material para PT6A-68C 2/3</v>
      </c>
      <c r="O188" s="104">
        <f t="array" ref="O188">INDEX('MTA 28-09'!AC:AC,MATCH(B188,'MTA 28-09'!A:A,0))</f>
        <v>3000000</v>
      </c>
      <c r="P188" s="98" t="str">
        <f t="array" ref="P188">INDEX('MTA 28-09'!N:N,MATCH(B188,'MTA 28-09'!A:A,0))</f>
        <v>CELOG</v>
      </c>
      <c r="Q188" s="105" t="str">
        <f t="array" ref="Q188">INDEX('MTA 28-09'!Z:Z,MATCH(B188,'MTA 28-09'!A:A,0))</f>
        <v>339030</v>
      </c>
      <c r="R188" s="98" t="str">
        <f t="array" ref="R188">INDEX('MTA 28-09'!L:L,MATCH(B188,'MTA 28-09'!A:A,0))</f>
        <v>A</v>
      </c>
      <c r="S188" s="107" t="str">
        <f t="array" ref="S188">INDEX('MTA 28-09'!X:X,MATCH(B188,'MTA 28-09'!A:A,0))</f>
        <v>SOB DEMANDA</v>
      </c>
      <c r="T188" s="107" t="str">
        <f t="array" ref="T188">INDEX('MTA 28-09'!W:W,MATCH(B188,'MTA 28-09'!A:A,0))</f>
        <v>SIM</v>
      </c>
      <c r="U188" s="109">
        <f t="array" ref="U188">INDEX('MTA 28-09'!AE:AE,MATCH(B188,'MTA 28-09'!A:A,0))</f>
        <v>46168</v>
      </c>
      <c r="V188" s="29"/>
      <c r="W188" s="29"/>
      <c r="X188" s="29"/>
      <c r="Y188" s="29"/>
      <c r="Z188" s="29"/>
      <c r="AA188" s="29"/>
      <c r="AB188" s="29"/>
      <c r="AC188" s="29"/>
      <c r="AD188" s="29"/>
      <c r="AE188" s="29"/>
      <c r="AF188" s="29"/>
      <c r="AG188" s="29"/>
      <c r="AH188" s="29"/>
      <c r="AI188" s="29"/>
      <c r="AJ188" s="29"/>
      <c r="AK188" s="29"/>
      <c r="AL188" s="29"/>
      <c r="AM188" s="29"/>
    </row>
    <row r="189">
      <c r="A189" s="31" t="s">
        <v>39</v>
      </c>
      <c r="B189" s="32">
        <v>12840.0</v>
      </c>
      <c r="C189" s="33" t="str">
        <f t="array" ref="C189">INDEX('MTA 28-09'!B:B,MATCH(B189,'MTA 28-09'!A:A,0))</f>
        <v>SIM</v>
      </c>
      <c r="D189" s="34">
        <f t="array" ref="D189">INDEX('MTA 28-09'!D:D,MATCH(B189,'MTA 28-09'!A:A,0))</f>
        <v>2048</v>
      </c>
      <c r="E189" s="32" t="str">
        <f t="array" ref="E189">INDEX('MTA 28-09'!F:F,MATCH(B189,'MTA 28-09'!A:A,0))</f>
        <v>ATENDIDO</v>
      </c>
      <c r="F189" s="155">
        <f t="array" ref="F189">INDEX('MTA 28-09'!I:I,MATCH(B189,'MTA 28-09'!A:A,0))</f>
        <v>46205</v>
      </c>
      <c r="G189" s="36" t="str">
        <f t="array" ref="G189">INDEX('MTA 28-09'!J:J,MATCH(B189,'MTA 28-09'!A:A,0))</f>
        <v>C26138</v>
      </c>
      <c r="H189" s="37" t="s">
        <v>1562</v>
      </c>
      <c r="I189" s="38"/>
      <c r="J189" s="39"/>
      <c r="K189" s="40"/>
      <c r="L189" s="39" t="str">
        <f t="array" ref="L189">INDEX('MTA 28-09'!S:S,MATCH(B189,'MTA 28-09'!A:A,0))</f>
        <v>A-29</v>
      </c>
      <c r="M189" s="32" t="str">
        <f t="array" ref="M189">INDEX('MTA 28-09'!T:T,MATCH(B189,'MTA 28-09'!A:A,0))</f>
        <v>Requisição CABW</v>
      </c>
      <c r="N189" s="32" t="str">
        <f t="array" ref="N189">INDEX('MTA 28-09'!U:U,MATCH(B189,'MTA 28-09'!A:A,0))</f>
        <v>Transparências 1/5</v>
      </c>
      <c r="O189" s="59">
        <f t="array" ref="O189">INDEX('MTA 28-09'!AC:AC,MATCH(B189,'MTA 28-09'!A:A,0))</f>
        <v>1632315.77</v>
      </c>
      <c r="P189" s="32" t="str">
        <f t="array" ref="P189">INDEX('MTA 28-09'!N:N,MATCH(B189,'MTA 28-09'!A:A,0))</f>
        <v>CABW</v>
      </c>
      <c r="Q189" s="67" t="str">
        <f t="array" ref="Q189">INDEX('MTA 28-09'!Z:Z,MATCH(B189,'MTA 28-09'!A:A,0))</f>
        <v>339030</v>
      </c>
      <c r="R189" s="32" t="str">
        <f t="array" ref="R189">INDEX('MTA 28-09'!L:L,MATCH(B189,'MTA 28-09'!A:A,0))</f>
        <v>A</v>
      </c>
      <c r="S189" s="72" t="str">
        <f t="array" ref="S189">INDEX('MTA 28-09'!X:X,MATCH(B189,'MTA 28-09'!A:A,0))</f>
        <v>REQUISIÇÃO</v>
      </c>
      <c r="T189" s="72" t="str">
        <f t="array" ref="T189">INDEX('MTA 28-09'!W:W,MATCH(B189,'MTA 28-09'!A:A,0))</f>
        <v>Não</v>
      </c>
      <c r="U189" s="81">
        <f t="array" ref="U189">INDEX('MTA 28-09'!AE:AE,MATCH(B189,'MTA 28-09'!A:A,0))</f>
        <v>46382</v>
      </c>
      <c r="V189" s="12"/>
      <c r="W189" s="12"/>
      <c r="X189" s="12"/>
      <c r="Y189" s="12"/>
      <c r="Z189" s="12"/>
      <c r="AA189" s="12"/>
      <c r="AB189" s="12"/>
      <c r="AC189" s="12"/>
      <c r="AD189" s="12"/>
      <c r="AE189" s="12"/>
      <c r="AF189" s="12"/>
      <c r="AG189" s="12"/>
      <c r="AH189" s="12"/>
      <c r="AI189" s="12"/>
      <c r="AJ189" s="12"/>
      <c r="AK189" s="12"/>
      <c r="AL189" s="12"/>
      <c r="AM189" s="12"/>
    </row>
    <row r="190">
      <c r="A190" s="88" t="s">
        <v>39</v>
      </c>
      <c r="B190" s="98">
        <v>12860.0</v>
      </c>
      <c r="C190" s="92" t="str">
        <f t="array" ref="C190">INDEX('MTA 28-09'!B:B,MATCH(B190,'MTA 28-09'!A:A,0))</f>
        <v>SIM</v>
      </c>
      <c r="D190" s="95">
        <f t="array" ref="D190">INDEX('MTA 28-09'!D:D,MATCH(B190,'MTA 28-09'!A:A,0))</f>
        <v>2048</v>
      </c>
      <c r="E190" s="98" t="str">
        <f t="array" ref="E190">INDEX('MTA 28-09'!F:F,MATCH(B190,'MTA 28-09'!A:A,0))</f>
        <v>ATENDIDO</v>
      </c>
      <c r="F190" s="99">
        <f t="array" ref="F190">INDEX('MTA 28-09'!I:I,MATCH(B190,'MTA 28-09'!A:A,0))</f>
        <v>46205</v>
      </c>
      <c r="G190" s="100" t="str">
        <f t="array" ref="G190">INDEX('MTA 28-09'!J:J,MATCH(B190,'MTA 28-09'!A:A,0))</f>
        <v>C26138</v>
      </c>
      <c r="H190" s="101" t="s">
        <v>1562</v>
      </c>
      <c r="I190" s="90"/>
      <c r="J190" s="102"/>
      <c r="K190" s="103"/>
      <c r="L190" s="102" t="str">
        <f t="array" ref="L190">INDEX('MTA 28-09'!S:S,MATCH(B190,'MTA 28-09'!A:A,0))</f>
        <v>A-29</v>
      </c>
      <c r="M190" s="98" t="str">
        <f t="array" ref="M190">INDEX('MTA 28-09'!T:T,MATCH(B190,'MTA 28-09'!A:A,0))</f>
        <v>Requisição CABW</v>
      </c>
      <c r="N190" s="98" t="str">
        <f t="array" ref="N190">INDEX('MTA 28-09'!U:U,MATCH(B190,'MTA 28-09'!A:A,0))</f>
        <v>Transparências 2/5</v>
      </c>
      <c r="O190" s="104">
        <f t="array" ref="O190">INDEX('MTA 28-09'!AC:AC,MATCH(B190,'MTA 28-09'!A:A,0))</f>
        <v>1632315.41</v>
      </c>
      <c r="P190" s="98" t="str">
        <f t="array" ref="P190">INDEX('MTA 28-09'!N:N,MATCH(B190,'MTA 28-09'!A:A,0))</f>
        <v>CABW</v>
      </c>
      <c r="Q190" s="105" t="str">
        <f t="array" ref="Q190">INDEX('MTA 28-09'!Z:Z,MATCH(B190,'MTA 28-09'!A:A,0))</f>
        <v>339030</v>
      </c>
      <c r="R190" s="98" t="str">
        <f t="array" ref="R190">INDEX('MTA 28-09'!L:L,MATCH(B190,'MTA 28-09'!A:A,0))</f>
        <v>A</v>
      </c>
      <c r="S190" s="107" t="str">
        <f t="array" ref="S190">INDEX('MTA 28-09'!X:X,MATCH(B190,'MTA 28-09'!A:A,0))</f>
        <v>REQUISIÇÃO</v>
      </c>
      <c r="T190" s="107" t="str">
        <f t="array" ref="T190">INDEX('MTA 28-09'!W:W,MATCH(B190,'MTA 28-09'!A:A,0))</f>
        <v>Não</v>
      </c>
      <c r="U190" s="109">
        <f t="array" ref="U190">INDEX('MTA 28-09'!AE:AE,MATCH(B190,'MTA 28-09'!A:A,0))</f>
        <v>46382</v>
      </c>
      <c r="V190" s="29"/>
      <c r="W190" s="29"/>
      <c r="X190" s="29"/>
      <c r="Y190" s="29"/>
      <c r="Z190" s="29"/>
      <c r="AA190" s="29"/>
      <c r="AB190" s="29"/>
      <c r="AC190" s="29"/>
      <c r="AD190" s="29"/>
      <c r="AE190" s="29"/>
      <c r="AF190" s="29"/>
      <c r="AG190" s="29"/>
      <c r="AH190" s="29"/>
      <c r="AI190" s="29"/>
      <c r="AJ190" s="29"/>
      <c r="AK190" s="29"/>
      <c r="AL190" s="29"/>
      <c r="AM190" s="29"/>
    </row>
    <row r="191">
      <c r="A191" s="31" t="s">
        <v>39</v>
      </c>
      <c r="B191" s="32">
        <v>12880.0</v>
      </c>
      <c r="C191" s="33" t="str">
        <f t="array" ref="C191">INDEX('MTA 28-09'!B:B,MATCH(B191,'MTA 28-09'!A:A,0))</f>
        <v>SIM</v>
      </c>
      <c r="D191" s="34">
        <f t="array" ref="D191">INDEX('MTA 28-09'!D:D,MATCH(B191,'MTA 28-09'!A:A,0))</f>
        <v>2048</v>
      </c>
      <c r="E191" s="32" t="str">
        <f t="array" ref="E191">INDEX('MTA 28-09'!F:F,MATCH(B191,'MTA 28-09'!A:A,0))</f>
        <v>ATENDIDO</v>
      </c>
      <c r="F191" s="155">
        <f t="array" ref="F191">INDEX('MTA 28-09'!I:I,MATCH(B191,'MTA 28-09'!A:A,0))</f>
        <v>46268</v>
      </c>
      <c r="G191" s="36" t="str">
        <f t="array" ref="G191">INDEX('MTA 28-09'!J:J,MATCH(B191,'MTA 28-09'!A:A,0))</f>
        <v>C26138</v>
      </c>
      <c r="H191" s="287">
        <v>46276.0</v>
      </c>
      <c r="I191" s="38"/>
      <c r="J191" s="39"/>
      <c r="K191" s="40"/>
      <c r="L191" s="39" t="str">
        <f t="array" ref="L191">INDEX('MTA 28-09'!S:S,MATCH(B191,'MTA 28-09'!A:A,0))</f>
        <v>A-29</v>
      </c>
      <c r="M191" s="32" t="str">
        <f t="array" ref="M191">INDEX('MTA 28-09'!T:T,MATCH(B191,'MTA 28-09'!A:A,0))</f>
        <v>Requisição CABW</v>
      </c>
      <c r="N191" s="32" t="str">
        <f t="array" ref="N191">INDEX('MTA 28-09'!U:U,MATCH(B191,'MTA 28-09'!A:A,0))</f>
        <v>Transparências 3/5</v>
      </c>
      <c r="O191" s="59">
        <f t="array" ref="O191">INDEX('MTA 28-09'!AC:AC,MATCH(B191,'MTA 28-09'!A:A,0))</f>
        <v>1800000</v>
      </c>
      <c r="P191" s="32" t="str">
        <f t="array" ref="P191">INDEX('MTA 28-09'!N:N,MATCH(B191,'MTA 28-09'!A:A,0))</f>
        <v>CABW</v>
      </c>
      <c r="Q191" s="67" t="str">
        <f t="array" ref="Q191">INDEX('MTA 28-09'!Z:Z,MATCH(B191,'MTA 28-09'!A:A,0))</f>
        <v>339030</v>
      </c>
      <c r="R191" s="32" t="str">
        <f t="array" ref="R191">INDEX('MTA 28-09'!L:L,MATCH(B191,'MTA 28-09'!A:A,0))</f>
        <v>A</v>
      </c>
      <c r="S191" s="72" t="str">
        <f t="array" ref="S191">INDEX('MTA 28-09'!X:X,MATCH(B191,'MTA 28-09'!A:A,0))</f>
        <v>REQUISIÇÃO</v>
      </c>
      <c r="T191" s="72" t="str">
        <f t="array" ref="T191">INDEX('MTA 28-09'!W:W,MATCH(B191,'MTA 28-09'!A:A,0))</f>
        <v>Não</v>
      </c>
      <c r="U191" s="81">
        <f t="array" ref="U191">INDEX('MTA 28-09'!AE:AE,MATCH(B191,'MTA 28-09'!A:A,0))</f>
        <v>46382</v>
      </c>
      <c r="V191" s="12"/>
      <c r="W191" s="12"/>
      <c r="X191" s="12"/>
      <c r="Y191" s="12"/>
      <c r="Z191" s="12"/>
      <c r="AA191" s="12"/>
      <c r="AB191" s="12"/>
      <c r="AC191" s="12"/>
      <c r="AD191" s="12"/>
      <c r="AE191" s="12"/>
      <c r="AF191" s="12"/>
      <c r="AG191" s="12"/>
      <c r="AH191" s="12"/>
      <c r="AI191" s="12"/>
      <c r="AJ191" s="12"/>
      <c r="AK191" s="12"/>
      <c r="AL191" s="12"/>
      <c r="AM191" s="12"/>
    </row>
    <row r="192">
      <c r="A192" s="88" t="s">
        <v>39</v>
      </c>
      <c r="B192" s="98">
        <v>12900.0</v>
      </c>
      <c r="C192" s="92" t="str">
        <f t="array" ref="C192">INDEX('MTA 28-09'!B:B,MATCH(B192,'MTA 28-09'!A:A,0))</f>
        <v>SIM</v>
      </c>
      <c r="D192" s="95">
        <f t="array" ref="D192">INDEX('MTA 28-09'!D:D,MATCH(B192,'MTA 28-09'!A:A,0))</f>
        <v>2048</v>
      </c>
      <c r="E192" s="98" t="str">
        <f t="array" ref="E192">INDEX('MTA 28-09'!F:F,MATCH(B192,'MTA 28-09'!A:A,0))</f>
        <v>ATENDIDO</v>
      </c>
      <c r="F192" s="99">
        <f t="array" ref="F192">INDEX('MTA 28-09'!I:I,MATCH(B192,'MTA 28-09'!A:A,0))</f>
        <v>46282</v>
      </c>
      <c r="G192" s="100" t="str">
        <f t="array" ref="G192">INDEX('MTA 28-09'!J:J,MATCH(B192,'MTA 28-09'!A:A,0))</f>
        <v>C26138</v>
      </c>
      <c r="H192" s="159">
        <v>46276.0</v>
      </c>
      <c r="I192" s="90" t="s">
        <v>293</v>
      </c>
      <c r="J192" s="102"/>
      <c r="K192" s="103"/>
      <c r="L192" s="102" t="str">
        <f t="array" ref="L192">INDEX('MTA 28-09'!S:S,MATCH(B192,'MTA 28-09'!A:A,0))</f>
        <v>A-29</v>
      </c>
      <c r="M192" s="98" t="str">
        <f t="array" ref="M192">INDEX('MTA 28-09'!T:T,MATCH(B192,'MTA 28-09'!A:A,0))</f>
        <v>Requisição CABW</v>
      </c>
      <c r="N192" s="98" t="str">
        <f t="array" ref="N192">INDEX('MTA 28-09'!U:U,MATCH(B192,'MTA 28-09'!A:A,0))</f>
        <v>Transparências 4/5</v>
      </c>
      <c r="O192" s="104">
        <f t="array" ref="O192">INDEX('MTA 28-09'!AC:AC,MATCH(B192,'MTA 28-09'!A:A,0))</f>
        <v>1032850.8</v>
      </c>
      <c r="P192" s="98" t="str">
        <f t="array" ref="P192">INDEX('MTA 28-09'!N:N,MATCH(B192,'MTA 28-09'!A:A,0))</f>
        <v>CABW</v>
      </c>
      <c r="Q192" s="105" t="str">
        <f t="array" ref="Q192">INDEX('MTA 28-09'!Z:Z,MATCH(B192,'MTA 28-09'!A:A,0))</f>
        <v>339030</v>
      </c>
      <c r="R192" s="98" t="str">
        <f t="array" ref="R192">INDEX('MTA 28-09'!L:L,MATCH(B192,'MTA 28-09'!A:A,0))</f>
        <v>A</v>
      </c>
      <c r="S192" s="107" t="str">
        <f t="array" ref="S192">INDEX('MTA 28-09'!X:X,MATCH(B192,'MTA 28-09'!A:A,0))</f>
        <v>REQUISIÇÃO</v>
      </c>
      <c r="T192" s="107" t="str">
        <f t="array" ref="T192">INDEX('MTA 28-09'!W:W,MATCH(B192,'MTA 28-09'!A:A,0))</f>
        <v>Não</v>
      </c>
      <c r="U192" s="109">
        <f t="array" ref="U192">INDEX('MTA 28-09'!AE:AE,MATCH(B192,'MTA 28-09'!A:A,0))</f>
        <v>46382</v>
      </c>
      <c r="V192" s="29"/>
      <c r="W192" s="29"/>
      <c r="X192" s="29"/>
      <c r="Y192" s="29"/>
      <c r="Z192" s="29"/>
      <c r="AA192" s="29"/>
      <c r="AB192" s="29"/>
      <c r="AC192" s="29"/>
      <c r="AD192" s="29"/>
      <c r="AE192" s="29"/>
      <c r="AF192" s="29"/>
      <c r="AG192" s="29"/>
      <c r="AH192" s="29"/>
      <c r="AI192" s="29"/>
      <c r="AJ192" s="29"/>
      <c r="AK192" s="29"/>
      <c r="AL192" s="29"/>
      <c r="AM192" s="29"/>
    </row>
    <row r="193">
      <c r="A193" s="31" t="s">
        <v>39</v>
      </c>
      <c r="B193" s="32">
        <v>12920.0</v>
      </c>
      <c r="C193" s="33" t="str">
        <f t="array" ref="C193">INDEX('MTA 28-09'!B:B,MATCH(B193,'MTA 28-09'!A:A,0))</f>
        <v>SIM</v>
      </c>
      <c r="D193" s="34">
        <f t="array" ref="D193">INDEX('MTA 28-09'!D:D,MATCH(B193,'MTA 28-09'!A:A,0))</f>
        <v>2048</v>
      </c>
      <c r="E193" s="32" t="str">
        <f t="array" ref="E193">INDEX('MTA 28-09'!F:F,MATCH(B193,'MTA 28-09'!A:A,0))</f>
        <v>ATENDIDO</v>
      </c>
      <c r="F193" s="35">
        <f t="array" ref="F193">INDEX('MTA 28-09'!I:I,MATCH(B193,'MTA 28-09'!A:A,0))</f>
        <v>46205</v>
      </c>
      <c r="G193" s="36" t="str">
        <f t="array" ref="G193">INDEX('MTA 28-09'!J:J,MATCH(B193,'MTA 28-09'!A:A,0))</f>
        <v>C26138</v>
      </c>
      <c r="H193" s="37" t="s">
        <v>1562</v>
      </c>
      <c r="I193" s="38"/>
      <c r="J193" s="39"/>
      <c r="K193" s="40"/>
      <c r="L193" s="39" t="str">
        <f t="array" ref="L193">INDEX('MTA 28-09'!S:S,MATCH(B193,'MTA 28-09'!A:A,0))</f>
        <v>A-29</v>
      </c>
      <c r="M193" s="32" t="str">
        <f t="array" ref="M193">INDEX('MTA 28-09'!T:T,MATCH(B193,'MTA 28-09'!A:A,0))</f>
        <v>Requisição CABW</v>
      </c>
      <c r="N193" s="32" t="str">
        <f t="array" ref="N193">INDEX('MTA 28-09'!U:U,MATCH(B193,'MTA 28-09'!A:A,0))</f>
        <v>Transparências 5/5</v>
      </c>
      <c r="O193" s="59">
        <f t="array" ref="O193">INDEX('MTA 28-09'!AC:AC,MATCH(B193,'MTA 28-09'!A:A,0))</f>
        <v>1212241.63</v>
      </c>
      <c r="P193" s="32" t="str">
        <f t="array" ref="P193">INDEX('MTA 28-09'!N:N,MATCH(B193,'MTA 28-09'!A:A,0))</f>
        <v>CABW</v>
      </c>
      <c r="Q193" s="67" t="str">
        <f t="array" ref="Q193">INDEX('MTA 28-09'!Z:Z,MATCH(B193,'MTA 28-09'!A:A,0))</f>
        <v>339030</v>
      </c>
      <c r="R193" s="32" t="str">
        <f t="array" ref="R193">INDEX('MTA 28-09'!L:L,MATCH(B193,'MTA 28-09'!A:A,0))</f>
        <v>A</v>
      </c>
      <c r="S193" s="72" t="str">
        <f t="array" ref="S193">INDEX('MTA 28-09'!X:X,MATCH(B193,'MTA 28-09'!A:A,0))</f>
        <v>REQUISIÇÃO</v>
      </c>
      <c r="T193" s="72" t="str">
        <f t="array" ref="T193">INDEX('MTA 28-09'!W:W,MATCH(B193,'MTA 28-09'!A:A,0))</f>
        <v>Não</v>
      </c>
      <c r="U193" s="81">
        <f t="array" ref="U193">INDEX('MTA 28-09'!AE:AE,MATCH(B193,'MTA 28-09'!A:A,0))</f>
        <v>46382</v>
      </c>
      <c r="V193" s="12"/>
      <c r="W193" s="12"/>
      <c r="X193" s="12"/>
      <c r="Y193" s="12"/>
      <c r="Z193" s="12"/>
      <c r="AA193" s="12"/>
      <c r="AB193" s="12"/>
      <c r="AC193" s="12"/>
      <c r="AD193" s="12"/>
      <c r="AE193" s="12"/>
      <c r="AF193" s="12"/>
      <c r="AG193" s="12"/>
      <c r="AH193" s="12"/>
      <c r="AI193" s="12"/>
      <c r="AJ193" s="12"/>
      <c r="AK193" s="12"/>
      <c r="AL193" s="12"/>
      <c r="AM193" s="12"/>
    </row>
    <row r="194">
      <c r="A194" s="88" t="s">
        <v>39</v>
      </c>
      <c r="B194" s="90">
        <v>12921.0</v>
      </c>
      <c r="C194" s="92" t="str">
        <f t="array" ref="C194">INDEX('MTA 28-09'!B:B,MATCH(B194,'MTA 28-09'!A:A,0))</f>
        <v>SIM</v>
      </c>
      <c r="D194" s="95">
        <f t="array" ref="D194">INDEX('MTA 28-09'!D:D,MATCH(B194,'MTA 28-09'!A:A,0))</f>
        <v>2048</v>
      </c>
      <c r="E194" s="98" t="str">
        <f t="array" ref="E194">INDEX('MTA 28-09'!F:F,MATCH(B194,'MTA 28-09'!A:A,0))</f>
        <v>ATENDIDO</v>
      </c>
      <c r="F194" s="152">
        <f t="array" ref="F194">INDEX('MTA 28-09'!I:I,MATCH(B194,'MTA 28-09'!A:A,0))</f>
        <v>46265</v>
      </c>
      <c r="G194" s="100" t="str">
        <f t="array" ref="G194">INDEX('MTA 28-09'!J:J,MATCH(B194,'MTA 28-09'!A:A,0))</f>
        <v>C26138</v>
      </c>
      <c r="H194" s="159" t="s">
        <v>157</v>
      </c>
      <c r="I194" s="90"/>
      <c r="J194" s="102"/>
      <c r="K194" s="103"/>
      <c r="L194" s="102" t="str">
        <f t="array" ref="L194">INDEX('MTA 28-09'!S:S,MATCH(B194,'MTA 28-09'!A:A,0))</f>
        <v>A-29</v>
      </c>
      <c r="M194" s="98" t="str">
        <f t="array" ref="M194">INDEX('MTA 28-09'!T:T,MATCH(B194,'MTA 28-09'!A:A,0))</f>
        <v>Requisição CABW</v>
      </c>
      <c r="N194" s="98" t="str">
        <f t="array" ref="N194">INDEX('MTA 28-09'!U:U,MATCH(B194,'MTA 28-09'!A:A,0))</f>
        <v>Transparências 5/5</v>
      </c>
      <c r="O194" s="104">
        <f t="array" ref="O194">INDEX('MTA 28-09'!AC:AC,MATCH(B194,'MTA 28-09'!A:A,0))</f>
        <v>463228.01</v>
      </c>
      <c r="P194" s="98" t="str">
        <f t="array" ref="P194">INDEX('MTA 28-09'!N:N,MATCH(B194,'MTA 28-09'!A:A,0))</f>
        <v>CABW</v>
      </c>
      <c r="Q194" s="105" t="str">
        <f t="array" ref="Q194">INDEX('MTA 28-09'!Z:Z,MATCH(B194,'MTA 28-09'!A:A,0))</f>
        <v>339030</v>
      </c>
      <c r="R194" s="98" t="str">
        <f t="array" ref="R194">INDEX('MTA 28-09'!L:L,MATCH(B194,'MTA 28-09'!A:A,0))</f>
        <v>A</v>
      </c>
      <c r="S194" s="107" t="str">
        <f t="array" ref="S194">INDEX('MTA 28-09'!X:X,MATCH(B194,'MTA 28-09'!A:A,0))</f>
        <v>REQUISIÇÃO</v>
      </c>
      <c r="T194" s="107" t="str">
        <f t="array" ref="T194">INDEX('MTA 28-09'!W:W,MATCH(B194,'MTA 28-09'!A:A,0))</f>
        <v>Não</v>
      </c>
      <c r="U194" s="418" t="str">
        <f t="array" ref="U194">INDEX('MTA 28-09'!AE:AE,MATCH(B194,'MTA 28-09'!A:A,0))</f>
        <v>jan-00</v>
      </c>
      <c r="V194" s="29"/>
      <c r="W194" s="29"/>
      <c r="X194" s="29"/>
      <c r="Y194" s="29"/>
      <c r="Z194" s="29"/>
      <c r="AA194" s="29"/>
      <c r="AB194" s="29"/>
      <c r="AC194" s="29"/>
      <c r="AD194" s="29"/>
      <c r="AE194" s="29"/>
      <c r="AF194" s="29"/>
      <c r="AG194" s="29"/>
      <c r="AH194" s="29"/>
      <c r="AI194" s="29"/>
      <c r="AJ194" s="29"/>
      <c r="AK194" s="29"/>
      <c r="AL194" s="29"/>
      <c r="AM194" s="29"/>
    </row>
    <row r="195">
      <c r="A195" s="31" t="s">
        <v>39</v>
      </c>
      <c r="B195" s="32">
        <v>12940.0</v>
      </c>
      <c r="C195" s="33" t="str">
        <f t="array" ref="C195">INDEX('MTA 28-09'!B:B,MATCH(B195,'MTA 28-09'!A:A,0))</f>
        <v>SIM</v>
      </c>
      <c r="D195" s="34">
        <f t="array" ref="D195">INDEX('MTA 28-09'!D:D,MATCH(B195,'MTA 28-09'!A:A,0))</f>
        <v>2048</v>
      </c>
      <c r="E195" s="32" t="str">
        <f t="array" ref="E195">INDEX('MTA 28-09'!F:F,MATCH(B195,'MTA 28-09'!A:A,0))</f>
        <v>ATENDIDO</v>
      </c>
      <c r="F195" s="155">
        <f t="array" ref="F195">INDEX('MTA 28-09'!I:I,MATCH(B195,'MTA 28-09'!A:A,0))</f>
        <v>46255</v>
      </c>
      <c r="G195" s="36" t="str">
        <f t="array" ref="G195">INDEX('MTA 28-09'!J:J,MATCH(B195,'MTA 28-09'!A:A,0))</f>
        <v>C26205</v>
      </c>
      <c r="H195" s="287" t="s">
        <v>157</v>
      </c>
      <c r="I195" s="295"/>
      <c r="J195" s="39"/>
      <c r="K195" s="40"/>
      <c r="L195" s="39" t="str">
        <f t="array" ref="L195">INDEX('MTA 28-09'!S:S,MATCH(B195,'MTA 28-09'!A:A,0))</f>
        <v>A-29</v>
      </c>
      <c r="M195" s="32" t="str">
        <f t="array" ref="M195">INDEX('MTA 28-09'!T:T,MATCH(B195,'MTA 28-09'!A:A,0))</f>
        <v>CNT 060/CELOG-PAMASP/2023 - PW - HSI/REPARO</v>
      </c>
      <c r="N195" s="32" t="str">
        <f t="array" ref="N195">INDEX('MTA 28-09'!U:U,MATCH(B195,'MTA 28-09'!A:A,0))</f>
        <v>HSI PT6A-68C 2/4</v>
      </c>
      <c r="O195" s="59">
        <f t="array" ref="O195">INDEX('MTA 28-09'!AC:AC,MATCH(B195,'MTA 28-09'!A:A,0))</f>
        <v>1</v>
      </c>
      <c r="P195" s="32" t="str">
        <f t="array" ref="P195">INDEX('MTA 28-09'!N:N,MATCH(B195,'MTA 28-09'!A:A,0))</f>
        <v>CELOG</v>
      </c>
      <c r="Q195" s="67" t="str">
        <f t="array" ref="Q195">INDEX('MTA 28-09'!Z:Z,MATCH(B195,'MTA 28-09'!A:A,0))</f>
        <v>339039</v>
      </c>
      <c r="R195" s="32" t="str">
        <f t="array" ref="R195">INDEX('MTA 28-09'!L:L,MATCH(B195,'MTA 28-09'!A:A,0))</f>
        <v>A</v>
      </c>
      <c r="S195" s="72" t="str">
        <f t="array" ref="S195">INDEX('MTA 28-09'!X:X,MATCH(B195,'MTA 28-09'!A:A,0))</f>
        <v>SOB DEMANDA</v>
      </c>
      <c r="T195" s="72" t="str">
        <f t="array" ref="T195">INDEX('MTA 28-09'!W:W,MATCH(B195,'MTA 28-09'!A:A,0))</f>
        <v>SIM</v>
      </c>
      <c r="U195" s="81">
        <f t="array" ref="U195">INDEX('MTA 28-09'!AE:AE,MATCH(B195,'MTA 28-09'!A:A,0))</f>
        <v>46291</v>
      </c>
      <c r="V195" s="12"/>
      <c r="W195" s="12"/>
      <c r="X195" s="12"/>
      <c r="Y195" s="12"/>
      <c r="Z195" s="12"/>
      <c r="AA195" s="12"/>
      <c r="AB195" s="12"/>
      <c r="AC195" s="12"/>
      <c r="AD195" s="12"/>
      <c r="AE195" s="12"/>
      <c r="AF195" s="12"/>
      <c r="AG195" s="12"/>
      <c r="AH195" s="12"/>
      <c r="AI195" s="12"/>
      <c r="AJ195" s="12"/>
      <c r="AK195" s="12"/>
      <c r="AL195" s="12"/>
      <c r="AM195" s="12"/>
    </row>
    <row r="196">
      <c r="A196" s="88" t="s">
        <v>43</v>
      </c>
      <c r="B196" s="98">
        <v>12960.0</v>
      </c>
      <c r="C196" s="92" t="str">
        <f t="array" ref="C196">INDEX('MTA 28-09'!B:B,MATCH(B196,'MTA 28-09'!A:A,0))</f>
        <v>SIM</v>
      </c>
      <c r="D196" s="95" t="str">
        <f t="array" ref="D196">INDEX('MTA 28-09'!D:D,MATCH(B196,'MTA 28-09'!A:A,0))</f>
        <v>20XV</v>
      </c>
      <c r="E196" s="98" t="str">
        <f t="array" ref="E196">INDEX('MTA 28-09'!F:F,MATCH(B196,'MTA 28-09'!A:A,0))</f>
        <v>ATENDIDO</v>
      </c>
      <c r="F196" s="152">
        <f t="array" ref="F196">INDEX('MTA 28-09'!I:I,MATCH(B196,'MTA 28-09'!A:A,0))</f>
        <v>46083</v>
      </c>
      <c r="G196" s="100" t="str">
        <f t="array" ref="G196">INDEX('MTA 28-09'!J:J,MATCH(B196,'MTA 28-09'!A:A,0))</f>
        <v>C26133</v>
      </c>
      <c r="H196" s="159" t="s">
        <v>157</v>
      </c>
      <c r="I196" s="296"/>
      <c r="J196" s="102"/>
      <c r="K196" s="103"/>
      <c r="L196" s="102" t="str">
        <f t="array" ref="L196">INDEX('MTA 28-09'!S:S,MATCH(B196,'MTA 28-09'!A:A,0))</f>
        <v>C-95M</v>
      </c>
      <c r="M196" s="98" t="str">
        <f t="array" ref="M196">INDEX('MTA 28-09'!T:T,MATCH(B196,'MTA 28-09'!A:A,0))</f>
        <v>CNT 006/CELOG-PAMASP/2026 - PW - RG</v>
      </c>
      <c r="N196" s="98" t="str">
        <f t="array" ref="N196">INDEX('MTA 28-09'!U:U,MATCH(B196,'MTA 28-09'!A:A,0))</f>
        <v>Revisão Geral PT6A-34 (1/12)</v>
      </c>
      <c r="O196" s="104">
        <f t="array" ref="O196">INDEX('MTA 28-09'!AC:AC,MATCH(B196,'MTA 28-09'!A:A,0))</f>
        <v>3799000</v>
      </c>
      <c r="P196" s="98" t="str">
        <f t="array" ref="P196">INDEX('MTA 28-09'!N:N,MATCH(B196,'MTA 28-09'!A:A,0))</f>
        <v>CELOG</v>
      </c>
      <c r="Q196" s="105" t="str">
        <f t="array" ref="Q196">INDEX('MTA 28-09'!Z:Z,MATCH(B196,'MTA 28-09'!A:A,0))</f>
        <v>339039</v>
      </c>
      <c r="R196" s="98" t="str">
        <f t="array" ref="R196">INDEX('MTA 28-09'!L:L,MATCH(B196,'MTA 28-09'!A:A,0))</f>
        <v>A</v>
      </c>
      <c r="S196" s="107" t="str">
        <f t="array" ref="S196">INDEX('MTA 28-09'!X:X,MATCH(B196,'MTA 28-09'!A:A,0))</f>
        <v>SOB DEMANDA</v>
      </c>
      <c r="T196" s="107" t="str">
        <f t="array" ref="T196">INDEX('MTA 28-09'!W:W,MATCH(B196,'MTA 28-09'!A:A,0))</f>
        <v>SIM</v>
      </c>
      <c r="U196" s="109">
        <f t="array" ref="U196">INDEX('MTA 28-09'!AE:AE,MATCH(B196,'MTA 28-09'!A:A,0))</f>
        <v>46199</v>
      </c>
      <c r="V196" s="29"/>
      <c r="W196" s="29"/>
      <c r="X196" s="29"/>
      <c r="Y196" s="29"/>
      <c r="Z196" s="29"/>
      <c r="AA196" s="29"/>
      <c r="AB196" s="29"/>
      <c r="AC196" s="29"/>
      <c r="AD196" s="29"/>
      <c r="AE196" s="29"/>
      <c r="AF196" s="29"/>
      <c r="AG196" s="29"/>
      <c r="AH196" s="29"/>
      <c r="AI196" s="29"/>
      <c r="AJ196" s="29"/>
      <c r="AK196" s="29"/>
      <c r="AL196" s="29"/>
      <c r="AM196" s="29"/>
    </row>
    <row r="197">
      <c r="A197" s="31" t="s">
        <v>43</v>
      </c>
      <c r="B197" s="38">
        <v>12961.0</v>
      </c>
      <c r="C197" s="33" t="str">
        <f t="array" ref="C197">INDEX('MTA 28-09'!B:B,MATCH(B197,'MTA 28-09'!A:A,0))</f>
        <v>SIM</v>
      </c>
      <c r="D197" s="34" t="str">
        <f t="array" ref="D197">INDEX('MTA 28-09'!D:D,MATCH(B197,'MTA 28-09'!A:A,0))</f>
        <v>20XV</v>
      </c>
      <c r="E197" s="32" t="str">
        <f t="array" ref="E197">INDEX('MTA 28-09'!F:F,MATCH(B197,'MTA 28-09'!A:A,0))</f>
        <v>ATENDIDO</v>
      </c>
      <c r="F197" s="384">
        <f t="array" ref="F197">INDEX('MTA 28-09'!I:I,MATCH(B197,'MTA 28-09'!A:A,0))</f>
        <v>46083</v>
      </c>
      <c r="G197" s="36" t="str">
        <f t="array" ref="G197">INDEX('MTA 28-09'!J:J,MATCH(B197,'MTA 28-09'!A:A,0))</f>
        <v>C26124</v>
      </c>
      <c r="H197" s="287" t="s">
        <v>157</v>
      </c>
      <c r="I197" s="295"/>
      <c r="J197" s="39"/>
      <c r="K197" s="40"/>
      <c r="L197" s="39" t="str">
        <f t="array" ref="L197">INDEX('MTA 28-09'!S:S,MATCH(B197,'MTA 28-09'!A:A,0))</f>
        <v>C-95M</v>
      </c>
      <c r="M197" s="32" t="str">
        <f t="array" ref="M197">INDEX('MTA 28-09'!T:T,MATCH(B197,'MTA 28-09'!A:A,0))</f>
        <v>CNT 006/CELOG-PAMASP/2026 - PW - RG</v>
      </c>
      <c r="N197" s="32" t="str">
        <f t="array" ref="N197">INDEX('MTA 28-09'!U:U,MATCH(B197,'MTA 28-09'!A:A,0))</f>
        <v>Revisão Geral PT6A-34 (1/12)</v>
      </c>
      <c r="O197" s="59">
        <f t="array" ref="O197">INDEX('MTA 28-09'!AC:AC,MATCH(B197,'MTA 28-09'!A:A,0))</f>
        <v>1000</v>
      </c>
      <c r="P197" s="32" t="str">
        <f t="array" ref="P197">INDEX('MTA 28-09'!N:N,MATCH(B197,'MTA 28-09'!A:A,0))</f>
        <v>CELOG</v>
      </c>
      <c r="Q197" s="67" t="str">
        <f t="array" ref="Q197">INDEX('MTA 28-09'!Z:Z,MATCH(B197,'MTA 28-09'!A:A,0))</f>
        <v>339030</v>
      </c>
      <c r="R197" s="32" t="str">
        <f t="array" ref="R197">INDEX('MTA 28-09'!L:L,MATCH(B197,'MTA 28-09'!A:A,0))</f>
        <v>A</v>
      </c>
      <c r="S197" s="72" t="str">
        <f t="array" ref="S197">INDEX('MTA 28-09'!X:X,MATCH(B197,'MTA 28-09'!A:A,0))</f>
        <v>SOB DEMANDA</v>
      </c>
      <c r="T197" s="72" t="str">
        <f t="array" ref="T197">INDEX('MTA 28-09'!W:W,MATCH(B197,'MTA 28-09'!A:A,0))</f>
        <v>SIM</v>
      </c>
      <c r="U197" s="81">
        <f t="array" ref="U197">INDEX('MTA 28-09'!AE:AE,MATCH(B197,'MTA 28-09'!A:A,0))</f>
        <v>46352</v>
      </c>
      <c r="V197" s="12"/>
      <c r="W197" s="12"/>
      <c r="X197" s="12"/>
      <c r="Y197" s="12"/>
      <c r="Z197" s="12"/>
      <c r="AA197" s="12"/>
      <c r="AB197" s="12"/>
      <c r="AC197" s="12"/>
      <c r="AD197" s="12"/>
      <c r="AE197" s="12"/>
      <c r="AF197" s="12"/>
      <c r="AG197" s="12"/>
      <c r="AH197" s="12"/>
      <c r="AI197" s="12"/>
      <c r="AJ197" s="12"/>
      <c r="AK197" s="12"/>
      <c r="AL197" s="12"/>
      <c r="AM197" s="12"/>
    </row>
    <row r="198">
      <c r="A198" s="88" t="s">
        <v>43</v>
      </c>
      <c r="B198" s="98">
        <v>12980.0</v>
      </c>
      <c r="C198" s="92" t="str">
        <f t="array" ref="C198">INDEX('MTA 28-09'!B:B,MATCH(B198,'MTA 28-09'!A:A,0))</f>
        <v>SIM</v>
      </c>
      <c r="D198" s="95">
        <f t="array" ref="D198">INDEX('MTA 28-09'!D:D,MATCH(B198,'MTA 28-09'!A:A,0))</f>
        <v>2048</v>
      </c>
      <c r="E198" s="98" t="str">
        <f t="array" ref="E198">INDEX('MTA 28-09'!F:F,MATCH(B198,'MTA 28-09'!A:A,0))</f>
        <v>ATENDIDO</v>
      </c>
      <c r="F198" s="99">
        <f t="array" ref="F198">INDEX('MTA 28-09'!I:I,MATCH(B198,'MTA 28-09'!A:A,0))</f>
        <v>46099</v>
      </c>
      <c r="G198" s="100" t="str">
        <f t="array" ref="G198">INDEX('MTA 28-09'!J:J,MATCH(B198,'MTA 28-09'!A:A,0))</f>
        <v>C26166</v>
      </c>
      <c r="H198" s="159" t="s">
        <v>157</v>
      </c>
      <c r="I198" s="296"/>
      <c r="J198" s="102"/>
      <c r="K198" s="103"/>
      <c r="L198" s="102" t="str">
        <f t="array" ref="L198">INDEX('MTA 28-09'!S:S,MATCH(B198,'MTA 28-09'!A:A,0))</f>
        <v>C-95M</v>
      </c>
      <c r="M198" s="98" t="str">
        <f t="array" ref="M198">INDEX('MTA 28-09'!T:T,MATCH(B198,'MTA 28-09'!A:A,0))</f>
        <v>CNT 048/CELOG-PAMASP/2022 - PW - Material</v>
      </c>
      <c r="N198" s="98" t="str">
        <f t="array" ref="N198">INDEX('MTA 28-09'!U:U,MATCH(B198,'MTA 28-09'!A:A,0))</f>
        <v>Material HSI PT6A-34 (1/10)</v>
      </c>
      <c r="O198" s="104">
        <f t="array" ref="O198">INDEX('MTA 28-09'!AC:AC,MATCH(B198,'MTA 28-09'!A:A,0))</f>
        <v>260000</v>
      </c>
      <c r="P198" s="98" t="str">
        <f t="array" ref="P198">INDEX('MTA 28-09'!N:N,MATCH(B198,'MTA 28-09'!A:A,0))</f>
        <v>CELOG</v>
      </c>
      <c r="Q198" s="105" t="str">
        <f t="array" ref="Q198">INDEX('MTA 28-09'!Z:Z,MATCH(B198,'MTA 28-09'!A:A,0))</f>
        <v>339030</v>
      </c>
      <c r="R198" s="98" t="str">
        <f t="array" ref="R198">INDEX('MTA 28-09'!L:L,MATCH(B198,'MTA 28-09'!A:A,0))</f>
        <v>A</v>
      </c>
      <c r="S198" s="107" t="str">
        <f t="array" ref="S198">INDEX('MTA 28-09'!X:X,MATCH(B198,'MTA 28-09'!A:A,0))</f>
        <v>SOB DEMANDA</v>
      </c>
      <c r="T198" s="107" t="str">
        <f t="array" ref="T198">INDEX('MTA 28-09'!W:W,MATCH(B198,'MTA 28-09'!A:A,0))</f>
        <v>SIM</v>
      </c>
      <c r="U198" s="109">
        <f t="array" ref="U198">INDEX('MTA 28-09'!AE:AE,MATCH(B198,'MTA 28-09'!A:A,0))</f>
        <v>46260</v>
      </c>
      <c r="V198" s="29"/>
      <c r="W198" s="29"/>
      <c r="X198" s="29"/>
      <c r="Y198" s="29"/>
      <c r="Z198" s="29"/>
      <c r="AA198" s="29"/>
      <c r="AB198" s="29"/>
      <c r="AC198" s="29"/>
      <c r="AD198" s="29"/>
      <c r="AE198" s="29"/>
      <c r="AF198" s="29"/>
      <c r="AG198" s="29"/>
      <c r="AH198" s="29"/>
      <c r="AI198" s="29"/>
      <c r="AJ198" s="29"/>
      <c r="AK198" s="29"/>
      <c r="AL198" s="29"/>
      <c r="AM198" s="29"/>
    </row>
    <row r="199">
      <c r="A199" s="31" t="s">
        <v>43</v>
      </c>
      <c r="B199" s="32">
        <v>13000.0</v>
      </c>
      <c r="C199" s="33" t="str">
        <f t="array" ref="C199">INDEX('MTA 28-09'!B:B,MATCH(B199,'MTA 28-09'!A:A,0))</f>
        <v>SIM</v>
      </c>
      <c r="D199" s="34">
        <f t="array" ref="D199">INDEX('MTA 28-09'!D:D,MATCH(B199,'MTA 28-09'!A:A,0))</f>
        <v>2048</v>
      </c>
      <c r="E199" s="32" t="str">
        <f t="array" ref="E199">INDEX('MTA 28-09'!F:F,MATCH(B199,'MTA 28-09'!A:A,0))</f>
        <v>ATENDIDO</v>
      </c>
      <c r="F199" s="420">
        <f t="array" ref="F199">INDEX('MTA 28-09'!I:I,MATCH(B199,'MTA 28-09'!A:A,0))</f>
        <v>46099</v>
      </c>
      <c r="G199" s="36" t="str">
        <f t="array" ref="G199">INDEX('MTA 28-09'!J:J,MATCH(B199,'MTA 28-09'!A:A,0))</f>
        <v>C26166</v>
      </c>
      <c r="H199" s="287" t="s">
        <v>157</v>
      </c>
      <c r="I199" s="295"/>
      <c r="J199" s="39"/>
      <c r="K199" s="40"/>
      <c r="L199" s="39" t="str">
        <f t="array" ref="L199">INDEX('MTA 28-09'!S:S,MATCH(B199,'MTA 28-09'!A:A,0))</f>
        <v>C-95M</v>
      </c>
      <c r="M199" s="32" t="str">
        <f t="array" ref="M199">INDEX('MTA 28-09'!T:T,MATCH(B199,'MTA 28-09'!A:A,0))</f>
        <v>CNT 048/CELOG-PAMASP/2022 - PW - Material</v>
      </c>
      <c r="N199" s="32" t="str">
        <f t="array" ref="N199">INDEX('MTA 28-09'!U:U,MATCH(B199,'MTA 28-09'!A:A,0))</f>
        <v>Material reparo PT6A-34 (1/6)</v>
      </c>
      <c r="O199" s="59">
        <f t="array" ref="O199">INDEX('MTA 28-09'!AC:AC,MATCH(B199,'MTA 28-09'!A:A,0))</f>
        <v>1000000</v>
      </c>
      <c r="P199" s="32" t="str">
        <f t="array" ref="P199">INDEX('MTA 28-09'!N:N,MATCH(B199,'MTA 28-09'!A:A,0))</f>
        <v>CELOG</v>
      </c>
      <c r="Q199" s="67" t="str">
        <f t="array" ref="Q199">INDEX('MTA 28-09'!Z:Z,MATCH(B199,'MTA 28-09'!A:A,0))</f>
        <v>339030</v>
      </c>
      <c r="R199" s="32" t="str">
        <f t="array" ref="R199">INDEX('MTA 28-09'!L:L,MATCH(B199,'MTA 28-09'!A:A,0))</f>
        <v>A</v>
      </c>
      <c r="S199" s="72" t="str">
        <f t="array" ref="S199">INDEX('MTA 28-09'!X:X,MATCH(B199,'MTA 28-09'!A:A,0))</f>
        <v>SOB DEMANDA</v>
      </c>
      <c r="T199" s="72" t="str">
        <f t="array" ref="T199">INDEX('MTA 28-09'!W:W,MATCH(B199,'MTA 28-09'!A:A,0))</f>
        <v>SIM</v>
      </c>
      <c r="U199" s="81">
        <f t="array" ref="U199">INDEX('MTA 28-09'!AE:AE,MATCH(B199,'MTA 28-09'!A:A,0))</f>
        <v>46260</v>
      </c>
      <c r="V199" s="12"/>
      <c r="W199" s="12"/>
      <c r="X199" s="12"/>
      <c r="Y199" s="12"/>
      <c r="Z199" s="12"/>
      <c r="AA199" s="12"/>
      <c r="AB199" s="12"/>
      <c r="AC199" s="12"/>
      <c r="AD199" s="12"/>
      <c r="AE199" s="12"/>
      <c r="AF199" s="12"/>
      <c r="AG199" s="12"/>
      <c r="AH199" s="12"/>
      <c r="AI199" s="12"/>
      <c r="AJ199" s="12"/>
      <c r="AK199" s="12"/>
      <c r="AL199" s="12"/>
      <c r="AM199" s="12"/>
    </row>
    <row r="200">
      <c r="A200" s="88" t="s">
        <v>43</v>
      </c>
      <c r="B200" s="98">
        <v>13020.0</v>
      </c>
      <c r="C200" s="92" t="str">
        <f t="array" ref="C200">INDEX('MTA 28-09'!B:B,MATCH(B200,'MTA 28-09'!A:A,0))</f>
        <v>SIM</v>
      </c>
      <c r="D200" s="95">
        <f t="array" ref="D200">INDEX('MTA 28-09'!D:D,MATCH(B200,'MTA 28-09'!A:A,0))</f>
        <v>2048</v>
      </c>
      <c r="E200" s="98" t="str">
        <f t="array" ref="E200">INDEX('MTA 28-09'!F:F,MATCH(B200,'MTA 28-09'!A:A,0))</f>
        <v>CANCELADO</v>
      </c>
      <c r="F200" s="144" t="str">
        <f t="array" ref="F200">INDEX('MTA 28-09'!I:I,MATCH(B200,'MTA 28-09'!A:A,0))</f>
        <v/>
      </c>
      <c r="G200" s="100" t="str">
        <f t="array" ref="G200">INDEX('MTA 28-09'!J:J,MATCH(B200,'MTA 28-09'!A:A,0))</f>
        <v/>
      </c>
      <c r="H200" s="159" t="s">
        <v>157</v>
      </c>
      <c r="I200" s="296"/>
      <c r="J200" s="102"/>
      <c r="K200" s="103"/>
      <c r="L200" s="102" t="str">
        <f t="array" ref="L200">INDEX('MTA 28-09'!S:S,MATCH(B200,'MTA 28-09'!A:A,0))</f>
        <v>C-95M</v>
      </c>
      <c r="M200" s="98" t="str">
        <f t="array" ref="M200">INDEX('MTA 28-09'!T:T,MATCH(B200,'MTA 28-09'!A:A,0))</f>
        <v>REQUISIÇÃO SERVIÇO</v>
      </c>
      <c r="N200" s="98" t="str">
        <f t="array" ref="N200">INDEX('MTA 28-09'!U:U,MATCH(B200,'MTA 28-09'!A:A,0))</f>
        <v>RG U.C.P 6 EA (1/1)</v>
      </c>
      <c r="O200" s="104" t="str">
        <f t="array" ref="O200">INDEX('MTA 28-09'!AC:AC,MATCH(B200,'MTA 28-09'!A:A,0))</f>
        <v> -</v>
      </c>
      <c r="P200" s="98" t="str">
        <f t="array" ref="P200">INDEX('MTA 28-09'!N:N,MATCH(B200,'MTA 28-09'!A:A,0))</f>
        <v>CABW</v>
      </c>
      <c r="Q200" s="105" t="str">
        <f t="array" ref="Q200">INDEX('MTA 28-09'!Z:Z,MATCH(B200,'MTA 28-09'!A:A,0))</f>
        <v>339039</v>
      </c>
      <c r="R200" s="98" t="str">
        <f t="array" ref="R200">INDEX('MTA 28-09'!L:L,MATCH(B200,'MTA 28-09'!A:A,0))</f>
        <v>A</v>
      </c>
      <c r="S200" s="107" t="str">
        <f t="array" ref="S200">INDEX('MTA 28-09'!X:X,MATCH(B200,'MTA 28-09'!A:A,0))</f>
        <v>REQUISIÇÃO</v>
      </c>
      <c r="T200" s="107" t="str">
        <f t="array" ref="T200">INDEX('MTA 28-09'!W:W,MATCH(B200,'MTA 28-09'!A:A,0))</f>
        <v>SIM</v>
      </c>
      <c r="U200" s="109">
        <f t="array" ref="U200">INDEX('MTA 28-09'!AE:AE,MATCH(B200,'MTA 28-09'!A:A,0))</f>
        <v>46200</v>
      </c>
      <c r="V200" s="29"/>
      <c r="W200" s="29"/>
      <c r="X200" s="29"/>
      <c r="Y200" s="29"/>
      <c r="Z200" s="29"/>
      <c r="AA200" s="29"/>
      <c r="AB200" s="29"/>
      <c r="AC200" s="29"/>
      <c r="AD200" s="29"/>
      <c r="AE200" s="29"/>
      <c r="AF200" s="29"/>
      <c r="AG200" s="29"/>
      <c r="AH200" s="29"/>
      <c r="AI200" s="29"/>
      <c r="AJ200" s="29"/>
      <c r="AK200" s="29"/>
      <c r="AL200" s="29"/>
      <c r="AM200" s="29"/>
    </row>
    <row r="201">
      <c r="A201" s="31" t="s">
        <v>43</v>
      </c>
      <c r="B201" s="32">
        <v>13040.0</v>
      </c>
      <c r="C201" s="33" t="str">
        <f t="array" ref="C201">INDEX('MTA 28-09'!B:B,MATCH(B201,'MTA 28-09'!A:A,0))</f>
        <v>SIM</v>
      </c>
      <c r="D201" s="34">
        <f t="array" ref="D201">INDEX('MTA 28-09'!D:D,MATCH(B201,'MTA 28-09'!A:A,0))</f>
        <v>2048</v>
      </c>
      <c r="E201" s="32" t="str">
        <f t="array" ref="E201">INDEX('MTA 28-09'!F:F,MATCH(B201,'MTA 28-09'!A:A,0))</f>
        <v>CANCELADO</v>
      </c>
      <c r="F201" s="294" t="str">
        <f t="array" ref="F201">INDEX('MTA 28-09'!I:I,MATCH(B201,'MTA 28-09'!A:A,0))</f>
        <v/>
      </c>
      <c r="G201" s="36" t="str">
        <f t="array" ref="G201">INDEX('MTA 28-09'!J:J,MATCH(B201,'MTA 28-09'!A:A,0))</f>
        <v/>
      </c>
      <c r="H201" s="287" t="s">
        <v>157</v>
      </c>
      <c r="I201" s="295"/>
      <c r="J201" s="39"/>
      <c r="K201" s="40"/>
      <c r="L201" s="39" t="str">
        <f t="array" ref="L201">INDEX('MTA 28-09'!S:S,MATCH(B201,'MTA 28-09'!A:A,0))</f>
        <v>C-95M</v>
      </c>
      <c r="M201" s="32" t="str">
        <f t="array" ref="M201">INDEX('MTA 28-09'!T:T,MATCH(B201,'MTA 28-09'!A:A,0))</f>
        <v>REQUISIÇÃO SERVIÇO</v>
      </c>
      <c r="N201" s="32" t="str">
        <f t="array" ref="N201">INDEX('MTA 28-09'!U:U,MATCH(B201,'MTA 28-09'!A:A,0))</f>
        <v>Reparo de CTVR 2 EA (2/3)</v>
      </c>
      <c r="O201" s="59" t="str">
        <f t="array" ref="O201">INDEX('MTA 28-09'!AC:AC,MATCH(B201,'MTA 28-09'!A:A,0))</f>
        <v> -</v>
      </c>
      <c r="P201" s="32" t="str">
        <f t="array" ref="P201">INDEX('MTA 28-09'!N:N,MATCH(B201,'MTA 28-09'!A:A,0))</f>
        <v>CABW</v>
      </c>
      <c r="Q201" s="67" t="str">
        <f t="array" ref="Q201">INDEX('MTA 28-09'!Z:Z,MATCH(B201,'MTA 28-09'!A:A,0))</f>
        <v>339039</v>
      </c>
      <c r="R201" s="32" t="str">
        <f t="array" ref="R201">INDEX('MTA 28-09'!L:L,MATCH(B201,'MTA 28-09'!A:A,0))</f>
        <v>A</v>
      </c>
      <c r="S201" s="72" t="str">
        <f t="array" ref="S201">INDEX('MTA 28-09'!X:X,MATCH(B201,'MTA 28-09'!A:A,0))</f>
        <v>REQUISIÇÃO</v>
      </c>
      <c r="T201" s="72" t="str">
        <f t="array" ref="T201">INDEX('MTA 28-09'!W:W,MATCH(B201,'MTA 28-09'!A:A,0))</f>
        <v>SIM</v>
      </c>
      <c r="U201" s="81">
        <f t="array" ref="U201">INDEX('MTA 28-09'!AE:AE,MATCH(B201,'MTA 28-09'!A:A,0))</f>
        <v>46200</v>
      </c>
      <c r="V201" s="12"/>
      <c r="W201" s="12"/>
      <c r="X201" s="12"/>
      <c r="Y201" s="12"/>
      <c r="Z201" s="12"/>
      <c r="AA201" s="12"/>
      <c r="AB201" s="12"/>
      <c r="AC201" s="12"/>
      <c r="AD201" s="12"/>
      <c r="AE201" s="12"/>
      <c r="AF201" s="12"/>
      <c r="AG201" s="12"/>
      <c r="AH201" s="12"/>
      <c r="AI201" s="12"/>
      <c r="AJ201" s="12"/>
      <c r="AK201" s="12"/>
      <c r="AL201" s="12"/>
      <c r="AM201" s="12"/>
    </row>
    <row r="202">
      <c r="A202" s="88" t="s">
        <v>43</v>
      </c>
      <c r="B202" s="98">
        <v>13060.0</v>
      </c>
      <c r="C202" s="92" t="str">
        <f t="array" ref="C202">INDEX('MTA 28-09'!B:B,MATCH(B202,'MTA 28-09'!A:A,0))</f>
        <v>SIM</v>
      </c>
      <c r="D202" s="95">
        <f t="array" ref="D202">INDEX('MTA 28-09'!D:D,MATCH(B202,'MTA 28-09'!A:A,0))</f>
        <v>2048</v>
      </c>
      <c r="E202" s="98" t="str">
        <f t="array" ref="E202">INDEX('MTA 28-09'!F:F,MATCH(B202,'MTA 28-09'!A:A,0))</f>
        <v>CANCELADO</v>
      </c>
      <c r="F202" s="144" t="str">
        <f t="array" ref="F202">INDEX('MTA 28-09'!I:I,MATCH(B202,'MTA 28-09'!A:A,0))</f>
        <v/>
      </c>
      <c r="G202" s="100" t="str">
        <f t="array" ref="G202">INDEX('MTA 28-09'!J:J,MATCH(B202,'MTA 28-09'!A:A,0))</f>
        <v/>
      </c>
      <c r="H202" s="159" t="s">
        <v>157</v>
      </c>
      <c r="I202" s="296"/>
      <c r="J202" s="102"/>
      <c r="K202" s="103"/>
      <c r="L202" s="102" t="str">
        <f t="array" ref="L202">INDEX('MTA 28-09'!S:S,MATCH(B202,'MTA 28-09'!A:A,0))</f>
        <v>C-95M</v>
      </c>
      <c r="M202" s="98" t="str">
        <f t="array" ref="M202">INDEX('MTA 28-09'!T:T,MATCH(B202,'MTA 28-09'!A:A,0))</f>
        <v>REQUISIÇÃO SERVIÇO</v>
      </c>
      <c r="N202" s="98" t="str">
        <f t="array" ref="N202">INDEX('MTA 28-09'!U:U,MATCH(B202,'MTA 28-09'!A:A,0))</f>
        <v>Reparo de PTVR 3 EA (2/2)</v>
      </c>
      <c r="O202" s="104" t="str">
        <f t="array" ref="O202">INDEX('MTA 28-09'!AC:AC,MATCH(B202,'MTA 28-09'!A:A,0))</f>
        <v> -</v>
      </c>
      <c r="P202" s="98" t="str">
        <f t="array" ref="P202">INDEX('MTA 28-09'!N:N,MATCH(B202,'MTA 28-09'!A:A,0))</f>
        <v>CABW</v>
      </c>
      <c r="Q202" s="105" t="str">
        <f t="array" ref="Q202">INDEX('MTA 28-09'!Z:Z,MATCH(B202,'MTA 28-09'!A:A,0))</f>
        <v>339039</v>
      </c>
      <c r="R202" s="98" t="str">
        <f t="array" ref="R202">INDEX('MTA 28-09'!L:L,MATCH(B202,'MTA 28-09'!A:A,0))</f>
        <v>A</v>
      </c>
      <c r="S202" s="107" t="str">
        <f t="array" ref="S202">INDEX('MTA 28-09'!X:X,MATCH(B202,'MTA 28-09'!A:A,0))</f>
        <v>REQUISIÇÃO</v>
      </c>
      <c r="T202" s="107" t="str">
        <f t="array" ref="T202">INDEX('MTA 28-09'!W:W,MATCH(B202,'MTA 28-09'!A:A,0))</f>
        <v>SIM</v>
      </c>
      <c r="U202" s="109">
        <f t="array" ref="U202">INDEX('MTA 28-09'!AE:AE,MATCH(B202,'MTA 28-09'!A:A,0))</f>
        <v>46230</v>
      </c>
      <c r="V202" s="29"/>
      <c r="W202" s="29"/>
      <c r="X202" s="29"/>
      <c r="Y202" s="29"/>
      <c r="Z202" s="29"/>
      <c r="AA202" s="29"/>
      <c r="AB202" s="29"/>
      <c r="AC202" s="29"/>
      <c r="AD202" s="29"/>
      <c r="AE202" s="29"/>
      <c r="AF202" s="29"/>
      <c r="AG202" s="29"/>
      <c r="AH202" s="29"/>
      <c r="AI202" s="29"/>
      <c r="AJ202" s="29"/>
      <c r="AK202" s="29"/>
      <c r="AL202" s="29"/>
      <c r="AM202" s="29"/>
    </row>
    <row r="203">
      <c r="A203" s="31" t="s">
        <v>99</v>
      </c>
      <c r="B203" s="32">
        <v>13080.0</v>
      </c>
      <c r="C203" s="33" t="str">
        <f t="array" ref="C203">INDEX('MTA 28-09'!B:B,MATCH(B203,'MTA 28-09'!A:A,0))</f>
        <v>SIM</v>
      </c>
      <c r="D203" s="34">
        <f t="array" ref="D203">INDEX('MTA 28-09'!D:D,MATCH(B203,'MTA 28-09'!A:A,0))</f>
        <v>2048</v>
      </c>
      <c r="E203" s="32" t="str">
        <f t="array" ref="E203">INDEX('MTA 28-09'!F:F,MATCH(B203,'MTA 28-09'!A:A,0))</f>
        <v>ATENDIDO</v>
      </c>
      <c r="F203" s="35">
        <f t="array" ref="F203">INDEX('MTA 28-09'!I:I,MATCH(B203,'MTA 28-09'!A:A,0))</f>
        <v>46265</v>
      </c>
      <c r="G203" s="36" t="str">
        <f t="array" ref="G203">INDEX('MTA 28-09'!J:J,MATCH(B203,'MTA 28-09'!A:A,0))</f>
        <v>C26146</v>
      </c>
      <c r="H203" s="287" t="s">
        <v>157</v>
      </c>
      <c r="I203" s="38"/>
      <c r="J203" s="39"/>
      <c r="K203" s="40"/>
      <c r="L203" s="39" t="str">
        <f t="array" ref="L203">INDEX('MTA 28-09'!S:S,MATCH(B203,'MTA 28-09'!A:A,0))</f>
        <v>APOIO</v>
      </c>
      <c r="M203" s="32" t="str">
        <f t="array" ref="M203">INDEX('MTA 28-09'!T:T,MATCH(B203,'MTA 28-09'!A:A,0))</f>
        <v>MANUTENÇÂO DAS INSTALAÇÕES</v>
      </c>
      <c r="N203" s="32" t="str">
        <f t="array" ref="N203">INDEX('MTA 28-09'!U:U,MATCH(B203,'MTA 28-09'!A:A,0))</f>
        <v>INFRAESTRUTURA - PINTURA DO HANGAR 002 – TOFI</v>
      </c>
      <c r="O203" s="59">
        <f t="array" ref="O203">INDEX('MTA 28-09'!AC:AC,MATCH(B203,'MTA 28-09'!A:A,0))</f>
        <v>46527.73</v>
      </c>
      <c r="P203" s="32" t="str">
        <f t="array" ref="P203">INDEX('MTA 28-09'!N:N,MATCH(B203,'MTA 28-09'!A:A,0))</f>
        <v>GAP-LS</v>
      </c>
      <c r="Q203" s="67" t="str">
        <f t="array" ref="Q203">INDEX('MTA 28-09'!Z:Z,MATCH(B203,'MTA 28-09'!A:A,0))</f>
        <v>339039</v>
      </c>
      <c r="R203" s="32" t="str">
        <f t="array" ref="R203">INDEX('MTA 28-09'!L:L,MATCH(B203,'MTA 28-09'!A:A,0))</f>
        <v>A</v>
      </c>
      <c r="S203" s="72" t="str">
        <f t="array" ref="S203">INDEX('MTA 28-09'!X:X,MATCH(B203,'MTA 28-09'!A:A,0))</f>
        <v>REQUISIÇÃO</v>
      </c>
      <c r="T203" s="72" t="str">
        <f t="array" ref="T203">INDEX('MTA 28-09'!W:W,MATCH(B203,'MTA 28-09'!A:A,0))</f>
        <v>NÃO</v>
      </c>
      <c r="U203" s="81">
        <f t="array" ref="U203">INDEX('MTA 28-09'!AE:AE,MATCH(B203,'MTA 28-09'!A:A,0))</f>
        <v>46291</v>
      </c>
      <c r="V203" s="12"/>
      <c r="W203" s="12"/>
      <c r="X203" s="12"/>
      <c r="Y203" s="12"/>
      <c r="Z203" s="12"/>
      <c r="AA203" s="12"/>
      <c r="AB203" s="12"/>
      <c r="AC203" s="12"/>
      <c r="AD203" s="12"/>
      <c r="AE203" s="12"/>
      <c r="AF203" s="12"/>
      <c r="AG203" s="12"/>
      <c r="AH203" s="12"/>
      <c r="AI203" s="12"/>
      <c r="AJ203" s="12"/>
      <c r="AK203" s="12"/>
      <c r="AL203" s="12"/>
      <c r="AM203" s="12"/>
    </row>
    <row r="204">
      <c r="A204" s="88" t="s">
        <v>104</v>
      </c>
      <c r="B204" s="98">
        <v>13100.0</v>
      </c>
      <c r="C204" s="92" t="str">
        <f t="array" ref="C204">INDEX('MTA 28-09'!B:B,MATCH(B204,'MTA 28-09'!A:A,0))</f>
        <v>NÃO</v>
      </c>
      <c r="D204" s="95" t="str">
        <f t="array" ref="D204">INDEX('MTA 28-09'!D:D,MATCH(B204,'MTA 28-09'!A:A,0))</f>
        <v/>
      </c>
      <c r="E204" s="98" t="str">
        <f t="array" ref="E204">INDEX('MTA 28-09'!F:F,MATCH(B204,'MTA 28-09'!A:A,0))</f>
        <v>BLOQUEIO</v>
      </c>
      <c r="F204" s="144" t="str">
        <f t="array" ref="F204">INDEX('MTA 28-09'!I:I,MATCH(B204,'MTA 28-09'!A:A,0))</f>
        <v/>
      </c>
      <c r="G204" s="100" t="str">
        <f t="array" ref="G204">INDEX('MTA 28-09'!J:J,MATCH(B204,'MTA 28-09'!A:A,0))</f>
        <v/>
      </c>
      <c r="H204" s="159" t="s">
        <v>157</v>
      </c>
      <c r="I204" s="90"/>
      <c r="J204" s="102"/>
      <c r="K204" s="103"/>
      <c r="L204" s="102" t="str">
        <f t="array" ref="L204">INDEX('MTA 28-09'!S:S,MATCH(B204,'MTA 28-09'!A:A,0))</f>
        <v>APOIO</v>
      </c>
      <c r="M204" s="98" t="str">
        <f t="array" ref="M204">INDEX('MTA 28-09'!T:T,MATCH(B204,'MTA 28-09'!A:A,0))</f>
        <v>ADQUIRIR PNEUS DE AVIAÇÃO</v>
      </c>
      <c r="N204" s="98" t="str">
        <f t="array" ref="N204">INDEX('MTA 28-09'!U:U,MATCH(B204,'MTA 28-09'!A:A,0))</f>
        <v>Aquisição de Pneu de Aviação - ARP - 2/5</v>
      </c>
      <c r="O204" s="104">
        <f t="array" ref="O204">INDEX('MTA 28-09'!AC:AC,MATCH(B204,'MTA 28-09'!A:A,0))</f>
        <v>400000</v>
      </c>
      <c r="P204" s="98" t="str">
        <f t="array" ref="P204">INDEX('MTA 28-09'!N:N,MATCH(B204,'MTA 28-09'!A:A,0))</f>
        <v>CELOG</v>
      </c>
      <c r="Q204" s="105" t="str">
        <f t="array" ref="Q204">INDEX('MTA 28-09'!Z:Z,MATCH(B204,'MTA 28-09'!A:A,0))</f>
        <v>339030</v>
      </c>
      <c r="R204" s="98" t="str">
        <f t="array" ref="R204">INDEX('MTA 28-09'!L:L,MATCH(B204,'MTA 28-09'!A:A,0))</f>
        <v>B</v>
      </c>
      <c r="S204" s="107" t="str">
        <f t="array" ref="S204">INDEX('MTA 28-09'!X:X,MATCH(B204,'MTA 28-09'!A:A,0))</f>
        <v>REQUISIÇÃO</v>
      </c>
      <c r="T204" s="107" t="str">
        <f t="array" ref="T204">INDEX('MTA 28-09'!W:W,MATCH(B204,'MTA 28-09'!A:A,0))</f>
        <v>NÃO</v>
      </c>
      <c r="U204" s="109">
        <f t="array" ref="U204">INDEX('MTA 28-09'!AE:AE,MATCH(B204,'MTA 28-09'!A:A,0))</f>
        <v>46199</v>
      </c>
      <c r="V204" s="29"/>
      <c r="W204" s="29"/>
      <c r="X204" s="29"/>
      <c r="Y204" s="29"/>
      <c r="Z204" s="29"/>
      <c r="AA204" s="29"/>
      <c r="AB204" s="29"/>
      <c r="AC204" s="29"/>
      <c r="AD204" s="29"/>
      <c r="AE204" s="29"/>
      <c r="AF204" s="29"/>
      <c r="AG204" s="29"/>
      <c r="AH204" s="29"/>
      <c r="AI204" s="29"/>
      <c r="AJ204" s="29"/>
      <c r="AK204" s="29"/>
      <c r="AL204" s="29"/>
      <c r="AM204" s="29"/>
    </row>
    <row r="205">
      <c r="A205" s="31" t="s">
        <v>104</v>
      </c>
      <c r="B205" s="38">
        <v>13101.0</v>
      </c>
      <c r="C205" s="33" t="str">
        <f t="array" ref="C205">INDEX('MTA 28-09'!B:B,MATCH(B205,'MTA 28-09'!A:A,0))</f>
        <v>NÃO</v>
      </c>
      <c r="D205" s="34" t="str">
        <f t="array" ref="D205">INDEX('MTA 28-09'!D:D,MATCH(B205,'MTA 28-09'!A:A,0))</f>
        <v/>
      </c>
      <c r="E205" s="32" t="str">
        <f t="array" ref="E205">INDEX('MTA 28-09'!F:F,MATCH(B205,'MTA 28-09'!A:A,0))</f>
        <v/>
      </c>
      <c r="F205" s="137" t="str">
        <f t="array" ref="F205">INDEX('MTA 28-09'!I:I,MATCH(B205,'MTA 28-09'!A:A,0))</f>
        <v/>
      </c>
      <c r="G205" s="36" t="str">
        <f t="array" ref="G205">INDEX('MTA 28-09'!J:J,MATCH(B205,'MTA 28-09'!A:A,0))</f>
        <v/>
      </c>
      <c r="H205" s="287" t="s">
        <v>157</v>
      </c>
      <c r="I205" s="38" t="s">
        <v>1183</v>
      </c>
      <c r="J205" s="39"/>
      <c r="K205" s="40"/>
      <c r="L205" s="39" t="str">
        <f t="array" ref="L205">INDEX('MTA 28-09'!S:S,MATCH(B205,'MTA 28-09'!A:A,0))</f>
        <v>APOIO</v>
      </c>
      <c r="M205" s="32" t="str">
        <f t="array" ref="M205">INDEX('MTA 28-09'!T:T,MATCH(B205,'MTA 28-09'!A:A,0))</f>
        <v>ADQUIRIR PNEUS DE AVIAÇÃO</v>
      </c>
      <c r="N205" s="32" t="str">
        <f t="array" ref="N205">INDEX('MTA 28-09'!U:U,MATCH(B205,'MTA 28-09'!A:A,0))</f>
        <v>Aquisição de Pneu de Aviação - ARP - 2/5</v>
      </c>
      <c r="O205" s="59">
        <f t="array" ref="O205">INDEX('MTA 28-09'!AC:AC,MATCH(B205,'MTA 28-09'!A:A,0))</f>
        <v>600000</v>
      </c>
      <c r="P205" s="32" t="str">
        <f t="array" ref="P205">INDEX('MTA 28-09'!N:N,MATCH(B205,'MTA 28-09'!A:A,0))</f>
        <v>CELOG</v>
      </c>
      <c r="Q205" s="67" t="str">
        <f t="array" ref="Q205">INDEX('MTA 28-09'!Z:Z,MATCH(B205,'MTA 28-09'!A:A,0))</f>
        <v>339030</v>
      </c>
      <c r="R205" s="32" t="str">
        <f t="array" ref="R205">INDEX('MTA 28-09'!L:L,MATCH(B205,'MTA 28-09'!A:A,0))</f>
        <v>B</v>
      </c>
      <c r="S205" s="72" t="str">
        <f t="array" ref="S205">INDEX('MTA 28-09'!X:X,MATCH(B205,'MTA 28-09'!A:A,0))</f>
        <v>REQUISIÇÃO</v>
      </c>
      <c r="T205" s="72" t="str">
        <f t="array" ref="T205">INDEX('MTA 28-09'!W:W,MATCH(B205,'MTA 28-09'!A:A,0))</f>
        <v>NÃO</v>
      </c>
      <c r="U205" s="81">
        <f t="array" ref="U205">INDEX('MTA 28-09'!AE:AE,MATCH(B205,'MTA 28-09'!A:A,0))</f>
        <v>46199</v>
      </c>
      <c r="V205" s="12"/>
      <c r="W205" s="12"/>
      <c r="X205" s="12"/>
      <c r="Y205" s="12"/>
      <c r="Z205" s="12"/>
      <c r="AA205" s="12"/>
      <c r="AB205" s="12"/>
      <c r="AC205" s="12"/>
      <c r="AD205" s="12"/>
      <c r="AE205" s="12"/>
      <c r="AF205" s="12"/>
      <c r="AG205" s="12"/>
      <c r="AH205" s="12"/>
      <c r="AI205" s="12"/>
      <c r="AJ205" s="12"/>
      <c r="AK205" s="12"/>
      <c r="AL205" s="12"/>
      <c r="AM205" s="12"/>
    </row>
    <row r="206">
      <c r="A206" s="88" t="s">
        <v>99</v>
      </c>
      <c r="B206" s="98">
        <v>13120.0</v>
      </c>
      <c r="C206" s="92" t="str">
        <f t="array" ref="C206">INDEX('MTA 28-09'!B:B,MATCH(B206,'MTA 28-09'!A:A,0))</f>
        <v>SIM</v>
      </c>
      <c r="D206" s="95">
        <f t="array" ref="D206">INDEX('MTA 28-09'!D:D,MATCH(B206,'MTA 28-09'!A:A,0))</f>
        <v>2048</v>
      </c>
      <c r="E206" s="98" t="str">
        <f t="array" ref="E206">INDEX('MTA 28-09'!F:F,MATCH(B206,'MTA 28-09'!A:A,0))</f>
        <v>ATENDIDO</v>
      </c>
      <c r="F206" s="152">
        <f t="array" ref="F206">INDEX('MTA 28-09'!I:I,MATCH(B206,'MTA 28-09'!A:A,0))</f>
        <v>46176</v>
      </c>
      <c r="G206" s="100" t="str">
        <f t="array" ref="G206">INDEX('MTA 28-09'!J:J,MATCH(B206,'MTA 28-09'!A:A,0))</f>
        <v>C26290</v>
      </c>
      <c r="H206" s="159" t="s">
        <v>157</v>
      </c>
      <c r="I206" s="421"/>
      <c r="J206" s="102"/>
      <c r="K206" s="103"/>
      <c r="L206" s="102" t="str">
        <f t="array" ref="L206">INDEX('MTA 28-09'!S:S,MATCH(B206,'MTA 28-09'!A:A,0))</f>
        <v>APOIO</v>
      </c>
      <c r="M206" s="98" t="str">
        <f t="array" ref="M206">INDEX('MTA 28-09'!T:T,MATCH(B206,'MTA 28-09'!A:A,0))</f>
        <v>PREGÃO CELOG - AQUISIÇÃO DE ITENS DE CLASSE GERAL</v>
      </c>
      <c r="N206" s="98" t="str">
        <f t="array" ref="N206">INDEX('MTA 28-09'!U:U,MATCH(B206,'MTA 28-09'!A:A,0))</f>
        <v>AQUISIÇÃO DE MATERIAL PARA OFICINAS INTERNAS, EM ATENDIMENTO AOS DIVERSOS PROJETOS DO PAMALS 1/4</v>
      </c>
      <c r="O206" s="104">
        <f t="array" ref="O206">INDEX('MTA 28-09'!AC:AC,MATCH(B206,'MTA 28-09'!A:A,0))</f>
        <v>162912</v>
      </c>
      <c r="P206" s="98" t="str">
        <f t="array" ref="P206">INDEX('MTA 28-09'!N:N,MATCH(B206,'MTA 28-09'!A:A,0))</f>
        <v>CELOG</v>
      </c>
      <c r="Q206" s="105" t="str">
        <f t="array" ref="Q206">INDEX('MTA 28-09'!Z:Z,MATCH(B206,'MTA 28-09'!A:A,0))</f>
        <v>449052</v>
      </c>
      <c r="R206" s="98" t="str">
        <f t="array" ref="R206">INDEX('MTA 28-09'!L:L,MATCH(B206,'MTA 28-09'!A:A,0))</f>
        <v>A</v>
      </c>
      <c r="S206" s="107" t="str">
        <f t="array" ref="S206">INDEX('MTA 28-09'!X:X,MATCH(B206,'MTA 28-09'!A:A,0))</f>
        <v>REQUISIÇÃO</v>
      </c>
      <c r="T206" s="107" t="str">
        <f t="array" ref="T206">INDEX('MTA 28-09'!W:W,MATCH(B206,'MTA 28-09'!A:A,0))</f>
        <v>NÃO</v>
      </c>
      <c r="U206" s="109">
        <f t="array" ref="U206">INDEX('MTA 28-09'!AE:AE,MATCH(B206,'MTA 28-09'!A:A,0))</f>
        <v>46199</v>
      </c>
      <c r="V206" s="29"/>
      <c r="W206" s="29"/>
      <c r="X206" s="29"/>
      <c r="Y206" s="29"/>
      <c r="Z206" s="29"/>
      <c r="AA206" s="29"/>
      <c r="AB206" s="29"/>
      <c r="AC206" s="29"/>
      <c r="AD206" s="29"/>
      <c r="AE206" s="29"/>
      <c r="AF206" s="29"/>
      <c r="AG206" s="29"/>
      <c r="AH206" s="29"/>
      <c r="AI206" s="29"/>
      <c r="AJ206" s="29"/>
      <c r="AK206" s="29"/>
      <c r="AL206" s="29"/>
      <c r="AM206" s="29"/>
    </row>
    <row r="207">
      <c r="A207" s="31" t="s">
        <v>99</v>
      </c>
      <c r="B207" s="38">
        <v>13121.0</v>
      </c>
      <c r="C207" s="33" t="str">
        <f t="array" ref="C207">INDEX('MTA 28-09'!B:B,MATCH(B207,'MTA 28-09'!A:A,0))</f>
        <v>SIM</v>
      </c>
      <c r="D207" s="34">
        <f t="array" ref="D207">INDEX('MTA 28-09'!D:D,MATCH(B207,'MTA 28-09'!A:A,0))</f>
        <v>2048</v>
      </c>
      <c r="E207" s="32" t="str">
        <f t="array" ref="E207">INDEX('MTA 28-09'!F:F,MATCH(B207,'MTA 28-09'!A:A,0))</f>
        <v>ATENDIDO</v>
      </c>
      <c r="F207" s="137">
        <f t="array" ref="F207">INDEX('MTA 28-09'!I:I,MATCH(B207,'MTA 28-09'!A:A,0))</f>
        <v>46071</v>
      </c>
      <c r="G207" s="36" t="str">
        <f t="array" ref="G207">INDEX('MTA 28-09'!J:J,MATCH(B207,'MTA 28-09'!A:A,0))</f>
        <v>C26096</v>
      </c>
      <c r="H207" s="37">
        <v>1.0</v>
      </c>
      <c r="I207" s="38"/>
      <c r="J207" s="39"/>
      <c r="K207" s="40"/>
      <c r="L207" s="39" t="str">
        <f t="array" ref="L207">INDEX('MTA 28-09'!S:S,MATCH(B207,'MTA 28-09'!A:A,0))</f>
        <v>APOIO</v>
      </c>
      <c r="M207" s="32" t="str">
        <f t="array" ref="M207">INDEX('MTA 28-09'!T:T,MATCH(B207,'MTA 28-09'!A:A,0))</f>
        <v>PREGÃO CELOG - AQUISIÇÃO DE ITENS DE CLASSE GERAL</v>
      </c>
      <c r="N207" s="32" t="str">
        <f t="array" ref="N207">INDEX('MTA 28-09'!U:U,MATCH(B207,'MTA 28-09'!A:A,0))</f>
        <v>AQUISIÇÃO DE MATERIAL PARA OFICINAS INTERNAS, EM ATENDIMENTO AOS DIVERSOS PROJETOS DO PAMALS 1/4</v>
      </c>
      <c r="O207" s="59">
        <f t="array" ref="O207">INDEX('MTA 28-09'!AC:AC,MATCH(B207,'MTA 28-09'!A:A,0))</f>
        <v>44954.11</v>
      </c>
      <c r="P207" s="32" t="str">
        <f t="array" ref="P207">INDEX('MTA 28-09'!N:N,MATCH(B207,'MTA 28-09'!A:A,0))</f>
        <v>CELOG</v>
      </c>
      <c r="Q207" s="67" t="str">
        <f t="array" ref="Q207">INDEX('MTA 28-09'!Z:Z,MATCH(B207,'MTA 28-09'!A:A,0))</f>
        <v>339030</v>
      </c>
      <c r="R207" s="32" t="str">
        <f t="array" ref="R207">INDEX('MTA 28-09'!L:L,MATCH(B207,'MTA 28-09'!A:A,0))</f>
        <v>A</v>
      </c>
      <c r="S207" s="72" t="str">
        <f t="array" ref="S207">INDEX('MTA 28-09'!X:X,MATCH(B207,'MTA 28-09'!A:A,0))</f>
        <v>REQUISIÇÃO</v>
      </c>
      <c r="T207" s="72" t="str">
        <f t="array" ref="T207">INDEX('MTA 28-09'!W:W,MATCH(B207,'MTA 28-09'!A:A,0))</f>
        <v>NÃO</v>
      </c>
      <c r="U207" s="81">
        <f t="array" ref="U207">INDEX('MTA 28-09'!AE:AE,MATCH(B207,'MTA 28-09'!A:A,0))</f>
        <v>46199</v>
      </c>
      <c r="V207" s="12"/>
      <c r="W207" s="12"/>
      <c r="X207" s="12"/>
      <c r="Y207" s="12"/>
      <c r="Z207" s="12"/>
      <c r="AA207" s="12"/>
      <c r="AB207" s="12"/>
      <c r="AC207" s="12"/>
      <c r="AD207" s="12"/>
      <c r="AE207" s="12"/>
      <c r="AF207" s="12"/>
      <c r="AG207" s="12"/>
      <c r="AH207" s="12"/>
      <c r="AI207" s="12"/>
      <c r="AJ207" s="12"/>
      <c r="AK207" s="12"/>
      <c r="AL207" s="12"/>
      <c r="AM207" s="12"/>
    </row>
    <row r="208">
      <c r="A208" s="88" t="s">
        <v>99</v>
      </c>
      <c r="B208" s="90">
        <v>13122.0</v>
      </c>
      <c r="C208" s="92" t="str">
        <f t="array" ref="C208">INDEX('MTA 28-09'!B:B,MATCH(B208,'MTA 28-09'!A:A,0))</f>
        <v>SIM</v>
      </c>
      <c r="D208" s="95">
        <f t="array" ref="D208">INDEX('MTA 28-09'!D:D,MATCH(B208,'MTA 28-09'!A:A,0))</f>
        <v>2048</v>
      </c>
      <c r="E208" s="98" t="str">
        <f t="array" ref="E208">INDEX('MTA 28-09'!F:F,MATCH(B208,'MTA 28-09'!A:A,0))</f>
        <v>ATENDIDO</v>
      </c>
      <c r="F208" s="99">
        <f t="array" ref="F208">INDEX('MTA 28-09'!I:I,MATCH(B208,'MTA 28-09'!A:A,0))</f>
        <v>46098</v>
      </c>
      <c r="G208" s="100" t="str">
        <f t="array" ref="G208">INDEX('MTA 28-09'!J:J,MATCH(B208,'MTA 28-09'!A:A,0))</f>
        <v>C26181</v>
      </c>
      <c r="H208" s="159" t="s">
        <v>157</v>
      </c>
      <c r="I208" s="90"/>
      <c r="J208" s="102"/>
      <c r="K208" s="103"/>
      <c r="L208" s="102" t="str">
        <f t="array" ref="L208">INDEX('MTA 28-09'!S:S,MATCH(B208,'MTA 28-09'!A:A,0))</f>
        <v>APOIO</v>
      </c>
      <c r="M208" s="98" t="str">
        <f t="array" ref="M208">INDEX('MTA 28-09'!T:T,MATCH(B208,'MTA 28-09'!A:A,0))</f>
        <v>PREGÃO CELOG - AQUISIÇÃO DE ITENS DE CLASSE GERAL</v>
      </c>
      <c r="N208" s="98" t="str">
        <f t="array" ref="N208">INDEX('MTA 28-09'!U:U,MATCH(B208,'MTA 28-09'!A:A,0))</f>
        <v>AQUISIÇÃO DE MATERIAL PARA OFICINAS INTERNAS, EM ATENDIMENTO AOS DIVERSOS PROJETOS DO PAMALS 1/4</v>
      </c>
      <c r="O208" s="104">
        <f t="array" ref="O208">INDEX('MTA 28-09'!AC:AC,MATCH(B208,'MTA 28-09'!A:A,0))</f>
        <v>15045.89</v>
      </c>
      <c r="P208" s="98" t="str">
        <f t="array" ref="P208">INDEX('MTA 28-09'!N:N,MATCH(B208,'MTA 28-09'!A:A,0))</f>
        <v>CELOG</v>
      </c>
      <c r="Q208" s="105" t="str">
        <f t="array" ref="Q208">INDEX('MTA 28-09'!Z:Z,MATCH(B208,'MTA 28-09'!A:A,0))</f>
        <v>339030</v>
      </c>
      <c r="R208" s="98" t="str">
        <f t="array" ref="R208">INDEX('MTA 28-09'!L:L,MATCH(B208,'MTA 28-09'!A:A,0))</f>
        <v>A</v>
      </c>
      <c r="S208" s="107" t="str">
        <f t="array" ref="S208">INDEX('MTA 28-09'!X:X,MATCH(B208,'MTA 28-09'!A:A,0))</f>
        <v>REQUISIÇÃO</v>
      </c>
      <c r="T208" s="107" t="str">
        <f t="array" ref="T208">INDEX('MTA 28-09'!W:W,MATCH(B208,'MTA 28-09'!A:A,0))</f>
        <v>NÃO</v>
      </c>
      <c r="U208" s="109">
        <f t="array" ref="U208">INDEX('MTA 28-09'!AE:AE,MATCH(B208,'MTA 28-09'!A:A,0))</f>
        <v>46199</v>
      </c>
      <c r="V208" s="29"/>
      <c r="W208" s="29"/>
      <c r="X208" s="29"/>
      <c r="Y208" s="29"/>
      <c r="Z208" s="29"/>
      <c r="AA208" s="29"/>
      <c r="AB208" s="29"/>
      <c r="AC208" s="29"/>
      <c r="AD208" s="29"/>
      <c r="AE208" s="29"/>
      <c r="AF208" s="29"/>
      <c r="AG208" s="29"/>
      <c r="AH208" s="29"/>
      <c r="AI208" s="29"/>
      <c r="AJ208" s="29"/>
      <c r="AK208" s="29"/>
      <c r="AL208" s="29"/>
      <c r="AM208" s="29"/>
    </row>
    <row r="209">
      <c r="A209" s="31" t="s">
        <v>99</v>
      </c>
      <c r="B209" s="32">
        <v>13140.0</v>
      </c>
      <c r="C209" s="33" t="str">
        <f t="array" ref="C209">INDEX('MTA 28-09'!B:B,MATCH(B209,'MTA 28-09'!A:A,0))</f>
        <v>NÃO</v>
      </c>
      <c r="D209" s="34" t="str">
        <f t="array" ref="D209">INDEX('MTA 28-09'!D:D,MATCH(B209,'MTA 28-09'!A:A,0))</f>
        <v/>
      </c>
      <c r="E209" s="32" t="str">
        <f t="array" ref="E209">INDEX('MTA 28-09'!F:F,MATCH(B209,'MTA 28-09'!A:A,0))</f>
        <v/>
      </c>
      <c r="F209" s="155" t="str">
        <f t="array" ref="F209">INDEX('MTA 28-09'!I:I,MATCH(B209,'MTA 28-09'!A:A,0))</f>
        <v/>
      </c>
      <c r="G209" s="36" t="str">
        <f t="array" ref="G209">INDEX('MTA 28-09'!J:J,MATCH(B209,'MTA 28-09'!A:A,0))</f>
        <v/>
      </c>
      <c r="H209" s="287" t="s">
        <v>157</v>
      </c>
      <c r="I209" s="38"/>
      <c r="J209" s="39"/>
      <c r="K209" s="40"/>
      <c r="L209" s="39" t="str">
        <f t="array" ref="L209">INDEX('MTA 28-09'!S:S,MATCH(B209,'MTA 28-09'!A:A,0))</f>
        <v>APOIO</v>
      </c>
      <c r="M209" s="32" t="str">
        <f t="array" ref="M209">INDEX('MTA 28-09'!T:T,MATCH(B209,'MTA 28-09'!A:A,0))</f>
        <v>PREGÃO CELOG - AQUISIÇÃO DE ITENS DE CLASSE GERAL</v>
      </c>
      <c r="N209" s="32" t="str">
        <f t="array" ref="N209">INDEX('MTA 28-09'!U:U,MATCH(B209,'MTA 28-09'!A:A,0))</f>
        <v>AQUISIÇÃO DE MATERIAL PARA OFICINAS INTERNAS, EM ATENDIMENTO AOS DIVERSOS PROJETOS DO PAMALS 2/4</v>
      </c>
      <c r="O209" s="59">
        <f t="array" ref="O209">INDEX('MTA 28-09'!AC:AC,MATCH(B209,'MTA 28-09'!A:A,0))</f>
        <v>260000</v>
      </c>
      <c r="P209" s="32" t="str">
        <f t="array" ref="P209">INDEX('MTA 28-09'!N:N,MATCH(B209,'MTA 28-09'!A:A,0))</f>
        <v>CELOG</v>
      </c>
      <c r="Q209" s="67" t="str">
        <f t="array" ref="Q209">INDEX('MTA 28-09'!Z:Z,MATCH(B209,'MTA 28-09'!A:A,0))</f>
        <v>339030</v>
      </c>
      <c r="R209" s="32" t="str">
        <f t="array" ref="R209">INDEX('MTA 28-09'!L:L,MATCH(B209,'MTA 28-09'!A:A,0))</f>
        <v>B</v>
      </c>
      <c r="S209" s="72" t="str">
        <f t="array" ref="S209">INDEX('MTA 28-09'!X:X,MATCH(B209,'MTA 28-09'!A:A,0))</f>
        <v>REQUISIÇÃO</v>
      </c>
      <c r="T209" s="72" t="str">
        <f t="array" ref="T209">INDEX('MTA 28-09'!W:W,MATCH(B209,'MTA 28-09'!A:A,0))</f>
        <v>NÃO</v>
      </c>
      <c r="U209" s="81">
        <f t="array" ref="U209">INDEX('MTA 28-09'!AE:AE,MATCH(B209,'MTA 28-09'!A:A,0))</f>
        <v>46199</v>
      </c>
      <c r="V209" s="12"/>
      <c r="W209" s="12"/>
      <c r="X209" s="12"/>
      <c r="Y209" s="12"/>
      <c r="Z209" s="12"/>
      <c r="AA209" s="12"/>
      <c r="AB209" s="12"/>
      <c r="AC209" s="12"/>
      <c r="AD209" s="12"/>
      <c r="AE209" s="12"/>
      <c r="AF209" s="12"/>
      <c r="AG209" s="12"/>
      <c r="AH209" s="12"/>
      <c r="AI209" s="12"/>
      <c r="AJ209" s="12"/>
      <c r="AK209" s="12"/>
      <c r="AL209" s="12"/>
      <c r="AM209" s="12"/>
    </row>
    <row r="210">
      <c r="A210" s="88" t="s">
        <v>99</v>
      </c>
      <c r="B210" s="98">
        <v>13160.0</v>
      </c>
      <c r="C210" s="92" t="str">
        <f t="array" ref="C210">INDEX('MTA 28-09'!B:B,MATCH(B210,'MTA 28-09'!A:A,0))</f>
        <v>NÃO</v>
      </c>
      <c r="D210" s="95" t="str">
        <f t="array" ref="D210">INDEX('MTA 28-09'!D:D,MATCH(B210,'MTA 28-09'!A:A,0))</f>
        <v/>
      </c>
      <c r="E210" s="98" t="str">
        <f t="array" ref="E210">INDEX('MTA 28-09'!F:F,MATCH(B210,'MTA 28-09'!A:A,0))</f>
        <v>BLOQUEIO</v>
      </c>
      <c r="F210" s="152" t="str">
        <f t="array" ref="F210">INDEX('MTA 28-09'!I:I,MATCH(B210,'MTA 28-09'!A:A,0))</f>
        <v/>
      </c>
      <c r="G210" s="100" t="str">
        <f t="array" ref="G210">INDEX('MTA 28-09'!J:J,MATCH(B210,'MTA 28-09'!A:A,0))</f>
        <v/>
      </c>
      <c r="H210" s="159" t="s">
        <v>157</v>
      </c>
      <c r="I210" s="296"/>
      <c r="J210" s="102"/>
      <c r="K210" s="103"/>
      <c r="L210" s="102" t="str">
        <f t="array" ref="L210">INDEX('MTA 28-09'!S:S,MATCH(B210,'MTA 28-09'!A:A,0))</f>
        <v>APOIO</v>
      </c>
      <c r="M210" s="98" t="str">
        <f t="array" ref="M210">INDEX('MTA 28-09'!T:T,MATCH(B210,'MTA 28-09'!A:A,0))</f>
        <v>PREGÃO GAP-LS - AQUISIÇÃO DE ITENS DE CLASSE GERAL</v>
      </c>
      <c r="N210" s="98" t="str">
        <f t="array" ref="N210">INDEX('MTA 28-09'!U:U,MATCH(B210,'MTA 28-09'!A:A,0))</f>
        <v>AQUISIÇÃO DE MATERIAL PARA OFICINAS INTERNAS, EM ATENDIMENTO AOS DIVERSOS PROJETOS DO PAMALS 1/4</v>
      </c>
      <c r="O210" s="104">
        <f t="array" ref="O210">INDEX('MTA 28-09'!AC:AC,MATCH(B210,'MTA 28-09'!A:A,0))</f>
        <v>54000</v>
      </c>
      <c r="P210" s="98" t="str">
        <f t="array" ref="P210">INDEX('MTA 28-09'!N:N,MATCH(B210,'MTA 28-09'!A:A,0))</f>
        <v>GAP-LS</v>
      </c>
      <c r="Q210" s="105" t="str">
        <f t="array" ref="Q210">INDEX('MTA 28-09'!Z:Z,MATCH(B210,'MTA 28-09'!A:A,0))</f>
        <v>339030</v>
      </c>
      <c r="R210" s="98" t="str">
        <f t="array" ref="R210">INDEX('MTA 28-09'!L:L,MATCH(B210,'MTA 28-09'!A:A,0))</f>
        <v>B</v>
      </c>
      <c r="S210" s="107" t="str">
        <f t="array" ref="S210">INDEX('MTA 28-09'!X:X,MATCH(B210,'MTA 28-09'!A:A,0))</f>
        <v>REQUISIÇÃO</v>
      </c>
      <c r="T210" s="107" t="str">
        <f t="array" ref="T210">INDEX('MTA 28-09'!W:W,MATCH(B210,'MTA 28-09'!A:A,0))</f>
        <v>NÃO</v>
      </c>
      <c r="U210" s="109">
        <f t="array" ref="U210">INDEX('MTA 28-09'!AE:AE,MATCH(B210,'MTA 28-09'!A:A,0))</f>
        <v>46199</v>
      </c>
      <c r="V210" s="29"/>
      <c r="W210" s="29"/>
      <c r="X210" s="29"/>
      <c r="Y210" s="29"/>
      <c r="Z210" s="29"/>
      <c r="AA210" s="29"/>
      <c r="AB210" s="29"/>
      <c r="AC210" s="29"/>
      <c r="AD210" s="29"/>
      <c r="AE210" s="29"/>
      <c r="AF210" s="29"/>
      <c r="AG210" s="29"/>
      <c r="AH210" s="29"/>
      <c r="AI210" s="29"/>
      <c r="AJ210" s="29"/>
      <c r="AK210" s="29"/>
      <c r="AL210" s="29"/>
      <c r="AM210" s="29"/>
    </row>
    <row r="211">
      <c r="A211" s="31" t="s">
        <v>45</v>
      </c>
      <c r="B211" s="32">
        <v>13180.0</v>
      </c>
      <c r="C211" s="33" t="str">
        <f t="array" ref="C211">INDEX('MTA 28-09'!B:B,MATCH(B211,'MTA 28-09'!A:A,0))</f>
        <v>SIM</v>
      </c>
      <c r="D211" s="34">
        <f t="array" ref="D211">INDEX('MTA 28-09'!D:D,MATCH(B211,'MTA 28-09'!A:A,0))</f>
        <v>2048</v>
      </c>
      <c r="E211" s="32" t="str">
        <f t="array" ref="E211">INDEX('MTA 28-09'!F:F,MATCH(B211,'MTA 28-09'!A:A,0))</f>
        <v>ATENDIDO</v>
      </c>
      <c r="F211" s="155">
        <f t="array" ref="F211">INDEX('MTA 28-09'!I:I,MATCH(B211,'MTA 28-09'!A:A,0))</f>
        <v>46076</v>
      </c>
      <c r="G211" s="36" t="str">
        <f t="array" ref="G211">INDEX('MTA 28-09'!J:J,MATCH(B211,'MTA 28-09'!A:A,0))</f>
        <v>C26113</v>
      </c>
      <c r="H211" s="287" t="s">
        <v>157</v>
      </c>
      <c r="I211" s="295"/>
      <c r="J211" s="39"/>
      <c r="K211" s="40"/>
      <c r="L211" s="39" t="str">
        <f t="array" ref="L211">INDEX('MTA 28-09'!S:S,MATCH(B211,'MTA 28-09'!A:A,0))</f>
        <v>C-98</v>
      </c>
      <c r="M211" s="32" t="str">
        <f t="array" ref="M211">INDEX('MTA 28-09'!T:T,MATCH(B211,'MTA 28-09'!A:A,0))</f>
        <v>CNT 048/CELOG-PAMASP/2022 - PW - Material</v>
      </c>
      <c r="N211" s="32" t="str">
        <f t="array" ref="N211">INDEX('MTA 28-09'!U:U,MATCH(B211,'MTA 28-09'!A:A,0))</f>
        <v>Material HSI PT6A-114A (1/4)</v>
      </c>
      <c r="O211" s="59">
        <f t="array" ref="O211">INDEX('MTA 28-09'!AC:AC,MATCH(B211,'MTA 28-09'!A:A,0))</f>
        <v>350000</v>
      </c>
      <c r="P211" s="32" t="str">
        <f t="array" ref="P211">INDEX('MTA 28-09'!N:N,MATCH(B211,'MTA 28-09'!A:A,0))</f>
        <v>CELOG</v>
      </c>
      <c r="Q211" s="67" t="str">
        <f t="array" ref="Q211">INDEX('MTA 28-09'!Z:Z,MATCH(B211,'MTA 28-09'!A:A,0))</f>
        <v>339030</v>
      </c>
      <c r="R211" s="32" t="str">
        <f t="array" ref="R211">INDEX('MTA 28-09'!L:L,MATCH(B211,'MTA 28-09'!A:A,0))</f>
        <v>A</v>
      </c>
      <c r="S211" s="72" t="str">
        <f t="array" ref="S211">INDEX('MTA 28-09'!X:X,MATCH(B211,'MTA 28-09'!A:A,0))</f>
        <v>SOB DEMANDA</v>
      </c>
      <c r="T211" s="72" t="str">
        <f t="array" ref="T211">INDEX('MTA 28-09'!W:W,MATCH(B211,'MTA 28-09'!A:A,0))</f>
        <v>SIM</v>
      </c>
      <c r="U211" s="81">
        <f t="array" ref="U211">INDEX('MTA 28-09'!AE:AE,MATCH(B211,'MTA 28-09'!A:A,0))</f>
        <v>46260</v>
      </c>
      <c r="V211" s="12"/>
      <c r="W211" s="12"/>
      <c r="X211" s="12"/>
      <c r="Y211" s="12"/>
      <c r="Z211" s="12"/>
      <c r="AA211" s="12"/>
      <c r="AB211" s="12"/>
      <c r="AC211" s="12"/>
      <c r="AD211" s="12"/>
      <c r="AE211" s="12"/>
      <c r="AF211" s="12"/>
      <c r="AG211" s="12"/>
      <c r="AH211" s="12"/>
      <c r="AI211" s="12"/>
      <c r="AJ211" s="12"/>
      <c r="AK211" s="12"/>
      <c r="AL211" s="12"/>
      <c r="AM211" s="12"/>
    </row>
    <row r="212">
      <c r="A212" s="88" t="s">
        <v>45</v>
      </c>
      <c r="B212" s="90">
        <v>13181.0</v>
      </c>
      <c r="C212" s="92" t="str">
        <f t="array" ref="C212">INDEX('MTA 28-09'!B:B,MATCH(B212,'MTA 28-09'!A:A,0))</f>
        <v>SIM</v>
      </c>
      <c r="D212" s="95">
        <f t="array" ref="D212">INDEX('MTA 28-09'!D:D,MATCH(B212,'MTA 28-09'!A:A,0))</f>
        <v>2048</v>
      </c>
      <c r="E212" s="98" t="str">
        <f t="array" ref="E212">INDEX('MTA 28-09'!F:F,MATCH(B212,'MTA 28-09'!A:A,0))</f>
        <v>ATENDIDO</v>
      </c>
      <c r="F212" s="152">
        <f t="array" ref="F212">INDEX('MTA 28-09'!I:I,MATCH(B212,'MTA 28-09'!A:A,0))</f>
        <v>46076</v>
      </c>
      <c r="G212" s="100" t="str">
        <f t="array" ref="G212">INDEX('MTA 28-09'!J:J,MATCH(B212,'MTA 28-09'!A:A,0))</f>
        <v>C26113</v>
      </c>
      <c r="H212" s="159" t="s">
        <v>157</v>
      </c>
      <c r="I212" s="296"/>
      <c r="J212" s="102"/>
      <c r="K212" s="103"/>
      <c r="L212" s="102" t="str">
        <f t="array" ref="L212">INDEX('MTA 28-09'!S:S,MATCH(B212,'MTA 28-09'!A:A,0))</f>
        <v>C-98</v>
      </c>
      <c r="M212" s="98" t="str">
        <f t="array" ref="M212">INDEX('MTA 28-09'!T:T,MATCH(B212,'MTA 28-09'!A:A,0))</f>
        <v>CNT 048/CELOG-PAMASP/2022 - PW - Material</v>
      </c>
      <c r="N212" s="98" t="str">
        <f t="array" ref="N212">INDEX('MTA 28-09'!U:U,MATCH(B212,'MTA 28-09'!A:A,0))</f>
        <v>Material HSI PT6A-114A (2/4)</v>
      </c>
      <c r="O212" s="104">
        <f t="array" ref="O212">INDEX('MTA 28-09'!AC:AC,MATCH(B212,'MTA 28-09'!A:A,0))</f>
        <v>350000</v>
      </c>
      <c r="P212" s="98" t="str">
        <f t="array" ref="P212">INDEX('MTA 28-09'!N:N,MATCH(B212,'MTA 28-09'!A:A,0))</f>
        <v>CELOG</v>
      </c>
      <c r="Q212" s="105" t="str">
        <f t="array" ref="Q212">INDEX('MTA 28-09'!Z:Z,MATCH(B212,'MTA 28-09'!A:A,0))</f>
        <v>339030</v>
      </c>
      <c r="R212" s="98" t="str">
        <f t="array" ref="R212">INDEX('MTA 28-09'!L:L,MATCH(B212,'MTA 28-09'!A:A,0))</f>
        <v>A</v>
      </c>
      <c r="S212" s="107" t="str">
        <f t="array" ref="S212">INDEX('MTA 28-09'!X:X,MATCH(B212,'MTA 28-09'!A:A,0))</f>
        <v>SOB DEMANDA</v>
      </c>
      <c r="T212" s="107" t="str">
        <f t="array" ref="T212">INDEX('MTA 28-09'!W:W,MATCH(B212,'MTA 28-09'!A:A,0))</f>
        <v>SIM</v>
      </c>
      <c r="U212" s="422">
        <f t="array" ref="U212">INDEX('MTA 28-09'!AE:AE,MATCH(B212,'MTA 28-09'!A:A,0))</f>
        <v>46260</v>
      </c>
      <c r="V212" s="29"/>
      <c r="W212" s="29"/>
      <c r="X212" s="29"/>
      <c r="Y212" s="29"/>
      <c r="Z212" s="29"/>
      <c r="AA212" s="29"/>
      <c r="AB212" s="29"/>
      <c r="AC212" s="29"/>
      <c r="AD212" s="29"/>
      <c r="AE212" s="29"/>
      <c r="AF212" s="29"/>
      <c r="AG212" s="29"/>
      <c r="AH212" s="29"/>
      <c r="AI212" s="29"/>
      <c r="AJ212" s="29"/>
      <c r="AK212" s="29"/>
      <c r="AL212" s="29"/>
      <c r="AM212" s="29"/>
    </row>
    <row r="213">
      <c r="A213" s="31" t="s">
        <v>45</v>
      </c>
      <c r="B213" s="32">
        <v>13200.0</v>
      </c>
      <c r="C213" s="33" t="str">
        <f t="array" ref="C213">INDEX('MTA 28-09'!B:B,MATCH(B213,'MTA 28-09'!A:A,0))</f>
        <v>SIM</v>
      </c>
      <c r="D213" s="34">
        <f t="array" ref="D213">INDEX('MTA 28-09'!D:D,MATCH(B213,'MTA 28-09'!A:A,0))</f>
        <v>2048</v>
      </c>
      <c r="E213" s="32" t="str">
        <f t="array" ref="E213">INDEX('MTA 28-09'!F:F,MATCH(B213,'MTA 28-09'!A:A,0))</f>
        <v/>
      </c>
      <c r="F213" s="35" t="str">
        <f t="array" ref="F213">INDEX('MTA 28-09'!I:I,MATCH(B213,'MTA 28-09'!A:A,0))</f>
        <v/>
      </c>
      <c r="G213" s="36" t="str">
        <f t="array" ref="G213">INDEX('MTA 28-09'!J:J,MATCH(B213,'MTA 28-09'!A:A,0))</f>
        <v/>
      </c>
      <c r="H213" s="287" t="s">
        <v>157</v>
      </c>
      <c r="I213" s="295"/>
      <c r="J213" s="39"/>
      <c r="K213" s="40"/>
      <c r="L213" s="39" t="str">
        <f t="array" ref="L213">INDEX('MTA 28-09'!S:S,MATCH(B213,'MTA 28-09'!A:A,0))</f>
        <v>C-98</v>
      </c>
      <c r="M213" s="32" t="str">
        <f t="array" ref="M213">INDEX('MTA 28-09'!T:T,MATCH(B213,'MTA 28-09'!A:A,0))</f>
        <v>CNT XXX/CELOG-PAMASP/2026 - Material</v>
      </c>
      <c r="N213" s="32" t="str">
        <f t="array" ref="N213">INDEX('MTA 28-09'!U:U,MATCH(B213,'MTA 28-09'!A:A,0))</f>
        <v>Material reparo PT6A-114A (1/4)</v>
      </c>
      <c r="O213" s="59">
        <f t="array" ref="O213">INDEX('MTA 28-09'!AC:AC,MATCH(B213,'MTA 28-09'!A:A,0))</f>
        <v>1000000</v>
      </c>
      <c r="P213" s="32" t="str">
        <f t="array" ref="P213">INDEX('MTA 28-09'!N:N,MATCH(B213,'MTA 28-09'!A:A,0))</f>
        <v>CELOG</v>
      </c>
      <c r="Q213" s="67" t="str">
        <f t="array" ref="Q213">INDEX('MTA 28-09'!Z:Z,MATCH(B213,'MTA 28-09'!A:A,0))</f>
        <v>339030</v>
      </c>
      <c r="R213" s="32" t="str">
        <f t="array" ref="R213">INDEX('MTA 28-09'!L:L,MATCH(B213,'MTA 28-09'!A:A,0))</f>
        <v>A</v>
      </c>
      <c r="S213" s="72" t="str">
        <f t="array" ref="S213">INDEX('MTA 28-09'!X:X,MATCH(B213,'MTA 28-09'!A:A,0))</f>
        <v>SOB DEMANDA</v>
      </c>
      <c r="T213" s="72" t="str">
        <f t="array" ref="T213">INDEX('MTA 28-09'!W:W,MATCH(B213,'MTA 28-09'!A:A,0))</f>
        <v>SIM</v>
      </c>
      <c r="U213" s="81">
        <f t="array" ref="U213">INDEX('MTA 28-09'!AE:AE,MATCH(B213,'MTA 28-09'!A:A,0))</f>
        <v>46382</v>
      </c>
      <c r="V213" s="12"/>
      <c r="W213" s="12"/>
      <c r="X213" s="12"/>
      <c r="Y213" s="12"/>
      <c r="Z213" s="12"/>
      <c r="AA213" s="12"/>
      <c r="AB213" s="12"/>
      <c r="AC213" s="12"/>
      <c r="AD213" s="12"/>
      <c r="AE213" s="12"/>
      <c r="AF213" s="12"/>
      <c r="AG213" s="12"/>
      <c r="AH213" s="12"/>
      <c r="AI213" s="12"/>
      <c r="AJ213" s="12"/>
      <c r="AK213" s="12"/>
      <c r="AL213" s="12"/>
      <c r="AM213" s="12"/>
    </row>
    <row r="214">
      <c r="A214" s="88" t="s">
        <v>45</v>
      </c>
      <c r="B214" s="98">
        <v>13220.0</v>
      </c>
      <c r="C214" s="92" t="str">
        <f t="array" ref="C214">INDEX('MTA 28-09'!B:B,MATCH(B214,'MTA 28-09'!A:A,0))</f>
        <v>SIM</v>
      </c>
      <c r="D214" s="95">
        <f t="array" ref="D214">INDEX('MTA 28-09'!D:D,MATCH(B214,'MTA 28-09'!A:A,0))</f>
        <v>2048</v>
      </c>
      <c r="E214" s="98" t="str">
        <f t="array" ref="E214">INDEX('MTA 28-09'!F:F,MATCH(B214,'MTA 28-09'!A:A,0))</f>
        <v>CANCELADO</v>
      </c>
      <c r="F214" s="144" t="str">
        <f t="array" ref="F214">INDEX('MTA 28-09'!I:I,MATCH(B214,'MTA 28-09'!A:A,0))</f>
        <v/>
      </c>
      <c r="G214" s="100" t="str">
        <f t="array" ref="G214">INDEX('MTA 28-09'!J:J,MATCH(B214,'MTA 28-09'!A:A,0))</f>
        <v/>
      </c>
      <c r="H214" s="159" t="s">
        <v>157</v>
      </c>
      <c r="I214" s="296"/>
      <c r="J214" s="102"/>
      <c r="K214" s="103"/>
      <c r="L214" s="102" t="str">
        <f t="array" ref="L214">INDEX('MTA 28-09'!S:S,MATCH(B214,'MTA 28-09'!A:A,0))</f>
        <v>C-98</v>
      </c>
      <c r="M214" s="98" t="str">
        <f t="array" ref="M214">INDEX('MTA 28-09'!T:T,MATCH(B214,'MTA 28-09'!A:A,0))</f>
        <v>Requisição CABW</v>
      </c>
      <c r="N214" s="98" t="str">
        <f t="array" ref="N214">INDEX('MTA 28-09'!U:U,MATCH(B214,'MTA 28-09'!A:A,0))</f>
        <v>Material reparo acessórios PT6A-114A (2/3)</v>
      </c>
      <c r="O214" s="104" t="str">
        <f t="array" ref="O214">INDEX('MTA 28-09'!AC:AC,MATCH(B214,'MTA 28-09'!A:A,0))</f>
        <v> -</v>
      </c>
      <c r="P214" s="98" t="str">
        <f t="array" ref="P214">INDEX('MTA 28-09'!N:N,MATCH(B214,'MTA 28-09'!A:A,0))</f>
        <v>CABW</v>
      </c>
      <c r="Q214" s="105" t="str">
        <f t="array" ref="Q214">INDEX('MTA 28-09'!Z:Z,MATCH(B214,'MTA 28-09'!A:A,0))</f>
        <v>339030</v>
      </c>
      <c r="R214" s="98" t="str">
        <f t="array" ref="R214">INDEX('MTA 28-09'!L:L,MATCH(B214,'MTA 28-09'!A:A,0))</f>
        <v>A</v>
      </c>
      <c r="S214" s="107" t="str">
        <f t="array" ref="S214">INDEX('MTA 28-09'!X:X,MATCH(B214,'MTA 28-09'!A:A,0))</f>
        <v>REQUISIÇÃO</v>
      </c>
      <c r="T214" s="107" t="str">
        <f t="array" ref="T214">INDEX('MTA 28-09'!W:W,MATCH(B214,'MTA 28-09'!A:A,0))</f>
        <v>SIM</v>
      </c>
      <c r="U214" s="109">
        <f t="array" ref="U214">INDEX('MTA 28-09'!AE:AE,MATCH(B214,'MTA 28-09'!A:A,0))</f>
        <v>46382</v>
      </c>
      <c r="V214" s="29"/>
      <c r="W214" s="29"/>
      <c r="X214" s="29"/>
      <c r="Y214" s="29"/>
      <c r="Z214" s="29"/>
      <c r="AA214" s="29"/>
      <c r="AB214" s="29"/>
      <c r="AC214" s="29"/>
      <c r="AD214" s="29"/>
      <c r="AE214" s="29"/>
      <c r="AF214" s="29"/>
      <c r="AG214" s="29"/>
      <c r="AH214" s="29"/>
      <c r="AI214" s="29"/>
      <c r="AJ214" s="29"/>
      <c r="AK214" s="29"/>
      <c r="AL214" s="29"/>
      <c r="AM214" s="29"/>
    </row>
    <row r="215">
      <c r="A215" s="31" t="s">
        <v>45</v>
      </c>
      <c r="B215" s="32">
        <v>13240.0</v>
      </c>
      <c r="C215" s="33" t="str">
        <f t="array" ref="C215">INDEX('MTA 28-09'!B:B,MATCH(B215,'MTA 28-09'!A:A,0))</f>
        <v>SIM</v>
      </c>
      <c r="D215" s="34">
        <f t="array" ref="D215">INDEX('MTA 28-09'!D:D,MATCH(B215,'MTA 28-09'!A:A,0))</f>
        <v>2048</v>
      </c>
      <c r="E215" s="32" t="str">
        <f t="array" ref="E215">INDEX('MTA 28-09'!F:F,MATCH(B215,'MTA 28-09'!A:A,0))</f>
        <v>CANCELADO</v>
      </c>
      <c r="F215" s="35" t="str">
        <f t="array" ref="F215">INDEX('MTA 28-09'!I:I,MATCH(B215,'MTA 28-09'!A:A,0))</f>
        <v/>
      </c>
      <c r="G215" s="36" t="str">
        <f t="array" ref="G215">INDEX('MTA 28-09'!J:J,MATCH(B215,'MTA 28-09'!A:A,0))</f>
        <v/>
      </c>
      <c r="H215" s="287" t="s">
        <v>157</v>
      </c>
      <c r="I215" s="295"/>
      <c r="J215" s="39"/>
      <c r="K215" s="40"/>
      <c r="L215" s="39" t="str">
        <f t="array" ref="L215">INDEX('MTA 28-09'!S:S,MATCH(B215,'MTA 28-09'!A:A,0))</f>
        <v>C-98</v>
      </c>
      <c r="M215" s="32" t="str">
        <f t="array" ref="M215">INDEX('MTA 28-09'!T:T,MATCH(B215,'MTA 28-09'!A:A,0))</f>
        <v>REQUISIÇÃO SERVIÇO</v>
      </c>
      <c r="N215" s="32" t="str">
        <f t="array" ref="N215">INDEX('MTA 28-09'!U:U,MATCH(B215,'MTA 28-09'!A:A,0))</f>
        <v>Reparo de CTVR 2 EA (1/2)</v>
      </c>
      <c r="O215" s="59" t="str">
        <f t="array" ref="O215">INDEX('MTA 28-09'!AC:AC,MATCH(B215,'MTA 28-09'!A:A,0))</f>
        <v> -</v>
      </c>
      <c r="P215" s="32" t="str">
        <f t="array" ref="P215">INDEX('MTA 28-09'!N:N,MATCH(B215,'MTA 28-09'!A:A,0))</f>
        <v>CABW</v>
      </c>
      <c r="Q215" s="67" t="str">
        <f t="array" ref="Q215">INDEX('MTA 28-09'!Z:Z,MATCH(B215,'MTA 28-09'!A:A,0))</f>
        <v>339039</v>
      </c>
      <c r="R215" s="32" t="str">
        <f t="array" ref="R215">INDEX('MTA 28-09'!L:L,MATCH(B215,'MTA 28-09'!A:A,0))</f>
        <v>A</v>
      </c>
      <c r="S215" s="72" t="str">
        <f t="array" ref="S215">INDEX('MTA 28-09'!X:X,MATCH(B215,'MTA 28-09'!A:A,0))</f>
        <v>REQUISIÇÃO</v>
      </c>
      <c r="T215" s="72" t="str">
        <f t="array" ref="T215">INDEX('MTA 28-09'!W:W,MATCH(B215,'MTA 28-09'!A:A,0))</f>
        <v>SIM</v>
      </c>
      <c r="U215" s="81">
        <f t="array" ref="U215">INDEX('MTA 28-09'!AE:AE,MATCH(B215,'MTA 28-09'!A:A,0))</f>
        <v>46230</v>
      </c>
      <c r="V215" s="12"/>
      <c r="W215" s="12"/>
      <c r="X215" s="12"/>
      <c r="Y215" s="12"/>
      <c r="Z215" s="12"/>
      <c r="AA215" s="12"/>
      <c r="AB215" s="12"/>
      <c r="AC215" s="12"/>
      <c r="AD215" s="12"/>
      <c r="AE215" s="12"/>
      <c r="AF215" s="12"/>
      <c r="AG215" s="12"/>
      <c r="AH215" s="12"/>
      <c r="AI215" s="12"/>
      <c r="AJ215" s="12"/>
      <c r="AK215" s="12"/>
      <c r="AL215" s="12"/>
      <c r="AM215" s="12"/>
    </row>
    <row r="216">
      <c r="A216" s="88" t="s">
        <v>45</v>
      </c>
      <c r="B216" s="98">
        <v>13260.0</v>
      </c>
      <c r="C216" s="92" t="str">
        <f t="array" ref="C216">INDEX('MTA 28-09'!B:B,MATCH(B216,'MTA 28-09'!A:A,0))</f>
        <v>SIM</v>
      </c>
      <c r="D216" s="95">
        <f t="array" ref="D216">INDEX('MTA 28-09'!D:D,MATCH(B216,'MTA 28-09'!A:A,0))</f>
        <v>2048</v>
      </c>
      <c r="E216" s="98" t="str">
        <f t="array" ref="E216">INDEX('MTA 28-09'!F:F,MATCH(B216,'MTA 28-09'!A:A,0))</f>
        <v>CANCELADO</v>
      </c>
      <c r="F216" s="152" t="str">
        <f t="array" ref="F216">INDEX('MTA 28-09'!I:I,MATCH(B216,'MTA 28-09'!A:A,0))</f>
        <v/>
      </c>
      <c r="G216" s="100" t="str">
        <f t="array" ref="G216">INDEX('MTA 28-09'!J:J,MATCH(B216,'MTA 28-09'!A:A,0))</f>
        <v/>
      </c>
      <c r="H216" s="159" t="s">
        <v>157</v>
      </c>
      <c r="I216" s="296"/>
      <c r="J216" s="102"/>
      <c r="K216" s="103"/>
      <c r="L216" s="102" t="str">
        <f t="array" ref="L216">INDEX('MTA 28-09'!S:S,MATCH(B216,'MTA 28-09'!A:A,0))</f>
        <v>C-98</v>
      </c>
      <c r="M216" s="98" t="str">
        <f t="array" ref="M216">INDEX('MTA 28-09'!T:T,MATCH(B216,'MTA 28-09'!A:A,0))</f>
        <v>REQUISIÇÃO SERVIÇO</v>
      </c>
      <c r="N216" s="98" t="str">
        <f t="array" ref="N216">INDEX('MTA 28-09'!U:U,MATCH(B216,'MTA 28-09'!A:A,0))</f>
        <v>Reparo de PTVR 2 EA (1/2)</v>
      </c>
      <c r="O216" s="104" t="str">
        <f t="array" ref="O216">INDEX('MTA 28-09'!AC:AC,MATCH(B216,'MTA 28-09'!A:A,0))</f>
        <v> -</v>
      </c>
      <c r="P216" s="98" t="str">
        <f t="array" ref="P216">INDEX('MTA 28-09'!N:N,MATCH(B216,'MTA 28-09'!A:A,0))</f>
        <v>CABW</v>
      </c>
      <c r="Q216" s="105" t="str">
        <f t="array" ref="Q216">INDEX('MTA 28-09'!Z:Z,MATCH(B216,'MTA 28-09'!A:A,0))</f>
        <v>339039</v>
      </c>
      <c r="R216" s="98" t="str">
        <f t="array" ref="R216">INDEX('MTA 28-09'!L:L,MATCH(B216,'MTA 28-09'!A:A,0))</f>
        <v>A</v>
      </c>
      <c r="S216" s="107" t="str">
        <f t="array" ref="S216">INDEX('MTA 28-09'!X:X,MATCH(B216,'MTA 28-09'!A:A,0))</f>
        <v>REQUISIÇÃO</v>
      </c>
      <c r="T216" s="107" t="str">
        <f t="array" ref="T216">INDEX('MTA 28-09'!W:W,MATCH(B216,'MTA 28-09'!A:A,0))</f>
        <v>SIM</v>
      </c>
      <c r="U216" s="109">
        <f t="array" ref="U216">INDEX('MTA 28-09'!AE:AE,MATCH(B216,'MTA 28-09'!A:A,0))</f>
        <v>46230</v>
      </c>
      <c r="V216" s="29"/>
      <c r="W216" s="29"/>
      <c r="X216" s="29"/>
      <c r="Y216" s="29"/>
      <c r="Z216" s="29"/>
      <c r="AA216" s="29"/>
      <c r="AB216" s="29"/>
      <c r="AC216" s="29"/>
      <c r="AD216" s="29"/>
      <c r="AE216" s="29"/>
      <c r="AF216" s="29"/>
      <c r="AG216" s="29"/>
      <c r="AH216" s="29"/>
      <c r="AI216" s="29"/>
      <c r="AJ216" s="29"/>
      <c r="AK216" s="29"/>
      <c r="AL216" s="29"/>
      <c r="AM216" s="29"/>
    </row>
    <row r="217">
      <c r="A217" s="31" t="s">
        <v>97</v>
      </c>
      <c r="B217" s="32">
        <v>13280.0</v>
      </c>
      <c r="C217" s="33" t="str">
        <f t="array" ref="C217">INDEX('MTA 28-09'!B:B,MATCH(B217,'MTA 28-09'!A:A,0))</f>
        <v>NÃO</v>
      </c>
      <c r="D217" s="34" t="str">
        <f t="array" ref="D217">INDEX('MTA 28-09'!D:D,MATCH(B217,'MTA 28-09'!A:A,0))</f>
        <v/>
      </c>
      <c r="E217" s="32" t="str">
        <f t="array" ref="E217">INDEX('MTA 28-09'!F:F,MATCH(B217,'MTA 28-09'!A:A,0))</f>
        <v>BLOQUEIO</v>
      </c>
      <c r="F217" s="137" t="str">
        <f t="array" ref="F217">INDEX('MTA 28-09'!I:I,MATCH(B217,'MTA 28-09'!A:A,0))</f>
        <v/>
      </c>
      <c r="G217" s="36" t="str">
        <f t="array" ref="G217">INDEX('MTA 28-09'!J:J,MATCH(B217,'MTA 28-09'!A:A,0))</f>
        <v/>
      </c>
      <c r="H217" s="287" t="s">
        <v>157</v>
      </c>
      <c r="I217" s="295"/>
      <c r="J217" s="39"/>
      <c r="K217" s="40"/>
      <c r="L217" s="39" t="str">
        <f t="array" ref="L217">INDEX('MTA 28-09'!S:S,MATCH(B217,'MTA 28-09'!A:A,0))</f>
        <v>APOIO</v>
      </c>
      <c r="M217" s="32" t="str">
        <f t="array" ref="M217">INDEX('MTA 28-09'!T:T,MATCH(B217,'MTA 28-09'!A:A,0))</f>
        <v>Requisição FMS</v>
      </c>
      <c r="N217" s="32" t="str">
        <f t="array" ref="N217">INDEX('MTA 28-09'!U:U,MATCH(B217,'MTA 28-09'!A:A,0))</f>
        <v>Requisições Consumíveis 2/3</v>
      </c>
      <c r="O217" s="59">
        <f t="array" ref="O217">INDEX('MTA 28-09'!AC:AC,MATCH(B217,'MTA 28-09'!A:A,0))</f>
        <v>17000</v>
      </c>
      <c r="P217" s="32" t="str">
        <f t="array" ref="P217">INDEX('MTA 28-09'!N:N,MATCH(B217,'MTA 28-09'!A:A,0))</f>
        <v>FMS</v>
      </c>
      <c r="Q217" s="67" t="str">
        <f t="array" ref="Q217">INDEX('MTA 28-09'!Z:Z,MATCH(B217,'MTA 28-09'!A:A,0))</f>
        <v>339030</v>
      </c>
      <c r="R217" s="32" t="str">
        <f t="array" ref="R217">INDEX('MTA 28-09'!L:L,MATCH(B217,'MTA 28-09'!A:A,0))</f>
        <v>B</v>
      </c>
      <c r="S217" s="72" t="str">
        <f t="array" ref="S217">INDEX('MTA 28-09'!X:X,MATCH(B217,'MTA 28-09'!A:A,0))</f>
        <v>REQUISIÇÃO</v>
      </c>
      <c r="T217" s="72" t="str">
        <f t="array" ref="T217">INDEX('MTA 28-09'!W:W,MATCH(B217,'MTA 28-09'!A:A,0))</f>
        <v>NÃO</v>
      </c>
      <c r="U217" s="81">
        <f t="array" ref="U217">INDEX('MTA 28-09'!AE:AE,MATCH(B217,'MTA 28-09'!A:A,0))</f>
        <v>46199</v>
      </c>
      <c r="V217" s="12"/>
      <c r="W217" s="12"/>
      <c r="X217" s="12"/>
      <c r="Y217" s="12"/>
      <c r="Z217" s="12"/>
      <c r="AA217" s="12"/>
      <c r="AB217" s="12"/>
      <c r="AC217" s="12"/>
      <c r="AD217" s="12"/>
      <c r="AE217" s="12"/>
      <c r="AF217" s="12"/>
      <c r="AG217" s="12"/>
      <c r="AH217" s="12"/>
      <c r="AI217" s="12"/>
      <c r="AJ217" s="12"/>
      <c r="AK217" s="12"/>
      <c r="AL217" s="12"/>
      <c r="AM217" s="12"/>
    </row>
    <row r="218">
      <c r="A218" s="88" t="s">
        <v>1574</v>
      </c>
      <c r="B218" s="98">
        <v>13300.0</v>
      </c>
      <c r="C218" s="92" t="str">
        <f t="array" ref="C218">INDEX('MTA 28-09'!B:B,MATCH(B218,'MTA 28-09'!A:A,0))</f>
        <v>NÃO</v>
      </c>
      <c r="D218" s="95" t="str">
        <f t="array" ref="D218">INDEX('MTA 28-09'!D:D,MATCH(B218,'MTA 28-09'!A:A,0))</f>
        <v/>
      </c>
      <c r="E218" s="98" t="str">
        <f t="array" ref="E218">INDEX('MTA 28-09'!F:F,MATCH(B218,'MTA 28-09'!A:A,0))</f>
        <v>BLOQUEIO</v>
      </c>
      <c r="F218" s="144" t="str">
        <f t="array" ref="F218">INDEX('MTA 28-09'!I:I,MATCH(B218,'MTA 28-09'!A:A,0))</f>
        <v/>
      </c>
      <c r="G218" s="100" t="str">
        <f t="array" ref="G218">INDEX('MTA 28-09'!J:J,MATCH(B218,'MTA 28-09'!A:A,0))</f>
        <v/>
      </c>
      <c r="H218" s="159" t="s">
        <v>157</v>
      </c>
      <c r="I218" s="296"/>
      <c r="J218" s="102"/>
      <c r="K218" s="103"/>
      <c r="L218" s="102" t="str">
        <f t="array" ref="L218">INDEX('MTA 28-09'!S:S,MATCH(B218,'MTA 28-09'!A:A,0))</f>
        <v>APOIO</v>
      </c>
      <c r="M218" s="98" t="str">
        <f t="array" ref="M218">INDEX('MTA 28-09'!T:T,MATCH(B218,'MTA 28-09'!A:A,0))</f>
        <v>Requisição FMS</v>
      </c>
      <c r="N218" s="98" t="str">
        <f t="array" ref="N218">INDEX('MTA 28-09'!U:U,MATCH(B218,'MTA 28-09'!A:A,0))</f>
        <v>Requisições Consumíveis 1/2</v>
      </c>
      <c r="O218" s="104">
        <f t="array" ref="O218">INDEX('MTA 28-09'!AC:AC,MATCH(B218,'MTA 28-09'!A:A,0))</f>
        <v>25000</v>
      </c>
      <c r="P218" s="98" t="str">
        <f t="array" ref="P218">INDEX('MTA 28-09'!N:N,MATCH(B218,'MTA 28-09'!A:A,0))</f>
        <v>FMS</v>
      </c>
      <c r="Q218" s="105" t="str">
        <f t="array" ref="Q218">INDEX('MTA 28-09'!Z:Z,MATCH(B218,'MTA 28-09'!A:A,0))</f>
        <v>339030</v>
      </c>
      <c r="R218" s="98" t="str">
        <f t="array" ref="R218">INDEX('MTA 28-09'!L:L,MATCH(B218,'MTA 28-09'!A:A,0))</f>
        <v>B</v>
      </c>
      <c r="S218" s="107" t="str">
        <f t="array" ref="S218">INDEX('MTA 28-09'!X:X,MATCH(B218,'MTA 28-09'!A:A,0))</f>
        <v>REQUISIÇÃO</v>
      </c>
      <c r="T218" s="107" t="str">
        <f t="array" ref="T218">INDEX('MTA 28-09'!W:W,MATCH(B218,'MTA 28-09'!A:A,0))</f>
        <v>NÃO</v>
      </c>
      <c r="U218" s="109">
        <f t="array" ref="U218">INDEX('MTA 28-09'!AE:AE,MATCH(B218,'MTA 28-09'!A:A,0))</f>
        <v>46199</v>
      </c>
      <c r="V218" s="29"/>
      <c r="W218" s="29"/>
      <c r="X218" s="29"/>
      <c r="Y218" s="29"/>
      <c r="Z218" s="29"/>
      <c r="AA218" s="29"/>
      <c r="AB218" s="29"/>
      <c r="AC218" s="29"/>
      <c r="AD218" s="29"/>
      <c r="AE218" s="29"/>
      <c r="AF218" s="29"/>
      <c r="AG218" s="29"/>
      <c r="AH218" s="29"/>
      <c r="AI218" s="29"/>
      <c r="AJ218" s="29"/>
      <c r="AK218" s="29"/>
      <c r="AL218" s="29"/>
      <c r="AM218" s="29"/>
    </row>
    <row r="219">
      <c r="A219" s="31" t="s">
        <v>1574</v>
      </c>
      <c r="B219" s="32">
        <v>13320.0</v>
      </c>
      <c r="C219" s="33" t="str">
        <f t="array" ref="C219">INDEX('MTA 28-09'!B:B,MATCH(B219,'MTA 28-09'!A:A,0))</f>
        <v>NÃO</v>
      </c>
      <c r="D219" s="34" t="str">
        <f t="array" ref="D219">INDEX('MTA 28-09'!D:D,MATCH(B219,'MTA 28-09'!A:A,0))</f>
        <v/>
      </c>
      <c r="E219" s="32" t="str">
        <f t="array" ref="E219">INDEX('MTA 28-09'!F:F,MATCH(B219,'MTA 28-09'!A:A,0))</f>
        <v>BLOQUEIO</v>
      </c>
      <c r="F219" s="155" t="str">
        <f t="array" ref="F219">INDEX('MTA 28-09'!I:I,MATCH(B219,'MTA 28-09'!A:A,0))</f>
        <v/>
      </c>
      <c r="G219" s="36" t="str">
        <f t="array" ref="G219">INDEX('MTA 28-09'!J:J,MATCH(B219,'MTA 28-09'!A:A,0))</f>
        <v/>
      </c>
      <c r="H219" s="287" t="s">
        <v>157</v>
      </c>
      <c r="I219" s="295"/>
      <c r="J219" s="39"/>
      <c r="K219" s="40"/>
      <c r="L219" s="39" t="str">
        <f t="array" ref="L219">INDEX('MTA 28-09'!S:S,MATCH(B219,'MTA 28-09'!A:A,0))</f>
        <v>APOIO</v>
      </c>
      <c r="M219" s="32" t="str">
        <f t="array" ref="M219">INDEX('MTA 28-09'!T:T,MATCH(B219,'MTA 28-09'!A:A,0))</f>
        <v>Requisição FMS</v>
      </c>
      <c r="N219" s="32" t="str">
        <f t="array" ref="N219">INDEX('MTA 28-09'!U:U,MATCH(B219,'MTA 28-09'!A:A,0))</f>
        <v>Requisições Consumíveis 2/2</v>
      </c>
      <c r="O219" s="59">
        <f t="array" ref="O219">INDEX('MTA 28-09'!AC:AC,MATCH(B219,'MTA 28-09'!A:A,0))</f>
        <v>25000</v>
      </c>
      <c r="P219" s="32" t="str">
        <f t="array" ref="P219">INDEX('MTA 28-09'!N:N,MATCH(B219,'MTA 28-09'!A:A,0))</f>
        <v>FMS</v>
      </c>
      <c r="Q219" s="67" t="str">
        <f t="array" ref="Q219">INDEX('MTA 28-09'!Z:Z,MATCH(B219,'MTA 28-09'!A:A,0))</f>
        <v>339030</v>
      </c>
      <c r="R219" s="32" t="str">
        <f t="array" ref="R219">INDEX('MTA 28-09'!L:L,MATCH(B219,'MTA 28-09'!A:A,0))</f>
        <v>B</v>
      </c>
      <c r="S219" s="72" t="str">
        <f t="array" ref="S219">INDEX('MTA 28-09'!X:X,MATCH(B219,'MTA 28-09'!A:A,0))</f>
        <v>REQUISIÇÃO</v>
      </c>
      <c r="T219" s="72" t="str">
        <f t="array" ref="T219">INDEX('MTA 28-09'!W:W,MATCH(B219,'MTA 28-09'!A:A,0))</f>
        <v>NÃO</v>
      </c>
      <c r="U219" s="81">
        <f t="array" ref="U219">INDEX('MTA 28-09'!AE:AE,MATCH(B219,'MTA 28-09'!A:A,0))</f>
        <v>46199</v>
      </c>
      <c r="V219" s="12"/>
      <c r="W219" s="12"/>
      <c r="X219" s="12"/>
      <c r="Y219" s="12"/>
      <c r="Z219" s="12"/>
      <c r="AA219" s="12"/>
      <c r="AB219" s="12"/>
      <c r="AC219" s="12"/>
      <c r="AD219" s="12"/>
      <c r="AE219" s="12"/>
      <c r="AF219" s="12"/>
      <c r="AG219" s="12"/>
      <c r="AH219" s="12"/>
      <c r="AI219" s="12"/>
      <c r="AJ219" s="12"/>
      <c r="AK219" s="12"/>
      <c r="AL219" s="12"/>
      <c r="AM219" s="12"/>
    </row>
    <row r="220">
      <c r="A220" s="88" t="s">
        <v>107</v>
      </c>
      <c r="B220" s="98">
        <v>13340.0</v>
      </c>
      <c r="C220" s="92" t="str">
        <f t="array" ref="C220">INDEX('MTA 28-09'!B:B,MATCH(B220,'MTA 28-09'!A:A,0))</f>
        <v>SIM</v>
      </c>
      <c r="D220" s="95">
        <f t="array" ref="D220">INDEX('MTA 28-09'!D:D,MATCH(B220,'MTA 28-09'!A:A,0))</f>
        <v>2048</v>
      </c>
      <c r="E220" s="98" t="str">
        <f t="array" ref="E220">INDEX('MTA 28-09'!F:F,MATCH(B220,'MTA 28-09'!A:A,0))</f>
        <v>ATENDIDO</v>
      </c>
      <c r="F220" s="144">
        <f t="array" ref="F220">INDEX('MTA 28-09'!I:I,MATCH(B220,'MTA 28-09'!A:A,0))</f>
        <v>46213</v>
      </c>
      <c r="G220" s="100" t="str">
        <f t="array" ref="G220">INDEX('MTA 28-09'!J:J,MATCH(B220,'MTA 28-09'!A:A,0))</f>
        <v>C26151</v>
      </c>
      <c r="H220" s="101" t="s">
        <v>1562</v>
      </c>
      <c r="I220" s="90"/>
      <c r="J220" s="102"/>
      <c r="K220" s="103"/>
      <c r="L220" s="102" t="str">
        <f t="array" ref="L220">INDEX('MTA 28-09'!S:S,MATCH(B220,'MTA 28-09'!A:A,0))</f>
        <v>APOIO</v>
      </c>
      <c r="M220" s="98" t="str">
        <f t="array" ref="M220">INDEX('MTA 28-09'!T:T,MATCH(B220,'MTA 28-09'!A:A,0))</f>
        <v>REQUISIÇÃO DE BOTES INFLÁVEIS (SSS)</v>
      </c>
      <c r="N220" s="98" t="str">
        <f t="array" ref="N220">INDEX('MTA 28-09'!U:U,MATCH(B220,'MTA 28-09'!A:A,0))</f>
        <v>AQUISIÇÃO DE BOTES PARA ANV P3 (PROJETO SSS)</v>
      </c>
      <c r="O220" s="104">
        <f t="array" ref="O220">INDEX('MTA 28-09'!AC:AC,MATCH(B220,'MTA 28-09'!A:A,0))</f>
        <v>1355861.12</v>
      </c>
      <c r="P220" s="98" t="str">
        <f t="array" ref="P220">INDEX('MTA 28-09'!N:N,MATCH(B220,'MTA 28-09'!A:A,0))</f>
        <v>CABW</v>
      </c>
      <c r="Q220" s="105" t="str">
        <f t="array" ref="Q220">INDEX('MTA 28-09'!Z:Z,MATCH(B220,'MTA 28-09'!A:A,0))</f>
        <v>339030</v>
      </c>
      <c r="R220" s="98" t="str">
        <f t="array" ref="R220">INDEX('MTA 28-09'!L:L,MATCH(B220,'MTA 28-09'!A:A,0))</f>
        <v>A</v>
      </c>
      <c r="S220" s="107" t="str">
        <f t="array" ref="S220">INDEX('MTA 28-09'!X:X,MATCH(B220,'MTA 28-09'!A:A,0))</f>
        <v>REQUISIÇÃO</v>
      </c>
      <c r="T220" s="107" t="str">
        <f t="array" ref="T220">INDEX('MTA 28-09'!W:W,MATCH(B220,'MTA 28-09'!A:A,0))</f>
        <v>NÃO</v>
      </c>
      <c r="U220" s="109">
        <f t="array" ref="U220">INDEX('MTA 28-09'!AE:AE,MATCH(B220,'MTA 28-09'!A:A,0))</f>
        <v>46049</v>
      </c>
      <c r="V220" s="29"/>
      <c r="W220" s="29"/>
      <c r="X220" s="29"/>
      <c r="Y220" s="29"/>
      <c r="Z220" s="29"/>
      <c r="AA220" s="29"/>
      <c r="AB220" s="29"/>
      <c r="AC220" s="29"/>
      <c r="AD220" s="29"/>
      <c r="AE220" s="29"/>
      <c r="AF220" s="29"/>
      <c r="AG220" s="29"/>
      <c r="AH220" s="29"/>
      <c r="AI220" s="29"/>
      <c r="AJ220" s="29"/>
      <c r="AK220" s="29"/>
      <c r="AL220" s="29"/>
      <c r="AM220" s="29"/>
    </row>
    <row r="221">
      <c r="A221" s="31" t="s">
        <v>97</v>
      </c>
      <c r="B221" s="32">
        <v>13360.0</v>
      </c>
      <c r="C221" s="33" t="str">
        <f t="array" ref="C221">INDEX('MTA 28-09'!B:B,MATCH(B221,'MTA 28-09'!A:A,0))</f>
        <v>NÃO</v>
      </c>
      <c r="D221" s="34" t="str">
        <f t="array" ref="D221">INDEX('MTA 28-09'!D:D,MATCH(B221,'MTA 28-09'!A:A,0))</f>
        <v/>
      </c>
      <c r="E221" s="32" t="str">
        <f t="array" ref="E221">INDEX('MTA 28-09'!F:F,MATCH(B221,'MTA 28-09'!A:A,0))</f>
        <v>BLOQUEIO</v>
      </c>
      <c r="F221" s="155" t="str">
        <f t="array" ref="F221">INDEX('MTA 28-09'!I:I,MATCH(B221,'MTA 28-09'!A:A,0))</f>
        <v/>
      </c>
      <c r="G221" s="36" t="str">
        <f t="array" ref="G221">INDEX('MTA 28-09'!J:J,MATCH(B221,'MTA 28-09'!A:A,0))</f>
        <v/>
      </c>
      <c r="H221" s="287" t="s">
        <v>157</v>
      </c>
      <c r="I221" s="295"/>
      <c r="J221" s="39"/>
      <c r="K221" s="40"/>
      <c r="L221" s="39" t="str">
        <f t="array" ref="L221">INDEX('MTA 28-09'!S:S,MATCH(B221,'MTA 28-09'!A:A,0))</f>
        <v>APOIO</v>
      </c>
      <c r="M221" s="32" t="str">
        <f t="array" ref="M221">INDEX('MTA 28-09'!T:T,MATCH(B221,'MTA 28-09'!A:A,0))</f>
        <v>Requisição FMS</v>
      </c>
      <c r="N221" s="32" t="str">
        <f t="array" ref="N221">INDEX('MTA 28-09'!U:U,MATCH(B221,'MTA 28-09'!A:A,0))</f>
        <v>Requisições Consumíveis 1/3</v>
      </c>
      <c r="O221" s="59">
        <f t="array" ref="O221">INDEX('MTA 28-09'!AC:AC,MATCH(B221,'MTA 28-09'!A:A,0))</f>
        <v>17000</v>
      </c>
      <c r="P221" s="32" t="str">
        <f t="array" ref="P221">INDEX('MTA 28-09'!N:N,MATCH(B221,'MTA 28-09'!A:A,0))</f>
        <v>FMS</v>
      </c>
      <c r="Q221" s="67" t="str">
        <f t="array" ref="Q221">INDEX('MTA 28-09'!Z:Z,MATCH(B221,'MTA 28-09'!A:A,0))</f>
        <v>339030</v>
      </c>
      <c r="R221" s="32" t="str">
        <f t="array" ref="R221">INDEX('MTA 28-09'!L:L,MATCH(B221,'MTA 28-09'!A:A,0))</f>
        <v>B</v>
      </c>
      <c r="S221" s="72" t="str">
        <f t="array" ref="S221">INDEX('MTA 28-09'!X:X,MATCH(B221,'MTA 28-09'!A:A,0))</f>
        <v>REQUISIÇÃO</v>
      </c>
      <c r="T221" s="72" t="str">
        <f t="array" ref="T221">INDEX('MTA 28-09'!W:W,MATCH(B221,'MTA 28-09'!A:A,0))</f>
        <v>NÃO</v>
      </c>
      <c r="U221" s="81">
        <f t="array" ref="U221">INDEX('MTA 28-09'!AE:AE,MATCH(B221,'MTA 28-09'!A:A,0))</f>
        <v>46199</v>
      </c>
      <c r="V221" s="12"/>
      <c r="W221" s="12"/>
      <c r="X221" s="12"/>
      <c r="Y221" s="12"/>
      <c r="Z221" s="12"/>
      <c r="AA221" s="12"/>
      <c r="AB221" s="12"/>
      <c r="AC221" s="12"/>
      <c r="AD221" s="12"/>
      <c r="AE221" s="12"/>
      <c r="AF221" s="12"/>
      <c r="AG221" s="12"/>
      <c r="AH221" s="12"/>
      <c r="AI221" s="12"/>
      <c r="AJ221" s="12"/>
      <c r="AK221" s="12"/>
      <c r="AL221" s="12"/>
      <c r="AM221" s="12"/>
    </row>
    <row r="222">
      <c r="A222" s="88" t="s">
        <v>97</v>
      </c>
      <c r="B222" s="98">
        <v>13380.0</v>
      </c>
      <c r="C222" s="92" t="str">
        <f t="array" ref="C222">INDEX('MTA 28-09'!B:B,MATCH(B222,'MTA 28-09'!A:A,0))</f>
        <v>NÃO</v>
      </c>
      <c r="D222" s="95" t="str">
        <f t="array" ref="D222">INDEX('MTA 28-09'!D:D,MATCH(B222,'MTA 28-09'!A:A,0))</f>
        <v/>
      </c>
      <c r="E222" s="98" t="str">
        <f t="array" ref="E222">INDEX('MTA 28-09'!F:F,MATCH(B222,'MTA 28-09'!A:A,0))</f>
        <v>BLOQUEIO</v>
      </c>
      <c r="F222" s="99" t="str">
        <f t="array" ref="F222">INDEX('MTA 28-09'!I:I,MATCH(B222,'MTA 28-09'!A:A,0))</f>
        <v/>
      </c>
      <c r="G222" s="100" t="str">
        <f t="array" ref="G222">INDEX('MTA 28-09'!J:J,MATCH(B222,'MTA 28-09'!A:A,0))</f>
        <v/>
      </c>
      <c r="H222" s="159" t="s">
        <v>157</v>
      </c>
      <c r="I222" s="296"/>
      <c r="J222" s="102"/>
      <c r="K222" s="103"/>
      <c r="L222" s="102" t="str">
        <f t="array" ref="L222">INDEX('MTA 28-09'!S:S,MATCH(B222,'MTA 28-09'!A:A,0))</f>
        <v>APOIO</v>
      </c>
      <c r="M222" s="98" t="str">
        <f t="array" ref="M222">INDEX('MTA 28-09'!T:T,MATCH(B222,'MTA 28-09'!A:A,0))</f>
        <v>Requisição FMS</v>
      </c>
      <c r="N222" s="98" t="str">
        <f t="array" ref="N222">INDEX('MTA 28-09'!U:U,MATCH(B222,'MTA 28-09'!A:A,0))</f>
        <v>Requisições Consumíveis 3/3</v>
      </c>
      <c r="O222" s="104">
        <f t="array" ref="O222">INDEX('MTA 28-09'!AC:AC,MATCH(B222,'MTA 28-09'!A:A,0))</f>
        <v>17000</v>
      </c>
      <c r="P222" s="98" t="str">
        <f t="array" ref="P222">INDEX('MTA 28-09'!N:N,MATCH(B222,'MTA 28-09'!A:A,0))</f>
        <v>FMS</v>
      </c>
      <c r="Q222" s="105" t="str">
        <f t="array" ref="Q222">INDEX('MTA 28-09'!Z:Z,MATCH(B222,'MTA 28-09'!A:A,0))</f>
        <v>339030</v>
      </c>
      <c r="R222" s="98" t="str">
        <f t="array" ref="R222">INDEX('MTA 28-09'!L:L,MATCH(B222,'MTA 28-09'!A:A,0))</f>
        <v>B</v>
      </c>
      <c r="S222" s="107" t="str">
        <f t="array" ref="S222">INDEX('MTA 28-09'!X:X,MATCH(B222,'MTA 28-09'!A:A,0))</f>
        <v>REQUISIÇÃO</v>
      </c>
      <c r="T222" s="107" t="str">
        <f t="array" ref="T222">INDEX('MTA 28-09'!W:W,MATCH(B222,'MTA 28-09'!A:A,0))</f>
        <v>NÃO</v>
      </c>
      <c r="U222" s="109">
        <f t="array" ref="U222">INDEX('MTA 28-09'!AE:AE,MATCH(B222,'MTA 28-09'!A:A,0))</f>
        <v>46199</v>
      </c>
      <c r="V222" s="29"/>
      <c r="W222" s="29"/>
      <c r="X222" s="29"/>
      <c r="Y222" s="29"/>
      <c r="Z222" s="29"/>
      <c r="AA222" s="29"/>
      <c r="AB222" s="29"/>
      <c r="AC222" s="29"/>
      <c r="AD222" s="29"/>
      <c r="AE222" s="29"/>
      <c r="AF222" s="29"/>
      <c r="AG222" s="29"/>
      <c r="AH222" s="29"/>
      <c r="AI222" s="29"/>
      <c r="AJ222" s="29"/>
      <c r="AK222" s="29"/>
      <c r="AL222" s="29"/>
      <c r="AM222" s="29"/>
    </row>
    <row r="223">
      <c r="A223" s="31" t="s">
        <v>107</v>
      </c>
      <c r="B223" s="32">
        <v>13400.0</v>
      </c>
      <c r="C223" s="33" t="str">
        <f t="array" ref="C223">INDEX('MTA 28-09'!B:B,MATCH(B223,'MTA 28-09'!A:A,0))</f>
        <v>NÃO</v>
      </c>
      <c r="D223" s="34" t="str">
        <f t="array" ref="D223">INDEX('MTA 28-09'!D:D,MATCH(B223,'MTA 28-09'!A:A,0))</f>
        <v/>
      </c>
      <c r="E223" s="32" t="str">
        <f t="array" ref="E223">INDEX('MTA 28-09'!F:F,MATCH(B223,'MTA 28-09'!A:A,0))</f>
        <v/>
      </c>
      <c r="F223" s="137" t="str">
        <f t="array" ref="F223">INDEX('MTA 28-09'!I:I,MATCH(B223,'MTA 28-09'!A:A,0))</f>
        <v/>
      </c>
      <c r="G223" s="36" t="str">
        <f t="array" ref="G223">INDEX('MTA 28-09'!J:J,MATCH(B223,'MTA 28-09'!A:A,0))</f>
        <v/>
      </c>
      <c r="H223" s="287" t="s">
        <v>157</v>
      </c>
      <c r="I223" s="38" t="s">
        <v>1583</v>
      </c>
      <c r="J223" s="39"/>
      <c r="K223" s="40"/>
      <c r="L223" s="39" t="str">
        <f t="array" ref="L223">INDEX('MTA 28-09'!S:S,MATCH(B223,'MTA 28-09'!A:A,0))</f>
        <v>APOIO</v>
      </c>
      <c r="M223" s="32" t="str">
        <f t="array" ref="M223">INDEX('MTA 28-09'!T:T,MATCH(B223,'MTA 28-09'!A:A,0))</f>
        <v>REQUISIÇÃO LOTAÇÃO SSS</v>
      </c>
      <c r="N223" s="32" t="str">
        <f t="array" ref="N223">INDEX('MTA 28-09'!U:U,MATCH(B223,'MTA 28-09'!A:A,0))</f>
        <v>AQUISIÇÃO ITENS SSS ATENDER 100% DA LOTAÇÃO (CABW) 1/4</v>
      </c>
      <c r="O223" s="59">
        <f t="array" ref="O223">INDEX('MTA 28-09'!AC:AC,MATCH(B223,'MTA 28-09'!A:A,0))</f>
        <v>1045152.4</v>
      </c>
      <c r="P223" s="32" t="str">
        <f t="array" ref="P223">INDEX('MTA 28-09'!N:N,MATCH(B223,'MTA 28-09'!A:A,0))</f>
        <v>CABW</v>
      </c>
      <c r="Q223" s="67" t="str">
        <f t="array" ref="Q223">INDEX('MTA 28-09'!Z:Z,MATCH(B223,'MTA 28-09'!A:A,0))</f>
        <v>339030</v>
      </c>
      <c r="R223" s="32" t="str">
        <f t="array" ref="R223">INDEX('MTA 28-09'!L:L,MATCH(B223,'MTA 28-09'!A:A,0))</f>
        <v>B</v>
      </c>
      <c r="S223" s="72" t="str">
        <f t="array" ref="S223">INDEX('MTA 28-09'!X:X,MATCH(B223,'MTA 28-09'!A:A,0))</f>
        <v>REQUISIÇÃO</v>
      </c>
      <c r="T223" s="72" t="str">
        <f t="array" ref="T223">INDEX('MTA 28-09'!W:W,MATCH(B223,'MTA 28-09'!A:A,0))</f>
        <v>NÃO</v>
      </c>
      <c r="U223" s="81">
        <f t="array" ref="U223">INDEX('MTA 28-09'!AE:AE,MATCH(B223,'MTA 28-09'!A:A,0))</f>
        <v>46199</v>
      </c>
      <c r="V223" s="12"/>
      <c r="W223" s="12"/>
      <c r="X223" s="12"/>
      <c r="Y223" s="12"/>
      <c r="Z223" s="12"/>
      <c r="AA223" s="12"/>
      <c r="AB223" s="12"/>
      <c r="AC223" s="12"/>
      <c r="AD223" s="12"/>
      <c r="AE223" s="12"/>
      <c r="AF223" s="12"/>
      <c r="AG223" s="12"/>
      <c r="AH223" s="12"/>
      <c r="AI223" s="12"/>
      <c r="AJ223" s="12"/>
      <c r="AK223" s="12"/>
      <c r="AL223" s="12"/>
      <c r="AM223" s="12"/>
    </row>
    <row r="224">
      <c r="A224" s="88" t="s">
        <v>46</v>
      </c>
      <c r="B224" s="98">
        <v>13420.0</v>
      </c>
      <c r="C224" s="92" t="str">
        <f t="array" ref="C224">INDEX('MTA 28-09'!B:B,MATCH(B224,'MTA 28-09'!A:A,0))</f>
        <v>SIM</v>
      </c>
      <c r="D224" s="95">
        <f t="array" ref="D224">INDEX('MTA 28-09'!D:D,MATCH(B224,'MTA 28-09'!A:A,0))</f>
        <v>2048</v>
      </c>
      <c r="E224" s="98" t="str">
        <f t="array" ref="E224">INDEX('MTA 28-09'!F:F,MATCH(B224,'MTA 28-09'!A:A,0))</f>
        <v>ATENDIDO</v>
      </c>
      <c r="F224" s="152">
        <f t="array" ref="F224">INDEX('MTA 28-09'!I:I,MATCH(B224,'MTA 28-09'!A:A,0))</f>
        <v>46118</v>
      </c>
      <c r="G224" s="100" t="str">
        <f t="array" ref="G224">INDEX('MTA 28-09'!J:J,MATCH(B224,'MTA 28-09'!A:A,0))</f>
        <v>C26201</v>
      </c>
      <c r="H224" s="101" t="s">
        <v>1580</v>
      </c>
      <c r="I224" s="90"/>
      <c r="J224" s="102"/>
      <c r="K224" s="103"/>
      <c r="L224" s="102" t="str">
        <f t="array" ref="L224">INDEX('MTA 28-09'!S:S,MATCH(B224,'MTA 28-09'!A:A,0))</f>
        <v>T-27</v>
      </c>
      <c r="M224" s="98" t="str">
        <f t="array" ref="M224">INDEX('MTA 28-09'!T:T,MATCH(B224,'MTA 28-09'!A:A,0))</f>
        <v>CTT 009/CELOG-PAMALS/2025 – Aquisição de Consumíveis</v>
      </c>
      <c r="N224" s="98" t="str">
        <f t="array" ref="N224">INDEX('MTA 28-09'!U:U,MATCH(B224,'MTA 28-09'!A:A,0))</f>
        <v>Sob demanda 2/8</v>
      </c>
      <c r="O224" s="104">
        <f t="array" ref="O224">INDEX('MTA 28-09'!AC:AC,MATCH(B224,'MTA 28-09'!A:A,0))</f>
        <v>1130000</v>
      </c>
      <c r="P224" s="98" t="str">
        <f t="array" ref="P224">INDEX('MTA 28-09'!N:N,MATCH(B224,'MTA 28-09'!A:A,0))</f>
        <v>CELOG</v>
      </c>
      <c r="Q224" s="105" t="str">
        <f t="array" ref="Q224">INDEX('MTA 28-09'!Z:Z,MATCH(B224,'MTA 28-09'!A:A,0))</f>
        <v>339030</v>
      </c>
      <c r="R224" s="98" t="str">
        <f t="array" ref="R224">INDEX('MTA 28-09'!L:L,MATCH(B224,'MTA 28-09'!A:A,0))</f>
        <v>A</v>
      </c>
      <c r="S224" s="107" t="str">
        <f t="array" ref="S224">INDEX('MTA 28-09'!X:X,MATCH(B224,'MTA 28-09'!A:A,0))</f>
        <v>SOB DEMANDA</v>
      </c>
      <c r="T224" s="107" t="str">
        <f t="array" ref="T224">INDEX('MTA 28-09'!W:W,MATCH(B224,'MTA 28-09'!A:A,0))</f>
        <v>Não</v>
      </c>
      <c r="U224" s="109">
        <f t="array" ref="U224">INDEX('MTA 28-09'!AE:AE,MATCH(B224,'MTA 28-09'!A:A,0))</f>
        <v>46199</v>
      </c>
      <c r="V224" s="29"/>
      <c r="W224" s="29"/>
      <c r="X224" s="29"/>
      <c r="Y224" s="29"/>
      <c r="Z224" s="29"/>
      <c r="AA224" s="29"/>
      <c r="AB224" s="29"/>
      <c r="AC224" s="29"/>
      <c r="AD224" s="29"/>
      <c r="AE224" s="29"/>
      <c r="AF224" s="29"/>
      <c r="AG224" s="29"/>
      <c r="AH224" s="29"/>
      <c r="AI224" s="29"/>
      <c r="AJ224" s="29"/>
      <c r="AK224" s="29"/>
      <c r="AL224" s="29"/>
      <c r="AM224" s="29"/>
    </row>
    <row r="225">
      <c r="A225" s="31" t="s">
        <v>39</v>
      </c>
      <c r="B225" s="32">
        <v>13440.0</v>
      </c>
      <c r="C225" s="33" t="str">
        <f t="array" ref="C225">INDEX('MTA 28-09'!B:B,MATCH(B225,'MTA 28-09'!A:A,0))</f>
        <v>SIM</v>
      </c>
      <c r="D225" s="34">
        <f t="array" ref="D225">INDEX('MTA 28-09'!D:D,MATCH(B225,'MTA 28-09'!A:A,0))</f>
        <v>2048</v>
      </c>
      <c r="E225" s="32" t="str">
        <f t="array" ref="E225">INDEX('MTA 28-09'!F:F,MATCH(B225,'MTA 28-09'!A:A,0))</f>
        <v>CANCELADO</v>
      </c>
      <c r="F225" s="137" t="str">
        <f t="array" ref="F225">INDEX('MTA 28-09'!I:I,MATCH(B225,'MTA 28-09'!A:A,0))</f>
        <v/>
      </c>
      <c r="G225" s="36" t="str">
        <f t="array" ref="G225">INDEX('MTA 28-09'!J:J,MATCH(B225,'MTA 28-09'!A:A,0))</f>
        <v/>
      </c>
      <c r="H225" s="287" t="s">
        <v>157</v>
      </c>
      <c r="I225" s="295"/>
      <c r="J225" s="39"/>
      <c r="K225" s="40"/>
      <c r="L225" s="39" t="str">
        <f t="array" ref="L225">INDEX('MTA 28-09'!S:S,MATCH(B225,'MTA 28-09'!A:A,0))</f>
        <v>A-29</v>
      </c>
      <c r="M225" s="32" t="str">
        <f t="array" ref="M225">INDEX('MTA 28-09'!T:T,MATCH(B225,'MTA 28-09'!A:A,0))</f>
        <v>CTT 102/CELOG-PAMALS/2023 – EMBRAER - PSLI</v>
      </c>
      <c r="N225" s="32" t="str">
        <f t="array" ref="N225">INDEX('MTA 28-09'!U:U,MATCH(B225,'MTA 28-09'!A:A,0))</f>
        <v>Módulo Extra - Sob demanda 2/4</v>
      </c>
      <c r="O225" s="59" t="str">
        <f t="array" ref="O225">INDEX('MTA 28-09'!AC:AC,MATCH(B225,'MTA 28-09'!A:A,0))</f>
        <v> -</v>
      </c>
      <c r="P225" s="32" t="str">
        <f t="array" ref="P225">INDEX('MTA 28-09'!N:N,MATCH(B225,'MTA 28-09'!A:A,0))</f>
        <v>CELOG</v>
      </c>
      <c r="Q225" s="67" t="str">
        <f t="array" ref="Q225">INDEX('MTA 28-09'!Z:Z,MATCH(B225,'MTA 28-09'!A:A,0))</f>
        <v>339039</v>
      </c>
      <c r="R225" s="32" t="str">
        <f t="array" ref="R225">INDEX('MTA 28-09'!L:L,MATCH(B225,'MTA 28-09'!A:A,0))</f>
        <v>A</v>
      </c>
      <c r="S225" s="72" t="str">
        <f t="array" ref="S225">INDEX('MTA 28-09'!X:X,MATCH(B225,'MTA 28-09'!A:A,0))</f>
        <v>SOB DEMANDA</v>
      </c>
      <c r="T225" s="72" t="str">
        <f t="array" ref="T225">INDEX('MTA 28-09'!W:W,MATCH(B225,'MTA 28-09'!A:A,0))</f>
        <v>Não</v>
      </c>
      <c r="U225" s="419" t="str">
        <f t="array" ref="U225">INDEX('MTA 28-09'!AE:AE,MATCH(B225,'MTA 28-09'!A:A,0))</f>
        <v>-</v>
      </c>
      <c r="V225" s="12"/>
      <c r="W225" s="12"/>
      <c r="X225" s="12"/>
      <c r="Y225" s="12"/>
      <c r="Z225" s="12"/>
      <c r="AA225" s="12"/>
      <c r="AB225" s="12"/>
      <c r="AC225" s="12"/>
      <c r="AD225" s="12"/>
      <c r="AE225" s="12"/>
      <c r="AF225" s="12"/>
      <c r="AG225" s="12"/>
      <c r="AH225" s="12"/>
      <c r="AI225" s="12"/>
      <c r="AJ225" s="12"/>
      <c r="AK225" s="12"/>
      <c r="AL225" s="12"/>
      <c r="AM225" s="12"/>
    </row>
    <row r="226">
      <c r="A226" s="88" t="s">
        <v>43</v>
      </c>
      <c r="B226" s="98">
        <v>13460.0</v>
      </c>
      <c r="C226" s="92" t="str">
        <f t="array" ref="C226">INDEX('MTA 28-09'!B:B,MATCH(B226,'MTA 28-09'!A:A,0))</f>
        <v>SIM</v>
      </c>
      <c r="D226" s="95">
        <f t="array" ref="D226">INDEX('MTA 28-09'!D:D,MATCH(B226,'MTA 28-09'!A:A,0))</f>
        <v>2048</v>
      </c>
      <c r="E226" s="98" t="str">
        <f t="array" ref="E226">INDEX('MTA 28-09'!F:F,MATCH(B226,'MTA 28-09'!A:A,0))</f>
        <v>ATENDIDO</v>
      </c>
      <c r="F226" s="99">
        <f t="array" ref="F226">INDEX('MTA 28-09'!I:I,MATCH(B226,'MTA 28-09'!A:A,0))</f>
        <v>46191</v>
      </c>
      <c r="G226" s="100" t="str">
        <f t="array" ref="G226">INDEX('MTA 28-09'!J:J,MATCH(B226,'MTA 28-09'!A:A,0))</f>
        <v>C26309</v>
      </c>
      <c r="H226" s="101" t="s">
        <v>421</v>
      </c>
      <c r="I226" s="90"/>
      <c r="J226" s="102"/>
      <c r="K226" s="103"/>
      <c r="L226" s="102" t="str">
        <f t="array" ref="L226">INDEX('MTA 28-09'!S:S,MATCH(B226,'MTA 28-09'!A:A,0))</f>
        <v>C-95M</v>
      </c>
      <c r="M226" s="98" t="str">
        <f t="array" ref="M226">INDEX('MTA 28-09'!T:T,MATCH(B226,'MTA 28-09'!A:A,0))</f>
        <v>CTT 028/CELOG-PAMALS/2025 – CLS AVIÔNICOS</v>
      </c>
      <c r="N226" s="98" t="str">
        <f t="array" ref="N226">INDEX('MTA 28-09'!U:U,MATCH(B226,'MTA 28-09'!A:A,0))</f>
        <v>Módulo Extra - Sob demanda 2/4</v>
      </c>
      <c r="O226" s="104">
        <f t="array" ref="O226">INDEX('MTA 28-09'!AC:AC,MATCH(B226,'MTA 28-09'!A:A,0))</f>
        <v>525000</v>
      </c>
      <c r="P226" s="98" t="str">
        <f t="array" ref="P226">INDEX('MTA 28-09'!N:N,MATCH(B226,'MTA 28-09'!A:A,0))</f>
        <v>CELOG</v>
      </c>
      <c r="Q226" s="105" t="str">
        <f t="array" ref="Q226">INDEX('MTA 28-09'!Z:Z,MATCH(B226,'MTA 28-09'!A:A,0))</f>
        <v>339030</v>
      </c>
      <c r="R226" s="98" t="str">
        <f t="array" ref="R226">INDEX('MTA 28-09'!L:L,MATCH(B226,'MTA 28-09'!A:A,0))</f>
        <v>A</v>
      </c>
      <c r="S226" s="107" t="str">
        <f t="array" ref="S226">INDEX('MTA 28-09'!X:X,MATCH(B226,'MTA 28-09'!A:A,0))</f>
        <v>SOB DEMANDA</v>
      </c>
      <c r="T226" s="107" t="str">
        <f t="array" ref="T226">INDEX('MTA 28-09'!W:W,MATCH(B226,'MTA 28-09'!A:A,0))</f>
        <v>Não</v>
      </c>
      <c r="U226" s="109">
        <f t="array" ref="U226">INDEX('MTA 28-09'!AE:AE,MATCH(B226,'MTA 28-09'!A:A,0))</f>
        <v>46260</v>
      </c>
      <c r="V226" s="29"/>
      <c r="W226" s="29"/>
      <c r="X226" s="29"/>
      <c r="Y226" s="29"/>
      <c r="Z226" s="29"/>
      <c r="AA226" s="29"/>
      <c r="AB226" s="29"/>
      <c r="AC226" s="29"/>
      <c r="AD226" s="29"/>
      <c r="AE226" s="29"/>
      <c r="AF226" s="29"/>
      <c r="AG226" s="29"/>
      <c r="AH226" s="29"/>
      <c r="AI226" s="29"/>
      <c r="AJ226" s="29"/>
      <c r="AK226" s="29"/>
      <c r="AL226" s="29"/>
      <c r="AM226" s="29"/>
    </row>
    <row r="227">
      <c r="A227" s="31" t="s">
        <v>43</v>
      </c>
      <c r="B227" s="32">
        <v>13480.0</v>
      </c>
      <c r="C227" s="33" t="str">
        <f t="array" ref="C227">INDEX('MTA 28-09'!B:B,MATCH(B227,'MTA 28-09'!A:A,0))</f>
        <v>SIM</v>
      </c>
      <c r="D227" s="34">
        <f t="array" ref="D227">INDEX('MTA 28-09'!D:D,MATCH(B227,'MTA 28-09'!A:A,0))</f>
        <v>2048</v>
      </c>
      <c r="E227" s="32" t="str">
        <f t="array" ref="E227">INDEX('MTA 28-09'!F:F,MATCH(B227,'MTA 28-09'!A:A,0))</f>
        <v>ATENDIDO</v>
      </c>
      <c r="F227" s="137">
        <f t="array" ref="F227">INDEX('MTA 28-09'!I:I,MATCH(B227,'MTA 28-09'!A:A,0))</f>
        <v>46121</v>
      </c>
      <c r="G227" s="36" t="str">
        <f t="array" ref="G227">INDEX('MTA 28-09'!J:J,MATCH(B227,'MTA 28-09'!A:A,0))</f>
        <v>C26204</v>
      </c>
      <c r="H227" s="37" t="s">
        <v>1582</v>
      </c>
      <c r="I227" s="38"/>
      <c r="J227" s="39"/>
      <c r="K227" s="40"/>
      <c r="L227" s="39" t="str">
        <f t="array" ref="L227">INDEX('MTA 28-09'!S:S,MATCH(B227,'MTA 28-09'!A:A,0))</f>
        <v>C-95M</v>
      </c>
      <c r="M227" s="32" t="str">
        <f t="array" ref="M227">INDEX('MTA 28-09'!T:T,MATCH(B227,'MTA 28-09'!A:A,0))</f>
        <v>CTT 049/CELOG-PAMALS/2024 – Aquisição de Consumíveis</v>
      </c>
      <c r="N227" s="32" t="str">
        <f t="array" ref="N227">INDEX('MTA 28-09'!U:U,MATCH(B227,'MTA 28-09'!A:A,0))</f>
        <v>Sob demanda 2/6</v>
      </c>
      <c r="O227" s="59">
        <f t="array" ref="O227">INDEX('MTA 28-09'!AC:AC,MATCH(B227,'MTA 28-09'!A:A,0))</f>
        <v>1360000</v>
      </c>
      <c r="P227" s="32" t="str">
        <f t="array" ref="P227">INDEX('MTA 28-09'!N:N,MATCH(B227,'MTA 28-09'!A:A,0))</f>
        <v>CELOG</v>
      </c>
      <c r="Q227" s="67" t="str">
        <f t="array" ref="Q227">INDEX('MTA 28-09'!Z:Z,MATCH(B227,'MTA 28-09'!A:A,0))</f>
        <v>339030</v>
      </c>
      <c r="R227" s="32" t="str">
        <f t="array" ref="R227">INDEX('MTA 28-09'!L:L,MATCH(B227,'MTA 28-09'!A:A,0))</f>
        <v>A</v>
      </c>
      <c r="S227" s="72" t="str">
        <f t="array" ref="S227">INDEX('MTA 28-09'!X:X,MATCH(B227,'MTA 28-09'!A:A,0))</f>
        <v>SOB DEMANDA</v>
      </c>
      <c r="T227" s="72" t="str">
        <f t="array" ref="T227">INDEX('MTA 28-09'!W:W,MATCH(B227,'MTA 28-09'!A:A,0))</f>
        <v>Não</v>
      </c>
      <c r="U227" s="81">
        <f t="array" ref="U227">INDEX('MTA 28-09'!AE:AE,MATCH(B227,'MTA 28-09'!A:A,0))</f>
        <v>46199</v>
      </c>
      <c r="V227" s="12"/>
      <c r="W227" s="12"/>
      <c r="X227" s="12"/>
      <c r="Y227" s="12"/>
      <c r="Z227" s="12"/>
      <c r="AA227" s="12"/>
      <c r="AB227" s="12"/>
      <c r="AC227" s="12"/>
      <c r="AD227" s="12"/>
      <c r="AE227" s="12"/>
      <c r="AF227" s="12"/>
      <c r="AG227" s="12"/>
      <c r="AH227" s="12"/>
      <c r="AI227" s="12"/>
      <c r="AJ227" s="12"/>
      <c r="AK227" s="12"/>
      <c r="AL227" s="12"/>
      <c r="AM227" s="12"/>
    </row>
    <row r="228">
      <c r="A228" s="88" t="s">
        <v>99</v>
      </c>
      <c r="B228" s="98">
        <v>13500.0</v>
      </c>
      <c r="C228" s="92" t="str">
        <f t="array" ref="C228">INDEX('MTA 28-09'!B:B,MATCH(B228,'MTA 28-09'!A:A,0))</f>
        <v>NÃO</v>
      </c>
      <c r="D228" s="95" t="str">
        <f t="array" ref="D228">INDEX('MTA 28-09'!D:D,MATCH(B228,'MTA 28-09'!A:A,0))</f>
        <v/>
      </c>
      <c r="E228" s="98" t="str">
        <f t="array" ref="E228">INDEX('MTA 28-09'!F:F,MATCH(B228,'MTA 28-09'!A:A,0))</f>
        <v>BLOQUEIO</v>
      </c>
      <c r="F228" s="99" t="str">
        <f t="array" ref="F228">INDEX('MTA 28-09'!I:I,MATCH(B228,'MTA 28-09'!A:A,0))</f>
        <v/>
      </c>
      <c r="G228" s="100" t="str">
        <f t="array" ref="G228">INDEX('MTA 28-09'!J:J,MATCH(B228,'MTA 28-09'!A:A,0))</f>
        <v/>
      </c>
      <c r="H228" s="159" t="s">
        <v>157</v>
      </c>
      <c r="I228" s="296"/>
      <c r="J228" s="102"/>
      <c r="K228" s="103"/>
      <c r="L228" s="102" t="str">
        <f t="array" ref="L228">INDEX('MTA 28-09'!S:S,MATCH(B228,'MTA 28-09'!A:A,0))</f>
        <v>APOIO</v>
      </c>
      <c r="M228" s="98" t="str">
        <f t="array" ref="M228">INDEX('MTA 28-09'!T:T,MATCH(B228,'MTA 28-09'!A:A,0))</f>
        <v>CNT XXX/GAPLS/2026 - Revisão/Manutenção de maquinários da TOFI - Serviço</v>
      </c>
      <c r="N228" s="98" t="str">
        <f t="array" ref="N228">INDEX('MTA 28-09'!U:U,MATCH(B228,'MTA 28-09'!A:A,0))</f>
        <v>Serviço de revisão/manutenção preventiva e corretiva dos maquinários da TOFI 1/6</v>
      </c>
      <c r="O228" s="104">
        <f t="array" ref="O228">INDEX('MTA 28-09'!AC:AC,MATCH(B228,'MTA 28-09'!A:A,0))</f>
        <v>324000</v>
      </c>
      <c r="P228" s="98" t="str">
        <f t="array" ref="P228">INDEX('MTA 28-09'!N:N,MATCH(B228,'MTA 28-09'!A:A,0))</f>
        <v>GAP-LS</v>
      </c>
      <c r="Q228" s="105" t="str">
        <f t="array" ref="Q228">INDEX('MTA 28-09'!Z:Z,MATCH(B228,'MTA 28-09'!A:A,0))</f>
        <v>339039</v>
      </c>
      <c r="R228" s="98" t="str">
        <f t="array" ref="R228">INDEX('MTA 28-09'!L:L,MATCH(B228,'MTA 28-09'!A:A,0))</f>
        <v>B</v>
      </c>
      <c r="S228" s="107" t="str">
        <f t="array" ref="S228">INDEX('MTA 28-09'!X:X,MATCH(B228,'MTA 28-09'!A:A,0))</f>
        <v>SOB DEMANDA</v>
      </c>
      <c r="T228" s="107" t="str">
        <f t="array" ref="T228">INDEX('MTA 28-09'!W:W,MATCH(B228,'MTA 28-09'!A:A,0))</f>
        <v>NÃO</v>
      </c>
      <c r="U228" s="109">
        <f t="array" ref="U228">INDEX('MTA 28-09'!AE:AE,MATCH(B228,'MTA 28-09'!A:A,0))</f>
        <v>46199</v>
      </c>
      <c r="V228" s="29"/>
      <c r="W228" s="29"/>
      <c r="X228" s="29"/>
      <c r="Y228" s="29"/>
      <c r="Z228" s="29"/>
      <c r="AA228" s="29"/>
      <c r="AB228" s="29"/>
      <c r="AC228" s="29"/>
      <c r="AD228" s="29"/>
      <c r="AE228" s="29"/>
      <c r="AF228" s="29"/>
      <c r="AG228" s="29"/>
      <c r="AH228" s="29"/>
      <c r="AI228" s="29"/>
      <c r="AJ228" s="29"/>
      <c r="AK228" s="29"/>
      <c r="AL228" s="29"/>
      <c r="AM228" s="29"/>
    </row>
    <row r="229">
      <c r="A229" s="31" t="s">
        <v>99</v>
      </c>
      <c r="B229" s="32">
        <v>13520.0</v>
      </c>
      <c r="C229" s="33" t="str">
        <f t="array" ref="C229">INDEX('MTA 28-09'!B:B,MATCH(B229,'MTA 28-09'!A:A,0))</f>
        <v>NÃO</v>
      </c>
      <c r="D229" s="34" t="str">
        <f t="array" ref="D229">INDEX('MTA 28-09'!D:D,MATCH(B229,'MTA 28-09'!A:A,0))</f>
        <v/>
      </c>
      <c r="E229" s="32" t="str">
        <f t="array" ref="E229">INDEX('MTA 28-09'!F:F,MATCH(B229,'MTA 28-09'!A:A,0))</f>
        <v>BLOQUEIO</v>
      </c>
      <c r="F229" s="35" t="str">
        <f t="array" ref="F229">INDEX('MTA 28-09'!I:I,MATCH(B229,'MTA 28-09'!A:A,0))</f>
        <v/>
      </c>
      <c r="G229" s="36" t="str">
        <f t="array" ref="G229">INDEX('MTA 28-09'!J:J,MATCH(B229,'MTA 28-09'!A:A,0))</f>
        <v/>
      </c>
      <c r="H229" s="287" t="s">
        <v>157</v>
      </c>
      <c r="I229" s="295"/>
      <c r="J229" s="39"/>
      <c r="K229" s="40"/>
      <c r="L229" s="39" t="str">
        <f t="array" ref="L229">INDEX('MTA 28-09'!S:S,MATCH(B229,'MTA 28-09'!A:A,0))</f>
        <v>APOIO</v>
      </c>
      <c r="M229" s="32" t="str">
        <f t="array" ref="M229">INDEX('MTA 28-09'!T:T,MATCH(B229,'MTA 28-09'!A:A,0))</f>
        <v>CNT XXX/GAPLS/2026 - Revisão/Manutenção de maquinários da TOFI - Serviço</v>
      </c>
      <c r="N229" s="32" t="str">
        <f t="array" ref="N229">INDEX('MTA 28-09'!U:U,MATCH(B229,'MTA 28-09'!A:A,0))</f>
        <v>Serviço de revisão/manutenção preventiva e corretiva dos maquinários da TOFI 2/6</v>
      </c>
      <c r="O229" s="59">
        <f t="array" ref="O229">INDEX('MTA 28-09'!AC:AC,MATCH(B229,'MTA 28-09'!A:A,0))</f>
        <v>324000</v>
      </c>
      <c r="P229" s="32" t="str">
        <f t="array" ref="P229">INDEX('MTA 28-09'!N:N,MATCH(B229,'MTA 28-09'!A:A,0))</f>
        <v>GAP-LS</v>
      </c>
      <c r="Q229" s="67" t="str">
        <f t="array" ref="Q229">INDEX('MTA 28-09'!Z:Z,MATCH(B229,'MTA 28-09'!A:A,0))</f>
        <v>339039</v>
      </c>
      <c r="R229" s="32" t="str">
        <f t="array" ref="R229">INDEX('MTA 28-09'!L:L,MATCH(B229,'MTA 28-09'!A:A,0))</f>
        <v>B</v>
      </c>
      <c r="S229" s="72" t="str">
        <f t="array" ref="S229">INDEX('MTA 28-09'!X:X,MATCH(B229,'MTA 28-09'!A:A,0))</f>
        <v>SOB DEMANDA</v>
      </c>
      <c r="T229" s="72" t="str">
        <f t="array" ref="T229">INDEX('MTA 28-09'!W:W,MATCH(B229,'MTA 28-09'!A:A,0))</f>
        <v>NÃO</v>
      </c>
      <c r="U229" s="81">
        <f t="array" ref="U229">INDEX('MTA 28-09'!AE:AE,MATCH(B229,'MTA 28-09'!A:A,0))</f>
        <v>46199</v>
      </c>
      <c r="V229" s="12"/>
      <c r="W229" s="12"/>
      <c r="X229" s="12"/>
      <c r="Y229" s="12"/>
      <c r="Z229" s="12"/>
      <c r="AA229" s="12"/>
      <c r="AB229" s="12"/>
      <c r="AC229" s="12"/>
      <c r="AD229" s="12"/>
      <c r="AE229" s="12"/>
      <c r="AF229" s="12"/>
      <c r="AG229" s="12"/>
      <c r="AH229" s="12"/>
      <c r="AI229" s="12"/>
      <c r="AJ229" s="12"/>
      <c r="AK229" s="12"/>
      <c r="AL229" s="12"/>
      <c r="AM229" s="12"/>
    </row>
    <row r="230">
      <c r="A230" s="88" t="s">
        <v>99</v>
      </c>
      <c r="B230" s="98">
        <v>13540.0</v>
      </c>
      <c r="C230" s="92" t="str">
        <f t="array" ref="C230">INDEX('MTA 28-09'!B:B,MATCH(B230,'MTA 28-09'!A:A,0))</f>
        <v>SIM</v>
      </c>
      <c r="D230" s="95">
        <f t="array" ref="D230">INDEX('MTA 28-09'!D:D,MATCH(B230,'MTA 28-09'!A:A,0))</f>
        <v>2048</v>
      </c>
      <c r="E230" s="98" t="str">
        <f t="array" ref="E230">INDEX('MTA 28-09'!F:F,MATCH(B230,'MTA 28-09'!A:A,0))</f>
        <v>CANCELADO</v>
      </c>
      <c r="F230" s="99" t="str">
        <f t="array" ref="F230">INDEX('MTA 28-09'!I:I,MATCH(B230,'MTA 28-09'!A:A,0))</f>
        <v/>
      </c>
      <c r="G230" s="100" t="str">
        <f t="array" ref="G230">INDEX('MTA 28-09'!J:J,MATCH(B230,'MTA 28-09'!A:A,0))</f>
        <v/>
      </c>
      <c r="H230" s="159" t="s">
        <v>157</v>
      </c>
      <c r="I230" s="296"/>
      <c r="J230" s="102"/>
      <c r="K230" s="103"/>
      <c r="L230" s="102" t="str">
        <f t="array" ref="L230">INDEX('MTA 28-09'!S:S,MATCH(B230,'MTA 28-09'!A:A,0))</f>
        <v>APOIO</v>
      </c>
      <c r="M230" s="98" t="str">
        <f t="array" ref="M230">INDEX('MTA 28-09'!T:T,MATCH(B230,'MTA 28-09'!A:A,0))</f>
        <v>CNT XXX/GAPLS/2026 - Serviço de readequação da ETE do PAMALS para instalação de abrigo de resíduos sólidos</v>
      </c>
      <c r="N230" s="98" t="str">
        <f t="array" ref="N230">INDEX('MTA 28-09'!U:U,MATCH(B230,'MTA 28-09'!A:A,0))</f>
        <v>INFRAESTRUTURA - Serviço de readequação da ETE do PAMALS para instalação de abrigo de resíduos sólidos 1/2</v>
      </c>
      <c r="O230" s="104" t="str">
        <f t="array" ref="O230">INDEX('MTA 28-09'!AC:AC,MATCH(B230,'MTA 28-09'!A:A,0))</f>
        <v> -</v>
      </c>
      <c r="P230" s="98" t="str">
        <f t="array" ref="P230">INDEX('MTA 28-09'!N:N,MATCH(B230,'MTA 28-09'!A:A,0))</f>
        <v>GAP-LS</v>
      </c>
      <c r="Q230" s="105" t="str">
        <f t="array" ref="Q230">INDEX('MTA 28-09'!Z:Z,MATCH(B230,'MTA 28-09'!A:A,0))</f>
        <v>339039</v>
      </c>
      <c r="R230" s="98" t="str">
        <f t="array" ref="R230">INDEX('MTA 28-09'!L:L,MATCH(B230,'MTA 28-09'!A:A,0))</f>
        <v>A</v>
      </c>
      <c r="S230" s="107" t="str">
        <f t="array" ref="S230">INDEX('MTA 28-09'!X:X,MATCH(B230,'MTA 28-09'!A:A,0))</f>
        <v>SOB DEMANDA</v>
      </c>
      <c r="T230" s="107" t="str">
        <f t="array" ref="T230">INDEX('MTA 28-09'!W:W,MATCH(B230,'MTA 28-09'!A:A,0))</f>
        <v>NÃO</v>
      </c>
      <c r="U230" s="418" t="str">
        <f t="array" ref="U230">INDEX('MTA 28-09'!AE:AE,MATCH(B230,'MTA 28-09'!A:A,0))</f>
        <v>-</v>
      </c>
      <c r="V230" s="29"/>
      <c r="W230" s="29"/>
      <c r="X230" s="29"/>
      <c r="Y230" s="29"/>
      <c r="Z230" s="29"/>
      <c r="AA230" s="29"/>
      <c r="AB230" s="29"/>
      <c r="AC230" s="29"/>
      <c r="AD230" s="29"/>
      <c r="AE230" s="29"/>
      <c r="AF230" s="29"/>
      <c r="AG230" s="29"/>
      <c r="AH230" s="29"/>
      <c r="AI230" s="29"/>
      <c r="AJ230" s="29"/>
      <c r="AK230" s="29"/>
      <c r="AL230" s="29"/>
      <c r="AM230" s="29"/>
    </row>
    <row r="231">
      <c r="A231" s="31" t="s">
        <v>99</v>
      </c>
      <c r="B231" s="32">
        <v>13560.0</v>
      </c>
      <c r="C231" s="33" t="str">
        <f t="array" ref="C231">INDEX('MTA 28-09'!B:B,MATCH(B231,'MTA 28-09'!A:A,0))</f>
        <v>NÃO</v>
      </c>
      <c r="D231" s="34" t="str">
        <f t="array" ref="D231">INDEX('MTA 28-09'!D:D,MATCH(B231,'MTA 28-09'!A:A,0))</f>
        <v/>
      </c>
      <c r="E231" s="32" t="str">
        <f t="array" ref="E231">INDEX('MTA 28-09'!F:F,MATCH(B231,'MTA 28-09'!A:A,0))</f>
        <v>BLOQUEIO</v>
      </c>
      <c r="F231" s="137" t="str">
        <f t="array" ref="F231">INDEX('MTA 28-09'!I:I,MATCH(B231,'MTA 28-09'!A:A,0))</f>
        <v/>
      </c>
      <c r="G231" s="36" t="str">
        <f t="array" ref="G231">INDEX('MTA 28-09'!J:J,MATCH(B231,'MTA 28-09'!A:A,0))</f>
        <v/>
      </c>
      <c r="H231" s="287" t="s">
        <v>157</v>
      </c>
      <c r="I231" s="295"/>
      <c r="J231" s="39"/>
      <c r="K231" s="40"/>
      <c r="L231" s="39" t="str">
        <f t="array" ref="L231">INDEX('MTA 28-09'!S:S,MATCH(B231,'MTA 28-09'!A:A,0))</f>
        <v>APOIO</v>
      </c>
      <c r="M231" s="32" t="str">
        <f t="array" ref="M231">INDEX('MTA 28-09'!T:T,MATCH(B231,'MTA 28-09'!A:A,0))</f>
        <v>CNT 032/CELOG-PAMALS/2025 - SENAI</v>
      </c>
      <c r="N231" s="32" t="str">
        <f t="array" ref="N231">INDEX('MTA 28-09'!U:U,MATCH(B231,'MTA 28-09'!A:A,0))</f>
        <v>Confecção de itens manufaturados 1/4</v>
      </c>
      <c r="O231" s="59">
        <f t="array" ref="O231">INDEX('MTA 28-09'!AC:AC,MATCH(B231,'MTA 28-09'!A:A,0))</f>
        <v>148000</v>
      </c>
      <c r="P231" s="32" t="str">
        <f t="array" ref="P231">INDEX('MTA 28-09'!N:N,MATCH(B231,'MTA 28-09'!A:A,0))</f>
        <v>CELOG</v>
      </c>
      <c r="Q231" s="67" t="str">
        <f t="array" ref="Q231">INDEX('MTA 28-09'!Z:Z,MATCH(B231,'MTA 28-09'!A:A,0))</f>
        <v>339039</v>
      </c>
      <c r="R231" s="32" t="str">
        <f t="array" ref="R231">INDEX('MTA 28-09'!L:L,MATCH(B231,'MTA 28-09'!A:A,0))</f>
        <v>B</v>
      </c>
      <c r="S231" s="72" t="str">
        <f t="array" ref="S231">INDEX('MTA 28-09'!X:X,MATCH(B231,'MTA 28-09'!A:A,0))</f>
        <v>SOB DEMANDA</v>
      </c>
      <c r="T231" s="72" t="str">
        <f t="array" ref="T231">INDEX('MTA 28-09'!W:W,MATCH(B231,'MTA 28-09'!A:A,0))</f>
        <v>NÃO</v>
      </c>
      <c r="U231" s="81">
        <f t="array" ref="U231">INDEX('MTA 28-09'!AE:AE,MATCH(B231,'MTA 28-09'!A:A,0))</f>
        <v>46199</v>
      </c>
      <c r="V231" s="12"/>
      <c r="W231" s="12"/>
      <c r="X231" s="12"/>
      <c r="Y231" s="12"/>
      <c r="Z231" s="12"/>
      <c r="AA231" s="12"/>
      <c r="AB231" s="12"/>
      <c r="AC231" s="12"/>
      <c r="AD231" s="12"/>
      <c r="AE231" s="12"/>
      <c r="AF231" s="12"/>
      <c r="AG231" s="12"/>
      <c r="AH231" s="12"/>
      <c r="AI231" s="12"/>
      <c r="AJ231" s="12"/>
      <c r="AK231" s="12"/>
      <c r="AL231" s="12"/>
      <c r="AM231" s="12"/>
    </row>
    <row r="232">
      <c r="A232" s="88" t="s">
        <v>99</v>
      </c>
      <c r="B232" s="90">
        <v>13561.0</v>
      </c>
      <c r="C232" s="92" t="str">
        <f t="array" ref="C232">INDEX('MTA 28-09'!B:B,MATCH(B232,'MTA 28-09'!A:A,0))</f>
        <v>SIM</v>
      </c>
      <c r="D232" s="95">
        <f t="array" ref="D232">INDEX('MTA 28-09'!D:D,MATCH(B232,'MTA 28-09'!A:A,0))</f>
        <v>2048</v>
      </c>
      <c r="E232" s="98" t="str">
        <f t="array" ref="E232">INDEX('MTA 28-09'!F:F,MATCH(B232,'MTA 28-09'!A:A,0))</f>
        <v>ATENDIDO</v>
      </c>
      <c r="F232" s="289">
        <f t="array" ref="F232">INDEX('MTA 28-09'!I:I,MATCH(B232,'MTA 28-09'!A:A,0))</f>
        <v>46265</v>
      </c>
      <c r="G232" s="100" t="str">
        <f t="array" ref="G232">INDEX('MTA 28-09'!J:J,MATCH(B232,'MTA 28-09'!A:A,0))</f>
        <v>C26246</v>
      </c>
      <c r="H232" s="101" t="s">
        <v>1584</v>
      </c>
      <c r="I232" s="90"/>
      <c r="J232" s="102"/>
      <c r="K232" s="103"/>
      <c r="L232" s="102" t="str">
        <f t="array" ref="L232">INDEX('MTA 28-09'!S:S,MATCH(B232,'MTA 28-09'!A:A,0))</f>
        <v>APOIO</v>
      </c>
      <c r="M232" s="98" t="str">
        <f t="array" ref="M232">INDEX('MTA 28-09'!T:T,MATCH(B232,'MTA 28-09'!A:A,0))</f>
        <v>CNT 032/CELOG-PAMALS/2025 - SENAI</v>
      </c>
      <c r="N232" s="98" t="str">
        <f t="array" ref="N232">INDEX('MTA 28-09'!U:U,MATCH(B232,'MTA 28-09'!A:A,0))</f>
        <v>Confecção de itens manufaturados 1/4</v>
      </c>
      <c r="O232" s="104">
        <f t="array" ref="O232">INDEX('MTA 28-09'!AC:AC,MATCH(B232,'MTA 28-09'!A:A,0))</f>
        <v>500000</v>
      </c>
      <c r="P232" s="98" t="str">
        <f t="array" ref="P232">INDEX('MTA 28-09'!N:N,MATCH(B232,'MTA 28-09'!A:A,0))</f>
        <v>CELOG</v>
      </c>
      <c r="Q232" s="105" t="str">
        <f t="array" ref="Q232">INDEX('MTA 28-09'!Z:Z,MATCH(B232,'MTA 28-09'!A:A,0))</f>
        <v>339039</v>
      </c>
      <c r="R232" s="98" t="str">
        <f t="array" ref="R232">INDEX('MTA 28-09'!L:L,MATCH(B232,'MTA 28-09'!A:A,0))</f>
        <v>A</v>
      </c>
      <c r="S232" s="107" t="str">
        <f t="array" ref="S232">INDEX('MTA 28-09'!X:X,MATCH(B232,'MTA 28-09'!A:A,0))</f>
        <v>SOB DEMANDA</v>
      </c>
      <c r="T232" s="107" t="str">
        <f t="array" ref="T232">INDEX('MTA 28-09'!W:W,MATCH(B232,'MTA 28-09'!A:A,0))</f>
        <v>NÃO</v>
      </c>
      <c r="U232" s="109">
        <f t="array" ref="U232">INDEX('MTA 28-09'!AE:AE,MATCH(B232,'MTA 28-09'!A:A,0))</f>
        <v>46199</v>
      </c>
      <c r="V232" s="29"/>
      <c r="W232" s="29"/>
      <c r="X232" s="29"/>
      <c r="Y232" s="29"/>
      <c r="Z232" s="29"/>
      <c r="AA232" s="29"/>
      <c r="AB232" s="29"/>
      <c r="AC232" s="29"/>
      <c r="AD232" s="29"/>
      <c r="AE232" s="29"/>
      <c r="AF232" s="29"/>
      <c r="AG232" s="29"/>
      <c r="AH232" s="29"/>
      <c r="AI232" s="29"/>
      <c r="AJ232" s="29"/>
      <c r="AK232" s="29"/>
      <c r="AL232" s="29"/>
      <c r="AM232" s="29"/>
    </row>
    <row r="233">
      <c r="A233" s="31" t="s">
        <v>49</v>
      </c>
      <c r="B233" s="32">
        <v>13580.0</v>
      </c>
      <c r="C233" s="33" t="str">
        <f t="array" ref="C233">INDEX('MTA 28-09'!B:B,MATCH(B233,'MTA 28-09'!A:A,0))</f>
        <v>SIM</v>
      </c>
      <c r="D233" s="34" t="str">
        <f t="array" ref="D233">INDEX('MTA 28-09'!D:D,MATCH(B233,'MTA 28-09'!A:A,0))</f>
        <v>20XV</v>
      </c>
      <c r="E233" s="32" t="str">
        <f t="array" ref="E233">INDEX('MTA 28-09'!F:F,MATCH(B233,'MTA 28-09'!A:A,0))</f>
        <v>ATENDIDO</v>
      </c>
      <c r="F233" s="294">
        <f t="array" ref="F233">INDEX('MTA 28-09'!I:I,MATCH(B233,'MTA 28-09'!A:A,0))</f>
        <v>46113</v>
      </c>
      <c r="G233" s="36" t="str">
        <f t="array" ref="G233">INDEX('MTA 28-09'!J:J,MATCH(B233,'MTA 28-09'!A:A,0))</f>
        <v>C26152</v>
      </c>
      <c r="H233" s="37" t="s">
        <v>1580</v>
      </c>
      <c r="I233" s="38"/>
      <c r="J233" s="39"/>
      <c r="K233" s="40"/>
      <c r="L233" s="39" t="str">
        <f t="array" ref="L233">INDEX('MTA 28-09'!S:S,MATCH(B233,'MTA 28-09'!A:A,0))</f>
        <v>IU-93M</v>
      </c>
      <c r="M233" s="32" t="str">
        <f t="array" ref="M233">INDEX('MTA 28-09'!T:T,MATCH(B233,'MTA 28-09'!A:A,0))</f>
        <v>CNT 024/CELOG-PAMALS/2022 - VEE ONE</v>
      </c>
      <c r="N233" s="32" t="str">
        <f t="array" ref="N233">INDEX('MTA 28-09'!U:U,MATCH(B233,'MTA 28-09'!A:A,0))</f>
        <v>Módulo Extra - Sob demanda 1/3</v>
      </c>
      <c r="O233" s="59">
        <f t="array" ref="O233">INDEX('MTA 28-09'!AC:AC,MATCH(B233,'MTA 28-09'!A:A,0))</f>
        <v>1100000</v>
      </c>
      <c r="P233" s="32" t="str">
        <f t="array" ref="P233">INDEX('MTA 28-09'!N:N,MATCH(B233,'MTA 28-09'!A:A,0))</f>
        <v>CELOG</v>
      </c>
      <c r="Q233" s="67" t="str">
        <f t="array" ref="Q233">INDEX('MTA 28-09'!Z:Z,MATCH(B233,'MTA 28-09'!A:A,0))</f>
        <v>339039</v>
      </c>
      <c r="R233" s="32" t="str">
        <f t="array" ref="R233">INDEX('MTA 28-09'!L:L,MATCH(B233,'MTA 28-09'!A:A,0))</f>
        <v>A</v>
      </c>
      <c r="S233" s="72" t="str">
        <f t="array" ref="S233">INDEX('MTA 28-09'!X:X,MATCH(B233,'MTA 28-09'!A:A,0))</f>
        <v>SOB DEMANDA</v>
      </c>
      <c r="T233" s="72" t="str">
        <f t="array" ref="T233">INDEX('MTA 28-09'!W:W,MATCH(B233,'MTA 28-09'!A:A,0))</f>
        <v>Não</v>
      </c>
      <c r="U233" s="81">
        <f t="array" ref="U233">INDEX('MTA 28-09'!AE:AE,MATCH(B233,'MTA 28-09'!A:A,0))</f>
        <v>46199</v>
      </c>
      <c r="V233" s="12"/>
      <c r="W233" s="12"/>
      <c r="X233" s="12"/>
      <c r="Y233" s="12"/>
      <c r="Z233" s="12"/>
      <c r="AA233" s="12"/>
      <c r="AB233" s="12"/>
      <c r="AC233" s="12"/>
      <c r="AD233" s="12"/>
      <c r="AE233" s="12"/>
      <c r="AF233" s="12"/>
      <c r="AG233" s="12"/>
      <c r="AH233" s="12"/>
      <c r="AI233" s="12"/>
      <c r="AJ233" s="12"/>
      <c r="AK233" s="12"/>
      <c r="AL233" s="12"/>
      <c r="AM233" s="12"/>
    </row>
    <row r="234">
      <c r="A234" s="88" t="s">
        <v>1572</v>
      </c>
      <c r="B234" s="98">
        <v>13600.0</v>
      </c>
      <c r="C234" s="92" t="str">
        <f t="array" ref="C234">INDEX('MTA 28-09'!B:B,MATCH(B234,'MTA 28-09'!A:A,0))</f>
        <v>NÃO</v>
      </c>
      <c r="D234" s="95" t="str">
        <f t="array" ref="D234">INDEX('MTA 28-09'!D:D,MATCH(B234,'MTA 28-09'!A:A,0))</f>
        <v/>
      </c>
      <c r="E234" s="98" t="str">
        <f t="array" ref="E234">INDEX('MTA 28-09'!F:F,MATCH(B234,'MTA 28-09'!A:A,0))</f>
        <v>BLOQUEIO</v>
      </c>
      <c r="F234" s="99" t="str">
        <f t="array" ref="F234">INDEX('MTA 28-09'!I:I,MATCH(B234,'MTA 28-09'!A:A,0))</f>
        <v/>
      </c>
      <c r="G234" s="100" t="str">
        <f t="array" ref="G234">INDEX('MTA 28-09'!J:J,MATCH(B234,'MTA 28-09'!A:A,0))</f>
        <v/>
      </c>
      <c r="H234" s="159" t="s">
        <v>157</v>
      </c>
      <c r="I234" s="296"/>
      <c r="J234" s="102"/>
      <c r="K234" s="103"/>
      <c r="L234" s="102" t="str">
        <f t="array" ref="L234">INDEX('MTA 28-09'!S:S,MATCH(B234,'MTA 28-09'!A:A,0))</f>
        <v>APOIO</v>
      </c>
      <c r="M234" s="98" t="str">
        <f t="array" ref="M234">INDEX('MTA 28-09'!T:T,MATCH(B234,'MTA 28-09'!A:A,0))</f>
        <v>CTT XXX/GAPLS-PAMALS/2026 – Gestão de Frota</v>
      </c>
      <c r="N234" s="98" t="str">
        <f t="array" ref="N234">INDEX('MTA 28-09'!U:U,MATCH(B234,'MTA 28-09'!A:A,0))</f>
        <v>Serviço de Reparo 2/4</v>
      </c>
      <c r="O234" s="104">
        <f t="array" ref="O234">INDEX('MTA 28-09'!AC:AC,MATCH(B234,'MTA 28-09'!A:A,0))</f>
        <v>70000</v>
      </c>
      <c r="P234" s="98" t="str">
        <f t="array" ref="P234">INDEX('MTA 28-09'!N:N,MATCH(B234,'MTA 28-09'!A:A,0))</f>
        <v>GAP-LS</v>
      </c>
      <c r="Q234" s="105" t="str">
        <f t="array" ref="Q234">INDEX('MTA 28-09'!Z:Z,MATCH(B234,'MTA 28-09'!A:A,0))</f>
        <v>339039</v>
      </c>
      <c r="R234" s="98" t="str">
        <f t="array" ref="R234">INDEX('MTA 28-09'!L:L,MATCH(B234,'MTA 28-09'!A:A,0))</f>
        <v>B</v>
      </c>
      <c r="S234" s="107" t="str">
        <f t="array" ref="S234">INDEX('MTA 28-09'!X:X,MATCH(B234,'MTA 28-09'!A:A,0))</f>
        <v>SOB DEMANDA</v>
      </c>
      <c r="T234" s="107" t="str">
        <f t="array" ref="T234">INDEX('MTA 28-09'!W:W,MATCH(B234,'MTA 28-09'!A:A,0))</f>
        <v>NÃO</v>
      </c>
      <c r="U234" s="109">
        <f t="array" ref="U234">INDEX('MTA 28-09'!AE:AE,MATCH(B234,'MTA 28-09'!A:A,0))</f>
        <v>46199</v>
      </c>
      <c r="V234" s="29"/>
      <c r="W234" s="29"/>
      <c r="X234" s="29"/>
      <c r="Y234" s="29"/>
      <c r="Z234" s="29"/>
      <c r="AA234" s="29"/>
      <c r="AB234" s="29"/>
      <c r="AC234" s="29"/>
      <c r="AD234" s="29"/>
      <c r="AE234" s="29"/>
      <c r="AF234" s="29"/>
      <c r="AG234" s="29"/>
      <c r="AH234" s="29"/>
      <c r="AI234" s="29"/>
      <c r="AJ234" s="29"/>
      <c r="AK234" s="29"/>
      <c r="AL234" s="29"/>
      <c r="AM234" s="29"/>
    </row>
    <row r="235">
      <c r="A235" s="31" t="s">
        <v>1575</v>
      </c>
      <c r="B235" s="32">
        <v>13620.0</v>
      </c>
      <c r="C235" s="33" t="str">
        <f t="array" ref="C235">INDEX('MTA 28-09'!B:B,MATCH(B235,'MTA 28-09'!A:A,0))</f>
        <v>NÃO</v>
      </c>
      <c r="D235" s="34" t="str">
        <f t="array" ref="D235">INDEX('MTA 28-09'!D:D,MATCH(B235,'MTA 28-09'!A:A,0))</f>
        <v/>
      </c>
      <c r="E235" s="32" t="str">
        <f t="array" ref="E235">INDEX('MTA 28-09'!F:F,MATCH(B235,'MTA 28-09'!A:A,0))</f>
        <v>BLOQUEIO</v>
      </c>
      <c r="F235" s="35" t="str">
        <f t="array" ref="F235">INDEX('MTA 28-09'!I:I,MATCH(B235,'MTA 28-09'!A:A,0))</f>
        <v/>
      </c>
      <c r="G235" s="36" t="str">
        <f t="array" ref="G235">INDEX('MTA 28-09'!J:J,MATCH(B235,'MTA 28-09'!A:A,0))</f>
        <v/>
      </c>
      <c r="H235" s="287" t="s">
        <v>157</v>
      </c>
      <c r="I235" s="295"/>
      <c r="J235" s="39"/>
      <c r="K235" s="40"/>
      <c r="L235" s="39" t="str">
        <f t="array" ref="L235">INDEX('MTA 28-09'!S:S,MATCH(B235,'MTA 28-09'!A:A,0))</f>
        <v>APOIO</v>
      </c>
      <c r="M235" s="32" t="str">
        <f t="array" ref="M235">INDEX('MTA 28-09'!T:T,MATCH(B235,'MTA 28-09'!A:A,0))</f>
        <v>CTT XXX/GAPLS-PAMALS/2026 – Gestão de Frota</v>
      </c>
      <c r="N235" s="32" t="str">
        <f t="array" ref="N235">INDEX('MTA 28-09'!U:U,MATCH(B235,'MTA 28-09'!A:A,0))</f>
        <v>Serviço de Reparo 2/4</v>
      </c>
      <c r="O235" s="59">
        <f t="array" ref="O235">INDEX('MTA 28-09'!AC:AC,MATCH(B235,'MTA 28-09'!A:A,0))</f>
        <v>25000</v>
      </c>
      <c r="P235" s="32" t="str">
        <f t="array" ref="P235">INDEX('MTA 28-09'!N:N,MATCH(B235,'MTA 28-09'!A:A,0))</f>
        <v>GAP-LS</v>
      </c>
      <c r="Q235" s="67" t="str">
        <f t="array" ref="Q235">INDEX('MTA 28-09'!Z:Z,MATCH(B235,'MTA 28-09'!A:A,0))</f>
        <v>339039</v>
      </c>
      <c r="R235" s="32" t="str">
        <f t="array" ref="R235">INDEX('MTA 28-09'!L:L,MATCH(B235,'MTA 28-09'!A:A,0))</f>
        <v>B</v>
      </c>
      <c r="S235" s="72" t="str">
        <f t="array" ref="S235">INDEX('MTA 28-09'!X:X,MATCH(B235,'MTA 28-09'!A:A,0))</f>
        <v>SOB DEMANDA</v>
      </c>
      <c r="T235" s="72" t="str">
        <f t="array" ref="T235">INDEX('MTA 28-09'!W:W,MATCH(B235,'MTA 28-09'!A:A,0))</f>
        <v>NÃO</v>
      </c>
      <c r="U235" s="81">
        <f t="array" ref="U235">INDEX('MTA 28-09'!AE:AE,MATCH(B235,'MTA 28-09'!A:A,0))</f>
        <v>46199</v>
      </c>
      <c r="V235" s="12"/>
      <c r="W235" s="12"/>
      <c r="X235" s="12"/>
      <c r="Y235" s="12"/>
      <c r="Z235" s="12"/>
      <c r="AA235" s="12"/>
      <c r="AB235" s="12"/>
      <c r="AC235" s="12"/>
      <c r="AD235" s="12"/>
      <c r="AE235" s="12"/>
      <c r="AF235" s="12"/>
      <c r="AG235" s="12"/>
      <c r="AH235" s="12"/>
      <c r="AI235" s="12"/>
      <c r="AJ235" s="12"/>
      <c r="AK235" s="12"/>
      <c r="AL235" s="12"/>
      <c r="AM235" s="12"/>
    </row>
    <row r="236">
      <c r="A236" s="88" t="s">
        <v>39</v>
      </c>
      <c r="B236" s="98">
        <v>13640.0</v>
      </c>
      <c r="C236" s="92" t="str">
        <f t="array" ref="C236">INDEX('MTA 28-09'!B:B,MATCH(B236,'MTA 28-09'!A:A,0))</f>
        <v>SIM</v>
      </c>
      <c r="D236" s="95">
        <f t="array" ref="D236">INDEX('MTA 28-09'!D:D,MATCH(B236,'MTA 28-09'!A:A,0))</f>
        <v>2048</v>
      </c>
      <c r="E236" s="98" t="str">
        <f t="array" ref="E236">INDEX('MTA 28-09'!F:F,MATCH(B236,'MTA 28-09'!A:A,0))</f>
        <v>ATENDIDO</v>
      </c>
      <c r="F236" s="144">
        <f t="array" ref="F236">INDEX('MTA 28-09'!I:I,MATCH(B236,'MTA 28-09'!A:A,0))</f>
        <v>46121</v>
      </c>
      <c r="G236" s="100" t="str">
        <f t="array" ref="G236">INDEX('MTA 28-09'!J:J,MATCH(B236,'MTA 28-09'!A:A,0))</f>
        <v>C26138</v>
      </c>
      <c r="H236" s="101" t="s">
        <v>1582</v>
      </c>
      <c r="I236" s="90"/>
      <c r="J236" s="102"/>
      <c r="K236" s="103"/>
      <c r="L236" s="102" t="str">
        <f t="array" ref="L236">INDEX('MTA 28-09'!S:S,MATCH(B236,'MTA 28-09'!A:A,0))</f>
        <v>A-29</v>
      </c>
      <c r="M236" s="98" t="str">
        <f t="array" ref="M236">INDEX('MTA 28-09'!T:T,MATCH(B236,'MTA 28-09'!A:A,0))</f>
        <v>CTT 102/CELOG-PAMALS/2023 – EMBRAER - PSLI</v>
      </c>
      <c r="N236" s="98" t="str">
        <f t="array" ref="N236">INDEX('MTA 28-09'!U:U,MATCH(B236,'MTA 28-09'!A:A,0))</f>
        <v>Parcela Fixa 05/12</v>
      </c>
      <c r="O236" s="104">
        <f t="array" ref="O236">INDEX('MTA 28-09'!AC:AC,MATCH(B236,'MTA 28-09'!A:A,0))</f>
        <v>2310000</v>
      </c>
      <c r="P236" s="98" t="str">
        <f t="array" ref="P236">INDEX('MTA 28-09'!N:N,MATCH(B236,'MTA 28-09'!A:A,0))</f>
        <v>CELOG</v>
      </c>
      <c r="Q236" s="105" t="str">
        <f t="array" ref="Q236">INDEX('MTA 28-09'!Z:Z,MATCH(B236,'MTA 28-09'!A:A,0))</f>
        <v>339039</v>
      </c>
      <c r="R236" s="98" t="str">
        <f t="array" ref="R236">INDEX('MTA 28-09'!L:L,MATCH(B236,'MTA 28-09'!A:A,0))</f>
        <v>A</v>
      </c>
      <c r="S236" s="107" t="str">
        <f t="array" ref="S236">INDEX('MTA 28-09'!X:X,MATCH(B236,'MTA 28-09'!A:A,0))</f>
        <v>PARCELA FIXA</v>
      </c>
      <c r="T236" s="107" t="str">
        <f t="array" ref="T236">INDEX('MTA 28-09'!W:W,MATCH(B236,'MTA 28-09'!A:A,0))</f>
        <v>Não</v>
      </c>
      <c r="U236" s="109">
        <f t="array" ref="U236">INDEX('MTA 28-09'!AE:AE,MATCH(B236,'MTA 28-09'!A:A,0))</f>
        <v>46229</v>
      </c>
      <c r="V236" s="29"/>
      <c r="W236" s="29"/>
      <c r="X236" s="29"/>
      <c r="Y236" s="29"/>
      <c r="Z236" s="29"/>
      <c r="AA236" s="29"/>
      <c r="AB236" s="29"/>
      <c r="AC236" s="29"/>
      <c r="AD236" s="29"/>
      <c r="AE236" s="29"/>
      <c r="AF236" s="29"/>
      <c r="AG236" s="29"/>
      <c r="AH236" s="29"/>
      <c r="AI236" s="29"/>
      <c r="AJ236" s="29"/>
      <c r="AK236" s="29"/>
      <c r="AL236" s="29"/>
      <c r="AM236" s="29"/>
    </row>
    <row r="237">
      <c r="A237" s="31" t="s">
        <v>44</v>
      </c>
      <c r="B237" s="32">
        <v>13660.0</v>
      </c>
      <c r="C237" s="33" t="str">
        <f t="array" ref="C237">INDEX('MTA 28-09'!B:B,MATCH(B237,'MTA 28-09'!A:A,0))</f>
        <v>SIM</v>
      </c>
      <c r="D237" s="34">
        <f t="array" ref="D237">INDEX('MTA 28-09'!D:D,MATCH(B237,'MTA 28-09'!A:A,0))</f>
        <v>2048</v>
      </c>
      <c r="E237" s="32" t="str">
        <f t="array" ref="E237">INDEX('MTA 28-09'!F:F,MATCH(B237,'MTA 28-09'!A:A,0))</f>
        <v>ATENDIDO</v>
      </c>
      <c r="F237" s="294">
        <f t="array" ref="F237">INDEX('MTA 28-09'!I:I,MATCH(B237,'MTA 28-09'!A:A,0))</f>
        <v>46121</v>
      </c>
      <c r="G237" s="36" t="str">
        <f t="array" ref="G237">INDEX('MTA 28-09'!J:J,MATCH(B237,'MTA 28-09'!A:A,0))</f>
        <v>C26154</v>
      </c>
      <c r="H237" s="37" t="s">
        <v>1582</v>
      </c>
      <c r="I237" s="38"/>
      <c r="J237" s="39"/>
      <c r="K237" s="40"/>
      <c r="L237" s="39" t="str">
        <f t="array" ref="L237">INDEX('MTA 28-09'!S:S,MATCH(B237,'MTA 28-09'!A:A,0))</f>
        <v>C-97</v>
      </c>
      <c r="M237" s="32" t="str">
        <f t="array" ref="M237">INDEX('MTA 28-09'!T:T,MATCH(B237,'MTA 28-09'!A:A,0))</f>
        <v>CTT 096/CAE-PAMALS/2021 - CLS C-97</v>
      </c>
      <c r="N237" s="32" t="str">
        <f t="array" ref="N237">INDEX('MTA 28-09'!U:U,MATCH(B237,'MTA 28-09'!A:A,0))</f>
        <v>Hora de Voo 04/09 (500HV)</v>
      </c>
      <c r="O237" s="59">
        <f t="array" ref="O237">INDEX('MTA 28-09'!AC:AC,MATCH(B237,'MTA 28-09'!A:A,0))</f>
        <v>2572500</v>
      </c>
      <c r="P237" s="32" t="str">
        <f t="array" ref="P237">INDEX('MTA 28-09'!N:N,MATCH(B237,'MTA 28-09'!A:A,0))</f>
        <v>CELOG</v>
      </c>
      <c r="Q237" s="67" t="str">
        <f t="array" ref="Q237">INDEX('MTA 28-09'!Z:Z,MATCH(B237,'MTA 28-09'!A:A,0))</f>
        <v>339039</v>
      </c>
      <c r="R237" s="32" t="str">
        <f t="array" ref="R237">INDEX('MTA 28-09'!L:L,MATCH(B237,'MTA 28-09'!A:A,0))</f>
        <v>A</v>
      </c>
      <c r="S237" s="72" t="str">
        <f t="array" ref="S237">INDEX('MTA 28-09'!X:X,MATCH(B237,'MTA 28-09'!A:A,0))</f>
        <v>HORA DE VOO</v>
      </c>
      <c r="T237" s="72" t="str">
        <f t="array" ref="T237">INDEX('MTA 28-09'!W:W,MATCH(B237,'MTA 28-09'!A:A,0))</f>
        <v>Não</v>
      </c>
      <c r="U237" s="81">
        <f t="array" ref="U237">INDEX('MTA 28-09'!AE:AE,MATCH(B237,'MTA 28-09'!A:A,0))</f>
        <v>46229</v>
      </c>
      <c r="V237" s="12"/>
      <c r="W237" s="12"/>
      <c r="X237" s="12"/>
      <c r="Y237" s="12"/>
      <c r="Z237" s="12"/>
      <c r="AA237" s="12"/>
      <c r="AB237" s="12"/>
      <c r="AC237" s="12"/>
      <c r="AD237" s="12"/>
      <c r="AE237" s="12"/>
      <c r="AF237" s="12"/>
      <c r="AG237" s="12"/>
      <c r="AH237" s="12"/>
      <c r="AI237" s="12"/>
      <c r="AJ237" s="12"/>
      <c r="AK237" s="12"/>
      <c r="AL237" s="12"/>
      <c r="AM237" s="12"/>
    </row>
    <row r="238">
      <c r="A238" s="88" t="s">
        <v>39</v>
      </c>
      <c r="B238" s="98">
        <v>13680.0</v>
      </c>
      <c r="C238" s="92" t="str">
        <f t="array" ref="C238">INDEX('MTA 28-09'!B:B,MATCH(B238,'MTA 28-09'!A:A,0))</f>
        <v>SIM</v>
      </c>
      <c r="D238" s="95">
        <f t="array" ref="D238">INDEX('MTA 28-09'!D:D,MATCH(B238,'MTA 28-09'!A:A,0))</f>
        <v>2048</v>
      </c>
      <c r="E238" s="98" t="str">
        <f t="array" ref="E238">INDEX('MTA 28-09'!F:F,MATCH(B238,'MTA 28-09'!A:A,0))</f>
        <v>ATENDIDO</v>
      </c>
      <c r="F238" s="289">
        <f t="array" ref="F238">INDEX('MTA 28-09'!I:I,MATCH(B238,'MTA 28-09'!A:A,0))</f>
        <v>46121</v>
      </c>
      <c r="G238" s="100" t="str">
        <f t="array" ref="G238">INDEX('MTA 28-09'!J:J,MATCH(B238,'MTA 28-09'!A:A,0))</f>
        <v>C26192</v>
      </c>
      <c r="H238" s="101" t="s">
        <v>1582</v>
      </c>
      <c r="I238" s="90"/>
      <c r="J238" s="102"/>
      <c r="K238" s="103"/>
      <c r="L238" s="102" t="str">
        <f t="array" ref="L238">INDEX('MTA 28-09'!S:S,MATCH(B238,'MTA 28-09'!A:A,0))</f>
        <v>A-29</v>
      </c>
      <c r="M238" s="98" t="str">
        <f t="array" ref="M238">INDEX('MTA 28-09'!T:T,MATCH(B238,'MTA 28-09'!A:A,0))</f>
        <v>CNT 040/CELOG-PAMALS/2022 - AEL - CLS AVIONICO</v>
      </c>
      <c r="N238" s="98" t="str">
        <f t="array" ref="N238">INDEX('MTA 28-09'!U:U,MATCH(B238,'MTA 28-09'!A:A,0))</f>
        <v>Hora de Voo 04/10 - 1000 HV</v>
      </c>
      <c r="O238" s="104">
        <f t="array" ref="O238">INDEX('MTA 28-09'!AC:AC,MATCH(B238,'MTA 28-09'!A:A,0))</f>
        <v>1057110</v>
      </c>
      <c r="P238" s="98" t="str">
        <f t="array" ref="P238">INDEX('MTA 28-09'!N:N,MATCH(B238,'MTA 28-09'!A:A,0))</f>
        <v>CELOG</v>
      </c>
      <c r="Q238" s="105" t="str">
        <f t="array" ref="Q238">INDEX('MTA 28-09'!Z:Z,MATCH(B238,'MTA 28-09'!A:A,0))</f>
        <v>339039</v>
      </c>
      <c r="R238" s="98" t="str">
        <f t="array" ref="R238">INDEX('MTA 28-09'!L:L,MATCH(B238,'MTA 28-09'!A:A,0))</f>
        <v>A</v>
      </c>
      <c r="S238" s="107" t="str">
        <f t="array" ref="S238">INDEX('MTA 28-09'!X:X,MATCH(B238,'MTA 28-09'!A:A,0))</f>
        <v>HORA DE VOO</v>
      </c>
      <c r="T238" s="107" t="str">
        <f t="array" ref="T238">INDEX('MTA 28-09'!W:W,MATCH(B238,'MTA 28-09'!A:A,0))</f>
        <v>Não</v>
      </c>
      <c r="U238" s="109">
        <f t="array" ref="U238">INDEX('MTA 28-09'!AE:AE,MATCH(B238,'MTA 28-09'!A:A,0))</f>
        <v>46229</v>
      </c>
      <c r="V238" s="29"/>
      <c r="W238" s="29"/>
      <c r="X238" s="29"/>
      <c r="Y238" s="29"/>
      <c r="Z238" s="29"/>
      <c r="AA238" s="29"/>
      <c r="AB238" s="29"/>
      <c r="AC238" s="29"/>
      <c r="AD238" s="29"/>
      <c r="AE238" s="29"/>
      <c r="AF238" s="29"/>
      <c r="AG238" s="29"/>
      <c r="AH238" s="29"/>
      <c r="AI238" s="29"/>
      <c r="AJ238" s="29"/>
      <c r="AK238" s="29"/>
      <c r="AL238" s="29"/>
      <c r="AM238" s="29"/>
    </row>
    <row r="239">
      <c r="A239" s="31" t="s">
        <v>39</v>
      </c>
      <c r="B239" s="32">
        <v>13700.0</v>
      </c>
      <c r="C239" s="33" t="str">
        <f t="array" ref="C239">INDEX('MTA 28-09'!B:B,MATCH(B239,'MTA 28-09'!A:A,0))</f>
        <v>SIM</v>
      </c>
      <c r="D239" s="34">
        <f t="array" ref="D239">INDEX('MTA 28-09'!D:D,MATCH(B239,'MTA 28-09'!A:A,0))</f>
        <v>2048</v>
      </c>
      <c r="E239" s="32" t="str">
        <f t="array" ref="E239">INDEX('MTA 28-09'!F:F,MATCH(B239,'MTA 28-09'!A:A,0))</f>
        <v>ATENDIDO</v>
      </c>
      <c r="F239" s="35">
        <f t="array" ref="F239">INDEX('MTA 28-09'!I:I,MATCH(B239,'MTA 28-09'!A:A,0))</f>
        <v>46121</v>
      </c>
      <c r="G239" s="36" t="str">
        <f t="array" ref="G239">INDEX('MTA 28-09'!J:J,MATCH(B239,'MTA 28-09'!A:A,0))</f>
        <v>C26138</v>
      </c>
      <c r="H239" s="37" t="s">
        <v>1582</v>
      </c>
      <c r="I239" s="38"/>
      <c r="J239" s="39"/>
      <c r="K239" s="40"/>
      <c r="L239" s="39" t="str">
        <f t="array" ref="L239">INDEX('MTA 28-09'!S:S,MATCH(B239,'MTA 28-09'!A:A,0))</f>
        <v>A-29</v>
      </c>
      <c r="M239" s="32" t="str">
        <f t="array" ref="M239">INDEX('MTA 28-09'!T:T,MATCH(B239,'MTA 28-09'!A:A,0))</f>
        <v>CTT 102/CELOG-PAMALS/2023 – EMBRAER - PSLI</v>
      </c>
      <c r="N239" s="32" t="str">
        <f t="array" ref="N239">INDEX('MTA 28-09'!U:U,MATCH(B239,'MTA 28-09'!A:A,0))</f>
        <v>Hora de Voo 04/10 - 1000 HV</v>
      </c>
      <c r="O239" s="59">
        <f t="array" ref="O239">INDEX('MTA 28-09'!AC:AC,MATCH(B239,'MTA 28-09'!A:A,0))</f>
        <v>4072680</v>
      </c>
      <c r="P239" s="32" t="str">
        <f t="array" ref="P239">INDEX('MTA 28-09'!N:N,MATCH(B239,'MTA 28-09'!A:A,0))</f>
        <v>CELOG</v>
      </c>
      <c r="Q239" s="67" t="str">
        <f t="array" ref="Q239">INDEX('MTA 28-09'!Z:Z,MATCH(B239,'MTA 28-09'!A:A,0))</f>
        <v>339039</v>
      </c>
      <c r="R239" s="32" t="str">
        <f t="array" ref="R239">INDEX('MTA 28-09'!L:L,MATCH(B239,'MTA 28-09'!A:A,0))</f>
        <v>A</v>
      </c>
      <c r="S239" s="72" t="str">
        <f t="array" ref="S239">INDEX('MTA 28-09'!X:X,MATCH(B239,'MTA 28-09'!A:A,0))</f>
        <v>HORA DE VOO</v>
      </c>
      <c r="T239" s="72" t="str">
        <f t="array" ref="T239">INDEX('MTA 28-09'!W:W,MATCH(B239,'MTA 28-09'!A:A,0))</f>
        <v>Não</v>
      </c>
      <c r="U239" s="81">
        <f t="array" ref="U239">INDEX('MTA 28-09'!AE:AE,MATCH(B239,'MTA 28-09'!A:A,0))</f>
        <v>46229</v>
      </c>
      <c r="V239" s="12"/>
      <c r="W239" s="12"/>
      <c r="X239" s="12"/>
      <c r="Y239" s="12"/>
      <c r="Z239" s="12"/>
      <c r="AA239" s="12"/>
      <c r="AB239" s="12"/>
      <c r="AC239" s="12"/>
      <c r="AD239" s="12"/>
      <c r="AE239" s="12"/>
      <c r="AF239" s="12"/>
      <c r="AG239" s="12"/>
      <c r="AH239" s="12"/>
      <c r="AI239" s="12"/>
      <c r="AJ239" s="12"/>
      <c r="AK239" s="12"/>
      <c r="AL239" s="12"/>
      <c r="AM239" s="12"/>
    </row>
    <row r="240">
      <c r="A240" s="88" t="s">
        <v>43</v>
      </c>
      <c r="B240" s="98">
        <v>13720.0</v>
      </c>
      <c r="C240" s="92" t="str">
        <f t="array" ref="C240">INDEX('MTA 28-09'!B:B,MATCH(B240,'MTA 28-09'!A:A,0))</f>
        <v>SIM</v>
      </c>
      <c r="D240" s="95">
        <f t="array" ref="D240">INDEX('MTA 28-09'!D:D,MATCH(B240,'MTA 28-09'!A:A,0))</f>
        <v>2048</v>
      </c>
      <c r="E240" s="98" t="str">
        <f t="array" ref="E240">INDEX('MTA 28-09'!F:F,MATCH(B240,'MTA 28-09'!A:A,0))</f>
        <v>ATENDIDO</v>
      </c>
      <c r="F240" s="99">
        <f t="array" ref="F240">INDEX('MTA 28-09'!I:I,MATCH(B240,'MTA 28-09'!A:A,0))</f>
        <v>46191</v>
      </c>
      <c r="G240" s="100" t="str">
        <f t="array" ref="G240">INDEX('MTA 28-09'!J:J,MATCH(B240,'MTA 28-09'!A:A,0))</f>
        <v>C26308</v>
      </c>
      <c r="H240" s="101" t="s">
        <v>421</v>
      </c>
      <c r="I240" s="90"/>
      <c r="J240" s="102"/>
      <c r="K240" s="103"/>
      <c r="L240" s="102" t="str">
        <f t="array" ref="L240">INDEX('MTA 28-09'!S:S,MATCH(B240,'MTA 28-09'!A:A,0))</f>
        <v>C-95M</v>
      </c>
      <c r="M240" s="98" t="str">
        <f t="array" ref="M240">INDEX('MTA 28-09'!T:T,MATCH(B240,'MTA 28-09'!A:A,0))</f>
        <v>CTT 028/CELOG-PAMALS/2025 – CLS AVIÔNICOS</v>
      </c>
      <c r="N240" s="98" t="str">
        <f t="array" ref="N240">INDEX('MTA 28-09'!U:U,MATCH(B240,'MTA 28-09'!A:A,0))</f>
        <v>Hora de Voo 04/09 - 1000 HV</v>
      </c>
      <c r="O240" s="104">
        <f t="array" ref="O240">INDEX('MTA 28-09'!AC:AC,MATCH(B240,'MTA 28-09'!A:A,0))</f>
        <v>619070</v>
      </c>
      <c r="P240" s="98" t="str">
        <f t="array" ref="P240">INDEX('MTA 28-09'!N:N,MATCH(B240,'MTA 28-09'!A:A,0))</f>
        <v>CELOG</v>
      </c>
      <c r="Q240" s="105" t="str">
        <f t="array" ref="Q240">INDEX('MTA 28-09'!Z:Z,MATCH(B240,'MTA 28-09'!A:A,0))</f>
        <v>339039</v>
      </c>
      <c r="R240" s="98" t="str">
        <f t="array" ref="R240">INDEX('MTA 28-09'!L:L,MATCH(B240,'MTA 28-09'!A:A,0))</f>
        <v>A</v>
      </c>
      <c r="S240" s="107" t="str">
        <f t="array" ref="S240">INDEX('MTA 28-09'!X:X,MATCH(B240,'MTA 28-09'!A:A,0))</f>
        <v>HORA DE VOO</v>
      </c>
      <c r="T240" s="107" t="str">
        <f t="array" ref="T240">INDEX('MTA 28-09'!W:W,MATCH(B240,'MTA 28-09'!A:A,0))</f>
        <v>Não</v>
      </c>
      <c r="U240" s="109">
        <f t="array" ref="U240">INDEX('MTA 28-09'!AE:AE,MATCH(B240,'MTA 28-09'!A:A,0))</f>
        <v>46291</v>
      </c>
      <c r="V240" s="29"/>
      <c r="W240" s="29"/>
      <c r="X240" s="29"/>
      <c r="Y240" s="29"/>
      <c r="Z240" s="29"/>
      <c r="AA240" s="29"/>
      <c r="AB240" s="29"/>
      <c r="AC240" s="29"/>
      <c r="AD240" s="29"/>
      <c r="AE240" s="29"/>
      <c r="AF240" s="29"/>
      <c r="AG240" s="29"/>
      <c r="AH240" s="29"/>
      <c r="AI240" s="29"/>
      <c r="AJ240" s="29"/>
      <c r="AK240" s="29"/>
      <c r="AL240" s="29"/>
      <c r="AM240" s="29"/>
    </row>
    <row r="241">
      <c r="A241" s="31" t="s">
        <v>44</v>
      </c>
      <c r="B241" s="32">
        <v>13740.0</v>
      </c>
      <c r="C241" s="33" t="str">
        <f t="array" ref="C241">INDEX('MTA 28-09'!B:B,MATCH(B241,'MTA 28-09'!A:A,0))</f>
        <v>SIM</v>
      </c>
      <c r="D241" s="34">
        <f t="array" ref="D241">INDEX('MTA 28-09'!D:D,MATCH(B241,'MTA 28-09'!A:A,0))</f>
        <v>2048</v>
      </c>
      <c r="E241" s="32" t="str">
        <f t="array" ref="E241">INDEX('MTA 28-09'!F:F,MATCH(B241,'MTA 28-09'!A:A,0))</f>
        <v>ATENDIDO</v>
      </c>
      <c r="F241" s="155">
        <f t="array" ref="F241">INDEX('MTA 28-09'!I:I,MATCH(B241,'MTA 28-09'!A:A,0))</f>
        <v>46191</v>
      </c>
      <c r="G241" s="36" t="str">
        <f t="array" ref="G241">INDEX('MTA 28-09'!J:J,MATCH(B241,'MTA 28-09'!A:A,0))</f>
        <v>C26079</v>
      </c>
      <c r="H241" s="37" t="s">
        <v>421</v>
      </c>
      <c r="I241" s="38"/>
      <c r="J241" s="39"/>
      <c r="K241" s="40"/>
      <c r="L241" s="39" t="str">
        <f t="array" ref="L241">INDEX('MTA 28-09'!S:S,MATCH(B241,'MTA 28-09'!A:A,0))</f>
        <v>C-97</v>
      </c>
      <c r="M241" s="32" t="str">
        <f t="array" ref="M241">INDEX('MTA 28-09'!T:T,MATCH(B241,'MTA 28-09'!A:A,0))</f>
        <v>CTT 096/CAE-PAMALS/2021 - CLS C-97</v>
      </c>
      <c r="N241" s="32" t="str">
        <f t="array" ref="N241">INDEX('MTA 28-09'!U:U,MATCH(B241,'MTA 28-09'!A:A,0))</f>
        <v>Parcela Fixa 06/12</v>
      </c>
      <c r="O241" s="59">
        <f t="array" ref="O241">INDEX('MTA 28-09'!AC:AC,MATCH(B241,'MTA 28-09'!A:A,0))</f>
        <v>332718.75</v>
      </c>
      <c r="P241" s="32" t="str">
        <f t="array" ref="P241">INDEX('MTA 28-09'!N:N,MATCH(B241,'MTA 28-09'!A:A,0))</f>
        <v>CELOG</v>
      </c>
      <c r="Q241" s="67" t="str">
        <f t="array" ref="Q241">INDEX('MTA 28-09'!Z:Z,MATCH(B241,'MTA 28-09'!A:A,0))</f>
        <v>339039</v>
      </c>
      <c r="R241" s="32" t="str">
        <f t="array" ref="R241">INDEX('MTA 28-09'!L:L,MATCH(B241,'MTA 28-09'!A:A,0))</f>
        <v>A</v>
      </c>
      <c r="S241" s="72" t="str">
        <f t="array" ref="S241">INDEX('MTA 28-09'!X:X,MATCH(B241,'MTA 28-09'!A:A,0))</f>
        <v>PARCELA FIXA</v>
      </c>
      <c r="T241" s="72" t="str">
        <f t="array" ref="T241">INDEX('MTA 28-09'!W:W,MATCH(B241,'MTA 28-09'!A:A,0))</f>
        <v>Não</v>
      </c>
      <c r="U241" s="81">
        <f t="array" ref="U241">INDEX('MTA 28-09'!AE:AE,MATCH(B241,'MTA 28-09'!A:A,0))</f>
        <v>46260</v>
      </c>
      <c r="V241" s="12"/>
      <c r="W241" s="12"/>
      <c r="X241" s="12"/>
      <c r="Y241" s="12"/>
      <c r="Z241" s="12"/>
      <c r="AA241" s="12"/>
      <c r="AB241" s="12"/>
      <c r="AC241" s="12"/>
      <c r="AD241" s="12"/>
      <c r="AE241" s="12"/>
      <c r="AF241" s="12"/>
      <c r="AG241" s="12"/>
      <c r="AH241" s="12"/>
      <c r="AI241" s="12"/>
      <c r="AJ241" s="12"/>
      <c r="AK241" s="12"/>
      <c r="AL241" s="12"/>
      <c r="AM241" s="12"/>
    </row>
    <row r="242">
      <c r="A242" s="88" t="s">
        <v>45</v>
      </c>
      <c r="B242" s="98">
        <v>13760.0</v>
      </c>
      <c r="C242" s="92" t="str">
        <f t="array" ref="C242">INDEX('MTA 28-09'!B:B,MATCH(B242,'MTA 28-09'!A:A,0))</f>
        <v>SIM</v>
      </c>
      <c r="D242" s="95" t="str">
        <f t="array" ref="D242">INDEX('MTA 28-09'!D:D,MATCH(B242,'MTA 28-09'!A:A,0))</f>
        <v>DESTQ09</v>
      </c>
      <c r="E242" s="98" t="str">
        <f t="array" ref="E242">INDEX('MTA 28-09'!F:F,MATCH(B242,'MTA 28-09'!A:A,0))</f>
        <v>ATENDIDO</v>
      </c>
      <c r="F242" s="144">
        <f t="array" ref="F242">INDEX('MTA 28-09'!I:I,MATCH(B242,'MTA 28-09'!A:A,0))</f>
        <v>46119</v>
      </c>
      <c r="G242" s="100" t="str">
        <f t="array" ref="G242">INDEX('MTA 28-09'!J:J,MATCH(B242,'MTA 28-09'!A:A,0))</f>
        <v>C26193</v>
      </c>
      <c r="H242" s="101" t="s">
        <v>1398</v>
      </c>
      <c r="I242" s="90"/>
      <c r="J242" s="102"/>
      <c r="K242" s="103"/>
      <c r="L242" s="102" t="str">
        <f t="array" ref="L242">INDEX('MTA 28-09'!S:S,MATCH(B242,'MTA 28-09'!A:A,0))</f>
        <v>C-98</v>
      </c>
      <c r="M242" s="98" t="str">
        <f t="array" ref="M242">INDEX('MTA 28-09'!T:T,MATCH(B242,'MTA 28-09'!A:A,0))</f>
        <v>CNT 005/CELOG-PAMALS/2025 - VEE ONE</v>
      </c>
      <c r="N242" s="98" t="str">
        <f t="array" ref="N242">INDEX('MTA 28-09'!U:U,MATCH(B242,'MTA 28-09'!A:A,0))</f>
        <v>Hora de Voo 04/10 - 1000 HV</v>
      </c>
      <c r="O242" s="104">
        <f t="array" ref="O242">INDEX('MTA 28-09'!AC:AC,MATCH(B242,'MTA 28-09'!A:A,0))</f>
        <v>1704503</v>
      </c>
      <c r="P242" s="98" t="str">
        <f t="array" ref="P242">INDEX('MTA 28-09'!N:N,MATCH(B242,'MTA 28-09'!A:A,0))</f>
        <v>CELOG</v>
      </c>
      <c r="Q242" s="105" t="str">
        <f t="array" ref="Q242">INDEX('MTA 28-09'!Z:Z,MATCH(B242,'MTA 28-09'!A:A,0))</f>
        <v>339039</v>
      </c>
      <c r="R242" s="98" t="str">
        <f t="array" ref="R242">INDEX('MTA 28-09'!L:L,MATCH(B242,'MTA 28-09'!A:A,0))</f>
        <v>A</v>
      </c>
      <c r="S242" s="107" t="str">
        <f t="array" ref="S242">INDEX('MTA 28-09'!X:X,MATCH(B242,'MTA 28-09'!A:A,0))</f>
        <v>HORA DE VOO</v>
      </c>
      <c r="T242" s="107" t="str">
        <f t="array" ref="T242">INDEX('MTA 28-09'!W:W,MATCH(B242,'MTA 28-09'!A:A,0))</f>
        <v>Não</v>
      </c>
      <c r="U242" s="109">
        <f t="array" ref="U242">INDEX('MTA 28-09'!AE:AE,MATCH(B242,'MTA 28-09'!A:A,0))</f>
        <v>46199</v>
      </c>
      <c r="V242" s="29"/>
      <c r="W242" s="29"/>
      <c r="X242" s="29"/>
      <c r="Y242" s="29"/>
      <c r="Z242" s="29"/>
      <c r="AA242" s="29"/>
      <c r="AB242" s="29"/>
      <c r="AC242" s="29"/>
      <c r="AD242" s="29"/>
      <c r="AE242" s="29"/>
      <c r="AF242" s="29"/>
      <c r="AG242" s="29"/>
      <c r="AH242" s="29"/>
      <c r="AI242" s="29"/>
      <c r="AJ242" s="29"/>
      <c r="AK242" s="29"/>
      <c r="AL242" s="29"/>
      <c r="AM242" s="29"/>
    </row>
    <row r="243">
      <c r="A243" s="31" t="s">
        <v>49</v>
      </c>
      <c r="B243" s="32">
        <v>13780.0</v>
      </c>
      <c r="C243" s="33" t="str">
        <f t="array" ref="C243">INDEX('MTA 28-09'!B:B,MATCH(B243,'MTA 28-09'!A:A,0))</f>
        <v>SIM</v>
      </c>
      <c r="D243" s="34" t="str">
        <f t="array" ref="D243">INDEX('MTA 28-09'!D:D,MATCH(B243,'MTA 28-09'!A:A,0))</f>
        <v>20XV</v>
      </c>
      <c r="E243" s="32" t="str">
        <f t="array" ref="E243">INDEX('MTA 28-09'!F:F,MATCH(B243,'MTA 28-09'!A:A,0))</f>
        <v>ATENDIDO</v>
      </c>
      <c r="F243" s="35">
        <f t="array" ref="F243">INDEX('MTA 28-09'!I:I,MATCH(B243,'MTA 28-09'!A:A,0))</f>
        <v>46113</v>
      </c>
      <c r="G243" s="36" t="str">
        <f t="array" ref="G243">INDEX('MTA 28-09'!J:J,MATCH(B243,'MTA 28-09'!A:A,0))</f>
        <v>C26152</v>
      </c>
      <c r="H243" s="37" t="s">
        <v>154</v>
      </c>
      <c r="I243" s="38"/>
      <c r="J243" s="39"/>
      <c r="K243" s="40"/>
      <c r="L243" s="39" t="str">
        <f t="array" ref="L243">INDEX('MTA 28-09'!S:S,MATCH(B243,'MTA 28-09'!A:A,0))</f>
        <v>IU-93M</v>
      </c>
      <c r="M243" s="32" t="str">
        <f t="array" ref="M243">INDEX('MTA 28-09'!T:T,MATCH(B243,'MTA 28-09'!A:A,0))</f>
        <v>CNT 024/CELOG-PAMALS/2022 - VEE ONE</v>
      </c>
      <c r="N243" s="32" t="str">
        <f t="array" ref="N243">INDEX('MTA 28-09'!U:U,MATCH(B243,'MTA 28-09'!A:A,0))</f>
        <v>Hora de Voo 05/12 (100HV)</v>
      </c>
      <c r="O243" s="59">
        <f t="array" ref="O243">INDEX('MTA 28-09'!AC:AC,MATCH(B243,'MTA 28-09'!A:A,0))</f>
        <v>1892821</v>
      </c>
      <c r="P243" s="32" t="str">
        <f t="array" ref="P243">INDEX('MTA 28-09'!N:N,MATCH(B243,'MTA 28-09'!A:A,0))</f>
        <v>CELOG</v>
      </c>
      <c r="Q243" s="67" t="str">
        <f t="array" ref="Q243">INDEX('MTA 28-09'!Z:Z,MATCH(B243,'MTA 28-09'!A:A,0))</f>
        <v>339039</v>
      </c>
      <c r="R243" s="32" t="str">
        <f t="array" ref="R243">INDEX('MTA 28-09'!L:L,MATCH(B243,'MTA 28-09'!A:A,0))</f>
        <v>A</v>
      </c>
      <c r="S243" s="72" t="str">
        <f t="array" ref="S243">INDEX('MTA 28-09'!X:X,MATCH(B243,'MTA 28-09'!A:A,0))</f>
        <v>HORA DE VOO</v>
      </c>
      <c r="T243" s="72" t="str">
        <f t="array" ref="T243">INDEX('MTA 28-09'!W:W,MATCH(B243,'MTA 28-09'!A:A,0))</f>
        <v>Não</v>
      </c>
      <c r="U243" s="81">
        <f t="array" ref="U243">INDEX('MTA 28-09'!AE:AE,MATCH(B243,'MTA 28-09'!A:A,0))</f>
        <v>46229</v>
      </c>
      <c r="V243" s="12"/>
      <c r="W243" s="12"/>
      <c r="X243" s="12"/>
      <c r="Y243" s="12"/>
      <c r="Z243" s="12"/>
      <c r="AA243" s="12"/>
      <c r="AB243" s="12"/>
      <c r="AC243" s="12"/>
      <c r="AD243" s="12"/>
      <c r="AE243" s="12"/>
      <c r="AF243" s="12"/>
      <c r="AG243" s="12"/>
      <c r="AH243" s="12"/>
      <c r="AI243" s="12"/>
      <c r="AJ243" s="12"/>
      <c r="AK243" s="12"/>
      <c r="AL243" s="12"/>
      <c r="AM243" s="12"/>
    </row>
    <row r="244">
      <c r="A244" s="88" t="s">
        <v>47</v>
      </c>
      <c r="B244" s="98">
        <v>13800.0</v>
      </c>
      <c r="C244" s="92" t="str">
        <f t="array" ref="C244">INDEX('MTA 28-09'!B:B,MATCH(B244,'MTA 28-09'!A:A,0))</f>
        <v>SIM</v>
      </c>
      <c r="D244" s="95">
        <f t="array" ref="D244">INDEX('MTA 28-09'!D:D,MATCH(B244,'MTA 28-09'!A:A,0))</f>
        <v>2048</v>
      </c>
      <c r="E244" s="98" t="str">
        <f t="array" ref="E244">INDEX('MTA 28-09'!F:F,MATCH(B244,'MTA 28-09'!A:A,0))</f>
        <v>ATENDIDO</v>
      </c>
      <c r="F244" s="152">
        <f t="array" ref="F244">INDEX('MTA 28-09'!I:I,MATCH(B244,'MTA 28-09'!A:A,0))</f>
        <v>46213</v>
      </c>
      <c r="G244" s="100" t="str">
        <f t="array" ref="G244">INDEX('MTA 28-09'!J:J,MATCH(B244,'MTA 28-09'!A:A,0))</f>
        <v>C26156</v>
      </c>
      <c r="H244" s="101" t="s">
        <v>1451</v>
      </c>
      <c r="I244" s="90"/>
      <c r="J244" s="102"/>
      <c r="K244" s="103"/>
      <c r="L244" s="102" t="str">
        <f t="array" ref="L244">INDEX('MTA 28-09'!S:S,MATCH(B244,'MTA 28-09'!A:A,0))</f>
        <v>T-25</v>
      </c>
      <c r="M244" s="98" t="str">
        <f t="array" ref="M244">INDEX('MTA 28-09'!T:T,MATCH(B244,'MTA 28-09'!A:A,0))</f>
        <v>Requisição FMS</v>
      </c>
      <c r="N244" s="98" t="str">
        <f t="array" ref="N244">INDEX('MTA 28-09'!U:U,MATCH(B244,'MTA 28-09'!A:A,0))</f>
        <v>Requisições Consumíveis 2/4</v>
      </c>
      <c r="O244" s="104">
        <f t="array" ref="O244">INDEX('MTA 28-09'!AC:AC,MATCH(B244,'MTA 28-09'!A:A,0))</f>
        <v>266994.73</v>
      </c>
      <c r="P244" s="98" t="str">
        <f t="array" ref="P244">INDEX('MTA 28-09'!N:N,MATCH(B244,'MTA 28-09'!A:A,0))</f>
        <v>CABW</v>
      </c>
      <c r="Q244" s="105" t="str">
        <f t="array" ref="Q244">INDEX('MTA 28-09'!Z:Z,MATCH(B244,'MTA 28-09'!A:A,0))</f>
        <v>339030</v>
      </c>
      <c r="R244" s="98" t="str">
        <f t="array" ref="R244">INDEX('MTA 28-09'!L:L,MATCH(B244,'MTA 28-09'!A:A,0))</f>
        <v>A</v>
      </c>
      <c r="S244" s="107" t="str">
        <f t="array" ref="S244">INDEX('MTA 28-09'!X:X,MATCH(B244,'MTA 28-09'!A:A,0))</f>
        <v>REQUISIÇÃO</v>
      </c>
      <c r="T244" s="107" t="str">
        <f t="array" ref="T244">INDEX('MTA 28-09'!W:W,MATCH(B244,'MTA 28-09'!A:A,0))</f>
        <v>Não</v>
      </c>
      <c r="U244" s="109">
        <f t="array" ref="U244">INDEX('MTA 28-09'!AE:AE,MATCH(B244,'MTA 28-09'!A:A,0))</f>
        <v>46049</v>
      </c>
      <c r="V244" s="29"/>
      <c r="W244" s="29"/>
      <c r="X244" s="29"/>
      <c r="Y244" s="29"/>
      <c r="Z244" s="29"/>
      <c r="AA244" s="29"/>
      <c r="AB244" s="29"/>
      <c r="AC244" s="29"/>
      <c r="AD244" s="29"/>
      <c r="AE244" s="29"/>
      <c r="AF244" s="29"/>
      <c r="AG244" s="29"/>
      <c r="AH244" s="29"/>
      <c r="AI244" s="29"/>
      <c r="AJ244" s="29"/>
      <c r="AK244" s="29"/>
      <c r="AL244" s="29"/>
      <c r="AM244" s="29"/>
    </row>
    <row r="245">
      <c r="A245" s="31" t="s">
        <v>46</v>
      </c>
      <c r="B245" s="32">
        <v>13820.0</v>
      </c>
      <c r="C245" s="33" t="str">
        <f t="array" ref="C245">INDEX('MTA 28-09'!B:B,MATCH(B245,'MTA 28-09'!A:A,0))</f>
        <v>SIM</v>
      </c>
      <c r="D245" s="34">
        <f t="array" ref="D245">INDEX('MTA 28-09'!D:D,MATCH(B245,'MTA 28-09'!A:A,0))</f>
        <v>2048</v>
      </c>
      <c r="E245" s="32" t="str">
        <f t="array" ref="E245">INDEX('MTA 28-09'!F:F,MATCH(B245,'MTA 28-09'!A:A,0))</f>
        <v/>
      </c>
      <c r="F245" s="35" t="str">
        <f t="array" ref="F245">INDEX('MTA 28-09'!I:I,MATCH(B245,'MTA 28-09'!A:A,0))</f>
        <v/>
      </c>
      <c r="G245" s="36" t="str">
        <f t="array" ref="G245">INDEX('MTA 28-09'!J:J,MATCH(B245,'MTA 28-09'!A:A,0))</f>
        <v/>
      </c>
      <c r="H245" s="287" t="s">
        <v>157</v>
      </c>
      <c r="I245" s="157" t="s">
        <v>1585</v>
      </c>
      <c r="J245" s="39"/>
      <c r="K245" s="40"/>
      <c r="L245" s="39" t="str">
        <f t="array" ref="L245">INDEX('MTA 28-09'!S:S,MATCH(B245,'MTA 28-09'!A:A,0))</f>
        <v>T-27</v>
      </c>
      <c r="M245" s="32" t="str">
        <f t="array" ref="M245">INDEX('MTA 28-09'!T:T,MATCH(B245,'MTA 28-09'!A:A,0))</f>
        <v>Requisição FMS</v>
      </c>
      <c r="N245" s="32" t="str">
        <f t="array" ref="N245">INDEX('MTA 28-09'!U:U,MATCH(B245,'MTA 28-09'!A:A,0))</f>
        <v>Requisições Consumíveis 2/4</v>
      </c>
      <c r="O245" s="59">
        <f t="array" ref="O245">INDEX('MTA 28-09'!AC:AC,MATCH(B245,'MTA 28-09'!A:A,0))</f>
        <v>270000</v>
      </c>
      <c r="P245" s="32" t="str">
        <f t="array" ref="P245">INDEX('MTA 28-09'!N:N,MATCH(B245,'MTA 28-09'!A:A,0))</f>
        <v>FMS</v>
      </c>
      <c r="Q245" s="67" t="str">
        <f t="array" ref="Q245">INDEX('MTA 28-09'!Z:Z,MATCH(B245,'MTA 28-09'!A:A,0))</f>
        <v>339030</v>
      </c>
      <c r="R245" s="32" t="str">
        <f t="array" ref="R245">INDEX('MTA 28-09'!L:L,MATCH(B245,'MTA 28-09'!A:A,0))</f>
        <v>A</v>
      </c>
      <c r="S245" s="72" t="str">
        <f t="array" ref="S245">INDEX('MTA 28-09'!X:X,MATCH(B245,'MTA 28-09'!A:A,0))</f>
        <v>REQUISIÇÃO</v>
      </c>
      <c r="T245" s="72" t="str">
        <f t="array" ref="T245">INDEX('MTA 28-09'!W:W,MATCH(B245,'MTA 28-09'!A:A,0))</f>
        <v>Não</v>
      </c>
      <c r="U245" s="81">
        <f t="array" ref="U245">INDEX('MTA 28-09'!AE:AE,MATCH(B245,'MTA 28-09'!A:A,0))</f>
        <v>46050</v>
      </c>
      <c r="V245" s="12"/>
      <c r="W245" s="12"/>
      <c r="X245" s="12"/>
      <c r="Y245" s="12"/>
      <c r="Z245" s="12"/>
      <c r="AA245" s="12"/>
      <c r="AB245" s="12"/>
      <c r="AC245" s="12"/>
      <c r="AD245" s="12"/>
      <c r="AE245" s="12"/>
      <c r="AF245" s="12"/>
      <c r="AG245" s="12"/>
      <c r="AH245" s="12"/>
      <c r="AI245" s="12"/>
      <c r="AJ245" s="12"/>
      <c r="AK245" s="12"/>
      <c r="AL245" s="12"/>
      <c r="AM245" s="12"/>
    </row>
    <row r="246">
      <c r="A246" s="88" t="s">
        <v>46</v>
      </c>
      <c r="B246" s="98">
        <v>13840.0</v>
      </c>
      <c r="C246" s="92" t="str">
        <f t="array" ref="C246">INDEX('MTA 28-09'!B:B,MATCH(B246,'MTA 28-09'!A:A,0))</f>
        <v>SIM</v>
      </c>
      <c r="D246" s="95">
        <f t="array" ref="D246">INDEX('MTA 28-09'!D:D,MATCH(B246,'MTA 28-09'!A:A,0))</f>
        <v>2048</v>
      </c>
      <c r="E246" s="98" t="str">
        <f t="array" ref="E246">INDEX('MTA 28-09'!F:F,MATCH(B246,'MTA 28-09'!A:A,0))</f>
        <v>ATENDIDO</v>
      </c>
      <c r="F246" s="144">
        <f t="array" ref="F246">INDEX('MTA 28-09'!I:I,MATCH(B246,'MTA 28-09'!A:A,0))</f>
        <v>46105</v>
      </c>
      <c r="G246" s="100" t="str">
        <f t="array" ref="G246">INDEX('MTA 28-09'!J:J,MATCH(B246,'MTA 28-09'!A:A,0))</f>
        <v>C26072</v>
      </c>
      <c r="H246" s="159" t="s">
        <v>157</v>
      </c>
      <c r="I246" s="296"/>
      <c r="J246" s="102"/>
      <c r="K246" s="103"/>
      <c r="L246" s="102" t="str">
        <f t="array" ref="L246">INDEX('MTA 28-09'!S:S,MATCH(B246,'MTA 28-09'!A:A,0))</f>
        <v>T-27</v>
      </c>
      <c r="M246" s="98" t="str">
        <f t="array" ref="M246">INDEX('MTA 28-09'!T:T,MATCH(B246,'MTA 28-09'!A:A,0))</f>
        <v>CNT 005/CELOG-PAMASP/2026 - STANDARDAERO - RG</v>
      </c>
      <c r="N246" s="98" t="str">
        <f t="array" ref="N246">INDEX('MTA 28-09'!U:U,MATCH(B246,'MTA 28-09'!A:A,0))</f>
        <v>Revisão Geral PT6A-25C (2/5)</v>
      </c>
      <c r="O246" s="104">
        <f t="array" ref="O246">INDEX('MTA 28-09'!AC:AC,MATCH(B246,'MTA 28-09'!A:A,0))</f>
        <v>4206485</v>
      </c>
      <c r="P246" s="98" t="str">
        <f t="array" ref="P246">INDEX('MTA 28-09'!N:N,MATCH(B246,'MTA 28-09'!A:A,0))</f>
        <v>CABW</v>
      </c>
      <c r="Q246" s="105" t="str">
        <f t="array" ref="Q246">INDEX('MTA 28-09'!Z:Z,MATCH(B246,'MTA 28-09'!A:A,0))</f>
        <v>339039</v>
      </c>
      <c r="R246" s="98" t="str">
        <f t="array" ref="R246">INDEX('MTA 28-09'!L:L,MATCH(B246,'MTA 28-09'!A:A,0))</f>
        <v>A</v>
      </c>
      <c r="S246" s="107" t="str">
        <f t="array" ref="S246">INDEX('MTA 28-09'!X:X,MATCH(B246,'MTA 28-09'!A:A,0))</f>
        <v>SOB DEMANDA</v>
      </c>
      <c r="T246" s="107" t="str">
        <f t="array" ref="T246">INDEX('MTA 28-09'!W:W,MATCH(B246,'MTA 28-09'!A:A,0))</f>
        <v>SIM</v>
      </c>
      <c r="U246" s="109">
        <f t="array" ref="U246">INDEX('MTA 28-09'!AE:AE,MATCH(B246,'MTA 28-09'!A:A,0))</f>
        <v>46352</v>
      </c>
      <c r="V246" s="29"/>
      <c r="W246" s="29"/>
      <c r="X246" s="29"/>
      <c r="Y246" s="29"/>
      <c r="Z246" s="29"/>
      <c r="AA246" s="29"/>
      <c r="AB246" s="29"/>
      <c r="AC246" s="29"/>
      <c r="AD246" s="29"/>
      <c r="AE246" s="29"/>
      <c r="AF246" s="29"/>
      <c r="AG246" s="29"/>
      <c r="AH246" s="29"/>
      <c r="AI246" s="29"/>
      <c r="AJ246" s="29"/>
      <c r="AK246" s="29"/>
      <c r="AL246" s="29"/>
      <c r="AM246" s="29"/>
    </row>
    <row r="247">
      <c r="A247" s="31" t="s">
        <v>46</v>
      </c>
      <c r="B247" s="38">
        <v>13841.0</v>
      </c>
      <c r="C247" s="33" t="str">
        <f t="array" ref="C247">INDEX('MTA 28-09'!B:B,MATCH(B247,'MTA 28-09'!A:A,0))</f>
        <v>SIM</v>
      </c>
      <c r="D247" s="34">
        <f t="array" ref="D247">INDEX('MTA 28-09'!D:D,MATCH(B247,'MTA 28-09'!A:A,0))</f>
        <v>2048</v>
      </c>
      <c r="E247" s="32" t="str">
        <f t="array" ref="E247">INDEX('MTA 28-09'!F:F,MATCH(B247,'MTA 28-09'!A:A,0))</f>
        <v/>
      </c>
      <c r="F247" s="137" t="str">
        <f t="array" ref="F247">INDEX('MTA 28-09'!I:I,MATCH(B247,'MTA 28-09'!A:A,0))</f>
        <v/>
      </c>
      <c r="G247" s="36" t="str">
        <f t="array" ref="G247">INDEX('MTA 28-09'!J:J,MATCH(B247,'MTA 28-09'!A:A,0))</f>
        <v/>
      </c>
      <c r="H247" s="287" t="s">
        <v>157</v>
      </c>
      <c r="I247" s="295"/>
      <c r="J247" s="39"/>
      <c r="K247" s="40"/>
      <c r="L247" s="39" t="str">
        <f t="array" ref="L247">INDEX('MTA 28-09'!S:S,MATCH(B247,'MTA 28-09'!A:A,0))</f>
        <v>T-27</v>
      </c>
      <c r="M247" s="32" t="str">
        <f t="array" ref="M247">INDEX('MTA 28-09'!T:T,MATCH(B247,'MTA 28-09'!A:A,0))</f>
        <v>CNT 005/CELOG-PAMASP/2026 - STANDARDAERO - RG</v>
      </c>
      <c r="N247" s="32" t="str">
        <f t="array" ref="N247">INDEX('MTA 28-09'!U:U,MATCH(B247,'MTA 28-09'!A:A,0))</f>
        <v>Revisão Geral PT6A-25C (2/5)</v>
      </c>
      <c r="O247" s="59" t="str">
        <f t="array" ref="O247">INDEX('MTA 28-09'!AC:AC,MATCH(B247,'MTA 28-09'!A:A,0))</f>
        <v> -</v>
      </c>
      <c r="P247" s="32" t="str">
        <f t="array" ref="P247">INDEX('MTA 28-09'!N:N,MATCH(B247,'MTA 28-09'!A:A,0))</f>
        <v>CABW</v>
      </c>
      <c r="Q247" s="67" t="str">
        <f t="array" ref="Q247">INDEX('MTA 28-09'!Z:Z,MATCH(B247,'MTA 28-09'!A:A,0))</f>
        <v>339030</v>
      </c>
      <c r="R247" s="32" t="str">
        <f t="array" ref="R247">INDEX('MTA 28-09'!L:L,MATCH(B247,'MTA 28-09'!A:A,0))</f>
        <v>A</v>
      </c>
      <c r="S247" s="72" t="str">
        <f t="array" ref="S247">INDEX('MTA 28-09'!X:X,MATCH(B247,'MTA 28-09'!A:A,0))</f>
        <v>SOB DEMANDA</v>
      </c>
      <c r="T247" s="72" t="str">
        <f t="array" ref="T247">INDEX('MTA 28-09'!W:W,MATCH(B247,'MTA 28-09'!A:A,0))</f>
        <v>SIM</v>
      </c>
      <c r="U247" s="81">
        <f t="array" ref="U247">INDEX('MTA 28-09'!AE:AE,MATCH(B247,'MTA 28-09'!A:A,0))</f>
        <v>46352</v>
      </c>
      <c r="V247" s="12"/>
      <c r="W247" s="12"/>
      <c r="X247" s="12"/>
      <c r="Y247" s="12"/>
      <c r="Z247" s="12"/>
      <c r="AA247" s="12"/>
      <c r="AB247" s="12"/>
      <c r="AC247" s="12"/>
      <c r="AD247" s="12"/>
      <c r="AE247" s="12"/>
      <c r="AF247" s="12"/>
      <c r="AG247" s="12"/>
      <c r="AH247" s="12"/>
      <c r="AI247" s="12"/>
      <c r="AJ247" s="12"/>
      <c r="AK247" s="12"/>
      <c r="AL247" s="12"/>
      <c r="AM247" s="12"/>
    </row>
    <row r="248">
      <c r="A248" s="88" t="s">
        <v>46</v>
      </c>
      <c r="B248" s="90">
        <v>13842.0</v>
      </c>
      <c r="C248" s="92" t="str">
        <f t="array" ref="C248">INDEX('MTA 28-09'!B:B,MATCH(B248,'MTA 28-09'!A:A,0))</f>
        <v>SIM</v>
      </c>
      <c r="D248" s="95">
        <f t="array" ref="D248">INDEX('MTA 28-09'!D:D,MATCH(B248,'MTA 28-09'!A:A,0))</f>
        <v>2048</v>
      </c>
      <c r="E248" s="98" t="str">
        <f t="array" ref="E248">INDEX('MTA 28-09'!F:F,MATCH(B248,'MTA 28-09'!A:A,0))</f>
        <v>ATENDIDO</v>
      </c>
      <c r="F248" s="152">
        <f t="array" ref="F248">INDEX('MTA 28-09'!I:I,MATCH(B248,'MTA 28-09'!A:A,0))</f>
        <v>46121</v>
      </c>
      <c r="G248" s="100" t="str">
        <f t="array" ref="G248">INDEX('MTA 28-09'!J:J,MATCH(B248,'MTA 28-09'!A:A,0))</f>
        <v>C26079</v>
      </c>
      <c r="H248" s="159" t="s">
        <v>157</v>
      </c>
      <c r="I248" s="296"/>
      <c r="J248" s="102"/>
      <c r="K248" s="103"/>
      <c r="L248" s="102" t="str">
        <f t="array" ref="L248">INDEX('MTA 28-09'!S:S,MATCH(B248,'MTA 28-09'!A:A,0))</f>
        <v>T-27</v>
      </c>
      <c r="M248" s="98" t="str">
        <f t="array" ref="M248">INDEX('MTA 28-09'!T:T,MATCH(B248,'MTA 28-09'!A:A,0))</f>
        <v>CNT 005/CELOG-PAMASP/2026 - STANDARDAERO - RG</v>
      </c>
      <c r="N248" s="98" t="str">
        <f t="array" ref="N248">INDEX('MTA 28-09'!U:U,MATCH(B248,'MTA 28-09'!A:A,0))</f>
        <v>Revisão Geral PT6A-25C (2/5)</v>
      </c>
      <c r="O248" s="104">
        <f t="array" ref="O248">INDEX('MTA 28-09'!AC:AC,MATCH(B248,'MTA 28-09'!A:A,0))</f>
        <v>592515</v>
      </c>
      <c r="P248" s="98" t="str">
        <f t="array" ref="P248">INDEX('MTA 28-09'!N:N,MATCH(B248,'MTA 28-09'!A:A,0))</f>
        <v>CABW</v>
      </c>
      <c r="Q248" s="105" t="str">
        <f t="array" ref="Q248">INDEX('MTA 28-09'!Z:Z,MATCH(B248,'MTA 28-09'!A:A,0))</f>
        <v>339039</v>
      </c>
      <c r="R248" s="98" t="str">
        <f t="array" ref="R248">INDEX('MTA 28-09'!L:L,MATCH(B248,'MTA 28-09'!A:A,0))</f>
        <v>A</v>
      </c>
      <c r="S248" s="107" t="str">
        <f t="array" ref="S248">INDEX('MTA 28-09'!X:X,MATCH(B248,'MTA 28-09'!A:A,0))</f>
        <v>SOB DEMANDA</v>
      </c>
      <c r="T248" s="107" t="str">
        <f t="array" ref="T248">INDEX('MTA 28-09'!W:W,MATCH(B248,'MTA 28-09'!A:A,0))</f>
        <v>SIM</v>
      </c>
      <c r="U248" s="109">
        <f t="array" ref="U248">INDEX('MTA 28-09'!AE:AE,MATCH(B248,'MTA 28-09'!A:A,0))</f>
        <v>46352</v>
      </c>
      <c r="V248" s="29"/>
      <c r="W248" s="29"/>
      <c r="X248" s="29"/>
      <c r="Y248" s="29"/>
      <c r="Z248" s="29"/>
      <c r="AA248" s="29"/>
      <c r="AB248" s="29"/>
      <c r="AC248" s="29"/>
      <c r="AD248" s="29"/>
      <c r="AE248" s="29"/>
      <c r="AF248" s="29"/>
      <c r="AG248" s="29"/>
      <c r="AH248" s="29"/>
      <c r="AI248" s="29"/>
      <c r="AJ248" s="29"/>
      <c r="AK248" s="29"/>
      <c r="AL248" s="29"/>
      <c r="AM248" s="29"/>
    </row>
    <row r="249">
      <c r="A249" s="31" t="s">
        <v>46</v>
      </c>
      <c r="B249" s="32">
        <v>13860.0</v>
      </c>
      <c r="C249" s="33" t="str">
        <f t="array" ref="C249">INDEX('MTA 28-09'!B:B,MATCH(B249,'MTA 28-09'!A:A,0))</f>
        <v>SIM</v>
      </c>
      <c r="D249" s="34">
        <f t="array" ref="D249">INDEX('MTA 28-09'!D:D,MATCH(B249,'MTA 28-09'!A:A,0))</f>
        <v>2048</v>
      </c>
      <c r="E249" s="32" t="str">
        <f t="array" ref="E249">INDEX('MTA 28-09'!F:F,MATCH(B249,'MTA 28-09'!A:A,0))</f>
        <v/>
      </c>
      <c r="F249" s="137" t="str">
        <f t="array" ref="F249">INDEX('MTA 28-09'!I:I,MATCH(B249,'MTA 28-09'!A:A,0))</f>
        <v/>
      </c>
      <c r="G249" s="36" t="str">
        <f t="array" ref="G249">INDEX('MTA 28-09'!J:J,MATCH(B249,'MTA 28-09'!A:A,0))</f>
        <v/>
      </c>
      <c r="H249" s="287" t="s">
        <v>157</v>
      </c>
      <c r="I249" s="295"/>
      <c r="J249" s="39"/>
      <c r="K249" s="40"/>
      <c r="L249" s="39" t="str">
        <f t="array" ref="L249">INDEX('MTA 28-09'!S:S,MATCH(B249,'MTA 28-09'!A:A,0))</f>
        <v>T-27</v>
      </c>
      <c r="M249" s="32" t="str">
        <f t="array" ref="M249">INDEX('MTA 28-09'!T:T,MATCH(B249,'MTA 28-09'!A:A,0))</f>
        <v>CNT XXX/CELOG-PAMASP/2026 - XX - Material</v>
      </c>
      <c r="N249" s="32" t="str">
        <f t="array" ref="N249">INDEX('MTA 28-09'!U:U,MATCH(B249,'MTA 28-09'!A:A,0))</f>
        <v>Material reparo PT6A-25C (3/4)</v>
      </c>
      <c r="O249" s="59">
        <f t="array" ref="O249">INDEX('MTA 28-09'!AC:AC,MATCH(B249,'MTA 28-09'!A:A,0))</f>
        <v>542580.09</v>
      </c>
      <c r="P249" s="32" t="str">
        <f t="array" ref="P249">INDEX('MTA 28-09'!N:N,MATCH(B249,'MTA 28-09'!A:A,0))</f>
        <v>CELOG</v>
      </c>
      <c r="Q249" s="67" t="str">
        <f t="array" ref="Q249">INDEX('MTA 28-09'!Z:Z,MATCH(B249,'MTA 28-09'!A:A,0))</f>
        <v>339030</v>
      </c>
      <c r="R249" s="32" t="str">
        <f t="array" ref="R249">INDEX('MTA 28-09'!L:L,MATCH(B249,'MTA 28-09'!A:A,0))</f>
        <v>A</v>
      </c>
      <c r="S249" s="72" t="str">
        <f t="array" ref="S249">INDEX('MTA 28-09'!X:X,MATCH(B249,'MTA 28-09'!A:A,0))</f>
        <v>SOB DEMANDA</v>
      </c>
      <c r="T249" s="72" t="str">
        <f t="array" ref="T249">INDEX('MTA 28-09'!W:W,MATCH(B249,'MTA 28-09'!A:A,0))</f>
        <v>SIM</v>
      </c>
      <c r="U249" s="81">
        <f t="array" ref="U249">INDEX('MTA 28-09'!AE:AE,MATCH(B249,'MTA 28-09'!A:A,0))</f>
        <v>46229</v>
      </c>
      <c r="V249" s="12"/>
      <c r="W249" s="12"/>
      <c r="X249" s="12"/>
      <c r="Y249" s="12"/>
      <c r="Z249" s="12"/>
      <c r="AA249" s="12"/>
      <c r="AB249" s="12"/>
      <c r="AC249" s="12"/>
      <c r="AD249" s="12"/>
      <c r="AE249" s="12"/>
      <c r="AF249" s="12"/>
      <c r="AG249" s="12"/>
      <c r="AH249" s="12"/>
      <c r="AI249" s="12"/>
      <c r="AJ249" s="12"/>
      <c r="AK249" s="12"/>
      <c r="AL249" s="12"/>
      <c r="AM249" s="12"/>
    </row>
    <row r="250">
      <c r="A250" s="88" t="s">
        <v>46</v>
      </c>
      <c r="B250" s="98">
        <v>13880.0</v>
      </c>
      <c r="C250" s="92" t="str">
        <f t="array" ref="C250">INDEX('MTA 28-09'!B:B,MATCH(B250,'MTA 28-09'!A:A,0))</f>
        <v>SIM</v>
      </c>
      <c r="D250" s="95">
        <f t="array" ref="D250">INDEX('MTA 28-09'!D:D,MATCH(B250,'MTA 28-09'!A:A,0))</f>
        <v>2048</v>
      </c>
      <c r="E250" s="98" t="str">
        <f t="array" ref="E250">INDEX('MTA 28-09'!F:F,MATCH(B250,'MTA 28-09'!A:A,0))</f>
        <v>CANCELADO</v>
      </c>
      <c r="F250" s="152" t="str">
        <f t="array" ref="F250">INDEX('MTA 28-09'!I:I,MATCH(B250,'MTA 28-09'!A:A,0))</f>
        <v/>
      </c>
      <c r="G250" s="100" t="str">
        <f t="array" ref="G250">INDEX('MTA 28-09'!J:J,MATCH(B250,'MTA 28-09'!A:A,0))</f>
        <v/>
      </c>
      <c r="H250" s="159" t="s">
        <v>157</v>
      </c>
      <c r="I250" s="296"/>
      <c r="J250" s="102"/>
      <c r="K250" s="103"/>
      <c r="L250" s="102" t="str">
        <f t="array" ref="L250">INDEX('MTA 28-09'!S:S,MATCH(B250,'MTA 28-09'!A:A,0))</f>
        <v>T-27</v>
      </c>
      <c r="M250" s="98" t="str">
        <f t="array" ref="M250">INDEX('MTA 28-09'!T:T,MATCH(B250,'MTA 28-09'!A:A,0))</f>
        <v>Requisição CABW</v>
      </c>
      <c r="N250" s="98" t="str">
        <f t="array" ref="N250">INDEX('MTA 28-09'!U:U,MATCH(B250,'MTA 28-09'!A:A,0))</f>
        <v>Material acessórios PT6A-25C (3/3)</v>
      </c>
      <c r="O250" s="104" t="str">
        <f t="array" ref="O250">INDEX('MTA 28-09'!AC:AC,MATCH(B250,'MTA 28-09'!A:A,0))</f>
        <v> -</v>
      </c>
      <c r="P250" s="98" t="str">
        <f t="array" ref="P250">INDEX('MTA 28-09'!N:N,MATCH(B250,'MTA 28-09'!A:A,0))</f>
        <v>CABW</v>
      </c>
      <c r="Q250" s="105" t="str">
        <f t="array" ref="Q250">INDEX('MTA 28-09'!Z:Z,MATCH(B250,'MTA 28-09'!A:A,0))</f>
        <v>339030</v>
      </c>
      <c r="R250" s="98" t="str">
        <f t="array" ref="R250">INDEX('MTA 28-09'!L:L,MATCH(B250,'MTA 28-09'!A:A,0))</f>
        <v>A</v>
      </c>
      <c r="S250" s="107" t="str">
        <f t="array" ref="S250">INDEX('MTA 28-09'!X:X,MATCH(B250,'MTA 28-09'!A:A,0))</f>
        <v>REQUISIÇÃO</v>
      </c>
      <c r="T250" s="107" t="str">
        <f t="array" ref="T250">INDEX('MTA 28-09'!W:W,MATCH(B250,'MTA 28-09'!A:A,0))</f>
        <v>SIM</v>
      </c>
      <c r="U250" s="109">
        <f t="array" ref="U250">INDEX('MTA 28-09'!AE:AE,MATCH(B250,'MTA 28-09'!A:A,0))</f>
        <v>46382</v>
      </c>
      <c r="V250" s="29"/>
      <c r="W250" s="29"/>
      <c r="X250" s="29"/>
      <c r="Y250" s="29"/>
      <c r="Z250" s="29"/>
      <c r="AA250" s="29"/>
      <c r="AB250" s="29"/>
      <c r="AC250" s="29"/>
      <c r="AD250" s="29"/>
      <c r="AE250" s="29"/>
      <c r="AF250" s="29"/>
      <c r="AG250" s="29"/>
      <c r="AH250" s="29"/>
      <c r="AI250" s="29"/>
      <c r="AJ250" s="29"/>
      <c r="AK250" s="29"/>
      <c r="AL250" s="29"/>
      <c r="AM250" s="29"/>
    </row>
    <row r="251">
      <c r="A251" s="31" t="s">
        <v>46</v>
      </c>
      <c r="B251" s="32">
        <v>13900.0</v>
      </c>
      <c r="C251" s="33" t="str">
        <f t="array" ref="C251">INDEX('MTA 28-09'!B:B,MATCH(B251,'MTA 28-09'!A:A,0))</f>
        <v>SIM</v>
      </c>
      <c r="D251" s="34">
        <f t="array" ref="D251">INDEX('MTA 28-09'!D:D,MATCH(B251,'MTA 28-09'!A:A,0))</f>
        <v>2048</v>
      </c>
      <c r="E251" s="32" t="str">
        <f t="array" ref="E251">INDEX('MTA 28-09'!F:F,MATCH(B251,'MTA 28-09'!A:A,0))</f>
        <v>CANCELADO</v>
      </c>
      <c r="F251" s="137" t="str">
        <f t="array" ref="F251">INDEX('MTA 28-09'!I:I,MATCH(B251,'MTA 28-09'!A:A,0))</f>
        <v/>
      </c>
      <c r="G251" s="36" t="str">
        <f t="array" ref="G251">INDEX('MTA 28-09'!J:J,MATCH(B251,'MTA 28-09'!A:A,0))</f>
        <v/>
      </c>
      <c r="H251" s="287" t="s">
        <v>157</v>
      </c>
      <c r="I251" s="295"/>
      <c r="J251" s="39"/>
      <c r="K251" s="40"/>
      <c r="L251" s="39" t="str">
        <f t="array" ref="L251">INDEX('MTA 28-09'!S:S,MATCH(B251,'MTA 28-09'!A:A,0))</f>
        <v>T-27</v>
      </c>
      <c r="M251" s="32" t="str">
        <f t="array" ref="M251">INDEX('MTA 28-09'!T:T,MATCH(B251,'MTA 28-09'!A:A,0))</f>
        <v>REQUISIÇÃO SERVIÇO</v>
      </c>
      <c r="N251" s="32" t="str">
        <f t="array" ref="N251">INDEX('MTA 28-09'!U:U,MATCH(B251,'MTA 28-09'!A:A,0))</f>
        <v>RG Fuel Control Unit 2 EA (4/4)</v>
      </c>
      <c r="O251" s="59" t="str">
        <f t="array" ref="O251">INDEX('MTA 28-09'!AC:AC,MATCH(B251,'MTA 28-09'!A:A,0))</f>
        <v> -</v>
      </c>
      <c r="P251" s="32" t="str">
        <f t="array" ref="P251">INDEX('MTA 28-09'!N:N,MATCH(B251,'MTA 28-09'!A:A,0))</f>
        <v>CABW</v>
      </c>
      <c r="Q251" s="67" t="str">
        <f t="array" ref="Q251">INDEX('MTA 28-09'!Z:Z,MATCH(B251,'MTA 28-09'!A:A,0))</f>
        <v>339039</v>
      </c>
      <c r="R251" s="32" t="str">
        <f t="array" ref="R251">INDEX('MTA 28-09'!L:L,MATCH(B251,'MTA 28-09'!A:A,0))</f>
        <v>A</v>
      </c>
      <c r="S251" s="72" t="str">
        <f t="array" ref="S251">INDEX('MTA 28-09'!X:X,MATCH(B251,'MTA 28-09'!A:A,0))</f>
        <v>REQUISIÇÃO</v>
      </c>
      <c r="T251" s="72" t="str">
        <f t="array" ref="T251">INDEX('MTA 28-09'!W:W,MATCH(B251,'MTA 28-09'!A:A,0))</f>
        <v>SIM</v>
      </c>
      <c r="U251" s="81">
        <f t="array" ref="U251">INDEX('MTA 28-09'!AE:AE,MATCH(B251,'MTA 28-09'!A:A,0))</f>
        <v>46230</v>
      </c>
      <c r="V251" s="12"/>
      <c r="W251" s="12"/>
      <c r="X251" s="12"/>
      <c r="Y251" s="12"/>
      <c r="Z251" s="12"/>
      <c r="AA251" s="12"/>
      <c r="AB251" s="12"/>
      <c r="AC251" s="12"/>
      <c r="AD251" s="12"/>
      <c r="AE251" s="12"/>
      <c r="AF251" s="12"/>
      <c r="AG251" s="12"/>
      <c r="AH251" s="12"/>
      <c r="AI251" s="12"/>
      <c r="AJ251" s="12"/>
      <c r="AK251" s="12"/>
      <c r="AL251" s="12"/>
      <c r="AM251" s="12"/>
    </row>
    <row r="252">
      <c r="A252" s="88" t="s">
        <v>39</v>
      </c>
      <c r="B252" s="98">
        <v>13920.0</v>
      </c>
      <c r="C252" s="92" t="str">
        <f t="array" ref="C252">INDEX('MTA 28-09'!B:B,MATCH(B252,'MTA 28-09'!A:A,0))</f>
        <v>SIM</v>
      </c>
      <c r="D252" s="95">
        <f t="array" ref="D252">INDEX('MTA 28-09'!D:D,MATCH(B252,'MTA 28-09'!A:A,0))</f>
        <v>2048</v>
      </c>
      <c r="E252" s="98" t="str">
        <f t="array" ref="E252">INDEX('MTA 28-09'!F:F,MATCH(B252,'MTA 28-09'!A:A,0))</f>
        <v/>
      </c>
      <c r="F252" s="152" t="str">
        <f t="array" ref="F252">INDEX('MTA 28-09'!I:I,MATCH(B252,'MTA 28-09'!A:A,0))</f>
        <v/>
      </c>
      <c r="G252" s="100" t="str">
        <f t="array" ref="G252">INDEX('MTA 28-09'!J:J,MATCH(B252,'MTA 28-09'!A:A,0))</f>
        <v/>
      </c>
      <c r="H252" s="159" t="s">
        <v>157</v>
      </c>
      <c r="I252" s="90"/>
      <c r="J252" s="102"/>
      <c r="K252" s="103"/>
      <c r="L252" s="102" t="str">
        <f t="array" ref="L252">INDEX('MTA 28-09'!S:S,MATCH(B252,'MTA 28-09'!A:A,0))</f>
        <v>A-29</v>
      </c>
      <c r="M252" s="98" t="str">
        <f t="array" ref="M252">INDEX('MTA 28-09'!T:T,MATCH(B252,'MTA 28-09'!A:A,0))</f>
        <v>REQUISIÇÃO PUBLICAÇÃO</v>
      </c>
      <c r="N252" s="98" t="str">
        <f t="array" ref="N252">INDEX('MTA 28-09'!U:U,MATCH(B252,'MTA 28-09'!A:A,0))</f>
        <v>3077076 - MAINTENANCE</v>
      </c>
      <c r="O252" s="104">
        <f t="array" ref="O252">INDEX('MTA 28-09'!AC:AC,MATCH(B252,'MTA 28-09'!A:A,0))</f>
        <v>195946</v>
      </c>
      <c r="P252" s="98" t="str">
        <f t="array" ref="P252">INDEX('MTA 28-09'!N:N,MATCH(B252,'MTA 28-09'!A:A,0))</f>
        <v>CELOG</v>
      </c>
      <c r="Q252" s="105" t="str">
        <f t="array" ref="Q252">INDEX('MTA 28-09'!Z:Z,MATCH(B252,'MTA 28-09'!A:A,0))</f>
        <v>339030</v>
      </c>
      <c r="R252" s="98" t="str">
        <f t="array" ref="R252">INDEX('MTA 28-09'!L:L,MATCH(B252,'MTA 28-09'!A:A,0))</f>
        <v>A</v>
      </c>
      <c r="S252" s="107" t="str">
        <f t="array" ref="S252">INDEX('MTA 28-09'!X:X,MATCH(B252,'MTA 28-09'!A:A,0))</f>
        <v>REQUISIÇÃO</v>
      </c>
      <c r="T252" s="107" t="str">
        <f t="array" ref="T252">INDEX('MTA 28-09'!W:W,MATCH(B252,'MTA 28-09'!A:A,0))</f>
        <v>SIM</v>
      </c>
      <c r="U252" s="109">
        <f t="array" ref="U252">INDEX('MTA 28-09'!AE:AE,MATCH(B252,'MTA 28-09'!A:A,0))</f>
        <v>46352</v>
      </c>
      <c r="V252" s="29"/>
      <c r="W252" s="29"/>
      <c r="X252" s="29"/>
      <c r="Y252" s="29"/>
      <c r="Z252" s="29"/>
      <c r="AA252" s="29"/>
      <c r="AB252" s="29"/>
      <c r="AC252" s="29"/>
      <c r="AD252" s="29"/>
      <c r="AE252" s="29"/>
      <c r="AF252" s="29"/>
      <c r="AG252" s="29"/>
      <c r="AH252" s="29"/>
      <c r="AI252" s="29"/>
      <c r="AJ252" s="29"/>
      <c r="AK252" s="29"/>
      <c r="AL252" s="29"/>
      <c r="AM252" s="29"/>
    </row>
    <row r="253">
      <c r="A253" s="31" t="s">
        <v>39</v>
      </c>
      <c r="B253" s="38">
        <v>13921.0</v>
      </c>
      <c r="C253" s="33" t="str">
        <f t="array" ref="C253">INDEX('MTA 28-09'!B:B,MATCH(B253,'MTA 28-09'!A:A,0))</f>
        <v>SIM</v>
      </c>
      <c r="D253" s="34">
        <f t="array" ref="D253">INDEX('MTA 28-09'!D:D,MATCH(B253,'MTA 28-09'!A:A,0))</f>
        <v>2048</v>
      </c>
      <c r="E253" s="32" t="str">
        <f t="array" ref="E253">INDEX('MTA 28-09'!F:F,MATCH(B253,'MTA 28-09'!A:A,0))</f>
        <v>ATENDIDO</v>
      </c>
      <c r="F253" s="155">
        <f t="array" ref="F253">INDEX('MTA 28-09'!I:I,MATCH(B253,'MTA 28-09'!A:A,0))</f>
        <v>46149</v>
      </c>
      <c r="G253" s="36" t="str">
        <f t="array" ref="G253">INDEX('MTA 28-09'!J:J,MATCH(B253,'MTA 28-09'!A:A,0))</f>
        <v>C26096</v>
      </c>
      <c r="H253" s="287" t="s">
        <v>157</v>
      </c>
      <c r="I253" s="295"/>
      <c r="J253" s="39"/>
      <c r="K253" s="40"/>
      <c r="L253" s="39" t="str">
        <f t="array" ref="L253">INDEX('MTA 28-09'!S:S,MATCH(B253,'MTA 28-09'!A:A,0))</f>
        <v>A-29</v>
      </c>
      <c r="M253" s="32" t="str">
        <f t="array" ref="M253">INDEX('MTA 28-09'!T:T,MATCH(B253,'MTA 28-09'!A:A,0))</f>
        <v>REQUISIÇÃO CONSUMO</v>
      </c>
      <c r="N253" s="32" t="str">
        <f t="array" ref="N253">INDEX('MTA 28-09'!U:U,MATCH(B253,'MTA 28-09'!A:A,0))</f>
        <v>Material banco de provas</v>
      </c>
      <c r="O253" s="59">
        <f t="array" ref="O253">INDEX('MTA 28-09'!AC:AC,MATCH(B253,'MTA 28-09'!A:A,0))</f>
        <v>117578.49</v>
      </c>
      <c r="P253" s="32" t="str">
        <f t="array" ref="P253">INDEX('MTA 28-09'!N:N,MATCH(B253,'MTA 28-09'!A:A,0))</f>
        <v>CABW</v>
      </c>
      <c r="Q253" s="67" t="str">
        <f t="array" ref="Q253">INDEX('MTA 28-09'!Z:Z,MATCH(B253,'MTA 28-09'!A:A,0))</f>
        <v>339030</v>
      </c>
      <c r="R253" s="32" t="str">
        <f t="array" ref="R253">INDEX('MTA 28-09'!L:L,MATCH(B253,'MTA 28-09'!A:A,0))</f>
        <v>A</v>
      </c>
      <c r="S253" s="72" t="str">
        <f t="array" ref="S253">INDEX('MTA 28-09'!X:X,MATCH(B253,'MTA 28-09'!A:A,0))</f>
        <v>REQUISIÇÃO</v>
      </c>
      <c r="T253" s="72" t="str">
        <f t="array" ref="T253">INDEX('MTA 28-09'!W:W,MATCH(B253,'MTA 28-09'!A:A,0))</f>
        <v>SIM</v>
      </c>
      <c r="U253" s="81">
        <f t="array" ref="U253">INDEX('MTA 28-09'!AE:AE,MATCH(B253,'MTA 28-09'!A:A,0))</f>
        <v>46168</v>
      </c>
      <c r="V253" s="12"/>
      <c r="W253" s="12"/>
      <c r="X253" s="12"/>
      <c r="Y253" s="12"/>
      <c r="Z253" s="12"/>
      <c r="AA253" s="12"/>
      <c r="AB253" s="12"/>
      <c r="AC253" s="12"/>
      <c r="AD253" s="12"/>
      <c r="AE253" s="12"/>
      <c r="AF253" s="12"/>
      <c r="AG253" s="12"/>
      <c r="AH253" s="12"/>
      <c r="AI253" s="12"/>
      <c r="AJ253" s="12"/>
      <c r="AK253" s="12"/>
      <c r="AL253" s="12"/>
      <c r="AM253" s="12"/>
    </row>
    <row r="254">
      <c r="A254" s="88" t="s">
        <v>39</v>
      </c>
      <c r="B254" s="98">
        <v>13940.0</v>
      </c>
      <c r="C254" s="92" t="str">
        <f t="array" ref="C254">INDEX('MTA 28-09'!B:B,MATCH(B254,'MTA 28-09'!A:A,0))</f>
        <v>SIM</v>
      </c>
      <c r="D254" s="95">
        <f t="array" ref="D254">INDEX('MTA 28-09'!D:D,MATCH(B254,'MTA 28-09'!A:A,0))</f>
        <v>2048</v>
      </c>
      <c r="E254" s="98" t="str">
        <f t="array" ref="E254">INDEX('MTA 28-09'!F:F,MATCH(B254,'MTA 28-09'!A:A,0))</f>
        <v>ATENDIDO</v>
      </c>
      <c r="F254" s="99">
        <f t="array" ref="F254">INDEX('MTA 28-09'!I:I,MATCH(B254,'MTA 28-09'!A:A,0))</f>
        <v>46195</v>
      </c>
      <c r="G254" s="100" t="str">
        <f t="array" ref="G254">INDEX('MTA 28-09'!J:J,MATCH(B254,'MTA 28-09'!A:A,0))</f>
        <v>C26132</v>
      </c>
      <c r="H254" s="159" t="s">
        <v>157</v>
      </c>
      <c r="I254" s="90"/>
      <c r="J254" s="102"/>
      <c r="K254" s="103"/>
      <c r="L254" s="102" t="str">
        <f t="array" ref="L254">INDEX('MTA 28-09'!S:S,MATCH(B254,'MTA 28-09'!A:A,0))</f>
        <v>A-29</v>
      </c>
      <c r="M254" s="98" t="str">
        <f t="array" ref="M254">INDEX('MTA 28-09'!T:T,MATCH(B254,'MTA 28-09'!A:A,0))</f>
        <v>CNT 051/CELOG-PAMASP/2024 - STANDARD AERO - REVISÃO GERAL</v>
      </c>
      <c r="N254" s="98" t="str">
        <f t="array" ref="N254">INDEX('MTA 28-09'!U:U,MATCH(B254,'MTA 28-09'!A:A,0))</f>
        <v>Revisão Geral PT6A-68C 08/20</v>
      </c>
      <c r="O254" s="104">
        <f t="array" ref="O254">INDEX('MTA 28-09'!AC:AC,MATCH(B254,'MTA 28-09'!A:A,0))</f>
        <v>8000000</v>
      </c>
      <c r="P254" s="98" t="str">
        <f t="array" ref="P254">INDEX('MTA 28-09'!N:N,MATCH(B254,'MTA 28-09'!A:A,0))</f>
        <v>CABW</v>
      </c>
      <c r="Q254" s="105" t="str">
        <f t="array" ref="Q254">INDEX('MTA 28-09'!Z:Z,MATCH(B254,'MTA 28-09'!A:A,0))</f>
        <v>339039</v>
      </c>
      <c r="R254" s="98" t="str">
        <f t="array" ref="R254">INDEX('MTA 28-09'!L:L,MATCH(B254,'MTA 28-09'!A:A,0))</f>
        <v>A</v>
      </c>
      <c r="S254" s="107" t="str">
        <f t="array" ref="S254">INDEX('MTA 28-09'!X:X,MATCH(B254,'MTA 28-09'!A:A,0))</f>
        <v>SOB DEMANDA</v>
      </c>
      <c r="T254" s="107" t="str">
        <f t="array" ref="T254">INDEX('MTA 28-09'!W:W,MATCH(B254,'MTA 28-09'!A:A,0))</f>
        <v>SIM</v>
      </c>
      <c r="U254" s="109">
        <f t="array" ref="U254">INDEX('MTA 28-09'!AE:AE,MATCH(B254,'MTA 28-09'!A:A,0))</f>
        <v>46321</v>
      </c>
      <c r="V254" s="29"/>
      <c r="W254" s="29"/>
      <c r="X254" s="29"/>
      <c r="Y254" s="29"/>
      <c r="Z254" s="29"/>
      <c r="AA254" s="29"/>
      <c r="AB254" s="29"/>
      <c r="AC254" s="29"/>
      <c r="AD254" s="29"/>
      <c r="AE254" s="29"/>
      <c r="AF254" s="29"/>
      <c r="AG254" s="29"/>
      <c r="AH254" s="29"/>
      <c r="AI254" s="29"/>
      <c r="AJ254" s="29"/>
      <c r="AK254" s="29"/>
      <c r="AL254" s="29"/>
      <c r="AM254" s="29"/>
    </row>
    <row r="255">
      <c r="A255" s="31" t="s">
        <v>39</v>
      </c>
      <c r="B255" s="32">
        <v>13960.0</v>
      </c>
      <c r="C255" s="33" t="str">
        <f t="array" ref="C255">INDEX('MTA 28-09'!B:B,MATCH(B255,'MTA 28-09'!A:A,0))</f>
        <v>SIM</v>
      </c>
      <c r="D255" s="34">
        <f t="array" ref="D255">INDEX('MTA 28-09'!D:D,MATCH(B255,'MTA 28-09'!A:A,0))</f>
        <v>2048</v>
      </c>
      <c r="E255" s="32" t="str">
        <f t="array" ref="E255">INDEX('MTA 28-09'!F:F,MATCH(B255,'MTA 28-09'!A:A,0))</f>
        <v>ATENDIDO</v>
      </c>
      <c r="F255" s="137">
        <f t="array" ref="F255">INDEX('MTA 28-09'!I:I,MATCH(B255,'MTA 28-09'!A:A,0))</f>
        <v>46258</v>
      </c>
      <c r="G255" s="36" t="str">
        <f t="array" ref="G255">INDEX('MTA 28-09'!J:J,MATCH(B255,'MTA 28-09'!A:A,0))</f>
        <v>C26205</v>
      </c>
      <c r="H255" s="287" t="s">
        <v>157</v>
      </c>
      <c r="I255" s="38"/>
      <c r="J255" s="39"/>
      <c r="K255" s="40"/>
      <c r="L255" s="39" t="str">
        <f t="array" ref="L255">INDEX('MTA 28-09'!S:S,MATCH(B255,'MTA 28-09'!A:A,0))</f>
        <v>A-29</v>
      </c>
      <c r="M255" s="32" t="str">
        <f t="array" ref="M255">INDEX('MTA 28-09'!T:T,MATCH(B255,'MTA 28-09'!A:A,0))</f>
        <v>CNT 060/CELOG-PAMASP/2023 - PW - HSI/REPARO</v>
      </c>
      <c r="N255" s="32" t="str">
        <f t="array" ref="N255">INDEX('MTA 28-09'!U:U,MATCH(B255,'MTA 28-09'!A:A,0))</f>
        <v>Reparo PT6A-68C 3/9</v>
      </c>
      <c r="O255" s="59">
        <f t="array" ref="O255">INDEX('MTA 28-09'!AC:AC,MATCH(B255,'MTA 28-09'!A:A,0))</f>
        <v>1950000</v>
      </c>
      <c r="P255" s="32" t="str">
        <f t="array" ref="P255">INDEX('MTA 28-09'!N:N,MATCH(B255,'MTA 28-09'!A:A,0))</f>
        <v>CELOG</v>
      </c>
      <c r="Q255" s="67" t="str">
        <f t="array" ref="Q255">INDEX('MTA 28-09'!Z:Z,MATCH(B255,'MTA 28-09'!A:A,0))</f>
        <v>339039</v>
      </c>
      <c r="R255" s="32" t="str">
        <f t="array" ref="R255">INDEX('MTA 28-09'!L:L,MATCH(B255,'MTA 28-09'!A:A,0))</f>
        <v>A</v>
      </c>
      <c r="S255" s="72" t="str">
        <f t="array" ref="S255">INDEX('MTA 28-09'!X:X,MATCH(B255,'MTA 28-09'!A:A,0))</f>
        <v>SOB DEMANDA</v>
      </c>
      <c r="T255" s="72" t="str">
        <f t="array" ref="T255">INDEX('MTA 28-09'!W:W,MATCH(B255,'MTA 28-09'!A:A,0))</f>
        <v>SIM</v>
      </c>
      <c r="U255" s="81">
        <f t="array" ref="U255">INDEX('MTA 28-09'!AE:AE,MATCH(B255,'MTA 28-09'!A:A,0))</f>
        <v>46291</v>
      </c>
      <c r="V255" s="12"/>
      <c r="W255" s="12"/>
      <c r="X255" s="12"/>
      <c r="Y255" s="12"/>
      <c r="Z255" s="12"/>
      <c r="AA255" s="12"/>
      <c r="AB255" s="12"/>
      <c r="AC255" s="12"/>
      <c r="AD255" s="12"/>
      <c r="AE255" s="12"/>
      <c r="AF255" s="12"/>
      <c r="AG255" s="12"/>
      <c r="AH255" s="12"/>
      <c r="AI255" s="12"/>
      <c r="AJ255" s="12"/>
      <c r="AK255" s="12"/>
      <c r="AL255" s="12"/>
      <c r="AM255" s="12"/>
    </row>
    <row r="256">
      <c r="A256" s="88" t="s">
        <v>43</v>
      </c>
      <c r="B256" s="98">
        <v>13980.0</v>
      </c>
      <c r="C256" s="92" t="str">
        <f t="array" ref="C256">INDEX('MTA 28-09'!B:B,MATCH(B256,'MTA 28-09'!A:A,0))</f>
        <v>NÃO</v>
      </c>
      <c r="D256" s="95" t="str">
        <f t="array" ref="D256">INDEX('MTA 28-09'!D:D,MATCH(B256,'MTA 28-09'!A:A,0))</f>
        <v/>
      </c>
      <c r="E256" s="98" t="str">
        <f t="array" ref="E256">INDEX('MTA 28-09'!F:F,MATCH(B256,'MTA 28-09'!A:A,0))</f>
        <v>BLOQUEIO</v>
      </c>
      <c r="F256" s="99" t="str">
        <f t="array" ref="F256">INDEX('MTA 28-09'!I:I,MATCH(B256,'MTA 28-09'!A:A,0))</f>
        <v/>
      </c>
      <c r="G256" s="100" t="str">
        <f t="array" ref="G256">INDEX('MTA 28-09'!J:J,MATCH(B256,'MTA 28-09'!A:A,0))</f>
        <v/>
      </c>
      <c r="H256" s="159" t="s">
        <v>157</v>
      </c>
      <c r="I256" s="296"/>
      <c r="J256" s="102"/>
      <c r="K256" s="103"/>
      <c r="L256" s="102" t="str">
        <f t="array" ref="L256">INDEX('MTA 28-09'!S:S,MATCH(B256,'MTA 28-09'!A:A,0))</f>
        <v>C-95M</v>
      </c>
      <c r="M256" s="98" t="str">
        <f t="array" ref="M256">INDEX('MTA 28-09'!T:T,MATCH(B256,'MTA 28-09'!A:A,0))</f>
        <v>Requisição FMS</v>
      </c>
      <c r="N256" s="98" t="str">
        <f t="array" ref="N256">INDEX('MTA 28-09'!U:U,MATCH(B256,'MTA 28-09'!A:A,0))</f>
        <v>Requisições Consumíveis 2/4</v>
      </c>
      <c r="O256" s="104">
        <f t="array" ref="O256">INDEX('MTA 28-09'!AC:AC,MATCH(B256,'MTA 28-09'!A:A,0))</f>
        <v>750000</v>
      </c>
      <c r="P256" s="98" t="str">
        <f t="array" ref="P256">INDEX('MTA 28-09'!N:N,MATCH(B256,'MTA 28-09'!A:A,0))</f>
        <v>FMS</v>
      </c>
      <c r="Q256" s="105" t="str">
        <f t="array" ref="Q256">INDEX('MTA 28-09'!Z:Z,MATCH(B256,'MTA 28-09'!A:A,0))</f>
        <v>339030</v>
      </c>
      <c r="R256" s="98" t="str">
        <f t="array" ref="R256">INDEX('MTA 28-09'!L:L,MATCH(B256,'MTA 28-09'!A:A,0))</f>
        <v>B</v>
      </c>
      <c r="S256" s="107" t="str">
        <f t="array" ref="S256">INDEX('MTA 28-09'!X:X,MATCH(B256,'MTA 28-09'!A:A,0))</f>
        <v>REQUISIÇÃO</v>
      </c>
      <c r="T256" s="107" t="str">
        <f t="array" ref="T256">INDEX('MTA 28-09'!W:W,MATCH(B256,'MTA 28-09'!A:A,0))</f>
        <v>Não</v>
      </c>
      <c r="U256" s="109">
        <f t="array" ref="U256">INDEX('MTA 28-09'!AE:AE,MATCH(B256,'MTA 28-09'!A:A,0))</f>
        <v>46352</v>
      </c>
      <c r="V256" s="29"/>
      <c r="W256" s="29"/>
      <c r="X256" s="29"/>
      <c r="Y256" s="29"/>
      <c r="Z256" s="29"/>
      <c r="AA256" s="29"/>
      <c r="AB256" s="29"/>
      <c r="AC256" s="29"/>
      <c r="AD256" s="29"/>
      <c r="AE256" s="29"/>
      <c r="AF256" s="29"/>
      <c r="AG256" s="29"/>
      <c r="AH256" s="29"/>
      <c r="AI256" s="29"/>
      <c r="AJ256" s="29"/>
      <c r="AK256" s="29"/>
      <c r="AL256" s="29"/>
      <c r="AM256" s="29"/>
    </row>
    <row r="257">
      <c r="A257" s="31" t="s">
        <v>43</v>
      </c>
      <c r="B257" s="32">
        <v>14000.0</v>
      </c>
      <c r="C257" s="33" t="str">
        <f t="array" ref="C257">INDEX('MTA 28-09'!B:B,MATCH(B257,'MTA 28-09'!A:A,0))</f>
        <v>SIM</v>
      </c>
      <c r="D257" s="34">
        <f t="array" ref="D257">INDEX('MTA 28-09'!D:D,MATCH(B257,'MTA 28-09'!A:A,0))</f>
        <v>2048</v>
      </c>
      <c r="E257" s="32" t="str">
        <f t="array" ref="E257">INDEX('MTA 28-09'!F:F,MATCH(B257,'MTA 28-09'!A:A,0))</f>
        <v>ATENDIDO</v>
      </c>
      <c r="F257" s="35">
        <f t="array" ref="F257">INDEX('MTA 28-09'!I:I,MATCH(B257,'MTA 28-09'!A:A,0))</f>
        <v>46098</v>
      </c>
      <c r="G257" s="36" t="str">
        <f t="array" ref="G257">INDEX('MTA 28-09'!J:J,MATCH(B257,'MTA 28-09'!A:A,0))</f>
        <v>C26162</v>
      </c>
      <c r="H257" s="37" t="s">
        <v>154</v>
      </c>
      <c r="I257" s="38"/>
      <c r="J257" s="39"/>
      <c r="K257" s="40"/>
      <c r="L257" s="39" t="str">
        <f t="array" ref="L257">INDEX('MTA 28-09'!S:S,MATCH(B257,'MTA 28-09'!A:A,0))</f>
        <v>C-95M</v>
      </c>
      <c r="M257" s="32" t="str">
        <f t="array" ref="M257">INDEX('MTA 28-09'!T:T,MATCH(B257,'MTA 28-09'!A:A,0))</f>
        <v>CNT 006/CELOG-PAMASP/2026 - PW - RG</v>
      </c>
      <c r="N257" s="32" t="str">
        <f t="array" ref="N257">INDEX('MTA 28-09'!U:U,MATCH(B257,'MTA 28-09'!A:A,0))</f>
        <v>Revisão Geral PT6A-34 (2/12)</v>
      </c>
      <c r="O257" s="59">
        <f t="array" ref="O257">INDEX('MTA 28-09'!AC:AC,MATCH(B257,'MTA 28-09'!A:A,0))</f>
        <v>3800000</v>
      </c>
      <c r="P257" s="32" t="str">
        <f t="array" ref="P257">INDEX('MTA 28-09'!N:N,MATCH(B257,'MTA 28-09'!A:A,0))</f>
        <v>CELOG</v>
      </c>
      <c r="Q257" s="67" t="str">
        <f t="array" ref="Q257">INDEX('MTA 28-09'!Z:Z,MATCH(B257,'MTA 28-09'!A:A,0))</f>
        <v>339039</v>
      </c>
      <c r="R257" s="32" t="str">
        <f t="array" ref="R257">INDEX('MTA 28-09'!L:L,MATCH(B257,'MTA 28-09'!A:A,0))</f>
        <v>A</v>
      </c>
      <c r="S257" s="72" t="str">
        <f t="array" ref="S257">INDEX('MTA 28-09'!X:X,MATCH(B257,'MTA 28-09'!A:A,0))</f>
        <v>SOB DEMANDA</v>
      </c>
      <c r="T257" s="72" t="str">
        <f t="array" ref="T257">INDEX('MTA 28-09'!W:W,MATCH(B257,'MTA 28-09'!A:A,0))</f>
        <v>SIM</v>
      </c>
      <c r="U257" s="81">
        <f t="array" ref="U257">INDEX('MTA 28-09'!AE:AE,MATCH(B257,'MTA 28-09'!A:A,0))</f>
        <v>46291</v>
      </c>
      <c r="V257" s="12"/>
      <c r="W257" s="12"/>
      <c r="X257" s="12"/>
      <c r="Y257" s="12"/>
      <c r="Z257" s="12"/>
      <c r="AA257" s="12"/>
      <c r="AB257" s="12"/>
      <c r="AC257" s="12"/>
      <c r="AD257" s="12"/>
      <c r="AE257" s="12"/>
      <c r="AF257" s="12"/>
      <c r="AG257" s="12"/>
      <c r="AH257" s="12"/>
      <c r="AI257" s="12"/>
      <c r="AJ257" s="12"/>
      <c r="AK257" s="12"/>
      <c r="AL257" s="12"/>
      <c r="AM257" s="12"/>
    </row>
    <row r="258">
      <c r="A258" s="88" t="s">
        <v>43</v>
      </c>
      <c r="B258" s="98">
        <v>14020.0</v>
      </c>
      <c r="C258" s="92" t="str">
        <f t="array" ref="C258">INDEX('MTA 28-09'!B:B,MATCH(B258,'MTA 28-09'!A:A,0))</f>
        <v>SIM</v>
      </c>
      <c r="D258" s="95">
        <f t="array" ref="D258">INDEX('MTA 28-09'!D:D,MATCH(B258,'MTA 28-09'!A:A,0))</f>
        <v>2048</v>
      </c>
      <c r="E258" s="98" t="str">
        <f t="array" ref="E258">INDEX('MTA 28-09'!F:F,MATCH(B258,'MTA 28-09'!A:A,0))</f>
        <v>CANCELADO</v>
      </c>
      <c r="F258" s="144" t="str">
        <f t="array" ref="F258">INDEX('MTA 28-09'!I:I,MATCH(B258,'MTA 28-09'!A:A,0))</f>
        <v/>
      </c>
      <c r="G258" s="100" t="str">
        <f t="array" ref="G258">INDEX('MTA 28-09'!J:J,MATCH(B258,'MTA 28-09'!A:A,0))</f>
        <v/>
      </c>
      <c r="H258" s="159" t="s">
        <v>157</v>
      </c>
      <c r="I258" s="296"/>
      <c r="J258" s="102"/>
      <c r="K258" s="103"/>
      <c r="L258" s="102" t="str">
        <f t="array" ref="L258">INDEX('MTA 28-09'!S:S,MATCH(B258,'MTA 28-09'!A:A,0))</f>
        <v>C-95M</v>
      </c>
      <c r="M258" s="98" t="str">
        <f t="array" ref="M258">INDEX('MTA 28-09'!T:T,MATCH(B258,'MTA 28-09'!A:A,0))</f>
        <v>REQUISIÇÃO SERVIÇO</v>
      </c>
      <c r="N258" s="98" t="str">
        <f t="array" ref="N258">INDEX('MTA 28-09'!U:U,MATCH(B258,'MTA 28-09'!A:A,0))</f>
        <v>RG IGNITION EXCITER 6 EA (1/1)</v>
      </c>
      <c r="O258" s="104" t="str">
        <f t="array" ref="O258">INDEX('MTA 28-09'!AC:AC,MATCH(B258,'MTA 28-09'!A:A,0))</f>
        <v> -</v>
      </c>
      <c r="P258" s="98" t="str">
        <f t="array" ref="P258">INDEX('MTA 28-09'!N:N,MATCH(B258,'MTA 28-09'!A:A,0))</f>
        <v>CABW</v>
      </c>
      <c r="Q258" s="105" t="str">
        <f t="array" ref="Q258">INDEX('MTA 28-09'!Z:Z,MATCH(B258,'MTA 28-09'!A:A,0))</f>
        <v>339039</v>
      </c>
      <c r="R258" s="98" t="str">
        <f t="array" ref="R258">INDEX('MTA 28-09'!L:L,MATCH(B258,'MTA 28-09'!A:A,0))</f>
        <v>A</v>
      </c>
      <c r="S258" s="107" t="str">
        <f t="array" ref="S258">INDEX('MTA 28-09'!X:X,MATCH(B258,'MTA 28-09'!A:A,0))</f>
        <v>REQUISIÇÃO</v>
      </c>
      <c r="T258" s="107" t="str">
        <f t="array" ref="T258">INDEX('MTA 28-09'!W:W,MATCH(B258,'MTA 28-09'!A:A,0))</f>
        <v>SIM</v>
      </c>
      <c r="U258" s="109">
        <f t="array" ref="U258">INDEX('MTA 28-09'!AE:AE,MATCH(B258,'MTA 28-09'!A:A,0))</f>
        <v>46230</v>
      </c>
      <c r="V258" s="29"/>
      <c r="W258" s="29"/>
      <c r="X258" s="29"/>
      <c r="Y258" s="29"/>
      <c r="Z258" s="29"/>
      <c r="AA258" s="29"/>
      <c r="AB258" s="29"/>
      <c r="AC258" s="29"/>
      <c r="AD258" s="29"/>
      <c r="AE258" s="29"/>
      <c r="AF258" s="29"/>
      <c r="AG258" s="29"/>
      <c r="AH258" s="29"/>
      <c r="AI258" s="29"/>
      <c r="AJ258" s="29"/>
      <c r="AK258" s="29"/>
      <c r="AL258" s="29"/>
      <c r="AM258" s="29"/>
    </row>
    <row r="259">
      <c r="A259" s="31" t="s">
        <v>43</v>
      </c>
      <c r="B259" s="32">
        <v>14040.0</v>
      </c>
      <c r="C259" s="33" t="str">
        <f t="array" ref="C259">INDEX('MTA 28-09'!B:B,MATCH(B259,'MTA 28-09'!A:A,0))</f>
        <v>SIM</v>
      </c>
      <c r="D259" s="34">
        <f t="array" ref="D259">INDEX('MTA 28-09'!D:D,MATCH(B259,'MTA 28-09'!A:A,0))</f>
        <v>2048</v>
      </c>
      <c r="E259" s="32" t="str">
        <f t="array" ref="E259">INDEX('MTA 28-09'!F:F,MATCH(B259,'MTA 28-09'!A:A,0))</f>
        <v>CANCELADO</v>
      </c>
      <c r="F259" s="137" t="str">
        <f t="array" ref="F259">INDEX('MTA 28-09'!I:I,MATCH(B259,'MTA 28-09'!A:A,0))</f>
        <v/>
      </c>
      <c r="G259" s="36" t="str">
        <f t="array" ref="G259">INDEX('MTA 28-09'!J:J,MATCH(B259,'MTA 28-09'!A:A,0))</f>
        <v/>
      </c>
      <c r="H259" s="287" t="s">
        <v>157</v>
      </c>
      <c r="I259" s="295"/>
      <c r="J259" s="39"/>
      <c r="K259" s="40"/>
      <c r="L259" s="39" t="str">
        <f t="array" ref="L259">INDEX('MTA 28-09'!S:S,MATCH(B259,'MTA 28-09'!A:A,0))</f>
        <v>C-95M</v>
      </c>
      <c r="M259" s="32" t="str">
        <f t="array" ref="M259">INDEX('MTA 28-09'!T:T,MATCH(B259,'MTA 28-09'!A:A,0))</f>
        <v>REQUISIÇÃO SERVIÇO</v>
      </c>
      <c r="N259" s="32" t="str">
        <f t="array" ref="N259">INDEX('MTA 28-09'!U:U,MATCH(B259,'MTA 28-09'!A:A,0))</f>
        <v>RG Revisão Flow Divider 6 EA (1/1)</v>
      </c>
      <c r="O259" s="59" t="str">
        <f t="array" ref="O259">INDEX('MTA 28-09'!AC:AC,MATCH(B259,'MTA 28-09'!A:A,0))</f>
        <v> -</v>
      </c>
      <c r="P259" s="32" t="str">
        <f t="array" ref="P259">INDEX('MTA 28-09'!N:N,MATCH(B259,'MTA 28-09'!A:A,0))</f>
        <v>CABW</v>
      </c>
      <c r="Q259" s="67" t="str">
        <f t="array" ref="Q259">INDEX('MTA 28-09'!Z:Z,MATCH(B259,'MTA 28-09'!A:A,0))</f>
        <v>339039</v>
      </c>
      <c r="R259" s="32" t="str">
        <f t="array" ref="R259">INDEX('MTA 28-09'!L:L,MATCH(B259,'MTA 28-09'!A:A,0))</f>
        <v>A</v>
      </c>
      <c r="S259" s="72" t="str">
        <f t="array" ref="S259">INDEX('MTA 28-09'!X:X,MATCH(B259,'MTA 28-09'!A:A,0))</f>
        <v>REQUISIÇÃO</v>
      </c>
      <c r="T259" s="72" t="str">
        <f t="array" ref="T259">INDEX('MTA 28-09'!W:W,MATCH(B259,'MTA 28-09'!A:A,0))</f>
        <v>SIM</v>
      </c>
      <c r="U259" s="81">
        <f t="array" ref="U259">INDEX('MTA 28-09'!AE:AE,MATCH(B259,'MTA 28-09'!A:A,0))</f>
        <v>46230</v>
      </c>
      <c r="V259" s="12"/>
      <c r="W259" s="12"/>
      <c r="X259" s="12"/>
      <c r="Y259" s="12"/>
      <c r="Z259" s="12"/>
      <c r="AA259" s="12"/>
      <c r="AB259" s="12"/>
      <c r="AC259" s="12"/>
      <c r="AD259" s="12"/>
      <c r="AE259" s="12"/>
      <c r="AF259" s="12"/>
      <c r="AG259" s="12"/>
      <c r="AH259" s="12"/>
      <c r="AI259" s="12"/>
      <c r="AJ259" s="12"/>
      <c r="AK259" s="12"/>
      <c r="AL259" s="12"/>
      <c r="AM259" s="12"/>
    </row>
    <row r="260">
      <c r="A260" s="88" t="s">
        <v>99</v>
      </c>
      <c r="B260" s="98">
        <v>14060.0</v>
      </c>
      <c r="C260" s="92" t="str">
        <f t="array" ref="C260">INDEX('MTA 28-09'!B:B,MATCH(B260,'MTA 28-09'!A:A,0))</f>
        <v>NÃO</v>
      </c>
      <c r="D260" s="95" t="str">
        <f t="array" ref="D260">INDEX('MTA 28-09'!D:D,MATCH(B260,'MTA 28-09'!A:A,0))</f>
        <v/>
      </c>
      <c r="E260" s="98" t="str">
        <f t="array" ref="E260">INDEX('MTA 28-09'!F:F,MATCH(B260,'MTA 28-09'!A:A,0))</f>
        <v/>
      </c>
      <c r="F260" s="152" t="str">
        <f t="array" ref="F260">INDEX('MTA 28-09'!I:I,MATCH(B260,'MTA 28-09'!A:A,0))</f>
        <v/>
      </c>
      <c r="G260" s="100" t="str">
        <f t="array" ref="G260">INDEX('MTA 28-09'!J:J,MATCH(B260,'MTA 28-09'!A:A,0))</f>
        <v/>
      </c>
      <c r="H260" s="159" t="s">
        <v>157</v>
      </c>
      <c r="I260" s="296"/>
      <c r="J260" s="102"/>
      <c r="K260" s="103"/>
      <c r="L260" s="102" t="str">
        <f t="array" ref="L260">INDEX('MTA 28-09'!S:S,MATCH(B260,'MTA 28-09'!A:A,0))</f>
        <v>APOIO</v>
      </c>
      <c r="M260" s="98" t="str">
        <f t="array" ref="M260">INDEX('MTA 28-09'!T:T,MATCH(B260,'MTA 28-09'!A:A,0))</f>
        <v>Requisição FMS</v>
      </c>
      <c r="N260" s="98" t="str">
        <f t="array" ref="N260">INDEX('MTA 28-09'!U:U,MATCH(B260,'MTA 28-09'!A:A,0))</f>
        <v>Requisições Consumíveis 1/3</v>
      </c>
      <c r="O260" s="104">
        <f t="array" ref="O260">INDEX('MTA 28-09'!AC:AC,MATCH(B260,'MTA 28-09'!A:A,0))</f>
        <v>500000</v>
      </c>
      <c r="P260" s="98" t="str">
        <f t="array" ref="P260">INDEX('MTA 28-09'!N:N,MATCH(B260,'MTA 28-09'!A:A,0))</f>
        <v>FMS</v>
      </c>
      <c r="Q260" s="105" t="str">
        <f t="array" ref="Q260">INDEX('MTA 28-09'!Z:Z,MATCH(B260,'MTA 28-09'!A:A,0))</f>
        <v>339030</v>
      </c>
      <c r="R260" s="98" t="str">
        <f t="array" ref="R260">INDEX('MTA 28-09'!L:L,MATCH(B260,'MTA 28-09'!A:A,0))</f>
        <v>B</v>
      </c>
      <c r="S260" s="107" t="str">
        <f t="array" ref="S260">INDEX('MTA 28-09'!X:X,MATCH(B260,'MTA 28-09'!A:A,0))</f>
        <v>REQUISIÇÃO</v>
      </c>
      <c r="T260" s="107" t="str">
        <f t="array" ref="T260">INDEX('MTA 28-09'!W:W,MATCH(B260,'MTA 28-09'!A:A,0))</f>
        <v>NÃO</v>
      </c>
      <c r="U260" s="109">
        <f t="array" ref="U260">INDEX('MTA 28-09'!AE:AE,MATCH(B260,'MTA 28-09'!A:A,0))</f>
        <v>46229</v>
      </c>
      <c r="V260" s="29"/>
      <c r="W260" s="29"/>
      <c r="X260" s="29"/>
      <c r="Y260" s="29"/>
      <c r="Z260" s="29"/>
      <c r="AA260" s="29"/>
      <c r="AB260" s="29"/>
      <c r="AC260" s="29"/>
      <c r="AD260" s="29"/>
      <c r="AE260" s="29"/>
      <c r="AF260" s="29"/>
      <c r="AG260" s="29"/>
      <c r="AH260" s="29"/>
      <c r="AI260" s="29"/>
      <c r="AJ260" s="29"/>
      <c r="AK260" s="29"/>
      <c r="AL260" s="29"/>
      <c r="AM260" s="29"/>
    </row>
    <row r="261">
      <c r="A261" s="31" t="s">
        <v>99</v>
      </c>
      <c r="B261" s="32">
        <v>14080.0</v>
      </c>
      <c r="C261" s="33" t="str">
        <f t="array" ref="C261">INDEX('MTA 28-09'!B:B,MATCH(B261,'MTA 28-09'!A:A,0))</f>
        <v>SIM</v>
      </c>
      <c r="D261" s="34">
        <f t="array" ref="D261">INDEX('MTA 28-09'!D:D,MATCH(B261,'MTA 28-09'!A:A,0))</f>
        <v>2048</v>
      </c>
      <c r="E261" s="32" t="str">
        <f t="array" ref="E261">INDEX('MTA 28-09'!F:F,MATCH(B261,'MTA 28-09'!A:A,0))</f>
        <v>ATENDIDO</v>
      </c>
      <c r="F261" s="35">
        <f t="array" ref="F261">INDEX('MTA 28-09'!I:I,MATCH(B261,'MTA 28-09'!A:A,0))</f>
        <v>46265</v>
      </c>
      <c r="G261" s="36" t="str">
        <f t="array" ref="G261">INDEX('MTA 28-09'!J:J,MATCH(B261,'MTA 28-09'!A:A,0))</f>
        <v>C26146</v>
      </c>
      <c r="H261" s="287">
        <v>46262.0</v>
      </c>
      <c r="I261" s="38"/>
      <c r="J261" s="39"/>
      <c r="K261" s="40"/>
      <c r="L261" s="39" t="str">
        <f t="array" ref="L261">INDEX('MTA 28-09'!S:S,MATCH(B261,'MTA 28-09'!A:A,0))</f>
        <v>APOIO</v>
      </c>
      <c r="M261" s="32" t="str">
        <f t="array" ref="M261">INDEX('MTA 28-09'!T:T,MATCH(B261,'MTA 28-09'!A:A,0))</f>
        <v>MANUTENÇÂO DAS INSTALAÇÕES</v>
      </c>
      <c r="N261" s="32" t="str">
        <f t="array" ref="N261">INDEX('MTA 28-09'!U:U,MATCH(B261,'MTA 28-09'!A:A,0))</f>
        <v>INFRAESTRUTURA - READEQUAÇÃO DAS INSTALAÇÕES ELETRICAS DO HANGAR CAP JESUS E REFORMA DO TELHADO (H-003)</v>
      </c>
      <c r="O261" s="59">
        <f t="array" ref="O261">INDEX('MTA 28-09'!AC:AC,MATCH(B261,'MTA 28-09'!A:A,0))</f>
        <v>823759.2</v>
      </c>
      <c r="P261" s="32" t="str">
        <f t="array" ref="P261">INDEX('MTA 28-09'!N:N,MATCH(B261,'MTA 28-09'!A:A,0))</f>
        <v>GAP-LS</v>
      </c>
      <c r="Q261" s="67" t="str">
        <f t="array" ref="Q261">INDEX('MTA 28-09'!Z:Z,MATCH(B261,'MTA 28-09'!A:A,0))</f>
        <v>339039</v>
      </c>
      <c r="R261" s="32" t="str">
        <f t="array" ref="R261">INDEX('MTA 28-09'!L:L,MATCH(B261,'MTA 28-09'!A:A,0))</f>
        <v>A</v>
      </c>
      <c r="S261" s="72" t="str">
        <f t="array" ref="S261">INDEX('MTA 28-09'!X:X,MATCH(B261,'MTA 28-09'!A:A,0))</f>
        <v>REQUISIÇÃO</v>
      </c>
      <c r="T261" s="72" t="str">
        <f t="array" ref="T261">INDEX('MTA 28-09'!W:W,MATCH(B261,'MTA 28-09'!A:A,0))</f>
        <v>NÃO</v>
      </c>
      <c r="U261" s="81">
        <f t="array" ref="U261">INDEX('MTA 28-09'!AE:AE,MATCH(B261,'MTA 28-09'!A:A,0))</f>
        <v>46291</v>
      </c>
      <c r="V261" s="12"/>
      <c r="W261" s="12"/>
      <c r="X261" s="12"/>
      <c r="Y261" s="12"/>
      <c r="Z261" s="12"/>
      <c r="AA261" s="12"/>
      <c r="AB261" s="12"/>
      <c r="AC261" s="12"/>
      <c r="AD261" s="12"/>
      <c r="AE261" s="12"/>
      <c r="AF261" s="12"/>
      <c r="AG261" s="12"/>
      <c r="AH261" s="12"/>
      <c r="AI261" s="12"/>
      <c r="AJ261" s="12"/>
      <c r="AK261" s="12"/>
      <c r="AL261" s="12"/>
      <c r="AM261" s="12"/>
    </row>
    <row r="262">
      <c r="A262" s="88" t="s">
        <v>99</v>
      </c>
      <c r="B262" s="98">
        <v>14100.0</v>
      </c>
      <c r="C262" s="92" t="str">
        <f t="array" ref="C262">INDEX('MTA 28-09'!B:B,MATCH(B262,'MTA 28-09'!A:A,0))</f>
        <v>NÃO</v>
      </c>
      <c r="D262" s="95" t="str">
        <f t="array" ref="D262">INDEX('MTA 28-09'!D:D,MATCH(B262,'MTA 28-09'!A:A,0))</f>
        <v/>
      </c>
      <c r="E262" s="98" t="str">
        <f t="array" ref="E262">INDEX('MTA 28-09'!F:F,MATCH(B262,'MTA 28-09'!A:A,0))</f>
        <v/>
      </c>
      <c r="F262" s="144" t="str">
        <f t="array" ref="F262">INDEX('MTA 28-09'!I:I,MATCH(B262,'MTA 28-09'!A:A,0))</f>
        <v/>
      </c>
      <c r="G262" s="100" t="str">
        <f t="array" ref="G262">INDEX('MTA 28-09'!J:J,MATCH(B262,'MTA 28-09'!A:A,0))</f>
        <v/>
      </c>
      <c r="H262" s="159" t="s">
        <v>157</v>
      </c>
      <c r="I262" s="296"/>
      <c r="J262" s="102"/>
      <c r="K262" s="103"/>
      <c r="L262" s="102" t="str">
        <f t="array" ref="L262">INDEX('MTA 28-09'!S:S,MATCH(B262,'MTA 28-09'!A:A,0))</f>
        <v>APOIO</v>
      </c>
      <c r="M262" s="98" t="str">
        <f t="array" ref="M262">INDEX('MTA 28-09'!T:T,MATCH(B262,'MTA 28-09'!A:A,0))</f>
        <v>Requisição FMS</v>
      </c>
      <c r="N262" s="98" t="str">
        <f t="array" ref="N262">INDEX('MTA 28-09'!U:U,MATCH(B262,'MTA 28-09'!A:A,0))</f>
        <v>Requisições Consumíveis 2/3</v>
      </c>
      <c r="O262" s="104">
        <f t="array" ref="O262">INDEX('MTA 28-09'!AC:AC,MATCH(B262,'MTA 28-09'!A:A,0))</f>
        <v>500000</v>
      </c>
      <c r="P262" s="98" t="str">
        <f t="array" ref="P262">INDEX('MTA 28-09'!N:N,MATCH(B262,'MTA 28-09'!A:A,0))</f>
        <v>FMS</v>
      </c>
      <c r="Q262" s="105" t="str">
        <f t="array" ref="Q262">INDEX('MTA 28-09'!Z:Z,MATCH(B262,'MTA 28-09'!A:A,0))</f>
        <v>339030</v>
      </c>
      <c r="R262" s="98" t="str">
        <f t="array" ref="R262">INDEX('MTA 28-09'!L:L,MATCH(B262,'MTA 28-09'!A:A,0))</f>
        <v>B</v>
      </c>
      <c r="S262" s="107" t="str">
        <f t="array" ref="S262">INDEX('MTA 28-09'!X:X,MATCH(B262,'MTA 28-09'!A:A,0))</f>
        <v>REQUISIÇÃO</v>
      </c>
      <c r="T262" s="107" t="str">
        <f t="array" ref="T262">INDEX('MTA 28-09'!W:W,MATCH(B262,'MTA 28-09'!A:A,0))</f>
        <v>NÃO</v>
      </c>
      <c r="U262" s="109">
        <f t="array" ref="U262">INDEX('MTA 28-09'!AE:AE,MATCH(B262,'MTA 28-09'!A:A,0))</f>
        <v>46229</v>
      </c>
      <c r="V262" s="29"/>
      <c r="W262" s="29"/>
      <c r="X262" s="29"/>
      <c r="Y262" s="29"/>
      <c r="Z262" s="29"/>
      <c r="AA262" s="29"/>
      <c r="AB262" s="29"/>
      <c r="AC262" s="29"/>
      <c r="AD262" s="29"/>
      <c r="AE262" s="29"/>
      <c r="AF262" s="29"/>
      <c r="AG262" s="29"/>
      <c r="AH262" s="29"/>
      <c r="AI262" s="29"/>
      <c r="AJ262" s="29"/>
      <c r="AK262" s="29"/>
      <c r="AL262" s="29"/>
      <c r="AM262" s="29"/>
    </row>
    <row r="263">
      <c r="A263" s="31" t="s">
        <v>99</v>
      </c>
      <c r="B263" s="32">
        <v>14120.0</v>
      </c>
      <c r="C263" s="33" t="str">
        <f t="array" ref="C263">INDEX('MTA 28-09'!B:B,MATCH(B263,'MTA 28-09'!A:A,0))</f>
        <v>NÃO</v>
      </c>
      <c r="D263" s="34" t="str">
        <f t="array" ref="D263">INDEX('MTA 28-09'!D:D,MATCH(B263,'MTA 28-09'!A:A,0))</f>
        <v/>
      </c>
      <c r="E263" s="32" t="str">
        <f t="array" ref="E263">INDEX('MTA 28-09'!F:F,MATCH(B263,'MTA 28-09'!A:A,0))</f>
        <v/>
      </c>
      <c r="F263" s="155" t="str">
        <f t="array" ref="F263">INDEX('MTA 28-09'!I:I,MATCH(B263,'MTA 28-09'!A:A,0))</f>
        <v/>
      </c>
      <c r="G263" s="36" t="str">
        <f t="array" ref="G263">INDEX('MTA 28-09'!J:J,MATCH(B263,'MTA 28-09'!A:A,0))</f>
        <v/>
      </c>
      <c r="H263" s="287" t="s">
        <v>157</v>
      </c>
      <c r="I263" s="295"/>
      <c r="J263" s="39"/>
      <c r="K263" s="40"/>
      <c r="L263" s="39" t="str">
        <f t="array" ref="L263">INDEX('MTA 28-09'!S:S,MATCH(B263,'MTA 28-09'!A:A,0))</f>
        <v>APOIO</v>
      </c>
      <c r="M263" s="32" t="str">
        <f t="array" ref="M263">INDEX('MTA 28-09'!T:T,MATCH(B263,'MTA 28-09'!A:A,0))</f>
        <v>PREGÃO CELOG - AQUISIÇÃO DE ITENS DE CLASSE GERAL</v>
      </c>
      <c r="N263" s="32" t="str">
        <f t="array" ref="N263">INDEX('MTA 28-09'!U:U,MATCH(B263,'MTA 28-09'!A:A,0))</f>
        <v>AQUISIÇÃO DE MATERIAL PARA OFICINAS INTERNAS, EM ATENDIMENTO AOS DIVERSOS PROJETOS DO PAMALS 3/4</v>
      </c>
      <c r="O263" s="59">
        <f t="array" ref="O263">INDEX('MTA 28-09'!AC:AC,MATCH(B263,'MTA 28-09'!A:A,0))</f>
        <v>260000</v>
      </c>
      <c r="P263" s="32" t="str">
        <f t="array" ref="P263">INDEX('MTA 28-09'!N:N,MATCH(B263,'MTA 28-09'!A:A,0))</f>
        <v>CELOG</v>
      </c>
      <c r="Q263" s="67" t="str">
        <f t="array" ref="Q263">INDEX('MTA 28-09'!Z:Z,MATCH(B263,'MTA 28-09'!A:A,0))</f>
        <v>339030</v>
      </c>
      <c r="R263" s="32" t="str">
        <f t="array" ref="R263">INDEX('MTA 28-09'!L:L,MATCH(B263,'MTA 28-09'!A:A,0))</f>
        <v>B</v>
      </c>
      <c r="S263" s="72" t="str">
        <f t="array" ref="S263">INDEX('MTA 28-09'!X:X,MATCH(B263,'MTA 28-09'!A:A,0))</f>
        <v>REQUISIÇÃO</v>
      </c>
      <c r="T263" s="72" t="str">
        <f t="array" ref="T263">INDEX('MTA 28-09'!W:W,MATCH(B263,'MTA 28-09'!A:A,0))</f>
        <v>NÃO</v>
      </c>
      <c r="U263" s="81">
        <f t="array" ref="U263">INDEX('MTA 28-09'!AE:AE,MATCH(B263,'MTA 28-09'!A:A,0))</f>
        <v>46229</v>
      </c>
      <c r="V263" s="12"/>
      <c r="W263" s="12"/>
      <c r="X263" s="12"/>
      <c r="Y263" s="12"/>
      <c r="Z263" s="12"/>
      <c r="AA263" s="12"/>
      <c r="AB263" s="12"/>
      <c r="AC263" s="12"/>
      <c r="AD263" s="12"/>
      <c r="AE263" s="12"/>
      <c r="AF263" s="12"/>
      <c r="AG263" s="12"/>
      <c r="AH263" s="12"/>
      <c r="AI263" s="12"/>
      <c r="AJ263" s="12"/>
      <c r="AK263" s="12"/>
      <c r="AL263" s="12"/>
      <c r="AM263" s="12"/>
    </row>
    <row r="264">
      <c r="A264" s="88" t="s">
        <v>99</v>
      </c>
      <c r="B264" s="98">
        <v>14140.0</v>
      </c>
      <c r="C264" s="92" t="str">
        <f t="array" ref="C264">INDEX('MTA 28-09'!B:B,MATCH(B264,'MTA 28-09'!A:A,0))</f>
        <v>NÃO</v>
      </c>
      <c r="D264" s="95" t="str">
        <f t="array" ref="D264">INDEX('MTA 28-09'!D:D,MATCH(B264,'MTA 28-09'!A:A,0))</f>
        <v/>
      </c>
      <c r="E264" s="98" t="str">
        <f t="array" ref="E264">INDEX('MTA 28-09'!F:F,MATCH(B264,'MTA 28-09'!A:A,0))</f>
        <v/>
      </c>
      <c r="F264" s="152" t="str">
        <f t="array" ref="F264">INDEX('MTA 28-09'!I:I,MATCH(B264,'MTA 28-09'!A:A,0))</f>
        <v/>
      </c>
      <c r="G264" s="100" t="str">
        <f t="array" ref="G264">INDEX('MTA 28-09'!J:J,MATCH(B264,'MTA 28-09'!A:A,0))</f>
        <v/>
      </c>
      <c r="H264" s="159" t="s">
        <v>157</v>
      </c>
      <c r="I264" s="296"/>
      <c r="J264" s="102"/>
      <c r="K264" s="103"/>
      <c r="L264" s="102" t="str">
        <f t="array" ref="L264">INDEX('MTA 28-09'!S:S,MATCH(B264,'MTA 28-09'!A:A,0))</f>
        <v>APOIO</v>
      </c>
      <c r="M264" s="98" t="str">
        <f t="array" ref="M264">INDEX('MTA 28-09'!T:T,MATCH(B264,'MTA 28-09'!A:A,0))</f>
        <v>Requisição FMS</v>
      </c>
      <c r="N264" s="98" t="str">
        <f t="array" ref="N264">INDEX('MTA 28-09'!U:U,MATCH(B264,'MTA 28-09'!A:A,0))</f>
        <v>Requisições Consumíveis 3/3</v>
      </c>
      <c r="O264" s="104">
        <f t="array" ref="O264">INDEX('MTA 28-09'!AC:AC,MATCH(B264,'MTA 28-09'!A:A,0))</f>
        <v>500000</v>
      </c>
      <c r="P264" s="98" t="str">
        <f t="array" ref="P264">INDEX('MTA 28-09'!N:N,MATCH(B264,'MTA 28-09'!A:A,0))</f>
        <v>FMS</v>
      </c>
      <c r="Q264" s="105" t="str">
        <f t="array" ref="Q264">INDEX('MTA 28-09'!Z:Z,MATCH(B264,'MTA 28-09'!A:A,0))</f>
        <v>339030</v>
      </c>
      <c r="R264" s="98" t="str">
        <f t="array" ref="R264">INDEX('MTA 28-09'!L:L,MATCH(B264,'MTA 28-09'!A:A,0))</f>
        <v>B</v>
      </c>
      <c r="S264" s="107" t="str">
        <f t="array" ref="S264">INDEX('MTA 28-09'!X:X,MATCH(B264,'MTA 28-09'!A:A,0))</f>
        <v>REQUISIÇÃO</v>
      </c>
      <c r="T264" s="107" t="str">
        <f t="array" ref="T264">INDEX('MTA 28-09'!W:W,MATCH(B264,'MTA 28-09'!A:A,0))</f>
        <v>NÃO</v>
      </c>
      <c r="U264" s="109">
        <f t="array" ref="U264">INDEX('MTA 28-09'!AE:AE,MATCH(B264,'MTA 28-09'!A:A,0))</f>
        <v>46229</v>
      </c>
      <c r="V264" s="29"/>
      <c r="W264" s="29"/>
      <c r="X264" s="29"/>
      <c r="Y264" s="29"/>
      <c r="Z264" s="29"/>
      <c r="AA264" s="29"/>
      <c r="AB264" s="29"/>
      <c r="AC264" s="29"/>
      <c r="AD264" s="29"/>
      <c r="AE264" s="29"/>
      <c r="AF264" s="29"/>
      <c r="AG264" s="29"/>
      <c r="AH264" s="29"/>
      <c r="AI264" s="29"/>
      <c r="AJ264" s="29"/>
      <c r="AK264" s="29"/>
      <c r="AL264" s="29"/>
      <c r="AM264" s="29"/>
    </row>
    <row r="265">
      <c r="A265" s="31" t="s">
        <v>45</v>
      </c>
      <c r="B265" s="32">
        <v>14160.0</v>
      </c>
      <c r="C265" s="33" t="str">
        <f t="array" ref="C265">INDEX('MTA 28-09'!B:B,MATCH(B265,'MTA 28-09'!A:A,0))</f>
        <v>SIM</v>
      </c>
      <c r="D265" s="34">
        <f t="array" ref="D265">INDEX('MTA 28-09'!D:D,MATCH(B265,'MTA 28-09'!A:A,0))</f>
        <v>2048</v>
      </c>
      <c r="E265" s="32" t="str">
        <f t="array" ref="E265">INDEX('MTA 28-09'!F:F,MATCH(B265,'MTA 28-09'!A:A,0))</f>
        <v>ATENDIDO</v>
      </c>
      <c r="F265" s="155">
        <f t="array" ref="F265">INDEX('MTA 28-09'!I:I,MATCH(B265,'MTA 28-09'!A:A,0))</f>
        <v>46121</v>
      </c>
      <c r="G265" s="36" t="str">
        <f t="array" ref="G265">INDEX('MTA 28-09'!J:J,MATCH(B265,'MTA 28-09'!A:A,0))</f>
        <v>C26162</v>
      </c>
      <c r="H265" s="287" t="s">
        <v>157</v>
      </c>
      <c r="I265" s="295"/>
      <c r="J265" s="39"/>
      <c r="K265" s="40"/>
      <c r="L265" s="39" t="str">
        <f t="array" ref="L265">INDEX('MTA 28-09'!S:S,MATCH(B265,'MTA 28-09'!A:A,0))</f>
        <v>C-98</v>
      </c>
      <c r="M265" s="32" t="str">
        <f t="array" ref="M265">INDEX('MTA 28-09'!T:T,MATCH(B265,'MTA 28-09'!A:A,0))</f>
        <v>CNT 006/CELOG-PAMASP/2026 - PW - RG</v>
      </c>
      <c r="N265" s="32" t="str">
        <f t="array" ref="N265">INDEX('MTA 28-09'!U:U,MATCH(B265,'MTA 28-09'!A:A,0))</f>
        <v>Revisão Geral PT6A-114A (4/6)</v>
      </c>
      <c r="O265" s="59">
        <f t="array" ref="O265">INDEX('MTA 28-09'!AC:AC,MATCH(B265,'MTA 28-09'!A:A,0))</f>
        <v>3799000</v>
      </c>
      <c r="P265" s="32" t="str">
        <f t="array" ref="P265">INDEX('MTA 28-09'!N:N,MATCH(B265,'MTA 28-09'!A:A,0))</f>
        <v>CELOG</v>
      </c>
      <c r="Q265" s="67" t="str">
        <f t="array" ref="Q265">INDEX('MTA 28-09'!Z:Z,MATCH(B265,'MTA 28-09'!A:A,0))</f>
        <v>339039</v>
      </c>
      <c r="R265" s="32" t="str">
        <f t="array" ref="R265">INDEX('MTA 28-09'!L:L,MATCH(B265,'MTA 28-09'!A:A,0))</f>
        <v>A</v>
      </c>
      <c r="S265" s="72" t="str">
        <f t="array" ref="S265">INDEX('MTA 28-09'!X:X,MATCH(B265,'MTA 28-09'!A:A,0))</f>
        <v>SOB DEMANDA</v>
      </c>
      <c r="T265" s="72" t="str">
        <f t="array" ref="T265">INDEX('MTA 28-09'!W:W,MATCH(B265,'MTA 28-09'!A:A,0))</f>
        <v>SIM</v>
      </c>
      <c r="U265" s="81">
        <f t="array" ref="U265">INDEX('MTA 28-09'!AE:AE,MATCH(B265,'MTA 28-09'!A:A,0))</f>
        <v>46199</v>
      </c>
      <c r="V265" s="12"/>
      <c r="W265" s="12"/>
      <c r="X265" s="12"/>
      <c r="Y265" s="12"/>
      <c r="Z265" s="12"/>
      <c r="AA265" s="12"/>
      <c r="AB265" s="12"/>
      <c r="AC265" s="12"/>
      <c r="AD265" s="12"/>
      <c r="AE265" s="12"/>
      <c r="AF265" s="12"/>
      <c r="AG265" s="12"/>
      <c r="AH265" s="12"/>
      <c r="AI265" s="12"/>
      <c r="AJ265" s="12"/>
      <c r="AK265" s="12"/>
      <c r="AL265" s="12"/>
      <c r="AM265" s="12"/>
    </row>
    <row r="266">
      <c r="A266" s="88" t="s">
        <v>45</v>
      </c>
      <c r="B266" s="90">
        <v>14161.0</v>
      </c>
      <c r="C266" s="92" t="str">
        <f t="array" ref="C266">INDEX('MTA 28-09'!B:B,MATCH(B266,'MTA 28-09'!A:A,0))</f>
        <v>SIM</v>
      </c>
      <c r="D266" s="95">
        <f t="array" ref="D266">INDEX('MTA 28-09'!D:D,MATCH(B266,'MTA 28-09'!A:A,0))</f>
        <v>2048</v>
      </c>
      <c r="E266" s="98" t="str">
        <f t="array" ref="E266">INDEX('MTA 28-09'!F:F,MATCH(B266,'MTA 28-09'!A:A,0))</f>
        <v>ATENDIDO</v>
      </c>
      <c r="F266" s="144">
        <f t="array" ref="F266">INDEX('MTA 28-09'!I:I,MATCH(B266,'MTA 28-09'!A:A,0))</f>
        <v>46076</v>
      </c>
      <c r="G266" s="100" t="str">
        <f t="array" ref="G266">INDEX('MTA 28-09'!J:J,MATCH(B266,'MTA 28-09'!A:A,0))</f>
        <v>C26112</v>
      </c>
      <c r="H266" s="159" t="s">
        <v>157</v>
      </c>
      <c r="I266" s="296"/>
      <c r="J266" s="102"/>
      <c r="K266" s="103"/>
      <c r="L266" s="102" t="str">
        <f t="array" ref="L266">INDEX('MTA 28-09'!S:S,MATCH(B266,'MTA 28-09'!A:A,0))</f>
        <v>C-98</v>
      </c>
      <c r="M266" s="98" t="str">
        <f t="array" ref="M266">INDEX('MTA 28-09'!T:T,MATCH(B266,'MTA 28-09'!A:A,0))</f>
        <v>CNT 006/CELOG-PAMASP/2026 - PW - RG</v>
      </c>
      <c r="N266" s="98" t="str">
        <f t="array" ref="N266">INDEX('MTA 28-09'!U:U,MATCH(B266,'MTA 28-09'!A:A,0))</f>
        <v>Revisão Geral PT6A-114A (4/6)</v>
      </c>
      <c r="O266" s="104">
        <f t="array" ref="O266">INDEX('MTA 28-09'!AC:AC,MATCH(B266,'MTA 28-09'!A:A,0))</f>
        <v>1000</v>
      </c>
      <c r="P266" s="98" t="str">
        <f t="array" ref="P266">INDEX('MTA 28-09'!N:N,MATCH(B266,'MTA 28-09'!A:A,0))</f>
        <v>CELOG</v>
      </c>
      <c r="Q266" s="105" t="str">
        <f t="array" ref="Q266">INDEX('MTA 28-09'!Z:Z,MATCH(B266,'MTA 28-09'!A:A,0))</f>
        <v>339030</v>
      </c>
      <c r="R266" s="98" t="str">
        <f t="array" ref="R266">INDEX('MTA 28-09'!L:L,MATCH(B266,'MTA 28-09'!A:A,0))</f>
        <v>A</v>
      </c>
      <c r="S266" s="107" t="str">
        <f t="array" ref="S266">INDEX('MTA 28-09'!X:X,MATCH(B266,'MTA 28-09'!A:A,0))</f>
        <v>SOB DEMANDA</v>
      </c>
      <c r="T266" s="107" t="str">
        <f t="array" ref="T266">INDEX('MTA 28-09'!W:W,MATCH(B266,'MTA 28-09'!A:A,0))</f>
        <v>SIM</v>
      </c>
      <c r="U266" s="109">
        <f t="array" ref="U266">INDEX('MTA 28-09'!AE:AE,MATCH(B266,'MTA 28-09'!A:A,0))</f>
        <v>46352</v>
      </c>
      <c r="V266" s="29"/>
      <c r="W266" s="29"/>
      <c r="X266" s="29"/>
      <c r="Y266" s="29"/>
      <c r="Z266" s="29"/>
      <c r="AA266" s="29"/>
      <c r="AB266" s="29"/>
      <c r="AC266" s="29"/>
      <c r="AD266" s="29"/>
      <c r="AE266" s="29"/>
      <c r="AF266" s="29"/>
      <c r="AG266" s="29"/>
      <c r="AH266" s="29"/>
      <c r="AI266" s="29"/>
      <c r="AJ266" s="29"/>
      <c r="AK266" s="29"/>
      <c r="AL266" s="29"/>
      <c r="AM266" s="29"/>
    </row>
    <row r="267">
      <c r="A267" s="31" t="s">
        <v>45</v>
      </c>
      <c r="B267" s="32">
        <v>14180.0</v>
      </c>
      <c r="C267" s="33" t="str">
        <f t="array" ref="C267">INDEX('MTA 28-09'!B:B,MATCH(B267,'MTA 28-09'!A:A,0))</f>
        <v>SIM</v>
      </c>
      <c r="D267" s="34">
        <f t="array" ref="D267">INDEX('MTA 28-09'!D:D,MATCH(B267,'MTA 28-09'!A:A,0))</f>
        <v>2048</v>
      </c>
      <c r="E267" s="32" t="str">
        <f t="array" ref="E267">INDEX('MTA 28-09'!F:F,MATCH(B267,'MTA 28-09'!A:A,0))</f>
        <v/>
      </c>
      <c r="F267" s="35" t="str">
        <f t="array" ref="F267">INDEX('MTA 28-09'!I:I,MATCH(B267,'MTA 28-09'!A:A,0))</f>
        <v/>
      </c>
      <c r="G267" s="36" t="str">
        <f t="array" ref="G267">INDEX('MTA 28-09'!J:J,MATCH(B267,'MTA 28-09'!A:A,0))</f>
        <v/>
      </c>
      <c r="H267" s="287">
        <v>46276.0</v>
      </c>
      <c r="I267" s="38" t="s">
        <v>293</v>
      </c>
      <c r="J267" s="39"/>
      <c r="K267" s="40"/>
      <c r="L267" s="39" t="str">
        <f t="array" ref="L267">INDEX('MTA 28-09'!S:S,MATCH(B267,'MTA 28-09'!A:A,0))</f>
        <v>C-98</v>
      </c>
      <c r="M267" s="32" t="str">
        <f t="array" ref="M267">INDEX('MTA 28-09'!T:T,MATCH(B267,'MTA 28-09'!A:A,0))</f>
        <v>Requisição FMS</v>
      </c>
      <c r="N267" s="32" t="str">
        <f t="array" ref="N267">INDEX('MTA 28-09'!U:U,MATCH(B267,'MTA 28-09'!A:A,0))</f>
        <v>Requisições Consumíveis 2/4</v>
      </c>
      <c r="O267" s="59">
        <f t="array" ref="O267">INDEX('MTA 28-09'!AC:AC,MATCH(B267,'MTA 28-09'!A:A,0))</f>
        <v>100000</v>
      </c>
      <c r="P267" s="32" t="str">
        <f t="array" ref="P267">INDEX('MTA 28-09'!N:N,MATCH(B267,'MTA 28-09'!A:A,0))</f>
        <v>FMS</v>
      </c>
      <c r="Q267" s="67" t="str">
        <f t="array" ref="Q267">INDEX('MTA 28-09'!Z:Z,MATCH(B267,'MTA 28-09'!A:A,0))</f>
        <v>339030</v>
      </c>
      <c r="R267" s="32" t="str">
        <f t="array" ref="R267">INDEX('MTA 28-09'!L:L,MATCH(B267,'MTA 28-09'!A:A,0))</f>
        <v>A</v>
      </c>
      <c r="S267" s="72" t="str">
        <f t="array" ref="S267">INDEX('MTA 28-09'!X:X,MATCH(B267,'MTA 28-09'!A:A,0))</f>
        <v>REQUISIÇÃO</v>
      </c>
      <c r="T267" s="72" t="str">
        <f t="array" ref="T267">INDEX('MTA 28-09'!W:W,MATCH(B267,'MTA 28-09'!A:A,0))</f>
        <v>Não</v>
      </c>
      <c r="U267" s="81">
        <f t="array" ref="U267">INDEX('MTA 28-09'!AE:AE,MATCH(B267,'MTA 28-09'!A:A,0))</f>
        <v>46352</v>
      </c>
      <c r="V267" s="12"/>
      <c r="W267" s="12"/>
      <c r="X267" s="12"/>
      <c r="Y267" s="12"/>
      <c r="Z267" s="12"/>
      <c r="AA267" s="12"/>
      <c r="AB267" s="12"/>
      <c r="AC267" s="12"/>
      <c r="AD267" s="12"/>
      <c r="AE267" s="12"/>
      <c r="AF267" s="12"/>
      <c r="AG267" s="12"/>
      <c r="AH267" s="12"/>
      <c r="AI267" s="12"/>
      <c r="AJ267" s="12"/>
      <c r="AK267" s="12"/>
      <c r="AL267" s="12"/>
      <c r="AM267" s="12"/>
    </row>
    <row r="268">
      <c r="A268" s="88" t="s">
        <v>48</v>
      </c>
      <c r="B268" s="98">
        <v>14200.0</v>
      </c>
      <c r="C268" s="92" t="str">
        <f t="array" ref="C268">INDEX('MTA 28-09'!B:B,MATCH(B268,'MTA 28-09'!A:A,0))</f>
        <v>NÃO</v>
      </c>
      <c r="D268" s="95" t="str">
        <f t="array" ref="D268">INDEX('MTA 28-09'!D:D,MATCH(B268,'MTA 28-09'!A:A,0))</f>
        <v/>
      </c>
      <c r="E268" s="98" t="str">
        <f t="array" ref="E268">INDEX('MTA 28-09'!F:F,MATCH(B268,'MTA 28-09'!A:A,0))</f>
        <v>BLOQUEIO</v>
      </c>
      <c r="F268" s="98" t="str">
        <f t="array" ref="F268">INDEX('MTA 28-09'!I:I,MATCH(B268,'MTA 28-09'!A:A,0))</f>
        <v/>
      </c>
      <c r="G268" s="100" t="str">
        <f t="array" ref="G268">INDEX('MTA 28-09'!J:J,MATCH(B268,'MTA 28-09'!A:A,0))</f>
        <v/>
      </c>
      <c r="H268" s="159" t="s">
        <v>157</v>
      </c>
      <c r="I268" s="296"/>
      <c r="J268" s="102"/>
      <c r="K268" s="103"/>
      <c r="L268" s="102" t="str">
        <f t="array" ref="L268">INDEX('MTA 28-09'!S:S,MATCH(B268,'MTA 28-09'!A:A,0))</f>
        <v>G-19</v>
      </c>
      <c r="M268" s="98" t="str">
        <f t="array" ref="M268">INDEX('MTA 28-09'!T:T,MATCH(B268,'MTA 28-09'!A:A,0))</f>
        <v>Requisição FMS</v>
      </c>
      <c r="N268" s="98" t="str">
        <f t="array" ref="N268">INDEX('MTA 28-09'!U:U,MATCH(B268,'MTA 28-09'!A:A,0))</f>
        <v>Requisições Consumíveis 2/4</v>
      </c>
      <c r="O268" s="104">
        <f t="array" ref="O268">INDEX('MTA 28-09'!AC:AC,MATCH(B268,'MTA 28-09'!A:A,0))</f>
        <v>20000</v>
      </c>
      <c r="P268" s="98" t="str">
        <f t="array" ref="P268">INDEX('MTA 28-09'!N:N,MATCH(B268,'MTA 28-09'!A:A,0))</f>
        <v>FMS</v>
      </c>
      <c r="Q268" s="105" t="str">
        <f t="array" ref="Q268">INDEX('MTA 28-09'!Z:Z,MATCH(B268,'MTA 28-09'!A:A,0))</f>
        <v>339030</v>
      </c>
      <c r="R268" s="98" t="str">
        <f t="array" ref="R268">INDEX('MTA 28-09'!L:L,MATCH(B268,'MTA 28-09'!A:A,0))</f>
        <v>B</v>
      </c>
      <c r="S268" s="107" t="str">
        <f t="array" ref="S268">INDEX('MTA 28-09'!X:X,MATCH(B268,'MTA 28-09'!A:A,0))</f>
        <v>REQUISIÇÃO</v>
      </c>
      <c r="T268" s="107" t="str">
        <f t="array" ref="T268">INDEX('MTA 28-09'!W:W,MATCH(B268,'MTA 28-09'!A:A,0))</f>
        <v>Não</v>
      </c>
      <c r="U268" s="109">
        <f t="array" ref="U268">INDEX('MTA 28-09'!AE:AE,MATCH(B268,'MTA 28-09'!A:A,0))</f>
        <v>46049</v>
      </c>
      <c r="V268" s="29"/>
      <c r="W268" s="29"/>
      <c r="X268" s="29"/>
      <c r="Y268" s="29"/>
      <c r="Z268" s="29"/>
      <c r="AA268" s="29"/>
      <c r="AB268" s="29"/>
      <c r="AC268" s="29"/>
      <c r="AD268" s="29"/>
      <c r="AE268" s="29"/>
      <c r="AF268" s="29"/>
      <c r="AG268" s="29"/>
      <c r="AH268" s="29"/>
      <c r="AI268" s="29"/>
      <c r="AJ268" s="29"/>
      <c r="AK268" s="29"/>
      <c r="AL268" s="29"/>
      <c r="AM268" s="29"/>
    </row>
    <row r="269">
      <c r="A269" s="31" t="s">
        <v>107</v>
      </c>
      <c r="B269" s="32">
        <v>14220.0</v>
      </c>
      <c r="C269" s="33" t="str">
        <f t="array" ref="C269">INDEX('MTA 28-09'!B:B,MATCH(B269,'MTA 28-09'!A:A,0))</f>
        <v>SIM</v>
      </c>
      <c r="D269" s="34">
        <f t="array" ref="D269">INDEX('MTA 28-09'!D:D,MATCH(B269,'MTA 28-09'!A:A,0))</f>
        <v>2048</v>
      </c>
      <c r="E269" s="32" t="str">
        <f t="array" ref="E269">INDEX('MTA 28-09'!F:F,MATCH(B269,'MTA 28-09'!A:A,0))</f>
        <v/>
      </c>
      <c r="F269" s="137" t="str">
        <f t="array" ref="F269">INDEX('MTA 28-09'!I:I,MATCH(B269,'MTA 28-09'!A:A,0))</f>
        <v/>
      </c>
      <c r="G269" s="36" t="str">
        <f t="array" ref="G269">INDEX('MTA 28-09'!J:J,MATCH(B269,'MTA 28-09'!A:A,0))</f>
        <v/>
      </c>
      <c r="H269" s="287">
        <v>46276.0</v>
      </c>
      <c r="I269" s="38" t="s">
        <v>152</v>
      </c>
      <c r="J269" s="39"/>
      <c r="K269" s="40"/>
      <c r="L269" s="39" t="str">
        <f t="array" ref="L269">INDEX('MTA 28-09'!S:S,MATCH(B269,'MTA 28-09'!A:A,0))</f>
        <v>APOIO</v>
      </c>
      <c r="M269" s="32" t="str">
        <f t="array" ref="M269">INDEX('MTA 28-09'!T:T,MATCH(B269,'MTA 28-09'!A:A,0))</f>
        <v>REQUISIÇÃO PTA SSS</v>
      </c>
      <c r="N269" s="32" t="str">
        <f t="array" ref="N269">INDEX('MTA 28-09'!U:U,MATCH(B269,'MTA 28-09'!A:A,0))</f>
        <v>AQUISIÇÃO ITENS SSS COM TEMPO LIMITE DE VIDA (CABW)</v>
      </c>
      <c r="O269" s="59">
        <f t="array" ref="O269">INDEX('MTA 28-09'!AC:AC,MATCH(B269,'MTA 28-09'!A:A,0))</f>
        <v>940404.73</v>
      </c>
      <c r="P269" s="32" t="str">
        <f t="array" ref="P269">INDEX('MTA 28-09'!N:N,MATCH(B269,'MTA 28-09'!A:A,0))</f>
        <v>CABW</v>
      </c>
      <c r="Q269" s="67" t="str">
        <f t="array" ref="Q269">INDEX('MTA 28-09'!Z:Z,MATCH(B269,'MTA 28-09'!A:A,0))</f>
        <v>339030</v>
      </c>
      <c r="R269" s="32" t="str">
        <f t="array" ref="R269">INDEX('MTA 28-09'!L:L,MATCH(B269,'MTA 28-09'!A:A,0))</f>
        <v>A</v>
      </c>
      <c r="S269" s="72" t="str">
        <f t="array" ref="S269">INDEX('MTA 28-09'!X:X,MATCH(B269,'MTA 28-09'!A:A,0))</f>
        <v>REQUISIÇÃO</v>
      </c>
      <c r="T269" s="72" t="str">
        <f t="array" ref="T269">INDEX('MTA 28-09'!W:W,MATCH(B269,'MTA 28-09'!A:A,0))</f>
        <v>NÃO</v>
      </c>
      <c r="U269" s="81">
        <f t="array" ref="U269">INDEX('MTA 28-09'!AE:AE,MATCH(B269,'MTA 28-09'!A:A,0))</f>
        <v>46352</v>
      </c>
      <c r="V269" s="12"/>
      <c r="W269" s="12"/>
      <c r="X269" s="12"/>
      <c r="Y269" s="12"/>
      <c r="Z269" s="12"/>
      <c r="AA269" s="12"/>
      <c r="AB269" s="12"/>
      <c r="AC269" s="12"/>
      <c r="AD269" s="12"/>
      <c r="AE269" s="12"/>
      <c r="AF269" s="12"/>
      <c r="AG269" s="12"/>
      <c r="AH269" s="12"/>
      <c r="AI269" s="12"/>
      <c r="AJ269" s="12"/>
      <c r="AK269" s="12"/>
      <c r="AL269" s="12"/>
      <c r="AM269" s="12"/>
    </row>
    <row r="270">
      <c r="A270" s="88" t="s">
        <v>1577</v>
      </c>
      <c r="B270" s="98">
        <v>14240.0</v>
      </c>
      <c r="C270" s="92" t="str">
        <f t="array" ref="C270">INDEX('MTA 28-09'!B:B,MATCH(B270,'MTA 28-09'!A:A,0))</f>
        <v>NÃO</v>
      </c>
      <c r="D270" s="95" t="str">
        <f t="array" ref="D270">INDEX('MTA 28-09'!D:D,MATCH(B270,'MTA 28-09'!A:A,0))</f>
        <v/>
      </c>
      <c r="E270" s="98" t="str">
        <f t="array" ref="E270">INDEX('MTA 28-09'!F:F,MATCH(B270,'MTA 28-09'!A:A,0))</f>
        <v/>
      </c>
      <c r="F270" s="144" t="str">
        <f t="array" ref="F270">INDEX('MTA 28-09'!I:I,MATCH(B270,'MTA 28-09'!A:A,0))</f>
        <v/>
      </c>
      <c r="G270" s="100" t="str">
        <f t="array" ref="G270">INDEX('MTA 28-09'!J:J,MATCH(B270,'MTA 28-09'!A:A,0))</f>
        <v/>
      </c>
      <c r="H270" s="159" t="s">
        <v>157</v>
      </c>
      <c r="I270" s="296"/>
      <c r="J270" s="102"/>
      <c r="K270" s="103"/>
      <c r="L270" s="102" t="str">
        <f t="array" ref="L270">INDEX('MTA 28-09'!S:S,MATCH(B270,'MTA 28-09'!A:A,0))</f>
        <v>APOIO</v>
      </c>
      <c r="M270" s="98" t="str">
        <f t="array" ref="M270">INDEX('MTA 28-09'!T:T,MATCH(B270,'MTA 28-09'!A:A,0))</f>
        <v>Requisição FMS</v>
      </c>
      <c r="N270" s="98" t="str">
        <f t="array" ref="N270">INDEX('MTA 28-09'!U:U,MATCH(B270,'MTA 28-09'!A:A,0))</f>
        <v>Requisições Consumíveis 1/3</v>
      </c>
      <c r="O270" s="104">
        <f t="array" ref="O270">INDEX('MTA 28-09'!AC:AC,MATCH(B270,'MTA 28-09'!A:A,0))</f>
        <v>500000</v>
      </c>
      <c r="P270" s="98" t="str">
        <f t="array" ref="P270">INDEX('MTA 28-09'!N:N,MATCH(B270,'MTA 28-09'!A:A,0))</f>
        <v>FMS</v>
      </c>
      <c r="Q270" s="105" t="str">
        <f t="array" ref="Q270">INDEX('MTA 28-09'!Z:Z,MATCH(B270,'MTA 28-09'!A:A,0))</f>
        <v>339030</v>
      </c>
      <c r="R270" s="98" t="str">
        <f t="array" ref="R270">INDEX('MTA 28-09'!L:L,MATCH(B270,'MTA 28-09'!A:A,0))</f>
        <v>C</v>
      </c>
      <c r="S270" s="107" t="str">
        <f t="array" ref="S270">INDEX('MTA 28-09'!X:X,MATCH(B270,'MTA 28-09'!A:A,0))</f>
        <v>REQUISIÇÃO</v>
      </c>
      <c r="T270" s="107" t="str">
        <f t="array" ref="T270">INDEX('MTA 28-09'!W:W,MATCH(B270,'MTA 28-09'!A:A,0))</f>
        <v>NÃO</v>
      </c>
      <c r="U270" s="109">
        <f t="array" ref="U270">INDEX('MTA 28-09'!AE:AE,MATCH(B270,'MTA 28-09'!A:A,0))</f>
        <v>46229</v>
      </c>
      <c r="V270" s="29"/>
      <c r="W270" s="29"/>
      <c r="X270" s="29"/>
      <c r="Y270" s="29"/>
      <c r="Z270" s="29"/>
      <c r="AA270" s="29"/>
      <c r="AB270" s="29"/>
      <c r="AC270" s="29"/>
      <c r="AD270" s="29"/>
      <c r="AE270" s="29"/>
      <c r="AF270" s="29"/>
      <c r="AG270" s="29"/>
      <c r="AH270" s="29"/>
      <c r="AI270" s="29"/>
      <c r="AJ270" s="29"/>
      <c r="AK270" s="29"/>
      <c r="AL270" s="29"/>
      <c r="AM270" s="29"/>
    </row>
    <row r="271">
      <c r="A271" s="31" t="s">
        <v>1577</v>
      </c>
      <c r="B271" s="32">
        <v>14260.0</v>
      </c>
      <c r="C271" s="33" t="str">
        <f t="array" ref="C271">INDEX('MTA 28-09'!B:B,MATCH(B271,'MTA 28-09'!A:A,0))</f>
        <v>NÃO</v>
      </c>
      <c r="D271" s="34" t="str">
        <f t="array" ref="D271">INDEX('MTA 28-09'!D:D,MATCH(B271,'MTA 28-09'!A:A,0))</f>
        <v/>
      </c>
      <c r="E271" s="32" t="str">
        <f t="array" ref="E271">INDEX('MTA 28-09'!F:F,MATCH(B271,'MTA 28-09'!A:A,0))</f>
        <v/>
      </c>
      <c r="F271" s="155" t="str">
        <f t="array" ref="F271">INDEX('MTA 28-09'!I:I,MATCH(B271,'MTA 28-09'!A:A,0))</f>
        <v/>
      </c>
      <c r="G271" s="36" t="str">
        <f t="array" ref="G271">INDEX('MTA 28-09'!J:J,MATCH(B271,'MTA 28-09'!A:A,0))</f>
        <v/>
      </c>
      <c r="H271" s="287" t="s">
        <v>157</v>
      </c>
      <c r="I271" s="295"/>
      <c r="J271" s="39"/>
      <c r="K271" s="40"/>
      <c r="L271" s="39" t="str">
        <f t="array" ref="L271">INDEX('MTA 28-09'!S:S,MATCH(B271,'MTA 28-09'!A:A,0))</f>
        <v>APOIO</v>
      </c>
      <c r="M271" s="32" t="str">
        <f t="array" ref="M271">INDEX('MTA 28-09'!T:T,MATCH(B271,'MTA 28-09'!A:A,0))</f>
        <v>Requisição FMS</v>
      </c>
      <c r="N271" s="32" t="str">
        <f t="array" ref="N271">INDEX('MTA 28-09'!U:U,MATCH(B271,'MTA 28-09'!A:A,0))</f>
        <v>Requisições Consumíveis 2/3</v>
      </c>
      <c r="O271" s="59">
        <f t="array" ref="O271">INDEX('MTA 28-09'!AC:AC,MATCH(B271,'MTA 28-09'!A:A,0))</f>
        <v>500000</v>
      </c>
      <c r="P271" s="32" t="str">
        <f t="array" ref="P271">INDEX('MTA 28-09'!N:N,MATCH(B271,'MTA 28-09'!A:A,0))</f>
        <v>FMS</v>
      </c>
      <c r="Q271" s="67" t="str">
        <f t="array" ref="Q271">INDEX('MTA 28-09'!Z:Z,MATCH(B271,'MTA 28-09'!A:A,0))</f>
        <v>339030</v>
      </c>
      <c r="R271" s="32" t="str">
        <f t="array" ref="R271">INDEX('MTA 28-09'!L:L,MATCH(B271,'MTA 28-09'!A:A,0))</f>
        <v>C</v>
      </c>
      <c r="S271" s="72" t="str">
        <f t="array" ref="S271">INDEX('MTA 28-09'!X:X,MATCH(B271,'MTA 28-09'!A:A,0))</f>
        <v>REQUISIÇÃO</v>
      </c>
      <c r="T271" s="72" t="str">
        <f t="array" ref="T271">INDEX('MTA 28-09'!W:W,MATCH(B271,'MTA 28-09'!A:A,0))</f>
        <v>NÃO</v>
      </c>
      <c r="U271" s="81">
        <f t="array" ref="U271">INDEX('MTA 28-09'!AE:AE,MATCH(B271,'MTA 28-09'!A:A,0))</f>
        <v>46229</v>
      </c>
      <c r="V271" s="12"/>
      <c r="W271" s="12"/>
      <c r="X271" s="12"/>
      <c r="Y271" s="12"/>
      <c r="Z271" s="12"/>
      <c r="AA271" s="12"/>
      <c r="AB271" s="12"/>
      <c r="AC271" s="12"/>
      <c r="AD271" s="12"/>
      <c r="AE271" s="12"/>
      <c r="AF271" s="12"/>
      <c r="AG271" s="12"/>
      <c r="AH271" s="12"/>
      <c r="AI271" s="12"/>
      <c r="AJ271" s="12"/>
      <c r="AK271" s="12"/>
      <c r="AL271" s="12"/>
      <c r="AM271" s="12"/>
    </row>
    <row r="272">
      <c r="A272" s="88" t="s">
        <v>1575</v>
      </c>
      <c r="B272" s="98">
        <v>14280.0</v>
      </c>
      <c r="C272" s="92" t="str">
        <f t="array" ref="C272">INDEX('MTA 28-09'!B:B,MATCH(B272,'MTA 28-09'!A:A,0))</f>
        <v>NÃO</v>
      </c>
      <c r="D272" s="95" t="str">
        <f t="array" ref="D272">INDEX('MTA 28-09'!D:D,MATCH(B272,'MTA 28-09'!A:A,0))</f>
        <v/>
      </c>
      <c r="E272" s="98" t="str">
        <f t="array" ref="E272">INDEX('MTA 28-09'!F:F,MATCH(B272,'MTA 28-09'!A:A,0))</f>
        <v/>
      </c>
      <c r="F272" s="152" t="str">
        <f t="array" ref="F272">INDEX('MTA 28-09'!I:I,MATCH(B272,'MTA 28-09'!A:A,0))</f>
        <v/>
      </c>
      <c r="G272" s="100" t="str">
        <f t="array" ref="G272">INDEX('MTA 28-09'!J:J,MATCH(B272,'MTA 28-09'!A:A,0))</f>
        <v/>
      </c>
      <c r="H272" s="159" t="s">
        <v>157</v>
      </c>
      <c r="I272" s="296"/>
      <c r="J272" s="102"/>
      <c r="K272" s="103"/>
      <c r="L272" s="102" t="str">
        <f t="array" ref="L272">INDEX('MTA 28-09'!S:S,MATCH(B272,'MTA 28-09'!A:A,0))</f>
        <v>APOIO</v>
      </c>
      <c r="M272" s="98" t="str">
        <f t="array" ref="M272">INDEX('MTA 28-09'!T:T,MATCH(B272,'MTA 28-09'!A:A,0))</f>
        <v>Requisição FMS</v>
      </c>
      <c r="N272" s="98" t="str">
        <f t="array" ref="N272">INDEX('MTA 28-09'!U:U,MATCH(B272,'MTA 28-09'!A:A,0))</f>
        <v>Requisições Consumíveis 2/3</v>
      </c>
      <c r="O272" s="104">
        <f t="array" ref="O272">INDEX('MTA 28-09'!AC:AC,MATCH(B272,'MTA 28-09'!A:A,0))</f>
        <v>175000</v>
      </c>
      <c r="P272" s="98" t="str">
        <f t="array" ref="P272">INDEX('MTA 28-09'!N:N,MATCH(B272,'MTA 28-09'!A:A,0))</f>
        <v>FMS</v>
      </c>
      <c r="Q272" s="105" t="str">
        <f t="array" ref="Q272">INDEX('MTA 28-09'!Z:Z,MATCH(B272,'MTA 28-09'!A:A,0))</f>
        <v>339030</v>
      </c>
      <c r="R272" s="98" t="str">
        <f t="array" ref="R272">INDEX('MTA 28-09'!L:L,MATCH(B272,'MTA 28-09'!A:A,0))</f>
        <v>C</v>
      </c>
      <c r="S272" s="107" t="str">
        <f t="array" ref="S272">INDEX('MTA 28-09'!X:X,MATCH(B272,'MTA 28-09'!A:A,0))</f>
        <v>REQUISIÇÃO</v>
      </c>
      <c r="T272" s="107" t="str">
        <f t="array" ref="T272">INDEX('MTA 28-09'!W:W,MATCH(B272,'MTA 28-09'!A:A,0))</f>
        <v>NÃO</v>
      </c>
      <c r="U272" s="109">
        <f t="array" ref="U272">INDEX('MTA 28-09'!AE:AE,MATCH(B272,'MTA 28-09'!A:A,0))</f>
        <v>46229</v>
      </c>
      <c r="V272" s="29"/>
      <c r="W272" s="29"/>
      <c r="X272" s="29"/>
      <c r="Y272" s="29"/>
      <c r="Z272" s="29"/>
      <c r="AA272" s="29"/>
      <c r="AB272" s="29"/>
      <c r="AC272" s="29"/>
      <c r="AD272" s="29"/>
      <c r="AE272" s="29"/>
      <c r="AF272" s="29"/>
      <c r="AG272" s="29"/>
      <c r="AH272" s="29"/>
      <c r="AI272" s="29"/>
      <c r="AJ272" s="29"/>
      <c r="AK272" s="29"/>
      <c r="AL272" s="29"/>
      <c r="AM272" s="29"/>
    </row>
    <row r="273">
      <c r="A273" s="31" t="s">
        <v>1575</v>
      </c>
      <c r="B273" s="32">
        <v>14300.0</v>
      </c>
      <c r="C273" s="33" t="str">
        <f t="array" ref="C273">INDEX('MTA 28-09'!B:B,MATCH(B273,'MTA 28-09'!A:A,0))</f>
        <v>NÃO</v>
      </c>
      <c r="D273" s="34" t="str">
        <f t="array" ref="D273">INDEX('MTA 28-09'!D:D,MATCH(B273,'MTA 28-09'!A:A,0))</f>
        <v/>
      </c>
      <c r="E273" s="32" t="str">
        <f t="array" ref="E273">INDEX('MTA 28-09'!F:F,MATCH(B273,'MTA 28-09'!A:A,0))</f>
        <v/>
      </c>
      <c r="F273" s="155" t="str">
        <f t="array" ref="F273">INDEX('MTA 28-09'!I:I,MATCH(B273,'MTA 28-09'!A:A,0))</f>
        <v/>
      </c>
      <c r="G273" s="36" t="str">
        <f t="array" ref="G273">INDEX('MTA 28-09'!J:J,MATCH(B273,'MTA 28-09'!A:A,0))</f>
        <v/>
      </c>
      <c r="H273" s="287" t="s">
        <v>157</v>
      </c>
      <c r="I273" s="295"/>
      <c r="J273" s="39"/>
      <c r="K273" s="40"/>
      <c r="L273" s="39" t="str">
        <f t="array" ref="L273">INDEX('MTA 28-09'!S:S,MATCH(B273,'MTA 28-09'!A:A,0))</f>
        <v>APOIO</v>
      </c>
      <c r="M273" s="32" t="str">
        <f t="array" ref="M273">INDEX('MTA 28-09'!T:T,MATCH(B273,'MTA 28-09'!A:A,0))</f>
        <v>Requisição FMS</v>
      </c>
      <c r="N273" s="32" t="str">
        <f t="array" ref="N273">INDEX('MTA 28-09'!U:U,MATCH(B273,'MTA 28-09'!A:A,0))</f>
        <v>Requisições Consumíveis 3/3</v>
      </c>
      <c r="O273" s="59">
        <f t="array" ref="O273">INDEX('MTA 28-09'!AC:AC,MATCH(B273,'MTA 28-09'!A:A,0))</f>
        <v>175000</v>
      </c>
      <c r="P273" s="32" t="str">
        <f t="array" ref="P273">INDEX('MTA 28-09'!N:N,MATCH(B273,'MTA 28-09'!A:A,0))</f>
        <v>FMS</v>
      </c>
      <c r="Q273" s="67" t="str">
        <f t="array" ref="Q273">INDEX('MTA 28-09'!Z:Z,MATCH(B273,'MTA 28-09'!A:A,0))</f>
        <v>339030</v>
      </c>
      <c r="R273" s="32" t="str">
        <f t="array" ref="R273">INDEX('MTA 28-09'!L:L,MATCH(B273,'MTA 28-09'!A:A,0))</f>
        <v>C</v>
      </c>
      <c r="S273" s="72" t="str">
        <f t="array" ref="S273">INDEX('MTA 28-09'!X:X,MATCH(B273,'MTA 28-09'!A:A,0))</f>
        <v>REQUISIÇÃO</v>
      </c>
      <c r="T273" s="72" t="str">
        <f t="array" ref="T273">INDEX('MTA 28-09'!W:W,MATCH(B273,'MTA 28-09'!A:A,0))</f>
        <v>NÃO</v>
      </c>
      <c r="U273" s="81">
        <f t="array" ref="U273">INDEX('MTA 28-09'!AE:AE,MATCH(B273,'MTA 28-09'!A:A,0))</f>
        <v>46229</v>
      </c>
      <c r="V273" s="12"/>
      <c r="W273" s="12"/>
      <c r="X273" s="12"/>
      <c r="Y273" s="12"/>
      <c r="Z273" s="12"/>
      <c r="AA273" s="12"/>
      <c r="AB273" s="12"/>
      <c r="AC273" s="12"/>
      <c r="AD273" s="12"/>
      <c r="AE273" s="12"/>
      <c r="AF273" s="12"/>
      <c r="AG273" s="12"/>
      <c r="AH273" s="12"/>
      <c r="AI273" s="12"/>
      <c r="AJ273" s="12"/>
      <c r="AK273" s="12"/>
      <c r="AL273" s="12"/>
      <c r="AM273" s="12"/>
    </row>
    <row r="274">
      <c r="A274" s="88" t="s">
        <v>1572</v>
      </c>
      <c r="B274" s="98">
        <v>14320.0</v>
      </c>
      <c r="C274" s="92" t="str">
        <f t="array" ref="C274">INDEX('MTA 28-09'!B:B,MATCH(B274,'MTA 28-09'!A:A,0))</f>
        <v>NÃO</v>
      </c>
      <c r="D274" s="95" t="str">
        <f t="array" ref="D274">INDEX('MTA 28-09'!D:D,MATCH(B274,'MTA 28-09'!A:A,0))</f>
        <v/>
      </c>
      <c r="E274" s="98" t="str">
        <f t="array" ref="E274">INDEX('MTA 28-09'!F:F,MATCH(B274,'MTA 28-09'!A:A,0))</f>
        <v/>
      </c>
      <c r="F274" s="99" t="str">
        <f t="array" ref="F274">INDEX('MTA 28-09'!I:I,MATCH(B274,'MTA 28-09'!A:A,0))</f>
        <v/>
      </c>
      <c r="G274" s="100" t="str">
        <f t="array" ref="G274">INDEX('MTA 28-09'!J:J,MATCH(B274,'MTA 28-09'!A:A,0))</f>
        <v/>
      </c>
      <c r="H274" s="159" t="s">
        <v>157</v>
      </c>
      <c r="I274" s="296"/>
      <c r="J274" s="102"/>
      <c r="K274" s="103"/>
      <c r="L274" s="102" t="str">
        <f t="array" ref="L274">INDEX('MTA 28-09'!S:S,MATCH(B274,'MTA 28-09'!A:A,0))</f>
        <v>APOIO</v>
      </c>
      <c r="M274" s="98" t="str">
        <f t="array" ref="M274">INDEX('MTA 28-09'!T:T,MATCH(B274,'MTA 28-09'!A:A,0))</f>
        <v>Requisição FMS</v>
      </c>
      <c r="N274" s="98" t="str">
        <f t="array" ref="N274">INDEX('MTA 28-09'!U:U,MATCH(B274,'MTA 28-09'!A:A,0))</f>
        <v>Requisições Consumíveis 1/4</v>
      </c>
      <c r="O274" s="104">
        <f t="array" ref="O274">INDEX('MTA 28-09'!AC:AC,MATCH(B274,'MTA 28-09'!A:A,0))</f>
        <v>196000</v>
      </c>
      <c r="P274" s="98" t="str">
        <f t="array" ref="P274">INDEX('MTA 28-09'!N:N,MATCH(B274,'MTA 28-09'!A:A,0))</f>
        <v>FMS</v>
      </c>
      <c r="Q274" s="105" t="str">
        <f t="array" ref="Q274">INDEX('MTA 28-09'!Z:Z,MATCH(B274,'MTA 28-09'!A:A,0))</f>
        <v>339030</v>
      </c>
      <c r="R274" s="98" t="str">
        <f t="array" ref="R274">INDEX('MTA 28-09'!L:L,MATCH(B274,'MTA 28-09'!A:A,0))</f>
        <v>C</v>
      </c>
      <c r="S274" s="107" t="str">
        <f t="array" ref="S274">INDEX('MTA 28-09'!X:X,MATCH(B274,'MTA 28-09'!A:A,0))</f>
        <v>REQUISIÇÃO</v>
      </c>
      <c r="T274" s="107" t="str">
        <f t="array" ref="T274">INDEX('MTA 28-09'!W:W,MATCH(B274,'MTA 28-09'!A:A,0))</f>
        <v>NÃO</v>
      </c>
      <c r="U274" s="109">
        <f t="array" ref="U274">INDEX('MTA 28-09'!AE:AE,MATCH(B274,'MTA 28-09'!A:A,0))</f>
        <v>46229</v>
      </c>
      <c r="V274" s="29"/>
      <c r="W274" s="29"/>
      <c r="X274" s="29"/>
      <c r="Y274" s="29"/>
      <c r="Z274" s="29"/>
      <c r="AA274" s="29"/>
      <c r="AB274" s="29"/>
      <c r="AC274" s="29"/>
      <c r="AD274" s="29"/>
      <c r="AE274" s="29"/>
      <c r="AF274" s="29"/>
      <c r="AG274" s="29"/>
      <c r="AH274" s="29"/>
      <c r="AI274" s="29"/>
      <c r="AJ274" s="29"/>
      <c r="AK274" s="29"/>
      <c r="AL274" s="29"/>
      <c r="AM274" s="29"/>
    </row>
    <row r="275">
      <c r="A275" s="31" t="s">
        <v>1572</v>
      </c>
      <c r="B275" s="32">
        <v>14340.0</v>
      </c>
      <c r="C275" s="33" t="str">
        <f t="array" ref="C275">INDEX('MTA 28-09'!B:B,MATCH(B275,'MTA 28-09'!A:A,0))</f>
        <v>NÃO</v>
      </c>
      <c r="D275" s="34" t="str">
        <f t="array" ref="D275">INDEX('MTA 28-09'!D:D,MATCH(B275,'MTA 28-09'!A:A,0))</f>
        <v/>
      </c>
      <c r="E275" s="32" t="str">
        <f t="array" ref="E275">INDEX('MTA 28-09'!F:F,MATCH(B275,'MTA 28-09'!A:A,0))</f>
        <v/>
      </c>
      <c r="F275" s="35" t="str">
        <f t="array" ref="F275">INDEX('MTA 28-09'!I:I,MATCH(B275,'MTA 28-09'!A:A,0))</f>
        <v/>
      </c>
      <c r="G275" s="36" t="str">
        <f t="array" ref="G275">INDEX('MTA 28-09'!J:J,MATCH(B275,'MTA 28-09'!A:A,0))</f>
        <v/>
      </c>
      <c r="H275" s="287" t="s">
        <v>157</v>
      </c>
      <c r="I275" s="295"/>
      <c r="J275" s="39"/>
      <c r="K275" s="40"/>
      <c r="L275" s="39" t="str">
        <f t="array" ref="L275">INDEX('MTA 28-09'!S:S,MATCH(B275,'MTA 28-09'!A:A,0))</f>
        <v>APOIO</v>
      </c>
      <c r="M275" s="32" t="str">
        <f t="array" ref="M275">INDEX('MTA 28-09'!T:T,MATCH(B275,'MTA 28-09'!A:A,0))</f>
        <v>Requisição FMS</v>
      </c>
      <c r="N275" s="32" t="str">
        <f t="array" ref="N275">INDEX('MTA 28-09'!U:U,MATCH(B275,'MTA 28-09'!A:A,0))</f>
        <v>Requisições Consumíveis 3/4</v>
      </c>
      <c r="O275" s="59">
        <f t="array" ref="O275">INDEX('MTA 28-09'!AC:AC,MATCH(B275,'MTA 28-09'!A:A,0))</f>
        <v>196000</v>
      </c>
      <c r="P275" s="32" t="str">
        <f t="array" ref="P275">INDEX('MTA 28-09'!N:N,MATCH(B275,'MTA 28-09'!A:A,0))</f>
        <v>FMS</v>
      </c>
      <c r="Q275" s="67" t="str">
        <f t="array" ref="Q275">INDEX('MTA 28-09'!Z:Z,MATCH(B275,'MTA 28-09'!A:A,0))</f>
        <v>339030</v>
      </c>
      <c r="R275" s="32" t="str">
        <f t="array" ref="R275">INDEX('MTA 28-09'!L:L,MATCH(B275,'MTA 28-09'!A:A,0))</f>
        <v>C</v>
      </c>
      <c r="S275" s="72" t="str">
        <f t="array" ref="S275">INDEX('MTA 28-09'!X:X,MATCH(B275,'MTA 28-09'!A:A,0))</f>
        <v>REQUISIÇÃO</v>
      </c>
      <c r="T275" s="72" t="str">
        <f t="array" ref="T275">INDEX('MTA 28-09'!W:W,MATCH(B275,'MTA 28-09'!A:A,0))</f>
        <v>NÃO</v>
      </c>
      <c r="U275" s="81">
        <f t="array" ref="U275">INDEX('MTA 28-09'!AE:AE,MATCH(B275,'MTA 28-09'!A:A,0))</f>
        <v>46229</v>
      </c>
      <c r="V275" s="12"/>
      <c r="W275" s="12"/>
      <c r="X275" s="12"/>
      <c r="Y275" s="12"/>
      <c r="Z275" s="12"/>
      <c r="AA275" s="12"/>
      <c r="AB275" s="12"/>
      <c r="AC275" s="12"/>
      <c r="AD275" s="12"/>
      <c r="AE275" s="12"/>
      <c r="AF275" s="12"/>
      <c r="AG275" s="12"/>
      <c r="AH275" s="12"/>
      <c r="AI275" s="12"/>
      <c r="AJ275" s="12"/>
      <c r="AK275" s="12"/>
      <c r="AL275" s="12"/>
      <c r="AM275" s="12"/>
    </row>
    <row r="276">
      <c r="A276" s="88" t="s">
        <v>1575</v>
      </c>
      <c r="B276" s="98">
        <v>14360.0</v>
      </c>
      <c r="C276" s="92" t="str">
        <f t="array" ref="C276">INDEX('MTA 28-09'!B:B,MATCH(B276,'MTA 28-09'!A:A,0))</f>
        <v>NÃO</v>
      </c>
      <c r="D276" s="95" t="str">
        <f t="array" ref="D276">INDEX('MTA 28-09'!D:D,MATCH(B276,'MTA 28-09'!A:A,0))</f>
        <v/>
      </c>
      <c r="E276" s="98" t="str">
        <f t="array" ref="E276">INDEX('MTA 28-09'!F:F,MATCH(B276,'MTA 28-09'!A:A,0))</f>
        <v/>
      </c>
      <c r="F276" s="152" t="str">
        <f t="array" ref="F276">INDEX('MTA 28-09'!I:I,MATCH(B276,'MTA 28-09'!A:A,0))</f>
        <v/>
      </c>
      <c r="G276" s="100" t="str">
        <f t="array" ref="G276">INDEX('MTA 28-09'!J:J,MATCH(B276,'MTA 28-09'!A:A,0))</f>
        <v/>
      </c>
      <c r="H276" s="159" t="s">
        <v>157</v>
      </c>
      <c r="I276" s="296"/>
      <c r="J276" s="102"/>
      <c r="K276" s="103"/>
      <c r="L276" s="102" t="str">
        <f t="array" ref="L276">INDEX('MTA 28-09'!S:S,MATCH(B276,'MTA 28-09'!A:A,0))</f>
        <v>APOIO</v>
      </c>
      <c r="M276" s="98" t="str">
        <f t="array" ref="M276">INDEX('MTA 28-09'!T:T,MATCH(B276,'MTA 28-09'!A:A,0))</f>
        <v>Requisição FMS</v>
      </c>
      <c r="N276" s="98" t="str">
        <f t="array" ref="N276">INDEX('MTA 28-09'!U:U,MATCH(B276,'MTA 28-09'!A:A,0))</f>
        <v>Requisições Consumíveis 5/5</v>
      </c>
      <c r="O276" s="104">
        <f t="array" ref="O276">INDEX('MTA 28-09'!AC:AC,MATCH(B276,'MTA 28-09'!A:A,0))</f>
        <v>140000</v>
      </c>
      <c r="P276" s="98" t="str">
        <f t="array" ref="P276">INDEX('MTA 28-09'!N:N,MATCH(B276,'MTA 28-09'!A:A,0))</f>
        <v>FMS</v>
      </c>
      <c r="Q276" s="105" t="str">
        <f t="array" ref="Q276">INDEX('MTA 28-09'!Z:Z,MATCH(B276,'MTA 28-09'!A:A,0))</f>
        <v>339030</v>
      </c>
      <c r="R276" s="98" t="str">
        <f t="array" ref="R276">INDEX('MTA 28-09'!L:L,MATCH(B276,'MTA 28-09'!A:A,0))</f>
        <v>C</v>
      </c>
      <c r="S276" s="107" t="str">
        <f t="array" ref="S276">INDEX('MTA 28-09'!X:X,MATCH(B276,'MTA 28-09'!A:A,0))</f>
        <v>REQUISIÇÃO</v>
      </c>
      <c r="T276" s="107" t="str">
        <f t="array" ref="T276">INDEX('MTA 28-09'!W:W,MATCH(B276,'MTA 28-09'!A:A,0))</f>
        <v>NÃO</v>
      </c>
      <c r="U276" s="109">
        <f t="array" ref="U276">INDEX('MTA 28-09'!AE:AE,MATCH(B276,'MTA 28-09'!A:A,0))</f>
        <v>46229</v>
      </c>
      <c r="V276" s="29"/>
      <c r="W276" s="29"/>
      <c r="X276" s="29"/>
      <c r="Y276" s="29"/>
      <c r="Z276" s="29"/>
      <c r="AA276" s="29"/>
      <c r="AB276" s="29"/>
      <c r="AC276" s="29"/>
      <c r="AD276" s="29"/>
      <c r="AE276" s="29"/>
      <c r="AF276" s="29"/>
      <c r="AG276" s="29"/>
      <c r="AH276" s="29"/>
      <c r="AI276" s="29"/>
      <c r="AJ276" s="29"/>
      <c r="AK276" s="29"/>
      <c r="AL276" s="29"/>
      <c r="AM276" s="29"/>
    </row>
    <row r="277">
      <c r="A277" s="31" t="s">
        <v>47</v>
      </c>
      <c r="B277" s="32">
        <v>14380.0</v>
      </c>
      <c r="C277" s="33" t="str">
        <f t="array" ref="C277">INDEX('MTA 28-09'!B:B,MATCH(B277,'MTA 28-09'!A:A,0))</f>
        <v>NÃO</v>
      </c>
      <c r="D277" s="34" t="str">
        <f t="array" ref="D277">INDEX('MTA 28-09'!D:D,MATCH(B277,'MTA 28-09'!A:A,0))</f>
        <v/>
      </c>
      <c r="E277" s="32" t="str">
        <f t="array" ref="E277">INDEX('MTA 28-09'!F:F,MATCH(B277,'MTA 28-09'!A:A,0))</f>
        <v>BLOQUEIO</v>
      </c>
      <c r="F277" s="155" t="str">
        <f t="array" ref="F277">INDEX('MTA 28-09'!I:I,MATCH(B277,'MTA 28-09'!A:A,0))</f>
        <v/>
      </c>
      <c r="G277" s="36" t="str">
        <f t="array" ref="G277">INDEX('MTA 28-09'!J:J,MATCH(B277,'MTA 28-09'!A:A,0))</f>
        <v/>
      </c>
      <c r="H277" s="287" t="s">
        <v>157</v>
      </c>
      <c r="I277" s="295"/>
      <c r="J277" s="39"/>
      <c r="K277" s="40"/>
      <c r="L277" s="39" t="str">
        <f t="array" ref="L277">INDEX('MTA 28-09'!S:S,MATCH(B277,'MTA 28-09'!A:A,0))</f>
        <v>T-25</v>
      </c>
      <c r="M277" s="32" t="str">
        <f t="array" ref="M277">INDEX('MTA 28-09'!T:T,MATCH(B277,'MTA 28-09'!A:A,0))</f>
        <v>Contrato de reparáveis</v>
      </c>
      <c r="N277" s="32" t="str">
        <f t="array" ref="N277">INDEX('MTA 28-09'!U:U,MATCH(B277,'MTA 28-09'!A:A,0))</f>
        <v>Reparo sob demanda 2/6</v>
      </c>
      <c r="O277" s="59">
        <f t="array" ref="O277">INDEX('MTA 28-09'!AC:AC,MATCH(B277,'MTA 28-09'!A:A,0))</f>
        <v>310000</v>
      </c>
      <c r="P277" s="32" t="str">
        <f t="array" ref="P277">INDEX('MTA 28-09'!N:N,MATCH(B277,'MTA 28-09'!A:A,0))</f>
        <v>CELOG</v>
      </c>
      <c r="Q277" s="67" t="str">
        <f t="array" ref="Q277">INDEX('MTA 28-09'!Z:Z,MATCH(B277,'MTA 28-09'!A:A,0))</f>
        <v>339039</v>
      </c>
      <c r="R277" s="32" t="str">
        <f t="array" ref="R277">INDEX('MTA 28-09'!L:L,MATCH(B277,'MTA 28-09'!A:A,0))</f>
        <v>B</v>
      </c>
      <c r="S277" s="72" t="str">
        <f t="array" ref="S277">INDEX('MTA 28-09'!X:X,MATCH(B277,'MTA 28-09'!A:A,0))</f>
        <v>SOB DEMANDA</v>
      </c>
      <c r="T277" s="72" t="str">
        <f t="array" ref="T277">INDEX('MTA 28-09'!W:W,MATCH(B277,'MTA 28-09'!A:A,0))</f>
        <v>Não</v>
      </c>
      <c r="U277" s="81">
        <f t="array" ref="U277">INDEX('MTA 28-09'!AE:AE,MATCH(B277,'MTA 28-09'!A:A,0))</f>
        <v>46382</v>
      </c>
      <c r="V277" s="12"/>
      <c r="W277" s="12"/>
      <c r="X277" s="12"/>
      <c r="Y277" s="12"/>
      <c r="Z277" s="12"/>
      <c r="AA277" s="12"/>
      <c r="AB277" s="12"/>
      <c r="AC277" s="12"/>
      <c r="AD277" s="12"/>
      <c r="AE277" s="12"/>
      <c r="AF277" s="12"/>
      <c r="AG277" s="12"/>
      <c r="AH277" s="12"/>
      <c r="AI277" s="12"/>
      <c r="AJ277" s="12"/>
      <c r="AK277" s="12"/>
      <c r="AL277" s="12"/>
      <c r="AM277" s="12"/>
    </row>
    <row r="278">
      <c r="A278" s="88" t="s">
        <v>46</v>
      </c>
      <c r="B278" s="98">
        <v>14400.0</v>
      </c>
      <c r="C278" s="92" t="str">
        <f t="array" ref="C278">INDEX('MTA 28-09'!B:B,MATCH(B278,'MTA 28-09'!A:A,0))</f>
        <v>SIM</v>
      </c>
      <c r="D278" s="95">
        <f t="array" ref="D278">INDEX('MTA 28-09'!D:D,MATCH(B278,'MTA 28-09'!A:A,0))</f>
        <v>2048</v>
      </c>
      <c r="E278" s="98" t="str">
        <f t="array" ref="E278">INDEX('MTA 28-09'!F:F,MATCH(B278,'MTA 28-09'!A:A,0))</f>
        <v>ATENDIDO</v>
      </c>
      <c r="F278" s="289">
        <f t="array" ref="F278">INDEX('MTA 28-09'!I:I,MATCH(B278,'MTA 28-09'!A:A,0))</f>
        <v>46118</v>
      </c>
      <c r="G278" s="100" t="str">
        <f t="array" ref="G278">INDEX('MTA 28-09'!J:J,MATCH(B278,'MTA 28-09'!A:A,0))</f>
        <v>C26153</v>
      </c>
      <c r="H278" s="101" t="s">
        <v>1580</v>
      </c>
      <c r="I278" s="90"/>
      <c r="J278" s="102"/>
      <c r="K278" s="103"/>
      <c r="L278" s="102" t="str">
        <f t="array" ref="L278">INDEX('MTA 28-09'!S:S,MATCH(B278,'MTA 28-09'!A:A,0))</f>
        <v>T-27</v>
      </c>
      <c r="M278" s="98" t="str">
        <f t="array" ref="M278">INDEX('MTA 28-09'!T:T,MATCH(B278,'MTA 28-09'!A:A,0))</f>
        <v>Contrato de reparáveis</v>
      </c>
      <c r="N278" s="98" t="str">
        <f t="array" ref="N278">INDEX('MTA 28-09'!U:U,MATCH(B278,'MTA 28-09'!A:A,0))</f>
        <v>Reparo sob demanda 2/6</v>
      </c>
      <c r="O278" s="104">
        <f t="array" ref="O278">INDEX('MTA 28-09'!AC:AC,MATCH(B278,'MTA 28-09'!A:A,0))</f>
        <v>330000</v>
      </c>
      <c r="P278" s="98" t="str">
        <f t="array" ref="P278">INDEX('MTA 28-09'!N:N,MATCH(B278,'MTA 28-09'!A:A,0))</f>
        <v>CELOG</v>
      </c>
      <c r="Q278" s="105" t="str">
        <f t="array" ref="Q278">INDEX('MTA 28-09'!Z:Z,MATCH(B278,'MTA 28-09'!A:A,0))</f>
        <v>339039</v>
      </c>
      <c r="R278" s="98" t="str">
        <f t="array" ref="R278">INDEX('MTA 28-09'!L:L,MATCH(B278,'MTA 28-09'!A:A,0))</f>
        <v>A</v>
      </c>
      <c r="S278" s="107" t="str">
        <f t="array" ref="S278">INDEX('MTA 28-09'!X:X,MATCH(B278,'MTA 28-09'!A:A,0))</f>
        <v>SOB DEMANDA</v>
      </c>
      <c r="T278" s="107" t="str">
        <f t="array" ref="T278">INDEX('MTA 28-09'!W:W,MATCH(B278,'MTA 28-09'!A:A,0))</f>
        <v>Não</v>
      </c>
      <c r="U278" s="109">
        <f t="array" ref="U278">INDEX('MTA 28-09'!AE:AE,MATCH(B278,'MTA 28-09'!A:A,0))</f>
        <v>46199</v>
      </c>
      <c r="V278" s="29"/>
      <c r="W278" s="29"/>
      <c r="X278" s="29"/>
      <c r="Y278" s="29"/>
      <c r="Z278" s="29"/>
      <c r="AA278" s="29"/>
      <c r="AB278" s="29"/>
      <c r="AC278" s="29"/>
      <c r="AD278" s="29"/>
      <c r="AE278" s="29"/>
      <c r="AF278" s="29"/>
      <c r="AG278" s="29"/>
      <c r="AH278" s="29"/>
      <c r="AI278" s="29"/>
      <c r="AJ278" s="29"/>
      <c r="AK278" s="29"/>
      <c r="AL278" s="29"/>
      <c r="AM278" s="29"/>
    </row>
    <row r="279">
      <c r="A279" s="31" t="s">
        <v>43</v>
      </c>
      <c r="B279" s="32">
        <v>14420.0</v>
      </c>
      <c r="C279" s="33" t="str">
        <f t="array" ref="C279">INDEX('MTA 28-09'!B:B,MATCH(B279,'MTA 28-09'!A:A,0))</f>
        <v>SIM</v>
      </c>
      <c r="D279" s="34">
        <f t="array" ref="D279">INDEX('MTA 28-09'!D:D,MATCH(B279,'MTA 28-09'!A:A,0))</f>
        <v>2048</v>
      </c>
      <c r="E279" s="32" t="str">
        <f t="array" ref="E279">INDEX('MTA 28-09'!F:F,MATCH(B279,'MTA 28-09'!A:A,0))</f>
        <v>CANCELADO</v>
      </c>
      <c r="F279" s="35" t="str">
        <f t="array" ref="F279">INDEX('MTA 28-09'!I:I,MATCH(B279,'MTA 28-09'!A:A,0))</f>
        <v/>
      </c>
      <c r="G279" s="36" t="str">
        <f t="array" ref="G279">INDEX('MTA 28-09'!J:J,MATCH(B279,'MTA 28-09'!A:A,0))</f>
        <v/>
      </c>
      <c r="H279" s="156">
        <v>46276.0</v>
      </c>
      <c r="I279" s="157" t="s">
        <v>1586</v>
      </c>
      <c r="J279" s="39"/>
      <c r="K279" s="40"/>
      <c r="L279" s="39" t="str">
        <f t="array" ref="L279">INDEX('MTA 28-09'!S:S,MATCH(B279,'MTA 28-09'!A:A,0))</f>
        <v>C-95M</v>
      </c>
      <c r="M279" s="32" t="str">
        <f t="array" ref="M279">INDEX('MTA 28-09'!T:T,MATCH(B279,'MTA 28-09'!A:A,0))</f>
        <v>Contrato de reparáveis</v>
      </c>
      <c r="N279" s="32" t="str">
        <f t="array" ref="N279">INDEX('MTA 28-09'!U:U,MATCH(B279,'MTA 28-09'!A:A,0))</f>
        <v>Reparo sob demanda 2/8</v>
      </c>
      <c r="O279" s="59" t="str">
        <f t="array" ref="O279">INDEX('MTA 28-09'!AC:AC,MATCH(B279,'MTA 28-09'!A:A,0))</f>
        <v> -</v>
      </c>
      <c r="P279" s="32" t="str">
        <f t="array" ref="P279">INDEX('MTA 28-09'!N:N,MATCH(B279,'MTA 28-09'!A:A,0))</f>
        <v>CELOG</v>
      </c>
      <c r="Q279" s="67" t="str">
        <f t="array" ref="Q279">INDEX('MTA 28-09'!Z:Z,MATCH(B279,'MTA 28-09'!A:A,0))</f>
        <v>339039</v>
      </c>
      <c r="R279" s="32" t="str">
        <f t="array" ref="R279">INDEX('MTA 28-09'!L:L,MATCH(B279,'MTA 28-09'!A:A,0))</f>
        <v>A</v>
      </c>
      <c r="S279" s="72" t="str">
        <f t="array" ref="S279">INDEX('MTA 28-09'!X:X,MATCH(B279,'MTA 28-09'!A:A,0))</f>
        <v>SOB DEMANDA</v>
      </c>
      <c r="T279" s="72" t="str">
        <f t="array" ref="T279">INDEX('MTA 28-09'!W:W,MATCH(B279,'MTA 28-09'!A:A,0))</f>
        <v>Não</v>
      </c>
      <c r="U279" s="81">
        <f t="array" ref="U279">INDEX('MTA 28-09'!AE:AE,MATCH(B279,'MTA 28-09'!A:A,0))</f>
        <v>46049</v>
      </c>
      <c r="V279" s="12"/>
      <c r="W279" s="12"/>
      <c r="X279" s="12"/>
      <c r="Y279" s="12"/>
      <c r="Z279" s="12"/>
      <c r="AA279" s="12"/>
      <c r="AB279" s="12"/>
      <c r="AC279" s="12"/>
      <c r="AD279" s="12"/>
      <c r="AE279" s="12"/>
      <c r="AF279" s="12"/>
      <c r="AG279" s="12"/>
      <c r="AH279" s="12"/>
      <c r="AI279" s="12"/>
      <c r="AJ279" s="12"/>
      <c r="AK279" s="12"/>
      <c r="AL279" s="12"/>
      <c r="AM279" s="12"/>
    </row>
    <row r="280">
      <c r="A280" s="88" t="s">
        <v>104</v>
      </c>
      <c r="B280" s="98">
        <v>14440.0</v>
      </c>
      <c r="C280" s="92" t="str">
        <f t="array" ref="C280">INDEX('MTA 28-09'!B:B,MATCH(B280,'MTA 28-09'!A:A,0))</f>
        <v>NÃO</v>
      </c>
      <c r="D280" s="95" t="str">
        <f t="array" ref="D280">INDEX('MTA 28-09'!D:D,MATCH(B280,'MTA 28-09'!A:A,0))</f>
        <v/>
      </c>
      <c r="E280" s="98" t="str">
        <f t="array" ref="E280">INDEX('MTA 28-09'!F:F,MATCH(B280,'MTA 28-09'!A:A,0))</f>
        <v/>
      </c>
      <c r="F280" s="152" t="str">
        <f t="array" ref="F280">INDEX('MTA 28-09'!I:I,MATCH(B280,'MTA 28-09'!A:A,0))</f>
        <v/>
      </c>
      <c r="G280" s="100" t="str">
        <f t="array" ref="G280">INDEX('MTA 28-09'!J:J,MATCH(B280,'MTA 28-09'!A:A,0))</f>
        <v/>
      </c>
      <c r="H280" s="159" t="s">
        <v>157</v>
      </c>
      <c r="I280" s="296"/>
      <c r="J280" s="102"/>
      <c r="K280" s="103"/>
      <c r="L280" s="102" t="str">
        <f t="array" ref="L280">INDEX('MTA 28-09'!S:S,MATCH(B280,'MTA 28-09'!A:A,0))</f>
        <v>APOIO</v>
      </c>
      <c r="M280" s="98" t="str">
        <f t="array" ref="M280">INDEX('MTA 28-09'!T:T,MATCH(B280,'MTA 28-09'!A:A,0))</f>
        <v>CTT XXXX/PAMALS-CELOG/2026</v>
      </c>
      <c r="N280" s="98" t="str">
        <f t="array" ref="N280">INDEX('MTA 28-09'!U:U,MATCH(B280,'MTA 28-09'!A:A,0))</f>
        <v>SERVIÇO/REPARO DE RECAUCHUTAGEM DE PNEUS DE AVIAÇÃO 1/4</v>
      </c>
      <c r="O280" s="104">
        <f t="array" ref="O280">INDEX('MTA 28-09'!AC:AC,MATCH(B280,'MTA 28-09'!A:A,0))</f>
        <v>216000</v>
      </c>
      <c r="P280" s="98" t="str">
        <f t="array" ref="P280">INDEX('MTA 28-09'!N:N,MATCH(B280,'MTA 28-09'!A:A,0))</f>
        <v>CELOG</v>
      </c>
      <c r="Q280" s="105" t="str">
        <f t="array" ref="Q280">INDEX('MTA 28-09'!Z:Z,MATCH(B280,'MTA 28-09'!A:A,0))</f>
        <v>339039</v>
      </c>
      <c r="R280" s="98" t="str">
        <f t="array" ref="R280">INDEX('MTA 28-09'!L:L,MATCH(B280,'MTA 28-09'!A:A,0))</f>
        <v>C</v>
      </c>
      <c r="S280" s="107" t="str">
        <f t="array" ref="S280">INDEX('MTA 28-09'!X:X,MATCH(B280,'MTA 28-09'!A:A,0))</f>
        <v>SOB DEMANDA</v>
      </c>
      <c r="T280" s="107" t="str">
        <f t="array" ref="T280">INDEX('MTA 28-09'!W:W,MATCH(B280,'MTA 28-09'!A:A,0))</f>
        <v>NÃO</v>
      </c>
      <c r="U280" s="109">
        <f t="array" ref="U280">INDEX('MTA 28-09'!AE:AE,MATCH(B280,'MTA 28-09'!A:A,0))</f>
        <v>46229</v>
      </c>
      <c r="V280" s="29"/>
      <c r="W280" s="29"/>
      <c r="X280" s="29"/>
      <c r="Y280" s="29"/>
      <c r="Z280" s="29"/>
      <c r="AA280" s="29"/>
      <c r="AB280" s="29"/>
      <c r="AC280" s="29"/>
      <c r="AD280" s="29"/>
      <c r="AE280" s="29"/>
      <c r="AF280" s="29"/>
      <c r="AG280" s="29"/>
      <c r="AH280" s="29"/>
      <c r="AI280" s="29"/>
      <c r="AJ280" s="29"/>
      <c r="AK280" s="29"/>
      <c r="AL280" s="29"/>
      <c r="AM280" s="29"/>
    </row>
    <row r="281">
      <c r="A281" s="31" t="s">
        <v>99</v>
      </c>
      <c r="B281" s="32">
        <v>14460.0</v>
      </c>
      <c r="C281" s="33" t="str">
        <f t="array" ref="C281">INDEX('MTA 28-09'!B:B,MATCH(B281,'MTA 28-09'!A:A,0))</f>
        <v>NÃO</v>
      </c>
      <c r="D281" s="34" t="str">
        <f t="array" ref="D281">INDEX('MTA 28-09'!D:D,MATCH(B281,'MTA 28-09'!A:A,0))</f>
        <v/>
      </c>
      <c r="E281" s="32" t="str">
        <f t="array" ref="E281">INDEX('MTA 28-09'!F:F,MATCH(B281,'MTA 28-09'!A:A,0))</f>
        <v/>
      </c>
      <c r="F281" s="35" t="str">
        <f t="array" ref="F281">INDEX('MTA 28-09'!I:I,MATCH(B281,'MTA 28-09'!A:A,0))</f>
        <v/>
      </c>
      <c r="G281" s="36" t="str">
        <f t="array" ref="G281">INDEX('MTA 28-09'!J:J,MATCH(B281,'MTA 28-09'!A:A,0))</f>
        <v/>
      </c>
      <c r="H281" s="287" t="s">
        <v>157</v>
      </c>
      <c r="I281" s="295"/>
      <c r="J281" s="39"/>
      <c r="K281" s="40"/>
      <c r="L281" s="39" t="str">
        <f t="array" ref="L281">INDEX('MTA 28-09'!S:S,MATCH(B281,'MTA 28-09'!A:A,0))</f>
        <v>APOIO</v>
      </c>
      <c r="M281" s="32" t="str">
        <f t="array" ref="M281">INDEX('MTA 28-09'!T:T,MATCH(B281,'MTA 28-09'!A:A,0))</f>
        <v>CNT XXX/GAPLS/2026</v>
      </c>
      <c r="N281" s="32" t="str">
        <f t="array" ref="N281">INDEX('MTA 28-09'!U:U,MATCH(B281,'MTA 28-09'!A:A,0))</f>
        <v>Serviço de Coleta, Transporte e Destinação Final de Resíduos Sólidos Industriais do PAMALS</v>
      </c>
      <c r="O281" s="59">
        <f t="array" ref="O281">INDEX('MTA 28-09'!AC:AC,MATCH(B281,'MTA 28-09'!A:A,0))</f>
        <v>162000</v>
      </c>
      <c r="P281" s="32" t="str">
        <f t="array" ref="P281">INDEX('MTA 28-09'!N:N,MATCH(B281,'MTA 28-09'!A:A,0))</f>
        <v>GAP-LS</v>
      </c>
      <c r="Q281" s="67" t="str">
        <f t="array" ref="Q281">INDEX('MTA 28-09'!Z:Z,MATCH(B281,'MTA 28-09'!A:A,0))</f>
        <v>339039</v>
      </c>
      <c r="R281" s="32" t="str">
        <f t="array" ref="R281">INDEX('MTA 28-09'!L:L,MATCH(B281,'MTA 28-09'!A:A,0))</f>
        <v>C</v>
      </c>
      <c r="S281" s="72" t="str">
        <f t="array" ref="S281">INDEX('MTA 28-09'!X:X,MATCH(B281,'MTA 28-09'!A:A,0))</f>
        <v>SOB DEMANDA</v>
      </c>
      <c r="T281" s="72" t="str">
        <f t="array" ref="T281">INDEX('MTA 28-09'!W:W,MATCH(B281,'MTA 28-09'!A:A,0))</f>
        <v>NÃO</v>
      </c>
      <c r="U281" s="81">
        <f t="array" ref="U281">INDEX('MTA 28-09'!AE:AE,MATCH(B281,'MTA 28-09'!A:A,0))</f>
        <v>46229</v>
      </c>
      <c r="V281" s="12"/>
      <c r="W281" s="12"/>
      <c r="X281" s="12"/>
      <c r="Y281" s="12"/>
      <c r="Z281" s="12"/>
      <c r="AA281" s="12"/>
      <c r="AB281" s="12"/>
      <c r="AC281" s="12"/>
      <c r="AD281" s="12"/>
      <c r="AE281" s="12"/>
      <c r="AF281" s="12"/>
      <c r="AG281" s="12"/>
      <c r="AH281" s="12"/>
      <c r="AI281" s="12"/>
      <c r="AJ281" s="12"/>
      <c r="AK281" s="12"/>
      <c r="AL281" s="12"/>
      <c r="AM281" s="12"/>
    </row>
    <row r="282">
      <c r="A282" s="88" t="s">
        <v>99</v>
      </c>
      <c r="B282" s="98">
        <v>14480.0</v>
      </c>
      <c r="C282" s="92" t="str">
        <f t="array" ref="C282">INDEX('MTA 28-09'!B:B,MATCH(B282,'MTA 28-09'!A:A,0))</f>
        <v>NÃO</v>
      </c>
      <c r="D282" s="95" t="str">
        <f t="array" ref="D282">INDEX('MTA 28-09'!D:D,MATCH(B282,'MTA 28-09'!A:A,0))</f>
        <v/>
      </c>
      <c r="E282" s="98" t="str">
        <f t="array" ref="E282">INDEX('MTA 28-09'!F:F,MATCH(B282,'MTA 28-09'!A:A,0))</f>
        <v/>
      </c>
      <c r="F282" s="99" t="str">
        <f t="array" ref="F282">INDEX('MTA 28-09'!I:I,MATCH(B282,'MTA 28-09'!A:A,0))</f>
        <v/>
      </c>
      <c r="G282" s="100" t="str">
        <f t="array" ref="G282">INDEX('MTA 28-09'!J:J,MATCH(B282,'MTA 28-09'!A:A,0))</f>
        <v/>
      </c>
      <c r="H282" s="159" t="s">
        <v>157</v>
      </c>
      <c r="I282" s="296"/>
      <c r="J282" s="102"/>
      <c r="K282" s="103"/>
      <c r="L282" s="102" t="str">
        <f t="array" ref="L282">INDEX('MTA 28-09'!S:S,MATCH(B282,'MTA 28-09'!A:A,0))</f>
        <v>APOIO</v>
      </c>
      <c r="M282" s="98" t="str">
        <f t="array" ref="M282">INDEX('MTA 28-09'!T:T,MATCH(B282,'MTA 28-09'!A:A,0))</f>
        <v>CNT XXX/GAPLS/2026 - Serviço de Coleta e Caracterização Físico-Química de Efluentes Industriais do PAMALS - Serviço</v>
      </c>
      <c r="N282" s="98" t="str">
        <f t="array" ref="N282">INDEX('MTA 28-09'!U:U,MATCH(B282,'MTA 28-09'!A:A,0))</f>
        <v>Serviço de Coleta e Caracterização Físico-Química de Efluentes Industriais do PAMALS</v>
      </c>
      <c r="O282" s="104">
        <f t="array" ref="O282">INDEX('MTA 28-09'!AC:AC,MATCH(B282,'MTA 28-09'!A:A,0))</f>
        <v>162000</v>
      </c>
      <c r="P282" s="98" t="str">
        <f t="array" ref="P282">INDEX('MTA 28-09'!N:N,MATCH(B282,'MTA 28-09'!A:A,0))</f>
        <v>GAP-LS</v>
      </c>
      <c r="Q282" s="105" t="str">
        <f t="array" ref="Q282">INDEX('MTA 28-09'!Z:Z,MATCH(B282,'MTA 28-09'!A:A,0))</f>
        <v>339039</v>
      </c>
      <c r="R282" s="98" t="str">
        <f t="array" ref="R282">INDEX('MTA 28-09'!L:L,MATCH(B282,'MTA 28-09'!A:A,0))</f>
        <v>C</v>
      </c>
      <c r="S282" s="107" t="str">
        <f t="array" ref="S282">INDEX('MTA 28-09'!X:X,MATCH(B282,'MTA 28-09'!A:A,0))</f>
        <v>SOB DEMANDA</v>
      </c>
      <c r="T282" s="107" t="str">
        <f t="array" ref="T282">INDEX('MTA 28-09'!W:W,MATCH(B282,'MTA 28-09'!A:A,0))</f>
        <v>NÃO</v>
      </c>
      <c r="U282" s="109">
        <f t="array" ref="U282">INDEX('MTA 28-09'!AE:AE,MATCH(B282,'MTA 28-09'!A:A,0))</f>
        <v>46229</v>
      </c>
      <c r="V282" s="29"/>
      <c r="W282" s="29"/>
      <c r="X282" s="29"/>
      <c r="Y282" s="29"/>
      <c r="Z282" s="29"/>
      <c r="AA282" s="29"/>
      <c r="AB282" s="29"/>
      <c r="AC282" s="29"/>
      <c r="AD282" s="29"/>
      <c r="AE282" s="29"/>
      <c r="AF282" s="29"/>
      <c r="AG282" s="29"/>
      <c r="AH282" s="29"/>
      <c r="AI282" s="29"/>
      <c r="AJ282" s="29"/>
      <c r="AK282" s="29"/>
      <c r="AL282" s="29"/>
      <c r="AM282" s="29"/>
    </row>
    <row r="283">
      <c r="A283" s="31" t="s">
        <v>1572</v>
      </c>
      <c r="B283" s="32">
        <v>14500.0</v>
      </c>
      <c r="C283" s="33" t="str">
        <f t="array" ref="C283">INDEX('MTA 28-09'!B:B,MATCH(B283,'MTA 28-09'!A:A,0))</f>
        <v>NÃO</v>
      </c>
      <c r="D283" s="34" t="str">
        <f t="array" ref="D283">INDEX('MTA 28-09'!D:D,MATCH(B283,'MTA 28-09'!A:A,0))</f>
        <v/>
      </c>
      <c r="E283" s="32" t="str">
        <f t="array" ref="E283">INDEX('MTA 28-09'!F:F,MATCH(B283,'MTA 28-09'!A:A,0))</f>
        <v/>
      </c>
      <c r="F283" s="294" t="str">
        <f t="array" ref="F283">INDEX('MTA 28-09'!I:I,MATCH(B283,'MTA 28-09'!A:A,0))</f>
        <v/>
      </c>
      <c r="G283" s="36" t="str">
        <f t="array" ref="G283">INDEX('MTA 28-09'!J:J,MATCH(B283,'MTA 28-09'!A:A,0))</f>
        <v/>
      </c>
      <c r="H283" s="287" t="s">
        <v>157</v>
      </c>
      <c r="I283" s="295"/>
      <c r="J283" s="39"/>
      <c r="K283" s="40"/>
      <c r="L283" s="39" t="str">
        <f t="array" ref="L283">INDEX('MTA 28-09'!S:S,MATCH(B283,'MTA 28-09'!A:A,0))</f>
        <v>APOIO</v>
      </c>
      <c r="M283" s="32" t="str">
        <f t="array" ref="M283">INDEX('MTA 28-09'!T:T,MATCH(B283,'MTA 28-09'!A:A,0))</f>
        <v>CTT XXX/CELOG-PAMALS/2026 – Aquisição de Consumíveis</v>
      </c>
      <c r="N283" s="32" t="str">
        <f t="array" ref="N283">INDEX('MTA 28-09'!U:U,MATCH(B283,'MTA 28-09'!A:A,0))</f>
        <v>Aquisição de consumíveis 2/4</v>
      </c>
      <c r="O283" s="59">
        <f t="array" ref="O283">INDEX('MTA 28-09'!AC:AC,MATCH(B283,'MTA 28-09'!A:A,0))</f>
        <v>430000</v>
      </c>
      <c r="P283" s="32" t="str">
        <f t="array" ref="P283">INDEX('MTA 28-09'!N:N,MATCH(B283,'MTA 28-09'!A:A,0))</f>
        <v>CELOG</v>
      </c>
      <c r="Q283" s="67" t="str">
        <f t="array" ref="Q283">INDEX('MTA 28-09'!Z:Z,MATCH(B283,'MTA 28-09'!A:A,0))</f>
        <v>339030</v>
      </c>
      <c r="R283" s="32" t="str">
        <f t="array" ref="R283">INDEX('MTA 28-09'!L:L,MATCH(B283,'MTA 28-09'!A:A,0))</f>
        <v>C</v>
      </c>
      <c r="S283" s="72" t="str">
        <f t="array" ref="S283">INDEX('MTA 28-09'!X:X,MATCH(B283,'MTA 28-09'!A:A,0))</f>
        <v>SOB DEMANDA</v>
      </c>
      <c r="T283" s="72" t="str">
        <f t="array" ref="T283">INDEX('MTA 28-09'!W:W,MATCH(B283,'MTA 28-09'!A:A,0))</f>
        <v>NÃO</v>
      </c>
      <c r="U283" s="81">
        <f t="array" ref="U283">INDEX('MTA 28-09'!AE:AE,MATCH(B283,'MTA 28-09'!A:A,0))</f>
        <v>46229</v>
      </c>
      <c r="V283" s="12"/>
      <c r="W283" s="12"/>
      <c r="X283" s="12"/>
      <c r="Y283" s="12"/>
      <c r="Z283" s="12"/>
      <c r="AA283" s="12"/>
      <c r="AB283" s="12"/>
      <c r="AC283" s="12"/>
      <c r="AD283" s="12"/>
      <c r="AE283" s="12"/>
      <c r="AF283" s="12"/>
      <c r="AG283" s="12"/>
      <c r="AH283" s="12"/>
      <c r="AI283" s="12"/>
      <c r="AJ283" s="12"/>
      <c r="AK283" s="12"/>
      <c r="AL283" s="12"/>
      <c r="AM283" s="12"/>
    </row>
    <row r="284">
      <c r="A284" s="88" t="s">
        <v>1573</v>
      </c>
      <c r="B284" s="98">
        <v>14520.0</v>
      </c>
      <c r="C284" s="92" t="str">
        <f t="array" ref="C284">INDEX('MTA 28-09'!B:B,MATCH(B284,'MTA 28-09'!A:A,0))</f>
        <v>NÃO</v>
      </c>
      <c r="D284" s="95" t="str">
        <f t="array" ref="D284">INDEX('MTA 28-09'!D:D,MATCH(B284,'MTA 28-09'!A:A,0))</f>
        <v/>
      </c>
      <c r="E284" s="98" t="str">
        <f t="array" ref="E284">INDEX('MTA 28-09'!F:F,MATCH(B284,'MTA 28-09'!A:A,0))</f>
        <v/>
      </c>
      <c r="F284" s="99" t="str">
        <f t="array" ref="F284">INDEX('MTA 28-09'!I:I,MATCH(B284,'MTA 28-09'!A:A,0))</f>
        <v/>
      </c>
      <c r="G284" s="100" t="str">
        <f t="array" ref="G284">INDEX('MTA 28-09'!J:J,MATCH(B284,'MTA 28-09'!A:A,0))</f>
        <v/>
      </c>
      <c r="H284" s="159" t="s">
        <v>157</v>
      </c>
      <c r="I284" s="296"/>
      <c r="J284" s="102"/>
      <c r="K284" s="103"/>
      <c r="L284" s="102" t="str">
        <f t="array" ref="L284">INDEX('MTA 28-09'!S:S,MATCH(B284,'MTA 28-09'!A:A,0))</f>
        <v>APOIO</v>
      </c>
      <c r="M284" s="98" t="str">
        <f t="array" ref="M284">INDEX('MTA 28-09'!T:T,MATCH(B284,'MTA 28-09'!A:A,0))</f>
        <v>CTT XXX/CELOG-PAMALS/2026 – Aquisição de Consumíveis</v>
      </c>
      <c r="N284" s="98" t="str">
        <f t="array" ref="N284">INDEX('MTA 28-09'!U:U,MATCH(B284,'MTA 28-09'!A:A,0))</f>
        <v>Aquisição de consumíveis 2/4</v>
      </c>
      <c r="O284" s="104">
        <f t="array" ref="O284">INDEX('MTA 28-09'!AC:AC,MATCH(B284,'MTA 28-09'!A:A,0))</f>
        <v>378000</v>
      </c>
      <c r="P284" s="98" t="str">
        <f t="array" ref="P284">INDEX('MTA 28-09'!N:N,MATCH(B284,'MTA 28-09'!A:A,0))</f>
        <v>CELOG</v>
      </c>
      <c r="Q284" s="105" t="str">
        <f t="array" ref="Q284">INDEX('MTA 28-09'!Z:Z,MATCH(B284,'MTA 28-09'!A:A,0))</f>
        <v>339030</v>
      </c>
      <c r="R284" s="98" t="str">
        <f t="array" ref="R284">INDEX('MTA 28-09'!L:L,MATCH(B284,'MTA 28-09'!A:A,0))</f>
        <v>C</v>
      </c>
      <c r="S284" s="107" t="str">
        <f t="array" ref="S284">INDEX('MTA 28-09'!X:X,MATCH(B284,'MTA 28-09'!A:A,0))</f>
        <v>SOB DEMANDA</v>
      </c>
      <c r="T284" s="107" t="str">
        <f t="array" ref="T284">INDEX('MTA 28-09'!W:W,MATCH(B284,'MTA 28-09'!A:A,0))</f>
        <v>NÃO</v>
      </c>
      <c r="U284" s="109">
        <f t="array" ref="U284">INDEX('MTA 28-09'!AE:AE,MATCH(B284,'MTA 28-09'!A:A,0))</f>
        <v>46229</v>
      </c>
      <c r="V284" s="29"/>
      <c r="W284" s="29"/>
      <c r="X284" s="29"/>
      <c r="Y284" s="29"/>
      <c r="Z284" s="29"/>
      <c r="AA284" s="29"/>
      <c r="AB284" s="29"/>
      <c r="AC284" s="29"/>
      <c r="AD284" s="29"/>
      <c r="AE284" s="29"/>
      <c r="AF284" s="29"/>
      <c r="AG284" s="29"/>
      <c r="AH284" s="29"/>
      <c r="AI284" s="29"/>
      <c r="AJ284" s="29"/>
      <c r="AK284" s="29"/>
      <c r="AL284" s="29"/>
      <c r="AM284" s="29"/>
    </row>
    <row r="285">
      <c r="A285" s="31" t="s">
        <v>1574</v>
      </c>
      <c r="B285" s="32">
        <v>14540.0</v>
      </c>
      <c r="C285" s="33" t="str">
        <f t="array" ref="C285">INDEX('MTA 28-09'!B:B,MATCH(B285,'MTA 28-09'!A:A,0))</f>
        <v>NÃO</v>
      </c>
      <c r="D285" s="34" t="str">
        <f t="array" ref="D285">INDEX('MTA 28-09'!D:D,MATCH(B285,'MTA 28-09'!A:A,0))</f>
        <v/>
      </c>
      <c r="E285" s="32" t="str">
        <f t="array" ref="E285">INDEX('MTA 28-09'!F:F,MATCH(B285,'MTA 28-09'!A:A,0))</f>
        <v/>
      </c>
      <c r="F285" s="294" t="str">
        <f t="array" ref="F285">INDEX('MTA 28-09'!I:I,MATCH(B285,'MTA 28-09'!A:A,0))</f>
        <v/>
      </c>
      <c r="G285" s="36" t="str">
        <f t="array" ref="G285">INDEX('MTA 28-09'!J:J,MATCH(B285,'MTA 28-09'!A:A,0))</f>
        <v/>
      </c>
      <c r="H285" s="287" t="s">
        <v>157</v>
      </c>
      <c r="I285" s="295"/>
      <c r="J285" s="39"/>
      <c r="K285" s="40"/>
      <c r="L285" s="39" t="str">
        <f t="array" ref="L285">INDEX('MTA 28-09'!S:S,MATCH(B285,'MTA 28-09'!A:A,0))</f>
        <v>APOIO</v>
      </c>
      <c r="M285" s="32" t="str">
        <f t="array" ref="M285">INDEX('MTA 28-09'!T:T,MATCH(B285,'MTA 28-09'!A:A,0))</f>
        <v>CTT XXX/CELOG-PAMALS/2026 – Aquisição de Consumíveis</v>
      </c>
      <c r="N285" s="32" t="str">
        <f t="array" ref="N285">INDEX('MTA 28-09'!U:U,MATCH(B285,'MTA 28-09'!A:A,0))</f>
        <v>Aquisição de consumíveis 2/4</v>
      </c>
      <c r="O285" s="59">
        <f t="array" ref="O285">INDEX('MTA 28-09'!AC:AC,MATCH(B285,'MTA 28-09'!A:A,0))</f>
        <v>135000</v>
      </c>
      <c r="P285" s="32" t="str">
        <f t="array" ref="P285">INDEX('MTA 28-09'!N:N,MATCH(B285,'MTA 28-09'!A:A,0))</f>
        <v>CELOG</v>
      </c>
      <c r="Q285" s="67" t="str">
        <f t="array" ref="Q285">INDEX('MTA 28-09'!Z:Z,MATCH(B285,'MTA 28-09'!A:A,0))</f>
        <v>339030</v>
      </c>
      <c r="R285" s="32" t="str">
        <f t="array" ref="R285">INDEX('MTA 28-09'!L:L,MATCH(B285,'MTA 28-09'!A:A,0))</f>
        <v>C</v>
      </c>
      <c r="S285" s="72" t="str">
        <f t="array" ref="S285">INDEX('MTA 28-09'!X:X,MATCH(B285,'MTA 28-09'!A:A,0))</f>
        <v>SOB DEMANDA</v>
      </c>
      <c r="T285" s="72" t="str">
        <f t="array" ref="T285">INDEX('MTA 28-09'!W:W,MATCH(B285,'MTA 28-09'!A:A,0))</f>
        <v>NÃO</v>
      </c>
      <c r="U285" s="81">
        <f t="array" ref="U285">INDEX('MTA 28-09'!AE:AE,MATCH(B285,'MTA 28-09'!A:A,0))</f>
        <v>46229</v>
      </c>
      <c r="V285" s="12"/>
      <c r="W285" s="12"/>
      <c r="X285" s="12"/>
      <c r="Y285" s="12"/>
      <c r="Z285" s="12"/>
      <c r="AA285" s="12"/>
      <c r="AB285" s="12"/>
      <c r="AC285" s="12"/>
      <c r="AD285" s="12"/>
      <c r="AE285" s="12"/>
      <c r="AF285" s="12"/>
      <c r="AG285" s="12"/>
      <c r="AH285" s="12"/>
      <c r="AI285" s="12"/>
      <c r="AJ285" s="12"/>
      <c r="AK285" s="12"/>
      <c r="AL285" s="12"/>
      <c r="AM285" s="12"/>
    </row>
    <row r="286">
      <c r="A286" s="88" t="s">
        <v>1575</v>
      </c>
      <c r="B286" s="98">
        <v>14560.0</v>
      </c>
      <c r="C286" s="92" t="str">
        <f t="array" ref="C286">INDEX('MTA 28-09'!B:B,MATCH(B286,'MTA 28-09'!A:A,0))</f>
        <v>NÃO</v>
      </c>
      <c r="D286" s="95" t="str">
        <f t="array" ref="D286">INDEX('MTA 28-09'!D:D,MATCH(B286,'MTA 28-09'!A:A,0))</f>
        <v/>
      </c>
      <c r="E286" s="98" t="str">
        <f t="array" ref="E286">INDEX('MTA 28-09'!F:F,MATCH(B286,'MTA 28-09'!A:A,0))</f>
        <v/>
      </c>
      <c r="F286" s="144" t="str">
        <f t="array" ref="F286">INDEX('MTA 28-09'!I:I,MATCH(B286,'MTA 28-09'!A:A,0))</f>
        <v/>
      </c>
      <c r="G286" s="100" t="str">
        <f t="array" ref="G286">INDEX('MTA 28-09'!J:J,MATCH(B286,'MTA 28-09'!A:A,0))</f>
        <v/>
      </c>
      <c r="H286" s="159" t="s">
        <v>157</v>
      </c>
      <c r="I286" s="296"/>
      <c r="J286" s="102"/>
      <c r="K286" s="103"/>
      <c r="L286" s="102" t="str">
        <f t="array" ref="L286">INDEX('MTA 28-09'!S:S,MATCH(B286,'MTA 28-09'!A:A,0))</f>
        <v>APOIO</v>
      </c>
      <c r="M286" s="98" t="str">
        <f t="array" ref="M286">INDEX('MTA 28-09'!T:T,MATCH(B286,'MTA 28-09'!A:A,0))</f>
        <v>CTT XXX/CELOG-PAMALS/2026 – Aquisição de Consumíveis</v>
      </c>
      <c r="N286" s="98" t="str">
        <f t="array" ref="N286">INDEX('MTA 28-09'!U:U,MATCH(B286,'MTA 28-09'!A:A,0))</f>
        <v>Aquisição de consumíveis 2/4</v>
      </c>
      <c r="O286" s="104">
        <f t="array" ref="O286">INDEX('MTA 28-09'!AC:AC,MATCH(B286,'MTA 28-09'!A:A,0))</f>
        <v>621000</v>
      </c>
      <c r="P286" s="98" t="str">
        <f t="array" ref="P286">INDEX('MTA 28-09'!N:N,MATCH(B286,'MTA 28-09'!A:A,0))</f>
        <v>CELOG</v>
      </c>
      <c r="Q286" s="105" t="str">
        <f t="array" ref="Q286">INDEX('MTA 28-09'!Z:Z,MATCH(B286,'MTA 28-09'!A:A,0))</f>
        <v>339030</v>
      </c>
      <c r="R286" s="98" t="str">
        <f t="array" ref="R286">INDEX('MTA 28-09'!L:L,MATCH(B286,'MTA 28-09'!A:A,0))</f>
        <v>C</v>
      </c>
      <c r="S286" s="107" t="str">
        <f t="array" ref="S286">INDEX('MTA 28-09'!X:X,MATCH(B286,'MTA 28-09'!A:A,0))</f>
        <v>SOB DEMANDA</v>
      </c>
      <c r="T286" s="107" t="str">
        <f t="array" ref="T286">INDEX('MTA 28-09'!W:W,MATCH(B286,'MTA 28-09'!A:A,0))</f>
        <v>NÃO</v>
      </c>
      <c r="U286" s="109">
        <f t="array" ref="U286">INDEX('MTA 28-09'!AE:AE,MATCH(B286,'MTA 28-09'!A:A,0))</f>
        <v>46229</v>
      </c>
      <c r="V286" s="29"/>
      <c r="W286" s="29"/>
      <c r="X286" s="29"/>
      <c r="Y286" s="29"/>
      <c r="Z286" s="29"/>
      <c r="AA286" s="29"/>
      <c r="AB286" s="29"/>
      <c r="AC286" s="29"/>
      <c r="AD286" s="29"/>
      <c r="AE286" s="29"/>
      <c r="AF286" s="29"/>
      <c r="AG286" s="29"/>
      <c r="AH286" s="29"/>
      <c r="AI286" s="29"/>
      <c r="AJ286" s="29"/>
      <c r="AK286" s="29"/>
      <c r="AL286" s="29"/>
      <c r="AM286" s="29"/>
    </row>
    <row r="287">
      <c r="A287" s="31" t="s">
        <v>46</v>
      </c>
      <c r="B287" s="32">
        <v>14580.0</v>
      </c>
      <c r="C287" s="33" t="str">
        <f t="array" ref="C287">INDEX('MTA 28-09'!B:B,MATCH(B287,'MTA 28-09'!A:A,0))</f>
        <v>SIM</v>
      </c>
      <c r="D287" s="34">
        <f t="array" ref="D287">INDEX('MTA 28-09'!D:D,MATCH(B287,'MTA 28-09'!A:A,0))</f>
        <v>2048</v>
      </c>
      <c r="E287" s="32" t="str">
        <f t="array" ref="E287">INDEX('MTA 28-09'!F:F,MATCH(B287,'MTA 28-09'!A:A,0))</f>
        <v/>
      </c>
      <c r="F287" s="155" t="str">
        <f t="array" ref="F287">INDEX('MTA 28-09'!I:I,MATCH(B287,'MTA 28-09'!A:A,0))</f>
        <v/>
      </c>
      <c r="G287" s="36" t="str">
        <f t="array" ref="G287">INDEX('MTA 28-09'!J:J,MATCH(B287,'MTA 28-09'!A:A,0))</f>
        <v/>
      </c>
      <c r="H287" s="156">
        <v>46276.0</v>
      </c>
      <c r="I287" s="157" t="s">
        <v>1183</v>
      </c>
      <c r="J287" s="39"/>
      <c r="K287" s="40"/>
      <c r="L287" s="39" t="str">
        <f t="array" ref="L287">INDEX('MTA 28-09'!S:S,MATCH(B287,'MTA 28-09'!A:A,0))</f>
        <v>T-27</v>
      </c>
      <c r="M287" s="32" t="str">
        <f t="array" ref="M287">INDEX('MTA 28-09'!T:T,MATCH(B287,'MTA 28-09'!A:A,0))</f>
        <v>CNT XXX/CABE-PAMALS/2026 - MARTIN BAKER - SUPORTE EJEÇÃO</v>
      </c>
      <c r="N287" s="32" t="str">
        <f t="array" ref="N287">INDEX('MTA 28-09'!U:U,MATCH(B287,'MTA 28-09'!A:A,0))</f>
        <v>Aquisição de consumíveis para inspeção de assentos</v>
      </c>
      <c r="O287" s="59">
        <f t="array" ref="O287">INDEX('MTA 28-09'!AC:AC,MATCH(B287,'MTA 28-09'!A:A,0))</f>
        <v>2000000</v>
      </c>
      <c r="P287" s="32" t="str">
        <f t="array" ref="P287">INDEX('MTA 28-09'!N:N,MATCH(B287,'MTA 28-09'!A:A,0))</f>
        <v>CABE</v>
      </c>
      <c r="Q287" s="67" t="str">
        <f t="array" ref="Q287">INDEX('MTA 28-09'!Z:Z,MATCH(B287,'MTA 28-09'!A:A,0))</f>
        <v>339039</v>
      </c>
      <c r="R287" s="32" t="str">
        <f t="array" ref="R287">INDEX('MTA 28-09'!L:L,MATCH(B287,'MTA 28-09'!A:A,0))</f>
        <v>A</v>
      </c>
      <c r="S287" s="72" t="str">
        <f t="array" ref="S287">INDEX('MTA 28-09'!X:X,MATCH(B287,'MTA 28-09'!A:A,0))</f>
        <v>PARCELA FIXA</v>
      </c>
      <c r="T287" s="72" t="str">
        <f t="array" ref="T287">INDEX('MTA 28-09'!W:W,MATCH(B287,'MTA 28-09'!A:A,0))</f>
        <v>Não</v>
      </c>
      <c r="U287" s="81">
        <f t="array" ref="U287">INDEX('MTA 28-09'!AE:AE,MATCH(B287,'MTA 28-09'!A:A,0))</f>
        <v>46080</v>
      </c>
      <c r="V287" s="12"/>
      <c r="W287" s="12"/>
      <c r="X287" s="12"/>
      <c r="Y287" s="12"/>
      <c r="Z287" s="12"/>
      <c r="AA287" s="12"/>
      <c r="AB287" s="12"/>
      <c r="AC287" s="12"/>
      <c r="AD287" s="12"/>
      <c r="AE287" s="12"/>
      <c r="AF287" s="12"/>
      <c r="AG287" s="12"/>
      <c r="AH287" s="12"/>
      <c r="AI287" s="12"/>
      <c r="AJ287" s="12"/>
      <c r="AK287" s="12"/>
      <c r="AL287" s="12"/>
      <c r="AM287" s="12"/>
    </row>
    <row r="288">
      <c r="A288" s="88" t="s">
        <v>39</v>
      </c>
      <c r="B288" s="98">
        <v>14600.0</v>
      </c>
      <c r="C288" s="92" t="str">
        <f t="array" ref="C288">INDEX('MTA 28-09'!B:B,MATCH(B288,'MTA 28-09'!A:A,0))</f>
        <v>SIM</v>
      </c>
      <c r="D288" s="95">
        <f t="array" ref="D288">INDEX('MTA 28-09'!D:D,MATCH(B288,'MTA 28-09'!A:A,0))</f>
        <v>2048</v>
      </c>
      <c r="E288" s="98" t="str">
        <f t="array" ref="E288">INDEX('MTA 28-09'!F:F,MATCH(B288,'MTA 28-09'!A:A,0))</f>
        <v>ATENDIDO</v>
      </c>
      <c r="F288" s="99">
        <f t="array" ref="F288">INDEX('MTA 28-09'!I:I,MATCH(B288,'MTA 28-09'!A:A,0))</f>
        <v>46191</v>
      </c>
      <c r="G288" s="100" t="str">
        <f t="array" ref="G288">INDEX('MTA 28-09'!J:J,MATCH(B288,'MTA 28-09'!A:A,0))</f>
        <v>C26138</v>
      </c>
      <c r="H288" s="101" t="s">
        <v>421</v>
      </c>
      <c r="I288" s="90"/>
      <c r="J288" s="102"/>
      <c r="K288" s="103"/>
      <c r="L288" s="102" t="str">
        <f t="array" ref="L288">INDEX('MTA 28-09'!S:S,MATCH(B288,'MTA 28-09'!A:A,0))</f>
        <v>A-29</v>
      </c>
      <c r="M288" s="98" t="str">
        <f t="array" ref="M288">INDEX('MTA 28-09'!T:T,MATCH(B288,'MTA 28-09'!A:A,0))</f>
        <v>CTT 102/CELOG-PAMALS/2023 – EMBRAER - PSLI</v>
      </c>
      <c r="N288" s="98" t="str">
        <f t="array" ref="N288">INDEX('MTA 28-09'!U:U,MATCH(B288,'MTA 28-09'!A:A,0))</f>
        <v>Parcela Fixa 06/12</v>
      </c>
      <c r="O288" s="104">
        <f t="array" ref="O288">INDEX('MTA 28-09'!AC:AC,MATCH(B288,'MTA 28-09'!A:A,0))</f>
        <v>1464159.32</v>
      </c>
      <c r="P288" s="98" t="str">
        <f t="array" ref="P288">INDEX('MTA 28-09'!N:N,MATCH(B288,'MTA 28-09'!A:A,0))</f>
        <v>CELOG</v>
      </c>
      <c r="Q288" s="105" t="str">
        <f t="array" ref="Q288">INDEX('MTA 28-09'!Z:Z,MATCH(B288,'MTA 28-09'!A:A,0))</f>
        <v>339039</v>
      </c>
      <c r="R288" s="98" t="str">
        <f t="array" ref="R288">INDEX('MTA 28-09'!L:L,MATCH(B288,'MTA 28-09'!A:A,0))</f>
        <v>A</v>
      </c>
      <c r="S288" s="107" t="str">
        <f t="array" ref="S288">INDEX('MTA 28-09'!X:X,MATCH(B288,'MTA 28-09'!A:A,0))</f>
        <v>PARCELA FIXA</v>
      </c>
      <c r="T288" s="107" t="str">
        <f t="array" ref="T288">INDEX('MTA 28-09'!W:W,MATCH(B288,'MTA 28-09'!A:A,0))</f>
        <v>Não</v>
      </c>
      <c r="U288" s="109">
        <f t="array" ref="U288">INDEX('MTA 28-09'!AE:AE,MATCH(B288,'MTA 28-09'!A:A,0))</f>
        <v>46260</v>
      </c>
      <c r="V288" s="29"/>
      <c r="W288" s="29"/>
      <c r="X288" s="29"/>
      <c r="Y288" s="29"/>
      <c r="Z288" s="29"/>
      <c r="AA288" s="29"/>
      <c r="AB288" s="29"/>
      <c r="AC288" s="29"/>
      <c r="AD288" s="29"/>
      <c r="AE288" s="29"/>
      <c r="AF288" s="29"/>
      <c r="AG288" s="29"/>
      <c r="AH288" s="29"/>
      <c r="AI288" s="29"/>
      <c r="AJ288" s="29"/>
      <c r="AK288" s="29"/>
      <c r="AL288" s="29"/>
      <c r="AM288" s="29"/>
    </row>
    <row r="289">
      <c r="A289" s="31" t="s">
        <v>39</v>
      </c>
      <c r="B289" s="38">
        <v>14601.0</v>
      </c>
      <c r="C289" s="33" t="str">
        <f t="array" ref="C289">INDEX('MTA 28-09'!B:B,MATCH(B289,'MTA 28-09'!A:A,0))</f>
        <v>SIM</v>
      </c>
      <c r="D289" s="34" t="str">
        <f t="array" ref="D289">INDEX('MTA 28-09'!D:D,MATCH(B289,'MTA 28-09'!A:A,0))</f>
        <v>DESTQ08</v>
      </c>
      <c r="E289" s="32" t="str">
        <f t="array" ref="E289">INDEX('MTA 28-09'!F:F,MATCH(B289,'MTA 28-09'!A:A,0))</f>
        <v>ATENDIDO</v>
      </c>
      <c r="F289" s="137">
        <f t="array" ref="F289">INDEX('MTA 28-09'!I:I,MATCH(B289,'MTA 28-09'!A:A,0))</f>
        <v>46119</v>
      </c>
      <c r="G289" s="36" t="str">
        <f t="array" ref="G289">INDEX('MTA 28-09'!J:J,MATCH(B289,'MTA 28-09'!A:A,0))</f>
        <v>C26194</v>
      </c>
      <c r="H289" s="287" t="s">
        <v>157</v>
      </c>
      <c r="I289" s="295"/>
      <c r="J289" s="39"/>
      <c r="K289" s="40"/>
      <c r="L289" s="39" t="str">
        <f t="array" ref="L289">INDEX('MTA 28-09'!S:S,MATCH(B289,'MTA 28-09'!A:A,0))</f>
        <v>A-29</v>
      </c>
      <c r="M289" s="32" t="str">
        <f t="array" ref="M289">INDEX('MTA 28-09'!T:T,MATCH(B289,'MTA 28-09'!A:A,0))</f>
        <v>CTT 102/CELOG-PAMALS/2023 – EMBRAER - PSLI</v>
      </c>
      <c r="N289" s="32" t="str">
        <f t="array" ref="N289">INDEX('MTA 28-09'!U:U,MATCH(B289,'MTA 28-09'!A:A,0))</f>
        <v>Parcela Fixa 06/12</v>
      </c>
      <c r="O289" s="59">
        <f t="array" ref="O289">INDEX('MTA 28-09'!AC:AC,MATCH(B289,'MTA 28-09'!A:A,0))</f>
        <v>845840.68</v>
      </c>
      <c r="P289" s="32" t="str">
        <f t="array" ref="P289">INDEX('MTA 28-09'!N:N,MATCH(B289,'MTA 28-09'!A:A,0))</f>
        <v>CELOG</v>
      </c>
      <c r="Q289" s="67" t="str">
        <f t="array" ref="Q289">INDEX('MTA 28-09'!Z:Z,MATCH(B289,'MTA 28-09'!A:A,0))</f>
        <v>339039</v>
      </c>
      <c r="R289" s="32" t="str">
        <f t="array" ref="R289">INDEX('MTA 28-09'!L:L,MATCH(B289,'MTA 28-09'!A:A,0))</f>
        <v>A</v>
      </c>
      <c r="S289" s="72" t="str">
        <f t="array" ref="S289">INDEX('MTA 28-09'!X:X,MATCH(B289,'MTA 28-09'!A:A,0))</f>
        <v>PARCELA FIXA</v>
      </c>
      <c r="T289" s="72" t="str">
        <f t="array" ref="T289">INDEX('MTA 28-09'!W:W,MATCH(B289,'MTA 28-09'!A:A,0))</f>
        <v>Não</v>
      </c>
      <c r="U289" s="81">
        <f t="array" ref="U289">INDEX('MTA 28-09'!AE:AE,MATCH(B289,'MTA 28-09'!A:A,0))</f>
        <v>46260</v>
      </c>
      <c r="V289" s="12"/>
      <c r="W289" s="12"/>
      <c r="X289" s="12"/>
      <c r="Y289" s="12"/>
      <c r="Z289" s="12"/>
      <c r="AA289" s="12"/>
      <c r="AB289" s="12"/>
      <c r="AC289" s="12"/>
      <c r="AD289" s="12"/>
      <c r="AE289" s="12"/>
      <c r="AF289" s="12"/>
      <c r="AG289" s="12"/>
      <c r="AH289" s="12"/>
      <c r="AI289" s="12"/>
      <c r="AJ289" s="12"/>
      <c r="AK289" s="12"/>
      <c r="AL289" s="12"/>
      <c r="AM289" s="12"/>
    </row>
    <row r="290">
      <c r="A290" s="88" t="s">
        <v>39</v>
      </c>
      <c r="B290" s="98">
        <v>14620.0</v>
      </c>
      <c r="C290" s="92" t="str">
        <f t="array" ref="C290">INDEX('MTA 28-09'!B:B,MATCH(B290,'MTA 28-09'!A:A,0))</f>
        <v>SIM</v>
      </c>
      <c r="D290" s="95">
        <f t="array" ref="D290">INDEX('MTA 28-09'!D:D,MATCH(B290,'MTA 28-09'!A:A,0))</f>
        <v>2048</v>
      </c>
      <c r="E290" s="98" t="str">
        <f t="array" ref="E290">INDEX('MTA 28-09'!F:F,MATCH(B290,'MTA 28-09'!A:A,0))</f>
        <v/>
      </c>
      <c r="F290" s="152" t="str">
        <f t="array" ref="F290">INDEX('MTA 28-09'!I:I,MATCH(B290,'MTA 28-09'!A:A,0))</f>
        <v/>
      </c>
      <c r="G290" s="100" t="str">
        <f t="array" ref="G290">INDEX('MTA 28-09'!J:J,MATCH(B290,'MTA 28-09'!A:A,0))</f>
        <v/>
      </c>
      <c r="H290" s="159">
        <v>46276.0</v>
      </c>
      <c r="I290" s="154" t="s">
        <v>1183</v>
      </c>
      <c r="J290" s="102"/>
      <c r="K290" s="103"/>
      <c r="L290" s="102" t="str">
        <f t="array" ref="L290">INDEX('MTA 28-09'!S:S,MATCH(B290,'MTA 28-09'!A:A,0))</f>
        <v>A-29</v>
      </c>
      <c r="M290" s="98" t="str">
        <f t="array" ref="M290">INDEX('MTA 28-09'!T:T,MATCH(B290,'MTA 28-09'!A:A,0))</f>
        <v>CNT XXX/CABE-PAMALS/2026 - MARTIN BAKER - SUPORTE EJEÇÃO</v>
      </c>
      <c r="N290" s="98" t="str">
        <f t="array" ref="N290">INDEX('MTA 28-09'!U:U,MATCH(B290,'MTA 28-09'!A:A,0))</f>
        <v>Aquisição de consumíveis para inspeção de assentos</v>
      </c>
      <c r="O290" s="104">
        <f t="array" ref="O290">INDEX('MTA 28-09'!AC:AC,MATCH(B290,'MTA 28-09'!A:A,0))</f>
        <v>5736000</v>
      </c>
      <c r="P290" s="98" t="str">
        <f t="array" ref="P290">INDEX('MTA 28-09'!N:N,MATCH(B290,'MTA 28-09'!A:A,0))</f>
        <v>CABE</v>
      </c>
      <c r="Q290" s="105" t="str">
        <f t="array" ref="Q290">INDEX('MTA 28-09'!Z:Z,MATCH(B290,'MTA 28-09'!A:A,0))</f>
        <v>339039</v>
      </c>
      <c r="R290" s="98" t="str">
        <f t="array" ref="R290">INDEX('MTA 28-09'!L:L,MATCH(B290,'MTA 28-09'!A:A,0))</f>
        <v>A</v>
      </c>
      <c r="S290" s="107" t="str">
        <f t="array" ref="S290">INDEX('MTA 28-09'!X:X,MATCH(B290,'MTA 28-09'!A:A,0))</f>
        <v>PARCELA FIXA</v>
      </c>
      <c r="T290" s="107" t="str">
        <f t="array" ref="T290">INDEX('MTA 28-09'!W:W,MATCH(B290,'MTA 28-09'!A:A,0))</f>
        <v>Não</v>
      </c>
      <c r="U290" s="109">
        <f t="array" ref="U290">INDEX('MTA 28-09'!AE:AE,MATCH(B290,'MTA 28-09'!A:A,0))</f>
        <v>46080</v>
      </c>
      <c r="V290" s="29"/>
      <c r="W290" s="29"/>
      <c r="X290" s="29"/>
      <c r="Y290" s="29"/>
      <c r="Z290" s="29"/>
      <c r="AA290" s="29"/>
      <c r="AB290" s="29"/>
      <c r="AC290" s="29"/>
      <c r="AD290" s="29"/>
      <c r="AE290" s="29"/>
      <c r="AF290" s="29"/>
      <c r="AG290" s="29"/>
      <c r="AH290" s="29"/>
      <c r="AI290" s="29"/>
      <c r="AJ290" s="29"/>
      <c r="AK290" s="29"/>
      <c r="AL290" s="29"/>
      <c r="AM290" s="29"/>
    </row>
    <row r="291">
      <c r="A291" s="31" t="s">
        <v>44</v>
      </c>
      <c r="B291" s="32">
        <v>14640.0</v>
      </c>
      <c r="C291" s="33" t="str">
        <f t="array" ref="C291">INDEX('MTA 28-09'!B:B,MATCH(B291,'MTA 28-09'!A:A,0))</f>
        <v>SIM</v>
      </c>
      <c r="D291" s="34">
        <f t="array" ref="D291">INDEX('MTA 28-09'!D:D,MATCH(B291,'MTA 28-09'!A:A,0))</f>
        <v>2048</v>
      </c>
      <c r="E291" s="32" t="str">
        <f t="array" ref="E291">INDEX('MTA 28-09'!F:F,MATCH(B291,'MTA 28-09'!A:A,0))</f>
        <v>ATENDIDO</v>
      </c>
      <c r="F291" s="294">
        <f t="array" ref="F291">INDEX('MTA 28-09'!I:I,MATCH(B291,'MTA 28-09'!A:A,0))</f>
        <v>46213</v>
      </c>
      <c r="G291" s="36" t="str">
        <f t="array" ref="G291">INDEX('MTA 28-09'!J:J,MATCH(B291,'MTA 28-09'!A:A,0))</f>
        <v>C26079</v>
      </c>
      <c r="H291" s="37" t="s">
        <v>1451</v>
      </c>
      <c r="I291" s="38"/>
      <c r="J291" s="39"/>
      <c r="K291" s="40"/>
      <c r="L291" s="39" t="str">
        <f t="array" ref="L291">INDEX('MTA 28-09'!S:S,MATCH(B291,'MTA 28-09'!A:A,0))</f>
        <v>C-97</v>
      </c>
      <c r="M291" s="32" t="str">
        <f t="array" ref="M291">INDEX('MTA 28-09'!T:T,MATCH(B291,'MTA 28-09'!A:A,0))</f>
        <v>CTT 096/CAE-PAMALS/2021 - CLS C-97</v>
      </c>
      <c r="N291" s="32" t="str">
        <f t="array" ref="N291">INDEX('MTA 28-09'!U:U,MATCH(B291,'MTA 28-09'!A:A,0))</f>
        <v>Parcela Fixa 07/12</v>
      </c>
      <c r="O291" s="59">
        <f t="array" ref="O291">INDEX('MTA 28-09'!AC:AC,MATCH(B291,'MTA 28-09'!A:A,0))</f>
        <v>332718.75</v>
      </c>
      <c r="P291" s="32" t="str">
        <f t="array" ref="P291">INDEX('MTA 28-09'!N:N,MATCH(B291,'MTA 28-09'!A:A,0))</f>
        <v>CELOG</v>
      </c>
      <c r="Q291" s="67" t="str">
        <f t="array" ref="Q291">INDEX('MTA 28-09'!Z:Z,MATCH(B291,'MTA 28-09'!A:A,0))</f>
        <v>339039</v>
      </c>
      <c r="R291" s="32" t="str">
        <f t="array" ref="R291">INDEX('MTA 28-09'!L:L,MATCH(B291,'MTA 28-09'!A:A,0))</f>
        <v>A</v>
      </c>
      <c r="S291" s="72" t="str">
        <f t="array" ref="S291">INDEX('MTA 28-09'!X:X,MATCH(B291,'MTA 28-09'!A:A,0))</f>
        <v>PARCELA FIXA</v>
      </c>
      <c r="T291" s="72" t="str">
        <f t="array" ref="T291">INDEX('MTA 28-09'!W:W,MATCH(B291,'MTA 28-09'!A:A,0))</f>
        <v>Não</v>
      </c>
      <c r="U291" s="81">
        <f t="array" ref="U291">INDEX('MTA 28-09'!AE:AE,MATCH(B291,'MTA 28-09'!A:A,0))</f>
        <v>46291</v>
      </c>
      <c r="V291" s="12"/>
      <c r="W291" s="12"/>
      <c r="X291" s="12"/>
      <c r="Y291" s="12"/>
      <c r="Z291" s="12"/>
      <c r="AA291" s="12"/>
      <c r="AB291" s="12"/>
      <c r="AC291" s="12"/>
      <c r="AD291" s="12"/>
      <c r="AE291" s="12"/>
      <c r="AF291" s="12"/>
      <c r="AG291" s="12"/>
      <c r="AH291" s="12"/>
      <c r="AI291" s="12"/>
      <c r="AJ291" s="12"/>
      <c r="AK291" s="12"/>
      <c r="AL291" s="12"/>
      <c r="AM291" s="12"/>
    </row>
    <row r="292">
      <c r="A292" s="88" t="s">
        <v>39</v>
      </c>
      <c r="B292" s="98">
        <v>14660.0</v>
      </c>
      <c r="C292" s="92" t="str">
        <f t="array" ref="C292">INDEX('MTA 28-09'!B:B,MATCH(B292,'MTA 28-09'!A:A,0))</f>
        <v>SIM</v>
      </c>
      <c r="D292" s="95">
        <f t="array" ref="D292">INDEX('MTA 28-09'!D:D,MATCH(B292,'MTA 28-09'!A:A,0))</f>
        <v>2048</v>
      </c>
      <c r="E292" s="98" t="str">
        <f t="array" ref="E292">INDEX('MTA 28-09'!F:F,MATCH(B292,'MTA 28-09'!A:A,0))</f>
        <v>ATENDIDO</v>
      </c>
      <c r="F292" s="99">
        <f t="array" ref="F292">INDEX('MTA 28-09'!I:I,MATCH(B292,'MTA 28-09'!A:A,0))</f>
        <v>46121</v>
      </c>
      <c r="G292" s="100" t="str">
        <f t="array" ref="G292">INDEX('MTA 28-09'!J:J,MATCH(B292,'MTA 28-09'!A:A,0))</f>
        <v>C26192</v>
      </c>
      <c r="H292" s="101" t="s">
        <v>1582</v>
      </c>
      <c r="I292" s="90"/>
      <c r="J292" s="102"/>
      <c r="K292" s="103"/>
      <c r="L292" s="102" t="str">
        <f t="array" ref="L292">INDEX('MTA 28-09'!S:S,MATCH(B292,'MTA 28-09'!A:A,0))</f>
        <v>A-29</v>
      </c>
      <c r="M292" s="98" t="str">
        <f t="array" ref="M292">INDEX('MTA 28-09'!T:T,MATCH(B292,'MTA 28-09'!A:A,0))</f>
        <v>CNT 040/CELOG-PAMALS/2022 - AEL - CLS AVIONICO</v>
      </c>
      <c r="N292" s="98" t="str">
        <f t="array" ref="N292">INDEX('MTA 28-09'!U:U,MATCH(B292,'MTA 28-09'!A:A,0))</f>
        <v>Hora de Voo 05/10 - 1000 HV</v>
      </c>
      <c r="O292" s="104">
        <f t="array" ref="O292">INDEX('MTA 28-09'!AC:AC,MATCH(B292,'MTA 28-09'!A:A,0))</f>
        <v>1057110</v>
      </c>
      <c r="P292" s="98" t="str">
        <f t="array" ref="P292">INDEX('MTA 28-09'!N:N,MATCH(B292,'MTA 28-09'!A:A,0))</f>
        <v>CELOG</v>
      </c>
      <c r="Q292" s="105" t="str">
        <f t="array" ref="Q292">INDEX('MTA 28-09'!Z:Z,MATCH(B292,'MTA 28-09'!A:A,0))</f>
        <v>339039</v>
      </c>
      <c r="R292" s="98" t="str">
        <f t="array" ref="R292">INDEX('MTA 28-09'!L:L,MATCH(B292,'MTA 28-09'!A:A,0))</f>
        <v>A</v>
      </c>
      <c r="S292" s="107" t="str">
        <f t="array" ref="S292">INDEX('MTA 28-09'!X:X,MATCH(B292,'MTA 28-09'!A:A,0))</f>
        <v>HORA DE VOO</v>
      </c>
      <c r="T292" s="107" t="str">
        <f t="array" ref="T292">INDEX('MTA 28-09'!W:W,MATCH(B292,'MTA 28-09'!A:A,0))</f>
        <v>Não</v>
      </c>
      <c r="U292" s="109">
        <f t="array" ref="U292">INDEX('MTA 28-09'!AE:AE,MATCH(B292,'MTA 28-09'!A:A,0))</f>
        <v>46229</v>
      </c>
      <c r="V292" s="29"/>
      <c r="W292" s="29"/>
      <c r="X292" s="29"/>
      <c r="Y292" s="29"/>
      <c r="Z292" s="29"/>
      <c r="AA292" s="29"/>
      <c r="AB292" s="29"/>
      <c r="AC292" s="29"/>
      <c r="AD292" s="29"/>
      <c r="AE292" s="29"/>
      <c r="AF292" s="29"/>
      <c r="AG292" s="29"/>
      <c r="AH292" s="29"/>
      <c r="AI292" s="29"/>
      <c r="AJ292" s="29"/>
      <c r="AK292" s="29"/>
      <c r="AL292" s="29"/>
      <c r="AM292" s="29"/>
    </row>
    <row r="293">
      <c r="A293" s="31" t="s">
        <v>39</v>
      </c>
      <c r="B293" s="32">
        <v>14680.0</v>
      </c>
      <c r="C293" s="33" t="str">
        <f t="array" ref="C293">INDEX('MTA 28-09'!B:B,MATCH(B293,'MTA 28-09'!A:A,0))</f>
        <v>SIM</v>
      </c>
      <c r="D293" s="34">
        <f t="array" ref="D293">INDEX('MTA 28-09'!D:D,MATCH(B293,'MTA 28-09'!A:A,0))</f>
        <v>2048</v>
      </c>
      <c r="E293" s="32" t="str">
        <f t="array" ref="E293">INDEX('MTA 28-09'!F:F,MATCH(B293,'MTA 28-09'!A:A,0))</f>
        <v>ATENDIDO</v>
      </c>
      <c r="F293" s="294">
        <f t="array" ref="F293">INDEX('MTA 28-09'!I:I,MATCH(B293,'MTA 28-09'!A:A,0))</f>
        <v>46191</v>
      </c>
      <c r="G293" s="36" t="str">
        <f t="array" ref="G293">INDEX('MTA 28-09'!J:J,MATCH(B293,'MTA 28-09'!A:A,0))</f>
        <v>C26138</v>
      </c>
      <c r="H293" s="37" t="s">
        <v>1582</v>
      </c>
      <c r="I293" s="38"/>
      <c r="J293" s="39"/>
      <c r="K293" s="40"/>
      <c r="L293" s="39" t="str">
        <f t="array" ref="L293">INDEX('MTA 28-09'!S:S,MATCH(B293,'MTA 28-09'!A:A,0))</f>
        <v>A-29</v>
      </c>
      <c r="M293" s="32" t="str">
        <f t="array" ref="M293">INDEX('MTA 28-09'!T:T,MATCH(B293,'MTA 28-09'!A:A,0))</f>
        <v>CTT 102/CELOG-PAMALS/2023 – EMBRAER - PSLI</v>
      </c>
      <c r="N293" s="32" t="str">
        <f t="array" ref="N293">INDEX('MTA 28-09'!U:U,MATCH(B293,'MTA 28-09'!A:A,0))</f>
        <v>Hora de Voo 05/10 - 1000 HV</v>
      </c>
      <c r="O293" s="59">
        <f t="array" ref="O293">INDEX('MTA 28-09'!AC:AC,MATCH(B293,'MTA 28-09'!A:A,0))</f>
        <v>4072680</v>
      </c>
      <c r="P293" s="32" t="str">
        <f t="array" ref="P293">INDEX('MTA 28-09'!N:N,MATCH(B293,'MTA 28-09'!A:A,0))</f>
        <v>CELOG</v>
      </c>
      <c r="Q293" s="67" t="str">
        <f t="array" ref="Q293">INDEX('MTA 28-09'!Z:Z,MATCH(B293,'MTA 28-09'!A:A,0))</f>
        <v>339039</v>
      </c>
      <c r="R293" s="32" t="str">
        <f t="array" ref="R293">INDEX('MTA 28-09'!L:L,MATCH(B293,'MTA 28-09'!A:A,0))</f>
        <v>A</v>
      </c>
      <c r="S293" s="72" t="str">
        <f t="array" ref="S293">INDEX('MTA 28-09'!X:X,MATCH(B293,'MTA 28-09'!A:A,0))</f>
        <v>HORA DE VOO</v>
      </c>
      <c r="T293" s="72" t="str">
        <f t="array" ref="T293">INDEX('MTA 28-09'!W:W,MATCH(B293,'MTA 28-09'!A:A,0))</f>
        <v>Não</v>
      </c>
      <c r="U293" s="81">
        <f t="array" ref="U293">INDEX('MTA 28-09'!AE:AE,MATCH(B293,'MTA 28-09'!A:A,0))</f>
        <v>46260</v>
      </c>
      <c r="V293" s="12"/>
      <c r="W293" s="12"/>
      <c r="X293" s="12"/>
      <c r="Y293" s="12"/>
      <c r="Z293" s="12"/>
      <c r="AA293" s="12"/>
      <c r="AB293" s="12"/>
      <c r="AC293" s="12"/>
      <c r="AD293" s="12"/>
      <c r="AE293" s="12"/>
      <c r="AF293" s="12"/>
      <c r="AG293" s="12"/>
      <c r="AH293" s="12"/>
      <c r="AI293" s="12"/>
      <c r="AJ293" s="12"/>
      <c r="AK293" s="12"/>
      <c r="AL293" s="12"/>
      <c r="AM293" s="12"/>
    </row>
    <row r="294">
      <c r="A294" s="88" t="s">
        <v>49</v>
      </c>
      <c r="B294" s="98">
        <v>14700.0</v>
      </c>
      <c r="C294" s="92" t="str">
        <f t="array" ref="C294">INDEX('MTA 28-09'!B:B,MATCH(B294,'MTA 28-09'!A:A,0))</f>
        <v>SIM</v>
      </c>
      <c r="D294" s="95" t="str">
        <f t="array" ref="D294">INDEX('MTA 28-09'!D:D,MATCH(B294,'MTA 28-09'!A:A,0))</f>
        <v>20XV SUP</v>
      </c>
      <c r="E294" s="98" t="str">
        <f t="array" ref="E294">INDEX('MTA 28-09'!F:F,MATCH(B294,'MTA 28-09'!A:A,0))</f>
        <v>ATENDIDO</v>
      </c>
      <c r="F294" s="99">
        <f t="array" ref="F294">INDEX('MTA 28-09'!I:I,MATCH(B294,'MTA 28-09'!A:A,0))</f>
        <v>46160</v>
      </c>
      <c r="G294" s="100" t="str">
        <f t="array" ref="G294">INDEX('MTA 28-09'!J:J,MATCH(B294,'MTA 28-09'!A:A,0))</f>
        <v>C26152</v>
      </c>
      <c r="H294" s="159" t="s">
        <v>157</v>
      </c>
      <c r="I294" s="90"/>
      <c r="J294" s="102"/>
      <c r="K294" s="103"/>
      <c r="L294" s="102" t="str">
        <f t="array" ref="L294">INDEX('MTA 28-09'!S:S,MATCH(B294,'MTA 28-09'!A:A,0))</f>
        <v>IU-93M</v>
      </c>
      <c r="M294" s="98" t="str">
        <f t="array" ref="M294">INDEX('MTA 28-09'!T:T,MATCH(B294,'MTA 28-09'!A:A,0))</f>
        <v>CNT 024/CELOG-PAMALS/2022 - VEE ONE</v>
      </c>
      <c r="N294" s="98" t="str">
        <f t="array" ref="N294">INDEX('MTA 28-09'!U:U,MATCH(B294,'MTA 28-09'!A:A,0))</f>
        <v>Hora de Voo 06/12 (100HV)</v>
      </c>
      <c r="O294" s="104">
        <f t="array" ref="O294">INDEX('MTA 28-09'!AC:AC,MATCH(B294,'MTA 28-09'!A:A,0))</f>
        <v>1892821</v>
      </c>
      <c r="P294" s="98" t="str">
        <f t="array" ref="P294">INDEX('MTA 28-09'!N:N,MATCH(B294,'MTA 28-09'!A:A,0))</f>
        <v>CELOG</v>
      </c>
      <c r="Q294" s="105" t="str">
        <f t="array" ref="Q294">INDEX('MTA 28-09'!Z:Z,MATCH(B294,'MTA 28-09'!A:A,0))</f>
        <v>339039</v>
      </c>
      <c r="R294" s="98" t="str">
        <f t="array" ref="R294">INDEX('MTA 28-09'!L:L,MATCH(B294,'MTA 28-09'!A:A,0))</f>
        <v>A</v>
      </c>
      <c r="S294" s="107" t="str">
        <f t="array" ref="S294">INDEX('MTA 28-09'!X:X,MATCH(B294,'MTA 28-09'!A:A,0))</f>
        <v>HORA DE VOO</v>
      </c>
      <c r="T294" s="107" t="str">
        <f t="array" ref="T294">INDEX('MTA 28-09'!W:W,MATCH(B294,'MTA 28-09'!A:A,0))</f>
        <v>Não</v>
      </c>
      <c r="U294" s="109">
        <f t="array" ref="U294">INDEX('MTA 28-09'!AE:AE,MATCH(B294,'MTA 28-09'!A:A,0))</f>
        <v>46260</v>
      </c>
      <c r="V294" s="29"/>
      <c r="W294" s="29"/>
      <c r="X294" s="29"/>
      <c r="Y294" s="29"/>
      <c r="Z294" s="29"/>
      <c r="AA294" s="29"/>
      <c r="AB294" s="29"/>
      <c r="AC294" s="29"/>
      <c r="AD294" s="29"/>
      <c r="AE294" s="29"/>
      <c r="AF294" s="29"/>
      <c r="AG294" s="29"/>
      <c r="AH294" s="29"/>
      <c r="AI294" s="29"/>
      <c r="AJ294" s="29"/>
      <c r="AK294" s="29"/>
      <c r="AL294" s="29"/>
      <c r="AM294" s="29"/>
    </row>
    <row r="295">
      <c r="A295" s="31" t="s">
        <v>46</v>
      </c>
      <c r="B295" s="32">
        <v>14720.0</v>
      </c>
      <c r="C295" s="33" t="str">
        <f t="array" ref="C295">INDEX('MTA 28-09'!B:B,MATCH(B295,'MTA 28-09'!A:A,0))</f>
        <v>SIM</v>
      </c>
      <c r="D295" s="34">
        <f t="array" ref="D295">INDEX('MTA 28-09'!D:D,MATCH(B295,'MTA 28-09'!A:A,0))</f>
        <v>2048</v>
      </c>
      <c r="E295" s="32" t="str">
        <f t="array" ref="E295">INDEX('MTA 28-09'!F:F,MATCH(B295,'MTA 28-09'!A:A,0))</f>
        <v>ATENDIDO</v>
      </c>
      <c r="F295" s="155">
        <f t="array" ref="F295">INDEX('MTA 28-09'!I:I,MATCH(B295,'MTA 28-09'!A:A,0))</f>
        <v>46099</v>
      </c>
      <c r="G295" s="36" t="str">
        <f t="array" ref="G295">INDEX('MTA 28-09'!J:J,MATCH(B295,'MTA 28-09'!A:A,0))</f>
        <v>C26165</v>
      </c>
      <c r="H295" s="287" t="s">
        <v>157</v>
      </c>
      <c r="I295" s="295"/>
      <c r="J295" s="39"/>
      <c r="K295" s="40"/>
      <c r="L295" s="39" t="str">
        <f t="array" ref="L295">INDEX('MTA 28-09'!S:S,MATCH(B295,'MTA 28-09'!A:A,0))</f>
        <v>T-27</v>
      </c>
      <c r="M295" s="32" t="str">
        <f t="array" ref="M295">INDEX('MTA 28-09'!T:T,MATCH(B295,'MTA 28-09'!A:A,0))</f>
        <v>CNT 048/CELOG-PAMASP/2022 - PW - Material</v>
      </c>
      <c r="N295" s="32" t="str">
        <f t="array" ref="N295">INDEX('MTA 28-09'!U:U,MATCH(B295,'MTA 28-09'!A:A,0))</f>
        <v>Material HSI PT6A-25C (2/7)</v>
      </c>
      <c r="O295" s="59">
        <f t="array" ref="O295">INDEX('MTA 28-09'!AC:AC,MATCH(B295,'MTA 28-09'!A:A,0))</f>
        <v>750000</v>
      </c>
      <c r="P295" s="32" t="str">
        <f t="array" ref="P295">INDEX('MTA 28-09'!N:N,MATCH(B295,'MTA 28-09'!A:A,0))</f>
        <v>CELOG</v>
      </c>
      <c r="Q295" s="67" t="str">
        <f t="array" ref="Q295">INDEX('MTA 28-09'!Z:Z,MATCH(B295,'MTA 28-09'!A:A,0))</f>
        <v>339030</v>
      </c>
      <c r="R295" s="32" t="str">
        <f t="array" ref="R295">INDEX('MTA 28-09'!L:L,MATCH(B295,'MTA 28-09'!A:A,0))</f>
        <v>A</v>
      </c>
      <c r="S295" s="72" t="str">
        <f t="array" ref="S295">INDEX('MTA 28-09'!X:X,MATCH(B295,'MTA 28-09'!A:A,0))</f>
        <v>SOB DEMANDA</v>
      </c>
      <c r="T295" s="72" t="str">
        <f t="array" ref="T295">INDEX('MTA 28-09'!W:W,MATCH(B295,'MTA 28-09'!A:A,0))</f>
        <v>SIM</v>
      </c>
      <c r="U295" s="81">
        <f t="array" ref="U295">INDEX('MTA 28-09'!AE:AE,MATCH(B295,'MTA 28-09'!A:A,0))</f>
        <v>46260</v>
      </c>
      <c r="V295" s="12"/>
      <c r="W295" s="12"/>
      <c r="X295" s="12"/>
      <c r="Y295" s="12"/>
      <c r="Z295" s="12"/>
      <c r="AA295" s="12"/>
      <c r="AB295" s="12"/>
      <c r="AC295" s="12"/>
      <c r="AD295" s="12"/>
      <c r="AE295" s="12"/>
      <c r="AF295" s="12"/>
      <c r="AG295" s="12"/>
      <c r="AH295" s="12"/>
      <c r="AI295" s="12"/>
      <c r="AJ295" s="12"/>
      <c r="AK295" s="12"/>
      <c r="AL295" s="12"/>
      <c r="AM295" s="12"/>
    </row>
    <row r="296">
      <c r="A296" s="88" t="s">
        <v>46</v>
      </c>
      <c r="B296" s="98">
        <v>14740.0</v>
      </c>
      <c r="C296" s="92" t="str">
        <f t="array" ref="C296">INDEX('MTA 28-09'!B:B,MATCH(B296,'MTA 28-09'!A:A,0))</f>
        <v>SIM</v>
      </c>
      <c r="D296" s="95">
        <f t="array" ref="D296">INDEX('MTA 28-09'!D:D,MATCH(B296,'MTA 28-09'!A:A,0))</f>
        <v>2048</v>
      </c>
      <c r="E296" s="98" t="str">
        <f t="array" ref="E296">INDEX('MTA 28-09'!F:F,MATCH(B296,'MTA 28-09'!A:A,0))</f>
        <v>ATENDIDO</v>
      </c>
      <c r="F296" s="152">
        <f t="array" ref="F296">INDEX('MTA 28-09'!I:I,MATCH(B296,'MTA 28-09'!A:A,0))</f>
        <v>46073</v>
      </c>
      <c r="G296" s="100" t="str">
        <f t="array" ref="G296">INDEX('MTA 28-09'!J:J,MATCH(B296,'MTA 28-09'!A:A,0))</f>
        <v>C26038</v>
      </c>
      <c r="H296" s="159" t="s">
        <v>157</v>
      </c>
      <c r="I296" s="296"/>
      <c r="J296" s="102"/>
      <c r="K296" s="103"/>
      <c r="L296" s="102" t="str">
        <f t="array" ref="L296">INDEX('MTA 28-09'!S:S,MATCH(B296,'MTA 28-09'!A:A,0))</f>
        <v>T-27</v>
      </c>
      <c r="M296" s="98" t="str">
        <f t="array" ref="M296">INDEX('MTA 28-09'!T:T,MATCH(B296,'MTA 28-09'!A:A,0))</f>
        <v>REQUISIÇÃO SERVIÇO</v>
      </c>
      <c r="N296" s="98" t="str">
        <f t="array" ref="N296">INDEX('MTA 28-09'!U:U,MATCH(B296,'MTA 28-09'!A:A,0))</f>
        <v>Reparo de CTVR 2 EA (1/2)</v>
      </c>
      <c r="O296" s="104">
        <f t="array" ref="O296">INDEX('MTA 28-09'!AC:AC,MATCH(B296,'MTA 28-09'!A:A,0))</f>
        <v>96786</v>
      </c>
      <c r="P296" s="98" t="str">
        <f t="array" ref="P296">INDEX('MTA 28-09'!N:N,MATCH(B296,'MTA 28-09'!A:A,0))</f>
        <v>CABW</v>
      </c>
      <c r="Q296" s="105" t="str">
        <f t="array" ref="Q296">INDEX('MTA 28-09'!Z:Z,MATCH(B296,'MTA 28-09'!A:A,0))</f>
        <v>339039</v>
      </c>
      <c r="R296" s="98" t="str">
        <f t="array" ref="R296">INDEX('MTA 28-09'!L:L,MATCH(B296,'MTA 28-09'!A:A,0))</f>
        <v>A</v>
      </c>
      <c r="S296" s="107" t="str">
        <f t="array" ref="S296">INDEX('MTA 28-09'!X:X,MATCH(B296,'MTA 28-09'!A:A,0))</f>
        <v>REQUISIÇÃO</v>
      </c>
      <c r="T296" s="107" t="str">
        <f t="array" ref="T296">INDEX('MTA 28-09'!W:W,MATCH(B296,'MTA 28-09'!A:A,0))</f>
        <v>SIM</v>
      </c>
      <c r="U296" s="109">
        <f t="array" ref="U296">INDEX('MTA 28-09'!AE:AE,MATCH(B296,'MTA 28-09'!A:A,0))</f>
        <v>46321</v>
      </c>
      <c r="V296" s="29"/>
      <c r="W296" s="29"/>
      <c r="X296" s="29"/>
      <c r="Y296" s="29"/>
      <c r="Z296" s="29"/>
      <c r="AA296" s="29"/>
      <c r="AB296" s="29"/>
      <c r="AC296" s="29"/>
      <c r="AD296" s="29"/>
      <c r="AE296" s="29"/>
      <c r="AF296" s="29"/>
      <c r="AG296" s="29"/>
      <c r="AH296" s="29"/>
      <c r="AI296" s="29"/>
      <c r="AJ296" s="29"/>
      <c r="AK296" s="29"/>
      <c r="AL296" s="29"/>
      <c r="AM296" s="29"/>
    </row>
    <row r="297">
      <c r="A297" s="31" t="s">
        <v>46</v>
      </c>
      <c r="B297" s="32">
        <v>14760.0</v>
      </c>
      <c r="C297" s="33" t="str">
        <f t="array" ref="C297">INDEX('MTA 28-09'!B:B,MATCH(B297,'MTA 28-09'!A:A,0))</f>
        <v>SIM</v>
      </c>
      <c r="D297" s="34">
        <f t="array" ref="D297">INDEX('MTA 28-09'!D:D,MATCH(B297,'MTA 28-09'!A:A,0))</f>
        <v>2048</v>
      </c>
      <c r="E297" s="32" t="str">
        <f t="array" ref="E297">INDEX('MTA 28-09'!F:F,MATCH(B297,'MTA 28-09'!A:A,0))</f>
        <v>CANCELADO</v>
      </c>
      <c r="F297" s="137" t="str">
        <f t="array" ref="F297">INDEX('MTA 28-09'!I:I,MATCH(B297,'MTA 28-09'!A:A,0))</f>
        <v/>
      </c>
      <c r="G297" s="36" t="str">
        <f t="array" ref="G297">INDEX('MTA 28-09'!J:J,MATCH(B297,'MTA 28-09'!A:A,0))</f>
        <v/>
      </c>
      <c r="H297" s="287" t="s">
        <v>157</v>
      </c>
      <c r="I297" s="295"/>
      <c r="J297" s="39"/>
      <c r="K297" s="40"/>
      <c r="L297" s="39" t="str">
        <f t="array" ref="L297">INDEX('MTA 28-09'!S:S,MATCH(B297,'MTA 28-09'!A:A,0))</f>
        <v>T-27</v>
      </c>
      <c r="M297" s="32" t="str">
        <f t="array" ref="M297">INDEX('MTA 28-09'!T:T,MATCH(B297,'MTA 28-09'!A:A,0))</f>
        <v>REQUISIÇÃO SERVIÇO</v>
      </c>
      <c r="N297" s="32" t="str">
        <f t="array" ref="N297">INDEX('MTA 28-09'!U:U,MATCH(B297,'MTA 28-09'!A:A,0))</f>
        <v>Reparo de PTVR 3 EA (1/2)</v>
      </c>
      <c r="O297" s="59" t="str">
        <f t="array" ref="O297">INDEX('MTA 28-09'!AC:AC,MATCH(B297,'MTA 28-09'!A:A,0))</f>
        <v> -</v>
      </c>
      <c r="P297" s="32" t="str">
        <f t="array" ref="P297">INDEX('MTA 28-09'!N:N,MATCH(B297,'MTA 28-09'!A:A,0))</f>
        <v>CABW</v>
      </c>
      <c r="Q297" s="67" t="str">
        <f t="array" ref="Q297">INDEX('MTA 28-09'!Z:Z,MATCH(B297,'MTA 28-09'!A:A,0))</f>
        <v>339039</v>
      </c>
      <c r="R297" s="32" t="str">
        <f t="array" ref="R297">INDEX('MTA 28-09'!L:L,MATCH(B297,'MTA 28-09'!A:A,0))</f>
        <v>A</v>
      </c>
      <c r="S297" s="72" t="str">
        <f t="array" ref="S297">INDEX('MTA 28-09'!X:X,MATCH(B297,'MTA 28-09'!A:A,0))</f>
        <v>REQUISIÇÃO</v>
      </c>
      <c r="T297" s="72" t="str">
        <f t="array" ref="T297">INDEX('MTA 28-09'!W:W,MATCH(B297,'MTA 28-09'!A:A,0))</f>
        <v>SIM</v>
      </c>
      <c r="U297" s="81">
        <f t="array" ref="U297">INDEX('MTA 28-09'!AE:AE,MATCH(B297,'MTA 28-09'!A:A,0))</f>
        <v>46200</v>
      </c>
      <c r="V297" s="12"/>
      <c r="W297" s="12"/>
      <c r="X297" s="12"/>
      <c r="Y297" s="12"/>
      <c r="Z297" s="12"/>
      <c r="AA297" s="12"/>
      <c r="AB297" s="12"/>
      <c r="AC297" s="12"/>
      <c r="AD297" s="12"/>
      <c r="AE297" s="12"/>
      <c r="AF297" s="12"/>
      <c r="AG297" s="12"/>
      <c r="AH297" s="12"/>
      <c r="AI297" s="12"/>
      <c r="AJ297" s="12"/>
      <c r="AK297" s="12"/>
      <c r="AL297" s="12"/>
      <c r="AM297" s="12"/>
    </row>
    <row r="298">
      <c r="A298" s="88" t="s">
        <v>43</v>
      </c>
      <c r="B298" s="98">
        <v>14780.0</v>
      </c>
      <c r="C298" s="92" t="str">
        <f t="array" ref="C298">INDEX('MTA 28-09'!B:B,MATCH(B298,'MTA 28-09'!A:A,0))</f>
        <v>SIM</v>
      </c>
      <c r="D298" s="95">
        <f t="array" ref="D298">INDEX('MTA 28-09'!D:D,MATCH(B298,'MTA 28-09'!A:A,0))</f>
        <v>2048</v>
      </c>
      <c r="E298" s="98" t="str">
        <f t="array" ref="E298">INDEX('MTA 28-09'!F:F,MATCH(B298,'MTA 28-09'!A:A,0))</f>
        <v>ATENDIDO</v>
      </c>
      <c r="F298" s="152">
        <f t="array" ref="F298">INDEX('MTA 28-09'!I:I,MATCH(B298,'MTA 28-09'!A:A,0))</f>
        <v>46098</v>
      </c>
      <c r="G298" s="100" t="str">
        <f t="array" ref="G298">INDEX('MTA 28-09'!J:J,MATCH(B298,'MTA 28-09'!A:A,0))</f>
        <v>C26162</v>
      </c>
      <c r="H298" s="101" t="s">
        <v>154</v>
      </c>
      <c r="I298" s="90"/>
      <c r="J298" s="102"/>
      <c r="K298" s="103"/>
      <c r="L298" s="102" t="str">
        <f t="array" ref="L298">INDEX('MTA 28-09'!S:S,MATCH(B298,'MTA 28-09'!A:A,0))</f>
        <v>C-95M</v>
      </c>
      <c r="M298" s="98" t="str">
        <f t="array" ref="M298">INDEX('MTA 28-09'!T:T,MATCH(B298,'MTA 28-09'!A:A,0))</f>
        <v>CNT 006/CELOG-PAMASP/2026 - PW - RG</v>
      </c>
      <c r="N298" s="98" t="str">
        <f t="array" ref="N298">INDEX('MTA 28-09'!U:U,MATCH(B298,'MTA 28-09'!A:A,0))</f>
        <v>Revisão Geral PT6A-34 (3/12)</v>
      </c>
      <c r="O298" s="104">
        <f t="array" ref="O298">INDEX('MTA 28-09'!AC:AC,MATCH(B298,'MTA 28-09'!A:A,0))</f>
        <v>3800000</v>
      </c>
      <c r="P298" s="98" t="str">
        <f t="array" ref="P298">INDEX('MTA 28-09'!N:N,MATCH(B298,'MTA 28-09'!A:A,0))</f>
        <v>CELOG</v>
      </c>
      <c r="Q298" s="105" t="str">
        <f t="array" ref="Q298">INDEX('MTA 28-09'!Z:Z,MATCH(B298,'MTA 28-09'!A:A,0))</f>
        <v>339039</v>
      </c>
      <c r="R298" s="98" t="str">
        <f t="array" ref="R298">INDEX('MTA 28-09'!L:L,MATCH(B298,'MTA 28-09'!A:A,0))</f>
        <v>A</v>
      </c>
      <c r="S298" s="107" t="str">
        <f t="array" ref="S298">INDEX('MTA 28-09'!X:X,MATCH(B298,'MTA 28-09'!A:A,0))</f>
        <v>SOB DEMANDA</v>
      </c>
      <c r="T298" s="107" t="str">
        <f t="array" ref="T298">INDEX('MTA 28-09'!W:W,MATCH(B298,'MTA 28-09'!A:A,0))</f>
        <v>SIM</v>
      </c>
      <c r="U298" s="109">
        <f t="array" ref="U298">INDEX('MTA 28-09'!AE:AE,MATCH(B298,'MTA 28-09'!A:A,0))</f>
        <v>46291</v>
      </c>
      <c r="V298" s="29"/>
      <c r="W298" s="29"/>
      <c r="X298" s="29"/>
      <c r="Y298" s="29"/>
      <c r="Z298" s="29"/>
      <c r="AA298" s="29"/>
      <c r="AB298" s="29"/>
      <c r="AC298" s="29"/>
      <c r="AD298" s="29"/>
      <c r="AE298" s="29"/>
      <c r="AF298" s="29"/>
      <c r="AG298" s="29"/>
      <c r="AH298" s="29"/>
      <c r="AI298" s="29"/>
      <c r="AJ298" s="29"/>
      <c r="AK298" s="29"/>
      <c r="AL298" s="29"/>
      <c r="AM298" s="29"/>
    </row>
    <row r="299">
      <c r="A299" s="31" t="s">
        <v>43</v>
      </c>
      <c r="B299" s="32">
        <v>14800.0</v>
      </c>
      <c r="C299" s="33" t="str">
        <f t="array" ref="C299">INDEX('MTA 28-09'!B:B,MATCH(B299,'MTA 28-09'!A:A,0))</f>
        <v>SIM</v>
      </c>
      <c r="D299" s="34">
        <f t="array" ref="D299">INDEX('MTA 28-09'!D:D,MATCH(B299,'MTA 28-09'!A:A,0))</f>
        <v>2048</v>
      </c>
      <c r="E299" s="32" t="str">
        <f t="array" ref="E299">INDEX('MTA 28-09'!F:F,MATCH(B299,'MTA 28-09'!A:A,0))</f>
        <v>CANCELADO</v>
      </c>
      <c r="F299" s="137" t="str">
        <f t="array" ref="F299">INDEX('MTA 28-09'!I:I,MATCH(B299,'MTA 28-09'!A:A,0))</f>
        <v/>
      </c>
      <c r="G299" s="36" t="str">
        <f t="array" ref="G299">INDEX('MTA 28-09'!J:J,MATCH(B299,'MTA 28-09'!A:A,0))</f>
        <v/>
      </c>
      <c r="H299" s="287" t="s">
        <v>157</v>
      </c>
      <c r="I299" s="295"/>
      <c r="J299" s="39"/>
      <c r="K299" s="40"/>
      <c r="L299" s="39" t="str">
        <f t="array" ref="L299">INDEX('MTA 28-09'!S:S,MATCH(B299,'MTA 28-09'!A:A,0))</f>
        <v>C-95M</v>
      </c>
      <c r="M299" s="32" t="str">
        <f t="array" ref="M299">INDEX('MTA 28-09'!T:T,MATCH(B299,'MTA 28-09'!A:A,0))</f>
        <v>Requisição CABW</v>
      </c>
      <c r="N299" s="32" t="str">
        <f t="array" ref="N299">INDEX('MTA 28-09'!U:U,MATCH(B299,'MTA 28-09'!A:A,0))</f>
        <v>Material reparo acessórios PT6A-34 (2/3)</v>
      </c>
      <c r="O299" s="59" t="str">
        <f t="array" ref="O299">INDEX('MTA 28-09'!AC:AC,MATCH(B299,'MTA 28-09'!A:A,0))</f>
        <v> -</v>
      </c>
      <c r="P299" s="32" t="str">
        <f t="array" ref="P299">INDEX('MTA 28-09'!N:N,MATCH(B299,'MTA 28-09'!A:A,0))</f>
        <v>CABW</v>
      </c>
      <c r="Q299" s="67" t="str">
        <f t="array" ref="Q299">INDEX('MTA 28-09'!Z:Z,MATCH(B299,'MTA 28-09'!A:A,0))</f>
        <v>339030</v>
      </c>
      <c r="R299" s="32" t="str">
        <f t="array" ref="R299">INDEX('MTA 28-09'!L:L,MATCH(B299,'MTA 28-09'!A:A,0))</f>
        <v>A</v>
      </c>
      <c r="S299" s="72" t="str">
        <f t="array" ref="S299">INDEX('MTA 28-09'!X:X,MATCH(B299,'MTA 28-09'!A:A,0))</f>
        <v>REQUISIÇÃO</v>
      </c>
      <c r="T299" s="72" t="str">
        <f t="array" ref="T299">INDEX('MTA 28-09'!W:W,MATCH(B299,'MTA 28-09'!A:A,0))</f>
        <v>SIM</v>
      </c>
      <c r="U299" s="81">
        <f t="array" ref="U299">INDEX('MTA 28-09'!AE:AE,MATCH(B299,'MTA 28-09'!A:A,0))</f>
        <v>46049</v>
      </c>
      <c r="V299" s="12"/>
      <c r="W299" s="12"/>
      <c r="X299" s="12"/>
      <c r="Y299" s="12"/>
      <c r="Z299" s="12"/>
      <c r="AA299" s="12"/>
      <c r="AB299" s="12"/>
      <c r="AC299" s="12"/>
      <c r="AD299" s="12"/>
      <c r="AE299" s="12"/>
      <c r="AF299" s="12"/>
      <c r="AG299" s="12"/>
      <c r="AH299" s="12"/>
      <c r="AI299" s="12"/>
      <c r="AJ299" s="12"/>
      <c r="AK299" s="12"/>
      <c r="AL299" s="12"/>
      <c r="AM299" s="12"/>
    </row>
    <row r="300">
      <c r="A300" s="88" t="s">
        <v>99</v>
      </c>
      <c r="B300" s="98">
        <v>14820.0</v>
      </c>
      <c r="C300" s="92" t="str">
        <f t="array" ref="C300">INDEX('MTA 28-09'!B:B,MATCH(B300,'MTA 28-09'!A:A,0))</f>
        <v>SIM</v>
      </c>
      <c r="D300" s="95">
        <f t="array" ref="D300">INDEX('MTA 28-09'!D:D,MATCH(B300,'MTA 28-09'!A:A,0))</f>
        <v>2048</v>
      </c>
      <c r="E300" s="98" t="str">
        <f t="array" ref="E300">INDEX('MTA 28-09'!F:F,MATCH(B300,'MTA 28-09'!A:A,0))</f>
        <v>ATENDIDO</v>
      </c>
      <c r="F300" s="99">
        <f t="array" ref="F300">INDEX('MTA 28-09'!I:I,MATCH(B300,'MTA 28-09'!A:A,0))</f>
        <v>46265</v>
      </c>
      <c r="G300" s="100" t="str">
        <f t="array" ref="G300">INDEX('MTA 28-09'!J:J,MATCH(B300,'MTA 28-09'!A:A,0))</f>
        <v>C26146</v>
      </c>
      <c r="H300" s="159" t="s">
        <v>157</v>
      </c>
      <c r="I300" s="90"/>
      <c r="J300" s="102"/>
      <c r="K300" s="103"/>
      <c r="L300" s="102" t="str">
        <f t="array" ref="L300">INDEX('MTA 28-09'!S:S,MATCH(B300,'MTA 28-09'!A:A,0))</f>
        <v>APOIO</v>
      </c>
      <c r="M300" s="98" t="str">
        <f t="array" ref="M300">INDEX('MTA 28-09'!T:T,MATCH(B300,'MTA 28-09'!A:A,0))</f>
        <v>MANUTENÇÂO DAS INSTALAÇÕES</v>
      </c>
      <c r="N300" s="98" t="str">
        <f t="array" ref="N300">INDEX('MTA 28-09'!U:U,MATCH(B300,'MTA 28-09'!A:A,0))</f>
        <v>INFRAESTRUTURA - READEQUAÇÂO DAS INSTALAÇÕES ELETRICAS DO HANGAR DA TOFI</v>
      </c>
      <c r="O300" s="104">
        <f t="array" ref="O300">INDEX('MTA 28-09'!AC:AC,MATCH(B300,'MTA 28-09'!A:A,0))</f>
        <v>100429.8</v>
      </c>
      <c r="P300" s="98" t="str">
        <f t="array" ref="P300">INDEX('MTA 28-09'!N:N,MATCH(B300,'MTA 28-09'!A:A,0))</f>
        <v>GAP-LS</v>
      </c>
      <c r="Q300" s="105" t="str">
        <f t="array" ref="Q300">INDEX('MTA 28-09'!Z:Z,MATCH(B300,'MTA 28-09'!A:A,0))</f>
        <v>339039</v>
      </c>
      <c r="R300" s="98" t="str">
        <f t="array" ref="R300">INDEX('MTA 28-09'!L:L,MATCH(B300,'MTA 28-09'!A:A,0))</f>
        <v>A</v>
      </c>
      <c r="S300" s="107" t="str">
        <f t="array" ref="S300">INDEX('MTA 28-09'!X:X,MATCH(B300,'MTA 28-09'!A:A,0))</f>
        <v>REQUISIÇÃO</v>
      </c>
      <c r="T300" s="107" t="str">
        <f t="array" ref="T300">INDEX('MTA 28-09'!W:W,MATCH(B300,'MTA 28-09'!A:A,0))</f>
        <v>NÃO</v>
      </c>
      <c r="U300" s="109">
        <f t="array" ref="U300">INDEX('MTA 28-09'!AE:AE,MATCH(B300,'MTA 28-09'!A:A,0))</f>
        <v>46291</v>
      </c>
      <c r="V300" s="29"/>
      <c r="W300" s="29"/>
      <c r="X300" s="29"/>
      <c r="Y300" s="29"/>
      <c r="Z300" s="29"/>
      <c r="AA300" s="29"/>
      <c r="AB300" s="29"/>
      <c r="AC300" s="29"/>
      <c r="AD300" s="29"/>
      <c r="AE300" s="29"/>
      <c r="AF300" s="29"/>
      <c r="AG300" s="29"/>
      <c r="AH300" s="29"/>
      <c r="AI300" s="29"/>
      <c r="AJ300" s="29"/>
      <c r="AK300" s="29"/>
      <c r="AL300" s="29"/>
      <c r="AM300" s="29"/>
    </row>
    <row r="301">
      <c r="A301" s="31" t="s">
        <v>99</v>
      </c>
      <c r="B301" s="38">
        <v>14821.0</v>
      </c>
      <c r="C301" s="33" t="str">
        <f t="array" ref="C301">INDEX('MTA 28-09'!B:B,MATCH(B301,'MTA 28-09'!A:A,0))</f>
        <v>SIM</v>
      </c>
      <c r="D301" s="34">
        <f t="array" ref="D301">INDEX('MTA 28-09'!D:D,MATCH(B301,'MTA 28-09'!A:A,0))</f>
        <v>2048</v>
      </c>
      <c r="E301" s="32" t="str">
        <f t="array" ref="E301">INDEX('MTA 28-09'!F:F,MATCH(B301,'MTA 28-09'!A:A,0))</f>
        <v>ATENDIDO</v>
      </c>
      <c r="F301" s="155">
        <f t="array" ref="F301">INDEX('MTA 28-09'!I:I,MATCH(B301,'MTA 28-09'!A:A,0))</f>
        <v>46104</v>
      </c>
      <c r="G301" s="36" t="str">
        <f t="array" ref="G301">INDEX('MTA 28-09'!J:J,MATCH(B301,'MTA 28-09'!A:A,0))</f>
        <v>C26249</v>
      </c>
      <c r="H301" s="287" t="s">
        <v>157</v>
      </c>
      <c r="I301" s="295"/>
      <c r="J301" s="39"/>
      <c r="K301" s="40"/>
      <c r="L301" s="39" t="str">
        <f t="array" ref="L301">INDEX('MTA 28-09'!S:S,MATCH(B301,'MTA 28-09'!A:A,0))</f>
        <v>APOIO</v>
      </c>
      <c r="M301" s="32" t="str">
        <f t="array" ref="M301">INDEX('MTA 28-09'!T:T,MATCH(B301,'MTA 28-09'!A:A,0))</f>
        <v>MANUTENÇÂO DAS INSTALAÇÕES</v>
      </c>
      <c r="N301" s="32" t="str">
        <f t="array" ref="N301">INDEX('MTA 28-09'!U:U,MATCH(B301,'MTA 28-09'!A:A,0))</f>
        <v>INFRAESTRUTURA - READEQUAÇÂO DAS INSTALAÇÕES ELETRICAS DO HANGAR DA TOFI</v>
      </c>
      <c r="O301" s="59">
        <f t="array" ref="O301">INDEX('MTA 28-09'!AC:AC,MATCH(B301,'MTA 28-09'!A:A,0))</f>
        <v>27720</v>
      </c>
      <c r="P301" s="32" t="str">
        <f t="array" ref="P301">INDEX('MTA 28-09'!N:N,MATCH(B301,'MTA 28-09'!A:A,0))</f>
        <v>CAE</v>
      </c>
      <c r="Q301" s="67" t="str">
        <f t="array" ref="Q301">INDEX('MTA 28-09'!Z:Z,MATCH(B301,'MTA 28-09'!A:A,0))</f>
        <v>449052</v>
      </c>
      <c r="R301" s="32" t="str">
        <f t="array" ref="R301">INDEX('MTA 28-09'!L:L,MATCH(B301,'MTA 28-09'!A:A,0))</f>
        <v>A</v>
      </c>
      <c r="S301" s="72" t="str">
        <f t="array" ref="S301">INDEX('MTA 28-09'!X:X,MATCH(B301,'MTA 28-09'!A:A,0))</f>
        <v>REQUISIÇÃO</v>
      </c>
      <c r="T301" s="72" t="str">
        <f t="array" ref="T301">INDEX('MTA 28-09'!W:W,MATCH(B301,'MTA 28-09'!A:A,0))</f>
        <v>NÃO</v>
      </c>
      <c r="U301" s="81">
        <f t="array" ref="U301">INDEX('MTA 28-09'!AE:AE,MATCH(B301,'MTA 28-09'!A:A,0))</f>
        <v>46138</v>
      </c>
      <c r="V301" s="12"/>
      <c r="W301" s="12"/>
      <c r="X301" s="12"/>
      <c r="Y301" s="12"/>
      <c r="Z301" s="12"/>
      <c r="AA301" s="12"/>
      <c r="AB301" s="12"/>
      <c r="AC301" s="12"/>
      <c r="AD301" s="12"/>
      <c r="AE301" s="12"/>
      <c r="AF301" s="12"/>
      <c r="AG301" s="12"/>
      <c r="AH301" s="12"/>
      <c r="AI301" s="12"/>
      <c r="AJ301" s="12"/>
      <c r="AK301" s="12"/>
      <c r="AL301" s="12"/>
      <c r="AM301" s="12"/>
    </row>
    <row r="302">
      <c r="A302" s="88" t="s">
        <v>99</v>
      </c>
      <c r="B302" s="90">
        <v>14822.0</v>
      </c>
      <c r="C302" s="92" t="str">
        <f t="array" ref="C302">INDEX('MTA 28-09'!B:B,MATCH(B302,'MTA 28-09'!A:A,0))</f>
        <v>SIM</v>
      </c>
      <c r="D302" s="95">
        <f t="array" ref="D302">INDEX('MTA 28-09'!D:D,MATCH(B302,'MTA 28-09'!A:A,0))</f>
        <v>2048</v>
      </c>
      <c r="E302" s="98" t="str">
        <f t="array" ref="E302">INDEX('MTA 28-09'!F:F,MATCH(B302,'MTA 28-09'!A:A,0))</f>
        <v>ATENDIDO</v>
      </c>
      <c r="F302" s="152">
        <f t="array" ref="F302">INDEX('MTA 28-09'!I:I,MATCH(B302,'MTA 28-09'!A:A,0))</f>
        <v>46163</v>
      </c>
      <c r="G302" s="100" t="str">
        <f t="array" ref="G302">INDEX('MTA 28-09'!J:J,MATCH(B302,'MTA 28-09'!A:A,0))</f>
        <v>C26113</v>
      </c>
      <c r="H302" s="159" t="s">
        <v>157</v>
      </c>
      <c r="I302" s="296"/>
      <c r="J302" s="102"/>
      <c r="K302" s="103"/>
      <c r="L302" s="102" t="str">
        <f t="array" ref="L302">INDEX('MTA 28-09'!S:S,MATCH(B302,'MTA 28-09'!A:A,0))</f>
        <v>APOIO</v>
      </c>
      <c r="M302" s="98" t="str">
        <f t="array" ref="M302">INDEX('MTA 28-09'!T:T,MATCH(B302,'MTA 28-09'!A:A,0))</f>
        <v>MANUTENÇÂO DAS INSTALAÇÕES</v>
      </c>
      <c r="N302" s="98" t="str">
        <f t="array" ref="N302">INDEX('MTA 28-09'!U:U,MATCH(B302,'MTA 28-09'!A:A,0))</f>
        <v>AQUISIÇÃO DE MATERIAL PERMANENTE</v>
      </c>
      <c r="O302" s="104">
        <f t="array" ref="O302">INDEX('MTA 28-09'!AC:AC,MATCH(B302,'MTA 28-09'!A:A,0))</f>
        <v>24068.34</v>
      </c>
      <c r="P302" s="98" t="str">
        <f t="array" ref="P302">INDEX('MTA 28-09'!N:N,MATCH(B302,'MTA 28-09'!A:A,0))</f>
        <v>GAP-LS</v>
      </c>
      <c r="Q302" s="105" t="str">
        <f t="array" ref="Q302">INDEX('MTA 28-09'!Z:Z,MATCH(B302,'MTA 28-09'!A:A,0))</f>
        <v>449052</v>
      </c>
      <c r="R302" s="98" t="str">
        <f t="array" ref="R302">INDEX('MTA 28-09'!L:L,MATCH(B302,'MTA 28-09'!A:A,0))</f>
        <v>A</v>
      </c>
      <c r="S302" s="107" t="str">
        <f t="array" ref="S302">INDEX('MTA 28-09'!X:X,MATCH(B302,'MTA 28-09'!A:A,0))</f>
        <v>REQUISIÇÃO</v>
      </c>
      <c r="T302" s="107" t="str">
        <f t="array" ref="T302">INDEX('MTA 28-09'!W:W,MATCH(B302,'MTA 28-09'!A:A,0))</f>
        <v>NÃO</v>
      </c>
      <c r="U302" s="109">
        <f t="array" ref="U302">INDEX('MTA 28-09'!AE:AE,MATCH(B302,'MTA 28-09'!A:A,0))</f>
        <v>46138</v>
      </c>
      <c r="V302" s="29"/>
      <c r="W302" s="29"/>
      <c r="X302" s="29"/>
      <c r="Y302" s="29"/>
      <c r="Z302" s="29"/>
      <c r="AA302" s="29"/>
      <c r="AB302" s="29"/>
      <c r="AC302" s="29"/>
      <c r="AD302" s="29"/>
      <c r="AE302" s="29"/>
      <c r="AF302" s="29"/>
      <c r="AG302" s="29"/>
      <c r="AH302" s="29"/>
      <c r="AI302" s="29"/>
      <c r="AJ302" s="29"/>
      <c r="AK302" s="29"/>
      <c r="AL302" s="29"/>
      <c r="AM302" s="29"/>
    </row>
    <row r="303">
      <c r="A303" s="31" t="s">
        <v>99</v>
      </c>
      <c r="B303" s="38">
        <v>14823.0</v>
      </c>
      <c r="C303" s="33" t="str">
        <f t="array" ref="C303">INDEX('MTA 28-09'!B:B,MATCH(B303,'MTA 28-09'!A:A,0))</f>
        <v>SIM</v>
      </c>
      <c r="D303" s="34">
        <f t="array" ref="D303">INDEX('MTA 28-09'!D:D,MATCH(B303,'MTA 28-09'!A:A,0))</f>
        <v>2048</v>
      </c>
      <c r="E303" s="32" t="str">
        <f t="array" ref="E303">INDEX('MTA 28-09'!F:F,MATCH(B303,'MTA 28-09'!A:A,0))</f>
        <v>ATENDIDO</v>
      </c>
      <c r="F303" s="155">
        <f t="array" ref="F303">INDEX('MTA 28-09'!I:I,MATCH(B303,'MTA 28-09'!A:A,0))</f>
        <v>46266</v>
      </c>
      <c r="G303" s="36" t="str">
        <f t="array" ref="G303">INDEX('MTA 28-09'!J:J,MATCH(B303,'MTA 28-09'!A:A,0))</f>
        <v>C26116</v>
      </c>
      <c r="H303" s="37" t="s">
        <v>1451</v>
      </c>
      <c r="I303" s="38"/>
      <c r="J303" s="39"/>
      <c r="K303" s="40"/>
      <c r="L303" s="39" t="str">
        <f t="array" ref="L303">INDEX('MTA 28-09'!S:S,MATCH(B303,'MTA 28-09'!A:A,0))</f>
        <v>APOIO</v>
      </c>
      <c r="M303" s="32" t="str">
        <f t="array" ref="M303">INDEX('MTA 28-09'!T:T,MATCH(B303,'MTA 28-09'!A:A,0))</f>
        <v>PREGÃO CELOG - AQUISIÇÃO DE ITENS DE CLASSE GERAL</v>
      </c>
      <c r="N303" s="32" t="str">
        <f t="array" ref="N303">INDEX('MTA 28-09'!U:U,MATCH(B303,'MTA 28-09'!A:A,0))</f>
        <v>AQUISIÇÃO DE MATERIAL PARA OFICINAS INTERNAS, EM ATENDIMENTO AOS DIVERSOS PROJETOS DO PAMALS 4/4</v>
      </c>
      <c r="O303" s="59">
        <f t="array" ref="O303">INDEX('MTA 28-09'!AC:AC,MATCH(B303,'MTA 28-09'!A:A,0))</f>
        <v>27556.01</v>
      </c>
      <c r="P303" s="32" t="str">
        <f t="array" ref="P303">INDEX('MTA 28-09'!N:N,MATCH(B303,'MTA 28-09'!A:A,0))</f>
        <v>AFA</v>
      </c>
      <c r="Q303" s="67" t="str">
        <f t="array" ref="Q303">INDEX('MTA 28-09'!Z:Z,MATCH(B303,'MTA 28-09'!A:A,0))</f>
        <v>339030</v>
      </c>
      <c r="R303" s="32" t="str">
        <f t="array" ref="R303">INDEX('MTA 28-09'!L:L,MATCH(B303,'MTA 28-09'!A:A,0))</f>
        <v>A</v>
      </c>
      <c r="S303" s="72" t="str">
        <f t="array" ref="S303">INDEX('MTA 28-09'!X:X,MATCH(B303,'MTA 28-09'!A:A,0))</f>
        <v>REQUISIÇÃO</v>
      </c>
      <c r="T303" s="72" t="str">
        <f t="array" ref="T303">INDEX('MTA 28-09'!W:W,MATCH(B303,'MTA 28-09'!A:A,0))</f>
        <v>NÃO</v>
      </c>
      <c r="U303" s="81">
        <f t="array" ref="U303">INDEX('MTA 28-09'!AE:AE,MATCH(B303,'MTA 28-09'!A:A,0))</f>
        <v>46291</v>
      </c>
      <c r="V303" s="12"/>
      <c r="W303" s="12"/>
      <c r="X303" s="12"/>
      <c r="Y303" s="12"/>
      <c r="Z303" s="12"/>
      <c r="AA303" s="12"/>
      <c r="AB303" s="12"/>
      <c r="AC303" s="12"/>
      <c r="AD303" s="12"/>
      <c r="AE303" s="12"/>
      <c r="AF303" s="12"/>
      <c r="AG303" s="12"/>
      <c r="AH303" s="12"/>
      <c r="AI303" s="12"/>
      <c r="AJ303" s="12"/>
      <c r="AK303" s="12"/>
      <c r="AL303" s="12"/>
      <c r="AM303" s="12"/>
    </row>
    <row r="304">
      <c r="A304" s="88" t="s">
        <v>99</v>
      </c>
      <c r="B304" s="90">
        <v>14824.0</v>
      </c>
      <c r="C304" s="92" t="str">
        <f t="array" ref="C304">INDEX('MTA 28-09'!B:B,MATCH(B304,'MTA 28-09'!A:A,0))</f>
        <v>SIM</v>
      </c>
      <c r="D304" s="95">
        <f t="array" ref="D304">INDEX('MTA 28-09'!D:D,MATCH(B304,'MTA 28-09'!A:A,0))</f>
        <v>2048</v>
      </c>
      <c r="E304" s="98" t="str">
        <f t="array" ref="E304">INDEX('MTA 28-09'!F:F,MATCH(B304,'MTA 28-09'!A:A,0))</f>
        <v>ATENDIDO</v>
      </c>
      <c r="F304" s="152">
        <f t="array" ref="F304">INDEX('MTA 28-09'!I:I,MATCH(B304,'MTA 28-09'!A:A,0))</f>
        <v>46213</v>
      </c>
      <c r="G304" s="100" t="str">
        <f t="array" ref="G304">INDEX('MTA 28-09'!J:J,MATCH(B304,'MTA 28-09'!A:A,0))</f>
        <v>C26121</v>
      </c>
      <c r="H304" s="101" t="s">
        <v>1451</v>
      </c>
      <c r="I304" s="90"/>
      <c r="J304" s="102"/>
      <c r="K304" s="103"/>
      <c r="L304" s="102" t="str">
        <f t="array" ref="L304">INDEX('MTA 28-09'!S:S,MATCH(B304,'MTA 28-09'!A:A,0))</f>
        <v>APOIO</v>
      </c>
      <c r="M304" s="98" t="str">
        <f t="array" ref="M304">INDEX('MTA 28-09'!T:T,MATCH(B304,'MTA 28-09'!A:A,0))</f>
        <v>PREGÃO CELOG - AQUISIÇÃO DE ITENS DE CLASSE GERAL</v>
      </c>
      <c r="N304" s="98" t="str">
        <f t="array" ref="N304">INDEX('MTA 28-09'!U:U,MATCH(B304,'MTA 28-09'!A:A,0))</f>
        <v>AQUISIÇÃO DE MATERIAL PARA OFICINAS INTERNAS, EM ATENDIMENTO AOS DIVERSOS PROJETOS DO PAMALS 4/4</v>
      </c>
      <c r="O304" s="104">
        <f t="array" ref="O304">INDEX('MTA 28-09'!AC:AC,MATCH(B304,'MTA 28-09'!A:A,0))</f>
        <v>2959.86</v>
      </c>
      <c r="P304" s="98" t="str">
        <f t="array" ref="P304">INDEX('MTA 28-09'!N:N,MATCH(B304,'MTA 28-09'!A:A,0))</f>
        <v>BANT</v>
      </c>
      <c r="Q304" s="105" t="str">
        <f t="array" ref="Q304">INDEX('MTA 28-09'!Z:Z,MATCH(B304,'MTA 28-09'!A:A,0))</f>
        <v>339030</v>
      </c>
      <c r="R304" s="98" t="str">
        <f t="array" ref="R304">INDEX('MTA 28-09'!L:L,MATCH(B304,'MTA 28-09'!A:A,0))</f>
        <v>A</v>
      </c>
      <c r="S304" s="107" t="str">
        <f t="array" ref="S304">INDEX('MTA 28-09'!X:X,MATCH(B304,'MTA 28-09'!A:A,0))</f>
        <v>REQUISIÇÃO</v>
      </c>
      <c r="T304" s="107" t="str">
        <f t="array" ref="T304">INDEX('MTA 28-09'!W:W,MATCH(B304,'MTA 28-09'!A:A,0))</f>
        <v>NÃO</v>
      </c>
      <c r="U304" s="109">
        <f t="array" ref="U304">INDEX('MTA 28-09'!AE:AE,MATCH(B304,'MTA 28-09'!A:A,0))</f>
        <v>46291</v>
      </c>
      <c r="V304" s="29"/>
      <c r="W304" s="29"/>
      <c r="X304" s="29"/>
      <c r="Y304" s="29"/>
      <c r="Z304" s="29"/>
      <c r="AA304" s="29"/>
      <c r="AB304" s="29"/>
      <c r="AC304" s="29"/>
      <c r="AD304" s="29"/>
      <c r="AE304" s="29"/>
      <c r="AF304" s="29"/>
      <c r="AG304" s="29"/>
      <c r="AH304" s="29"/>
      <c r="AI304" s="29"/>
      <c r="AJ304" s="29"/>
      <c r="AK304" s="29"/>
      <c r="AL304" s="29"/>
      <c r="AM304" s="29"/>
    </row>
    <row r="305">
      <c r="A305" s="31" t="s">
        <v>99</v>
      </c>
      <c r="B305" s="38">
        <v>14825.0</v>
      </c>
      <c r="C305" s="33" t="str">
        <f t="array" ref="C305">INDEX('MTA 28-09'!B:B,MATCH(B305,'MTA 28-09'!A:A,0))</f>
        <v>SIM</v>
      </c>
      <c r="D305" s="34">
        <f t="array" ref="D305">INDEX('MTA 28-09'!D:D,MATCH(B305,'MTA 28-09'!A:A,0))</f>
        <v>2048</v>
      </c>
      <c r="E305" s="32" t="str">
        <f t="array" ref="E305">INDEX('MTA 28-09'!F:F,MATCH(B305,'MTA 28-09'!A:A,0))</f>
        <v>ATENDIDO</v>
      </c>
      <c r="F305" s="155">
        <f t="array" ref="F305">INDEX('MTA 28-09'!I:I,MATCH(B305,'MTA 28-09'!A:A,0))</f>
        <v>46238</v>
      </c>
      <c r="G305" s="36" t="str">
        <f t="array" ref="G305">INDEX('MTA 28-09'!J:J,MATCH(B305,'MTA 28-09'!A:A,0))</f>
        <v>C26069</v>
      </c>
      <c r="H305" s="37" t="s">
        <v>1451</v>
      </c>
      <c r="I305" s="38"/>
      <c r="J305" s="39"/>
      <c r="K305" s="40"/>
      <c r="L305" s="39" t="str">
        <f t="array" ref="L305">INDEX('MTA 28-09'!S:S,MATCH(B305,'MTA 28-09'!A:A,0))</f>
        <v>APOIO</v>
      </c>
      <c r="M305" s="32" t="str">
        <f t="array" ref="M305">INDEX('MTA 28-09'!T:T,MATCH(B305,'MTA 28-09'!A:A,0))</f>
        <v>PREGÃO CELOG - AQUISIÇÃO DE ITENS DE CLASSE GERAL</v>
      </c>
      <c r="N305" s="32" t="str">
        <f t="array" ref="N305">INDEX('MTA 28-09'!U:U,MATCH(B305,'MTA 28-09'!A:A,0))</f>
        <v>AQUISIÇÃO DE MATERIAL PARA OFICINAS INTERNAS, EM ATENDIMENTO AOS DIVERSOS PROJETOS DO PAMALS 4/4</v>
      </c>
      <c r="O305" s="59">
        <f t="array" ref="O305">INDEX('MTA 28-09'!AC:AC,MATCH(B305,'MTA 28-09'!A:A,0))</f>
        <v>12241.16</v>
      </c>
      <c r="P305" s="32" t="str">
        <f t="array" ref="P305">INDEX('MTA 28-09'!N:N,MATCH(B305,'MTA 28-09'!A:A,0))</f>
        <v>BAPV</v>
      </c>
      <c r="Q305" s="67" t="str">
        <f t="array" ref="Q305">INDEX('MTA 28-09'!Z:Z,MATCH(B305,'MTA 28-09'!A:A,0))</f>
        <v>339030</v>
      </c>
      <c r="R305" s="32" t="str">
        <f t="array" ref="R305">INDEX('MTA 28-09'!L:L,MATCH(B305,'MTA 28-09'!A:A,0))</f>
        <v>A</v>
      </c>
      <c r="S305" s="72" t="str">
        <f t="array" ref="S305">INDEX('MTA 28-09'!X:X,MATCH(B305,'MTA 28-09'!A:A,0))</f>
        <v>REQUISIÇÃO</v>
      </c>
      <c r="T305" s="72" t="str">
        <f t="array" ref="T305">INDEX('MTA 28-09'!W:W,MATCH(B305,'MTA 28-09'!A:A,0))</f>
        <v>NÃO</v>
      </c>
      <c r="U305" s="81">
        <f t="array" ref="U305">INDEX('MTA 28-09'!AE:AE,MATCH(B305,'MTA 28-09'!A:A,0))</f>
        <v>46291</v>
      </c>
      <c r="V305" s="12"/>
      <c r="W305" s="12"/>
      <c r="X305" s="12"/>
      <c r="Y305" s="12"/>
      <c r="Z305" s="12"/>
      <c r="AA305" s="12"/>
      <c r="AB305" s="12"/>
      <c r="AC305" s="12"/>
      <c r="AD305" s="12"/>
      <c r="AE305" s="12"/>
      <c r="AF305" s="12"/>
      <c r="AG305" s="12"/>
      <c r="AH305" s="12"/>
      <c r="AI305" s="12"/>
      <c r="AJ305" s="12"/>
      <c r="AK305" s="12"/>
      <c r="AL305" s="12"/>
      <c r="AM305" s="12"/>
    </row>
    <row r="306">
      <c r="A306" s="88" t="s">
        <v>99</v>
      </c>
      <c r="B306" s="90">
        <v>14826.0</v>
      </c>
      <c r="C306" s="92" t="str">
        <f t="array" ref="C306">INDEX('MTA 28-09'!B:B,MATCH(B306,'MTA 28-09'!A:A,0))</f>
        <v>SIM</v>
      </c>
      <c r="D306" s="95">
        <f t="array" ref="D306">INDEX('MTA 28-09'!D:D,MATCH(B306,'MTA 28-09'!A:A,0))</f>
        <v>2048</v>
      </c>
      <c r="E306" s="98" t="str">
        <f t="array" ref="E306">INDEX('MTA 28-09'!F:F,MATCH(B306,'MTA 28-09'!A:A,0))</f>
        <v>ATENDIDO</v>
      </c>
      <c r="F306" s="152">
        <f t="array" ref="F306">INDEX('MTA 28-09'!I:I,MATCH(B306,'MTA 28-09'!A:A,0))</f>
        <v>46213</v>
      </c>
      <c r="G306" s="100" t="str">
        <f t="array" ref="G306">INDEX('MTA 28-09'!J:J,MATCH(B306,'MTA 28-09'!A:A,0))</f>
        <v>C26460</v>
      </c>
      <c r="H306" s="101" t="s">
        <v>1451</v>
      </c>
      <c r="I306" s="90"/>
      <c r="J306" s="102"/>
      <c r="K306" s="103"/>
      <c r="L306" s="102" t="str">
        <f t="array" ref="L306">INDEX('MTA 28-09'!S:S,MATCH(B306,'MTA 28-09'!A:A,0))</f>
        <v>APOIO</v>
      </c>
      <c r="M306" s="98" t="str">
        <f t="array" ref="M306">INDEX('MTA 28-09'!T:T,MATCH(B306,'MTA 28-09'!A:A,0))</f>
        <v>PREGÃO CELOG - AQUISIÇÃO DE ITENS DE CLASSE GERAL</v>
      </c>
      <c r="N306" s="98" t="str">
        <f t="array" ref="N306">INDEX('MTA 28-09'!U:U,MATCH(B306,'MTA 28-09'!A:A,0))</f>
        <v>AQUISIÇÃO DE MATERIAL PARA OFICINAS INTERNAS, EM ATENDIMENTO AOS DIVERSOS PROJETOS DO PAMALS 4/4</v>
      </c>
      <c r="O306" s="104">
        <f t="array" ref="O306">INDEX('MTA 28-09'!AC:AC,MATCH(B306,'MTA 28-09'!A:A,0))</f>
        <v>1057.95</v>
      </c>
      <c r="P306" s="98" t="str">
        <f t="array" ref="P306">INDEX('MTA 28-09'!N:N,MATCH(B306,'MTA 28-09'!A:A,0))</f>
        <v>GAP-SJ</v>
      </c>
      <c r="Q306" s="105" t="str">
        <f t="array" ref="Q306">INDEX('MTA 28-09'!Z:Z,MATCH(B306,'MTA 28-09'!A:A,0))</f>
        <v>339030</v>
      </c>
      <c r="R306" s="98" t="str">
        <f t="array" ref="R306">INDEX('MTA 28-09'!L:L,MATCH(B306,'MTA 28-09'!A:A,0))</f>
        <v>A</v>
      </c>
      <c r="S306" s="107" t="str">
        <f t="array" ref="S306">INDEX('MTA 28-09'!X:X,MATCH(B306,'MTA 28-09'!A:A,0))</f>
        <v>REQUISIÇÃO</v>
      </c>
      <c r="T306" s="107" t="str">
        <f t="array" ref="T306">INDEX('MTA 28-09'!W:W,MATCH(B306,'MTA 28-09'!A:A,0))</f>
        <v>NÃO</v>
      </c>
      <c r="U306" s="109">
        <f t="array" ref="U306">INDEX('MTA 28-09'!AE:AE,MATCH(B306,'MTA 28-09'!A:A,0))</f>
        <v>46291</v>
      </c>
      <c r="V306" s="29"/>
      <c r="W306" s="29"/>
      <c r="X306" s="29"/>
      <c r="Y306" s="29"/>
      <c r="Z306" s="29"/>
      <c r="AA306" s="29"/>
      <c r="AB306" s="29"/>
      <c r="AC306" s="29"/>
      <c r="AD306" s="29"/>
      <c r="AE306" s="29"/>
      <c r="AF306" s="29"/>
      <c r="AG306" s="29"/>
      <c r="AH306" s="29"/>
      <c r="AI306" s="29"/>
      <c r="AJ306" s="29"/>
      <c r="AK306" s="29"/>
      <c r="AL306" s="29"/>
      <c r="AM306" s="29"/>
    </row>
    <row r="307">
      <c r="A307" s="31" t="s">
        <v>99</v>
      </c>
      <c r="B307" s="38">
        <v>14827.0</v>
      </c>
      <c r="C307" s="33" t="str">
        <f t="array" ref="C307">INDEX('MTA 28-09'!B:B,MATCH(B307,'MTA 28-09'!A:A,0))</f>
        <v>SIM</v>
      </c>
      <c r="D307" s="34">
        <f t="array" ref="D307">INDEX('MTA 28-09'!D:D,MATCH(B307,'MTA 28-09'!A:A,0))</f>
        <v>2048</v>
      </c>
      <c r="E307" s="32" t="str">
        <f t="array" ref="E307">INDEX('MTA 28-09'!F:F,MATCH(B307,'MTA 28-09'!A:A,0))</f>
        <v>ATENDIDO</v>
      </c>
      <c r="F307" s="155">
        <f t="array" ref="F307">INDEX('MTA 28-09'!I:I,MATCH(B307,'MTA 28-09'!A:A,0))</f>
        <v>46213</v>
      </c>
      <c r="G307" s="36" t="str">
        <f t="array" ref="G307">INDEX('MTA 28-09'!J:J,MATCH(B307,'MTA 28-09'!A:A,0))</f>
        <v>C26350</v>
      </c>
      <c r="H307" s="37" t="s">
        <v>1451</v>
      </c>
      <c r="I307" s="38"/>
      <c r="J307" s="39"/>
      <c r="K307" s="40"/>
      <c r="L307" s="39" t="str">
        <f t="array" ref="L307">INDEX('MTA 28-09'!S:S,MATCH(B307,'MTA 28-09'!A:A,0))</f>
        <v>APOIO</v>
      </c>
      <c r="M307" s="32" t="str">
        <f t="array" ref="M307">INDEX('MTA 28-09'!T:T,MATCH(B307,'MTA 28-09'!A:A,0))</f>
        <v>PREGÃO CELOG - AQUISIÇÃO DE ITENS DE CLASSE GERAL</v>
      </c>
      <c r="N307" s="32" t="str">
        <f t="array" ref="N307">INDEX('MTA 28-09'!U:U,MATCH(B307,'MTA 28-09'!A:A,0))</f>
        <v>AQUISIÇÃO DE MATERIAL PARA OFICINAS INTERNAS, EM ATENDIMENTO AOS DIVERSOS PROJETOS DO PAMALS 4/4</v>
      </c>
      <c r="O307" s="59">
        <f t="array" ref="O307">INDEX('MTA 28-09'!AC:AC,MATCH(B307,'MTA 28-09'!A:A,0))</f>
        <v>278039.72</v>
      </c>
      <c r="P307" s="32" t="str">
        <f t="array" ref="P307">INDEX('MTA 28-09'!N:N,MATCH(B307,'MTA 28-09'!A:A,0))</f>
        <v>CELOG</v>
      </c>
      <c r="Q307" s="67" t="str">
        <f t="array" ref="Q307">INDEX('MTA 28-09'!Z:Z,MATCH(B307,'MTA 28-09'!A:A,0))</f>
        <v>339030</v>
      </c>
      <c r="R307" s="32" t="str">
        <f t="array" ref="R307">INDEX('MTA 28-09'!L:L,MATCH(B307,'MTA 28-09'!A:A,0))</f>
        <v>A</v>
      </c>
      <c r="S307" s="72" t="str">
        <f t="array" ref="S307">INDEX('MTA 28-09'!X:X,MATCH(B307,'MTA 28-09'!A:A,0))</f>
        <v>REQUISIÇÃO</v>
      </c>
      <c r="T307" s="72" t="str">
        <f t="array" ref="T307">INDEX('MTA 28-09'!W:W,MATCH(B307,'MTA 28-09'!A:A,0))</f>
        <v>NÃO</v>
      </c>
      <c r="U307" s="81">
        <f t="array" ref="U307">INDEX('MTA 28-09'!AE:AE,MATCH(B307,'MTA 28-09'!A:A,0))</f>
        <v>46291</v>
      </c>
      <c r="V307" s="12"/>
      <c r="W307" s="12"/>
      <c r="X307" s="12"/>
      <c r="Y307" s="12"/>
      <c r="Z307" s="12"/>
      <c r="AA307" s="12"/>
      <c r="AB307" s="12"/>
      <c r="AC307" s="12"/>
      <c r="AD307" s="12"/>
      <c r="AE307" s="12"/>
      <c r="AF307" s="12"/>
      <c r="AG307" s="12"/>
      <c r="AH307" s="12"/>
      <c r="AI307" s="12"/>
      <c r="AJ307" s="12"/>
      <c r="AK307" s="12"/>
      <c r="AL307" s="12"/>
      <c r="AM307" s="12"/>
    </row>
    <row r="308">
      <c r="A308" s="88" t="s">
        <v>99</v>
      </c>
      <c r="B308" s="90">
        <v>14828.0</v>
      </c>
      <c r="C308" s="92" t="str">
        <f t="array" ref="C308">INDEX('MTA 28-09'!B:B,MATCH(B308,'MTA 28-09'!A:A,0))</f>
        <v>SIM</v>
      </c>
      <c r="D308" s="95">
        <f t="array" ref="D308">INDEX('MTA 28-09'!D:D,MATCH(B308,'MTA 28-09'!A:A,0))</f>
        <v>2048</v>
      </c>
      <c r="E308" s="98" t="str">
        <f t="array" ref="E308">INDEX('MTA 28-09'!F:F,MATCH(B308,'MTA 28-09'!A:A,0))</f>
        <v>ATENDIDO</v>
      </c>
      <c r="F308" s="152">
        <f t="array" ref="F308">INDEX('MTA 28-09'!I:I,MATCH(B308,'MTA 28-09'!A:A,0))</f>
        <v>46241</v>
      </c>
      <c r="G308" s="100" t="str">
        <f t="array" ref="G308">INDEX('MTA 28-09'!J:J,MATCH(B308,'MTA 28-09'!A:A,0))</f>
        <v>C26141</v>
      </c>
      <c r="H308" s="159" t="s">
        <v>157</v>
      </c>
      <c r="I308" s="90"/>
      <c r="J308" s="102"/>
      <c r="K308" s="103"/>
      <c r="L308" s="102" t="str">
        <f t="array" ref="L308">INDEX('MTA 28-09'!S:S,MATCH(B308,'MTA 28-09'!A:A,0))</f>
        <v>APOIO</v>
      </c>
      <c r="M308" s="98" t="str">
        <f t="array" ref="M308">INDEX('MTA 28-09'!T:T,MATCH(B308,'MTA 28-09'!A:A,0))</f>
        <v>MANUTENÇÂO DAS INSTALAÇÕES</v>
      </c>
      <c r="N308" s="98" t="str">
        <f t="array" ref="N308">INDEX('MTA 28-09'!U:U,MATCH(B308,'MTA 28-09'!A:A,0))</f>
        <v>INFRAESTRUTURA - READEQUAÇÂO DAS INSTALAÇÕES ELETRICAS DO HANGAR DA TOFI</v>
      </c>
      <c r="O308" s="104">
        <f t="array" ref="O308">INDEX('MTA 28-09'!AC:AC,MATCH(B308,'MTA 28-09'!A:A,0))</f>
        <v>11927.16</v>
      </c>
      <c r="P308" s="98" t="str">
        <f t="array" ref="P308">INDEX('MTA 28-09'!N:N,MATCH(B308,'MTA 28-09'!A:A,0))</f>
        <v>GAP-LS</v>
      </c>
      <c r="Q308" s="105" t="str">
        <f t="array" ref="Q308">INDEX('MTA 28-09'!Z:Z,MATCH(B308,'MTA 28-09'!A:A,0))</f>
        <v>449052</v>
      </c>
      <c r="R308" s="98" t="str">
        <f t="array" ref="R308">INDEX('MTA 28-09'!L:L,MATCH(B308,'MTA 28-09'!A:A,0))</f>
        <v>A</v>
      </c>
      <c r="S308" s="107" t="str">
        <f t="array" ref="S308">INDEX('MTA 28-09'!X:X,MATCH(B308,'MTA 28-09'!A:A,0))</f>
        <v>REQUISIÇÃO</v>
      </c>
      <c r="T308" s="107" t="str">
        <f t="array" ref="T308">INDEX('MTA 28-09'!W:W,MATCH(B308,'MTA 28-09'!A:A,0))</f>
        <v>NÃO</v>
      </c>
      <c r="U308" s="109">
        <f t="array" ref="U308">INDEX('MTA 28-09'!AE:AE,MATCH(B308,'MTA 28-09'!A:A,0))</f>
        <v>46291</v>
      </c>
      <c r="V308" s="29"/>
      <c r="W308" s="29"/>
      <c r="X308" s="29"/>
      <c r="Y308" s="29"/>
      <c r="Z308" s="29"/>
      <c r="AA308" s="29"/>
      <c r="AB308" s="29"/>
      <c r="AC308" s="29"/>
      <c r="AD308" s="29"/>
      <c r="AE308" s="29"/>
      <c r="AF308" s="29"/>
      <c r="AG308" s="29"/>
      <c r="AH308" s="29"/>
      <c r="AI308" s="29"/>
      <c r="AJ308" s="29"/>
      <c r="AK308" s="29"/>
      <c r="AL308" s="29"/>
      <c r="AM308" s="29"/>
    </row>
    <row r="309">
      <c r="A309" s="31" t="s">
        <v>104</v>
      </c>
      <c r="B309" s="32">
        <v>14840.0</v>
      </c>
      <c r="C309" s="33" t="str">
        <f t="array" ref="C309">INDEX('MTA 28-09'!B:B,MATCH(B309,'MTA 28-09'!A:A,0))</f>
        <v>NÃO</v>
      </c>
      <c r="D309" s="34" t="str">
        <f t="array" ref="D309">INDEX('MTA 28-09'!D:D,MATCH(B309,'MTA 28-09'!A:A,0))</f>
        <v/>
      </c>
      <c r="E309" s="32" t="str">
        <f t="array" ref="E309">INDEX('MTA 28-09'!F:F,MATCH(B309,'MTA 28-09'!A:A,0))</f>
        <v/>
      </c>
      <c r="F309" s="155" t="str">
        <f t="array" ref="F309">INDEX('MTA 28-09'!I:I,MATCH(B309,'MTA 28-09'!A:A,0))</f>
        <v/>
      </c>
      <c r="G309" s="36" t="str">
        <f t="array" ref="G309">INDEX('MTA 28-09'!J:J,MATCH(B309,'MTA 28-09'!A:A,0))</f>
        <v/>
      </c>
      <c r="H309" s="287" t="s">
        <v>157</v>
      </c>
      <c r="I309" s="295"/>
      <c r="J309" s="39"/>
      <c r="K309" s="40"/>
      <c r="L309" s="39" t="str">
        <f t="array" ref="L309">INDEX('MTA 28-09'!S:S,MATCH(B309,'MTA 28-09'!A:A,0))</f>
        <v>APOIO</v>
      </c>
      <c r="M309" s="32" t="str">
        <f t="array" ref="M309">INDEX('MTA 28-09'!T:T,MATCH(B309,'MTA 28-09'!A:A,0))</f>
        <v>ADQUIRIR PNEUS DE AVIAÇÃO</v>
      </c>
      <c r="N309" s="32" t="str">
        <f t="array" ref="N309">INDEX('MTA 28-09'!U:U,MATCH(B309,'MTA 28-09'!A:A,0))</f>
        <v>Aquisição de Pneu de Aviação - ARP - 3/5</v>
      </c>
      <c r="O309" s="59">
        <f t="array" ref="O309">INDEX('MTA 28-09'!AC:AC,MATCH(B309,'MTA 28-09'!A:A,0))</f>
        <v>1000000</v>
      </c>
      <c r="P309" s="32" t="str">
        <f t="array" ref="P309">INDEX('MTA 28-09'!N:N,MATCH(B309,'MTA 28-09'!A:A,0))</f>
        <v>CELOG</v>
      </c>
      <c r="Q309" s="67" t="str">
        <f t="array" ref="Q309">INDEX('MTA 28-09'!Z:Z,MATCH(B309,'MTA 28-09'!A:A,0))</f>
        <v>339030</v>
      </c>
      <c r="R309" s="32" t="str">
        <f t="array" ref="R309">INDEX('MTA 28-09'!L:L,MATCH(B309,'MTA 28-09'!A:A,0))</f>
        <v>C</v>
      </c>
      <c r="S309" s="72" t="str">
        <f t="array" ref="S309">INDEX('MTA 28-09'!X:X,MATCH(B309,'MTA 28-09'!A:A,0))</f>
        <v>REQUISIÇÃO</v>
      </c>
      <c r="T309" s="72" t="str">
        <f t="array" ref="T309">INDEX('MTA 28-09'!W:W,MATCH(B309,'MTA 28-09'!A:A,0))</f>
        <v>NÃO</v>
      </c>
      <c r="U309" s="81">
        <f t="array" ref="U309">INDEX('MTA 28-09'!AE:AE,MATCH(B309,'MTA 28-09'!A:A,0))</f>
        <v>46260</v>
      </c>
      <c r="V309" s="12"/>
      <c r="W309" s="12"/>
      <c r="X309" s="12"/>
      <c r="Y309" s="12"/>
      <c r="Z309" s="12"/>
      <c r="AA309" s="12"/>
      <c r="AB309" s="12"/>
      <c r="AC309" s="12"/>
      <c r="AD309" s="12"/>
      <c r="AE309" s="12"/>
      <c r="AF309" s="12"/>
      <c r="AG309" s="12"/>
      <c r="AH309" s="12"/>
      <c r="AI309" s="12"/>
      <c r="AJ309" s="12"/>
      <c r="AK309" s="12"/>
      <c r="AL309" s="12"/>
      <c r="AM309" s="12"/>
    </row>
    <row r="310">
      <c r="A310" s="88" t="s">
        <v>99</v>
      </c>
      <c r="B310" s="98">
        <v>14860.0</v>
      </c>
      <c r="C310" s="92" t="str">
        <f t="array" ref="C310">INDEX('MTA 28-09'!B:B,MATCH(B310,'MTA 28-09'!A:A,0))</f>
        <v>NÃO</v>
      </c>
      <c r="D310" s="95" t="str">
        <f t="array" ref="D310">INDEX('MTA 28-09'!D:D,MATCH(B310,'MTA 28-09'!A:A,0))</f>
        <v/>
      </c>
      <c r="E310" s="98" t="str">
        <f t="array" ref="E310">INDEX('MTA 28-09'!F:F,MATCH(B310,'MTA 28-09'!A:A,0))</f>
        <v/>
      </c>
      <c r="F310" s="152" t="str">
        <f t="array" ref="F310">INDEX('MTA 28-09'!I:I,MATCH(B310,'MTA 28-09'!A:A,0))</f>
        <v/>
      </c>
      <c r="G310" s="100" t="str">
        <f t="array" ref="G310">INDEX('MTA 28-09'!J:J,MATCH(B310,'MTA 28-09'!A:A,0))</f>
        <v/>
      </c>
      <c r="H310" s="159" t="s">
        <v>157</v>
      </c>
      <c r="I310" s="296"/>
      <c r="J310" s="102"/>
      <c r="K310" s="103"/>
      <c r="L310" s="102" t="str">
        <f t="array" ref="L310">INDEX('MTA 28-09'!S:S,MATCH(B310,'MTA 28-09'!A:A,0))</f>
        <v>APOIO</v>
      </c>
      <c r="M310" s="98" t="str">
        <f t="array" ref="M310">INDEX('MTA 28-09'!T:T,MATCH(B310,'MTA 28-09'!A:A,0))</f>
        <v>PREGÃO GAP-LS - AQUISIÇÃO DE ITENS DE CLASSE GERAL</v>
      </c>
      <c r="N310" s="98" t="str">
        <f t="array" ref="N310">INDEX('MTA 28-09'!U:U,MATCH(B310,'MTA 28-09'!A:A,0))</f>
        <v>AQUISIÇÃO DE MATERIAL PARA OFICINAS INTERNAS, EM ATENDIMENTO AOS DIVERSOS PROJETOS DO PAMALS 2/4</v>
      </c>
      <c r="O310" s="104">
        <f t="array" ref="O310">INDEX('MTA 28-09'!AC:AC,MATCH(B310,'MTA 28-09'!A:A,0))</f>
        <v>54000</v>
      </c>
      <c r="P310" s="98" t="str">
        <f t="array" ref="P310">INDEX('MTA 28-09'!N:N,MATCH(B310,'MTA 28-09'!A:A,0))</f>
        <v>GAP-LS</v>
      </c>
      <c r="Q310" s="105" t="str">
        <f t="array" ref="Q310">INDEX('MTA 28-09'!Z:Z,MATCH(B310,'MTA 28-09'!A:A,0))</f>
        <v>339030</v>
      </c>
      <c r="R310" s="98" t="str">
        <f t="array" ref="R310">INDEX('MTA 28-09'!L:L,MATCH(B310,'MTA 28-09'!A:A,0))</f>
        <v>C</v>
      </c>
      <c r="S310" s="107" t="str">
        <f t="array" ref="S310">INDEX('MTA 28-09'!X:X,MATCH(B310,'MTA 28-09'!A:A,0))</f>
        <v>REQUISIÇÃO</v>
      </c>
      <c r="T310" s="107" t="str">
        <f t="array" ref="T310">INDEX('MTA 28-09'!W:W,MATCH(B310,'MTA 28-09'!A:A,0))</f>
        <v>NÃO</v>
      </c>
      <c r="U310" s="109">
        <f t="array" ref="U310">INDEX('MTA 28-09'!AE:AE,MATCH(B310,'MTA 28-09'!A:A,0))</f>
        <v>46260</v>
      </c>
      <c r="V310" s="29"/>
      <c r="W310" s="29"/>
      <c r="X310" s="29"/>
      <c r="Y310" s="29"/>
      <c r="Z310" s="29"/>
      <c r="AA310" s="29"/>
      <c r="AB310" s="29"/>
      <c r="AC310" s="29"/>
      <c r="AD310" s="29"/>
      <c r="AE310" s="29"/>
      <c r="AF310" s="29"/>
      <c r="AG310" s="29"/>
      <c r="AH310" s="29"/>
      <c r="AI310" s="29"/>
      <c r="AJ310" s="29"/>
      <c r="AK310" s="29"/>
      <c r="AL310" s="29"/>
      <c r="AM310" s="29"/>
    </row>
    <row r="311">
      <c r="A311" s="31" t="s">
        <v>1575</v>
      </c>
      <c r="B311" s="32">
        <v>14880.0</v>
      </c>
      <c r="C311" s="33" t="str">
        <f t="array" ref="C311">INDEX('MTA 28-09'!B:B,MATCH(B311,'MTA 28-09'!A:A,0))</f>
        <v>NÃO</v>
      </c>
      <c r="D311" s="34" t="str">
        <f t="array" ref="D311">INDEX('MTA 28-09'!D:D,MATCH(B311,'MTA 28-09'!A:A,0))</f>
        <v/>
      </c>
      <c r="E311" s="32" t="str">
        <f t="array" ref="E311">INDEX('MTA 28-09'!F:F,MATCH(B311,'MTA 28-09'!A:A,0))</f>
        <v/>
      </c>
      <c r="F311" s="155" t="str">
        <f t="array" ref="F311">INDEX('MTA 28-09'!I:I,MATCH(B311,'MTA 28-09'!A:A,0))</f>
        <v/>
      </c>
      <c r="G311" s="36" t="str">
        <f t="array" ref="G311">INDEX('MTA 28-09'!J:J,MATCH(B311,'MTA 28-09'!A:A,0))</f>
        <v/>
      </c>
      <c r="H311" s="287" t="s">
        <v>157</v>
      </c>
      <c r="I311" s="295"/>
      <c r="J311" s="39"/>
      <c r="K311" s="40"/>
      <c r="L311" s="39" t="str">
        <f t="array" ref="L311">INDEX('MTA 28-09'!S:S,MATCH(B311,'MTA 28-09'!A:A,0))</f>
        <v>APOIO</v>
      </c>
      <c r="M311" s="32" t="str">
        <f t="array" ref="M311">INDEX('MTA 28-09'!T:T,MATCH(B311,'MTA 28-09'!A:A,0))</f>
        <v>PN JET-EX8D; GROUND POWER UNIT – DIESEL ENGINE 28VDC.</v>
      </c>
      <c r="N311" s="32" t="str">
        <f t="array" ref="N311">INDEX('MTA 28-09'!U:U,MATCH(B311,'MTA 28-09'!A:A,0))</f>
        <v>PN JET-EX8D; GROUND POWER UNIT – DIESEL ENGINE 28VDC. 1 EA - 2/4</v>
      </c>
      <c r="O311" s="59">
        <f t="array" ref="O311">INDEX('MTA 28-09'!AC:AC,MATCH(B311,'MTA 28-09'!A:A,0))</f>
        <v>399000</v>
      </c>
      <c r="P311" s="32" t="str">
        <f t="array" ref="P311">INDEX('MTA 28-09'!N:N,MATCH(B311,'MTA 28-09'!A:A,0))</f>
        <v>CABW</v>
      </c>
      <c r="Q311" s="67" t="str">
        <f t="array" ref="Q311">INDEX('MTA 28-09'!Z:Z,MATCH(B311,'MTA 28-09'!A:A,0))</f>
        <v>449052</v>
      </c>
      <c r="R311" s="32" t="str">
        <f t="array" ref="R311">INDEX('MTA 28-09'!L:L,MATCH(B311,'MTA 28-09'!A:A,0))</f>
        <v>C</v>
      </c>
      <c r="S311" s="72" t="str">
        <f t="array" ref="S311">INDEX('MTA 28-09'!X:X,MATCH(B311,'MTA 28-09'!A:A,0))</f>
        <v>REQUISIÇÃO</v>
      </c>
      <c r="T311" s="72" t="str">
        <f t="array" ref="T311">INDEX('MTA 28-09'!W:W,MATCH(B311,'MTA 28-09'!A:A,0))</f>
        <v>NÃO</v>
      </c>
      <c r="U311" s="81">
        <f t="array" ref="U311">INDEX('MTA 28-09'!AE:AE,MATCH(B311,'MTA 28-09'!A:A,0))</f>
        <v>46260</v>
      </c>
      <c r="V311" s="12"/>
      <c r="W311" s="12"/>
      <c r="X311" s="12"/>
      <c r="Y311" s="12"/>
      <c r="Z311" s="12"/>
      <c r="AA311" s="12"/>
      <c r="AB311" s="12"/>
      <c r="AC311" s="12"/>
      <c r="AD311" s="12"/>
      <c r="AE311" s="12"/>
      <c r="AF311" s="12"/>
      <c r="AG311" s="12"/>
      <c r="AH311" s="12"/>
      <c r="AI311" s="12"/>
      <c r="AJ311" s="12"/>
      <c r="AK311" s="12"/>
      <c r="AL311" s="12"/>
      <c r="AM311" s="12"/>
    </row>
    <row r="312">
      <c r="A312" s="88" t="s">
        <v>1575</v>
      </c>
      <c r="B312" s="98">
        <v>14900.0</v>
      </c>
      <c r="C312" s="92" t="str">
        <f t="array" ref="C312">INDEX('MTA 28-09'!B:B,MATCH(B312,'MTA 28-09'!A:A,0))</f>
        <v>NÃO</v>
      </c>
      <c r="D312" s="95" t="str">
        <f t="array" ref="D312">INDEX('MTA 28-09'!D:D,MATCH(B312,'MTA 28-09'!A:A,0))</f>
        <v/>
      </c>
      <c r="E312" s="98" t="str">
        <f t="array" ref="E312">INDEX('MTA 28-09'!F:F,MATCH(B312,'MTA 28-09'!A:A,0))</f>
        <v/>
      </c>
      <c r="F312" s="144" t="str">
        <f t="array" ref="F312">INDEX('MTA 28-09'!I:I,MATCH(B312,'MTA 28-09'!A:A,0))</f>
        <v/>
      </c>
      <c r="G312" s="100" t="str">
        <f t="array" ref="G312">INDEX('MTA 28-09'!J:J,MATCH(B312,'MTA 28-09'!A:A,0))</f>
        <v/>
      </c>
      <c r="H312" s="159" t="s">
        <v>157</v>
      </c>
      <c r="I312" s="296"/>
      <c r="J312" s="102"/>
      <c r="K312" s="103"/>
      <c r="L312" s="102" t="str">
        <f t="array" ref="L312">INDEX('MTA 28-09'!S:S,MATCH(B312,'MTA 28-09'!A:A,0))</f>
        <v>APOIO</v>
      </c>
      <c r="M312" s="98" t="str">
        <f t="array" ref="M312">INDEX('MTA 28-09'!T:T,MATCH(B312,'MTA 28-09'!A:A,0))</f>
        <v>Requisição FMS</v>
      </c>
      <c r="N312" s="98" t="str">
        <f t="array" ref="N312">INDEX('MTA 28-09'!U:U,MATCH(B312,'MTA 28-09'!A:A,0))</f>
        <v>Requisições Consumíveis 3/5</v>
      </c>
      <c r="O312" s="104">
        <f t="array" ref="O312">INDEX('MTA 28-09'!AC:AC,MATCH(B312,'MTA 28-09'!A:A,0))</f>
        <v>140000</v>
      </c>
      <c r="P312" s="98" t="str">
        <f t="array" ref="P312">INDEX('MTA 28-09'!N:N,MATCH(B312,'MTA 28-09'!A:A,0))</f>
        <v>FMS</v>
      </c>
      <c r="Q312" s="105" t="str">
        <f t="array" ref="Q312">INDEX('MTA 28-09'!Z:Z,MATCH(B312,'MTA 28-09'!A:A,0))</f>
        <v>339030</v>
      </c>
      <c r="R312" s="98" t="str">
        <f t="array" ref="R312">INDEX('MTA 28-09'!L:L,MATCH(B312,'MTA 28-09'!A:A,0))</f>
        <v>C</v>
      </c>
      <c r="S312" s="107" t="str">
        <f t="array" ref="S312">INDEX('MTA 28-09'!X:X,MATCH(B312,'MTA 28-09'!A:A,0))</f>
        <v>REQUISIÇÃO</v>
      </c>
      <c r="T312" s="107" t="str">
        <f t="array" ref="T312">INDEX('MTA 28-09'!W:W,MATCH(B312,'MTA 28-09'!A:A,0))</f>
        <v>NÃO</v>
      </c>
      <c r="U312" s="109">
        <f t="array" ref="U312">INDEX('MTA 28-09'!AE:AE,MATCH(B312,'MTA 28-09'!A:A,0))</f>
        <v>46260</v>
      </c>
      <c r="V312" s="29"/>
      <c r="W312" s="29"/>
      <c r="X312" s="29"/>
      <c r="Y312" s="29"/>
      <c r="Z312" s="29"/>
      <c r="AA312" s="29"/>
      <c r="AB312" s="29"/>
      <c r="AC312" s="29"/>
      <c r="AD312" s="29"/>
      <c r="AE312" s="29"/>
      <c r="AF312" s="29"/>
      <c r="AG312" s="29"/>
      <c r="AH312" s="29"/>
      <c r="AI312" s="29"/>
      <c r="AJ312" s="29"/>
      <c r="AK312" s="29"/>
      <c r="AL312" s="29"/>
      <c r="AM312" s="29"/>
    </row>
    <row r="313">
      <c r="A313" s="31" t="s">
        <v>1572</v>
      </c>
      <c r="B313" s="32">
        <v>14920.0</v>
      </c>
      <c r="C313" s="33" t="str">
        <f t="array" ref="C313">INDEX('MTA 28-09'!B:B,MATCH(B313,'MTA 28-09'!A:A,0))</f>
        <v>NÃO</v>
      </c>
      <c r="D313" s="34" t="str">
        <f t="array" ref="D313">INDEX('MTA 28-09'!D:D,MATCH(B313,'MTA 28-09'!A:A,0))</f>
        <v/>
      </c>
      <c r="E313" s="32" t="str">
        <f t="array" ref="E313">INDEX('MTA 28-09'!F:F,MATCH(B313,'MTA 28-09'!A:A,0))</f>
        <v/>
      </c>
      <c r="F313" s="420" t="str">
        <f t="array" ref="F313">INDEX('MTA 28-09'!I:I,MATCH(B313,'MTA 28-09'!A:A,0))</f>
        <v/>
      </c>
      <c r="G313" s="36" t="str">
        <f t="array" ref="G313">INDEX('MTA 28-09'!J:J,MATCH(B313,'MTA 28-09'!A:A,0))</f>
        <v/>
      </c>
      <c r="H313" s="287" t="s">
        <v>157</v>
      </c>
      <c r="I313" s="295"/>
      <c r="J313" s="39"/>
      <c r="K313" s="40"/>
      <c r="L313" s="39" t="str">
        <f t="array" ref="L313">INDEX('MTA 28-09'!S:S,MATCH(B313,'MTA 28-09'!A:A,0))</f>
        <v>APOIO</v>
      </c>
      <c r="M313" s="32" t="str">
        <f t="array" ref="M313">INDEX('MTA 28-09'!T:T,MATCH(B313,'MTA 28-09'!A:A,0))</f>
        <v>Requisição FMS</v>
      </c>
      <c r="N313" s="32" t="str">
        <f t="array" ref="N313">INDEX('MTA 28-09'!U:U,MATCH(B313,'MTA 28-09'!A:A,0))</f>
        <v>Requisições Consumíveis 2/4</v>
      </c>
      <c r="O313" s="59">
        <f t="array" ref="O313">INDEX('MTA 28-09'!AC:AC,MATCH(B313,'MTA 28-09'!A:A,0))</f>
        <v>196000</v>
      </c>
      <c r="P313" s="32" t="str">
        <f t="array" ref="P313">INDEX('MTA 28-09'!N:N,MATCH(B313,'MTA 28-09'!A:A,0))</f>
        <v>FMS</v>
      </c>
      <c r="Q313" s="67" t="str">
        <f t="array" ref="Q313">INDEX('MTA 28-09'!Z:Z,MATCH(B313,'MTA 28-09'!A:A,0))</f>
        <v>339030</v>
      </c>
      <c r="R313" s="32" t="str">
        <f t="array" ref="R313">INDEX('MTA 28-09'!L:L,MATCH(B313,'MTA 28-09'!A:A,0))</f>
        <v>C</v>
      </c>
      <c r="S313" s="72" t="str">
        <f t="array" ref="S313">INDEX('MTA 28-09'!X:X,MATCH(B313,'MTA 28-09'!A:A,0))</f>
        <v>REQUISIÇÃO</v>
      </c>
      <c r="T313" s="72" t="str">
        <f t="array" ref="T313">INDEX('MTA 28-09'!W:W,MATCH(B313,'MTA 28-09'!A:A,0))</f>
        <v>NÃO</v>
      </c>
      <c r="U313" s="81">
        <f t="array" ref="U313">INDEX('MTA 28-09'!AE:AE,MATCH(B313,'MTA 28-09'!A:A,0))</f>
        <v>46260</v>
      </c>
      <c r="V313" s="12"/>
      <c r="W313" s="12"/>
      <c r="X313" s="12"/>
      <c r="Y313" s="12"/>
      <c r="Z313" s="12"/>
      <c r="AA313" s="12"/>
      <c r="AB313" s="12"/>
      <c r="AC313" s="12"/>
      <c r="AD313" s="12"/>
      <c r="AE313" s="12"/>
      <c r="AF313" s="12"/>
      <c r="AG313" s="12"/>
      <c r="AH313" s="12"/>
      <c r="AI313" s="12"/>
      <c r="AJ313" s="12"/>
      <c r="AK313" s="12"/>
      <c r="AL313" s="12"/>
      <c r="AM313" s="12"/>
    </row>
    <row r="314">
      <c r="A314" s="88" t="s">
        <v>1575</v>
      </c>
      <c r="B314" s="98">
        <v>14940.0</v>
      </c>
      <c r="C314" s="92" t="str">
        <f t="array" ref="C314">INDEX('MTA 28-09'!B:B,MATCH(B314,'MTA 28-09'!A:A,0))</f>
        <v>NÃO</v>
      </c>
      <c r="D314" s="95" t="str">
        <f t="array" ref="D314">INDEX('MTA 28-09'!D:D,MATCH(B314,'MTA 28-09'!A:A,0))</f>
        <v/>
      </c>
      <c r="E314" s="98" t="str">
        <f t="array" ref="E314">INDEX('MTA 28-09'!F:F,MATCH(B314,'MTA 28-09'!A:A,0))</f>
        <v/>
      </c>
      <c r="F314" s="152" t="str">
        <f t="array" ref="F314">INDEX('MTA 28-09'!I:I,MATCH(B314,'MTA 28-09'!A:A,0))</f>
        <v/>
      </c>
      <c r="G314" s="100" t="str">
        <f t="array" ref="G314">INDEX('MTA 28-09'!J:J,MATCH(B314,'MTA 28-09'!A:A,0))</f>
        <v/>
      </c>
      <c r="H314" s="159" t="s">
        <v>157</v>
      </c>
      <c r="I314" s="296"/>
      <c r="J314" s="102"/>
      <c r="K314" s="103"/>
      <c r="L314" s="102" t="str">
        <f t="array" ref="L314">INDEX('MTA 28-09'!S:S,MATCH(B314,'MTA 28-09'!A:A,0))</f>
        <v>APOIO</v>
      </c>
      <c r="M314" s="98" t="str">
        <f t="array" ref="M314">INDEX('MTA 28-09'!T:T,MATCH(B314,'MTA 28-09'!A:A,0))</f>
        <v>Aquisição UFT MIISTA PN ACE4490S28TT3; GENERATOR SET, DIESEL ENGINE 28/115</v>
      </c>
      <c r="N314" s="98" t="str">
        <f t="array" ref="N314">INDEX('MTA 28-09'!U:U,MATCH(B314,'MTA 28-09'!A:A,0))</f>
        <v>Aquisição UFT MISTA PN ACE4490S28TT3; GENERATOR SET, DIESEL ENGINE 28/115 – 1 EA 2/3</v>
      </c>
      <c r="O314" s="104">
        <f t="array" ref="O314">INDEX('MTA 28-09'!AC:AC,MATCH(B314,'MTA 28-09'!A:A,0))</f>
        <v>456000</v>
      </c>
      <c r="P314" s="98" t="str">
        <f t="array" ref="P314">INDEX('MTA 28-09'!N:N,MATCH(B314,'MTA 28-09'!A:A,0))</f>
        <v>CABW</v>
      </c>
      <c r="Q314" s="105" t="str">
        <f t="array" ref="Q314">INDEX('MTA 28-09'!Z:Z,MATCH(B314,'MTA 28-09'!A:A,0))</f>
        <v>449052</v>
      </c>
      <c r="R314" s="98" t="str">
        <f t="array" ref="R314">INDEX('MTA 28-09'!L:L,MATCH(B314,'MTA 28-09'!A:A,0))</f>
        <v>C</v>
      </c>
      <c r="S314" s="107" t="str">
        <f t="array" ref="S314">INDEX('MTA 28-09'!X:X,MATCH(B314,'MTA 28-09'!A:A,0))</f>
        <v>REQUISIÇÃO</v>
      </c>
      <c r="T314" s="107" t="str">
        <f t="array" ref="T314">INDEX('MTA 28-09'!W:W,MATCH(B314,'MTA 28-09'!A:A,0))</f>
        <v>NÃO</v>
      </c>
      <c r="U314" s="109">
        <f t="array" ref="U314">INDEX('MTA 28-09'!AE:AE,MATCH(B314,'MTA 28-09'!A:A,0))</f>
        <v>46260</v>
      </c>
      <c r="V314" s="29"/>
      <c r="W314" s="29"/>
      <c r="X314" s="29"/>
      <c r="Y314" s="29"/>
      <c r="Z314" s="29"/>
      <c r="AA314" s="29"/>
      <c r="AB314" s="29"/>
      <c r="AC314" s="29"/>
      <c r="AD314" s="29"/>
      <c r="AE314" s="29"/>
      <c r="AF314" s="29"/>
      <c r="AG314" s="29"/>
      <c r="AH314" s="29"/>
      <c r="AI314" s="29"/>
      <c r="AJ314" s="29"/>
      <c r="AK314" s="29"/>
      <c r="AL314" s="29"/>
      <c r="AM314" s="29"/>
    </row>
    <row r="315">
      <c r="A315" s="31" t="s">
        <v>1575</v>
      </c>
      <c r="B315" s="32">
        <v>14960.0</v>
      </c>
      <c r="C315" s="33" t="str">
        <f t="array" ref="C315">INDEX('MTA 28-09'!B:B,MATCH(B315,'MTA 28-09'!A:A,0))</f>
        <v>NÃO</v>
      </c>
      <c r="D315" s="34" t="str">
        <f t="array" ref="D315">INDEX('MTA 28-09'!D:D,MATCH(B315,'MTA 28-09'!A:A,0))</f>
        <v/>
      </c>
      <c r="E315" s="32" t="str">
        <f t="array" ref="E315">INDEX('MTA 28-09'!F:F,MATCH(B315,'MTA 28-09'!A:A,0))</f>
        <v/>
      </c>
      <c r="F315" s="155" t="str">
        <f t="array" ref="F315">INDEX('MTA 28-09'!I:I,MATCH(B315,'MTA 28-09'!A:A,0))</f>
        <v/>
      </c>
      <c r="G315" s="36" t="str">
        <f t="array" ref="G315">INDEX('MTA 28-09'!J:J,MATCH(B315,'MTA 28-09'!A:A,0))</f>
        <v/>
      </c>
      <c r="H315" s="287" t="s">
        <v>157</v>
      </c>
      <c r="I315" s="295"/>
      <c r="J315" s="39"/>
      <c r="K315" s="40"/>
      <c r="L315" s="39" t="str">
        <f t="array" ref="L315">INDEX('MTA 28-09'!S:S,MATCH(B315,'MTA 28-09'!A:A,0))</f>
        <v>APOIO</v>
      </c>
      <c r="M315" s="32" t="str">
        <f t="array" ref="M315">INDEX('MTA 28-09'!T:T,MATCH(B315,'MTA 28-09'!A:A,0))</f>
        <v>Aquisição UFT MIISTA PN ACE4490S28TT3; GENERATOR SET, DIESEL ENGINE 28/115</v>
      </c>
      <c r="N315" s="32" t="str">
        <f t="array" ref="N315">INDEX('MTA 28-09'!U:U,MATCH(B315,'MTA 28-09'!A:A,0))</f>
        <v>Aquisição UFT MISTA PN ACE4490S28TT3; GENERATOR SET, DIESEL ENGINE 28/115 – 1 EA 3/3</v>
      </c>
      <c r="O315" s="59">
        <f t="array" ref="O315">INDEX('MTA 28-09'!AC:AC,MATCH(B315,'MTA 28-09'!A:A,0))</f>
        <v>456000</v>
      </c>
      <c r="P315" s="32" t="str">
        <f t="array" ref="P315">INDEX('MTA 28-09'!N:N,MATCH(B315,'MTA 28-09'!A:A,0))</f>
        <v>CABW</v>
      </c>
      <c r="Q315" s="67" t="str">
        <f t="array" ref="Q315">INDEX('MTA 28-09'!Z:Z,MATCH(B315,'MTA 28-09'!A:A,0))</f>
        <v>449052</v>
      </c>
      <c r="R315" s="32" t="str">
        <f t="array" ref="R315">INDEX('MTA 28-09'!L:L,MATCH(B315,'MTA 28-09'!A:A,0))</f>
        <v>C</v>
      </c>
      <c r="S315" s="72" t="str">
        <f t="array" ref="S315">INDEX('MTA 28-09'!X:X,MATCH(B315,'MTA 28-09'!A:A,0))</f>
        <v>REQUISIÇÃO</v>
      </c>
      <c r="T315" s="72" t="str">
        <f t="array" ref="T315">INDEX('MTA 28-09'!W:W,MATCH(B315,'MTA 28-09'!A:A,0))</f>
        <v>NÃO</v>
      </c>
      <c r="U315" s="81">
        <f t="array" ref="U315">INDEX('MTA 28-09'!AE:AE,MATCH(B315,'MTA 28-09'!A:A,0))</f>
        <v>46260</v>
      </c>
      <c r="V315" s="12"/>
      <c r="W315" s="12"/>
      <c r="X315" s="12"/>
      <c r="Y315" s="12"/>
      <c r="Z315" s="12"/>
      <c r="AA315" s="12"/>
      <c r="AB315" s="12"/>
      <c r="AC315" s="12"/>
      <c r="AD315" s="12"/>
      <c r="AE315" s="12"/>
      <c r="AF315" s="12"/>
      <c r="AG315" s="12"/>
      <c r="AH315" s="12"/>
      <c r="AI315" s="12"/>
      <c r="AJ315" s="12"/>
      <c r="AK315" s="12"/>
      <c r="AL315" s="12"/>
      <c r="AM315" s="12"/>
    </row>
    <row r="316">
      <c r="A316" s="88" t="s">
        <v>1576</v>
      </c>
      <c r="B316" s="98">
        <v>14980.0</v>
      </c>
      <c r="C316" s="92" t="str">
        <f t="array" ref="C316">INDEX('MTA 28-09'!B:B,MATCH(B316,'MTA 28-09'!A:A,0))</f>
        <v>NÃO</v>
      </c>
      <c r="D316" s="95" t="str">
        <f t="array" ref="D316">INDEX('MTA 28-09'!D:D,MATCH(B316,'MTA 28-09'!A:A,0))</f>
        <v/>
      </c>
      <c r="E316" s="98" t="str">
        <f t="array" ref="E316">INDEX('MTA 28-09'!F:F,MATCH(B316,'MTA 28-09'!A:A,0))</f>
        <v/>
      </c>
      <c r="F316" s="144" t="str">
        <f t="array" ref="F316">INDEX('MTA 28-09'!I:I,MATCH(B316,'MTA 28-09'!A:A,0))</f>
        <v/>
      </c>
      <c r="G316" s="100" t="str">
        <f t="array" ref="G316">INDEX('MTA 28-09'!J:J,MATCH(B316,'MTA 28-09'!A:A,0))</f>
        <v/>
      </c>
      <c r="H316" s="159" t="s">
        <v>157</v>
      </c>
      <c r="I316" s="296"/>
      <c r="J316" s="102"/>
      <c r="K316" s="103"/>
      <c r="L316" s="102" t="str">
        <f t="array" ref="L316">INDEX('MTA 28-09'!S:S,MATCH(B316,'MTA 28-09'!A:A,0))</f>
        <v>APOIO</v>
      </c>
      <c r="M316" s="98" t="str">
        <f t="array" ref="M316">INDEX('MTA 28-09'!T:T,MATCH(B316,'MTA 28-09'!A:A,0))</f>
        <v>PN T17; LAVADORA PARA LIMPEZA DE HANGAR.</v>
      </c>
      <c r="N316" s="98" t="str">
        <f t="array" ref="N316">INDEX('MTA 28-09'!U:U,MATCH(B316,'MTA 28-09'!A:A,0))</f>
        <v>PN T17; LAVADORAS PARA LIMPEZA DE HANGAR</v>
      </c>
      <c r="O316" s="104">
        <f t="array" ref="O316">INDEX('MTA 28-09'!AC:AC,MATCH(B316,'MTA 28-09'!A:A,0))</f>
        <v>800000</v>
      </c>
      <c r="P316" s="98" t="str">
        <f t="array" ref="P316">INDEX('MTA 28-09'!N:N,MATCH(B316,'MTA 28-09'!A:A,0))</f>
        <v>CABW</v>
      </c>
      <c r="Q316" s="105" t="str">
        <f t="array" ref="Q316">INDEX('MTA 28-09'!Z:Z,MATCH(B316,'MTA 28-09'!A:A,0))</f>
        <v>449052</v>
      </c>
      <c r="R316" s="98" t="str">
        <f t="array" ref="R316">INDEX('MTA 28-09'!L:L,MATCH(B316,'MTA 28-09'!A:A,0))</f>
        <v>C</v>
      </c>
      <c r="S316" s="107" t="str">
        <f t="array" ref="S316">INDEX('MTA 28-09'!X:X,MATCH(B316,'MTA 28-09'!A:A,0))</f>
        <v>REQUISIÇÃO</v>
      </c>
      <c r="T316" s="107" t="str">
        <f t="array" ref="T316">INDEX('MTA 28-09'!W:W,MATCH(B316,'MTA 28-09'!A:A,0))</f>
        <v>NÃO</v>
      </c>
      <c r="U316" s="109">
        <f t="array" ref="U316">INDEX('MTA 28-09'!AE:AE,MATCH(B316,'MTA 28-09'!A:A,0))</f>
        <v>46260</v>
      </c>
      <c r="V316" s="29"/>
      <c r="W316" s="29"/>
      <c r="X316" s="29"/>
      <c r="Y316" s="29"/>
      <c r="Z316" s="29"/>
      <c r="AA316" s="29"/>
      <c r="AB316" s="29"/>
      <c r="AC316" s="29"/>
      <c r="AD316" s="29"/>
      <c r="AE316" s="29"/>
      <c r="AF316" s="29"/>
      <c r="AG316" s="29"/>
      <c r="AH316" s="29"/>
      <c r="AI316" s="29"/>
      <c r="AJ316" s="29"/>
      <c r="AK316" s="29"/>
      <c r="AL316" s="29"/>
      <c r="AM316" s="29"/>
    </row>
    <row r="317">
      <c r="A317" s="31" t="s">
        <v>1575</v>
      </c>
      <c r="B317" s="32">
        <v>15000.0</v>
      </c>
      <c r="C317" s="33" t="str">
        <f t="array" ref="C317">INDEX('MTA 28-09'!B:B,MATCH(B317,'MTA 28-09'!A:A,0))</f>
        <v>NÃO</v>
      </c>
      <c r="D317" s="34" t="str">
        <f t="array" ref="D317">INDEX('MTA 28-09'!D:D,MATCH(B317,'MTA 28-09'!A:A,0))</f>
        <v/>
      </c>
      <c r="E317" s="32" t="str">
        <f t="array" ref="E317">INDEX('MTA 28-09'!F:F,MATCH(B317,'MTA 28-09'!A:A,0))</f>
        <v/>
      </c>
      <c r="F317" s="155" t="str">
        <f t="array" ref="F317">INDEX('MTA 28-09'!I:I,MATCH(B317,'MTA 28-09'!A:A,0))</f>
        <v/>
      </c>
      <c r="G317" s="36" t="str">
        <f t="array" ref="G317">INDEX('MTA 28-09'!J:J,MATCH(B317,'MTA 28-09'!A:A,0))</f>
        <v/>
      </c>
      <c r="H317" s="287" t="s">
        <v>157</v>
      </c>
      <c r="I317" s="295"/>
      <c r="J317" s="39"/>
      <c r="K317" s="40"/>
      <c r="L317" s="39" t="str">
        <f t="array" ref="L317">INDEX('MTA 28-09'!S:S,MATCH(B317,'MTA 28-09'!A:A,0))</f>
        <v>APOIO</v>
      </c>
      <c r="M317" s="32" t="str">
        <f t="array" ref="M317">INDEX('MTA 28-09'!T:T,MATCH(B317,'MTA 28-09'!A:A,0))</f>
        <v>PN GPU-400; GROUND POWER UNIT – ELETRIC UNIT 28VDC.</v>
      </c>
      <c r="N317" s="32" t="str">
        <f t="array" ref="N317">INDEX('MTA 28-09'!U:U,MATCH(B317,'MTA 28-09'!A:A,0))</f>
        <v>PN GPU-400; GROUND POWER UNIT – ELETRIC UNIT 28VDC. 1 EA 2/3</v>
      </c>
      <c r="O317" s="59">
        <f t="array" ref="O317">INDEX('MTA 28-09'!AC:AC,MATCH(B317,'MTA 28-09'!A:A,0))</f>
        <v>91200</v>
      </c>
      <c r="P317" s="32" t="str">
        <f t="array" ref="P317">INDEX('MTA 28-09'!N:N,MATCH(B317,'MTA 28-09'!A:A,0))</f>
        <v>CABW</v>
      </c>
      <c r="Q317" s="67" t="str">
        <f t="array" ref="Q317">INDEX('MTA 28-09'!Z:Z,MATCH(B317,'MTA 28-09'!A:A,0))</f>
        <v>449052</v>
      </c>
      <c r="R317" s="32" t="str">
        <f t="array" ref="R317">INDEX('MTA 28-09'!L:L,MATCH(B317,'MTA 28-09'!A:A,0))</f>
        <v>C</v>
      </c>
      <c r="S317" s="72" t="str">
        <f t="array" ref="S317">INDEX('MTA 28-09'!X:X,MATCH(B317,'MTA 28-09'!A:A,0))</f>
        <v>REQUISIÇÃO</v>
      </c>
      <c r="T317" s="72" t="str">
        <f t="array" ref="T317">INDEX('MTA 28-09'!W:W,MATCH(B317,'MTA 28-09'!A:A,0))</f>
        <v>NÃO</v>
      </c>
      <c r="U317" s="81">
        <f t="array" ref="U317">INDEX('MTA 28-09'!AE:AE,MATCH(B317,'MTA 28-09'!A:A,0))</f>
        <v>46260</v>
      </c>
      <c r="V317" s="12"/>
      <c r="W317" s="12"/>
      <c r="X317" s="12"/>
      <c r="Y317" s="12"/>
      <c r="Z317" s="12"/>
      <c r="AA317" s="12"/>
      <c r="AB317" s="12"/>
      <c r="AC317" s="12"/>
      <c r="AD317" s="12"/>
      <c r="AE317" s="12"/>
      <c r="AF317" s="12"/>
      <c r="AG317" s="12"/>
      <c r="AH317" s="12"/>
      <c r="AI317" s="12"/>
      <c r="AJ317" s="12"/>
      <c r="AK317" s="12"/>
      <c r="AL317" s="12"/>
      <c r="AM317" s="12"/>
    </row>
    <row r="318">
      <c r="A318" s="88" t="s">
        <v>1575</v>
      </c>
      <c r="B318" s="98">
        <v>15020.0</v>
      </c>
      <c r="C318" s="92" t="str">
        <f t="array" ref="C318">INDEX('MTA 28-09'!B:B,MATCH(B318,'MTA 28-09'!A:A,0))</f>
        <v>NÃO</v>
      </c>
      <c r="D318" s="95" t="str">
        <f t="array" ref="D318">INDEX('MTA 28-09'!D:D,MATCH(B318,'MTA 28-09'!A:A,0))</f>
        <v/>
      </c>
      <c r="E318" s="98" t="str">
        <f t="array" ref="E318">INDEX('MTA 28-09'!F:F,MATCH(B318,'MTA 28-09'!A:A,0))</f>
        <v/>
      </c>
      <c r="F318" s="152" t="str">
        <f t="array" ref="F318">INDEX('MTA 28-09'!I:I,MATCH(B318,'MTA 28-09'!A:A,0))</f>
        <v/>
      </c>
      <c r="G318" s="100" t="str">
        <f t="array" ref="G318">INDEX('MTA 28-09'!J:J,MATCH(B318,'MTA 28-09'!A:A,0))</f>
        <v/>
      </c>
      <c r="H318" s="159" t="s">
        <v>157</v>
      </c>
      <c r="I318" s="296"/>
      <c r="J318" s="102"/>
      <c r="K318" s="103"/>
      <c r="L318" s="102" t="str">
        <f t="array" ref="L318">INDEX('MTA 28-09'!S:S,MATCH(B318,'MTA 28-09'!A:A,0))</f>
        <v>APOIO</v>
      </c>
      <c r="M318" s="98" t="str">
        <f t="array" ref="M318">INDEX('MTA 28-09'!T:T,MATCH(B318,'MTA 28-09'!A:A,0))</f>
        <v>PN GPU-400; GROUND POWER UNIT – ELETRIC UNIT 28VDC.</v>
      </c>
      <c r="N318" s="98" t="str">
        <f t="array" ref="N318">INDEX('MTA 28-09'!U:U,MATCH(B318,'MTA 28-09'!A:A,0))</f>
        <v>PN GPU-400; GROUND POWER UNIT – ELETRIC UNIT 28VDC. 1 EA 3/3</v>
      </c>
      <c r="O318" s="104">
        <f t="array" ref="O318">INDEX('MTA 28-09'!AC:AC,MATCH(B318,'MTA 28-09'!A:A,0))</f>
        <v>91200</v>
      </c>
      <c r="P318" s="98" t="str">
        <f t="array" ref="P318">INDEX('MTA 28-09'!N:N,MATCH(B318,'MTA 28-09'!A:A,0))</f>
        <v>CABW</v>
      </c>
      <c r="Q318" s="105" t="str">
        <f t="array" ref="Q318">INDEX('MTA 28-09'!Z:Z,MATCH(B318,'MTA 28-09'!A:A,0))</f>
        <v>449052</v>
      </c>
      <c r="R318" s="98" t="str">
        <f t="array" ref="R318">INDEX('MTA 28-09'!L:L,MATCH(B318,'MTA 28-09'!A:A,0))</f>
        <v>C</v>
      </c>
      <c r="S318" s="107" t="str">
        <f t="array" ref="S318">INDEX('MTA 28-09'!X:X,MATCH(B318,'MTA 28-09'!A:A,0))</f>
        <v>REQUISIÇÃO</v>
      </c>
      <c r="T318" s="107" t="str">
        <f t="array" ref="T318">INDEX('MTA 28-09'!W:W,MATCH(B318,'MTA 28-09'!A:A,0))</f>
        <v>NÃO</v>
      </c>
      <c r="U318" s="109">
        <f t="array" ref="U318">INDEX('MTA 28-09'!AE:AE,MATCH(B318,'MTA 28-09'!A:A,0))</f>
        <v>46260</v>
      </c>
      <c r="V318" s="29"/>
      <c r="W318" s="29"/>
      <c r="X318" s="29"/>
      <c r="Y318" s="29"/>
      <c r="Z318" s="29"/>
      <c r="AA318" s="29"/>
      <c r="AB318" s="29"/>
      <c r="AC318" s="29"/>
      <c r="AD318" s="29"/>
      <c r="AE318" s="29"/>
      <c r="AF318" s="29"/>
      <c r="AG318" s="29"/>
      <c r="AH318" s="29"/>
      <c r="AI318" s="29"/>
      <c r="AJ318" s="29"/>
      <c r="AK318" s="29"/>
      <c r="AL318" s="29"/>
      <c r="AM318" s="29"/>
    </row>
    <row r="319">
      <c r="A319" s="31" t="s">
        <v>1575</v>
      </c>
      <c r="B319" s="32">
        <v>15040.0</v>
      </c>
      <c r="C319" s="33" t="str">
        <f t="array" ref="C319">INDEX('MTA 28-09'!B:B,MATCH(B319,'MTA 28-09'!A:A,0))</f>
        <v>NÃO</v>
      </c>
      <c r="D319" s="34" t="str">
        <f t="array" ref="D319">INDEX('MTA 28-09'!D:D,MATCH(B319,'MTA 28-09'!A:A,0))</f>
        <v/>
      </c>
      <c r="E319" s="32" t="str">
        <f t="array" ref="E319">INDEX('MTA 28-09'!F:F,MATCH(B319,'MTA 28-09'!A:A,0))</f>
        <v/>
      </c>
      <c r="F319" s="137" t="str">
        <f t="array" ref="F319">INDEX('MTA 28-09'!I:I,MATCH(B319,'MTA 28-09'!A:A,0))</f>
        <v/>
      </c>
      <c r="G319" s="36" t="str">
        <f t="array" ref="G319">INDEX('MTA 28-09'!J:J,MATCH(B319,'MTA 28-09'!A:A,0))</f>
        <v/>
      </c>
      <c r="H319" s="287" t="s">
        <v>157</v>
      </c>
      <c r="I319" s="295"/>
      <c r="J319" s="39"/>
      <c r="K319" s="40"/>
      <c r="L319" s="39" t="str">
        <f t="array" ref="L319">INDEX('MTA 28-09'!S:S,MATCH(B319,'MTA 28-09'!A:A,0))</f>
        <v>APOIO</v>
      </c>
      <c r="M319" s="32" t="str">
        <f t="array" ref="M319">INDEX('MTA 28-09'!T:T,MATCH(B319,'MTA 28-09'!A:A,0))</f>
        <v>PN JET-EX8D; GROUND POWER UNIT – DIESEL ENGINE 28VDC.</v>
      </c>
      <c r="N319" s="32" t="str">
        <f t="array" ref="N319">INDEX('MTA 28-09'!U:U,MATCH(B319,'MTA 28-09'!A:A,0))</f>
        <v>PN JET-EX8D; GROUND POWER UNIT – DIESEL ENGINE 28VDC. 1 EA - 1/4</v>
      </c>
      <c r="O319" s="59">
        <f t="array" ref="O319">INDEX('MTA 28-09'!AC:AC,MATCH(B319,'MTA 28-09'!A:A,0))</f>
        <v>399000</v>
      </c>
      <c r="P319" s="32" t="str">
        <f t="array" ref="P319">INDEX('MTA 28-09'!N:N,MATCH(B319,'MTA 28-09'!A:A,0))</f>
        <v>CABW</v>
      </c>
      <c r="Q319" s="67" t="str">
        <f t="array" ref="Q319">INDEX('MTA 28-09'!Z:Z,MATCH(B319,'MTA 28-09'!A:A,0))</f>
        <v>449052</v>
      </c>
      <c r="R319" s="32" t="str">
        <f t="array" ref="R319">INDEX('MTA 28-09'!L:L,MATCH(B319,'MTA 28-09'!A:A,0))</f>
        <v>C</v>
      </c>
      <c r="S319" s="72" t="str">
        <f t="array" ref="S319">INDEX('MTA 28-09'!X:X,MATCH(B319,'MTA 28-09'!A:A,0))</f>
        <v>REQUISIÇÃO</v>
      </c>
      <c r="T319" s="72" t="str">
        <f t="array" ref="T319">INDEX('MTA 28-09'!W:W,MATCH(B319,'MTA 28-09'!A:A,0))</f>
        <v>NÃO</v>
      </c>
      <c r="U319" s="81">
        <f t="array" ref="U319">INDEX('MTA 28-09'!AE:AE,MATCH(B319,'MTA 28-09'!A:A,0))</f>
        <v>46260</v>
      </c>
      <c r="V319" s="12"/>
      <c r="W319" s="12"/>
      <c r="X319" s="12"/>
      <c r="Y319" s="12"/>
      <c r="Z319" s="12"/>
      <c r="AA319" s="12"/>
      <c r="AB319" s="12"/>
      <c r="AC319" s="12"/>
      <c r="AD319" s="12"/>
      <c r="AE319" s="12"/>
      <c r="AF319" s="12"/>
      <c r="AG319" s="12"/>
      <c r="AH319" s="12"/>
      <c r="AI319" s="12"/>
      <c r="AJ319" s="12"/>
      <c r="AK319" s="12"/>
      <c r="AL319" s="12"/>
      <c r="AM319" s="12"/>
    </row>
    <row r="320">
      <c r="A320" s="88" t="s">
        <v>1575</v>
      </c>
      <c r="B320" s="98">
        <v>15060.0</v>
      </c>
      <c r="C320" s="92" t="str">
        <f t="array" ref="C320">INDEX('MTA 28-09'!B:B,MATCH(B320,'MTA 28-09'!A:A,0))</f>
        <v>NÃO</v>
      </c>
      <c r="D320" s="95" t="str">
        <f t="array" ref="D320">INDEX('MTA 28-09'!D:D,MATCH(B320,'MTA 28-09'!A:A,0))</f>
        <v/>
      </c>
      <c r="E320" s="98" t="str">
        <f t="array" ref="E320">INDEX('MTA 28-09'!F:F,MATCH(B320,'MTA 28-09'!A:A,0))</f>
        <v/>
      </c>
      <c r="F320" s="423" t="str">
        <f t="array" ref="F320">INDEX('MTA 28-09'!I:I,MATCH(B320,'MTA 28-09'!A:A,0))</f>
        <v/>
      </c>
      <c r="G320" s="100" t="str">
        <f t="array" ref="G320">INDEX('MTA 28-09'!J:J,MATCH(B320,'MTA 28-09'!A:A,0))</f>
        <v/>
      </c>
      <c r="H320" s="159" t="s">
        <v>157</v>
      </c>
      <c r="I320" s="296"/>
      <c r="J320" s="102"/>
      <c r="K320" s="103"/>
      <c r="L320" s="102" t="str">
        <f t="array" ref="L320">INDEX('MTA 28-09'!S:S,MATCH(B320,'MTA 28-09'!A:A,0))</f>
        <v>APOIO</v>
      </c>
      <c r="M320" s="98" t="str">
        <f t="array" ref="M320">INDEX('MTA 28-09'!T:T,MATCH(B320,'MTA 28-09'!A:A,0))</f>
        <v>Requisição FMS</v>
      </c>
      <c r="N320" s="98" t="str">
        <f t="array" ref="N320">INDEX('MTA 28-09'!U:U,MATCH(B320,'MTA 28-09'!A:A,0))</f>
        <v>Requisições Consumíveis 1/5</v>
      </c>
      <c r="O320" s="104">
        <f t="array" ref="O320">INDEX('MTA 28-09'!AC:AC,MATCH(B320,'MTA 28-09'!A:A,0))</f>
        <v>140000</v>
      </c>
      <c r="P320" s="98" t="str">
        <f t="array" ref="P320">INDEX('MTA 28-09'!N:N,MATCH(B320,'MTA 28-09'!A:A,0))</f>
        <v>FMS</v>
      </c>
      <c r="Q320" s="105" t="str">
        <f t="array" ref="Q320">INDEX('MTA 28-09'!Z:Z,MATCH(B320,'MTA 28-09'!A:A,0))</f>
        <v>339030</v>
      </c>
      <c r="R320" s="98" t="str">
        <f t="array" ref="R320">INDEX('MTA 28-09'!L:L,MATCH(B320,'MTA 28-09'!A:A,0))</f>
        <v>C</v>
      </c>
      <c r="S320" s="107" t="str">
        <f t="array" ref="S320">INDEX('MTA 28-09'!X:X,MATCH(B320,'MTA 28-09'!A:A,0))</f>
        <v>REQUISIÇÃO</v>
      </c>
      <c r="T320" s="107" t="str">
        <f t="array" ref="T320">INDEX('MTA 28-09'!W:W,MATCH(B320,'MTA 28-09'!A:A,0))</f>
        <v>NÃO</v>
      </c>
      <c r="U320" s="109">
        <f t="array" ref="U320">INDEX('MTA 28-09'!AE:AE,MATCH(B320,'MTA 28-09'!A:A,0))</f>
        <v>46260</v>
      </c>
      <c r="V320" s="29"/>
      <c r="W320" s="29"/>
      <c r="X320" s="29"/>
      <c r="Y320" s="29"/>
      <c r="Z320" s="29"/>
      <c r="AA320" s="29"/>
      <c r="AB320" s="29"/>
      <c r="AC320" s="29"/>
      <c r="AD320" s="29"/>
      <c r="AE320" s="29"/>
      <c r="AF320" s="29"/>
      <c r="AG320" s="29"/>
      <c r="AH320" s="29"/>
      <c r="AI320" s="29"/>
      <c r="AJ320" s="29"/>
      <c r="AK320" s="29"/>
      <c r="AL320" s="29"/>
      <c r="AM320" s="29"/>
    </row>
    <row r="321">
      <c r="A321" s="31" t="s">
        <v>1575</v>
      </c>
      <c r="B321" s="32">
        <v>15080.0</v>
      </c>
      <c r="C321" s="33" t="str">
        <f t="array" ref="C321">INDEX('MTA 28-09'!B:B,MATCH(B321,'MTA 28-09'!A:A,0))</f>
        <v>NÃO</v>
      </c>
      <c r="D321" s="34" t="str">
        <f t="array" ref="D321">INDEX('MTA 28-09'!D:D,MATCH(B321,'MTA 28-09'!A:A,0))</f>
        <v/>
      </c>
      <c r="E321" s="32" t="str">
        <f t="array" ref="E321">INDEX('MTA 28-09'!F:F,MATCH(B321,'MTA 28-09'!A:A,0))</f>
        <v/>
      </c>
      <c r="F321" s="155" t="str">
        <f t="array" ref="F321">INDEX('MTA 28-09'!I:I,MATCH(B321,'MTA 28-09'!A:A,0))</f>
        <v/>
      </c>
      <c r="G321" s="36" t="str">
        <f t="array" ref="G321">INDEX('MTA 28-09'!J:J,MATCH(B321,'MTA 28-09'!A:A,0))</f>
        <v/>
      </c>
      <c r="H321" s="287" t="s">
        <v>157</v>
      </c>
      <c r="I321" s="295"/>
      <c r="J321" s="39"/>
      <c r="K321" s="40"/>
      <c r="L321" s="39" t="str">
        <f t="array" ref="L321">INDEX('MTA 28-09'!S:S,MATCH(B321,'MTA 28-09'!A:A,0))</f>
        <v>APOIO</v>
      </c>
      <c r="M321" s="32" t="str">
        <f t="array" ref="M321">INDEX('MTA 28-09'!T:T,MATCH(B321,'MTA 28-09'!A:A,0))</f>
        <v>Requisição FMS</v>
      </c>
      <c r="N321" s="32" t="str">
        <f t="array" ref="N321">INDEX('MTA 28-09'!U:U,MATCH(B321,'MTA 28-09'!A:A,0))</f>
        <v>Requisições Consumíveis 4/5</v>
      </c>
      <c r="O321" s="59">
        <f t="array" ref="O321">INDEX('MTA 28-09'!AC:AC,MATCH(B321,'MTA 28-09'!A:A,0))</f>
        <v>140000</v>
      </c>
      <c r="P321" s="32" t="str">
        <f t="array" ref="P321">INDEX('MTA 28-09'!N:N,MATCH(B321,'MTA 28-09'!A:A,0))</f>
        <v>FMS</v>
      </c>
      <c r="Q321" s="67" t="str">
        <f t="array" ref="Q321">INDEX('MTA 28-09'!Z:Z,MATCH(B321,'MTA 28-09'!A:A,0))</f>
        <v>339030</v>
      </c>
      <c r="R321" s="32" t="str">
        <f t="array" ref="R321">INDEX('MTA 28-09'!L:L,MATCH(B321,'MTA 28-09'!A:A,0))</f>
        <v>C</v>
      </c>
      <c r="S321" s="72" t="str">
        <f t="array" ref="S321">INDEX('MTA 28-09'!X:X,MATCH(B321,'MTA 28-09'!A:A,0))</f>
        <v>REQUISIÇÃO</v>
      </c>
      <c r="T321" s="72" t="str">
        <f t="array" ref="T321">INDEX('MTA 28-09'!W:W,MATCH(B321,'MTA 28-09'!A:A,0))</f>
        <v>NÃO</v>
      </c>
      <c r="U321" s="81">
        <f t="array" ref="U321">INDEX('MTA 28-09'!AE:AE,MATCH(B321,'MTA 28-09'!A:A,0))</f>
        <v>46260</v>
      </c>
      <c r="V321" s="12"/>
      <c r="W321" s="12"/>
      <c r="X321" s="12"/>
      <c r="Y321" s="12"/>
      <c r="Z321" s="12"/>
      <c r="AA321" s="12"/>
      <c r="AB321" s="12"/>
      <c r="AC321" s="12"/>
      <c r="AD321" s="12"/>
      <c r="AE321" s="12"/>
      <c r="AF321" s="12"/>
      <c r="AG321" s="12"/>
      <c r="AH321" s="12"/>
      <c r="AI321" s="12"/>
      <c r="AJ321" s="12"/>
      <c r="AK321" s="12"/>
      <c r="AL321" s="12"/>
      <c r="AM321" s="12"/>
    </row>
    <row r="322">
      <c r="A322" s="88" t="s">
        <v>1575</v>
      </c>
      <c r="B322" s="98">
        <v>15100.0</v>
      </c>
      <c r="C322" s="92" t="str">
        <f t="array" ref="C322">INDEX('MTA 28-09'!B:B,MATCH(B322,'MTA 28-09'!A:A,0))</f>
        <v>NÃO</v>
      </c>
      <c r="D322" s="95" t="str">
        <f t="array" ref="D322">INDEX('MTA 28-09'!D:D,MATCH(B322,'MTA 28-09'!A:A,0))</f>
        <v/>
      </c>
      <c r="E322" s="98" t="str">
        <f t="array" ref="E322">INDEX('MTA 28-09'!F:F,MATCH(B322,'MTA 28-09'!A:A,0))</f>
        <v/>
      </c>
      <c r="F322" s="152" t="str">
        <f t="array" ref="F322">INDEX('MTA 28-09'!I:I,MATCH(B322,'MTA 28-09'!A:A,0))</f>
        <v/>
      </c>
      <c r="G322" s="100" t="str">
        <f t="array" ref="G322">INDEX('MTA 28-09'!J:J,MATCH(B322,'MTA 28-09'!A:A,0))</f>
        <v/>
      </c>
      <c r="H322" s="159" t="s">
        <v>157</v>
      </c>
      <c r="I322" s="296"/>
      <c r="J322" s="102"/>
      <c r="K322" s="103"/>
      <c r="L322" s="102" t="str">
        <f t="array" ref="L322">INDEX('MTA 28-09'!S:S,MATCH(B322,'MTA 28-09'!A:A,0))</f>
        <v>APOIO</v>
      </c>
      <c r="M322" s="98" t="str">
        <f t="array" ref="M322">INDEX('MTA 28-09'!T:T,MATCH(B322,'MTA 28-09'!A:A,0))</f>
        <v>Requisição FMS</v>
      </c>
      <c r="N322" s="98" t="str">
        <f t="array" ref="N322">INDEX('MTA 28-09'!U:U,MATCH(B322,'MTA 28-09'!A:A,0))</f>
        <v>Requisições Consumíveis 1/3</v>
      </c>
      <c r="O322" s="104">
        <f t="array" ref="O322">INDEX('MTA 28-09'!AC:AC,MATCH(B322,'MTA 28-09'!A:A,0))</f>
        <v>175000</v>
      </c>
      <c r="P322" s="98" t="str">
        <f t="array" ref="P322">INDEX('MTA 28-09'!N:N,MATCH(B322,'MTA 28-09'!A:A,0))</f>
        <v>FMS</v>
      </c>
      <c r="Q322" s="105" t="str">
        <f t="array" ref="Q322">INDEX('MTA 28-09'!Z:Z,MATCH(B322,'MTA 28-09'!A:A,0))</f>
        <v>339030</v>
      </c>
      <c r="R322" s="98" t="str">
        <f t="array" ref="R322">INDEX('MTA 28-09'!L:L,MATCH(B322,'MTA 28-09'!A:A,0))</f>
        <v>C</v>
      </c>
      <c r="S322" s="107" t="str">
        <f t="array" ref="S322">INDEX('MTA 28-09'!X:X,MATCH(B322,'MTA 28-09'!A:A,0))</f>
        <v>REQUISIÇÃO</v>
      </c>
      <c r="T322" s="107" t="str">
        <f t="array" ref="T322">INDEX('MTA 28-09'!W:W,MATCH(B322,'MTA 28-09'!A:A,0))</f>
        <v>NÃO</v>
      </c>
      <c r="U322" s="109">
        <f t="array" ref="U322">INDEX('MTA 28-09'!AE:AE,MATCH(B322,'MTA 28-09'!A:A,0))</f>
        <v>46260</v>
      </c>
      <c r="V322" s="29"/>
      <c r="W322" s="29"/>
      <c r="X322" s="29"/>
      <c r="Y322" s="29"/>
      <c r="Z322" s="29"/>
      <c r="AA322" s="29"/>
      <c r="AB322" s="29"/>
      <c r="AC322" s="29"/>
      <c r="AD322" s="29"/>
      <c r="AE322" s="29"/>
      <c r="AF322" s="29"/>
      <c r="AG322" s="29"/>
      <c r="AH322" s="29"/>
      <c r="AI322" s="29"/>
      <c r="AJ322" s="29"/>
      <c r="AK322" s="29"/>
      <c r="AL322" s="29"/>
      <c r="AM322" s="29"/>
    </row>
    <row r="323">
      <c r="A323" s="31" t="s">
        <v>1575</v>
      </c>
      <c r="B323" s="32">
        <v>15120.0</v>
      </c>
      <c r="C323" s="33" t="str">
        <f t="array" ref="C323">INDEX('MTA 28-09'!B:B,MATCH(B323,'MTA 28-09'!A:A,0))</f>
        <v>NÃO</v>
      </c>
      <c r="D323" s="34" t="str">
        <f t="array" ref="D323">INDEX('MTA 28-09'!D:D,MATCH(B323,'MTA 28-09'!A:A,0))</f>
        <v/>
      </c>
      <c r="E323" s="32" t="str">
        <f t="array" ref="E323">INDEX('MTA 28-09'!F:F,MATCH(B323,'MTA 28-09'!A:A,0))</f>
        <v/>
      </c>
      <c r="F323" s="420" t="str">
        <f t="array" ref="F323">INDEX('MTA 28-09'!I:I,MATCH(B323,'MTA 28-09'!A:A,0))</f>
        <v/>
      </c>
      <c r="G323" s="36" t="str">
        <f t="array" ref="G323">INDEX('MTA 28-09'!J:J,MATCH(B323,'MTA 28-09'!A:A,0))</f>
        <v/>
      </c>
      <c r="H323" s="287" t="s">
        <v>157</v>
      </c>
      <c r="I323" s="295"/>
      <c r="J323" s="39"/>
      <c r="K323" s="40"/>
      <c r="L323" s="39" t="str">
        <f t="array" ref="L323">INDEX('MTA 28-09'!S:S,MATCH(B323,'MTA 28-09'!A:A,0))</f>
        <v>APOIO</v>
      </c>
      <c r="M323" s="32" t="str">
        <f t="array" ref="M323">INDEX('MTA 28-09'!T:T,MATCH(B323,'MTA 28-09'!A:A,0))</f>
        <v>Aquisição UFT MIISTA PN ACE4490S28TT3; GENERATOR SET, DIESEL ENGINE 28/115</v>
      </c>
      <c r="N323" s="32" t="str">
        <f t="array" ref="N323">INDEX('MTA 28-09'!U:U,MATCH(B323,'MTA 28-09'!A:A,0))</f>
        <v>Aquisição UFT MISTA PN ACE4490S28TT3; GENERATOR SET, DIESEL ENGINE 28/115 – 1 EA 1/3</v>
      </c>
      <c r="O323" s="59">
        <f t="array" ref="O323">INDEX('MTA 28-09'!AC:AC,MATCH(B323,'MTA 28-09'!A:A,0))</f>
        <v>456000</v>
      </c>
      <c r="P323" s="32" t="str">
        <f t="array" ref="P323">INDEX('MTA 28-09'!N:N,MATCH(B323,'MTA 28-09'!A:A,0))</f>
        <v>CABW</v>
      </c>
      <c r="Q323" s="67" t="str">
        <f t="array" ref="Q323">INDEX('MTA 28-09'!Z:Z,MATCH(B323,'MTA 28-09'!A:A,0))</f>
        <v>449052</v>
      </c>
      <c r="R323" s="32" t="str">
        <f t="array" ref="R323">INDEX('MTA 28-09'!L:L,MATCH(B323,'MTA 28-09'!A:A,0))</f>
        <v>C</v>
      </c>
      <c r="S323" s="72" t="str">
        <f t="array" ref="S323">INDEX('MTA 28-09'!X:X,MATCH(B323,'MTA 28-09'!A:A,0))</f>
        <v>REQUISIÇÃO</v>
      </c>
      <c r="T323" s="72" t="str">
        <f t="array" ref="T323">INDEX('MTA 28-09'!W:W,MATCH(B323,'MTA 28-09'!A:A,0))</f>
        <v>NÃO</v>
      </c>
      <c r="U323" s="81">
        <f t="array" ref="U323">INDEX('MTA 28-09'!AE:AE,MATCH(B323,'MTA 28-09'!A:A,0))</f>
        <v>46260</v>
      </c>
      <c r="V323" s="12"/>
      <c r="W323" s="12"/>
      <c r="X323" s="12"/>
      <c r="Y323" s="12"/>
      <c r="Z323" s="12"/>
      <c r="AA323" s="12"/>
      <c r="AB323" s="12"/>
      <c r="AC323" s="12"/>
      <c r="AD323" s="12"/>
      <c r="AE323" s="12"/>
      <c r="AF323" s="12"/>
      <c r="AG323" s="12"/>
      <c r="AH323" s="12"/>
      <c r="AI323" s="12"/>
      <c r="AJ323" s="12"/>
      <c r="AK323" s="12"/>
      <c r="AL323" s="12"/>
      <c r="AM323" s="12"/>
    </row>
    <row r="324">
      <c r="A324" s="88" t="s">
        <v>1576</v>
      </c>
      <c r="B324" s="98">
        <v>15140.0</v>
      </c>
      <c r="C324" s="92" t="str">
        <f t="array" ref="C324">INDEX('MTA 28-09'!B:B,MATCH(B324,'MTA 28-09'!A:A,0))</f>
        <v>NÃO</v>
      </c>
      <c r="D324" s="95" t="str">
        <f t="array" ref="D324">INDEX('MTA 28-09'!D:D,MATCH(B324,'MTA 28-09'!A:A,0))</f>
        <v/>
      </c>
      <c r="E324" s="98" t="str">
        <f t="array" ref="E324">INDEX('MTA 28-09'!F:F,MATCH(B324,'MTA 28-09'!A:A,0))</f>
        <v/>
      </c>
      <c r="F324" s="99" t="str">
        <f t="array" ref="F324">INDEX('MTA 28-09'!I:I,MATCH(B324,'MTA 28-09'!A:A,0))</f>
        <v/>
      </c>
      <c r="G324" s="100" t="str">
        <f t="array" ref="G324">INDEX('MTA 28-09'!J:J,MATCH(B324,'MTA 28-09'!A:A,0))</f>
        <v/>
      </c>
      <c r="H324" s="159" t="s">
        <v>157</v>
      </c>
      <c r="I324" s="296"/>
      <c r="J324" s="102"/>
      <c r="K324" s="103"/>
      <c r="L324" s="102" t="str">
        <f t="array" ref="L324">INDEX('MTA 28-09'!S:S,MATCH(B324,'MTA 28-09'!A:A,0))</f>
        <v>APOIO</v>
      </c>
      <c r="M324" s="98" t="str">
        <f t="array" ref="M324">INDEX('MTA 28-09'!T:T,MATCH(B324,'MTA 28-09'!A:A,0))</f>
        <v>Requisição FMS</v>
      </c>
      <c r="N324" s="98" t="str">
        <f t="array" ref="N324">INDEX('MTA 28-09'!U:U,MATCH(B324,'MTA 28-09'!A:A,0))</f>
        <v>Requisições Consumíveis 1/3</v>
      </c>
      <c r="O324" s="104">
        <f t="array" ref="O324">INDEX('MTA 28-09'!AC:AC,MATCH(B324,'MTA 28-09'!A:A,0))</f>
        <v>64000</v>
      </c>
      <c r="P324" s="98" t="str">
        <f t="array" ref="P324">INDEX('MTA 28-09'!N:N,MATCH(B324,'MTA 28-09'!A:A,0))</f>
        <v>FMS</v>
      </c>
      <c r="Q324" s="105" t="str">
        <f t="array" ref="Q324">INDEX('MTA 28-09'!Z:Z,MATCH(B324,'MTA 28-09'!A:A,0))</f>
        <v>339030</v>
      </c>
      <c r="R324" s="98" t="str">
        <f t="array" ref="R324">INDEX('MTA 28-09'!L:L,MATCH(B324,'MTA 28-09'!A:A,0))</f>
        <v>C</v>
      </c>
      <c r="S324" s="107" t="str">
        <f t="array" ref="S324">INDEX('MTA 28-09'!X:X,MATCH(B324,'MTA 28-09'!A:A,0))</f>
        <v>REQUISIÇÃO</v>
      </c>
      <c r="T324" s="107" t="str">
        <f t="array" ref="T324">INDEX('MTA 28-09'!W:W,MATCH(B324,'MTA 28-09'!A:A,0))</f>
        <v>NÃO</v>
      </c>
      <c r="U324" s="109">
        <f t="array" ref="U324">INDEX('MTA 28-09'!AE:AE,MATCH(B324,'MTA 28-09'!A:A,0))</f>
        <v>46260</v>
      </c>
      <c r="V324" s="29"/>
      <c r="W324" s="29"/>
      <c r="X324" s="29"/>
      <c r="Y324" s="29"/>
      <c r="Z324" s="29"/>
      <c r="AA324" s="29"/>
      <c r="AB324" s="29"/>
      <c r="AC324" s="29"/>
      <c r="AD324" s="29"/>
      <c r="AE324" s="29"/>
      <c r="AF324" s="29"/>
      <c r="AG324" s="29"/>
      <c r="AH324" s="29"/>
      <c r="AI324" s="29"/>
      <c r="AJ324" s="29"/>
      <c r="AK324" s="29"/>
      <c r="AL324" s="29"/>
      <c r="AM324" s="29"/>
    </row>
    <row r="325">
      <c r="A325" s="31" t="s">
        <v>1576</v>
      </c>
      <c r="B325" s="32">
        <v>15160.0</v>
      </c>
      <c r="C325" s="33" t="str">
        <f t="array" ref="C325">INDEX('MTA 28-09'!B:B,MATCH(B325,'MTA 28-09'!A:A,0))</f>
        <v>NÃO</v>
      </c>
      <c r="D325" s="34" t="str">
        <f t="array" ref="D325">INDEX('MTA 28-09'!D:D,MATCH(B325,'MTA 28-09'!A:A,0))</f>
        <v/>
      </c>
      <c r="E325" s="32" t="str">
        <f t="array" ref="E325">INDEX('MTA 28-09'!F:F,MATCH(B325,'MTA 28-09'!A:A,0))</f>
        <v/>
      </c>
      <c r="F325" s="155" t="str">
        <f t="array" ref="F325">INDEX('MTA 28-09'!I:I,MATCH(B325,'MTA 28-09'!A:A,0))</f>
        <v/>
      </c>
      <c r="G325" s="36" t="str">
        <f t="array" ref="G325">INDEX('MTA 28-09'!J:J,MATCH(B325,'MTA 28-09'!A:A,0))</f>
        <v/>
      </c>
      <c r="H325" s="287" t="s">
        <v>157</v>
      </c>
      <c r="I325" s="295"/>
      <c r="J325" s="39"/>
      <c r="K325" s="40"/>
      <c r="L325" s="39" t="str">
        <f t="array" ref="L325">INDEX('MTA 28-09'!S:S,MATCH(B325,'MTA 28-09'!A:A,0))</f>
        <v>APOIO</v>
      </c>
      <c r="M325" s="32" t="str">
        <f t="array" ref="M325">INDEX('MTA 28-09'!T:T,MATCH(B325,'MTA 28-09'!A:A,0))</f>
        <v>Requisição FMS</v>
      </c>
      <c r="N325" s="32" t="str">
        <f t="array" ref="N325">INDEX('MTA 28-09'!U:U,MATCH(B325,'MTA 28-09'!A:A,0))</f>
        <v>Requisições Consumíveis 2/3</v>
      </c>
      <c r="O325" s="59">
        <f t="array" ref="O325">INDEX('MTA 28-09'!AC:AC,MATCH(B325,'MTA 28-09'!A:A,0))</f>
        <v>64000</v>
      </c>
      <c r="P325" s="32" t="str">
        <f t="array" ref="P325">INDEX('MTA 28-09'!N:N,MATCH(B325,'MTA 28-09'!A:A,0))</f>
        <v>FMS</v>
      </c>
      <c r="Q325" s="67" t="str">
        <f t="array" ref="Q325">INDEX('MTA 28-09'!Z:Z,MATCH(B325,'MTA 28-09'!A:A,0))</f>
        <v>339030</v>
      </c>
      <c r="R325" s="32" t="str">
        <f t="array" ref="R325">INDEX('MTA 28-09'!L:L,MATCH(B325,'MTA 28-09'!A:A,0))</f>
        <v>C</v>
      </c>
      <c r="S325" s="72" t="str">
        <f t="array" ref="S325">INDEX('MTA 28-09'!X:X,MATCH(B325,'MTA 28-09'!A:A,0))</f>
        <v>REQUISIÇÃO</v>
      </c>
      <c r="T325" s="72" t="str">
        <f t="array" ref="T325">INDEX('MTA 28-09'!W:W,MATCH(B325,'MTA 28-09'!A:A,0))</f>
        <v>NÃO</v>
      </c>
      <c r="U325" s="81">
        <f t="array" ref="U325">INDEX('MTA 28-09'!AE:AE,MATCH(B325,'MTA 28-09'!A:A,0))</f>
        <v>46260</v>
      </c>
      <c r="V325" s="12"/>
      <c r="W325" s="12"/>
      <c r="X325" s="12"/>
      <c r="Y325" s="12"/>
      <c r="Z325" s="12"/>
      <c r="AA325" s="12"/>
      <c r="AB325" s="12"/>
      <c r="AC325" s="12"/>
      <c r="AD325" s="12"/>
      <c r="AE325" s="12"/>
      <c r="AF325" s="12"/>
      <c r="AG325" s="12"/>
      <c r="AH325" s="12"/>
      <c r="AI325" s="12"/>
      <c r="AJ325" s="12"/>
      <c r="AK325" s="12"/>
      <c r="AL325" s="12"/>
      <c r="AM325" s="12"/>
    </row>
    <row r="326">
      <c r="A326" s="88" t="s">
        <v>1576</v>
      </c>
      <c r="B326" s="98">
        <v>15180.0</v>
      </c>
      <c r="C326" s="92" t="str">
        <f t="array" ref="C326">INDEX('MTA 28-09'!B:B,MATCH(B326,'MTA 28-09'!A:A,0))</f>
        <v>NÃO</v>
      </c>
      <c r="D326" s="95" t="str">
        <f t="array" ref="D326">INDEX('MTA 28-09'!D:D,MATCH(B326,'MTA 28-09'!A:A,0))</f>
        <v/>
      </c>
      <c r="E326" s="98" t="str">
        <f t="array" ref="E326">INDEX('MTA 28-09'!F:F,MATCH(B326,'MTA 28-09'!A:A,0))</f>
        <v/>
      </c>
      <c r="F326" s="99" t="str">
        <f t="array" ref="F326">INDEX('MTA 28-09'!I:I,MATCH(B326,'MTA 28-09'!A:A,0))</f>
        <v/>
      </c>
      <c r="G326" s="100" t="str">
        <f t="array" ref="G326">INDEX('MTA 28-09'!J:J,MATCH(B326,'MTA 28-09'!A:A,0))</f>
        <v/>
      </c>
      <c r="H326" s="159" t="s">
        <v>157</v>
      </c>
      <c r="I326" s="296"/>
      <c r="J326" s="102"/>
      <c r="K326" s="103"/>
      <c r="L326" s="102" t="str">
        <f t="array" ref="L326">INDEX('MTA 28-09'!S:S,MATCH(B326,'MTA 28-09'!A:A,0))</f>
        <v>APOIO</v>
      </c>
      <c r="M326" s="98" t="str">
        <f t="array" ref="M326">INDEX('MTA 28-09'!T:T,MATCH(B326,'MTA 28-09'!A:A,0))</f>
        <v>Requisição FMS</v>
      </c>
      <c r="N326" s="98" t="str">
        <f t="array" ref="N326">INDEX('MTA 28-09'!U:U,MATCH(B326,'MTA 28-09'!A:A,0))</f>
        <v>Requisições Consumíveis 3/3</v>
      </c>
      <c r="O326" s="104">
        <f t="array" ref="O326">INDEX('MTA 28-09'!AC:AC,MATCH(B326,'MTA 28-09'!A:A,0))</f>
        <v>64000</v>
      </c>
      <c r="P326" s="98" t="str">
        <f t="array" ref="P326">INDEX('MTA 28-09'!N:N,MATCH(B326,'MTA 28-09'!A:A,0))</f>
        <v>FMS</v>
      </c>
      <c r="Q326" s="105" t="str">
        <f t="array" ref="Q326">INDEX('MTA 28-09'!Z:Z,MATCH(B326,'MTA 28-09'!A:A,0))</f>
        <v>339030</v>
      </c>
      <c r="R326" s="98" t="str">
        <f t="array" ref="R326">INDEX('MTA 28-09'!L:L,MATCH(B326,'MTA 28-09'!A:A,0))</f>
        <v>C</v>
      </c>
      <c r="S326" s="107" t="str">
        <f t="array" ref="S326">INDEX('MTA 28-09'!X:X,MATCH(B326,'MTA 28-09'!A:A,0))</f>
        <v>REQUISIÇÃO</v>
      </c>
      <c r="T326" s="107" t="str">
        <f t="array" ref="T326">INDEX('MTA 28-09'!W:W,MATCH(B326,'MTA 28-09'!A:A,0))</f>
        <v>NÃO</v>
      </c>
      <c r="U326" s="109">
        <f t="array" ref="U326">INDEX('MTA 28-09'!AE:AE,MATCH(B326,'MTA 28-09'!A:A,0))</f>
        <v>46260</v>
      </c>
      <c r="V326" s="29"/>
      <c r="W326" s="29"/>
      <c r="X326" s="29"/>
      <c r="Y326" s="29"/>
      <c r="Z326" s="29"/>
      <c r="AA326" s="29"/>
      <c r="AB326" s="29"/>
      <c r="AC326" s="29"/>
      <c r="AD326" s="29"/>
      <c r="AE326" s="29"/>
      <c r="AF326" s="29"/>
      <c r="AG326" s="29"/>
      <c r="AH326" s="29"/>
      <c r="AI326" s="29"/>
      <c r="AJ326" s="29"/>
      <c r="AK326" s="29"/>
      <c r="AL326" s="29"/>
      <c r="AM326" s="29"/>
    </row>
    <row r="327">
      <c r="A327" s="31" t="s">
        <v>1575</v>
      </c>
      <c r="B327" s="32">
        <v>15200.0</v>
      </c>
      <c r="C327" s="33" t="str">
        <f t="array" ref="C327">INDEX('MTA 28-09'!B:B,MATCH(B327,'MTA 28-09'!A:A,0))</f>
        <v>NÃO</v>
      </c>
      <c r="D327" s="34" t="str">
        <f t="array" ref="D327">INDEX('MTA 28-09'!D:D,MATCH(B327,'MTA 28-09'!A:A,0))</f>
        <v/>
      </c>
      <c r="E327" s="32" t="str">
        <f t="array" ref="E327">INDEX('MTA 28-09'!F:F,MATCH(B327,'MTA 28-09'!A:A,0))</f>
        <v/>
      </c>
      <c r="F327" s="35" t="str">
        <f t="array" ref="F327">INDEX('MTA 28-09'!I:I,MATCH(B327,'MTA 28-09'!A:A,0))</f>
        <v/>
      </c>
      <c r="G327" s="36" t="str">
        <f t="array" ref="G327">INDEX('MTA 28-09'!J:J,MATCH(B327,'MTA 28-09'!A:A,0))</f>
        <v/>
      </c>
      <c r="H327" s="287" t="s">
        <v>157</v>
      </c>
      <c r="I327" s="295"/>
      <c r="J327" s="39"/>
      <c r="K327" s="40"/>
      <c r="L327" s="39" t="str">
        <f t="array" ref="L327">INDEX('MTA 28-09'!S:S,MATCH(B327,'MTA 28-09'!A:A,0))</f>
        <v>APOIO</v>
      </c>
      <c r="M327" s="32" t="str">
        <f t="array" ref="M327">INDEX('MTA 28-09'!T:T,MATCH(B327,'MTA 28-09'!A:A,0))</f>
        <v>PN JET-EX8D; GROUND POWER UNIT – DIESEL ENGINE 28VDC.</v>
      </c>
      <c r="N327" s="32" t="str">
        <f t="array" ref="N327">INDEX('MTA 28-09'!U:U,MATCH(B327,'MTA 28-09'!A:A,0))</f>
        <v>PN JET-EX8D; GROUND POWER UNIT – DIESEL ENGINE 28VDC. 1 EA - 3/4</v>
      </c>
      <c r="O327" s="59">
        <f t="array" ref="O327">INDEX('MTA 28-09'!AC:AC,MATCH(B327,'MTA 28-09'!A:A,0))</f>
        <v>399000</v>
      </c>
      <c r="P327" s="32" t="str">
        <f t="array" ref="P327">INDEX('MTA 28-09'!N:N,MATCH(B327,'MTA 28-09'!A:A,0))</f>
        <v>CABW</v>
      </c>
      <c r="Q327" s="67" t="str">
        <f t="array" ref="Q327">INDEX('MTA 28-09'!Z:Z,MATCH(B327,'MTA 28-09'!A:A,0))</f>
        <v>449052</v>
      </c>
      <c r="R327" s="32" t="str">
        <f t="array" ref="R327">INDEX('MTA 28-09'!L:L,MATCH(B327,'MTA 28-09'!A:A,0))</f>
        <v>C</v>
      </c>
      <c r="S327" s="72" t="str">
        <f t="array" ref="S327">INDEX('MTA 28-09'!X:X,MATCH(B327,'MTA 28-09'!A:A,0))</f>
        <v>REQUISIÇÃO</v>
      </c>
      <c r="T327" s="72" t="str">
        <f t="array" ref="T327">INDEX('MTA 28-09'!W:W,MATCH(B327,'MTA 28-09'!A:A,0))</f>
        <v>NÃO</v>
      </c>
      <c r="U327" s="81">
        <f t="array" ref="U327">INDEX('MTA 28-09'!AE:AE,MATCH(B327,'MTA 28-09'!A:A,0))</f>
        <v>46260</v>
      </c>
      <c r="V327" s="12"/>
      <c r="W327" s="12"/>
      <c r="X327" s="12"/>
      <c r="Y327" s="12"/>
      <c r="Z327" s="12"/>
      <c r="AA327" s="12"/>
      <c r="AB327" s="12"/>
      <c r="AC327" s="12"/>
      <c r="AD327" s="12"/>
      <c r="AE327" s="12"/>
      <c r="AF327" s="12"/>
      <c r="AG327" s="12"/>
      <c r="AH327" s="12"/>
      <c r="AI327" s="12"/>
      <c r="AJ327" s="12"/>
      <c r="AK327" s="12"/>
      <c r="AL327" s="12"/>
      <c r="AM327" s="12"/>
    </row>
    <row r="328">
      <c r="A328" s="88" t="s">
        <v>1575</v>
      </c>
      <c r="B328" s="98">
        <v>15220.0</v>
      </c>
      <c r="C328" s="92" t="str">
        <f t="array" ref="C328">INDEX('MTA 28-09'!B:B,MATCH(B328,'MTA 28-09'!A:A,0))</f>
        <v>NÃO</v>
      </c>
      <c r="D328" s="95" t="str">
        <f t="array" ref="D328">INDEX('MTA 28-09'!D:D,MATCH(B328,'MTA 28-09'!A:A,0))</f>
        <v/>
      </c>
      <c r="E328" s="98" t="str">
        <f t="array" ref="E328">INDEX('MTA 28-09'!F:F,MATCH(B328,'MTA 28-09'!A:A,0))</f>
        <v/>
      </c>
      <c r="F328" s="152" t="str">
        <f t="array" ref="F328">INDEX('MTA 28-09'!I:I,MATCH(B328,'MTA 28-09'!A:A,0))</f>
        <v/>
      </c>
      <c r="G328" s="100" t="str">
        <f t="array" ref="G328">INDEX('MTA 28-09'!J:J,MATCH(B328,'MTA 28-09'!A:A,0))</f>
        <v/>
      </c>
      <c r="H328" s="159" t="s">
        <v>157</v>
      </c>
      <c r="I328" s="296"/>
      <c r="J328" s="102"/>
      <c r="K328" s="103"/>
      <c r="L328" s="102" t="str">
        <f t="array" ref="L328">INDEX('MTA 28-09'!S:S,MATCH(B328,'MTA 28-09'!A:A,0))</f>
        <v>APOIO</v>
      </c>
      <c r="M328" s="98" t="str">
        <f t="array" ref="M328">INDEX('MTA 28-09'!T:T,MATCH(B328,'MTA 28-09'!A:A,0))</f>
        <v>PN GPU-400; GROUND POWER UNIT – ELETRIC UNIT 28VDC.</v>
      </c>
      <c r="N328" s="98" t="str">
        <f t="array" ref="N328">INDEX('MTA 28-09'!U:U,MATCH(B328,'MTA 28-09'!A:A,0))</f>
        <v>PN GPU-400; GROUND POWER UNIT – ELETRIC UNIT 28VDC. 1 EA 1/3</v>
      </c>
      <c r="O328" s="104">
        <f t="array" ref="O328">INDEX('MTA 28-09'!AC:AC,MATCH(B328,'MTA 28-09'!A:A,0))</f>
        <v>91200</v>
      </c>
      <c r="P328" s="98" t="str">
        <f t="array" ref="P328">INDEX('MTA 28-09'!N:N,MATCH(B328,'MTA 28-09'!A:A,0))</f>
        <v>CABW</v>
      </c>
      <c r="Q328" s="105" t="str">
        <f t="array" ref="Q328">INDEX('MTA 28-09'!Z:Z,MATCH(B328,'MTA 28-09'!A:A,0))</f>
        <v>449052</v>
      </c>
      <c r="R328" s="98" t="str">
        <f t="array" ref="R328">INDEX('MTA 28-09'!L:L,MATCH(B328,'MTA 28-09'!A:A,0))</f>
        <v>C</v>
      </c>
      <c r="S328" s="107" t="str">
        <f t="array" ref="S328">INDEX('MTA 28-09'!X:X,MATCH(B328,'MTA 28-09'!A:A,0))</f>
        <v>REQUISIÇÃO</v>
      </c>
      <c r="T328" s="107" t="str">
        <f t="array" ref="T328">INDEX('MTA 28-09'!W:W,MATCH(B328,'MTA 28-09'!A:A,0))</f>
        <v>NÃO</v>
      </c>
      <c r="U328" s="109">
        <f t="array" ref="U328">INDEX('MTA 28-09'!AE:AE,MATCH(B328,'MTA 28-09'!A:A,0))</f>
        <v>46260</v>
      </c>
      <c r="V328" s="29"/>
      <c r="W328" s="29"/>
      <c r="X328" s="29"/>
      <c r="Y328" s="29"/>
      <c r="Z328" s="29"/>
      <c r="AA328" s="29"/>
      <c r="AB328" s="29"/>
      <c r="AC328" s="29"/>
      <c r="AD328" s="29"/>
      <c r="AE328" s="29"/>
      <c r="AF328" s="29"/>
      <c r="AG328" s="29"/>
      <c r="AH328" s="29"/>
      <c r="AI328" s="29"/>
      <c r="AJ328" s="29"/>
      <c r="AK328" s="29"/>
      <c r="AL328" s="29"/>
      <c r="AM328" s="29"/>
    </row>
    <row r="329">
      <c r="A329" s="31" t="s">
        <v>1575</v>
      </c>
      <c r="B329" s="32">
        <v>15240.0</v>
      </c>
      <c r="C329" s="33" t="str">
        <f t="array" ref="C329">INDEX('MTA 28-09'!B:B,MATCH(B329,'MTA 28-09'!A:A,0))</f>
        <v>NÃO</v>
      </c>
      <c r="D329" s="34" t="str">
        <f t="array" ref="D329">INDEX('MTA 28-09'!D:D,MATCH(B329,'MTA 28-09'!A:A,0))</f>
        <v/>
      </c>
      <c r="E329" s="32" t="str">
        <f t="array" ref="E329">INDEX('MTA 28-09'!F:F,MATCH(B329,'MTA 28-09'!A:A,0))</f>
        <v/>
      </c>
      <c r="F329" s="420" t="str">
        <f t="array" ref="F329">INDEX('MTA 28-09'!I:I,MATCH(B329,'MTA 28-09'!A:A,0))</f>
        <v/>
      </c>
      <c r="G329" s="36" t="str">
        <f t="array" ref="G329">INDEX('MTA 28-09'!J:J,MATCH(B329,'MTA 28-09'!A:A,0))</f>
        <v/>
      </c>
      <c r="H329" s="287" t="s">
        <v>157</v>
      </c>
      <c r="I329" s="295"/>
      <c r="J329" s="39"/>
      <c r="K329" s="40"/>
      <c r="L329" s="39" t="str">
        <f t="array" ref="L329">INDEX('MTA 28-09'!S:S,MATCH(B329,'MTA 28-09'!A:A,0))</f>
        <v>APOIO</v>
      </c>
      <c r="M329" s="32" t="str">
        <f t="array" ref="M329">INDEX('MTA 28-09'!T:T,MATCH(B329,'MTA 28-09'!A:A,0))</f>
        <v>Requisição FMS</v>
      </c>
      <c r="N329" s="32" t="str">
        <f t="array" ref="N329">INDEX('MTA 28-09'!U:U,MATCH(B329,'MTA 28-09'!A:A,0))</f>
        <v>Requisições Consumíveis 2/5</v>
      </c>
      <c r="O329" s="59">
        <f t="array" ref="O329">INDEX('MTA 28-09'!AC:AC,MATCH(B329,'MTA 28-09'!A:A,0))</f>
        <v>140000</v>
      </c>
      <c r="P329" s="32" t="str">
        <f t="array" ref="P329">INDEX('MTA 28-09'!N:N,MATCH(B329,'MTA 28-09'!A:A,0))</f>
        <v>FMS</v>
      </c>
      <c r="Q329" s="67" t="str">
        <f t="array" ref="Q329">INDEX('MTA 28-09'!Z:Z,MATCH(B329,'MTA 28-09'!A:A,0))</f>
        <v>339030</v>
      </c>
      <c r="R329" s="32" t="str">
        <f t="array" ref="R329">INDEX('MTA 28-09'!L:L,MATCH(B329,'MTA 28-09'!A:A,0))</f>
        <v>C</v>
      </c>
      <c r="S329" s="72" t="str">
        <f t="array" ref="S329">INDEX('MTA 28-09'!X:X,MATCH(B329,'MTA 28-09'!A:A,0))</f>
        <v>REQUISIÇÃO</v>
      </c>
      <c r="T329" s="72" t="str">
        <f t="array" ref="T329">INDEX('MTA 28-09'!W:W,MATCH(B329,'MTA 28-09'!A:A,0))</f>
        <v>NÃO</v>
      </c>
      <c r="U329" s="81">
        <f t="array" ref="U329">INDEX('MTA 28-09'!AE:AE,MATCH(B329,'MTA 28-09'!A:A,0))</f>
        <v>46260</v>
      </c>
      <c r="V329" s="12"/>
      <c r="W329" s="12"/>
      <c r="X329" s="12"/>
      <c r="Y329" s="12"/>
      <c r="Z329" s="12"/>
      <c r="AA329" s="12"/>
      <c r="AB329" s="12"/>
      <c r="AC329" s="12"/>
      <c r="AD329" s="12"/>
      <c r="AE329" s="12"/>
      <c r="AF329" s="12"/>
      <c r="AG329" s="12"/>
      <c r="AH329" s="12"/>
      <c r="AI329" s="12"/>
      <c r="AJ329" s="12"/>
      <c r="AK329" s="12"/>
      <c r="AL329" s="12"/>
      <c r="AM329" s="12"/>
    </row>
    <row r="330">
      <c r="A330" s="88" t="s">
        <v>1575</v>
      </c>
      <c r="B330" s="98">
        <v>15260.0</v>
      </c>
      <c r="C330" s="92" t="str">
        <f t="array" ref="C330">INDEX('MTA 28-09'!B:B,MATCH(B330,'MTA 28-09'!A:A,0))</f>
        <v>NÃO</v>
      </c>
      <c r="D330" s="95" t="str">
        <f t="array" ref="D330">INDEX('MTA 28-09'!D:D,MATCH(B330,'MTA 28-09'!A:A,0))</f>
        <v/>
      </c>
      <c r="E330" s="98" t="str">
        <f t="array" ref="E330">INDEX('MTA 28-09'!F:F,MATCH(B330,'MTA 28-09'!A:A,0))</f>
        <v/>
      </c>
      <c r="F330" s="423" t="str">
        <f t="array" ref="F330">INDEX('MTA 28-09'!I:I,MATCH(B330,'MTA 28-09'!A:A,0))</f>
        <v/>
      </c>
      <c r="G330" s="100" t="str">
        <f t="array" ref="G330">INDEX('MTA 28-09'!J:J,MATCH(B330,'MTA 28-09'!A:A,0))</f>
        <v/>
      </c>
      <c r="H330" s="159" t="s">
        <v>157</v>
      </c>
      <c r="I330" s="296"/>
      <c r="J330" s="102"/>
      <c r="K330" s="103"/>
      <c r="L330" s="102" t="str">
        <f t="array" ref="L330">INDEX('MTA 28-09'!S:S,MATCH(B330,'MTA 28-09'!A:A,0))</f>
        <v>APOIO</v>
      </c>
      <c r="M330" s="98" t="str">
        <f t="array" ref="M330">INDEX('MTA 28-09'!T:T,MATCH(B330,'MTA 28-09'!A:A,0))</f>
        <v>PN MAK ASU 250PPM; – AIR STARTER UNIT</v>
      </c>
      <c r="N330" s="98" t="str">
        <f t="array" ref="N330">INDEX('MTA 28-09'!U:U,MATCH(B330,'MTA 28-09'!A:A,0))</f>
        <v>PN MAK ASU 250PPM; – AIR STARTER UNIT – 1 EA; ATENDER EXOP CPBV</v>
      </c>
      <c r="O330" s="104">
        <f t="array" ref="O330">INDEX('MTA 28-09'!AC:AC,MATCH(B330,'MTA 28-09'!A:A,0))</f>
        <v>1425000</v>
      </c>
      <c r="P330" s="98" t="str">
        <f t="array" ref="P330">INDEX('MTA 28-09'!N:N,MATCH(B330,'MTA 28-09'!A:A,0))</f>
        <v>CABW</v>
      </c>
      <c r="Q330" s="105" t="str">
        <f t="array" ref="Q330">INDEX('MTA 28-09'!Z:Z,MATCH(B330,'MTA 28-09'!A:A,0))</f>
        <v>449052</v>
      </c>
      <c r="R330" s="98" t="str">
        <f t="array" ref="R330">INDEX('MTA 28-09'!L:L,MATCH(B330,'MTA 28-09'!A:A,0))</f>
        <v>C</v>
      </c>
      <c r="S330" s="107" t="str">
        <f t="array" ref="S330">INDEX('MTA 28-09'!X:X,MATCH(B330,'MTA 28-09'!A:A,0))</f>
        <v>REQUISIÇÃO</v>
      </c>
      <c r="T330" s="107" t="str">
        <f t="array" ref="T330">INDEX('MTA 28-09'!W:W,MATCH(B330,'MTA 28-09'!A:A,0))</f>
        <v>NÃO</v>
      </c>
      <c r="U330" s="109">
        <f t="array" ref="U330">INDEX('MTA 28-09'!AE:AE,MATCH(B330,'MTA 28-09'!A:A,0))</f>
        <v>46260</v>
      </c>
      <c r="V330" s="29"/>
      <c r="W330" s="29"/>
      <c r="X330" s="29"/>
      <c r="Y330" s="29"/>
      <c r="Z330" s="29"/>
      <c r="AA330" s="29"/>
      <c r="AB330" s="29"/>
      <c r="AC330" s="29"/>
      <c r="AD330" s="29"/>
      <c r="AE330" s="29"/>
      <c r="AF330" s="29"/>
      <c r="AG330" s="29"/>
      <c r="AH330" s="29"/>
      <c r="AI330" s="29"/>
      <c r="AJ330" s="29"/>
      <c r="AK330" s="29"/>
      <c r="AL330" s="29"/>
      <c r="AM330" s="29"/>
    </row>
    <row r="331">
      <c r="A331" s="31" t="s">
        <v>107</v>
      </c>
      <c r="B331" s="32">
        <v>15280.0</v>
      </c>
      <c r="C331" s="33" t="str">
        <f t="array" ref="C331">INDEX('MTA 28-09'!B:B,MATCH(B331,'MTA 28-09'!A:A,0))</f>
        <v>NÃO</v>
      </c>
      <c r="D331" s="34" t="str">
        <f t="array" ref="D331">INDEX('MTA 28-09'!D:D,MATCH(B331,'MTA 28-09'!A:A,0))</f>
        <v/>
      </c>
      <c r="E331" s="32" t="str">
        <f t="array" ref="E331">INDEX('MTA 28-09'!F:F,MATCH(B331,'MTA 28-09'!A:A,0))</f>
        <v/>
      </c>
      <c r="F331" s="420" t="str">
        <f t="array" ref="F331">INDEX('MTA 28-09'!I:I,MATCH(B331,'MTA 28-09'!A:A,0))</f>
        <v/>
      </c>
      <c r="G331" s="36" t="str">
        <f t="array" ref="G331">INDEX('MTA 28-09'!J:J,MATCH(B331,'MTA 28-09'!A:A,0))</f>
        <v/>
      </c>
      <c r="H331" s="287" t="s">
        <v>157</v>
      </c>
      <c r="I331" s="38" t="s">
        <v>1583</v>
      </c>
      <c r="J331" s="39"/>
      <c r="K331" s="40"/>
      <c r="L331" s="39" t="str">
        <f t="array" ref="L331">INDEX('MTA 28-09'!S:S,MATCH(B331,'MTA 28-09'!A:A,0))</f>
        <v>APOIO</v>
      </c>
      <c r="M331" s="32" t="str">
        <f t="array" ref="M331">INDEX('MTA 28-09'!T:T,MATCH(B331,'MTA 28-09'!A:A,0))</f>
        <v>REQUISIÇÃO LOTAÇÃO SSS</v>
      </c>
      <c r="N331" s="32" t="str">
        <f t="array" ref="N331">INDEX('MTA 28-09'!U:U,MATCH(B331,'MTA 28-09'!A:A,0))</f>
        <v>AQUISIÇÃO ITENS SSS ATENDER 100% DA LOTAÇÃO (CABW) 2/4</v>
      </c>
      <c r="O331" s="59">
        <f t="array" ref="O331">INDEX('MTA 28-09'!AC:AC,MATCH(B331,'MTA 28-09'!A:A,0))</f>
        <v>1441730.18</v>
      </c>
      <c r="P331" s="32" t="str">
        <f t="array" ref="P331">INDEX('MTA 28-09'!N:N,MATCH(B331,'MTA 28-09'!A:A,0))</f>
        <v>CABW</v>
      </c>
      <c r="Q331" s="67" t="str">
        <f t="array" ref="Q331">INDEX('MTA 28-09'!Z:Z,MATCH(B331,'MTA 28-09'!A:A,0))</f>
        <v>339030</v>
      </c>
      <c r="R331" s="32" t="str">
        <f t="array" ref="R331">INDEX('MTA 28-09'!L:L,MATCH(B331,'MTA 28-09'!A:A,0))</f>
        <v>C</v>
      </c>
      <c r="S331" s="72" t="str">
        <f t="array" ref="S331">INDEX('MTA 28-09'!X:X,MATCH(B331,'MTA 28-09'!A:A,0))</f>
        <v>REQUISIÇÃO</v>
      </c>
      <c r="T331" s="72" t="str">
        <f t="array" ref="T331">INDEX('MTA 28-09'!W:W,MATCH(B331,'MTA 28-09'!A:A,0))</f>
        <v>NÃO</v>
      </c>
      <c r="U331" s="81">
        <f t="array" ref="U331">INDEX('MTA 28-09'!AE:AE,MATCH(B331,'MTA 28-09'!A:A,0))</f>
        <v>46260</v>
      </c>
      <c r="V331" s="12"/>
      <c r="W331" s="12"/>
      <c r="X331" s="12"/>
      <c r="Y331" s="12"/>
      <c r="Z331" s="12"/>
      <c r="AA331" s="12"/>
      <c r="AB331" s="12"/>
      <c r="AC331" s="12"/>
      <c r="AD331" s="12"/>
      <c r="AE331" s="12"/>
      <c r="AF331" s="12"/>
      <c r="AG331" s="12"/>
      <c r="AH331" s="12"/>
      <c r="AI331" s="12"/>
      <c r="AJ331" s="12"/>
      <c r="AK331" s="12"/>
      <c r="AL331" s="12"/>
      <c r="AM331" s="12"/>
    </row>
    <row r="332">
      <c r="A332" s="88" t="s">
        <v>1575</v>
      </c>
      <c r="B332" s="98">
        <v>15300.0</v>
      </c>
      <c r="C332" s="92" t="str">
        <f t="array" ref="C332">INDEX('MTA 28-09'!B:B,MATCH(B332,'MTA 28-09'!A:A,0))</f>
        <v>NÃO</v>
      </c>
      <c r="D332" s="95" t="str">
        <f t="array" ref="D332">INDEX('MTA 28-09'!D:D,MATCH(B332,'MTA 28-09'!A:A,0))</f>
        <v/>
      </c>
      <c r="E332" s="98" t="str">
        <f t="array" ref="E332">INDEX('MTA 28-09'!F:F,MATCH(B332,'MTA 28-09'!A:A,0))</f>
        <v/>
      </c>
      <c r="F332" s="289" t="str">
        <f t="array" ref="F332">INDEX('MTA 28-09'!I:I,MATCH(B332,'MTA 28-09'!A:A,0))</f>
        <v/>
      </c>
      <c r="G332" s="100" t="str">
        <f t="array" ref="G332">INDEX('MTA 28-09'!J:J,MATCH(B332,'MTA 28-09'!A:A,0))</f>
        <v/>
      </c>
      <c r="H332" s="159" t="s">
        <v>157</v>
      </c>
      <c r="I332" s="296"/>
      <c r="J332" s="102"/>
      <c r="K332" s="103"/>
      <c r="L332" s="102" t="str">
        <f t="array" ref="L332">INDEX('MTA 28-09'!S:S,MATCH(B332,'MTA 28-09'!A:A,0))</f>
        <v>APOIO</v>
      </c>
      <c r="M332" s="98" t="str">
        <f t="array" ref="M332">INDEX('MTA 28-09'!T:T,MATCH(B332,'MTA 28-09'!A:A,0))</f>
        <v>PN JET-EX8D; GROUND POWER UNIT – DIESEL ENGINE 28VDC.</v>
      </c>
      <c r="N332" s="98" t="str">
        <f t="array" ref="N332">INDEX('MTA 28-09'!U:U,MATCH(B332,'MTA 28-09'!A:A,0))</f>
        <v>PN JET-EX8D; GROUND POWER UNIT – DIESEL ENGINE 28VDC. 1 EA - 4/4</v>
      </c>
      <c r="O332" s="104">
        <f t="array" ref="O332">INDEX('MTA 28-09'!AC:AC,MATCH(B332,'MTA 28-09'!A:A,0))</f>
        <v>399000</v>
      </c>
      <c r="P332" s="98" t="str">
        <f t="array" ref="P332">INDEX('MTA 28-09'!N:N,MATCH(B332,'MTA 28-09'!A:A,0))</f>
        <v>CABW</v>
      </c>
      <c r="Q332" s="105" t="str">
        <f t="array" ref="Q332">INDEX('MTA 28-09'!Z:Z,MATCH(B332,'MTA 28-09'!A:A,0))</f>
        <v>449052</v>
      </c>
      <c r="R332" s="98" t="str">
        <f t="array" ref="R332">INDEX('MTA 28-09'!L:L,MATCH(B332,'MTA 28-09'!A:A,0))</f>
        <v>C</v>
      </c>
      <c r="S332" s="107" t="str">
        <f t="array" ref="S332">INDEX('MTA 28-09'!X:X,MATCH(B332,'MTA 28-09'!A:A,0))</f>
        <v>REQUISIÇÃO</v>
      </c>
      <c r="T332" s="107" t="str">
        <f t="array" ref="T332">INDEX('MTA 28-09'!W:W,MATCH(B332,'MTA 28-09'!A:A,0))</f>
        <v>NÃO</v>
      </c>
      <c r="U332" s="109">
        <f t="array" ref="U332">INDEX('MTA 28-09'!AE:AE,MATCH(B332,'MTA 28-09'!A:A,0))</f>
        <v>46260</v>
      </c>
      <c r="V332" s="29"/>
      <c r="W332" s="29"/>
      <c r="X332" s="29"/>
      <c r="Y332" s="29"/>
      <c r="Z332" s="29"/>
      <c r="AA332" s="29"/>
      <c r="AB332" s="29"/>
      <c r="AC332" s="29"/>
      <c r="AD332" s="29"/>
      <c r="AE332" s="29"/>
      <c r="AF332" s="29"/>
      <c r="AG332" s="29"/>
      <c r="AH332" s="29"/>
      <c r="AI332" s="29"/>
      <c r="AJ332" s="29"/>
      <c r="AK332" s="29"/>
      <c r="AL332" s="29"/>
      <c r="AM332" s="29"/>
    </row>
    <row r="333">
      <c r="A333" s="31" t="s">
        <v>1572</v>
      </c>
      <c r="B333" s="32">
        <v>15320.0</v>
      </c>
      <c r="C333" s="33" t="str">
        <f t="array" ref="C333">INDEX('MTA 28-09'!B:B,MATCH(B333,'MTA 28-09'!A:A,0))</f>
        <v>NÃO</v>
      </c>
      <c r="D333" s="34" t="str">
        <f t="array" ref="D333">INDEX('MTA 28-09'!D:D,MATCH(B333,'MTA 28-09'!A:A,0))</f>
        <v/>
      </c>
      <c r="E333" s="32" t="str">
        <f t="array" ref="E333">INDEX('MTA 28-09'!F:F,MATCH(B333,'MTA 28-09'!A:A,0))</f>
        <v/>
      </c>
      <c r="F333" s="294" t="str">
        <f t="array" ref="F333">INDEX('MTA 28-09'!I:I,MATCH(B333,'MTA 28-09'!A:A,0))</f>
        <v/>
      </c>
      <c r="G333" s="36" t="str">
        <f t="array" ref="G333">INDEX('MTA 28-09'!J:J,MATCH(B333,'MTA 28-09'!A:A,0))</f>
        <v/>
      </c>
      <c r="H333" s="287" t="s">
        <v>157</v>
      </c>
      <c r="I333" s="295"/>
      <c r="J333" s="39"/>
      <c r="K333" s="40"/>
      <c r="L333" s="39" t="str">
        <f t="array" ref="L333">INDEX('MTA 28-09'!S:S,MATCH(B333,'MTA 28-09'!A:A,0))</f>
        <v>APOIO</v>
      </c>
      <c r="M333" s="32" t="str">
        <f t="array" ref="M333">INDEX('MTA 28-09'!T:T,MATCH(B333,'MTA 28-09'!A:A,0))</f>
        <v>Requisição FMS</v>
      </c>
      <c r="N333" s="32" t="str">
        <f t="array" ref="N333">INDEX('MTA 28-09'!U:U,MATCH(B333,'MTA 28-09'!A:A,0))</f>
        <v>Requisições Consumíveis 4/4</v>
      </c>
      <c r="O333" s="59">
        <f t="array" ref="O333">INDEX('MTA 28-09'!AC:AC,MATCH(B333,'MTA 28-09'!A:A,0))</f>
        <v>196000</v>
      </c>
      <c r="P333" s="32" t="str">
        <f t="array" ref="P333">INDEX('MTA 28-09'!N:N,MATCH(B333,'MTA 28-09'!A:A,0))</f>
        <v>FMS</v>
      </c>
      <c r="Q333" s="67" t="str">
        <f t="array" ref="Q333">INDEX('MTA 28-09'!Z:Z,MATCH(B333,'MTA 28-09'!A:A,0))</f>
        <v>339030</v>
      </c>
      <c r="R333" s="32" t="str">
        <f t="array" ref="R333">INDEX('MTA 28-09'!L:L,MATCH(B333,'MTA 28-09'!A:A,0))</f>
        <v>C</v>
      </c>
      <c r="S333" s="72" t="str">
        <f t="array" ref="S333">INDEX('MTA 28-09'!X:X,MATCH(B333,'MTA 28-09'!A:A,0))</f>
        <v>REQUISIÇÃO</v>
      </c>
      <c r="T333" s="72" t="str">
        <f t="array" ref="T333">INDEX('MTA 28-09'!W:W,MATCH(B333,'MTA 28-09'!A:A,0))</f>
        <v>NÃO</v>
      </c>
      <c r="U333" s="81">
        <f t="array" ref="U333">INDEX('MTA 28-09'!AE:AE,MATCH(B333,'MTA 28-09'!A:A,0))</f>
        <v>46260</v>
      </c>
      <c r="V333" s="12"/>
      <c r="W333" s="12"/>
      <c r="X333" s="12"/>
      <c r="Y333" s="12"/>
      <c r="Z333" s="12"/>
      <c r="AA333" s="12"/>
      <c r="AB333" s="12"/>
      <c r="AC333" s="12"/>
      <c r="AD333" s="12"/>
      <c r="AE333" s="12"/>
      <c r="AF333" s="12"/>
      <c r="AG333" s="12"/>
      <c r="AH333" s="12"/>
      <c r="AI333" s="12"/>
      <c r="AJ333" s="12"/>
      <c r="AK333" s="12"/>
      <c r="AL333" s="12"/>
      <c r="AM333" s="12"/>
    </row>
    <row r="334">
      <c r="A334" s="88" t="s">
        <v>99</v>
      </c>
      <c r="B334" s="98">
        <v>15340.0</v>
      </c>
      <c r="C334" s="92" t="str">
        <f t="array" ref="C334">INDEX('MTA 28-09'!B:B,MATCH(B334,'MTA 28-09'!A:A,0))</f>
        <v>NÃO</v>
      </c>
      <c r="D334" s="95" t="str">
        <f t="array" ref="D334">INDEX('MTA 28-09'!D:D,MATCH(B334,'MTA 28-09'!A:A,0))</f>
        <v/>
      </c>
      <c r="E334" s="98" t="str">
        <f t="array" ref="E334">INDEX('MTA 28-09'!F:F,MATCH(B334,'MTA 28-09'!A:A,0))</f>
        <v/>
      </c>
      <c r="F334" s="99" t="str">
        <f t="array" ref="F334">INDEX('MTA 28-09'!I:I,MATCH(B334,'MTA 28-09'!A:A,0))</f>
        <v/>
      </c>
      <c r="G334" s="100" t="str">
        <f t="array" ref="G334">INDEX('MTA 28-09'!J:J,MATCH(B334,'MTA 28-09'!A:A,0))</f>
        <v/>
      </c>
      <c r="H334" s="159" t="s">
        <v>157</v>
      </c>
      <c r="I334" s="296"/>
      <c r="J334" s="102"/>
      <c r="K334" s="103"/>
      <c r="L334" s="102" t="str">
        <f t="array" ref="L334">INDEX('MTA 28-09'!S:S,MATCH(B334,'MTA 28-09'!A:A,0))</f>
        <v>APOIO</v>
      </c>
      <c r="M334" s="98" t="str">
        <f t="array" ref="M334">INDEX('MTA 28-09'!T:T,MATCH(B334,'MTA 28-09'!A:A,0))</f>
        <v>CNT 032/CELOG-PAMALS/2025 - SENAI</v>
      </c>
      <c r="N334" s="98" t="str">
        <f t="array" ref="N334">INDEX('MTA 28-09'!U:U,MATCH(B334,'MTA 28-09'!A:A,0))</f>
        <v>Confecção de itens manufaturados 2/4</v>
      </c>
      <c r="O334" s="104">
        <f t="array" ref="O334">INDEX('MTA 28-09'!AC:AC,MATCH(B334,'MTA 28-09'!A:A,0))</f>
        <v>648000</v>
      </c>
      <c r="P334" s="98" t="str">
        <f t="array" ref="P334">INDEX('MTA 28-09'!N:N,MATCH(B334,'MTA 28-09'!A:A,0))</f>
        <v>CELOG</v>
      </c>
      <c r="Q334" s="105" t="str">
        <f t="array" ref="Q334">INDEX('MTA 28-09'!Z:Z,MATCH(B334,'MTA 28-09'!A:A,0))</f>
        <v>339039</v>
      </c>
      <c r="R334" s="98" t="str">
        <f t="array" ref="R334">INDEX('MTA 28-09'!L:L,MATCH(B334,'MTA 28-09'!A:A,0))</f>
        <v>C</v>
      </c>
      <c r="S334" s="107" t="str">
        <f t="array" ref="S334">INDEX('MTA 28-09'!X:X,MATCH(B334,'MTA 28-09'!A:A,0))</f>
        <v>SOB DEMANDA</v>
      </c>
      <c r="T334" s="107" t="str">
        <f t="array" ref="T334">INDEX('MTA 28-09'!W:W,MATCH(B334,'MTA 28-09'!A:A,0))</f>
        <v>NÃO</v>
      </c>
      <c r="U334" s="109">
        <f t="array" ref="U334">INDEX('MTA 28-09'!AE:AE,MATCH(B334,'MTA 28-09'!A:A,0))</f>
        <v>46260</v>
      </c>
      <c r="V334" s="29"/>
      <c r="W334" s="29"/>
      <c r="X334" s="29"/>
      <c r="Y334" s="29"/>
      <c r="Z334" s="29"/>
      <c r="AA334" s="29"/>
      <c r="AB334" s="29"/>
      <c r="AC334" s="29"/>
      <c r="AD334" s="29"/>
      <c r="AE334" s="29"/>
      <c r="AF334" s="29"/>
      <c r="AG334" s="29"/>
      <c r="AH334" s="29"/>
      <c r="AI334" s="29"/>
      <c r="AJ334" s="29"/>
      <c r="AK334" s="29"/>
      <c r="AL334" s="29"/>
      <c r="AM334" s="29"/>
    </row>
    <row r="335">
      <c r="A335" s="31" t="s">
        <v>99</v>
      </c>
      <c r="B335" s="32">
        <v>15360.0</v>
      </c>
      <c r="C335" s="33" t="str">
        <f t="array" ref="C335">INDEX('MTA 28-09'!B:B,MATCH(B335,'MTA 28-09'!A:A,0))</f>
        <v>NÃO</v>
      </c>
      <c r="D335" s="34" t="str">
        <f t="array" ref="D335">INDEX('MTA 28-09'!D:D,MATCH(B335,'MTA 28-09'!A:A,0))</f>
        <v/>
      </c>
      <c r="E335" s="32" t="str">
        <f t="array" ref="E335">INDEX('MTA 28-09'!F:F,MATCH(B335,'MTA 28-09'!A:A,0))</f>
        <v/>
      </c>
      <c r="F335" s="294" t="str">
        <f t="array" ref="F335">INDEX('MTA 28-09'!I:I,MATCH(B335,'MTA 28-09'!A:A,0))</f>
        <v/>
      </c>
      <c r="G335" s="36" t="str">
        <f t="array" ref="G335">INDEX('MTA 28-09'!J:J,MATCH(B335,'MTA 28-09'!A:A,0))</f>
        <v/>
      </c>
      <c r="H335" s="287" t="s">
        <v>157</v>
      </c>
      <c r="I335" s="295"/>
      <c r="J335" s="39"/>
      <c r="K335" s="40"/>
      <c r="L335" s="39" t="str">
        <f t="array" ref="L335">INDEX('MTA 28-09'!S:S,MATCH(B335,'MTA 28-09'!A:A,0))</f>
        <v>APOIO</v>
      </c>
      <c r="M335" s="32" t="str">
        <f t="array" ref="M335">INDEX('MTA 28-09'!T:T,MATCH(B335,'MTA 28-09'!A:A,0))</f>
        <v>CNT XXX/GAPLS/2026 - Revisão/Manutenção de maquinários da TOFI - Serviço</v>
      </c>
      <c r="N335" s="32" t="str">
        <f t="array" ref="N335">INDEX('MTA 28-09'!U:U,MATCH(B335,'MTA 28-09'!A:A,0))</f>
        <v>Serviço de revisão/manutenção preventiva e corretiva dos maquinários da TOFI 3/6</v>
      </c>
      <c r="O335" s="59">
        <f t="array" ref="O335">INDEX('MTA 28-09'!AC:AC,MATCH(B335,'MTA 28-09'!A:A,0))</f>
        <v>324000</v>
      </c>
      <c r="P335" s="32" t="str">
        <f t="array" ref="P335">INDEX('MTA 28-09'!N:N,MATCH(B335,'MTA 28-09'!A:A,0))</f>
        <v>GAP-LS</v>
      </c>
      <c r="Q335" s="67" t="str">
        <f t="array" ref="Q335">INDEX('MTA 28-09'!Z:Z,MATCH(B335,'MTA 28-09'!A:A,0))</f>
        <v>339039</v>
      </c>
      <c r="R335" s="32" t="str">
        <f t="array" ref="R335">INDEX('MTA 28-09'!L:L,MATCH(B335,'MTA 28-09'!A:A,0))</f>
        <v>C</v>
      </c>
      <c r="S335" s="72" t="str">
        <f t="array" ref="S335">INDEX('MTA 28-09'!X:X,MATCH(B335,'MTA 28-09'!A:A,0))</f>
        <v>SOB DEMANDA</v>
      </c>
      <c r="T335" s="72" t="str">
        <f t="array" ref="T335">INDEX('MTA 28-09'!W:W,MATCH(B335,'MTA 28-09'!A:A,0))</f>
        <v>NÃO</v>
      </c>
      <c r="U335" s="81">
        <f t="array" ref="U335">INDEX('MTA 28-09'!AE:AE,MATCH(B335,'MTA 28-09'!A:A,0))</f>
        <v>46260</v>
      </c>
      <c r="V335" s="12"/>
      <c r="W335" s="12"/>
      <c r="X335" s="12"/>
      <c r="Y335" s="12"/>
      <c r="Z335" s="12"/>
      <c r="AA335" s="12"/>
      <c r="AB335" s="12"/>
      <c r="AC335" s="12"/>
      <c r="AD335" s="12"/>
      <c r="AE335" s="12"/>
      <c r="AF335" s="12"/>
      <c r="AG335" s="12"/>
      <c r="AH335" s="12"/>
      <c r="AI335" s="12"/>
      <c r="AJ335" s="12"/>
      <c r="AK335" s="12"/>
      <c r="AL335" s="12"/>
      <c r="AM335" s="12"/>
    </row>
    <row r="336">
      <c r="A336" s="88" t="s">
        <v>45</v>
      </c>
      <c r="B336" s="98">
        <v>15380.0</v>
      </c>
      <c r="C336" s="92" t="str">
        <f t="array" ref="C336">INDEX('MTA 28-09'!B:B,MATCH(B336,'MTA 28-09'!A:A,0))</f>
        <v>SIM</v>
      </c>
      <c r="D336" s="95" t="str">
        <f t="array" ref="D336">INDEX('MTA 28-09'!D:D,MATCH(B336,'MTA 28-09'!A:A,0))</f>
        <v>DESTQ28</v>
      </c>
      <c r="E336" s="98" t="str">
        <f t="array" ref="E336">INDEX('MTA 28-09'!F:F,MATCH(B336,'MTA 28-09'!A:A,0))</f>
        <v>ATENDIDO</v>
      </c>
      <c r="F336" s="99">
        <f t="array" ref="F336">INDEX('MTA 28-09'!I:I,MATCH(B336,'MTA 28-09'!A:A,0))</f>
        <v>46199</v>
      </c>
      <c r="G336" s="100" t="str">
        <f t="array" ref="G336">INDEX('MTA 28-09'!J:J,MATCH(B336,'MTA 28-09'!A:A,0))</f>
        <v>C26324</v>
      </c>
      <c r="H336" s="101" t="s">
        <v>375</v>
      </c>
      <c r="I336" s="90"/>
      <c r="J336" s="102"/>
      <c r="K336" s="103"/>
      <c r="L336" s="102" t="str">
        <f t="array" ref="L336">INDEX('MTA 28-09'!S:S,MATCH(B336,'MTA 28-09'!A:A,0))</f>
        <v>C-98</v>
      </c>
      <c r="M336" s="98" t="str">
        <f t="array" ref="M336">INDEX('MTA 28-09'!T:T,MATCH(B336,'MTA 28-09'!A:A,0))</f>
        <v>CNT 005/CELOG-PAMALS/2025 - VEE ONE</v>
      </c>
      <c r="N336" s="98" t="str">
        <f t="array" ref="N336">INDEX('MTA 28-09'!U:U,MATCH(B336,'MTA 28-09'!A:A,0))</f>
        <v>Módulo Extra - Sob demanda 1/3</v>
      </c>
      <c r="O336" s="104">
        <f t="array" ref="O336">INDEX('MTA 28-09'!AC:AC,MATCH(B336,'MTA 28-09'!A:A,0))</f>
        <v>150000</v>
      </c>
      <c r="P336" s="98" t="str">
        <f t="array" ref="P336">INDEX('MTA 28-09'!N:N,MATCH(B336,'MTA 28-09'!A:A,0))</f>
        <v>CELOG</v>
      </c>
      <c r="Q336" s="105" t="str">
        <f t="array" ref="Q336">INDEX('MTA 28-09'!Z:Z,MATCH(B336,'MTA 28-09'!A:A,0))</f>
        <v>339039</v>
      </c>
      <c r="R336" s="98" t="str">
        <f t="array" ref="R336">INDEX('MTA 28-09'!L:L,MATCH(B336,'MTA 28-09'!A:A,0))</f>
        <v>A</v>
      </c>
      <c r="S336" s="107" t="str">
        <f t="array" ref="S336">INDEX('MTA 28-09'!X:X,MATCH(B336,'MTA 28-09'!A:A,0))</f>
        <v>SOB DEMANDA</v>
      </c>
      <c r="T336" s="107" t="str">
        <f t="array" ref="T336">INDEX('MTA 28-09'!W:W,MATCH(B336,'MTA 28-09'!A:A,0))</f>
        <v>Não</v>
      </c>
      <c r="U336" s="109">
        <f t="array" ref="U336">INDEX('MTA 28-09'!AE:AE,MATCH(B336,'MTA 28-09'!A:A,0))</f>
        <v>46260</v>
      </c>
      <c r="V336" s="29"/>
      <c r="W336" s="29"/>
      <c r="X336" s="29"/>
      <c r="Y336" s="29"/>
      <c r="Z336" s="29"/>
      <c r="AA336" s="29"/>
      <c r="AB336" s="29"/>
      <c r="AC336" s="29"/>
      <c r="AD336" s="29"/>
      <c r="AE336" s="29"/>
      <c r="AF336" s="29"/>
      <c r="AG336" s="29"/>
      <c r="AH336" s="29"/>
      <c r="AI336" s="29"/>
      <c r="AJ336" s="29"/>
      <c r="AK336" s="29"/>
      <c r="AL336" s="29"/>
      <c r="AM336" s="29"/>
    </row>
    <row r="337">
      <c r="A337" s="31" t="s">
        <v>45</v>
      </c>
      <c r="B337" s="32">
        <v>15400.0</v>
      </c>
      <c r="C337" s="33" t="str">
        <f t="array" ref="C337">INDEX('MTA 28-09'!B:B,MATCH(B337,'MTA 28-09'!A:A,0))</f>
        <v>SIM</v>
      </c>
      <c r="D337" s="34" t="str">
        <f t="array" ref="D337">INDEX('MTA 28-09'!D:D,MATCH(B337,'MTA 28-09'!A:A,0))</f>
        <v>DESTQ28</v>
      </c>
      <c r="E337" s="32" t="str">
        <f t="array" ref="E337">INDEX('MTA 28-09'!F:F,MATCH(B337,'MTA 28-09'!A:A,0))</f>
        <v>ATENDIDO</v>
      </c>
      <c r="F337" s="35">
        <f t="array" ref="F337">INDEX('MTA 28-09'!I:I,MATCH(B337,'MTA 28-09'!A:A,0))</f>
        <v>46199</v>
      </c>
      <c r="G337" s="36" t="str">
        <f t="array" ref="G337">INDEX('MTA 28-09'!J:J,MATCH(B337,'MTA 28-09'!A:A,0))</f>
        <v>C26324</v>
      </c>
      <c r="H337" s="37" t="s">
        <v>375</v>
      </c>
      <c r="I337" s="38"/>
      <c r="J337" s="39"/>
      <c r="K337" s="40"/>
      <c r="L337" s="39" t="str">
        <f t="array" ref="L337">INDEX('MTA 28-09'!S:S,MATCH(B337,'MTA 28-09'!A:A,0))</f>
        <v>C-98</v>
      </c>
      <c r="M337" s="32" t="str">
        <f t="array" ref="M337">INDEX('MTA 28-09'!T:T,MATCH(B337,'MTA 28-09'!A:A,0))</f>
        <v>CNT 005/CELOG-PAMALS/2025 - VEE ONE</v>
      </c>
      <c r="N337" s="32" t="str">
        <f t="array" ref="N337">INDEX('MTA 28-09'!U:U,MATCH(B337,'MTA 28-09'!A:A,0))</f>
        <v>Módulo Extra - Sob demanda 2/3</v>
      </c>
      <c r="O337" s="59">
        <f t="array" ref="O337">INDEX('MTA 28-09'!AC:AC,MATCH(B337,'MTA 28-09'!A:A,0))</f>
        <v>150000</v>
      </c>
      <c r="P337" s="32" t="str">
        <f t="array" ref="P337">INDEX('MTA 28-09'!N:N,MATCH(B337,'MTA 28-09'!A:A,0))</f>
        <v>CELOG</v>
      </c>
      <c r="Q337" s="67" t="str">
        <f t="array" ref="Q337">INDEX('MTA 28-09'!Z:Z,MATCH(B337,'MTA 28-09'!A:A,0))</f>
        <v>339039</v>
      </c>
      <c r="R337" s="32" t="str">
        <f t="array" ref="R337">INDEX('MTA 28-09'!L:L,MATCH(B337,'MTA 28-09'!A:A,0))</f>
        <v>A</v>
      </c>
      <c r="S337" s="72" t="str">
        <f t="array" ref="S337">INDEX('MTA 28-09'!X:X,MATCH(B337,'MTA 28-09'!A:A,0))</f>
        <v>SOB DEMANDA</v>
      </c>
      <c r="T337" s="72" t="str">
        <f t="array" ref="T337">INDEX('MTA 28-09'!W:W,MATCH(B337,'MTA 28-09'!A:A,0))</f>
        <v>Não</v>
      </c>
      <c r="U337" s="81">
        <f t="array" ref="U337">INDEX('MTA 28-09'!AE:AE,MATCH(B337,'MTA 28-09'!A:A,0))</f>
        <v>46260</v>
      </c>
      <c r="V337" s="12"/>
      <c r="W337" s="12"/>
      <c r="X337" s="12"/>
      <c r="Y337" s="12"/>
      <c r="Z337" s="12"/>
      <c r="AA337" s="12"/>
      <c r="AB337" s="12"/>
      <c r="AC337" s="12"/>
      <c r="AD337" s="12"/>
      <c r="AE337" s="12"/>
      <c r="AF337" s="12"/>
      <c r="AG337" s="12"/>
      <c r="AH337" s="12"/>
      <c r="AI337" s="12"/>
      <c r="AJ337" s="12"/>
      <c r="AK337" s="12"/>
      <c r="AL337" s="12"/>
      <c r="AM337" s="12"/>
    </row>
    <row r="338">
      <c r="A338" s="88" t="s">
        <v>45</v>
      </c>
      <c r="B338" s="98">
        <v>15420.0</v>
      </c>
      <c r="C338" s="92" t="str">
        <f t="array" ref="C338">INDEX('MTA 28-09'!B:B,MATCH(B338,'MTA 28-09'!A:A,0))</f>
        <v>SIM</v>
      </c>
      <c r="D338" s="95" t="str">
        <f t="array" ref="D338">INDEX('MTA 28-09'!D:D,MATCH(B338,'MTA 28-09'!A:A,0))</f>
        <v>DESTQ31</v>
      </c>
      <c r="E338" s="98" t="str">
        <f t="array" ref="E338">INDEX('MTA 28-09'!F:F,MATCH(B338,'MTA 28-09'!A:A,0))</f>
        <v>ATENDIDO</v>
      </c>
      <c r="F338" s="289">
        <f t="array" ref="F338">INDEX('MTA 28-09'!I:I,MATCH(B338,'MTA 28-09'!A:A,0))</f>
        <v>46199</v>
      </c>
      <c r="G338" s="100" t="str">
        <f t="array" ref="G338">INDEX('MTA 28-09'!J:J,MATCH(B338,'MTA 28-09'!A:A,0))</f>
        <v>C26326</v>
      </c>
      <c r="H338" s="101" t="s">
        <v>375</v>
      </c>
      <c r="I338" s="90"/>
      <c r="J338" s="102"/>
      <c r="K338" s="103"/>
      <c r="L338" s="102" t="str">
        <f t="array" ref="L338">INDEX('MTA 28-09'!S:S,MATCH(B338,'MTA 28-09'!A:A,0))</f>
        <v>C-98</v>
      </c>
      <c r="M338" s="98" t="str">
        <f t="array" ref="M338">INDEX('MTA 28-09'!T:T,MATCH(B338,'MTA 28-09'!A:A,0))</f>
        <v>CNT 005/CELOG-PAMALS/2025 - VEE ONE</v>
      </c>
      <c r="N338" s="98" t="str">
        <f t="array" ref="N338">INDEX('MTA 28-09'!U:U,MATCH(B338,'MTA 28-09'!A:A,0))</f>
        <v>Módulo Extra - Sob demanda 3/3</v>
      </c>
      <c r="O338" s="104">
        <f t="array" ref="O338">INDEX('MTA 28-09'!AC:AC,MATCH(B338,'MTA 28-09'!A:A,0))</f>
        <v>18462.36</v>
      </c>
      <c r="P338" s="98" t="str">
        <f t="array" ref="P338">INDEX('MTA 28-09'!N:N,MATCH(B338,'MTA 28-09'!A:A,0))</f>
        <v>CELOG</v>
      </c>
      <c r="Q338" s="105" t="str">
        <f t="array" ref="Q338">INDEX('MTA 28-09'!Z:Z,MATCH(B338,'MTA 28-09'!A:A,0))</f>
        <v>339039</v>
      </c>
      <c r="R338" s="98" t="str">
        <f t="array" ref="R338">INDEX('MTA 28-09'!L:L,MATCH(B338,'MTA 28-09'!A:A,0))</f>
        <v>A</v>
      </c>
      <c r="S338" s="107" t="str">
        <f t="array" ref="S338">INDEX('MTA 28-09'!X:X,MATCH(B338,'MTA 28-09'!A:A,0))</f>
        <v>SOB DEMANDA</v>
      </c>
      <c r="T338" s="107" t="str">
        <f t="array" ref="T338">INDEX('MTA 28-09'!W:W,MATCH(B338,'MTA 28-09'!A:A,0))</f>
        <v>Não</v>
      </c>
      <c r="U338" s="109">
        <f t="array" ref="U338">INDEX('MTA 28-09'!AE:AE,MATCH(B338,'MTA 28-09'!A:A,0))</f>
        <v>46260</v>
      </c>
      <c r="V338" s="29"/>
      <c r="W338" s="29"/>
      <c r="X338" s="29"/>
      <c r="Y338" s="29"/>
      <c r="Z338" s="29"/>
      <c r="AA338" s="29"/>
      <c r="AB338" s="29"/>
      <c r="AC338" s="29"/>
      <c r="AD338" s="29"/>
      <c r="AE338" s="29"/>
      <c r="AF338" s="29"/>
      <c r="AG338" s="29"/>
      <c r="AH338" s="29"/>
      <c r="AI338" s="29"/>
      <c r="AJ338" s="29"/>
      <c r="AK338" s="29"/>
      <c r="AL338" s="29"/>
      <c r="AM338" s="29"/>
    </row>
    <row r="339">
      <c r="A339" s="31" t="s">
        <v>45</v>
      </c>
      <c r="B339" s="38">
        <v>15421.0</v>
      </c>
      <c r="C339" s="33" t="str">
        <f t="array" ref="C339">INDEX('MTA 28-09'!B:B,MATCH(B339,'MTA 28-09'!A:A,0))</f>
        <v>SIM</v>
      </c>
      <c r="D339" s="34" t="str">
        <f t="array" ref="D339">INDEX('MTA 28-09'!D:D,MATCH(B339,'MTA 28-09'!A:A,0))</f>
        <v>DESTQ28</v>
      </c>
      <c r="E339" s="32" t="str">
        <f t="array" ref="E339">INDEX('MTA 28-09'!F:F,MATCH(B339,'MTA 28-09'!A:A,0))</f>
        <v>ATENDIDO</v>
      </c>
      <c r="F339" s="35">
        <f t="array" ref="F339">INDEX('MTA 28-09'!I:I,MATCH(B339,'MTA 28-09'!A:A,0))</f>
        <v>46199</v>
      </c>
      <c r="G339" s="36" t="str">
        <f t="array" ref="G339">INDEX('MTA 28-09'!J:J,MATCH(B339,'MTA 28-09'!A:A,0))</f>
        <v>C26324</v>
      </c>
      <c r="H339" s="37" t="s">
        <v>375</v>
      </c>
      <c r="I339" s="38"/>
      <c r="J339" s="39"/>
      <c r="K339" s="40"/>
      <c r="L339" s="39" t="str">
        <f t="array" ref="L339">INDEX('MTA 28-09'!S:S,MATCH(B339,'MTA 28-09'!A:A,0))</f>
        <v>C-98</v>
      </c>
      <c r="M339" s="32" t="str">
        <f t="array" ref="M339">INDEX('MTA 28-09'!T:T,MATCH(B339,'MTA 28-09'!A:A,0))</f>
        <v>CNT 005/CELOG-PAMALS/2025 - VEE ONE</v>
      </c>
      <c r="N339" s="32" t="str">
        <f t="array" ref="N339">INDEX('MTA 28-09'!U:U,MATCH(B339,'MTA 28-09'!A:A,0))</f>
        <v>Módulo Extra - Sob demanda 3/3</v>
      </c>
      <c r="O339" s="59">
        <f t="array" ref="O339">INDEX('MTA 28-09'!AC:AC,MATCH(B339,'MTA 28-09'!A:A,0))</f>
        <v>324166.14</v>
      </c>
      <c r="P339" s="32" t="str">
        <f t="array" ref="P339">INDEX('MTA 28-09'!N:N,MATCH(B339,'MTA 28-09'!A:A,0))</f>
        <v>CELOG</v>
      </c>
      <c r="Q339" s="67" t="str">
        <f t="array" ref="Q339">INDEX('MTA 28-09'!Z:Z,MATCH(B339,'MTA 28-09'!A:A,0))</f>
        <v>339039</v>
      </c>
      <c r="R339" s="32" t="str">
        <f t="array" ref="R339">INDEX('MTA 28-09'!L:L,MATCH(B339,'MTA 28-09'!A:A,0))</f>
        <v>A</v>
      </c>
      <c r="S339" s="72" t="str">
        <f t="array" ref="S339">INDEX('MTA 28-09'!X:X,MATCH(B339,'MTA 28-09'!A:A,0))</f>
        <v>SOB DEMANDA</v>
      </c>
      <c r="T339" s="72" t="str">
        <f t="array" ref="T339">INDEX('MTA 28-09'!W:W,MATCH(B339,'MTA 28-09'!A:A,0))</f>
        <v>Não</v>
      </c>
      <c r="U339" s="81">
        <f t="array" ref="U339">INDEX('MTA 28-09'!AE:AE,MATCH(B339,'MTA 28-09'!A:A,0))</f>
        <v>46260</v>
      </c>
      <c r="V339" s="12"/>
      <c r="W339" s="12"/>
      <c r="X339" s="12"/>
      <c r="Y339" s="12"/>
      <c r="Z339" s="12"/>
      <c r="AA339" s="12"/>
      <c r="AB339" s="12"/>
      <c r="AC339" s="12"/>
      <c r="AD339" s="12"/>
      <c r="AE339" s="12"/>
      <c r="AF339" s="12"/>
      <c r="AG339" s="12"/>
      <c r="AH339" s="12"/>
      <c r="AI339" s="12"/>
      <c r="AJ339" s="12"/>
      <c r="AK339" s="12"/>
      <c r="AL339" s="12"/>
      <c r="AM339" s="12"/>
    </row>
    <row r="340">
      <c r="A340" s="88" t="s">
        <v>45</v>
      </c>
      <c r="B340" s="98">
        <v>15440.0</v>
      </c>
      <c r="C340" s="92" t="str">
        <f t="array" ref="C340">INDEX('MTA 28-09'!B:B,MATCH(B340,'MTA 28-09'!A:A,0))</f>
        <v>SIM</v>
      </c>
      <c r="D340" s="95">
        <f t="array" ref="D340">INDEX('MTA 28-09'!D:D,MATCH(B340,'MTA 28-09'!A:A,0))</f>
        <v>2048</v>
      </c>
      <c r="E340" s="98" t="str">
        <f t="array" ref="E340">INDEX('MTA 28-09'!F:F,MATCH(B340,'MTA 28-09'!A:A,0))</f>
        <v/>
      </c>
      <c r="F340" s="144" t="str">
        <f t="array" ref="F340">INDEX('MTA 28-09'!I:I,MATCH(B340,'MTA 28-09'!A:A,0))</f>
        <v/>
      </c>
      <c r="G340" s="100" t="str">
        <f t="array" ref="G340">INDEX('MTA 28-09'!J:J,MATCH(B340,'MTA 28-09'!A:A,0))</f>
        <v/>
      </c>
      <c r="H340" s="159" t="s">
        <v>157</v>
      </c>
      <c r="I340" s="90" t="s">
        <v>1183</v>
      </c>
      <c r="J340" s="102"/>
      <c r="K340" s="103"/>
      <c r="L340" s="102" t="str">
        <f t="array" ref="L340">INDEX('MTA 28-09'!S:S,MATCH(B340,'MTA 28-09'!A:A,0))</f>
        <v>C-98</v>
      </c>
      <c r="M340" s="98" t="str">
        <f t="array" ref="M340">INDEX('MTA 28-09'!T:T,MATCH(B340,'MTA 28-09'!A:A,0))</f>
        <v>CNT 005/CELOG-PAMALS/2025 - VEE ONE</v>
      </c>
      <c r="N340" s="98" t="str">
        <f t="array" ref="N340">INDEX('MTA 28-09'!U:U,MATCH(B340,'MTA 28-09'!A:A,0))</f>
        <v>Módulo Extra - Aquisição e publicações</v>
      </c>
      <c r="O340" s="104">
        <f t="array" ref="O340">INDEX('MTA 28-09'!AC:AC,MATCH(B340,'MTA 28-09'!A:A,0))</f>
        <v>30000</v>
      </c>
      <c r="P340" s="98" t="str">
        <f t="array" ref="P340">INDEX('MTA 28-09'!N:N,MATCH(B340,'MTA 28-09'!A:A,0))</f>
        <v>CELOG</v>
      </c>
      <c r="Q340" s="105" t="str">
        <f t="array" ref="Q340">INDEX('MTA 28-09'!Z:Z,MATCH(B340,'MTA 28-09'!A:A,0))</f>
        <v>339039</v>
      </c>
      <c r="R340" s="98" t="str">
        <f t="array" ref="R340">INDEX('MTA 28-09'!L:L,MATCH(B340,'MTA 28-09'!A:A,0))</f>
        <v>A</v>
      </c>
      <c r="S340" s="107" t="str">
        <f t="array" ref="S340">INDEX('MTA 28-09'!X:X,MATCH(B340,'MTA 28-09'!A:A,0))</f>
        <v>SOB DEMANDA</v>
      </c>
      <c r="T340" s="107" t="str">
        <f t="array" ref="T340">INDEX('MTA 28-09'!W:W,MATCH(B340,'MTA 28-09'!A:A,0))</f>
        <v>Não</v>
      </c>
      <c r="U340" s="109">
        <f t="array" ref="U340">INDEX('MTA 28-09'!AE:AE,MATCH(B340,'MTA 28-09'!A:A,0))</f>
        <v>46352</v>
      </c>
      <c r="V340" s="29"/>
      <c r="W340" s="29"/>
      <c r="X340" s="29"/>
      <c r="Y340" s="29"/>
      <c r="Z340" s="29"/>
      <c r="AA340" s="29"/>
      <c r="AB340" s="29"/>
      <c r="AC340" s="29"/>
      <c r="AD340" s="29"/>
      <c r="AE340" s="29"/>
      <c r="AF340" s="29"/>
      <c r="AG340" s="29"/>
      <c r="AH340" s="29"/>
      <c r="AI340" s="29"/>
      <c r="AJ340" s="29"/>
      <c r="AK340" s="29"/>
      <c r="AL340" s="29"/>
      <c r="AM340" s="29"/>
    </row>
    <row r="341">
      <c r="A341" s="31" t="s">
        <v>1576</v>
      </c>
      <c r="B341" s="32">
        <v>15460.0</v>
      </c>
      <c r="C341" s="33" t="str">
        <f t="array" ref="C341">INDEX('MTA 28-09'!B:B,MATCH(B341,'MTA 28-09'!A:A,0))</f>
        <v>NÃO</v>
      </c>
      <c r="D341" s="34" t="str">
        <f t="array" ref="D341">INDEX('MTA 28-09'!D:D,MATCH(B341,'MTA 28-09'!A:A,0))</f>
        <v/>
      </c>
      <c r="E341" s="32" t="str">
        <f t="array" ref="E341">INDEX('MTA 28-09'!F:F,MATCH(B341,'MTA 28-09'!A:A,0))</f>
        <v/>
      </c>
      <c r="F341" s="35" t="str">
        <f t="array" ref="F341">INDEX('MTA 28-09'!I:I,MATCH(B341,'MTA 28-09'!A:A,0))</f>
        <v/>
      </c>
      <c r="G341" s="36" t="str">
        <f t="array" ref="G341">INDEX('MTA 28-09'!J:J,MATCH(B341,'MTA 28-09'!A:A,0))</f>
        <v/>
      </c>
      <c r="H341" s="287" t="s">
        <v>157</v>
      </c>
      <c r="I341" s="295"/>
      <c r="J341" s="39"/>
      <c r="K341" s="40"/>
      <c r="L341" s="39" t="str">
        <f t="array" ref="L341">INDEX('MTA 28-09'!S:S,MATCH(B341,'MTA 28-09'!A:A,0))</f>
        <v>APOIO</v>
      </c>
      <c r="M341" s="32" t="str">
        <f t="array" ref="M341">INDEX('MTA 28-09'!T:T,MATCH(B341,'MTA 28-09'!A:A,0))</f>
        <v>CTT XXX/GAPLS-PAMALS/2026 – Gestão de Frota</v>
      </c>
      <c r="N341" s="32" t="str">
        <f t="array" ref="N341">INDEX('MTA 28-09'!U:U,MATCH(B341,'MTA 28-09'!A:A,0))</f>
        <v>Serviço de Reparo 2/4</v>
      </c>
      <c r="O341" s="59">
        <f t="array" ref="O341">INDEX('MTA 28-09'!AC:AC,MATCH(B341,'MTA 28-09'!A:A,0))</f>
        <v>21600</v>
      </c>
      <c r="P341" s="32" t="str">
        <f t="array" ref="P341">INDEX('MTA 28-09'!N:N,MATCH(B341,'MTA 28-09'!A:A,0))</f>
        <v>GAP-LS</v>
      </c>
      <c r="Q341" s="67" t="str">
        <f t="array" ref="Q341">INDEX('MTA 28-09'!Z:Z,MATCH(B341,'MTA 28-09'!A:A,0))</f>
        <v>339039</v>
      </c>
      <c r="R341" s="32" t="str">
        <f t="array" ref="R341">INDEX('MTA 28-09'!L:L,MATCH(B341,'MTA 28-09'!A:A,0))</f>
        <v>C</v>
      </c>
      <c r="S341" s="72" t="str">
        <f t="array" ref="S341">INDEX('MTA 28-09'!X:X,MATCH(B341,'MTA 28-09'!A:A,0))</f>
        <v>SOB DEMANDA</v>
      </c>
      <c r="T341" s="72" t="str">
        <f t="array" ref="T341">INDEX('MTA 28-09'!W:W,MATCH(B341,'MTA 28-09'!A:A,0))</f>
        <v>NÃO</v>
      </c>
      <c r="U341" s="81">
        <f t="array" ref="U341">INDEX('MTA 28-09'!AE:AE,MATCH(B341,'MTA 28-09'!A:A,0))</f>
        <v>46260</v>
      </c>
      <c r="V341" s="12"/>
      <c r="W341" s="12"/>
      <c r="X341" s="12"/>
      <c r="Y341" s="12"/>
      <c r="Z341" s="12"/>
      <c r="AA341" s="12"/>
      <c r="AB341" s="12"/>
      <c r="AC341" s="12"/>
      <c r="AD341" s="12"/>
      <c r="AE341" s="12"/>
      <c r="AF341" s="12"/>
      <c r="AG341" s="12"/>
      <c r="AH341" s="12"/>
      <c r="AI341" s="12"/>
      <c r="AJ341" s="12"/>
      <c r="AK341" s="12"/>
      <c r="AL341" s="12"/>
      <c r="AM341" s="12"/>
    </row>
    <row r="342">
      <c r="A342" s="88" t="s">
        <v>1573</v>
      </c>
      <c r="B342" s="98">
        <v>15480.0</v>
      </c>
      <c r="C342" s="92" t="str">
        <f t="array" ref="C342">INDEX('MTA 28-09'!B:B,MATCH(B342,'MTA 28-09'!A:A,0))</f>
        <v>NÃO</v>
      </c>
      <c r="D342" s="95" t="str">
        <f t="array" ref="D342">INDEX('MTA 28-09'!D:D,MATCH(B342,'MTA 28-09'!A:A,0))</f>
        <v/>
      </c>
      <c r="E342" s="98" t="str">
        <f t="array" ref="E342">INDEX('MTA 28-09'!F:F,MATCH(B342,'MTA 28-09'!A:A,0))</f>
        <v/>
      </c>
      <c r="F342" s="152" t="str">
        <f t="array" ref="F342">INDEX('MTA 28-09'!I:I,MATCH(B342,'MTA 28-09'!A:A,0))</f>
        <v/>
      </c>
      <c r="G342" s="100" t="str">
        <f t="array" ref="G342">INDEX('MTA 28-09'!J:J,MATCH(B342,'MTA 28-09'!A:A,0))</f>
        <v/>
      </c>
      <c r="H342" s="159" t="s">
        <v>157</v>
      </c>
      <c r="I342" s="296"/>
      <c r="J342" s="102"/>
      <c r="K342" s="103"/>
      <c r="L342" s="102" t="str">
        <f t="array" ref="L342">INDEX('MTA 28-09'!S:S,MATCH(B342,'MTA 28-09'!A:A,0))</f>
        <v>APOIO</v>
      </c>
      <c r="M342" s="98" t="str">
        <f t="array" ref="M342">INDEX('MTA 28-09'!T:T,MATCH(B342,'MTA 28-09'!A:A,0))</f>
        <v>CTT XXX/GAPLS-PAMALS/2026 – Gestão de Frota</v>
      </c>
      <c r="N342" s="98" t="str">
        <f t="array" ref="N342">INDEX('MTA 28-09'!U:U,MATCH(B342,'MTA 28-09'!A:A,0))</f>
        <v>Serviço de Reparo 2/4</v>
      </c>
      <c r="O342" s="104">
        <f t="array" ref="O342">INDEX('MTA 28-09'!AC:AC,MATCH(B342,'MTA 28-09'!A:A,0))</f>
        <v>21600</v>
      </c>
      <c r="P342" s="98" t="str">
        <f t="array" ref="P342">INDEX('MTA 28-09'!N:N,MATCH(B342,'MTA 28-09'!A:A,0))</f>
        <v>GAP-LS</v>
      </c>
      <c r="Q342" s="105" t="str">
        <f t="array" ref="Q342">INDEX('MTA 28-09'!Z:Z,MATCH(B342,'MTA 28-09'!A:A,0))</f>
        <v>339039</v>
      </c>
      <c r="R342" s="98" t="str">
        <f t="array" ref="R342">INDEX('MTA 28-09'!L:L,MATCH(B342,'MTA 28-09'!A:A,0))</f>
        <v>C</v>
      </c>
      <c r="S342" s="107" t="str">
        <f t="array" ref="S342">INDEX('MTA 28-09'!X:X,MATCH(B342,'MTA 28-09'!A:A,0))</f>
        <v>SOB DEMANDA</v>
      </c>
      <c r="T342" s="107" t="str">
        <f t="array" ref="T342">INDEX('MTA 28-09'!W:W,MATCH(B342,'MTA 28-09'!A:A,0))</f>
        <v>NÃO</v>
      </c>
      <c r="U342" s="109">
        <f t="array" ref="U342">INDEX('MTA 28-09'!AE:AE,MATCH(B342,'MTA 28-09'!A:A,0))</f>
        <v>46260</v>
      </c>
      <c r="V342" s="29"/>
      <c r="W342" s="29"/>
      <c r="X342" s="29"/>
      <c r="Y342" s="29"/>
      <c r="Z342" s="29"/>
      <c r="AA342" s="29"/>
      <c r="AB342" s="29"/>
      <c r="AC342" s="29"/>
      <c r="AD342" s="29"/>
      <c r="AE342" s="29"/>
      <c r="AF342" s="29"/>
      <c r="AG342" s="29"/>
      <c r="AH342" s="29"/>
      <c r="AI342" s="29"/>
      <c r="AJ342" s="29"/>
      <c r="AK342" s="29"/>
      <c r="AL342" s="29"/>
      <c r="AM342" s="29"/>
    </row>
    <row r="343">
      <c r="A343" s="31" t="s">
        <v>1574</v>
      </c>
      <c r="B343" s="32">
        <v>15500.0</v>
      </c>
      <c r="C343" s="33" t="str">
        <f t="array" ref="C343">INDEX('MTA 28-09'!B:B,MATCH(B343,'MTA 28-09'!A:A,0))</f>
        <v>NÃO</v>
      </c>
      <c r="D343" s="34" t="str">
        <f t="array" ref="D343">INDEX('MTA 28-09'!D:D,MATCH(B343,'MTA 28-09'!A:A,0))</f>
        <v/>
      </c>
      <c r="E343" s="32" t="str">
        <f t="array" ref="E343">INDEX('MTA 28-09'!F:F,MATCH(B343,'MTA 28-09'!A:A,0))</f>
        <v/>
      </c>
      <c r="F343" s="35" t="str">
        <f t="array" ref="F343">INDEX('MTA 28-09'!I:I,MATCH(B343,'MTA 28-09'!A:A,0))</f>
        <v/>
      </c>
      <c r="G343" s="36" t="str">
        <f t="array" ref="G343">INDEX('MTA 28-09'!J:J,MATCH(B343,'MTA 28-09'!A:A,0))</f>
        <v/>
      </c>
      <c r="H343" s="287" t="s">
        <v>157</v>
      </c>
      <c r="I343" s="295"/>
      <c r="J343" s="39"/>
      <c r="K343" s="40"/>
      <c r="L343" s="39" t="str">
        <f t="array" ref="L343">INDEX('MTA 28-09'!S:S,MATCH(B343,'MTA 28-09'!A:A,0))</f>
        <v>APOIO</v>
      </c>
      <c r="M343" s="32" t="str">
        <f t="array" ref="M343">INDEX('MTA 28-09'!T:T,MATCH(B343,'MTA 28-09'!A:A,0))</f>
        <v>CTT XXX/GAPLS-PAMALS/2026 – Gestão de Frota</v>
      </c>
      <c r="N343" s="32" t="str">
        <f t="array" ref="N343">INDEX('MTA 28-09'!U:U,MATCH(B343,'MTA 28-09'!A:A,0))</f>
        <v>Serviço de Reparo 2/4</v>
      </c>
      <c r="O343" s="59">
        <f t="array" ref="O343">INDEX('MTA 28-09'!AC:AC,MATCH(B343,'MTA 28-09'!A:A,0))</f>
        <v>10800</v>
      </c>
      <c r="P343" s="32" t="str">
        <f t="array" ref="P343">INDEX('MTA 28-09'!N:N,MATCH(B343,'MTA 28-09'!A:A,0))</f>
        <v>GAP-LS</v>
      </c>
      <c r="Q343" s="67" t="str">
        <f t="array" ref="Q343">INDEX('MTA 28-09'!Z:Z,MATCH(B343,'MTA 28-09'!A:A,0))</f>
        <v>339039</v>
      </c>
      <c r="R343" s="32" t="str">
        <f t="array" ref="R343">INDEX('MTA 28-09'!L:L,MATCH(B343,'MTA 28-09'!A:A,0))</f>
        <v>C</v>
      </c>
      <c r="S343" s="72" t="str">
        <f t="array" ref="S343">INDEX('MTA 28-09'!X:X,MATCH(B343,'MTA 28-09'!A:A,0))</f>
        <v>SOB DEMANDA</v>
      </c>
      <c r="T343" s="72" t="str">
        <f t="array" ref="T343">INDEX('MTA 28-09'!W:W,MATCH(B343,'MTA 28-09'!A:A,0))</f>
        <v>NÃO</v>
      </c>
      <c r="U343" s="81">
        <f t="array" ref="U343">INDEX('MTA 28-09'!AE:AE,MATCH(B343,'MTA 28-09'!A:A,0))</f>
        <v>46260</v>
      </c>
      <c r="V343" s="12"/>
      <c r="W343" s="12"/>
      <c r="X343" s="12"/>
      <c r="Y343" s="12"/>
      <c r="Z343" s="12"/>
      <c r="AA343" s="12"/>
      <c r="AB343" s="12"/>
      <c r="AC343" s="12"/>
      <c r="AD343" s="12"/>
      <c r="AE343" s="12"/>
      <c r="AF343" s="12"/>
      <c r="AG343" s="12"/>
      <c r="AH343" s="12"/>
      <c r="AI343" s="12"/>
      <c r="AJ343" s="12"/>
      <c r="AK343" s="12"/>
      <c r="AL343" s="12"/>
      <c r="AM343" s="12"/>
    </row>
    <row r="344">
      <c r="A344" s="88" t="s">
        <v>1577</v>
      </c>
      <c r="B344" s="98">
        <v>15520.0</v>
      </c>
      <c r="C344" s="92" t="str">
        <f t="array" ref="C344">INDEX('MTA 28-09'!B:B,MATCH(B344,'MTA 28-09'!A:A,0))</f>
        <v>SIM</v>
      </c>
      <c r="D344" s="95" t="str">
        <f t="array" ref="D344">INDEX('MTA 28-09'!D:D,MATCH(B344,'MTA 28-09'!A:A,0))</f>
        <v>HOLDING ACCOUNT</v>
      </c>
      <c r="E344" s="98" t="str">
        <f t="array" ref="E344">INDEX('MTA 28-09'!F:F,MATCH(B344,'MTA 28-09'!A:A,0))</f>
        <v>PROCESSADO</v>
      </c>
      <c r="F344" s="99" t="str">
        <f t="array" ref="F344">INDEX('MTA 28-09'!I:I,MATCH(B344,'MTA 28-09'!A:A,0))</f>
        <v/>
      </c>
      <c r="G344" s="100" t="str">
        <f t="array" ref="G344">INDEX('MTA 28-09'!J:J,MATCH(B344,'MTA 28-09'!A:A,0))</f>
        <v/>
      </c>
      <c r="H344" s="159" t="s">
        <v>157</v>
      </c>
      <c r="I344" s="296"/>
      <c r="J344" s="102"/>
      <c r="K344" s="103"/>
      <c r="L344" s="102" t="str">
        <f t="array" ref="L344">INDEX('MTA 28-09'!S:S,MATCH(B344,'MTA 28-09'!A:A,0))</f>
        <v>APOIO</v>
      </c>
      <c r="M344" s="98" t="str">
        <f t="array" ref="M344">INDEX('MTA 28-09'!T:T,MATCH(B344,'MTA 28-09'!A:A,0))</f>
        <v>Aquisição de Barreira de Retenção Móvel via FMS</v>
      </c>
      <c r="N344" s="98" t="str">
        <f t="array" ref="N344">INDEX('MTA 28-09'!U:U,MATCH(B344,'MTA 28-09'!A:A,0))</f>
        <v>Aquisição de 1 barreira de retenção móvel para atender operações em SBSC, SBSJ (Aeroporto Prof. Urbano Ernesto Stumpf) e EXOP diversos 1/2</v>
      </c>
      <c r="O344" s="104">
        <f t="array" ref="O344">INDEX('MTA 28-09'!AC:AC,MATCH(B344,'MTA 28-09'!A:A,0))</f>
        <v>8379000</v>
      </c>
      <c r="P344" s="98" t="str">
        <f t="array" ref="P344">INDEX('MTA 28-09'!N:N,MATCH(B344,'MTA 28-09'!A:A,0))</f>
        <v>FMS</v>
      </c>
      <c r="Q344" s="105" t="str">
        <f t="array" ref="Q344">INDEX('MTA 28-09'!Z:Z,MATCH(B344,'MTA 28-09'!A:A,0))</f>
        <v>449052</v>
      </c>
      <c r="R344" s="98" t="str">
        <f t="array" ref="R344">INDEX('MTA 28-09'!L:L,MATCH(B344,'MTA 28-09'!A:A,0))</f>
        <v>A</v>
      </c>
      <c r="S344" s="107" t="str">
        <f t="array" ref="S344">INDEX('MTA 28-09'!X:X,MATCH(B344,'MTA 28-09'!A:A,0))</f>
        <v>SOB DEMANDA</v>
      </c>
      <c r="T344" s="107" t="str">
        <f t="array" ref="T344">INDEX('MTA 28-09'!W:W,MATCH(B344,'MTA 28-09'!A:A,0))</f>
        <v>NÃO</v>
      </c>
      <c r="U344" s="109">
        <f t="array" ref="U344">INDEX('MTA 28-09'!AE:AE,MATCH(B344,'MTA 28-09'!A:A,0))</f>
        <v>46382</v>
      </c>
      <c r="V344" s="29"/>
      <c r="W344" s="29"/>
      <c r="X344" s="29"/>
      <c r="Y344" s="29"/>
      <c r="Z344" s="29"/>
      <c r="AA344" s="29"/>
      <c r="AB344" s="29"/>
      <c r="AC344" s="29"/>
      <c r="AD344" s="29"/>
      <c r="AE344" s="29"/>
      <c r="AF344" s="29"/>
      <c r="AG344" s="29"/>
      <c r="AH344" s="29"/>
      <c r="AI344" s="29"/>
      <c r="AJ344" s="29"/>
      <c r="AK344" s="29"/>
      <c r="AL344" s="29"/>
      <c r="AM344" s="29"/>
    </row>
    <row r="345">
      <c r="A345" s="31" t="s">
        <v>39</v>
      </c>
      <c r="B345" s="32">
        <v>15540.0</v>
      </c>
      <c r="C345" s="33" t="str">
        <f t="array" ref="C345">INDEX('MTA 28-09'!B:B,MATCH(B345,'MTA 28-09'!A:A,0))</f>
        <v>SIM</v>
      </c>
      <c r="D345" s="34">
        <f t="array" ref="D345">INDEX('MTA 28-09'!D:D,MATCH(B345,'MTA 28-09'!A:A,0))</f>
        <v>2048</v>
      </c>
      <c r="E345" s="32" t="str">
        <f t="array" ref="E345">INDEX('MTA 28-09'!F:F,MATCH(B345,'MTA 28-09'!A:A,0))</f>
        <v>ATENDIDO</v>
      </c>
      <c r="F345" s="155">
        <f t="array" ref="F345">INDEX('MTA 28-09'!I:I,MATCH(B345,'MTA 28-09'!A:A,0))</f>
        <v>46213</v>
      </c>
      <c r="G345" s="36" t="str">
        <f t="array" ref="G345">INDEX('MTA 28-09'!J:J,MATCH(B345,'MTA 28-09'!A:A,0))</f>
        <v>C26156</v>
      </c>
      <c r="H345" s="37" t="s">
        <v>1451</v>
      </c>
      <c r="I345" s="38"/>
      <c r="J345" s="39"/>
      <c r="K345" s="40"/>
      <c r="L345" s="39" t="str">
        <f t="array" ref="L345">INDEX('MTA 28-09'!S:S,MATCH(B345,'MTA 28-09'!A:A,0))</f>
        <v>A-29</v>
      </c>
      <c r="M345" s="32" t="str">
        <f t="array" ref="M345">INDEX('MTA 28-09'!T:T,MATCH(B345,'MTA 28-09'!A:A,0))</f>
        <v>CTT 102/CELOG-PAMALS/2023 – EMBRAER - PSLI</v>
      </c>
      <c r="N345" s="32" t="str">
        <f t="array" ref="N345">INDEX('MTA 28-09'!U:U,MATCH(B345,'MTA 28-09'!A:A,0))</f>
        <v>Parcela Fixa 07/12</v>
      </c>
      <c r="O345" s="59">
        <f t="array" ref="O345">INDEX('MTA 28-09'!AC:AC,MATCH(B345,'MTA 28-09'!A:A,0))</f>
        <v>2310000</v>
      </c>
      <c r="P345" s="32" t="str">
        <f t="array" ref="P345">INDEX('MTA 28-09'!N:N,MATCH(B345,'MTA 28-09'!A:A,0))</f>
        <v>CELOG</v>
      </c>
      <c r="Q345" s="67" t="str">
        <f t="array" ref="Q345">INDEX('MTA 28-09'!Z:Z,MATCH(B345,'MTA 28-09'!A:A,0))</f>
        <v>339039</v>
      </c>
      <c r="R345" s="32" t="str">
        <f t="array" ref="R345">INDEX('MTA 28-09'!L:L,MATCH(B345,'MTA 28-09'!A:A,0))</f>
        <v>A</v>
      </c>
      <c r="S345" s="72" t="str">
        <f t="array" ref="S345">INDEX('MTA 28-09'!X:X,MATCH(B345,'MTA 28-09'!A:A,0))</f>
        <v>PARCELA FIXA</v>
      </c>
      <c r="T345" s="72" t="str">
        <f t="array" ref="T345">INDEX('MTA 28-09'!W:W,MATCH(B345,'MTA 28-09'!A:A,0))</f>
        <v>Não</v>
      </c>
      <c r="U345" s="81">
        <f t="array" ref="U345">INDEX('MTA 28-09'!AE:AE,MATCH(B345,'MTA 28-09'!A:A,0))</f>
        <v>46291</v>
      </c>
      <c r="V345" s="12"/>
      <c r="W345" s="12"/>
      <c r="X345" s="12"/>
      <c r="Y345" s="12"/>
      <c r="Z345" s="12"/>
      <c r="AA345" s="12"/>
      <c r="AB345" s="12"/>
      <c r="AC345" s="12"/>
      <c r="AD345" s="12"/>
      <c r="AE345" s="12"/>
      <c r="AF345" s="12"/>
      <c r="AG345" s="12"/>
      <c r="AH345" s="12"/>
      <c r="AI345" s="12"/>
      <c r="AJ345" s="12"/>
      <c r="AK345" s="12"/>
      <c r="AL345" s="12"/>
      <c r="AM345" s="12"/>
    </row>
    <row r="346">
      <c r="A346" s="88" t="s">
        <v>44</v>
      </c>
      <c r="B346" s="98">
        <v>15560.0</v>
      </c>
      <c r="C346" s="92" t="str">
        <f t="array" ref="C346">INDEX('MTA 28-09'!B:B,MATCH(B346,'MTA 28-09'!A:A,0))</f>
        <v>SIM</v>
      </c>
      <c r="D346" s="95">
        <f t="array" ref="D346">INDEX('MTA 28-09'!D:D,MATCH(B346,'MTA 28-09'!A:A,0))</f>
        <v>2048</v>
      </c>
      <c r="E346" s="98" t="str">
        <f t="array" ref="E346">INDEX('MTA 28-09'!F:F,MATCH(B346,'MTA 28-09'!A:A,0))</f>
        <v>ATENDIDO</v>
      </c>
      <c r="F346" s="99">
        <f t="array" ref="F346">INDEX('MTA 28-09'!I:I,MATCH(B346,'MTA 28-09'!A:A,0))</f>
        <v>46213</v>
      </c>
      <c r="G346" s="100" t="str">
        <f t="array" ref="G346">INDEX('MTA 28-09'!J:J,MATCH(B346,'MTA 28-09'!A:A,0))</f>
        <v>C26079</v>
      </c>
      <c r="H346" s="101" t="s">
        <v>1451</v>
      </c>
      <c r="I346" s="90"/>
      <c r="J346" s="102"/>
      <c r="K346" s="103"/>
      <c r="L346" s="102" t="str">
        <f t="array" ref="L346">INDEX('MTA 28-09'!S:S,MATCH(B346,'MTA 28-09'!A:A,0))</f>
        <v>C-97</v>
      </c>
      <c r="M346" s="98" t="str">
        <f t="array" ref="M346">INDEX('MTA 28-09'!T:T,MATCH(B346,'MTA 28-09'!A:A,0))</f>
        <v>CTT 096/CAE-PAMALS/2021 - CLS C-97</v>
      </c>
      <c r="N346" s="98" t="str">
        <f t="array" ref="N346">INDEX('MTA 28-09'!U:U,MATCH(B346,'MTA 28-09'!A:A,0))</f>
        <v>Hora de Voo 05/09 (500HV)</v>
      </c>
      <c r="O346" s="104">
        <f t="array" ref="O346">INDEX('MTA 28-09'!AC:AC,MATCH(B346,'MTA 28-09'!A:A,0))</f>
        <v>1212500</v>
      </c>
      <c r="P346" s="98" t="str">
        <f t="array" ref="P346">INDEX('MTA 28-09'!N:N,MATCH(B346,'MTA 28-09'!A:A,0))</f>
        <v>CELOG</v>
      </c>
      <c r="Q346" s="105" t="str">
        <f t="array" ref="Q346">INDEX('MTA 28-09'!Z:Z,MATCH(B346,'MTA 28-09'!A:A,0))</f>
        <v>339039</v>
      </c>
      <c r="R346" s="98" t="str">
        <f t="array" ref="R346">INDEX('MTA 28-09'!L:L,MATCH(B346,'MTA 28-09'!A:A,0))</f>
        <v>A</v>
      </c>
      <c r="S346" s="107" t="str">
        <f t="array" ref="S346">INDEX('MTA 28-09'!X:X,MATCH(B346,'MTA 28-09'!A:A,0))</f>
        <v>HORA DE VOO</v>
      </c>
      <c r="T346" s="107" t="str">
        <f t="array" ref="T346">INDEX('MTA 28-09'!W:W,MATCH(B346,'MTA 28-09'!A:A,0))</f>
        <v>Não</v>
      </c>
      <c r="U346" s="109">
        <f t="array" ref="U346">INDEX('MTA 28-09'!AE:AE,MATCH(B346,'MTA 28-09'!A:A,0))</f>
        <v>46260</v>
      </c>
      <c r="V346" s="29"/>
      <c r="W346" s="29"/>
      <c r="X346" s="29"/>
      <c r="Y346" s="29"/>
      <c r="Z346" s="29"/>
      <c r="AA346" s="29"/>
      <c r="AB346" s="29"/>
      <c r="AC346" s="29"/>
      <c r="AD346" s="29"/>
      <c r="AE346" s="29"/>
      <c r="AF346" s="29"/>
      <c r="AG346" s="29"/>
      <c r="AH346" s="29"/>
      <c r="AI346" s="29"/>
      <c r="AJ346" s="29"/>
      <c r="AK346" s="29"/>
      <c r="AL346" s="29"/>
      <c r="AM346" s="29"/>
    </row>
    <row r="347">
      <c r="A347" s="31" t="s">
        <v>44</v>
      </c>
      <c r="B347" s="38">
        <v>15561.0</v>
      </c>
      <c r="C347" s="33" t="str">
        <f t="array" ref="C347">INDEX('MTA 28-09'!B:B,MATCH(B347,'MTA 28-09'!A:A,0))</f>
        <v>SIM</v>
      </c>
      <c r="D347" s="34" t="str">
        <f t="array" ref="D347">INDEX('MTA 28-09'!D:D,MATCH(B347,'MTA 28-09'!A:A,0))</f>
        <v>DESTQ28</v>
      </c>
      <c r="E347" s="32" t="str">
        <f t="array" ref="E347">INDEX('MTA 28-09'!F:F,MATCH(B347,'MTA 28-09'!A:A,0))</f>
        <v>ATENDIDO</v>
      </c>
      <c r="F347" s="35">
        <f t="array" ref="F347">INDEX('MTA 28-09'!I:I,MATCH(B347,'MTA 28-09'!A:A,0))</f>
        <v>46210</v>
      </c>
      <c r="G347" s="36" t="str">
        <f t="array" ref="G347">INDEX('MTA 28-09'!J:J,MATCH(B347,'MTA 28-09'!A:A,0))</f>
        <v>C26325</v>
      </c>
      <c r="H347" s="287" t="s">
        <v>157</v>
      </c>
      <c r="I347" s="38"/>
      <c r="J347" s="39"/>
      <c r="K347" s="40"/>
      <c r="L347" s="39" t="str">
        <f t="array" ref="L347">INDEX('MTA 28-09'!S:S,MATCH(B347,'MTA 28-09'!A:A,0))</f>
        <v>C-97</v>
      </c>
      <c r="M347" s="32" t="str">
        <f t="array" ref="M347">INDEX('MTA 28-09'!T:T,MATCH(B347,'MTA 28-09'!A:A,0))</f>
        <v>CTT 096/CAE-PAMALS/2021 - CLS C-97</v>
      </c>
      <c r="N347" s="32" t="str">
        <f t="array" ref="N347">INDEX('MTA 28-09'!U:U,MATCH(B347,'MTA 28-09'!A:A,0))</f>
        <v>Hora de Voo 05/09 (500HV)</v>
      </c>
      <c r="O347" s="59">
        <f t="array" ref="O347">INDEX('MTA 28-09'!AC:AC,MATCH(B347,'MTA 28-09'!A:A,0))</f>
        <v>1360000</v>
      </c>
      <c r="P347" s="32" t="str">
        <f t="array" ref="P347">INDEX('MTA 28-09'!N:N,MATCH(B347,'MTA 28-09'!A:A,0))</f>
        <v>CELOG</v>
      </c>
      <c r="Q347" s="67" t="str">
        <f t="array" ref="Q347">INDEX('MTA 28-09'!Z:Z,MATCH(B347,'MTA 28-09'!A:A,0))</f>
        <v>339039</v>
      </c>
      <c r="R347" s="32" t="str">
        <f t="array" ref="R347">INDEX('MTA 28-09'!L:L,MATCH(B347,'MTA 28-09'!A:A,0))</f>
        <v>A</v>
      </c>
      <c r="S347" s="72" t="str">
        <f t="array" ref="S347">INDEX('MTA 28-09'!X:X,MATCH(B347,'MTA 28-09'!A:A,0))</f>
        <v>HORA DE VOO</v>
      </c>
      <c r="T347" s="72" t="str">
        <f t="array" ref="T347">INDEX('MTA 28-09'!W:W,MATCH(B347,'MTA 28-09'!A:A,0))</f>
        <v>Não</v>
      </c>
      <c r="U347" s="81">
        <f t="array" ref="U347">INDEX('MTA 28-09'!AE:AE,MATCH(B347,'MTA 28-09'!A:A,0))</f>
        <v>46260</v>
      </c>
      <c r="V347" s="12"/>
      <c r="W347" s="12"/>
      <c r="X347" s="12"/>
      <c r="Y347" s="12"/>
      <c r="Z347" s="12"/>
      <c r="AA347" s="12"/>
      <c r="AB347" s="12"/>
      <c r="AC347" s="12"/>
      <c r="AD347" s="12"/>
      <c r="AE347" s="12"/>
      <c r="AF347" s="12"/>
      <c r="AG347" s="12"/>
      <c r="AH347" s="12"/>
      <c r="AI347" s="12"/>
      <c r="AJ347" s="12"/>
      <c r="AK347" s="12"/>
      <c r="AL347" s="12"/>
      <c r="AM347" s="12"/>
    </row>
    <row r="348">
      <c r="A348" s="88" t="s">
        <v>39</v>
      </c>
      <c r="B348" s="98">
        <v>15580.0</v>
      </c>
      <c r="C348" s="92" t="str">
        <f t="array" ref="C348">INDEX('MTA 28-09'!B:B,MATCH(B348,'MTA 28-09'!A:A,0))</f>
        <v>SIM</v>
      </c>
      <c r="D348" s="95">
        <f t="array" ref="D348">INDEX('MTA 28-09'!D:D,MATCH(B348,'MTA 28-09'!A:A,0))</f>
        <v>2048</v>
      </c>
      <c r="E348" s="98" t="str">
        <f t="array" ref="E348">INDEX('MTA 28-09'!F:F,MATCH(B348,'MTA 28-09'!A:A,0))</f>
        <v>ATENDIDO</v>
      </c>
      <c r="F348" s="152">
        <f t="array" ref="F348">INDEX('MTA 28-09'!I:I,MATCH(B348,'MTA 28-09'!A:A,0))</f>
        <v>46191</v>
      </c>
      <c r="G348" s="100" t="str">
        <f t="array" ref="G348">INDEX('MTA 28-09'!J:J,MATCH(B348,'MTA 28-09'!A:A,0))</f>
        <v>C26192</v>
      </c>
      <c r="H348" s="101" t="s">
        <v>421</v>
      </c>
      <c r="I348" s="90"/>
      <c r="J348" s="102"/>
      <c r="K348" s="103"/>
      <c r="L348" s="102" t="str">
        <f t="array" ref="L348">INDEX('MTA 28-09'!S:S,MATCH(B348,'MTA 28-09'!A:A,0))</f>
        <v>A-29</v>
      </c>
      <c r="M348" s="98" t="str">
        <f t="array" ref="M348">INDEX('MTA 28-09'!T:T,MATCH(B348,'MTA 28-09'!A:A,0))</f>
        <v>CNT 040/CELOG-PAMALS/2022 - AEL - CLS AVIONICO</v>
      </c>
      <c r="N348" s="98" t="str">
        <f t="array" ref="N348">INDEX('MTA 28-09'!U:U,MATCH(B348,'MTA 28-09'!A:A,0))</f>
        <v>Hora de Voo 06/10 - 1000 HV</v>
      </c>
      <c r="O348" s="104">
        <f t="array" ref="O348">INDEX('MTA 28-09'!AC:AC,MATCH(B348,'MTA 28-09'!A:A,0))</f>
        <v>1057110</v>
      </c>
      <c r="P348" s="98" t="str">
        <f t="array" ref="P348">INDEX('MTA 28-09'!N:N,MATCH(B348,'MTA 28-09'!A:A,0))</f>
        <v>CELOG</v>
      </c>
      <c r="Q348" s="105" t="str">
        <f t="array" ref="Q348">INDEX('MTA 28-09'!Z:Z,MATCH(B348,'MTA 28-09'!A:A,0))</f>
        <v>339039</v>
      </c>
      <c r="R348" s="98" t="str">
        <f t="array" ref="R348">INDEX('MTA 28-09'!L:L,MATCH(B348,'MTA 28-09'!A:A,0))</f>
        <v>A</v>
      </c>
      <c r="S348" s="107" t="str">
        <f t="array" ref="S348">INDEX('MTA 28-09'!X:X,MATCH(B348,'MTA 28-09'!A:A,0))</f>
        <v>HORA DE VOO</v>
      </c>
      <c r="T348" s="107" t="str">
        <f t="array" ref="T348">INDEX('MTA 28-09'!W:W,MATCH(B348,'MTA 28-09'!A:A,0))</f>
        <v>Não</v>
      </c>
      <c r="U348" s="109">
        <f t="array" ref="U348">INDEX('MTA 28-09'!AE:AE,MATCH(B348,'MTA 28-09'!A:A,0))</f>
        <v>46260</v>
      </c>
      <c r="V348" s="29"/>
      <c r="W348" s="29"/>
      <c r="X348" s="29"/>
      <c r="Y348" s="29"/>
      <c r="Z348" s="29"/>
      <c r="AA348" s="29"/>
      <c r="AB348" s="29"/>
      <c r="AC348" s="29"/>
      <c r="AD348" s="29"/>
      <c r="AE348" s="29"/>
      <c r="AF348" s="29"/>
      <c r="AG348" s="29"/>
      <c r="AH348" s="29"/>
      <c r="AI348" s="29"/>
      <c r="AJ348" s="29"/>
      <c r="AK348" s="29"/>
      <c r="AL348" s="29"/>
      <c r="AM348" s="29"/>
    </row>
    <row r="349">
      <c r="A349" s="31" t="s">
        <v>39</v>
      </c>
      <c r="B349" s="32">
        <v>15600.0</v>
      </c>
      <c r="C349" s="33" t="str">
        <f t="array" ref="C349">INDEX('MTA 28-09'!B:B,MATCH(B349,'MTA 28-09'!A:A,0))</f>
        <v>SIM</v>
      </c>
      <c r="D349" s="34">
        <f t="array" ref="D349">INDEX('MTA 28-09'!D:D,MATCH(B349,'MTA 28-09'!A:A,0))</f>
        <v>2048</v>
      </c>
      <c r="E349" s="32" t="str">
        <f t="array" ref="E349">INDEX('MTA 28-09'!F:F,MATCH(B349,'MTA 28-09'!A:A,0))</f>
        <v>ATENDIDO</v>
      </c>
      <c r="F349" s="35">
        <f t="array" ref="F349">INDEX('MTA 28-09'!I:I,MATCH(B349,'MTA 28-09'!A:A,0))</f>
        <v>46213</v>
      </c>
      <c r="G349" s="36" t="str">
        <f t="array" ref="G349">INDEX('MTA 28-09'!J:J,MATCH(B349,'MTA 28-09'!A:A,0))</f>
        <v>C26344</v>
      </c>
      <c r="H349" s="37" t="s">
        <v>1451</v>
      </c>
      <c r="I349" s="38"/>
      <c r="J349" s="39"/>
      <c r="K349" s="40"/>
      <c r="L349" s="39" t="str">
        <f t="array" ref="L349">INDEX('MTA 28-09'!S:S,MATCH(B349,'MTA 28-09'!A:A,0))</f>
        <v>A-29</v>
      </c>
      <c r="M349" s="32" t="str">
        <f t="array" ref="M349">INDEX('MTA 28-09'!T:T,MATCH(B349,'MTA 28-09'!A:A,0))</f>
        <v>CNT 040/CELOG-PAMALS/2022 - AEL - CLS AVIONICO</v>
      </c>
      <c r="N349" s="32" t="str">
        <f t="array" ref="N349">INDEX('MTA 28-09'!U:U,MATCH(B349,'MTA 28-09'!A:A,0))</f>
        <v>Hora de Voo 07/10 - 1000 HV</v>
      </c>
      <c r="O349" s="59">
        <f t="array" ref="O349">INDEX('MTA 28-09'!AC:AC,MATCH(B349,'MTA 28-09'!A:A,0))</f>
        <v>1057110</v>
      </c>
      <c r="P349" s="32" t="str">
        <f t="array" ref="P349">INDEX('MTA 28-09'!N:N,MATCH(B349,'MTA 28-09'!A:A,0))</f>
        <v>CELOG</v>
      </c>
      <c r="Q349" s="67" t="str">
        <f t="array" ref="Q349">INDEX('MTA 28-09'!Z:Z,MATCH(B349,'MTA 28-09'!A:A,0))</f>
        <v>339039</v>
      </c>
      <c r="R349" s="32" t="str">
        <f t="array" ref="R349">INDEX('MTA 28-09'!L:L,MATCH(B349,'MTA 28-09'!A:A,0))</f>
        <v>A</v>
      </c>
      <c r="S349" s="72" t="str">
        <f t="array" ref="S349">INDEX('MTA 28-09'!X:X,MATCH(B349,'MTA 28-09'!A:A,0))</f>
        <v>HORA DE VOO</v>
      </c>
      <c r="T349" s="72" t="str">
        <f t="array" ref="T349">INDEX('MTA 28-09'!W:W,MATCH(B349,'MTA 28-09'!A:A,0))</f>
        <v>Não</v>
      </c>
      <c r="U349" s="81">
        <f t="array" ref="U349">INDEX('MTA 28-09'!AE:AE,MATCH(B349,'MTA 28-09'!A:A,0))</f>
        <v>46291</v>
      </c>
      <c r="V349" s="12"/>
      <c r="W349" s="12"/>
      <c r="X349" s="12"/>
      <c r="Y349" s="12"/>
      <c r="Z349" s="12"/>
      <c r="AA349" s="12"/>
      <c r="AB349" s="12"/>
      <c r="AC349" s="12"/>
      <c r="AD349" s="12"/>
      <c r="AE349" s="12"/>
      <c r="AF349" s="12"/>
      <c r="AG349" s="12"/>
      <c r="AH349" s="12"/>
      <c r="AI349" s="12"/>
      <c r="AJ349" s="12"/>
      <c r="AK349" s="12"/>
      <c r="AL349" s="12"/>
      <c r="AM349" s="12"/>
    </row>
    <row r="350">
      <c r="A350" s="88" t="s">
        <v>39</v>
      </c>
      <c r="B350" s="98">
        <v>15620.0</v>
      </c>
      <c r="C350" s="92" t="str">
        <f t="array" ref="C350">INDEX('MTA 28-09'!B:B,MATCH(B350,'MTA 28-09'!A:A,0))</f>
        <v>SIM</v>
      </c>
      <c r="D350" s="95">
        <f t="array" ref="D350">INDEX('MTA 28-09'!D:D,MATCH(B350,'MTA 28-09'!A:A,0))</f>
        <v>2048</v>
      </c>
      <c r="E350" s="98" t="str">
        <f t="array" ref="E350">INDEX('MTA 28-09'!F:F,MATCH(B350,'MTA 28-09'!A:A,0))</f>
        <v>ATENDIDO</v>
      </c>
      <c r="F350" s="152">
        <f t="array" ref="F350">INDEX('MTA 28-09'!I:I,MATCH(B350,'MTA 28-09'!A:A,0))</f>
        <v>46191</v>
      </c>
      <c r="G350" s="100" t="str">
        <f t="array" ref="G350">INDEX('MTA 28-09'!J:J,MATCH(B350,'MTA 28-09'!A:A,0))</f>
        <v>C26138</v>
      </c>
      <c r="H350" s="101" t="s">
        <v>421</v>
      </c>
      <c r="I350" s="90"/>
      <c r="J350" s="102"/>
      <c r="K350" s="103"/>
      <c r="L350" s="102" t="str">
        <f t="array" ref="L350">INDEX('MTA 28-09'!S:S,MATCH(B350,'MTA 28-09'!A:A,0))</f>
        <v>A-29</v>
      </c>
      <c r="M350" s="98" t="str">
        <f t="array" ref="M350">INDEX('MTA 28-09'!T:T,MATCH(B350,'MTA 28-09'!A:A,0))</f>
        <v>CTT 102/CELOG-PAMALS/2023 – EMBRAER - PSLI</v>
      </c>
      <c r="N350" s="98" t="str">
        <f t="array" ref="N350">INDEX('MTA 28-09'!U:U,MATCH(B350,'MTA 28-09'!A:A,0))</f>
        <v>Hora de Voo 06/10 - 1000 HV</v>
      </c>
      <c r="O350" s="104">
        <f t="array" ref="O350">INDEX('MTA 28-09'!AC:AC,MATCH(B350,'MTA 28-09'!A:A,0))</f>
        <v>4072680</v>
      </c>
      <c r="P350" s="98" t="str">
        <f t="array" ref="P350">INDEX('MTA 28-09'!N:N,MATCH(B350,'MTA 28-09'!A:A,0))</f>
        <v>CELOG</v>
      </c>
      <c r="Q350" s="105" t="str">
        <f t="array" ref="Q350">INDEX('MTA 28-09'!Z:Z,MATCH(B350,'MTA 28-09'!A:A,0))</f>
        <v>339039</v>
      </c>
      <c r="R350" s="98" t="str">
        <f t="array" ref="R350">INDEX('MTA 28-09'!L:L,MATCH(B350,'MTA 28-09'!A:A,0))</f>
        <v>A</v>
      </c>
      <c r="S350" s="107" t="str">
        <f t="array" ref="S350">INDEX('MTA 28-09'!X:X,MATCH(B350,'MTA 28-09'!A:A,0))</f>
        <v>HORA DE VOO</v>
      </c>
      <c r="T350" s="107" t="str">
        <f t="array" ref="T350">INDEX('MTA 28-09'!W:W,MATCH(B350,'MTA 28-09'!A:A,0))</f>
        <v>Não</v>
      </c>
      <c r="U350" s="109">
        <f t="array" ref="U350">INDEX('MTA 28-09'!AE:AE,MATCH(B350,'MTA 28-09'!A:A,0))</f>
        <v>46260</v>
      </c>
      <c r="V350" s="29"/>
      <c r="W350" s="29"/>
      <c r="X350" s="29"/>
      <c r="Y350" s="29"/>
      <c r="Z350" s="29"/>
      <c r="AA350" s="29"/>
      <c r="AB350" s="29"/>
      <c r="AC350" s="29"/>
      <c r="AD350" s="29"/>
      <c r="AE350" s="29"/>
      <c r="AF350" s="29"/>
      <c r="AG350" s="29"/>
      <c r="AH350" s="29"/>
      <c r="AI350" s="29"/>
      <c r="AJ350" s="29"/>
      <c r="AK350" s="29"/>
      <c r="AL350" s="29"/>
      <c r="AM350" s="29"/>
    </row>
    <row r="351">
      <c r="A351" s="31" t="s">
        <v>43</v>
      </c>
      <c r="B351" s="32">
        <v>15640.0</v>
      </c>
      <c r="C351" s="33" t="str">
        <f t="array" ref="C351">INDEX('MTA 28-09'!B:B,MATCH(B351,'MTA 28-09'!A:A,0))</f>
        <v>SIM</v>
      </c>
      <c r="D351" s="34" t="str">
        <f t="array" ref="D351">INDEX('MTA 28-09'!D:D,MATCH(B351,'MTA 28-09'!A:A,0))</f>
        <v>20XV SUP</v>
      </c>
      <c r="E351" s="32" t="str">
        <f t="array" ref="E351">INDEX('MTA 28-09'!F:F,MATCH(B351,'MTA 28-09'!A:A,0))</f>
        <v>ATENDIDO</v>
      </c>
      <c r="F351" s="155">
        <f t="array" ref="F351">INDEX('MTA 28-09'!I:I,MATCH(B351,'MTA 28-09'!A:A,0))</f>
        <v>46154</v>
      </c>
      <c r="G351" s="36" t="str">
        <f t="array" ref="G351">INDEX('MTA 28-09'!J:J,MATCH(B351,'MTA 28-09'!A:A,0))</f>
        <v>C26255</v>
      </c>
      <c r="H351" s="287" t="s">
        <v>157</v>
      </c>
      <c r="I351" s="295"/>
      <c r="J351" s="39"/>
      <c r="K351" s="40"/>
      <c r="L351" s="39" t="str">
        <f t="array" ref="L351">INDEX('MTA 28-09'!S:S,MATCH(B351,'MTA 28-09'!A:A,0))</f>
        <v>C-95M</v>
      </c>
      <c r="M351" s="32" t="str">
        <f t="array" ref="M351">INDEX('MTA 28-09'!T:T,MATCH(B351,'MTA 28-09'!A:A,0))</f>
        <v>CTT 028/CELOG-PAMALS/2025 – CLS AVIÔNICOS</v>
      </c>
      <c r="N351" s="32" t="str">
        <f t="array" ref="N351">INDEX('MTA 28-09'!U:U,MATCH(B351,'MTA 28-09'!A:A,0))</f>
        <v>Hora de Voo 05/09 - 1000 HV</v>
      </c>
      <c r="O351" s="59">
        <f t="array" ref="O351">INDEX('MTA 28-09'!AC:AC,MATCH(B351,'MTA 28-09'!A:A,0))</f>
        <v>619070</v>
      </c>
      <c r="P351" s="32" t="str">
        <f t="array" ref="P351">INDEX('MTA 28-09'!N:N,MATCH(B351,'MTA 28-09'!A:A,0))</f>
        <v>CELOG</v>
      </c>
      <c r="Q351" s="67" t="str">
        <f t="array" ref="Q351">INDEX('MTA 28-09'!Z:Z,MATCH(B351,'MTA 28-09'!A:A,0))</f>
        <v>339039</v>
      </c>
      <c r="R351" s="32" t="str">
        <f t="array" ref="R351">INDEX('MTA 28-09'!L:L,MATCH(B351,'MTA 28-09'!A:A,0))</f>
        <v>A</v>
      </c>
      <c r="S351" s="72" t="str">
        <f t="array" ref="S351">INDEX('MTA 28-09'!X:X,MATCH(B351,'MTA 28-09'!A:A,0))</f>
        <v>HORA DE VOO</v>
      </c>
      <c r="T351" s="72" t="str">
        <f t="array" ref="T351">INDEX('MTA 28-09'!W:W,MATCH(B351,'MTA 28-09'!A:A,0))</f>
        <v>Não</v>
      </c>
      <c r="U351" s="81">
        <f t="array" ref="U351">INDEX('MTA 28-09'!AE:AE,MATCH(B351,'MTA 28-09'!A:A,0))</f>
        <v>46321</v>
      </c>
      <c r="V351" s="12"/>
      <c r="W351" s="12"/>
      <c r="X351" s="12"/>
      <c r="Y351" s="12"/>
      <c r="Z351" s="12"/>
      <c r="AA351" s="12"/>
      <c r="AB351" s="12"/>
      <c r="AC351" s="12"/>
      <c r="AD351" s="12"/>
      <c r="AE351" s="12"/>
      <c r="AF351" s="12"/>
      <c r="AG351" s="12"/>
      <c r="AH351" s="12"/>
      <c r="AI351" s="12"/>
      <c r="AJ351" s="12"/>
      <c r="AK351" s="12"/>
      <c r="AL351" s="12"/>
      <c r="AM351" s="12"/>
    </row>
    <row r="352">
      <c r="A352" s="88" t="s">
        <v>44</v>
      </c>
      <c r="B352" s="98">
        <v>15660.0</v>
      </c>
      <c r="C352" s="92" t="str">
        <f t="array" ref="C352">INDEX('MTA 28-09'!B:B,MATCH(B352,'MTA 28-09'!A:A,0))</f>
        <v>SIM</v>
      </c>
      <c r="D352" s="95" t="str">
        <f t="array" ref="D352">INDEX('MTA 28-09'!D:D,MATCH(B352,'MTA 28-09'!A:A,0))</f>
        <v>DESTQ38</v>
      </c>
      <c r="E352" s="98" t="str">
        <f t="array" ref="E352">INDEX('MTA 28-09'!F:F,MATCH(B352,'MTA 28-09'!A:A,0))</f>
        <v>ATENDIDO</v>
      </c>
      <c r="F352" s="99">
        <f t="array" ref="F352">INDEX('MTA 28-09'!I:I,MATCH(B352,'MTA 28-09'!A:A,0))</f>
        <v>46241</v>
      </c>
      <c r="G352" s="100" t="str">
        <f t="array" ref="G352">INDEX('MTA 28-09'!J:J,MATCH(B352,'MTA 28-09'!A:A,0))</f>
        <v>C26387</v>
      </c>
      <c r="H352" s="101" t="s">
        <v>1451</v>
      </c>
      <c r="I352" s="90"/>
      <c r="J352" s="102"/>
      <c r="K352" s="103"/>
      <c r="L352" s="102" t="str">
        <f t="array" ref="L352">INDEX('MTA 28-09'!S:S,MATCH(B352,'MTA 28-09'!A:A,0))</f>
        <v>C-97</v>
      </c>
      <c r="M352" s="98" t="str">
        <f t="array" ref="M352">INDEX('MTA 28-09'!T:T,MATCH(B352,'MTA 28-09'!A:A,0))</f>
        <v>CTT 096/CAE-PAMALS/2021 - CLS C-97</v>
      </c>
      <c r="N352" s="98" t="str">
        <f t="array" ref="N352">INDEX('MTA 28-09'!U:U,MATCH(B352,'MTA 28-09'!A:A,0))</f>
        <v>Parcela Fixa 08/12</v>
      </c>
      <c r="O352" s="104">
        <f t="array" ref="O352">INDEX('MTA 28-09'!AC:AC,MATCH(B352,'MTA 28-09'!A:A,0))</f>
        <v>332718.75</v>
      </c>
      <c r="P352" s="98" t="str">
        <f t="array" ref="P352">INDEX('MTA 28-09'!N:N,MATCH(B352,'MTA 28-09'!A:A,0))</f>
        <v>CELOG</v>
      </c>
      <c r="Q352" s="105" t="str">
        <f t="array" ref="Q352">INDEX('MTA 28-09'!Z:Z,MATCH(B352,'MTA 28-09'!A:A,0))</f>
        <v>339039</v>
      </c>
      <c r="R352" s="98" t="str">
        <f t="array" ref="R352">INDEX('MTA 28-09'!L:L,MATCH(B352,'MTA 28-09'!A:A,0))</f>
        <v>A</v>
      </c>
      <c r="S352" s="107" t="str">
        <f t="array" ref="S352">INDEX('MTA 28-09'!X:X,MATCH(B352,'MTA 28-09'!A:A,0))</f>
        <v>PARCELA FIXA</v>
      </c>
      <c r="T352" s="107" t="str">
        <f t="array" ref="T352">INDEX('MTA 28-09'!W:W,MATCH(B352,'MTA 28-09'!A:A,0))</f>
        <v>Não</v>
      </c>
      <c r="U352" s="109">
        <f t="array" ref="U352">INDEX('MTA 28-09'!AE:AE,MATCH(B352,'MTA 28-09'!A:A,0))</f>
        <v>46321</v>
      </c>
      <c r="V352" s="29"/>
      <c r="W352" s="29"/>
      <c r="X352" s="29"/>
      <c r="Y352" s="29"/>
      <c r="Z352" s="29"/>
      <c r="AA352" s="29"/>
      <c r="AB352" s="29"/>
      <c r="AC352" s="29"/>
      <c r="AD352" s="29"/>
      <c r="AE352" s="29"/>
      <c r="AF352" s="29"/>
      <c r="AG352" s="29"/>
      <c r="AH352" s="29"/>
      <c r="AI352" s="29"/>
      <c r="AJ352" s="29"/>
      <c r="AK352" s="29"/>
      <c r="AL352" s="29"/>
      <c r="AM352" s="29"/>
    </row>
    <row r="353">
      <c r="A353" s="31" t="s">
        <v>45</v>
      </c>
      <c r="B353" s="32">
        <v>15680.0</v>
      </c>
      <c r="C353" s="33" t="str">
        <f t="array" ref="C353">INDEX('MTA 28-09'!B:B,MATCH(B353,'MTA 28-09'!A:A,0))</f>
        <v>SIM</v>
      </c>
      <c r="D353" s="34">
        <f t="array" ref="D353">INDEX('MTA 28-09'!D:D,MATCH(B353,'MTA 28-09'!A:A,0))</f>
        <v>2048</v>
      </c>
      <c r="E353" s="32" t="str">
        <f t="array" ref="E353">INDEX('MTA 28-09'!F:F,MATCH(B353,'MTA 28-09'!A:A,0))</f>
        <v>ATENDIDO</v>
      </c>
      <c r="F353" s="294">
        <f t="array" ref="F353">INDEX('MTA 28-09'!I:I,MATCH(B353,'MTA 28-09'!A:A,0))</f>
        <v>46191</v>
      </c>
      <c r="G353" s="36" t="str">
        <f t="array" ref="G353">INDEX('MTA 28-09'!J:J,MATCH(B353,'MTA 28-09'!A:A,0))</f>
        <v>C26312</v>
      </c>
      <c r="H353" s="37" t="s">
        <v>421</v>
      </c>
      <c r="I353" s="38"/>
      <c r="J353" s="39"/>
      <c r="K353" s="40"/>
      <c r="L353" s="39" t="str">
        <f t="array" ref="L353">INDEX('MTA 28-09'!S:S,MATCH(B353,'MTA 28-09'!A:A,0))</f>
        <v>C-98</v>
      </c>
      <c r="M353" s="32" t="str">
        <f t="array" ref="M353">INDEX('MTA 28-09'!T:T,MATCH(B353,'MTA 28-09'!A:A,0))</f>
        <v>CNT 005/CELOG-PAMALS/2025 - VEE ONE</v>
      </c>
      <c r="N353" s="32" t="str">
        <f t="array" ref="N353">INDEX('MTA 28-09'!U:U,MATCH(B353,'MTA 28-09'!A:A,0))</f>
        <v>Hora de Voo 05/10 - 1000 HV</v>
      </c>
      <c r="O353" s="59">
        <f t="array" ref="O353">INDEX('MTA 28-09'!AC:AC,MATCH(B353,'MTA 28-09'!A:A,0))</f>
        <v>1496713.48</v>
      </c>
      <c r="P353" s="32" t="str">
        <f t="array" ref="P353">INDEX('MTA 28-09'!N:N,MATCH(B353,'MTA 28-09'!A:A,0))</f>
        <v>CELOG</v>
      </c>
      <c r="Q353" s="67" t="str">
        <f t="array" ref="Q353">INDEX('MTA 28-09'!Z:Z,MATCH(B353,'MTA 28-09'!A:A,0))</f>
        <v>339039</v>
      </c>
      <c r="R353" s="32" t="str">
        <f t="array" ref="R353">INDEX('MTA 28-09'!L:L,MATCH(B353,'MTA 28-09'!A:A,0))</f>
        <v>A</v>
      </c>
      <c r="S353" s="72" t="str">
        <f t="array" ref="S353">INDEX('MTA 28-09'!X:X,MATCH(B353,'MTA 28-09'!A:A,0))</f>
        <v>HORA DE VOO</v>
      </c>
      <c r="T353" s="72" t="str">
        <f t="array" ref="T353">INDEX('MTA 28-09'!W:W,MATCH(B353,'MTA 28-09'!A:A,0))</f>
        <v>Não</v>
      </c>
      <c r="U353" s="81">
        <f t="array" ref="U353">INDEX('MTA 28-09'!AE:AE,MATCH(B353,'MTA 28-09'!A:A,0))</f>
        <v>46260</v>
      </c>
      <c r="V353" s="12"/>
      <c r="W353" s="12"/>
      <c r="X353" s="12"/>
      <c r="Y353" s="12"/>
      <c r="Z353" s="12"/>
      <c r="AA353" s="12"/>
      <c r="AB353" s="12"/>
      <c r="AC353" s="12"/>
      <c r="AD353" s="12"/>
      <c r="AE353" s="12"/>
      <c r="AF353" s="12"/>
      <c r="AG353" s="12"/>
      <c r="AH353" s="12"/>
      <c r="AI353" s="12"/>
      <c r="AJ353" s="12"/>
      <c r="AK353" s="12"/>
      <c r="AL353" s="12"/>
      <c r="AM353" s="12"/>
    </row>
    <row r="354">
      <c r="A354" s="88" t="s">
        <v>45</v>
      </c>
      <c r="B354" s="90">
        <v>15681.0</v>
      </c>
      <c r="C354" s="92" t="str">
        <f t="array" ref="C354">INDEX('MTA 28-09'!B:B,MATCH(B354,'MTA 28-09'!A:A,0))</f>
        <v>SIM</v>
      </c>
      <c r="D354" s="95" t="str">
        <f t="array" ref="D354">INDEX('MTA 28-09'!D:D,MATCH(B354,'MTA 28-09'!A:A,0))</f>
        <v>DESTQ09</v>
      </c>
      <c r="E354" s="98" t="str">
        <f t="array" ref="E354">INDEX('MTA 28-09'!F:F,MATCH(B354,'MTA 28-09'!A:A,0))</f>
        <v>ATENDIDO</v>
      </c>
      <c r="F354" s="99">
        <f t="array" ref="F354">INDEX('MTA 28-09'!I:I,MATCH(B354,'MTA 28-09'!A:A,0))</f>
        <v>46119</v>
      </c>
      <c r="G354" s="100" t="str">
        <f t="array" ref="G354">INDEX('MTA 28-09'!J:J,MATCH(B354,'MTA 28-09'!A:A,0))</f>
        <v>C26193</v>
      </c>
      <c r="H354" s="159" t="s">
        <v>157</v>
      </c>
      <c r="I354" s="90"/>
      <c r="J354" s="102"/>
      <c r="K354" s="103"/>
      <c r="L354" s="102" t="str">
        <f t="array" ref="L354">INDEX('MTA 28-09'!S:S,MATCH(B354,'MTA 28-09'!A:A,0))</f>
        <v>C-98</v>
      </c>
      <c r="M354" s="98" t="str">
        <f t="array" ref="M354">INDEX('MTA 28-09'!T:T,MATCH(B354,'MTA 28-09'!A:A,0))</f>
        <v>CNT 005/CELOG-PAMALS/2025 - VEE ONE</v>
      </c>
      <c r="N354" s="98" t="str">
        <f t="array" ref="N354">INDEX('MTA 28-09'!U:U,MATCH(B354,'MTA 28-09'!A:A,0))</f>
        <v>Hora de Voo 05/10 - 1000 HV</v>
      </c>
      <c r="O354" s="104">
        <f t="array" ref="O354">INDEX('MTA 28-09'!AC:AC,MATCH(B354,'MTA 28-09'!A:A,0))</f>
        <v>207789.52</v>
      </c>
      <c r="P354" s="98" t="str">
        <f t="array" ref="P354">INDEX('MTA 28-09'!N:N,MATCH(B354,'MTA 28-09'!A:A,0))</f>
        <v>CELOG</v>
      </c>
      <c r="Q354" s="105" t="str">
        <f t="array" ref="Q354">INDEX('MTA 28-09'!Z:Z,MATCH(B354,'MTA 28-09'!A:A,0))</f>
        <v>339039</v>
      </c>
      <c r="R354" s="98" t="str">
        <f t="array" ref="R354">INDEX('MTA 28-09'!L:L,MATCH(B354,'MTA 28-09'!A:A,0))</f>
        <v>A</v>
      </c>
      <c r="S354" s="107" t="str">
        <f t="array" ref="S354">INDEX('MTA 28-09'!X:X,MATCH(B354,'MTA 28-09'!A:A,0))</f>
        <v>HORA DE VOO</v>
      </c>
      <c r="T354" s="107" t="str">
        <f t="array" ref="T354">INDEX('MTA 28-09'!W:W,MATCH(B354,'MTA 28-09'!A:A,0))</f>
        <v>Não</v>
      </c>
      <c r="U354" s="109">
        <f t="array" ref="U354">INDEX('MTA 28-09'!AE:AE,MATCH(B354,'MTA 28-09'!A:A,0))</f>
        <v>46260</v>
      </c>
      <c r="V354" s="29"/>
      <c r="W354" s="29"/>
      <c r="X354" s="29"/>
      <c r="Y354" s="29"/>
      <c r="Z354" s="29"/>
      <c r="AA354" s="29"/>
      <c r="AB354" s="29"/>
      <c r="AC354" s="29"/>
      <c r="AD354" s="29"/>
      <c r="AE354" s="29"/>
      <c r="AF354" s="29"/>
      <c r="AG354" s="29"/>
      <c r="AH354" s="29"/>
      <c r="AI354" s="29"/>
      <c r="AJ354" s="29"/>
      <c r="AK354" s="29"/>
      <c r="AL354" s="29"/>
      <c r="AM354" s="29"/>
    </row>
    <row r="355">
      <c r="A355" s="31" t="s">
        <v>49</v>
      </c>
      <c r="B355" s="32">
        <v>15700.0</v>
      </c>
      <c r="C355" s="33" t="str">
        <f t="array" ref="C355">INDEX('MTA 28-09'!B:B,MATCH(B355,'MTA 28-09'!A:A,0))</f>
        <v>SIM</v>
      </c>
      <c r="D355" s="34" t="str">
        <f t="array" ref="D355">INDEX('MTA 28-09'!D:D,MATCH(B355,'MTA 28-09'!A:A,0))</f>
        <v>20XV SUP</v>
      </c>
      <c r="E355" s="32" t="str">
        <f t="array" ref="E355">INDEX('MTA 28-09'!F:F,MATCH(B355,'MTA 28-09'!A:A,0))</f>
        <v>ATENDIDO</v>
      </c>
      <c r="F355" s="35">
        <f t="array" ref="F355">INDEX('MTA 28-09'!I:I,MATCH(B355,'MTA 28-09'!A:A,0))</f>
        <v>46160</v>
      </c>
      <c r="G355" s="36" t="str">
        <f t="array" ref="G355">INDEX('MTA 28-09'!J:J,MATCH(B355,'MTA 28-09'!A:A,0))</f>
        <v>C26152</v>
      </c>
      <c r="H355" s="287" t="s">
        <v>157</v>
      </c>
      <c r="I355" s="295"/>
      <c r="J355" s="39"/>
      <c r="K355" s="40"/>
      <c r="L355" s="39" t="str">
        <f t="array" ref="L355">INDEX('MTA 28-09'!S:S,MATCH(B355,'MTA 28-09'!A:A,0))</f>
        <v>IU-93M</v>
      </c>
      <c r="M355" s="32" t="str">
        <f t="array" ref="M355">INDEX('MTA 28-09'!T:T,MATCH(B355,'MTA 28-09'!A:A,0))</f>
        <v>CNT 024/CELOG-PAMALS/2022 - VEE ONE</v>
      </c>
      <c r="N355" s="32" t="str">
        <f t="array" ref="N355">INDEX('MTA 28-09'!U:U,MATCH(B355,'MTA 28-09'!A:A,0))</f>
        <v>Hora de Voo 07/12 (100HV)</v>
      </c>
      <c r="O355" s="59">
        <f t="array" ref="O355">INDEX('MTA 28-09'!AC:AC,MATCH(B355,'MTA 28-09'!A:A,0))</f>
        <v>1892821</v>
      </c>
      <c r="P355" s="32" t="str">
        <f t="array" ref="P355">INDEX('MTA 28-09'!N:N,MATCH(B355,'MTA 28-09'!A:A,0))</f>
        <v>CELOG</v>
      </c>
      <c r="Q355" s="67" t="str">
        <f t="array" ref="Q355">INDEX('MTA 28-09'!Z:Z,MATCH(B355,'MTA 28-09'!A:A,0))</f>
        <v>339039</v>
      </c>
      <c r="R355" s="32" t="str">
        <f t="array" ref="R355">INDEX('MTA 28-09'!L:L,MATCH(B355,'MTA 28-09'!A:A,0))</f>
        <v>A</v>
      </c>
      <c r="S355" s="72" t="str">
        <f t="array" ref="S355">INDEX('MTA 28-09'!X:X,MATCH(B355,'MTA 28-09'!A:A,0))</f>
        <v>HORA DE VOO</v>
      </c>
      <c r="T355" s="72" t="str">
        <f t="array" ref="T355">INDEX('MTA 28-09'!W:W,MATCH(B355,'MTA 28-09'!A:A,0))</f>
        <v>Não</v>
      </c>
      <c r="U355" s="81">
        <f t="array" ref="U355">INDEX('MTA 28-09'!AE:AE,MATCH(B355,'MTA 28-09'!A:A,0))</f>
        <v>46291</v>
      </c>
      <c r="V355" s="12"/>
      <c r="W355" s="12"/>
      <c r="X355" s="12"/>
      <c r="Y355" s="12"/>
      <c r="Z355" s="12"/>
      <c r="AA355" s="12"/>
      <c r="AB355" s="12"/>
      <c r="AC355" s="12"/>
      <c r="AD355" s="12"/>
      <c r="AE355" s="12"/>
      <c r="AF355" s="12"/>
      <c r="AG355" s="12"/>
      <c r="AH355" s="12"/>
      <c r="AI355" s="12"/>
      <c r="AJ355" s="12"/>
      <c r="AK355" s="12"/>
      <c r="AL355" s="12"/>
      <c r="AM355" s="12"/>
    </row>
    <row r="356">
      <c r="A356" s="88" t="s">
        <v>49</v>
      </c>
      <c r="B356" s="98">
        <v>15720.0</v>
      </c>
      <c r="C356" s="92" t="str">
        <f t="array" ref="C356">INDEX('MTA 28-09'!B:B,MATCH(B356,'MTA 28-09'!A:A,0))</f>
        <v>SIM</v>
      </c>
      <c r="D356" s="95" t="str">
        <f t="array" ref="D356">INDEX('MTA 28-09'!D:D,MATCH(B356,'MTA 28-09'!A:A,0))</f>
        <v>20XV SUP</v>
      </c>
      <c r="E356" s="98" t="str">
        <f t="array" ref="E356">INDEX('MTA 28-09'!F:F,MATCH(B356,'MTA 28-09'!A:A,0))</f>
        <v>ATENDIDO</v>
      </c>
      <c r="F356" s="99">
        <f t="array" ref="F356">INDEX('MTA 28-09'!I:I,MATCH(B356,'MTA 28-09'!A:A,0))</f>
        <v>46160</v>
      </c>
      <c r="G356" s="100" t="str">
        <f t="array" ref="G356">INDEX('MTA 28-09'!J:J,MATCH(B356,'MTA 28-09'!A:A,0))</f>
        <v>C26152</v>
      </c>
      <c r="H356" s="159" t="s">
        <v>157</v>
      </c>
      <c r="I356" s="296"/>
      <c r="J356" s="102"/>
      <c r="K356" s="103"/>
      <c r="L356" s="102" t="str">
        <f t="array" ref="L356">INDEX('MTA 28-09'!S:S,MATCH(B356,'MTA 28-09'!A:A,0))</f>
        <v>IU-93M</v>
      </c>
      <c r="M356" s="98" t="str">
        <f t="array" ref="M356">INDEX('MTA 28-09'!T:T,MATCH(B356,'MTA 28-09'!A:A,0))</f>
        <v>CNT 024/CELOG-PAMALS/2022 - VEE ONE</v>
      </c>
      <c r="N356" s="98" t="str">
        <f t="array" ref="N356">INDEX('MTA 28-09'!U:U,MATCH(B356,'MTA 28-09'!A:A,0))</f>
        <v>Hora de Voo 08/12 (100HV)</v>
      </c>
      <c r="O356" s="104">
        <f t="array" ref="O356">INDEX('MTA 28-09'!AC:AC,MATCH(B356,'MTA 28-09'!A:A,0))</f>
        <v>1892821</v>
      </c>
      <c r="P356" s="98" t="str">
        <f t="array" ref="P356">INDEX('MTA 28-09'!N:N,MATCH(B356,'MTA 28-09'!A:A,0))</f>
        <v>CELOG</v>
      </c>
      <c r="Q356" s="105" t="str">
        <f t="array" ref="Q356">INDEX('MTA 28-09'!Z:Z,MATCH(B356,'MTA 28-09'!A:A,0))</f>
        <v>339039</v>
      </c>
      <c r="R356" s="98" t="str">
        <f t="array" ref="R356">INDEX('MTA 28-09'!L:L,MATCH(B356,'MTA 28-09'!A:A,0))</f>
        <v>A</v>
      </c>
      <c r="S356" s="107" t="str">
        <f t="array" ref="S356">INDEX('MTA 28-09'!X:X,MATCH(B356,'MTA 28-09'!A:A,0))</f>
        <v>HORA DE VOO</v>
      </c>
      <c r="T356" s="107" t="str">
        <f t="array" ref="T356">INDEX('MTA 28-09'!W:W,MATCH(B356,'MTA 28-09'!A:A,0))</f>
        <v>Não</v>
      </c>
      <c r="U356" s="109">
        <f t="array" ref="U356">INDEX('MTA 28-09'!AE:AE,MATCH(B356,'MTA 28-09'!A:A,0))</f>
        <v>46291</v>
      </c>
      <c r="V356" s="29"/>
      <c r="W356" s="29"/>
      <c r="X356" s="29"/>
      <c r="Y356" s="29"/>
      <c r="Z356" s="29"/>
      <c r="AA356" s="29"/>
      <c r="AB356" s="29"/>
      <c r="AC356" s="29"/>
      <c r="AD356" s="29"/>
      <c r="AE356" s="29"/>
      <c r="AF356" s="29"/>
      <c r="AG356" s="29"/>
      <c r="AH356" s="29"/>
      <c r="AI356" s="29"/>
      <c r="AJ356" s="29"/>
      <c r="AK356" s="29"/>
      <c r="AL356" s="29"/>
      <c r="AM356" s="29"/>
    </row>
    <row r="357">
      <c r="A357" s="31" t="s">
        <v>47</v>
      </c>
      <c r="B357" s="32">
        <v>15740.0</v>
      </c>
      <c r="C357" s="33" t="str">
        <f t="array" ref="C357">INDEX('MTA 28-09'!B:B,MATCH(B357,'MTA 28-09'!A:A,0))</f>
        <v>SIM</v>
      </c>
      <c r="D357" s="34">
        <f t="array" ref="D357">INDEX('MTA 28-09'!D:D,MATCH(B357,'MTA 28-09'!A:A,0))</f>
        <v>2048</v>
      </c>
      <c r="E357" s="32" t="str">
        <f t="array" ref="E357">INDEX('MTA 28-09'!F:F,MATCH(B357,'MTA 28-09'!A:A,0))</f>
        <v>ATENDIDO</v>
      </c>
      <c r="F357" s="35">
        <f t="array" ref="F357">INDEX('MTA 28-09'!I:I,MATCH(B357,'MTA 28-09'!A:A,0))</f>
        <v>46213</v>
      </c>
      <c r="G357" s="36" t="str">
        <f t="array" ref="G357">INDEX('MTA 28-09'!J:J,MATCH(B357,'MTA 28-09'!A:A,0))</f>
        <v>C26156</v>
      </c>
      <c r="H357" s="37" t="s">
        <v>1451</v>
      </c>
      <c r="I357" s="38"/>
      <c r="J357" s="39" t="s">
        <v>155</v>
      </c>
      <c r="K357" s="40"/>
      <c r="L357" s="39" t="str">
        <f t="array" ref="L357">INDEX('MTA 28-09'!S:S,MATCH(B357,'MTA 28-09'!A:A,0))</f>
        <v>T-25</v>
      </c>
      <c r="M357" s="32" t="str">
        <f t="array" ref="M357">INDEX('MTA 28-09'!T:T,MATCH(B357,'MTA 28-09'!A:A,0))</f>
        <v>Requisição FMS</v>
      </c>
      <c r="N357" s="32" t="str">
        <f t="array" ref="N357">INDEX('MTA 28-09'!U:U,MATCH(B357,'MTA 28-09'!A:A,0))</f>
        <v>Requisições Consumíveis 3/4</v>
      </c>
      <c r="O357" s="59">
        <f t="array" ref="O357">INDEX('MTA 28-09'!AC:AC,MATCH(B357,'MTA 28-09'!A:A,0))</f>
        <v>266994.73</v>
      </c>
      <c r="P357" s="32" t="str">
        <f t="array" ref="P357">INDEX('MTA 28-09'!N:N,MATCH(B357,'MTA 28-09'!A:A,0))</f>
        <v>CABW</v>
      </c>
      <c r="Q357" s="67" t="str">
        <f t="array" ref="Q357">INDEX('MTA 28-09'!Z:Z,MATCH(B357,'MTA 28-09'!A:A,0))</f>
        <v>339030</v>
      </c>
      <c r="R357" s="32" t="str">
        <f t="array" ref="R357">INDEX('MTA 28-09'!L:L,MATCH(B357,'MTA 28-09'!A:A,0))</f>
        <v>A</v>
      </c>
      <c r="S357" s="72" t="str">
        <f t="array" ref="S357">INDEX('MTA 28-09'!X:X,MATCH(B357,'MTA 28-09'!A:A,0))</f>
        <v>REQUISIÇÃO</v>
      </c>
      <c r="T357" s="72" t="str">
        <f t="array" ref="T357">INDEX('MTA 28-09'!W:W,MATCH(B357,'MTA 28-09'!A:A,0))</f>
        <v>Não</v>
      </c>
      <c r="U357" s="81">
        <f t="array" ref="U357">INDEX('MTA 28-09'!AE:AE,MATCH(B357,'MTA 28-09'!A:A,0))</f>
        <v>46291</v>
      </c>
      <c r="V357" s="12"/>
      <c r="W357" s="12"/>
      <c r="X357" s="12"/>
      <c r="Y357" s="12"/>
      <c r="Z357" s="12"/>
      <c r="AA357" s="12"/>
      <c r="AB357" s="12"/>
      <c r="AC357" s="12"/>
      <c r="AD357" s="12"/>
      <c r="AE357" s="12"/>
      <c r="AF357" s="12"/>
      <c r="AG357" s="12"/>
      <c r="AH357" s="12"/>
      <c r="AI357" s="12"/>
      <c r="AJ357" s="12"/>
      <c r="AK357" s="12"/>
      <c r="AL357" s="12"/>
      <c r="AM357" s="12"/>
    </row>
    <row r="358">
      <c r="A358" s="88" t="s">
        <v>46</v>
      </c>
      <c r="B358" s="98">
        <v>15760.0</v>
      </c>
      <c r="C358" s="92" t="str">
        <f t="array" ref="C358">INDEX('MTA 28-09'!B:B,MATCH(B358,'MTA 28-09'!A:A,0))</f>
        <v>SIM</v>
      </c>
      <c r="D358" s="95">
        <f t="array" ref="D358">INDEX('MTA 28-09'!D:D,MATCH(B358,'MTA 28-09'!A:A,0))</f>
        <v>2048</v>
      </c>
      <c r="E358" s="98" t="str">
        <f t="array" ref="E358">INDEX('MTA 28-09'!F:F,MATCH(B358,'MTA 28-09'!A:A,0))</f>
        <v/>
      </c>
      <c r="F358" s="152" t="str">
        <f t="array" ref="F358">INDEX('MTA 28-09'!I:I,MATCH(B358,'MTA 28-09'!A:A,0))</f>
        <v/>
      </c>
      <c r="G358" s="100" t="str">
        <f t="array" ref="G358">INDEX('MTA 28-09'!J:J,MATCH(B358,'MTA 28-09'!A:A,0))</f>
        <v/>
      </c>
      <c r="H358" s="153">
        <v>46276.0</v>
      </c>
      <c r="I358" s="154" t="s">
        <v>152</v>
      </c>
      <c r="J358" s="102"/>
      <c r="K358" s="103"/>
      <c r="L358" s="102" t="str">
        <f t="array" ref="L358">INDEX('MTA 28-09'!S:S,MATCH(B358,'MTA 28-09'!A:A,0))</f>
        <v>T-27</v>
      </c>
      <c r="M358" s="98" t="str">
        <f t="array" ref="M358">INDEX('MTA 28-09'!T:T,MATCH(B358,'MTA 28-09'!A:A,0))</f>
        <v>Requisição CABW</v>
      </c>
      <c r="N358" s="98" t="str">
        <f t="array" ref="N358">INDEX('MTA 28-09'!U:U,MATCH(B358,'MTA 28-09'!A:A,0))</f>
        <v>Requisições Consumíveis</v>
      </c>
      <c r="O358" s="104">
        <f t="array" ref="O358">INDEX('MTA 28-09'!AC:AC,MATCH(B358,'MTA 28-09'!A:A,0))</f>
        <v>270000</v>
      </c>
      <c r="P358" s="98" t="str">
        <f t="array" ref="P358">INDEX('MTA 28-09'!N:N,MATCH(B358,'MTA 28-09'!A:A,0))</f>
        <v>CABW</v>
      </c>
      <c r="Q358" s="105" t="str">
        <f t="array" ref="Q358">INDEX('MTA 28-09'!Z:Z,MATCH(B358,'MTA 28-09'!A:A,0))</f>
        <v>339030</v>
      </c>
      <c r="R358" s="98" t="str">
        <f t="array" ref="R358">INDEX('MTA 28-09'!L:L,MATCH(B358,'MTA 28-09'!A:A,0))</f>
        <v>A</v>
      </c>
      <c r="S358" s="107" t="str">
        <f t="array" ref="S358">INDEX('MTA 28-09'!X:X,MATCH(B358,'MTA 28-09'!A:A,0))</f>
        <v>REQUISIÇÃO</v>
      </c>
      <c r="T358" s="107" t="str">
        <f t="array" ref="T358">INDEX('MTA 28-09'!W:W,MATCH(B358,'MTA 28-09'!A:A,0))</f>
        <v>Não</v>
      </c>
      <c r="U358" s="109">
        <f t="array" ref="U358">INDEX('MTA 28-09'!AE:AE,MATCH(B358,'MTA 28-09'!A:A,0))</f>
        <v>46291</v>
      </c>
      <c r="V358" s="29"/>
      <c r="W358" s="29"/>
      <c r="X358" s="29"/>
      <c r="Y358" s="29"/>
      <c r="Z358" s="29"/>
      <c r="AA358" s="29"/>
      <c r="AB358" s="29"/>
      <c r="AC358" s="29"/>
      <c r="AD358" s="29"/>
      <c r="AE358" s="29"/>
      <c r="AF358" s="29"/>
      <c r="AG358" s="29"/>
      <c r="AH358" s="29"/>
      <c r="AI358" s="29"/>
      <c r="AJ358" s="29"/>
      <c r="AK358" s="29"/>
      <c r="AL358" s="29"/>
      <c r="AM358" s="29"/>
    </row>
    <row r="359">
      <c r="A359" s="31" t="s">
        <v>46</v>
      </c>
      <c r="B359" s="32">
        <v>15780.0</v>
      </c>
      <c r="C359" s="33" t="str">
        <f t="array" ref="C359">INDEX('MTA 28-09'!B:B,MATCH(B359,'MTA 28-09'!A:A,0))</f>
        <v>SIM</v>
      </c>
      <c r="D359" s="34">
        <f t="array" ref="D359">INDEX('MTA 28-09'!D:D,MATCH(B359,'MTA 28-09'!A:A,0))</f>
        <v>2048</v>
      </c>
      <c r="E359" s="32" t="str">
        <f t="array" ref="E359">INDEX('MTA 28-09'!F:F,MATCH(B359,'MTA 28-09'!A:A,0))</f>
        <v>CANCELADO</v>
      </c>
      <c r="F359" s="155" t="str">
        <f t="array" ref="F359">INDEX('MTA 28-09'!I:I,MATCH(B359,'MTA 28-09'!A:A,0))</f>
        <v/>
      </c>
      <c r="G359" s="36" t="str">
        <f t="array" ref="G359">INDEX('MTA 28-09'!J:J,MATCH(B359,'MTA 28-09'!A:A,0))</f>
        <v/>
      </c>
      <c r="H359" s="287" t="s">
        <v>157</v>
      </c>
      <c r="I359" s="295"/>
      <c r="J359" s="39"/>
      <c r="K359" s="40"/>
      <c r="L359" s="39" t="str">
        <f t="array" ref="L359">INDEX('MTA 28-09'!S:S,MATCH(B359,'MTA 28-09'!A:A,0))</f>
        <v>T-27</v>
      </c>
      <c r="M359" s="32" t="str">
        <f t="array" ref="M359">INDEX('MTA 28-09'!T:T,MATCH(B359,'MTA 28-09'!A:A,0))</f>
        <v>REQUISIÇÃO SERVIÇO</v>
      </c>
      <c r="N359" s="32" t="str">
        <f t="array" ref="N359">INDEX('MTA 28-09'!U:U,MATCH(B359,'MTA 28-09'!A:A,0))</f>
        <v>Reparo de CTVR 2 EA (2/2)</v>
      </c>
      <c r="O359" s="59" t="str">
        <f t="array" ref="O359">INDEX('MTA 28-09'!AC:AC,MATCH(B359,'MTA 28-09'!A:A,0))</f>
        <v> -</v>
      </c>
      <c r="P359" s="32" t="str">
        <f t="array" ref="P359">INDEX('MTA 28-09'!N:N,MATCH(B359,'MTA 28-09'!A:A,0))</f>
        <v>CABW</v>
      </c>
      <c r="Q359" s="67" t="str">
        <f t="array" ref="Q359">INDEX('MTA 28-09'!Z:Z,MATCH(B359,'MTA 28-09'!A:A,0))</f>
        <v>339039</v>
      </c>
      <c r="R359" s="32" t="str">
        <f t="array" ref="R359">INDEX('MTA 28-09'!L:L,MATCH(B359,'MTA 28-09'!A:A,0))</f>
        <v>A</v>
      </c>
      <c r="S359" s="72" t="str">
        <f t="array" ref="S359">INDEX('MTA 28-09'!X:X,MATCH(B359,'MTA 28-09'!A:A,0))</f>
        <v>REQUISIÇÃO</v>
      </c>
      <c r="T359" s="72" t="str">
        <f t="array" ref="T359">INDEX('MTA 28-09'!W:W,MATCH(B359,'MTA 28-09'!A:A,0))</f>
        <v>SIM</v>
      </c>
      <c r="U359" s="81">
        <f t="array" ref="U359">INDEX('MTA 28-09'!AE:AE,MATCH(B359,'MTA 28-09'!A:A,0))</f>
        <v>46200</v>
      </c>
      <c r="V359" s="12"/>
      <c r="W359" s="12"/>
      <c r="X359" s="12"/>
      <c r="Y359" s="12"/>
      <c r="Z359" s="12"/>
      <c r="AA359" s="12"/>
      <c r="AB359" s="12"/>
      <c r="AC359" s="12"/>
      <c r="AD359" s="12"/>
      <c r="AE359" s="12"/>
      <c r="AF359" s="12"/>
      <c r="AG359" s="12"/>
      <c r="AH359" s="12"/>
      <c r="AI359" s="12"/>
      <c r="AJ359" s="12"/>
      <c r="AK359" s="12"/>
      <c r="AL359" s="12"/>
      <c r="AM359" s="12"/>
    </row>
    <row r="360">
      <c r="A360" s="88" t="s">
        <v>46</v>
      </c>
      <c r="B360" s="98">
        <v>15800.0</v>
      </c>
      <c r="C360" s="92" t="str">
        <f t="array" ref="C360">INDEX('MTA 28-09'!B:B,MATCH(B360,'MTA 28-09'!A:A,0))</f>
        <v>SIM</v>
      </c>
      <c r="D360" s="95">
        <f t="array" ref="D360">INDEX('MTA 28-09'!D:D,MATCH(B360,'MTA 28-09'!A:A,0))</f>
        <v>2048</v>
      </c>
      <c r="E360" s="98" t="str">
        <f t="array" ref="E360">INDEX('MTA 28-09'!F:F,MATCH(B360,'MTA 28-09'!A:A,0))</f>
        <v>CANCELADO</v>
      </c>
      <c r="F360" s="99" t="str">
        <f t="array" ref="F360">INDEX('MTA 28-09'!I:I,MATCH(B360,'MTA 28-09'!A:A,0))</f>
        <v/>
      </c>
      <c r="G360" s="100" t="str">
        <f t="array" ref="G360">INDEX('MTA 28-09'!J:J,MATCH(B360,'MTA 28-09'!A:A,0))</f>
        <v/>
      </c>
      <c r="H360" s="159" t="s">
        <v>157</v>
      </c>
      <c r="I360" s="296"/>
      <c r="J360" s="102"/>
      <c r="K360" s="103"/>
      <c r="L360" s="102" t="str">
        <f t="array" ref="L360">INDEX('MTA 28-09'!S:S,MATCH(B360,'MTA 28-09'!A:A,0))</f>
        <v>T-27</v>
      </c>
      <c r="M360" s="98" t="str">
        <f t="array" ref="M360">INDEX('MTA 28-09'!T:T,MATCH(B360,'MTA 28-09'!A:A,0))</f>
        <v>REQUISIÇÃO SERVIÇO</v>
      </c>
      <c r="N360" s="98" t="str">
        <f t="array" ref="N360">INDEX('MTA 28-09'!U:U,MATCH(B360,'MTA 28-09'!A:A,0))</f>
        <v>Reparo de PTVR 3 EA (2/2)</v>
      </c>
      <c r="O360" s="104" t="str">
        <f t="array" ref="O360">INDEX('MTA 28-09'!AC:AC,MATCH(B360,'MTA 28-09'!A:A,0))</f>
        <v> -</v>
      </c>
      <c r="P360" s="98" t="str">
        <f t="array" ref="P360">INDEX('MTA 28-09'!N:N,MATCH(B360,'MTA 28-09'!A:A,0))</f>
        <v>CABW</v>
      </c>
      <c r="Q360" s="105" t="str">
        <f t="array" ref="Q360">INDEX('MTA 28-09'!Z:Z,MATCH(B360,'MTA 28-09'!A:A,0))</f>
        <v>339039</v>
      </c>
      <c r="R360" s="98" t="str">
        <f t="array" ref="R360">INDEX('MTA 28-09'!L:L,MATCH(B360,'MTA 28-09'!A:A,0))</f>
        <v>A</v>
      </c>
      <c r="S360" s="107" t="str">
        <f t="array" ref="S360">INDEX('MTA 28-09'!X:X,MATCH(B360,'MTA 28-09'!A:A,0))</f>
        <v>REQUISIÇÃO</v>
      </c>
      <c r="T360" s="107" t="str">
        <f t="array" ref="T360">INDEX('MTA 28-09'!W:W,MATCH(B360,'MTA 28-09'!A:A,0))</f>
        <v>SIM</v>
      </c>
      <c r="U360" s="109">
        <f t="array" ref="U360">INDEX('MTA 28-09'!AE:AE,MATCH(B360,'MTA 28-09'!A:A,0))</f>
        <v>46200</v>
      </c>
      <c r="V360" s="29"/>
      <c r="W360" s="29"/>
      <c r="X360" s="29"/>
      <c r="Y360" s="29"/>
      <c r="Z360" s="29"/>
      <c r="AA360" s="29"/>
      <c r="AB360" s="29"/>
      <c r="AC360" s="29"/>
      <c r="AD360" s="29"/>
      <c r="AE360" s="29"/>
      <c r="AF360" s="29"/>
      <c r="AG360" s="29"/>
      <c r="AH360" s="29"/>
      <c r="AI360" s="29"/>
      <c r="AJ360" s="29"/>
      <c r="AK360" s="29"/>
      <c r="AL360" s="29"/>
      <c r="AM360" s="29"/>
    </row>
    <row r="361">
      <c r="A361" s="31" t="s">
        <v>39</v>
      </c>
      <c r="B361" s="32">
        <v>15820.0</v>
      </c>
      <c r="C361" s="33" t="str">
        <f t="array" ref="C361">INDEX('MTA 28-09'!B:B,MATCH(B361,'MTA 28-09'!A:A,0))</f>
        <v>SIM</v>
      </c>
      <c r="D361" s="34">
        <f t="array" ref="D361">INDEX('MTA 28-09'!D:D,MATCH(B361,'MTA 28-09'!A:A,0))</f>
        <v>2048</v>
      </c>
      <c r="E361" s="32" t="str">
        <f t="array" ref="E361">INDEX('MTA 28-09'!F:F,MATCH(B361,'MTA 28-09'!A:A,0))</f>
        <v>ATENDIDO</v>
      </c>
      <c r="F361" s="137">
        <f t="array" ref="F361">INDEX('MTA 28-09'!I:I,MATCH(B361,'MTA 28-09'!A:A,0))</f>
        <v>46258</v>
      </c>
      <c r="G361" s="36" t="str">
        <f t="array" ref="G361">INDEX('MTA 28-09'!J:J,MATCH(B361,'MTA 28-09'!A:A,0))</f>
        <v>C26205</v>
      </c>
      <c r="H361" s="287" t="s">
        <v>157</v>
      </c>
      <c r="I361" s="295"/>
      <c r="J361" s="39"/>
      <c r="K361" s="40"/>
      <c r="L361" s="39" t="str">
        <f t="array" ref="L361">INDEX('MTA 28-09'!S:S,MATCH(B361,'MTA 28-09'!A:A,0))</f>
        <v>A-29</v>
      </c>
      <c r="M361" s="32" t="str">
        <f t="array" ref="M361">INDEX('MTA 28-09'!T:T,MATCH(B361,'MTA 28-09'!A:A,0))</f>
        <v>CNT 060/CELOG-PAMASP/2023 - PW - HSI/REPARO</v>
      </c>
      <c r="N361" s="32" t="str">
        <f t="array" ref="N361">INDEX('MTA 28-09'!U:U,MATCH(B361,'MTA 28-09'!A:A,0))</f>
        <v>Reparo PT6A-68C 4/9</v>
      </c>
      <c r="O361" s="59">
        <f t="array" ref="O361">INDEX('MTA 28-09'!AC:AC,MATCH(B361,'MTA 28-09'!A:A,0))</f>
        <v>1950000</v>
      </c>
      <c r="P361" s="32" t="str">
        <f t="array" ref="P361">INDEX('MTA 28-09'!N:N,MATCH(B361,'MTA 28-09'!A:A,0))</f>
        <v>CELOG</v>
      </c>
      <c r="Q361" s="67" t="str">
        <f t="array" ref="Q361">INDEX('MTA 28-09'!Z:Z,MATCH(B361,'MTA 28-09'!A:A,0))</f>
        <v>339039</v>
      </c>
      <c r="R361" s="32" t="str">
        <f t="array" ref="R361">INDEX('MTA 28-09'!L:L,MATCH(B361,'MTA 28-09'!A:A,0))</f>
        <v>A</v>
      </c>
      <c r="S361" s="72" t="str">
        <f t="array" ref="S361">INDEX('MTA 28-09'!X:X,MATCH(B361,'MTA 28-09'!A:A,0))</f>
        <v>SOB DEMANDA</v>
      </c>
      <c r="T361" s="72" t="str">
        <f t="array" ref="T361">INDEX('MTA 28-09'!W:W,MATCH(B361,'MTA 28-09'!A:A,0))</f>
        <v>SIM</v>
      </c>
      <c r="U361" s="81">
        <f t="array" ref="U361">INDEX('MTA 28-09'!AE:AE,MATCH(B361,'MTA 28-09'!A:A,0))</f>
        <v>46321</v>
      </c>
      <c r="V361" s="12"/>
      <c r="W361" s="12"/>
      <c r="X361" s="12"/>
      <c r="Y361" s="12"/>
      <c r="Z361" s="12"/>
      <c r="AA361" s="12"/>
      <c r="AB361" s="12"/>
      <c r="AC361" s="12"/>
      <c r="AD361" s="12"/>
      <c r="AE361" s="12"/>
      <c r="AF361" s="12"/>
      <c r="AG361" s="12"/>
      <c r="AH361" s="12"/>
      <c r="AI361" s="12"/>
      <c r="AJ361" s="12"/>
      <c r="AK361" s="12"/>
      <c r="AL361" s="12"/>
      <c r="AM361" s="12"/>
    </row>
    <row r="362">
      <c r="A362" s="88" t="s">
        <v>43</v>
      </c>
      <c r="B362" s="98">
        <v>15840.0</v>
      </c>
      <c r="C362" s="92" t="str">
        <f t="array" ref="C362">INDEX('MTA 28-09'!B:B,MATCH(B362,'MTA 28-09'!A:A,0))</f>
        <v>NÃO</v>
      </c>
      <c r="D362" s="95" t="str">
        <f t="array" ref="D362">INDEX('MTA 28-09'!D:D,MATCH(B362,'MTA 28-09'!A:A,0))</f>
        <v/>
      </c>
      <c r="E362" s="98" t="str">
        <f t="array" ref="E362">INDEX('MTA 28-09'!F:F,MATCH(B362,'MTA 28-09'!A:A,0))</f>
        <v>BLOQUEIO</v>
      </c>
      <c r="F362" s="99" t="str">
        <f t="array" ref="F362">INDEX('MTA 28-09'!I:I,MATCH(B362,'MTA 28-09'!A:A,0))</f>
        <v/>
      </c>
      <c r="G362" s="100" t="str">
        <f t="array" ref="G362">INDEX('MTA 28-09'!J:J,MATCH(B362,'MTA 28-09'!A:A,0))</f>
        <v/>
      </c>
      <c r="H362" s="159" t="s">
        <v>157</v>
      </c>
      <c r="I362" s="296"/>
      <c r="J362" s="102"/>
      <c r="K362" s="103"/>
      <c r="L362" s="102" t="str">
        <f t="array" ref="L362">INDEX('MTA 28-09'!S:S,MATCH(B362,'MTA 28-09'!A:A,0))</f>
        <v>C-95M</v>
      </c>
      <c r="M362" s="98" t="str">
        <f t="array" ref="M362">INDEX('MTA 28-09'!T:T,MATCH(B362,'MTA 28-09'!A:A,0))</f>
        <v>Requisição FMS</v>
      </c>
      <c r="N362" s="98" t="str">
        <f t="array" ref="N362">INDEX('MTA 28-09'!U:U,MATCH(B362,'MTA 28-09'!A:A,0))</f>
        <v>Requisições Consumíveis 3/4</v>
      </c>
      <c r="O362" s="104">
        <f t="array" ref="O362">INDEX('MTA 28-09'!AC:AC,MATCH(B362,'MTA 28-09'!A:A,0))</f>
        <v>836382.34</v>
      </c>
      <c r="P362" s="98" t="str">
        <f t="array" ref="P362">INDEX('MTA 28-09'!N:N,MATCH(B362,'MTA 28-09'!A:A,0))</f>
        <v>FMS</v>
      </c>
      <c r="Q362" s="105" t="str">
        <f t="array" ref="Q362">INDEX('MTA 28-09'!Z:Z,MATCH(B362,'MTA 28-09'!A:A,0))</f>
        <v>339030</v>
      </c>
      <c r="R362" s="98" t="str">
        <f t="array" ref="R362">INDEX('MTA 28-09'!L:L,MATCH(B362,'MTA 28-09'!A:A,0))</f>
        <v>B</v>
      </c>
      <c r="S362" s="107" t="str">
        <f t="array" ref="S362">INDEX('MTA 28-09'!X:X,MATCH(B362,'MTA 28-09'!A:A,0))</f>
        <v>REQUISIÇÃO</v>
      </c>
      <c r="T362" s="107" t="str">
        <f t="array" ref="T362">INDEX('MTA 28-09'!W:W,MATCH(B362,'MTA 28-09'!A:A,0))</f>
        <v>Não</v>
      </c>
      <c r="U362" s="109">
        <f t="array" ref="U362">INDEX('MTA 28-09'!AE:AE,MATCH(B362,'MTA 28-09'!A:A,0))</f>
        <v>46291</v>
      </c>
      <c r="V362" s="29"/>
      <c r="W362" s="29"/>
      <c r="X362" s="29"/>
      <c r="Y362" s="29"/>
      <c r="Z362" s="29"/>
      <c r="AA362" s="29"/>
      <c r="AB362" s="29"/>
      <c r="AC362" s="29"/>
      <c r="AD362" s="29"/>
      <c r="AE362" s="29"/>
      <c r="AF362" s="29"/>
      <c r="AG362" s="29"/>
      <c r="AH362" s="29"/>
      <c r="AI362" s="29"/>
      <c r="AJ362" s="29"/>
      <c r="AK362" s="29"/>
      <c r="AL362" s="29"/>
      <c r="AM362" s="29"/>
    </row>
    <row r="363">
      <c r="A363" s="31" t="s">
        <v>43</v>
      </c>
      <c r="B363" s="32">
        <v>15860.0</v>
      </c>
      <c r="C363" s="33" t="str">
        <f t="array" ref="C363">INDEX('MTA 28-09'!B:B,MATCH(B363,'MTA 28-09'!A:A,0))</f>
        <v>SIM</v>
      </c>
      <c r="D363" s="34">
        <f t="array" ref="D363">INDEX('MTA 28-09'!D:D,MATCH(B363,'MTA 28-09'!A:A,0))</f>
        <v>2048</v>
      </c>
      <c r="E363" s="32" t="str">
        <f t="array" ref="E363">INDEX('MTA 28-09'!F:F,MATCH(B363,'MTA 28-09'!A:A,0))</f>
        <v>ATENDIDO</v>
      </c>
      <c r="F363" s="35">
        <f t="array" ref="F363">INDEX('MTA 28-09'!I:I,MATCH(B363,'MTA 28-09'!A:A,0))</f>
        <v>46098</v>
      </c>
      <c r="G363" s="36" t="str">
        <f t="array" ref="G363">INDEX('MTA 28-09'!J:J,MATCH(B363,'MTA 28-09'!A:A,0))</f>
        <v>C26162</v>
      </c>
      <c r="H363" s="37" t="s">
        <v>154</v>
      </c>
      <c r="I363" s="38"/>
      <c r="J363" s="39"/>
      <c r="K363" s="40"/>
      <c r="L363" s="39" t="str">
        <f t="array" ref="L363">INDEX('MTA 28-09'!S:S,MATCH(B363,'MTA 28-09'!A:A,0))</f>
        <v>C-95M</v>
      </c>
      <c r="M363" s="32" t="str">
        <f t="array" ref="M363">INDEX('MTA 28-09'!T:T,MATCH(B363,'MTA 28-09'!A:A,0))</f>
        <v>CNT 006/CELOG-PAMASP/2026 - PW - RG</v>
      </c>
      <c r="N363" s="32" t="str">
        <f t="array" ref="N363">INDEX('MTA 28-09'!U:U,MATCH(B363,'MTA 28-09'!A:A,0))</f>
        <v>Revisão Geral PT6A-34 (4/12)</v>
      </c>
      <c r="O363" s="59">
        <f t="array" ref="O363">INDEX('MTA 28-09'!AC:AC,MATCH(B363,'MTA 28-09'!A:A,0))</f>
        <v>3800000</v>
      </c>
      <c r="P363" s="32" t="str">
        <f t="array" ref="P363">INDEX('MTA 28-09'!N:N,MATCH(B363,'MTA 28-09'!A:A,0))</f>
        <v>CELOG</v>
      </c>
      <c r="Q363" s="67" t="str">
        <f t="array" ref="Q363">INDEX('MTA 28-09'!Z:Z,MATCH(B363,'MTA 28-09'!A:A,0))</f>
        <v>339039</v>
      </c>
      <c r="R363" s="32" t="str">
        <f t="array" ref="R363">INDEX('MTA 28-09'!L:L,MATCH(B363,'MTA 28-09'!A:A,0))</f>
        <v>A</v>
      </c>
      <c r="S363" s="72" t="str">
        <f t="array" ref="S363">INDEX('MTA 28-09'!X:X,MATCH(B363,'MTA 28-09'!A:A,0))</f>
        <v>SOB DEMANDA</v>
      </c>
      <c r="T363" s="72" t="str">
        <f t="array" ref="T363">INDEX('MTA 28-09'!W:W,MATCH(B363,'MTA 28-09'!A:A,0))</f>
        <v>SIM</v>
      </c>
      <c r="U363" s="81">
        <f t="array" ref="U363">INDEX('MTA 28-09'!AE:AE,MATCH(B363,'MTA 28-09'!A:A,0))</f>
        <v>46321</v>
      </c>
      <c r="V363" s="12"/>
      <c r="W363" s="12"/>
      <c r="X363" s="12"/>
      <c r="Y363" s="12"/>
      <c r="Z363" s="12"/>
      <c r="AA363" s="12"/>
      <c r="AB363" s="12"/>
      <c r="AC363" s="12"/>
      <c r="AD363" s="12"/>
      <c r="AE363" s="12"/>
      <c r="AF363" s="12"/>
      <c r="AG363" s="12"/>
      <c r="AH363" s="12"/>
      <c r="AI363" s="12"/>
      <c r="AJ363" s="12"/>
      <c r="AK363" s="12"/>
      <c r="AL363" s="12"/>
      <c r="AM363" s="12"/>
    </row>
    <row r="364">
      <c r="A364" s="88" t="s">
        <v>43</v>
      </c>
      <c r="B364" s="98">
        <v>15880.0</v>
      </c>
      <c r="C364" s="92" t="str">
        <f t="array" ref="C364">INDEX('MTA 28-09'!B:B,MATCH(B364,'MTA 28-09'!A:A,0))</f>
        <v>SIM</v>
      </c>
      <c r="D364" s="95">
        <f t="array" ref="D364">INDEX('MTA 28-09'!D:D,MATCH(B364,'MTA 28-09'!A:A,0))</f>
        <v>2048</v>
      </c>
      <c r="E364" s="98" t="str">
        <f t="array" ref="E364">INDEX('MTA 28-09'!F:F,MATCH(B364,'MTA 28-09'!A:A,0))</f>
        <v>ATENDIDO</v>
      </c>
      <c r="F364" s="144">
        <f t="array" ref="F364">INDEX('MTA 28-09'!I:I,MATCH(B364,'MTA 28-09'!A:A,0))</f>
        <v>46099</v>
      </c>
      <c r="G364" s="100" t="str">
        <f t="array" ref="G364">INDEX('MTA 28-09'!J:J,MATCH(B364,'MTA 28-09'!A:A,0))</f>
        <v>C26166</v>
      </c>
      <c r="H364" s="159" t="s">
        <v>157</v>
      </c>
      <c r="I364" s="296"/>
      <c r="J364" s="102"/>
      <c r="K364" s="103"/>
      <c r="L364" s="102" t="str">
        <f t="array" ref="L364">INDEX('MTA 28-09'!S:S,MATCH(B364,'MTA 28-09'!A:A,0))</f>
        <v>C-95M</v>
      </c>
      <c r="M364" s="98" t="str">
        <f t="array" ref="M364">INDEX('MTA 28-09'!T:T,MATCH(B364,'MTA 28-09'!A:A,0))</f>
        <v>CNT 048/CELOG-PAMASP/2022 - PW - Material</v>
      </c>
      <c r="N364" s="98" t="str">
        <f t="array" ref="N364">INDEX('MTA 28-09'!U:U,MATCH(B364,'MTA 28-09'!A:A,0))</f>
        <v>Material HSI PT6A-34 (2/10)</v>
      </c>
      <c r="O364" s="104">
        <f t="array" ref="O364">INDEX('MTA 28-09'!AC:AC,MATCH(B364,'MTA 28-09'!A:A,0))</f>
        <v>260000</v>
      </c>
      <c r="P364" s="98" t="str">
        <f t="array" ref="P364">INDEX('MTA 28-09'!N:N,MATCH(B364,'MTA 28-09'!A:A,0))</f>
        <v>CELOG</v>
      </c>
      <c r="Q364" s="105" t="str">
        <f t="array" ref="Q364">INDEX('MTA 28-09'!Z:Z,MATCH(B364,'MTA 28-09'!A:A,0))</f>
        <v>339030</v>
      </c>
      <c r="R364" s="98" t="str">
        <f t="array" ref="R364">INDEX('MTA 28-09'!L:L,MATCH(B364,'MTA 28-09'!A:A,0))</f>
        <v>A</v>
      </c>
      <c r="S364" s="107" t="str">
        <f t="array" ref="S364">INDEX('MTA 28-09'!X:X,MATCH(B364,'MTA 28-09'!A:A,0))</f>
        <v>SOB DEMANDA</v>
      </c>
      <c r="T364" s="107" t="str">
        <f t="array" ref="T364">INDEX('MTA 28-09'!W:W,MATCH(B364,'MTA 28-09'!A:A,0))</f>
        <v>SIM</v>
      </c>
      <c r="U364" s="109">
        <f t="array" ref="U364">INDEX('MTA 28-09'!AE:AE,MATCH(B364,'MTA 28-09'!A:A,0))</f>
        <v>46260</v>
      </c>
      <c r="V364" s="29"/>
      <c r="W364" s="29"/>
      <c r="X364" s="29"/>
      <c r="Y364" s="29"/>
      <c r="Z364" s="29"/>
      <c r="AA364" s="29"/>
      <c r="AB364" s="29"/>
      <c r="AC364" s="29"/>
      <c r="AD364" s="29"/>
      <c r="AE364" s="29"/>
      <c r="AF364" s="29"/>
      <c r="AG364" s="29"/>
      <c r="AH364" s="29"/>
      <c r="AI364" s="29"/>
      <c r="AJ364" s="29"/>
      <c r="AK364" s="29"/>
      <c r="AL364" s="29"/>
      <c r="AM364" s="29"/>
    </row>
    <row r="365">
      <c r="A365" s="31" t="s">
        <v>43</v>
      </c>
      <c r="B365" s="32">
        <v>15900.0</v>
      </c>
      <c r="C365" s="33" t="str">
        <f t="array" ref="C365">INDEX('MTA 28-09'!B:B,MATCH(B365,'MTA 28-09'!A:A,0))</f>
        <v>SIM</v>
      </c>
      <c r="D365" s="34">
        <f t="array" ref="D365">INDEX('MTA 28-09'!D:D,MATCH(B365,'MTA 28-09'!A:A,0))</f>
        <v>2048</v>
      </c>
      <c r="E365" s="32" t="str">
        <f t="array" ref="E365">INDEX('MTA 28-09'!F:F,MATCH(B365,'MTA 28-09'!A:A,0))</f>
        <v>ATENDIDO</v>
      </c>
      <c r="F365" s="35">
        <f t="array" ref="F365">INDEX('MTA 28-09'!I:I,MATCH(B365,'MTA 28-09'!A:A,0))</f>
        <v>46099</v>
      </c>
      <c r="G365" s="36" t="str">
        <f t="array" ref="G365">INDEX('MTA 28-09'!J:J,MATCH(B365,'MTA 28-09'!A:A,0))</f>
        <v>C26166</v>
      </c>
      <c r="H365" s="287" t="s">
        <v>157</v>
      </c>
      <c r="I365" s="295"/>
      <c r="J365" s="39"/>
      <c r="K365" s="40"/>
      <c r="L365" s="39" t="str">
        <f t="array" ref="L365">INDEX('MTA 28-09'!S:S,MATCH(B365,'MTA 28-09'!A:A,0))</f>
        <v>C-95M</v>
      </c>
      <c r="M365" s="32" t="str">
        <f t="array" ref="M365">INDEX('MTA 28-09'!T:T,MATCH(B365,'MTA 28-09'!A:A,0))</f>
        <v>CNT 048/CELOG-PAMASP/2022 - PW - Material</v>
      </c>
      <c r="N365" s="32" t="str">
        <f t="array" ref="N365">INDEX('MTA 28-09'!U:U,MATCH(B365,'MTA 28-09'!A:A,0))</f>
        <v>Material reparo PT6A-34 (2/6)</v>
      </c>
      <c r="O365" s="59">
        <f t="array" ref="O365">INDEX('MTA 28-09'!AC:AC,MATCH(B365,'MTA 28-09'!A:A,0))</f>
        <v>1000000</v>
      </c>
      <c r="P365" s="32" t="str">
        <f t="array" ref="P365">INDEX('MTA 28-09'!N:N,MATCH(B365,'MTA 28-09'!A:A,0))</f>
        <v>CELOG</v>
      </c>
      <c r="Q365" s="67" t="str">
        <f t="array" ref="Q365">INDEX('MTA 28-09'!Z:Z,MATCH(B365,'MTA 28-09'!A:A,0))</f>
        <v>339030</v>
      </c>
      <c r="R365" s="32" t="str">
        <f t="array" ref="R365">INDEX('MTA 28-09'!L:L,MATCH(B365,'MTA 28-09'!A:A,0))</f>
        <v>A</v>
      </c>
      <c r="S365" s="72" t="str">
        <f t="array" ref="S365">INDEX('MTA 28-09'!X:X,MATCH(B365,'MTA 28-09'!A:A,0))</f>
        <v>SOB DEMANDA</v>
      </c>
      <c r="T365" s="72" t="str">
        <f t="array" ref="T365">INDEX('MTA 28-09'!W:W,MATCH(B365,'MTA 28-09'!A:A,0))</f>
        <v>SIM</v>
      </c>
      <c r="U365" s="81">
        <f t="array" ref="U365">INDEX('MTA 28-09'!AE:AE,MATCH(B365,'MTA 28-09'!A:A,0))</f>
        <v>46260</v>
      </c>
      <c r="V365" s="12"/>
      <c r="W365" s="12"/>
      <c r="X365" s="12"/>
      <c r="Y365" s="12"/>
      <c r="Z365" s="12"/>
      <c r="AA365" s="12"/>
      <c r="AB365" s="12"/>
      <c r="AC365" s="12"/>
      <c r="AD365" s="12"/>
      <c r="AE365" s="12"/>
      <c r="AF365" s="12"/>
      <c r="AG365" s="12"/>
      <c r="AH365" s="12"/>
      <c r="AI365" s="12"/>
      <c r="AJ365" s="12"/>
      <c r="AK365" s="12"/>
      <c r="AL365" s="12"/>
      <c r="AM365" s="12"/>
    </row>
    <row r="366">
      <c r="A366" s="88" t="s">
        <v>99</v>
      </c>
      <c r="B366" s="98">
        <v>15920.0</v>
      </c>
      <c r="C366" s="92" t="str">
        <f t="array" ref="C366">INDEX('MTA 28-09'!B:B,MATCH(B366,'MTA 28-09'!A:A,0))</f>
        <v>SIM</v>
      </c>
      <c r="D366" s="95">
        <f t="array" ref="D366">INDEX('MTA 28-09'!D:D,MATCH(B366,'MTA 28-09'!A:A,0))</f>
        <v>2048</v>
      </c>
      <c r="E366" s="98" t="str">
        <f t="array" ref="E366">INDEX('MTA 28-09'!F:F,MATCH(B366,'MTA 28-09'!A:A,0))</f>
        <v>CANCELADO</v>
      </c>
      <c r="F366" s="99" t="str">
        <f t="array" ref="F366">INDEX('MTA 28-09'!I:I,MATCH(B366,'MTA 28-09'!A:A,0))</f>
        <v/>
      </c>
      <c r="G366" s="100" t="str">
        <f t="array" ref="G366">INDEX('MTA 28-09'!J:J,MATCH(B366,'MTA 28-09'!A:A,0))</f>
        <v/>
      </c>
      <c r="H366" s="159" t="s">
        <v>157</v>
      </c>
      <c r="I366" s="296"/>
      <c r="J366" s="102"/>
      <c r="K366" s="103"/>
      <c r="L366" s="102" t="str">
        <f t="array" ref="L366">INDEX('MTA 28-09'!S:S,MATCH(B366,'MTA 28-09'!A:A,0))</f>
        <v>APOIO</v>
      </c>
      <c r="M366" s="98" t="str">
        <f t="array" ref="M366">INDEX('MTA 28-09'!T:T,MATCH(B366,'MTA 28-09'!A:A,0))</f>
        <v>MANUTENÇÂO DAS INSTALAÇÕES</v>
      </c>
      <c r="N366" s="98" t="str">
        <f t="array" ref="N366">INDEX('MTA 28-09'!U:U,MATCH(B366,'MTA 28-09'!A:A,0))</f>
        <v>INFRAESTRUTURA - REFORMA DA GALVANOSTEGIA</v>
      </c>
      <c r="O366" s="104" t="str">
        <f t="array" ref="O366">INDEX('MTA 28-09'!AC:AC,MATCH(B366,'MTA 28-09'!A:A,0))</f>
        <v> -</v>
      </c>
      <c r="P366" s="98" t="str">
        <f t="array" ref="P366">INDEX('MTA 28-09'!N:N,MATCH(B366,'MTA 28-09'!A:A,0))</f>
        <v>GAP-LS</v>
      </c>
      <c r="Q366" s="105" t="str">
        <f t="array" ref="Q366">INDEX('MTA 28-09'!Z:Z,MATCH(B366,'MTA 28-09'!A:A,0))</f>
        <v>339039</v>
      </c>
      <c r="R366" s="98" t="str">
        <f t="array" ref="R366">INDEX('MTA 28-09'!L:L,MATCH(B366,'MTA 28-09'!A:A,0))</f>
        <v>A</v>
      </c>
      <c r="S366" s="107" t="str">
        <f t="array" ref="S366">INDEX('MTA 28-09'!X:X,MATCH(B366,'MTA 28-09'!A:A,0))</f>
        <v>REQUISIÇÃO</v>
      </c>
      <c r="T366" s="107" t="str">
        <f t="array" ref="T366">INDEX('MTA 28-09'!W:W,MATCH(B366,'MTA 28-09'!A:A,0))</f>
        <v>NÃO</v>
      </c>
      <c r="U366" s="109">
        <f t="array" ref="U366">INDEX('MTA 28-09'!AE:AE,MATCH(B366,'MTA 28-09'!A:A,0))</f>
        <v>46291</v>
      </c>
      <c r="V366" s="29"/>
      <c r="W366" s="29"/>
      <c r="X366" s="29"/>
      <c r="Y366" s="29"/>
      <c r="Z366" s="29"/>
      <c r="AA366" s="29"/>
      <c r="AB366" s="29"/>
      <c r="AC366" s="29"/>
      <c r="AD366" s="29"/>
      <c r="AE366" s="29"/>
      <c r="AF366" s="29"/>
      <c r="AG366" s="29"/>
      <c r="AH366" s="29"/>
      <c r="AI366" s="29"/>
      <c r="AJ366" s="29"/>
      <c r="AK366" s="29"/>
      <c r="AL366" s="29"/>
      <c r="AM366" s="29"/>
    </row>
    <row r="367">
      <c r="A367" s="31" t="s">
        <v>99</v>
      </c>
      <c r="B367" s="32">
        <v>15940.0</v>
      </c>
      <c r="C367" s="33" t="str">
        <f t="array" ref="C367">INDEX('MTA 28-09'!B:B,MATCH(B367,'MTA 28-09'!A:A,0))</f>
        <v>NÃO</v>
      </c>
      <c r="D367" s="34" t="str">
        <f t="array" ref="D367">INDEX('MTA 28-09'!D:D,MATCH(B367,'MTA 28-09'!A:A,0))</f>
        <v/>
      </c>
      <c r="E367" s="32" t="str">
        <f t="array" ref="E367">INDEX('MTA 28-09'!F:F,MATCH(B367,'MTA 28-09'!A:A,0))</f>
        <v/>
      </c>
      <c r="F367" s="155" t="str">
        <f t="array" ref="F367">INDEX('MTA 28-09'!I:I,MATCH(B367,'MTA 28-09'!A:A,0))</f>
        <v/>
      </c>
      <c r="G367" s="36" t="str">
        <f t="array" ref="G367">INDEX('MTA 28-09'!J:J,MATCH(B367,'MTA 28-09'!A:A,0))</f>
        <v/>
      </c>
      <c r="H367" s="287" t="s">
        <v>157</v>
      </c>
      <c r="I367" s="295"/>
      <c r="J367" s="39"/>
      <c r="K367" s="40"/>
      <c r="L367" s="39" t="str">
        <f t="array" ref="L367">INDEX('MTA 28-09'!S:S,MATCH(B367,'MTA 28-09'!A:A,0))</f>
        <v>APOIO</v>
      </c>
      <c r="M367" s="32" t="str">
        <f t="array" ref="M367">INDEX('MTA 28-09'!T:T,MATCH(B367,'MTA 28-09'!A:A,0))</f>
        <v>PREGÃO CELOG - AQUISIÇÃO DE ITENS DE CLASSE GERAL</v>
      </c>
      <c r="N367" s="32" t="str">
        <f t="array" ref="N367">INDEX('MTA 28-09'!U:U,MATCH(B367,'MTA 28-09'!A:A,0))</f>
        <v>AQUISIÇÃO DE MATERIAL PARA OFICINAS INTERNAS, EM ATENDIMENTO AOS DIVERSOS PROJETOS DO PAMALS 4/4</v>
      </c>
      <c r="O367" s="59">
        <f t="array" ref="O367">INDEX('MTA 28-09'!AC:AC,MATCH(B367,'MTA 28-09'!A:A,0))</f>
        <v>260000</v>
      </c>
      <c r="P367" s="32" t="str">
        <f t="array" ref="P367">INDEX('MTA 28-09'!N:N,MATCH(B367,'MTA 28-09'!A:A,0))</f>
        <v>CELOG</v>
      </c>
      <c r="Q367" s="67" t="str">
        <f t="array" ref="Q367">INDEX('MTA 28-09'!Z:Z,MATCH(B367,'MTA 28-09'!A:A,0))</f>
        <v>339030</v>
      </c>
      <c r="R367" s="32" t="str">
        <f t="array" ref="R367">INDEX('MTA 28-09'!L:L,MATCH(B367,'MTA 28-09'!A:A,0))</f>
        <v>C</v>
      </c>
      <c r="S367" s="72" t="str">
        <f t="array" ref="S367">INDEX('MTA 28-09'!X:X,MATCH(B367,'MTA 28-09'!A:A,0))</f>
        <v>REQUISIÇÃO</v>
      </c>
      <c r="T367" s="72" t="str">
        <f t="array" ref="T367">INDEX('MTA 28-09'!W:W,MATCH(B367,'MTA 28-09'!A:A,0))</f>
        <v>NÃO</v>
      </c>
      <c r="U367" s="81">
        <f t="array" ref="U367">INDEX('MTA 28-09'!AE:AE,MATCH(B367,'MTA 28-09'!A:A,0))</f>
        <v>46291</v>
      </c>
      <c r="V367" s="12"/>
      <c r="W367" s="12"/>
      <c r="X367" s="12"/>
      <c r="Y367" s="12"/>
      <c r="Z367" s="12"/>
      <c r="AA367" s="12"/>
      <c r="AB367" s="12"/>
      <c r="AC367" s="12"/>
      <c r="AD367" s="12"/>
      <c r="AE367" s="12"/>
      <c r="AF367" s="12"/>
      <c r="AG367" s="12"/>
      <c r="AH367" s="12"/>
      <c r="AI367" s="12"/>
      <c r="AJ367" s="12"/>
      <c r="AK367" s="12"/>
      <c r="AL367" s="12"/>
      <c r="AM367" s="12"/>
    </row>
    <row r="368">
      <c r="A368" s="88" t="s">
        <v>45</v>
      </c>
      <c r="B368" s="98">
        <v>15960.0</v>
      </c>
      <c r="C368" s="92" t="str">
        <f t="array" ref="C368">INDEX('MTA 28-09'!B:B,MATCH(B368,'MTA 28-09'!A:A,0))</f>
        <v>SIM</v>
      </c>
      <c r="D368" s="95">
        <f t="array" ref="D368">INDEX('MTA 28-09'!D:D,MATCH(B368,'MTA 28-09'!A:A,0))</f>
        <v>2048</v>
      </c>
      <c r="E368" s="98" t="str">
        <f t="array" ref="E368">INDEX('MTA 28-09'!F:F,MATCH(B368,'MTA 28-09'!A:A,0))</f>
        <v>ATENDIDO</v>
      </c>
      <c r="F368" s="289">
        <f t="array" ref="F368">INDEX('MTA 28-09'!I:I,MATCH(B368,'MTA 28-09'!A:A,0))</f>
        <v>46213</v>
      </c>
      <c r="G368" s="100" t="str">
        <f t="array" ref="G368">INDEX('MTA 28-09'!J:J,MATCH(B368,'MTA 28-09'!A:A,0))</f>
        <v>C26360</v>
      </c>
      <c r="H368" s="159" t="s">
        <v>157</v>
      </c>
      <c r="I368" s="296"/>
      <c r="J368" s="102"/>
      <c r="K368" s="103"/>
      <c r="L368" s="102" t="str">
        <f t="array" ref="L368">INDEX('MTA 28-09'!S:S,MATCH(B368,'MTA 28-09'!A:A,0))</f>
        <v>C-98</v>
      </c>
      <c r="M368" s="98" t="str">
        <f t="array" ref="M368">INDEX('MTA 28-09'!T:T,MATCH(B368,'MTA 28-09'!A:A,0))</f>
        <v>CNT 006/CELOG-PAMASP/2026 - PW - RG</v>
      </c>
      <c r="N368" s="98" t="str">
        <f t="array" ref="N368">INDEX('MTA 28-09'!U:U,MATCH(B368,'MTA 28-09'!A:A,0))</f>
        <v>Revisão Geral PT6A-114A (5/6)</v>
      </c>
      <c r="O368" s="104">
        <f t="array" ref="O368">INDEX('MTA 28-09'!AC:AC,MATCH(B368,'MTA 28-09'!A:A,0))</f>
        <v>962290.8</v>
      </c>
      <c r="P368" s="98" t="str">
        <f t="array" ref="P368">INDEX('MTA 28-09'!N:N,MATCH(B368,'MTA 28-09'!A:A,0))</f>
        <v>CELOG</v>
      </c>
      <c r="Q368" s="105" t="str">
        <f t="array" ref="Q368">INDEX('MTA 28-09'!Z:Z,MATCH(B368,'MTA 28-09'!A:A,0))</f>
        <v>339030</v>
      </c>
      <c r="R368" s="98" t="str">
        <f t="array" ref="R368">INDEX('MTA 28-09'!L:L,MATCH(B368,'MTA 28-09'!A:A,0))</f>
        <v>A</v>
      </c>
      <c r="S368" s="107" t="str">
        <f t="array" ref="S368">INDEX('MTA 28-09'!X:X,MATCH(B368,'MTA 28-09'!A:A,0))</f>
        <v>SOB DEMANDA</v>
      </c>
      <c r="T368" s="107" t="str">
        <f t="array" ref="T368">INDEX('MTA 28-09'!W:W,MATCH(B368,'MTA 28-09'!A:A,0))</f>
        <v>SIM</v>
      </c>
      <c r="U368" s="109">
        <f t="array" ref="U368">INDEX('MTA 28-09'!AE:AE,MATCH(B368,'MTA 28-09'!A:A,0))</f>
        <v>46352</v>
      </c>
      <c r="V368" s="29"/>
      <c r="W368" s="29"/>
      <c r="X368" s="29"/>
      <c r="Y368" s="29"/>
      <c r="Z368" s="29"/>
      <c r="AA368" s="29"/>
      <c r="AB368" s="29"/>
      <c r="AC368" s="29"/>
      <c r="AD368" s="29"/>
      <c r="AE368" s="29"/>
      <c r="AF368" s="29"/>
      <c r="AG368" s="29"/>
      <c r="AH368" s="29"/>
      <c r="AI368" s="29"/>
      <c r="AJ368" s="29"/>
      <c r="AK368" s="29"/>
      <c r="AL368" s="29"/>
      <c r="AM368" s="29"/>
    </row>
    <row r="369">
      <c r="A369" s="31" t="s">
        <v>45</v>
      </c>
      <c r="B369" s="38">
        <v>15961.0</v>
      </c>
      <c r="C369" s="33" t="str">
        <f t="array" ref="C369">INDEX('MTA 28-09'!B:B,MATCH(B369,'MTA 28-09'!A:A,0))</f>
        <v>SIM</v>
      </c>
      <c r="D369" s="34" t="str">
        <f t="array" ref="D369">INDEX('MTA 28-09'!D:D,MATCH(B369,'MTA 28-09'!A:A,0))</f>
        <v>DESTQ19</v>
      </c>
      <c r="E369" s="32" t="str">
        <f t="array" ref="E369">INDEX('MTA 28-09'!F:F,MATCH(B369,'MTA 28-09'!A:A,0))</f>
        <v>ATENDIDO</v>
      </c>
      <c r="F369" s="35">
        <f t="array" ref="F369">INDEX('MTA 28-09'!I:I,MATCH(B369,'MTA 28-09'!A:A,0))</f>
        <v>46175</v>
      </c>
      <c r="G369" s="36" t="str">
        <f t="array" ref="G369">INDEX('MTA 28-09'!J:J,MATCH(B369,'MTA 28-09'!A:A,0))</f>
        <v>C26285</v>
      </c>
      <c r="H369" s="287" t="s">
        <v>157</v>
      </c>
      <c r="I369" s="295"/>
      <c r="J369" s="39"/>
      <c r="K369" s="40"/>
      <c r="L369" s="39" t="str">
        <f t="array" ref="L369">INDEX('MTA 28-09'!S:S,MATCH(B369,'MTA 28-09'!A:A,0))</f>
        <v>C-98</v>
      </c>
      <c r="M369" s="32" t="str">
        <f t="array" ref="M369">INDEX('MTA 28-09'!T:T,MATCH(B369,'MTA 28-09'!A:A,0))</f>
        <v>CNT 006/CELOG-PAMASP/2026 - PW - RG</v>
      </c>
      <c r="N369" s="32" t="str">
        <f t="array" ref="N369">INDEX('MTA 28-09'!U:U,MATCH(B369,'MTA 28-09'!A:A,0))</f>
        <v>Revisão Geral PT6A-114A (5/6)</v>
      </c>
      <c r="O369" s="59">
        <f t="array" ref="O369">INDEX('MTA 28-09'!AC:AC,MATCH(B369,'MTA 28-09'!A:A,0))</f>
        <v>798776.97</v>
      </c>
      <c r="P369" s="32" t="str">
        <f t="array" ref="P369">INDEX('MTA 28-09'!N:N,MATCH(B369,'MTA 28-09'!A:A,0))</f>
        <v>CELOG</v>
      </c>
      <c r="Q369" s="67" t="str">
        <f t="array" ref="Q369">INDEX('MTA 28-09'!Z:Z,MATCH(B369,'MTA 28-09'!A:A,0))</f>
        <v>339039</v>
      </c>
      <c r="R369" s="32" t="str">
        <f t="array" ref="R369">INDEX('MTA 28-09'!L:L,MATCH(B369,'MTA 28-09'!A:A,0))</f>
        <v>A</v>
      </c>
      <c r="S369" s="72" t="str">
        <f t="array" ref="S369">INDEX('MTA 28-09'!X:X,MATCH(B369,'MTA 28-09'!A:A,0))</f>
        <v>SOB DEMANDA</v>
      </c>
      <c r="T369" s="72" t="str">
        <f t="array" ref="T369">INDEX('MTA 28-09'!W:W,MATCH(B369,'MTA 28-09'!A:A,0))</f>
        <v>SIM</v>
      </c>
      <c r="U369" s="81">
        <f t="array" ref="U369">INDEX('MTA 28-09'!AE:AE,MATCH(B369,'MTA 28-09'!A:A,0))</f>
        <v>46260</v>
      </c>
      <c r="V369" s="12"/>
      <c r="W369" s="12"/>
      <c r="X369" s="12"/>
      <c r="Y369" s="12"/>
      <c r="Z369" s="12"/>
      <c r="AA369" s="12"/>
      <c r="AB369" s="12"/>
      <c r="AC369" s="12"/>
      <c r="AD369" s="12"/>
      <c r="AE369" s="12"/>
      <c r="AF369" s="12"/>
      <c r="AG369" s="12"/>
      <c r="AH369" s="12"/>
      <c r="AI369" s="12"/>
      <c r="AJ369" s="12"/>
      <c r="AK369" s="12"/>
      <c r="AL369" s="12"/>
      <c r="AM369" s="12"/>
    </row>
    <row r="370">
      <c r="A370" s="88" t="s">
        <v>45</v>
      </c>
      <c r="B370" s="90">
        <v>15962.0</v>
      </c>
      <c r="C370" s="92" t="str">
        <f t="array" ref="C370">INDEX('MTA 28-09'!B:B,MATCH(B370,'MTA 28-09'!A:A,0))</f>
        <v>SIM</v>
      </c>
      <c r="D370" s="95">
        <f t="array" ref="D370">INDEX('MTA 28-09'!D:D,MATCH(B370,'MTA 28-09'!A:A,0))</f>
        <v>2048</v>
      </c>
      <c r="E370" s="98" t="str">
        <f t="array" ref="E370">INDEX('MTA 28-09'!F:F,MATCH(B370,'MTA 28-09'!A:A,0))</f>
        <v>ATENDIDO</v>
      </c>
      <c r="F370" s="144">
        <f t="array" ref="F370">INDEX('MTA 28-09'!I:I,MATCH(B370,'MTA 28-09'!A:A,0))</f>
        <v>46213</v>
      </c>
      <c r="G370" s="100" t="str">
        <f t="array" ref="G370">INDEX('MTA 28-09'!J:J,MATCH(B370,'MTA 28-09'!A:A,0))</f>
        <v>C26360</v>
      </c>
      <c r="H370" s="159" t="s">
        <v>157</v>
      </c>
      <c r="I370" s="90"/>
      <c r="J370" s="102"/>
      <c r="K370" s="103"/>
      <c r="L370" s="102" t="str">
        <f t="array" ref="L370">INDEX('MTA 28-09'!S:S,MATCH(B370,'MTA 28-09'!A:A,0))</f>
        <v>C-98</v>
      </c>
      <c r="M370" s="98" t="str">
        <f t="array" ref="M370">INDEX('MTA 28-09'!T:T,MATCH(B370,'MTA 28-09'!A:A,0))</f>
        <v>CNT 006/CELOG-PAMASP/2026 - PW - RG</v>
      </c>
      <c r="N370" s="98" t="str">
        <f t="array" ref="N370">INDEX('MTA 28-09'!U:U,MATCH(B370,'MTA 28-09'!A:A,0))</f>
        <v>Revisão Geral PT6A-114A (5/6)</v>
      </c>
      <c r="O370" s="104">
        <f t="array" ref="O370">INDEX('MTA 28-09'!AC:AC,MATCH(B370,'MTA 28-09'!A:A,0))</f>
        <v>1530656.62</v>
      </c>
      <c r="P370" s="98" t="str">
        <f t="array" ref="P370">INDEX('MTA 28-09'!N:N,MATCH(B370,'MTA 28-09'!A:A,0))</f>
        <v>CELOG</v>
      </c>
      <c r="Q370" s="105" t="str">
        <f t="array" ref="Q370">INDEX('MTA 28-09'!Z:Z,MATCH(B370,'MTA 28-09'!A:A,0))</f>
        <v>339030</v>
      </c>
      <c r="R370" s="98" t="str">
        <f t="array" ref="R370">INDEX('MTA 28-09'!L:L,MATCH(B370,'MTA 28-09'!A:A,0))</f>
        <v>A</v>
      </c>
      <c r="S370" s="107" t="str">
        <f t="array" ref="S370">INDEX('MTA 28-09'!X:X,MATCH(B370,'MTA 28-09'!A:A,0))</f>
        <v>SOB DEMANDA</v>
      </c>
      <c r="T370" s="107" t="str">
        <f t="array" ref="T370">INDEX('MTA 28-09'!W:W,MATCH(B370,'MTA 28-09'!A:A,0))</f>
        <v>SIM</v>
      </c>
      <c r="U370" s="109">
        <f t="array" ref="U370">INDEX('MTA 28-09'!AE:AE,MATCH(B370,'MTA 28-09'!A:A,0))</f>
        <v>46352</v>
      </c>
      <c r="V370" s="29"/>
      <c r="W370" s="29"/>
      <c r="X370" s="29"/>
      <c r="Y370" s="29"/>
      <c r="Z370" s="29"/>
      <c r="AA370" s="29"/>
      <c r="AB370" s="29"/>
      <c r="AC370" s="29"/>
      <c r="AD370" s="29"/>
      <c r="AE370" s="29"/>
      <c r="AF370" s="29"/>
      <c r="AG370" s="29"/>
      <c r="AH370" s="29"/>
      <c r="AI370" s="29"/>
      <c r="AJ370" s="29"/>
      <c r="AK370" s="29"/>
      <c r="AL370" s="29"/>
      <c r="AM370" s="29"/>
    </row>
    <row r="371">
      <c r="A371" s="31" t="s">
        <v>45</v>
      </c>
      <c r="B371" s="38">
        <v>15963.0</v>
      </c>
      <c r="C371" s="33" t="str">
        <f t="array" ref="C371">INDEX('MTA 28-09'!B:B,MATCH(B371,'MTA 28-09'!A:A,0))</f>
        <v>SIM</v>
      </c>
      <c r="D371" s="34" t="str">
        <f t="array" ref="D371">INDEX('MTA 28-09'!D:D,MATCH(B371,'MTA 28-09'!A:A,0))</f>
        <v>DESTQ29</v>
      </c>
      <c r="E371" s="32" t="str">
        <f t="array" ref="E371">INDEX('MTA 28-09'!F:F,MATCH(B371,'MTA 28-09'!A:A,0))</f>
        <v>ATENDIDO</v>
      </c>
      <c r="F371" s="35">
        <f t="array" ref="F371">INDEX('MTA 28-09'!I:I,MATCH(B371,'MTA 28-09'!A:A,0))</f>
        <v>46199</v>
      </c>
      <c r="G371" s="36" t="str">
        <f t="array" ref="G371">INDEX('MTA 28-09'!J:J,MATCH(B371,'MTA 28-09'!A:A,0))</f>
        <v>C26332</v>
      </c>
      <c r="H371" s="287" t="s">
        <v>157</v>
      </c>
      <c r="I371" s="38"/>
      <c r="J371" s="39"/>
      <c r="K371" s="40"/>
      <c r="L371" s="39" t="str">
        <f t="array" ref="L371">INDEX('MTA 28-09'!S:S,MATCH(B371,'MTA 28-09'!A:A,0))</f>
        <v>C-98</v>
      </c>
      <c r="M371" s="32" t="str">
        <f t="array" ref="M371">INDEX('MTA 28-09'!T:T,MATCH(B371,'MTA 28-09'!A:A,0))</f>
        <v>CNT 006/CELOG-PAMASP/2026 - PW - RG</v>
      </c>
      <c r="N371" s="32" t="str">
        <f t="array" ref="N371">INDEX('MTA 28-09'!U:U,MATCH(B371,'MTA 28-09'!A:A,0))</f>
        <v>Revisão Geral PT6A-114A (5/6)</v>
      </c>
      <c r="O371" s="59">
        <f t="array" ref="O371">INDEX('MTA 28-09'!AC:AC,MATCH(B371,'MTA 28-09'!A:A,0))</f>
        <v>72958.08</v>
      </c>
      <c r="P371" s="32" t="str">
        <f t="array" ref="P371">INDEX('MTA 28-09'!N:N,MATCH(B371,'MTA 28-09'!A:A,0))</f>
        <v>CELOG</v>
      </c>
      <c r="Q371" s="67" t="str">
        <f t="array" ref="Q371">INDEX('MTA 28-09'!Z:Z,MATCH(B371,'MTA 28-09'!A:A,0))</f>
        <v>339030</v>
      </c>
      <c r="R371" s="32" t="str">
        <f t="array" ref="R371">INDEX('MTA 28-09'!L:L,MATCH(B371,'MTA 28-09'!A:A,0))</f>
        <v>A</v>
      </c>
      <c r="S371" s="72" t="str">
        <f t="array" ref="S371">INDEX('MTA 28-09'!X:X,MATCH(B371,'MTA 28-09'!A:A,0))</f>
        <v>SOB DEMANDA</v>
      </c>
      <c r="T371" s="72" t="str">
        <f t="array" ref="T371">INDEX('MTA 28-09'!W:W,MATCH(B371,'MTA 28-09'!A:A,0))</f>
        <v>SIM</v>
      </c>
      <c r="U371" s="81">
        <f t="array" ref="U371">INDEX('MTA 28-09'!AE:AE,MATCH(B371,'MTA 28-09'!A:A,0))</f>
        <v>46229</v>
      </c>
      <c r="V371" s="12"/>
      <c r="W371" s="12"/>
      <c r="X371" s="12"/>
      <c r="Y371" s="12"/>
      <c r="Z371" s="12"/>
      <c r="AA371" s="12"/>
      <c r="AB371" s="12"/>
      <c r="AC371" s="12"/>
      <c r="AD371" s="12"/>
      <c r="AE371" s="12"/>
      <c r="AF371" s="12"/>
      <c r="AG371" s="12"/>
      <c r="AH371" s="12"/>
      <c r="AI371" s="12"/>
      <c r="AJ371" s="12"/>
      <c r="AK371" s="12"/>
      <c r="AL371" s="12"/>
      <c r="AM371" s="12"/>
    </row>
    <row r="372">
      <c r="A372" s="88" t="s">
        <v>45</v>
      </c>
      <c r="B372" s="90">
        <v>15964.0</v>
      </c>
      <c r="C372" s="92" t="str">
        <f t="array" ref="C372">INDEX('MTA 28-09'!B:B,MATCH(B372,'MTA 28-09'!A:A,0))</f>
        <v>SIM</v>
      </c>
      <c r="D372" s="95" t="str">
        <f t="array" ref="D372">INDEX('MTA 28-09'!D:D,MATCH(B372,'MTA 28-09'!A:A,0))</f>
        <v>DESTQ30</v>
      </c>
      <c r="E372" s="98" t="str">
        <f t="array" ref="E372">INDEX('MTA 28-09'!F:F,MATCH(B372,'MTA 28-09'!A:A,0))</f>
        <v>ATENDIDO</v>
      </c>
      <c r="F372" s="152">
        <f t="array" ref="F372">INDEX('MTA 28-09'!I:I,MATCH(B372,'MTA 28-09'!A:A,0))</f>
        <v>46199</v>
      </c>
      <c r="G372" s="100" t="str">
        <f t="array" ref="G372">INDEX('MTA 28-09'!J:J,MATCH(B372,'MTA 28-09'!A:A,0))</f>
        <v>C26332</v>
      </c>
      <c r="H372" s="159" t="s">
        <v>157</v>
      </c>
      <c r="I372" s="90"/>
      <c r="J372" s="102"/>
      <c r="K372" s="103"/>
      <c r="L372" s="102" t="str">
        <f t="array" ref="L372">INDEX('MTA 28-09'!S:S,MATCH(B372,'MTA 28-09'!A:A,0))</f>
        <v>C-98</v>
      </c>
      <c r="M372" s="98" t="str">
        <f t="array" ref="M372">INDEX('MTA 28-09'!T:T,MATCH(B372,'MTA 28-09'!A:A,0))</f>
        <v>CNT 006/CELOG-PAMASP/2026 - PW - RG</v>
      </c>
      <c r="N372" s="98" t="str">
        <f t="array" ref="N372">INDEX('MTA 28-09'!U:U,MATCH(B372,'MTA 28-09'!A:A,0))</f>
        <v>Revisão Geral PT6A-114A (5/6)</v>
      </c>
      <c r="O372" s="104">
        <f t="array" ref="O372">INDEX('MTA 28-09'!AC:AC,MATCH(B372,'MTA 28-09'!A:A,0))</f>
        <v>8916</v>
      </c>
      <c r="P372" s="98" t="str">
        <f t="array" ref="P372">INDEX('MTA 28-09'!N:N,MATCH(B372,'MTA 28-09'!A:A,0))</f>
        <v>CELOG</v>
      </c>
      <c r="Q372" s="105" t="str">
        <f t="array" ref="Q372">INDEX('MTA 28-09'!Z:Z,MATCH(B372,'MTA 28-09'!A:A,0))</f>
        <v>339030</v>
      </c>
      <c r="R372" s="98" t="str">
        <f t="array" ref="R372">INDEX('MTA 28-09'!L:L,MATCH(B372,'MTA 28-09'!A:A,0))</f>
        <v>A</v>
      </c>
      <c r="S372" s="107" t="str">
        <f t="array" ref="S372">INDEX('MTA 28-09'!X:X,MATCH(B372,'MTA 28-09'!A:A,0))</f>
        <v>SOB DEMANDA</v>
      </c>
      <c r="T372" s="107" t="str">
        <f t="array" ref="T372">INDEX('MTA 28-09'!W:W,MATCH(B372,'MTA 28-09'!A:A,0))</f>
        <v>SIM</v>
      </c>
      <c r="U372" s="109">
        <f t="array" ref="U372">INDEX('MTA 28-09'!AE:AE,MATCH(B372,'MTA 28-09'!A:A,0))</f>
        <v>46229</v>
      </c>
      <c r="V372" s="29"/>
      <c r="W372" s="29"/>
      <c r="X372" s="29"/>
      <c r="Y372" s="29"/>
      <c r="Z372" s="29"/>
      <c r="AA372" s="29"/>
      <c r="AB372" s="29"/>
      <c r="AC372" s="29"/>
      <c r="AD372" s="29"/>
      <c r="AE372" s="29"/>
      <c r="AF372" s="29"/>
      <c r="AG372" s="29"/>
      <c r="AH372" s="29"/>
      <c r="AI372" s="29"/>
      <c r="AJ372" s="29"/>
      <c r="AK372" s="29"/>
      <c r="AL372" s="29"/>
      <c r="AM372" s="29"/>
    </row>
    <row r="373">
      <c r="A373" s="31" t="s">
        <v>45</v>
      </c>
      <c r="B373" s="38">
        <v>15965.0</v>
      </c>
      <c r="C373" s="33" t="str">
        <f t="array" ref="C373">INDEX('MTA 28-09'!B:B,MATCH(B373,'MTA 28-09'!A:A,0))</f>
        <v>SIM</v>
      </c>
      <c r="D373" s="34" t="str">
        <f t="array" ref="D373">INDEX('MTA 28-09'!D:D,MATCH(B373,'MTA 28-09'!A:A,0))</f>
        <v>DESTQ32</v>
      </c>
      <c r="E373" s="32" t="str">
        <f t="array" ref="E373">INDEX('MTA 28-09'!F:F,MATCH(B373,'MTA 28-09'!A:A,0))</f>
        <v>ATENDIDO</v>
      </c>
      <c r="F373" s="35">
        <f t="array" ref="F373">INDEX('MTA 28-09'!I:I,MATCH(B373,'MTA 28-09'!A:A,0))</f>
        <v>46204</v>
      </c>
      <c r="G373" s="36" t="str">
        <f t="array" ref="G373">INDEX('MTA 28-09'!J:J,MATCH(B373,'MTA 28-09'!A:A,0))</f>
        <v>C26332</v>
      </c>
      <c r="H373" s="287" t="s">
        <v>157</v>
      </c>
      <c r="I373" s="295"/>
      <c r="J373" s="39"/>
      <c r="K373" s="40"/>
      <c r="L373" s="39" t="str">
        <f t="array" ref="L373">INDEX('MTA 28-09'!S:S,MATCH(B373,'MTA 28-09'!A:A,0))</f>
        <v>C-98</v>
      </c>
      <c r="M373" s="32" t="str">
        <f t="array" ref="M373">INDEX('MTA 28-09'!T:T,MATCH(B373,'MTA 28-09'!A:A,0))</f>
        <v>CNT 006/CELOG-PAMASP/2026 - PW - RG</v>
      </c>
      <c r="N373" s="32" t="str">
        <f t="array" ref="N373">INDEX('MTA 28-09'!U:U,MATCH(B373,'MTA 28-09'!A:A,0))</f>
        <v>Revisão Geral PT6A-114A (5/6)</v>
      </c>
      <c r="O373" s="59">
        <f t="array" ref="O373">INDEX('MTA 28-09'!AC:AC,MATCH(B373,'MTA 28-09'!A:A,0))</f>
        <v>425178.5</v>
      </c>
      <c r="P373" s="32" t="str">
        <f t="array" ref="P373">INDEX('MTA 28-09'!N:N,MATCH(B373,'MTA 28-09'!A:A,0))</f>
        <v>CELOG</v>
      </c>
      <c r="Q373" s="67" t="str">
        <f t="array" ref="Q373">INDEX('MTA 28-09'!Z:Z,MATCH(B373,'MTA 28-09'!A:A,0))</f>
        <v>339030</v>
      </c>
      <c r="R373" s="32" t="str">
        <f t="array" ref="R373">INDEX('MTA 28-09'!L:L,MATCH(B373,'MTA 28-09'!A:A,0))</f>
        <v>A</v>
      </c>
      <c r="S373" s="72" t="str">
        <f t="array" ref="S373">INDEX('MTA 28-09'!X:X,MATCH(B373,'MTA 28-09'!A:A,0))</f>
        <v>SOB DEMANDA</v>
      </c>
      <c r="T373" s="72" t="str">
        <f t="array" ref="T373">INDEX('MTA 28-09'!W:W,MATCH(B373,'MTA 28-09'!A:A,0))</f>
        <v>SIM</v>
      </c>
      <c r="U373" s="81">
        <f t="array" ref="U373">INDEX('MTA 28-09'!AE:AE,MATCH(B373,'MTA 28-09'!A:A,0))</f>
        <v>46229</v>
      </c>
      <c r="V373" s="12"/>
      <c r="W373" s="12"/>
      <c r="X373" s="12"/>
      <c r="Y373" s="12"/>
      <c r="Z373" s="12"/>
      <c r="AA373" s="12"/>
      <c r="AB373" s="12"/>
      <c r="AC373" s="12"/>
      <c r="AD373" s="12"/>
      <c r="AE373" s="12"/>
      <c r="AF373" s="12"/>
      <c r="AG373" s="12"/>
      <c r="AH373" s="12"/>
      <c r="AI373" s="12"/>
      <c r="AJ373" s="12"/>
      <c r="AK373" s="12"/>
      <c r="AL373" s="12"/>
      <c r="AM373" s="12"/>
    </row>
    <row r="374">
      <c r="A374" s="88" t="s">
        <v>45</v>
      </c>
      <c r="B374" s="90">
        <v>15966.0</v>
      </c>
      <c r="C374" s="92" t="str">
        <f t="array" ref="C374">INDEX('MTA 28-09'!B:B,MATCH(B374,'MTA 28-09'!A:A,0))</f>
        <v>SIM</v>
      </c>
      <c r="D374" s="95" t="str">
        <f t="array" ref="D374">INDEX('MTA 28-09'!D:D,MATCH(B374,'MTA 28-09'!A:A,0))</f>
        <v>DESTQ19</v>
      </c>
      <c r="E374" s="98" t="str">
        <f t="array" ref="E374">INDEX('MTA 28-09'!F:F,MATCH(B374,'MTA 28-09'!A:A,0))</f>
        <v>ATENDIDO</v>
      </c>
      <c r="F374" s="152">
        <f t="array" ref="F374">INDEX('MTA 28-09'!I:I,MATCH(B374,'MTA 28-09'!A:A,0))</f>
        <v>46244</v>
      </c>
      <c r="G374" s="100" t="str">
        <f t="array" ref="G374">INDEX('MTA 28-09'!J:J,MATCH(B374,'MTA 28-09'!A:A,0))</f>
        <v>C26393</v>
      </c>
      <c r="H374" s="159" t="s">
        <v>157</v>
      </c>
      <c r="I374" s="296"/>
      <c r="J374" s="102"/>
      <c r="K374" s="103"/>
      <c r="L374" s="102" t="str">
        <f t="array" ref="L374">INDEX('MTA 28-09'!S:S,MATCH(B374,'MTA 28-09'!A:A,0))</f>
        <v>C-98</v>
      </c>
      <c r="M374" s="98" t="str">
        <f t="array" ref="M374">INDEX('MTA 28-09'!T:T,MATCH(B374,'MTA 28-09'!A:A,0))</f>
        <v>CNT 006/CELOG-PAMASP/2026 - PW - RG</v>
      </c>
      <c r="N374" s="98" t="str">
        <f t="array" ref="N374">INDEX('MTA 28-09'!U:U,MATCH(B374,'MTA 28-09'!A:A,0))</f>
        <v>Revisão Geral PT6A-114A (5/6)</v>
      </c>
      <c r="O374" s="104">
        <f t="array" ref="O374">INDEX('MTA 28-09'!AC:AC,MATCH(B374,'MTA 28-09'!A:A,0))</f>
        <v>1223.03</v>
      </c>
      <c r="P374" s="98" t="str">
        <f t="array" ref="P374">INDEX('MTA 28-09'!N:N,MATCH(B374,'MTA 28-09'!A:A,0))</f>
        <v>CELOG</v>
      </c>
      <c r="Q374" s="105" t="str">
        <f t="array" ref="Q374">INDEX('MTA 28-09'!Z:Z,MATCH(B374,'MTA 28-09'!A:A,0))</f>
        <v>339030</v>
      </c>
      <c r="R374" s="98" t="str">
        <f t="array" ref="R374">INDEX('MTA 28-09'!L:L,MATCH(B374,'MTA 28-09'!A:A,0))</f>
        <v>A</v>
      </c>
      <c r="S374" s="107" t="str">
        <f t="array" ref="S374">INDEX('MTA 28-09'!X:X,MATCH(B374,'MTA 28-09'!A:A,0))</f>
        <v>SOB DEMANDA</v>
      </c>
      <c r="T374" s="107" t="str">
        <f t="array" ref="T374">INDEX('MTA 28-09'!W:W,MATCH(B374,'MTA 28-09'!A:A,0))</f>
        <v>SIM</v>
      </c>
      <c r="U374" s="109">
        <f t="array" ref="U374">INDEX('MTA 28-09'!AE:AE,MATCH(B374,'MTA 28-09'!A:A,0))</f>
        <v>46260</v>
      </c>
      <c r="V374" s="29"/>
      <c r="W374" s="29"/>
      <c r="X374" s="29"/>
      <c r="Y374" s="29"/>
      <c r="Z374" s="29"/>
      <c r="AA374" s="29"/>
      <c r="AB374" s="29"/>
      <c r="AC374" s="29"/>
      <c r="AD374" s="29"/>
      <c r="AE374" s="29"/>
      <c r="AF374" s="29"/>
      <c r="AG374" s="29"/>
      <c r="AH374" s="29"/>
      <c r="AI374" s="29"/>
      <c r="AJ374" s="29"/>
      <c r="AK374" s="29"/>
      <c r="AL374" s="29"/>
      <c r="AM374" s="29"/>
    </row>
    <row r="375">
      <c r="A375" s="31" t="s">
        <v>45</v>
      </c>
      <c r="B375" s="32">
        <v>15980.0</v>
      </c>
      <c r="C375" s="33" t="str">
        <f t="array" ref="C375">INDEX('MTA 28-09'!B:B,MATCH(B375,'MTA 28-09'!A:A,0))</f>
        <v>NÃO</v>
      </c>
      <c r="D375" s="34" t="str">
        <f t="array" ref="D375">INDEX('MTA 28-09'!D:D,MATCH(B375,'MTA 28-09'!A:A,0))</f>
        <v/>
      </c>
      <c r="E375" s="32" t="str">
        <f t="array" ref="E375">INDEX('MTA 28-09'!F:F,MATCH(B375,'MTA 28-09'!A:A,0))</f>
        <v>CANCELADO</v>
      </c>
      <c r="F375" s="35" t="str">
        <f t="array" ref="F375">INDEX('MTA 28-09'!I:I,MATCH(B375,'MTA 28-09'!A:A,0))</f>
        <v/>
      </c>
      <c r="G375" s="36" t="str">
        <f t="array" ref="G375">INDEX('MTA 28-09'!J:J,MATCH(B375,'MTA 28-09'!A:A,0))</f>
        <v/>
      </c>
      <c r="H375" s="287" t="s">
        <v>157</v>
      </c>
      <c r="I375" s="295"/>
      <c r="J375" s="39"/>
      <c r="K375" s="40"/>
      <c r="L375" s="39" t="str">
        <f t="array" ref="L375">INDEX('MTA 28-09'!S:S,MATCH(B375,'MTA 28-09'!A:A,0))</f>
        <v>C-98</v>
      </c>
      <c r="M375" s="32" t="str">
        <f t="array" ref="M375">INDEX('MTA 28-09'!T:T,MATCH(B375,'MTA 28-09'!A:A,0))</f>
        <v>CNT 006/CELOG-PAMASP/2026 - PW - RG</v>
      </c>
      <c r="N375" s="32" t="str">
        <f t="array" ref="N375">INDEX('MTA 28-09'!U:U,MATCH(B375,'MTA 28-09'!A:A,0))</f>
        <v>Revisão Geral PT6A-114A (6/6)</v>
      </c>
      <c r="O375" s="59" t="str">
        <f t="array" ref="O375">INDEX('MTA 28-09'!AC:AC,MATCH(B375,'MTA 28-09'!A:A,0))</f>
        <v> -</v>
      </c>
      <c r="P375" s="32" t="str">
        <f t="array" ref="P375">INDEX('MTA 28-09'!N:N,MATCH(B375,'MTA 28-09'!A:A,0))</f>
        <v>CELOG</v>
      </c>
      <c r="Q375" s="67" t="str">
        <f t="array" ref="Q375">INDEX('MTA 28-09'!Z:Z,MATCH(B375,'MTA 28-09'!A:A,0))</f>
        <v>339030</v>
      </c>
      <c r="R375" s="32" t="str">
        <f t="array" ref="R375">INDEX('MTA 28-09'!L:L,MATCH(B375,'MTA 28-09'!A:A,0))</f>
        <v>C</v>
      </c>
      <c r="S375" s="72" t="str">
        <f t="array" ref="S375">INDEX('MTA 28-09'!X:X,MATCH(B375,'MTA 28-09'!A:A,0))</f>
        <v>SOB DEMANDA</v>
      </c>
      <c r="T375" s="72" t="str">
        <f t="array" ref="T375">INDEX('MTA 28-09'!W:W,MATCH(B375,'MTA 28-09'!A:A,0))</f>
        <v>SIM</v>
      </c>
      <c r="U375" s="81">
        <f t="array" ref="U375">INDEX('MTA 28-09'!AE:AE,MATCH(B375,'MTA 28-09'!A:A,0))</f>
        <v>46352</v>
      </c>
      <c r="V375" s="12"/>
      <c r="W375" s="12"/>
      <c r="X375" s="12"/>
      <c r="Y375" s="12"/>
      <c r="Z375" s="12"/>
      <c r="AA375" s="12"/>
      <c r="AB375" s="12"/>
      <c r="AC375" s="12"/>
      <c r="AD375" s="12"/>
      <c r="AE375" s="12"/>
      <c r="AF375" s="12"/>
      <c r="AG375" s="12"/>
      <c r="AH375" s="12"/>
      <c r="AI375" s="12"/>
      <c r="AJ375" s="12"/>
      <c r="AK375" s="12"/>
      <c r="AL375" s="12"/>
      <c r="AM375" s="12"/>
    </row>
    <row r="376">
      <c r="A376" s="88" t="s">
        <v>45</v>
      </c>
      <c r="B376" s="98">
        <v>16000.0</v>
      </c>
      <c r="C376" s="92" t="str">
        <f t="array" ref="C376">INDEX('MTA 28-09'!B:B,MATCH(B376,'MTA 28-09'!A:A,0))</f>
        <v>SIM</v>
      </c>
      <c r="D376" s="95">
        <f t="array" ref="D376">INDEX('MTA 28-09'!D:D,MATCH(B376,'MTA 28-09'!A:A,0))</f>
        <v>2048</v>
      </c>
      <c r="E376" s="98" t="str">
        <f t="array" ref="E376">INDEX('MTA 28-09'!F:F,MATCH(B376,'MTA 28-09'!A:A,0))</f>
        <v>ATENDIDO</v>
      </c>
      <c r="F376" s="99">
        <f t="array" ref="F376">INDEX('MTA 28-09'!I:I,MATCH(B376,'MTA 28-09'!A:A,0))</f>
        <v>46191</v>
      </c>
      <c r="G376" s="100" t="str">
        <f t="array" ref="G376">INDEX('MTA 28-09'!J:J,MATCH(B376,'MTA 28-09'!A:A,0))</f>
        <v>C26310</v>
      </c>
      <c r="H376" s="159" t="s">
        <v>157</v>
      </c>
      <c r="I376" s="296"/>
      <c r="J376" s="102"/>
      <c r="K376" s="103"/>
      <c r="L376" s="102" t="str">
        <f t="array" ref="L376">INDEX('MTA 28-09'!S:S,MATCH(B376,'MTA 28-09'!A:A,0))</f>
        <v>C-98</v>
      </c>
      <c r="M376" s="98" t="str">
        <f t="array" ref="M376">INDEX('MTA 28-09'!T:T,MATCH(B376,'MTA 28-09'!A:A,0))</f>
        <v>CNT 048/CELOG-PAMASP/2022 - PW - Material</v>
      </c>
      <c r="N376" s="98" t="str">
        <f t="array" ref="N376">INDEX('MTA 28-09'!U:U,MATCH(B376,'MTA 28-09'!A:A,0))</f>
        <v>Material HSI PT6A-114A (3/4)</v>
      </c>
      <c r="O376" s="104">
        <f t="array" ref="O376">INDEX('MTA 28-09'!AC:AC,MATCH(B376,'MTA 28-09'!A:A,0))</f>
        <v>400000</v>
      </c>
      <c r="P376" s="98" t="str">
        <f t="array" ref="P376">INDEX('MTA 28-09'!N:N,MATCH(B376,'MTA 28-09'!A:A,0))</f>
        <v>CELOG</v>
      </c>
      <c r="Q376" s="105" t="str">
        <f t="array" ref="Q376">INDEX('MTA 28-09'!Z:Z,MATCH(B376,'MTA 28-09'!A:A,0))</f>
        <v>339030</v>
      </c>
      <c r="R376" s="98" t="str">
        <f t="array" ref="R376">INDEX('MTA 28-09'!L:L,MATCH(B376,'MTA 28-09'!A:A,0))</f>
        <v>A</v>
      </c>
      <c r="S376" s="107" t="str">
        <f t="array" ref="S376">INDEX('MTA 28-09'!X:X,MATCH(B376,'MTA 28-09'!A:A,0))</f>
        <v>SOB DEMANDA</v>
      </c>
      <c r="T376" s="107" t="str">
        <f t="array" ref="T376">INDEX('MTA 28-09'!W:W,MATCH(B376,'MTA 28-09'!A:A,0))</f>
        <v>SIM</v>
      </c>
      <c r="U376" s="109">
        <f t="array" ref="U376">INDEX('MTA 28-09'!AE:AE,MATCH(B376,'MTA 28-09'!A:A,0))</f>
        <v>46229</v>
      </c>
      <c r="V376" s="29"/>
      <c r="W376" s="29"/>
      <c r="X376" s="29"/>
      <c r="Y376" s="29"/>
      <c r="Z376" s="29"/>
      <c r="AA376" s="29"/>
      <c r="AB376" s="29"/>
      <c r="AC376" s="29"/>
      <c r="AD376" s="29"/>
      <c r="AE376" s="29"/>
      <c r="AF376" s="29"/>
      <c r="AG376" s="29"/>
      <c r="AH376" s="29"/>
      <c r="AI376" s="29"/>
      <c r="AJ376" s="29"/>
      <c r="AK376" s="29"/>
      <c r="AL376" s="29"/>
      <c r="AM376" s="29"/>
    </row>
    <row r="377">
      <c r="A377" s="31" t="s">
        <v>45</v>
      </c>
      <c r="B377" s="38">
        <v>16001.0</v>
      </c>
      <c r="C377" s="33" t="str">
        <f t="array" ref="C377">INDEX('MTA 28-09'!B:B,MATCH(B377,'MTA 28-09'!A:A,0))</f>
        <v>SIM</v>
      </c>
      <c r="D377" s="34">
        <f t="array" ref="D377">INDEX('MTA 28-09'!D:D,MATCH(B377,'MTA 28-09'!A:A,0))</f>
        <v>2048</v>
      </c>
      <c r="E377" s="32" t="str">
        <f t="array" ref="E377">INDEX('MTA 28-09'!F:F,MATCH(B377,'MTA 28-09'!A:A,0))</f>
        <v>ATENDIDO</v>
      </c>
      <c r="F377" s="155">
        <f t="array" ref="F377">INDEX('MTA 28-09'!I:I,MATCH(B377,'MTA 28-09'!A:A,0))</f>
        <v>46191</v>
      </c>
      <c r="G377" s="36" t="str">
        <f t="array" ref="G377">INDEX('MTA 28-09'!J:J,MATCH(B377,'MTA 28-09'!A:A,0))</f>
        <v>C26310</v>
      </c>
      <c r="H377" s="287" t="s">
        <v>157</v>
      </c>
      <c r="I377" s="295"/>
      <c r="J377" s="39"/>
      <c r="K377" s="40"/>
      <c r="L377" s="39" t="str">
        <f t="array" ref="L377">INDEX('MTA 28-09'!S:S,MATCH(B377,'MTA 28-09'!A:A,0))</f>
        <v>C-98</v>
      </c>
      <c r="M377" s="32" t="str">
        <f t="array" ref="M377">INDEX('MTA 28-09'!T:T,MATCH(B377,'MTA 28-09'!A:A,0))</f>
        <v>CNT 048/CELOG-PAMASP/2022 - PW - Material</v>
      </c>
      <c r="N377" s="32" t="str">
        <f t="array" ref="N377">INDEX('MTA 28-09'!U:U,MATCH(B377,'MTA 28-09'!A:A,0))</f>
        <v>Material HSI PT6A-114A (4/4)</v>
      </c>
      <c r="O377" s="59">
        <f t="array" ref="O377">INDEX('MTA 28-09'!AC:AC,MATCH(B377,'MTA 28-09'!A:A,0))</f>
        <v>400000</v>
      </c>
      <c r="P377" s="32" t="str">
        <f t="array" ref="P377">INDEX('MTA 28-09'!N:N,MATCH(B377,'MTA 28-09'!A:A,0))</f>
        <v>CELOG</v>
      </c>
      <c r="Q377" s="67" t="str">
        <f t="array" ref="Q377">INDEX('MTA 28-09'!Z:Z,MATCH(B377,'MTA 28-09'!A:A,0))</f>
        <v>339030</v>
      </c>
      <c r="R377" s="32" t="str">
        <f t="array" ref="R377">INDEX('MTA 28-09'!L:L,MATCH(B377,'MTA 28-09'!A:A,0))</f>
        <v>A</v>
      </c>
      <c r="S377" s="72" t="str">
        <f t="array" ref="S377">INDEX('MTA 28-09'!X:X,MATCH(B377,'MTA 28-09'!A:A,0))</f>
        <v>SOB DEMANDA</v>
      </c>
      <c r="T377" s="72" t="str">
        <f t="array" ref="T377">INDEX('MTA 28-09'!W:W,MATCH(B377,'MTA 28-09'!A:A,0))</f>
        <v>SIM</v>
      </c>
      <c r="U377" s="81">
        <f t="array" ref="U377">INDEX('MTA 28-09'!AE:AE,MATCH(B377,'MTA 28-09'!A:A,0))</f>
        <v>46229</v>
      </c>
      <c r="V377" s="12"/>
      <c r="W377" s="12"/>
      <c r="X377" s="12"/>
      <c r="Y377" s="12"/>
      <c r="Z377" s="12"/>
      <c r="AA377" s="12"/>
      <c r="AB377" s="12"/>
      <c r="AC377" s="12"/>
      <c r="AD377" s="12"/>
      <c r="AE377" s="12"/>
      <c r="AF377" s="12"/>
      <c r="AG377" s="12"/>
      <c r="AH377" s="12"/>
      <c r="AI377" s="12"/>
      <c r="AJ377" s="12"/>
      <c r="AK377" s="12"/>
      <c r="AL377" s="12"/>
      <c r="AM377" s="12"/>
    </row>
    <row r="378">
      <c r="A378" s="88" t="s">
        <v>48</v>
      </c>
      <c r="B378" s="98">
        <v>16020.0</v>
      </c>
      <c r="C378" s="92" t="str">
        <f t="array" ref="C378">INDEX('MTA 28-09'!B:B,MATCH(B378,'MTA 28-09'!A:A,0))</f>
        <v>SIM</v>
      </c>
      <c r="D378" s="95">
        <f t="array" ref="D378">INDEX('MTA 28-09'!D:D,MATCH(B378,'MTA 28-09'!A:A,0))</f>
        <v>2048</v>
      </c>
      <c r="E378" s="98" t="str">
        <f t="array" ref="E378">INDEX('MTA 28-09'!F:F,MATCH(B378,'MTA 28-09'!A:A,0))</f>
        <v/>
      </c>
      <c r="F378" s="152" t="str">
        <f t="array" ref="F378">INDEX('MTA 28-09'!I:I,MATCH(B378,'MTA 28-09'!A:A,0))</f>
        <v/>
      </c>
      <c r="G378" s="100" t="str">
        <f t="array" ref="G378">INDEX('MTA 28-09'!J:J,MATCH(B378,'MTA 28-09'!A:A,0))</f>
        <v/>
      </c>
      <c r="H378" s="159">
        <v>46276.0</v>
      </c>
      <c r="I378" s="424" t="s">
        <v>152</v>
      </c>
      <c r="J378" s="102"/>
      <c r="K378" s="103"/>
      <c r="L378" s="102" t="str">
        <f t="array" ref="L378">INDEX('MTA 28-09'!S:S,MATCH(B378,'MTA 28-09'!A:A,0))</f>
        <v>G-19</v>
      </c>
      <c r="M378" s="98" t="str">
        <f t="array" ref="M378">INDEX('MTA 28-09'!T:T,MATCH(B378,'MTA 28-09'!A:A,0))</f>
        <v>Requisição CABW</v>
      </c>
      <c r="N378" s="98" t="str">
        <f t="array" ref="N378">INDEX('MTA 28-09'!U:U,MATCH(B378,'MTA 28-09'!A:A,0))</f>
        <v>Requisições Consumíveis</v>
      </c>
      <c r="O378" s="104">
        <f t="array" ref="O378">INDEX('MTA 28-09'!AC:AC,MATCH(B378,'MTA 28-09'!A:A,0))</f>
        <v>20000</v>
      </c>
      <c r="P378" s="98" t="str">
        <f t="array" ref="P378">INDEX('MTA 28-09'!N:N,MATCH(B378,'MTA 28-09'!A:A,0))</f>
        <v>CABW</v>
      </c>
      <c r="Q378" s="105" t="str">
        <f t="array" ref="Q378">INDEX('MTA 28-09'!Z:Z,MATCH(B378,'MTA 28-09'!A:A,0))</f>
        <v>339030</v>
      </c>
      <c r="R378" s="98" t="str">
        <f t="array" ref="R378">INDEX('MTA 28-09'!L:L,MATCH(B378,'MTA 28-09'!A:A,0))</f>
        <v>A</v>
      </c>
      <c r="S378" s="107" t="str">
        <f t="array" ref="S378">INDEX('MTA 28-09'!X:X,MATCH(B378,'MTA 28-09'!A:A,0))</f>
        <v>REQUISIÇÃO</v>
      </c>
      <c r="T378" s="107" t="str">
        <f t="array" ref="T378">INDEX('MTA 28-09'!W:W,MATCH(B378,'MTA 28-09'!A:A,0))</f>
        <v>Não</v>
      </c>
      <c r="U378" s="109">
        <f t="array" ref="U378">INDEX('MTA 28-09'!AE:AE,MATCH(B378,'MTA 28-09'!A:A,0))</f>
        <v>46291</v>
      </c>
      <c r="V378" s="29"/>
      <c r="W378" s="29"/>
      <c r="X378" s="29"/>
      <c r="Y378" s="29"/>
      <c r="Z378" s="29"/>
      <c r="AA378" s="29"/>
      <c r="AB378" s="29"/>
      <c r="AC378" s="29"/>
      <c r="AD378" s="29"/>
      <c r="AE378" s="29"/>
      <c r="AF378" s="29"/>
      <c r="AG378" s="29"/>
      <c r="AH378" s="29"/>
      <c r="AI378" s="29"/>
      <c r="AJ378" s="29"/>
      <c r="AK378" s="29"/>
      <c r="AL378" s="29"/>
      <c r="AM378" s="29"/>
    </row>
    <row r="379">
      <c r="A379" s="31" t="s">
        <v>1572</v>
      </c>
      <c r="B379" s="32">
        <v>16040.0</v>
      </c>
      <c r="C379" s="33" t="str">
        <f t="array" ref="C379">INDEX('MTA 28-09'!B:B,MATCH(B379,'MTA 28-09'!A:A,0))</f>
        <v>NÃO</v>
      </c>
      <c r="D379" s="34" t="str">
        <f t="array" ref="D379">INDEX('MTA 28-09'!D:D,MATCH(B379,'MTA 28-09'!A:A,0))</f>
        <v/>
      </c>
      <c r="E379" s="32" t="str">
        <f t="array" ref="E379">INDEX('MTA 28-09'!F:F,MATCH(B379,'MTA 28-09'!A:A,0))</f>
        <v/>
      </c>
      <c r="F379" s="155" t="str">
        <f t="array" ref="F379">INDEX('MTA 28-09'!I:I,MATCH(B379,'MTA 28-09'!A:A,0))</f>
        <v/>
      </c>
      <c r="G379" s="36" t="str">
        <f t="array" ref="G379">INDEX('MTA 28-09'!J:J,MATCH(B379,'MTA 28-09'!A:A,0))</f>
        <v/>
      </c>
      <c r="H379" s="287" t="s">
        <v>157</v>
      </c>
      <c r="I379" s="295"/>
      <c r="J379" s="39"/>
      <c r="K379" s="40"/>
      <c r="L379" s="39" t="str">
        <f t="array" ref="L379">INDEX('MTA 28-09'!S:S,MATCH(B379,'MTA 28-09'!A:A,0))</f>
        <v>APOIO</v>
      </c>
      <c r="M379" s="32" t="str">
        <f t="array" ref="M379">INDEX('MTA 28-09'!T:T,MATCH(B379,'MTA 28-09'!A:A,0))</f>
        <v>AQUISIÇÃO PN: B650 URA DE GRANDE PORTE QAQ</v>
      </c>
      <c r="N379" s="32" t="str">
        <f t="array" ref="N379">INDEX('MTA 28-09'!U:U,MATCH(B379,'MTA 28-09'!A:A,0))</f>
        <v>AQUISIÇÃO PN: B650 URA DE GRANDE PORTE; 1 EA - 1/2</v>
      </c>
      <c r="O379" s="59">
        <f t="array" ref="O379">INDEX('MTA 28-09'!AC:AC,MATCH(B379,'MTA 28-09'!A:A,0))</f>
        <v>969000</v>
      </c>
      <c r="P379" s="32" t="str">
        <f t="array" ref="P379">INDEX('MTA 28-09'!N:N,MATCH(B379,'MTA 28-09'!A:A,0))</f>
        <v>FMS</v>
      </c>
      <c r="Q379" s="67" t="str">
        <f t="array" ref="Q379">INDEX('MTA 28-09'!Z:Z,MATCH(B379,'MTA 28-09'!A:A,0))</f>
        <v>449052</v>
      </c>
      <c r="R379" s="32" t="str">
        <f t="array" ref="R379">INDEX('MTA 28-09'!L:L,MATCH(B379,'MTA 28-09'!A:A,0))</f>
        <v>C</v>
      </c>
      <c r="S379" s="72" t="str">
        <f t="array" ref="S379">INDEX('MTA 28-09'!X:X,MATCH(B379,'MTA 28-09'!A:A,0))</f>
        <v>REQUISIÇÃO</v>
      </c>
      <c r="T379" s="72" t="str">
        <f t="array" ref="T379">INDEX('MTA 28-09'!W:W,MATCH(B379,'MTA 28-09'!A:A,0))</f>
        <v>NÃO</v>
      </c>
      <c r="U379" s="81">
        <f t="array" ref="U379">INDEX('MTA 28-09'!AE:AE,MATCH(B379,'MTA 28-09'!A:A,0))</f>
        <v>46291</v>
      </c>
      <c r="V379" s="12"/>
      <c r="W379" s="12"/>
      <c r="X379" s="12"/>
      <c r="Y379" s="12"/>
      <c r="Z379" s="12"/>
      <c r="AA379" s="12"/>
      <c r="AB379" s="12"/>
      <c r="AC379" s="12"/>
      <c r="AD379" s="12"/>
      <c r="AE379" s="12"/>
      <c r="AF379" s="12"/>
      <c r="AG379" s="12"/>
      <c r="AH379" s="12"/>
      <c r="AI379" s="12"/>
      <c r="AJ379" s="12"/>
      <c r="AK379" s="12"/>
      <c r="AL379" s="12"/>
      <c r="AM379" s="12"/>
    </row>
    <row r="380">
      <c r="A380" s="88" t="s">
        <v>1572</v>
      </c>
      <c r="B380" s="98">
        <v>16060.0</v>
      </c>
      <c r="C380" s="92" t="str">
        <f t="array" ref="C380">INDEX('MTA 28-09'!B:B,MATCH(B380,'MTA 28-09'!A:A,0))</f>
        <v>NÃO</v>
      </c>
      <c r="D380" s="95" t="str">
        <f t="array" ref="D380">INDEX('MTA 28-09'!D:D,MATCH(B380,'MTA 28-09'!A:A,0))</f>
        <v/>
      </c>
      <c r="E380" s="98" t="str">
        <f t="array" ref="E380">INDEX('MTA 28-09'!F:F,MATCH(B380,'MTA 28-09'!A:A,0))</f>
        <v/>
      </c>
      <c r="F380" s="144" t="str">
        <f t="array" ref="F380">INDEX('MTA 28-09'!I:I,MATCH(B380,'MTA 28-09'!A:A,0))</f>
        <v/>
      </c>
      <c r="G380" s="100" t="str">
        <f t="array" ref="G380">INDEX('MTA 28-09'!J:J,MATCH(B380,'MTA 28-09'!A:A,0))</f>
        <v/>
      </c>
      <c r="H380" s="159" t="s">
        <v>157</v>
      </c>
      <c r="I380" s="296"/>
      <c r="J380" s="102"/>
      <c r="K380" s="103"/>
      <c r="L380" s="102" t="str">
        <f t="array" ref="L380">INDEX('MTA 28-09'!S:S,MATCH(B380,'MTA 28-09'!A:A,0))</f>
        <v>APOIO</v>
      </c>
      <c r="M380" s="98" t="str">
        <f t="array" ref="M380">INDEX('MTA 28-09'!T:T,MATCH(B380,'MTA 28-09'!A:A,0))</f>
        <v>AQUISIÇÃO PN: B650 URA DE GRANDE PORTE QAQ</v>
      </c>
      <c r="N380" s="98" t="str">
        <f t="array" ref="N380">INDEX('MTA 28-09'!U:U,MATCH(B380,'MTA 28-09'!A:A,0))</f>
        <v>AQUISIÇÃO PN: B650 URA DE GRANDE PORTE; 1 EA - 2/2</v>
      </c>
      <c r="O380" s="104">
        <f t="array" ref="O380">INDEX('MTA 28-09'!AC:AC,MATCH(B380,'MTA 28-09'!A:A,0))</f>
        <v>969000</v>
      </c>
      <c r="P380" s="98" t="str">
        <f t="array" ref="P380">INDEX('MTA 28-09'!N:N,MATCH(B380,'MTA 28-09'!A:A,0))</f>
        <v>FMS</v>
      </c>
      <c r="Q380" s="105" t="str">
        <f t="array" ref="Q380">INDEX('MTA 28-09'!Z:Z,MATCH(B380,'MTA 28-09'!A:A,0))</f>
        <v>449052</v>
      </c>
      <c r="R380" s="98" t="str">
        <f t="array" ref="R380">INDEX('MTA 28-09'!L:L,MATCH(B380,'MTA 28-09'!A:A,0))</f>
        <v>C</v>
      </c>
      <c r="S380" s="107" t="str">
        <f t="array" ref="S380">INDEX('MTA 28-09'!X:X,MATCH(B380,'MTA 28-09'!A:A,0))</f>
        <v>REQUISIÇÃO</v>
      </c>
      <c r="T380" s="107" t="str">
        <f t="array" ref="T380">INDEX('MTA 28-09'!W:W,MATCH(B380,'MTA 28-09'!A:A,0))</f>
        <v>NÃO</v>
      </c>
      <c r="U380" s="109">
        <f t="array" ref="U380">INDEX('MTA 28-09'!AE:AE,MATCH(B380,'MTA 28-09'!A:A,0))</f>
        <v>46291</v>
      </c>
      <c r="V380" s="29"/>
      <c r="W380" s="29"/>
      <c r="X380" s="29"/>
      <c r="Y380" s="29"/>
      <c r="Z380" s="29"/>
      <c r="AA380" s="29"/>
      <c r="AB380" s="29"/>
      <c r="AC380" s="29"/>
      <c r="AD380" s="29"/>
      <c r="AE380" s="29"/>
      <c r="AF380" s="29"/>
      <c r="AG380" s="29"/>
      <c r="AH380" s="29"/>
      <c r="AI380" s="29"/>
      <c r="AJ380" s="29"/>
      <c r="AK380" s="29"/>
      <c r="AL380" s="29"/>
      <c r="AM380" s="29"/>
    </row>
    <row r="381">
      <c r="A381" s="31" t="s">
        <v>1575</v>
      </c>
      <c r="B381" s="32">
        <v>16080.0</v>
      </c>
      <c r="C381" s="33" t="str">
        <f t="array" ref="C381">INDEX('MTA 28-09'!B:B,MATCH(B381,'MTA 28-09'!A:A,0))</f>
        <v>NÃO</v>
      </c>
      <c r="D381" s="34" t="str">
        <f t="array" ref="D381">INDEX('MTA 28-09'!D:D,MATCH(B381,'MTA 28-09'!A:A,0))</f>
        <v/>
      </c>
      <c r="E381" s="32" t="str">
        <f t="array" ref="E381">INDEX('MTA 28-09'!F:F,MATCH(B381,'MTA 28-09'!A:A,0))</f>
        <v/>
      </c>
      <c r="F381" s="35" t="str">
        <f t="array" ref="F381">INDEX('MTA 28-09'!I:I,MATCH(B381,'MTA 28-09'!A:A,0))</f>
        <v/>
      </c>
      <c r="G381" s="36" t="str">
        <f t="array" ref="G381">INDEX('MTA 28-09'!J:J,MATCH(B381,'MTA 28-09'!A:A,0))</f>
        <v/>
      </c>
      <c r="H381" s="287" t="s">
        <v>157</v>
      </c>
      <c r="I381" s="295"/>
      <c r="J381" s="39"/>
      <c r="K381" s="40"/>
      <c r="L381" s="39" t="str">
        <f t="array" ref="L381">INDEX('MTA 28-09'!S:S,MATCH(B381,'MTA 28-09'!A:A,0))</f>
        <v>APOIO</v>
      </c>
      <c r="M381" s="32" t="str">
        <f t="array" ref="M381">INDEX('MTA 28-09'!T:T,MATCH(B381,'MTA 28-09'!A:A,0))</f>
        <v>PN TI300GPU-24 (FONTE ELÉTRICA PORTÁTIL 24 VDC) QAQ</v>
      </c>
      <c r="N381" s="32" t="str">
        <f t="array" ref="N381">INDEX('MTA 28-09'!U:U,MATCH(B381,'MTA 28-09'!A:A,0))</f>
        <v>PN TI300GPU-24 (FONTE ELÉTRICA PORTÁTIL 24 VDC) - 5 EA 3/3</v>
      </c>
      <c r="O381" s="59">
        <f t="array" ref="O381">INDEX('MTA 28-09'!AC:AC,MATCH(B381,'MTA 28-09'!A:A,0))</f>
        <v>370500</v>
      </c>
      <c r="P381" s="32" t="str">
        <f t="array" ref="P381">INDEX('MTA 28-09'!N:N,MATCH(B381,'MTA 28-09'!A:A,0))</f>
        <v>FMS</v>
      </c>
      <c r="Q381" s="67" t="str">
        <f t="array" ref="Q381">INDEX('MTA 28-09'!Z:Z,MATCH(B381,'MTA 28-09'!A:A,0))</f>
        <v>449052</v>
      </c>
      <c r="R381" s="32" t="str">
        <f t="array" ref="R381">INDEX('MTA 28-09'!L:L,MATCH(B381,'MTA 28-09'!A:A,0))</f>
        <v>C</v>
      </c>
      <c r="S381" s="72" t="str">
        <f t="array" ref="S381">INDEX('MTA 28-09'!X:X,MATCH(B381,'MTA 28-09'!A:A,0))</f>
        <v>REQUISIÇÃO</v>
      </c>
      <c r="T381" s="72" t="str">
        <f t="array" ref="T381">INDEX('MTA 28-09'!W:W,MATCH(B381,'MTA 28-09'!A:A,0))</f>
        <v>NÃO</v>
      </c>
      <c r="U381" s="81">
        <f t="array" ref="U381">INDEX('MTA 28-09'!AE:AE,MATCH(B381,'MTA 28-09'!A:A,0))</f>
        <v>46291</v>
      </c>
      <c r="V381" s="12"/>
      <c r="W381" s="12"/>
      <c r="X381" s="12"/>
      <c r="Y381" s="12"/>
      <c r="Z381" s="12"/>
      <c r="AA381" s="12"/>
      <c r="AB381" s="12"/>
      <c r="AC381" s="12"/>
      <c r="AD381" s="12"/>
      <c r="AE381" s="12"/>
      <c r="AF381" s="12"/>
      <c r="AG381" s="12"/>
      <c r="AH381" s="12"/>
      <c r="AI381" s="12"/>
      <c r="AJ381" s="12"/>
      <c r="AK381" s="12"/>
      <c r="AL381" s="12"/>
      <c r="AM381" s="12"/>
    </row>
    <row r="382">
      <c r="A382" s="88" t="s">
        <v>107</v>
      </c>
      <c r="B382" s="98">
        <v>16100.0</v>
      </c>
      <c r="C382" s="92" t="str">
        <f t="array" ref="C382">INDEX('MTA 28-09'!B:B,MATCH(B382,'MTA 28-09'!A:A,0))</f>
        <v>NÃO</v>
      </c>
      <c r="D382" s="95" t="str">
        <f t="array" ref="D382">INDEX('MTA 28-09'!D:D,MATCH(B382,'MTA 28-09'!A:A,0))</f>
        <v/>
      </c>
      <c r="E382" s="98" t="str">
        <f t="array" ref="E382">INDEX('MTA 28-09'!F:F,MATCH(B382,'MTA 28-09'!A:A,0))</f>
        <v/>
      </c>
      <c r="F382" s="152" t="str">
        <f t="array" ref="F382">INDEX('MTA 28-09'!I:I,MATCH(B382,'MTA 28-09'!A:A,0))</f>
        <v/>
      </c>
      <c r="G382" s="100" t="str">
        <f t="array" ref="G382">INDEX('MTA 28-09'!J:J,MATCH(B382,'MTA 28-09'!A:A,0))</f>
        <v/>
      </c>
      <c r="H382" s="159" t="s">
        <v>157</v>
      </c>
      <c r="I382" s="90" t="s">
        <v>1583</v>
      </c>
      <c r="J382" s="102"/>
      <c r="K382" s="103"/>
      <c r="L382" s="102" t="str">
        <f t="array" ref="L382">INDEX('MTA 28-09'!S:S,MATCH(B382,'MTA 28-09'!A:A,0))</f>
        <v>APOIO</v>
      </c>
      <c r="M382" s="98" t="str">
        <f t="array" ref="M382">INDEX('MTA 28-09'!T:T,MATCH(B382,'MTA 28-09'!A:A,0))</f>
        <v>REQUISIÇÃO LOTAÇÃO SSS</v>
      </c>
      <c r="N382" s="98" t="str">
        <f t="array" ref="N382">INDEX('MTA 28-09'!U:U,MATCH(B382,'MTA 28-09'!A:A,0))</f>
        <v>AQUISIÇÃO ITENS SSS ATENDER 100% DA LOTAÇÃO (CABW) 3/4</v>
      </c>
      <c r="O382" s="104">
        <f t="array" ref="O382">INDEX('MTA 28-09'!AC:AC,MATCH(B382,'MTA 28-09'!A:A,0))</f>
        <v>1613688.01</v>
      </c>
      <c r="P382" s="98" t="str">
        <f t="array" ref="P382">INDEX('MTA 28-09'!N:N,MATCH(B382,'MTA 28-09'!A:A,0))</f>
        <v>CABW</v>
      </c>
      <c r="Q382" s="105" t="str">
        <f t="array" ref="Q382">INDEX('MTA 28-09'!Z:Z,MATCH(B382,'MTA 28-09'!A:A,0))</f>
        <v>339030</v>
      </c>
      <c r="R382" s="98" t="str">
        <f t="array" ref="R382">INDEX('MTA 28-09'!L:L,MATCH(B382,'MTA 28-09'!A:A,0))</f>
        <v>C</v>
      </c>
      <c r="S382" s="107" t="str">
        <f t="array" ref="S382">INDEX('MTA 28-09'!X:X,MATCH(B382,'MTA 28-09'!A:A,0))</f>
        <v>REQUISIÇÃO</v>
      </c>
      <c r="T382" s="107" t="str">
        <f t="array" ref="T382">INDEX('MTA 28-09'!W:W,MATCH(B382,'MTA 28-09'!A:A,0))</f>
        <v>NÃO</v>
      </c>
      <c r="U382" s="109">
        <f t="array" ref="U382">INDEX('MTA 28-09'!AE:AE,MATCH(B382,'MTA 28-09'!A:A,0))</f>
        <v>46291</v>
      </c>
      <c r="V382" s="29"/>
      <c r="W382" s="29"/>
      <c r="X382" s="29"/>
      <c r="Y382" s="29"/>
      <c r="Z382" s="29"/>
      <c r="AA382" s="29"/>
      <c r="AB382" s="29"/>
      <c r="AC382" s="29"/>
      <c r="AD382" s="29"/>
      <c r="AE382" s="29"/>
      <c r="AF382" s="29"/>
      <c r="AG382" s="29"/>
      <c r="AH382" s="29"/>
      <c r="AI382" s="29"/>
      <c r="AJ382" s="29"/>
      <c r="AK382" s="29"/>
      <c r="AL382" s="29"/>
      <c r="AM382" s="29"/>
    </row>
    <row r="383">
      <c r="A383" s="31" t="s">
        <v>1575</v>
      </c>
      <c r="B383" s="32">
        <v>16120.0</v>
      </c>
      <c r="C383" s="33" t="str">
        <f t="array" ref="C383">INDEX('MTA 28-09'!B:B,MATCH(B383,'MTA 28-09'!A:A,0))</f>
        <v>NÃO</v>
      </c>
      <c r="D383" s="34" t="str">
        <f t="array" ref="D383">INDEX('MTA 28-09'!D:D,MATCH(B383,'MTA 28-09'!A:A,0))</f>
        <v/>
      </c>
      <c r="E383" s="32" t="str">
        <f t="array" ref="E383">INDEX('MTA 28-09'!F:F,MATCH(B383,'MTA 28-09'!A:A,0))</f>
        <v/>
      </c>
      <c r="F383" s="420" t="str">
        <f t="array" ref="F383">INDEX('MTA 28-09'!I:I,MATCH(B383,'MTA 28-09'!A:A,0))</f>
        <v/>
      </c>
      <c r="G383" s="36" t="str">
        <f t="array" ref="G383">INDEX('MTA 28-09'!J:J,MATCH(B383,'MTA 28-09'!A:A,0))</f>
        <v/>
      </c>
      <c r="H383" s="287" t="s">
        <v>157</v>
      </c>
      <c r="I383" s="295"/>
      <c r="J383" s="39"/>
      <c r="K383" s="40"/>
      <c r="L383" s="39" t="str">
        <f t="array" ref="L383">INDEX('MTA 28-09'!S:S,MATCH(B383,'MTA 28-09'!A:A,0))</f>
        <v>APOIO</v>
      </c>
      <c r="M383" s="32" t="str">
        <f t="array" ref="M383">INDEX('MTA 28-09'!T:T,MATCH(B383,'MTA 28-09'!A:A,0))</f>
        <v>PN TI300GPU-24 (FONTE ELÉTRICA PORTÁTIL 24 VDC) QAQ</v>
      </c>
      <c r="N383" s="32" t="str">
        <f t="array" ref="N383">INDEX('MTA 28-09'!U:U,MATCH(B383,'MTA 28-09'!A:A,0))</f>
        <v>PN TI300GPU-24 (FONTE ELÉTRICA PORTÁTIL 24 VDC) - 5 EA 2/3</v>
      </c>
      <c r="O383" s="59">
        <f t="array" ref="O383">INDEX('MTA 28-09'!AC:AC,MATCH(B383,'MTA 28-09'!A:A,0))</f>
        <v>370500</v>
      </c>
      <c r="P383" s="32" t="str">
        <f t="array" ref="P383">INDEX('MTA 28-09'!N:N,MATCH(B383,'MTA 28-09'!A:A,0))</f>
        <v>FMS</v>
      </c>
      <c r="Q383" s="67" t="str">
        <f t="array" ref="Q383">INDEX('MTA 28-09'!Z:Z,MATCH(B383,'MTA 28-09'!A:A,0))</f>
        <v>449052</v>
      </c>
      <c r="R383" s="32" t="str">
        <f t="array" ref="R383">INDEX('MTA 28-09'!L:L,MATCH(B383,'MTA 28-09'!A:A,0))</f>
        <v>C</v>
      </c>
      <c r="S383" s="72" t="str">
        <f t="array" ref="S383">INDEX('MTA 28-09'!X:X,MATCH(B383,'MTA 28-09'!A:A,0))</f>
        <v>REQUISIÇÃO</v>
      </c>
      <c r="T383" s="72" t="str">
        <f t="array" ref="T383">INDEX('MTA 28-09'!W:W,MATCH(B383,'MTA 28-09'!A:A,0))</f>
        <v>NÃO</v>
      </c>
      <c r="U383" s="81">
        <f t="array" ref="U383">INDEX('MTA 28-09'!AE:AE,MATCH(B383,'MTA 28-09'!A:A,0))</f>
        <v>46291</v>
      </c>
      <c r="V383" s="12"/>
      <c r="W383" s="12"/>
      <c r="X383" s="12"/>
      <c r="Y383" s="12"/>
      <c r="Z383" s="12"/>
      <c r="AA383" s="12"/>
      <c r="AB383" s="12"/>
      <c r="AC383" s="12"/>
      <c r="AD383" s="12"/>
      <c r="AE383" s="12"/>
      <c r="AF383" s="12"/>
      <c r="AG383" s="12"/>
      <c r="AH383" s="12"/>
      <c r="AI383" s="12"/>
      <c r="AJ383" s="12"/>
      <c r="AK383" s="12"/>
      <c r="AL383" s="12"/>
      <c r="AM383" s="12"/>
    </row>
    <row r="384">
      <c r="A384" s="88" t="s">
        <v>1575</v>
      </c>
      <c r="B384" s="98">
        <v>16140.0</v>
      </c>
      <c r="C384" s="92" t="str">
        <f t="array" ref="C384">INDEX('MTA 28-09'!B:B,MATCH(B384,'MTA 28-09'!A:A,0))</f>
        <v>NÃO</v>
      </c>
      <c r="D384" s="95" t="str">
        <f t="array" ref="D384">INDEX('MTA 28-09'!D:D,MATCH(B384,'MTA 28-09'!A:A,0))</f>
        <v/>
      </c>
      <c r="E384" s="98" t="str">
        <f t="array" ref="E384">INDEX('MTA 28-09'!F:F,MATCH(B384,'MTA 28-09'!A:A,0))</f>
        <v/>
      </c>
      <c r="F384" s="423" t="str">
        <f t="array" ref="F384">INDEX('MTA 28-09'!I:I,MATCH(B384,'MTA 28-09'!A:A,0))</f>
        <v/>
      </c>
      <c r="G384" s="100" t="str">
        <f t="array" ref="G384">INDEX('MTA 28-09'!J:J,MATCH(B384,'MTA 28-09'!A:A,0))</f>
        <v/>
      </c>
      <c r="H384" s="159" t="s">
        <v>157</v>
      </c>
      <c r="I384" s="296"/>
      <c r="J384" s="102"/>
      <c r="K384" s="103"/>
      <c r="L384" s="102" t="str">
        <f t="array" ref="L384">INDEX('MTA 28-09'!S:S,MATCH(B384,'MTA 28-09'!A:A,0))</f>
        <v>APOIO</v>
      </c>
      <c r="M384" s="98" t="str">
        <f t="array" ref="M384">INDEX('MTA 28-09'!T:T,MATCH(B384,'MTA 28-09'!A:A,0))</f>
        <v>PN TI300GPU-24 (FONTE ELÉTRICA PORTÁTIL 24 VDC) QAQ</v>
      </c>
      <c r="N384" s="98" t="str">
        <f t="array" ref="N384">INDEX('MTA 28-09'!U:U,MATCH(B384,'MTA 28-09'!A:A,0))</f>
        <v>PN TI300GPU-24 (FONTE ELÉTRICA PORTÁTIL 24 VDC) - 5 EA 1/3</v>
      </c>
      <c r="O384" s="104">
        <f t="array" ref="O384">INDEX('MTA 28-09'!AC:AC,MATCH(B384,'MTA 28-09'!A:A,0))</f>
        <v>370500</v>
      </c>
      <c r="P384" s="98" t="str">
        <f t="array" ref="P384">INDEX('MTA 28-09'!N:N,MATCH(B384,'MTA 28-09'!A:A,0))</f>
        <v>FMS</v>
      </c>
      <c r="Q384" s="105" t="str">
        <f t="array" ref="Q384">INDEX('MTA 28-09'!Z:Z,MATCH(B384,'MTA 28-09'!A:A,0))</f>
        <v>449052</v>
      </c>
      <c r="R384" s="98" t="str">
        <f t="array" ref="R384">INDEX('MTA 28-09'!L:L,MATCH(B384,'MTA 28-09'!A:A,0))</f>
        <v>C</v>
      </c>
      <c r="S384" s="107" t="str">
        <f t="array" ref="S384">INDEX('MTA 28-09'!X:X,MATCH(B384,'MTA 28-09'!A:A,0))</f>
        <v>REQUISIÇÃO</v>
      </c>
      <c r="T384" s="107" t="str">
        <f t="array" ref="T384">INDEX('MTA 28-09'!W:W,MATCH(B384,'MTA 28-09'!A:A,0))</f>
        <v>NÃO</v>
      </c>
      <c r="U384" s="109">
        <f t="array" ref="U384">INDEX('MTA 28-09'!AE:AE,MATCH(B384,'MTA 28-09'!A:A,0))</f>
        <v>46291</v>
      </c>
      <c r="V384" s="29"/>
      <c r="W384" s="29"/>
      <c r="X384" s="29"/>
      <c r="Y384" s="29"/>
      <c r="Z384" s="29"/>
      <c r="AA384" s="29"/>
      <c r="AB384" s="29"/>
      <c r="AC384" s="29"/>
      <c r="AD384" s="29"/>
      <c r="AE384" s="29"/>
      <c r="AF384" s="29"/>
      <c r="AG384" s="29"/>
      <c r="AH384" s="29"/>
      <c r="AI384" s="29"/>
      <c r="AJ384" s="29"/>
      <c r="AK384" s="29"/>
      <c r="AL384" s="29"/>
      <c r="AM384" s="29"/>
    </row>
    <row r="385">
      <c r="A385" s="31" t="s">
        <v>47</v>
      </c>
      <c r="B385" s="32">
        <v>16160.0</v>
      </c>
      <c r="C385" s="33" t="str">
        <f t="array" ref="C385">INDEX('MTA 28-09'!B:B,MATCH(B385,'MTA 28-09'!A:A,0))</f>
        <v>NÃO</v>
      </c>
      <c r="D385" s="34" t="str">
        <f t="array" ref="D385">INDEX('MTA 28-09'!D:D,MATCH(B385,'MTA 28-09'!A:A,0))</f>
        <v/>
      </c>
      <c r="E385" s="32" t="str">
        <f t="array" ref="E385">INDEX('MTA 28-09'!F:F,MATCH(B385,'MTA 28-09'!A:A,0))</f>
        <v>BLOQUEIO</v>
      </c>
      <c r="F385" s="155" t="str">
        <f t="array" ref="F385">INDEX('MTA 28-09'!I:I,MATCH(B385,'MTA 28-09'!A:A,0))</f>
        <v/>
      </c>
      <c r="G385" s="36" t="str">
        <f t="array" ref="G385">INDEX('MTA 28-09'!J:J,MATCH(B385,'MTA 28-09'!A:A,0))</f>
        <v/>
      </c>
      <c r="H385" s="287" t="s">
        <v>157</v>
      </c>
      <c r="I385" s="295"/>
      <c r="J385" s="39"/>
      <c r="K385" s="40"/>
      <c r="L385" s="39" t="str">
        <f t="array" ref="L385">INDEX('MTA 28-09'!S:S,MATCH(B385,'MTA 28-09'!A:A,0))</f>
        <v>T-25</v>
      </c>
      <c r="M385" s="32" t="str">
        <f t="array" ref="M385">INDEX('MTA 28-09'!T:T,MATCH(B385,'MTA 28-09'!A:A,0))</f>
        <v>Contrato de reparáveis</v>
      </c>
      <c r="N385" s="32" t="str">
        <f t="array" ref="N385">INDEX('MTA 28-09'!U:U,MATCH(B385,'MTA 28-09'!A:A,0))</f>
        <v>Reparo sob demanda 3/6</v>
      </c>
      <c r="O385" s="59">
        <f t="array" ref="O385">INDEX('MTA 28-09'!AC:AC,MATCH(B385,'MTA 28-09'!A:A,0))</f>
        <v>310000</v>
      </c>
      <c r="P385" s="32" t="str">
        <f t="array" ref="P385">INDEX('MTA 28-09'!N:N,MATCH(B385,'MTA 28-09'!A:A,0))</f>
        <v>CELOG</v>
      </c>
      <c r="Q385" s="67" t="str">
        <f t="array" ref="Q385">INDEX('MTA 28-09'!Z:Z,MATCH(B385,'MTA 28-09'!A:A,0))</f>
        <v>339039</v>
      </c>
      <c r="R385" s="32" t="str">
        <f t="array" ref="R385">INDEX('MTA 28-09'!L:L,MATCH(B385,'MTA 28-09'!A:A,0))</f>
        <v>B</v>
      </c>
      <c r="S385" s="72" t="str">
        <f t="array" ref="S385">INDEX('MTA 28-09'!X:X,MATCH(B385,'MTA 28-09'!A:A,0))</f>
        <v>SOB DEMANDA</v>
      </c>
      <c r="T385" s="72" t="str">
        <f t="array" ref="T385">INDEX('MTA 28-09'!W:W,MATCH(B385,'MTA 28-09'!A:A,0))</f>
        <v>Não</v>
      </c>
      <c r="U385" s="81">
        <f t="array" ref="U385">INDEX('MTA 28-09'!AE:AE,MATCH(B385,'MTA 28-09'!A:A,0))</f>
        <v>46382</v>
      </c>
      <c r="V385" s="12"/>
      <c r="W385" s="12"/>
      <c r="X385" s="12"/>
      <c r="Y385" s="12"/>
      <c r="Z385" s="12"/>
      <c r="AA385" s="12"/>
      <c r="AB385" s="12"/>
      <c r="AC385" s="12"/>
      <c r="AD385" s="12"/>
      <c r="AE385" s="12"/>
      <c r="AF385" s="12"/>
      <c r="AG385" s="12"/>
      <c r="AH385" s="12"/>
      <c r="AI385" s="12"/>
      <c r="AJ385" s="12"/>
      <c r="AK385" s="12"/>
      <c r="AL385" s="12"/>
      <c r="AM385" s="12"/>
    </row>
    <row r="386">
      <c r="A386" s="88" t="s">
        <v>46</v>
      </c>
      <c r="B386" s="98">
        <v>16180.0</v>
      </c>
      <c r="C386" s="92" t="str">
        <f t="array" ref="C386">INDEX('MTA 28-09'!B:B,MATCH(B386,'MTA 28-09'!A:A,0))</f>
        <v>SIM</v>
      </c>
      <c r="D386" s="95">
        <f t="array" ref="D386">INDEX('MTA 28-09'!D:D,MATCH(B386,'MTA 28-09'!A:A,0))</f>
        <v>2048</v>
      </c>
      <c r="E386" s="98" t="str">
        <f t="array" ref="E386">INDEX('MTA 28-09'!F:F,MATCH(B386,'MTA 28-09'!A:A,0))</f>
        <v>ATENDIDO</v>
      </c>
      <c r="F386" s="152">
        <f t="array" ref="F386">INDEX('MTA 28-09'!I:I,MATCH(B386,'MTA 28-09'!A:A,0))</f>
        <v>46118</v>
      </c>
      <c r="G386" s="100" t="str">
        <f t="array" ref="G386">INDEX('MTA 28-09'!J:J,MATCH(B386,'MTA 28-09'!A:A,0))</f>
        <v>C26153</v>
      </c>
      <c r="H386" s="101" t="s">
        <v>1580</v>
      </c>
      <c r="I386" s="90"/>
      <c r="J386" s="102"/>
      <c r="K386" s="103"/>
      <c r="L386" s="102" t="str">
        <f t="array" ref="L386">INDEX('MTA 28-09'!S:S,MATCH(B386,'MTA 28-09'!A:A,0))</f>
        <v>T-27</v>
      </c>
      <c r="M386" s="98" t="str">
        <f t="array" ref="M386">INDEX('MTA 28-09'!T:T,MATCH(B386,'MTA 28-09'!A:A,0))</f>
        <v>Contrato de reparáveis</v>
      </c>
      <c r="N386" s="98" t="str">
        <f t="array" ref="N386">INDEX('MTA 28-09'!U:U,MATCH(B386,'MTA 28-09'!A:A,0))</f>
        <v>Reparo sob demanda 3/6</v>
      </c>
      <c r="O386" s="104">
        <f t="array" ref="O386">INDEX('MTA 28-09'!AC:AC,MATCH(B386,'MTA 28-09'!A:A,0))</f>
        <v>330000</v>
      </c>
      <c r="P386" s="98" t="str">
        <f t="array" ref="P386">INDEX('MTA 28-09'!N:N,MATCH(B386,'MTA 28-09'!A:A,0))</f>
        <v>CELOG</v>
      </c>
      <c r="Q386" s="105" t="str">
        <f t="array" ref="Q386">INDEX('MTA 28-09'!Z:Z,MATCH(B386,'MTA 28-09'!A:A,0))</f>
        <v>339039</v>
      </c>
      <c r="R386" s="98" t="str">
        <f t="array" ref="R386">INDEX('MTA 28-09'!L:L,MATCH(B386,'MTA 28-09'!A:A,0))</f>
        <v>A</v>
      </c>
      <c r="S386" s="107" t="str">
        <f t="array" ref="S386">INDEX('MTA 28-09'!X:X,MATCH(B386,'MTA 28-09'!A:A,0))</f>
        <v>SOB DEMANDA</v>
      </c>
      <c r="T386" s="107" t="str">
        <f t="array" ref="T386">INDEX('MTA 28-09'!W:W,MATCH(B386,'MTA 28-09'!A:A,0))</f>
        <v>Não</v>
      </c>
      <c r="U386" s="109">
        <f t="array" ref="U386">INDEX('MTA 28-09'!AE:AE,MATCH(B386,'MTA 28-09'!A:A,0))</f>
        <v>46260</v>
      </c>
      <c r="V386" s="29"/>
      <c r="W386" s="29"/>
      <c r="X386" s="29"/>
      <c r="Y386" s="29"/>
      <c r="Z386" s="29"/>
      <c r="AA386" s="29"/>
      <c r="AB386" s="29"/>
      <c r="AC386" s="29"/>
      <c r="AD386" s="29"/>
      <c r="AE386" s="29"/>
      <c r="AF386" s="29"/>
      <c r="AG386" s="29"/>
      <c r="AH386" s="29"/>
      <c r="AI386" s="29"/>
      <c r="AJ386" s="29"/>
      <c r="AK386" s="29"/>
      <c r="AL386" s="29"/>
      <c r="AM386" s="29"/>
    </row>
    <row r="387">
      <c r="A387" s="31" t="s">
        <v>46</v>
      </c>
      <c r="B387" s="32">
        <v>16200.0</v>
      </c>
      <c r="C387" s="33" t="str">
        <f t="array" ref="C387">INDEX('MTA 28-09'!B:B,MATCH(B387,'MTA 28-09'!A:A,0))</f>
        <v>SIM</v>
      </c>
      <c r="D387" s="34">
        <f t="array" ref="D387">INDEX('MTA 28-09'!D:D,MATCH(B387,'MTA 28-09'!A:A,0))</f>
        <v>2048</v>
      </c>
      <c r="E387" s="32" t="str">
        <f t="array" ref="E387">INDEX('MTA 28-09'!F:F,MATCH(B387,'MTA 28-09'!A:A,0))</f>
        <v>ATENDIDO</v>
      </c>
      <c r="F387" s="155">
        <f t="array" ref="F387">INDEX('MTA 28-09'!I:I,MATCH(B387,'MTA 28-09'!A:A,0))</f>
        <v>46121</v>
      </c>
      <c r="G387" s="36" t="str">
        <f t="array" ref="G387">INDEX('MTA 28-09'!J:J,MATCH(B387,'MTA 28-09'!A:A,0))</f>
        <v>C26214</v>
      </c>
      <c r="H387" s="37" t="s">
        <v>1587</v>
      </c>
      <c r="I387" s="38"/>
      <c r="J387" s="39"/>
      <c r="K387" s="40"/>
      <c r="L387" s="39" t="str">
        <f t="array" ref="L387">INDEX('MTA 28-09'!S:S,MATCH(B387,'MTA 28-09'!A:A,0))</f>
        <v>T-27</v>
      </c>
      <c r="M387" s="32" t="str">
        <f t="array" ref="M387">INDEX('MTA 28-09'!T:T,MATCH(B387,'MTA 28-09'!A:A,0))</f>
        <v>CTT 009/CELOG-PAMALS/2025 – Aquisição de Consumíveis</v>
      </c>
      <c r="N387" s="32" t="str">
        <f t="array" ref="N387">INDEX('MTA 28-09'!U:U,MATCH(B387,'MTA 28-09'!A:A,0))</f>
        <v>Sob demanda 3/8</v>
      </c>
      <c r="O387" s="59">
        <f t="array" ref="O387">INDEX('MTA 28-09'!AC:AC,MATCH(B387,'MTA 28-09'!A:A,0))</f>
        <v>1130000</v>
      </c>
      <c r="P387" s="32" t="str">
        <f t="array" ref="P387">INDEX('MTA 28-09'!N:N,MATCH(B387,'MTA 28-09'!A:A,0))</f>
        <v>CELOG</v>
      </c>
      <c r="Q387" s="67" t="str">
        <f t="array" ref="Q387">INDEX('MTA 28-09'!Z:Z,MATCH(B387,'MTA 28-09'!A:A,0))</f>
        <v>339030</v>
      </c>
      <c r="R387" s="32" t="str">
        <f t="array" ref="R387">INDEX('MTA 28-09'!L:L,MATCH(B387,'MTA 28-09'!A:A,0))</f>
        <v>A</v>
      </c>
      <c r="S387" s="72" t="str">
        <f t="array" ref="S387">INDEX('MTA 28-09'!X:X,MATCH(B387,'MTA 28-09'!A:A,0))</f>
        <v>SOB DEMANDA</v>
      </c>
      <c r="T387" s="72" t="str">
        <f t="array" ref="T387">INDEX('MTA 28-09'!W:W,MATCH(B387,'MTA 28-09'!A:A,0))</f>
        <v>Não</v>
      </c>
      <c r="U387" s="81">
        <f t="array" ref="U387">INDEX('MTA 28-09'!AE:AE,MATCH(B387,'MTA 28-09'!A:A,0))</f>
        <v>46291</v>
      </c>
      <c r="V387" s="12"/>
      <c r="W387" s="12"/>
      <c r="X387" s="12"/>
      <c r="Y387" s="12"/>
      <c r="Z387" s="12"/>
      <c r="AA387" s="12"/>
      <c r="AB387" s="12"/>
      <c r="AC387" s="12"/>
      <c r="AD387" s="12"/>
      <c r="AE387" s="12"/>
      <c r="AF387" s="12"/>
      <c r="AG387" s="12"/>
      <c r="AH387" s="12"/>
      <c r="AI387" s="12"/>
      <c r="AJ387" s="12"/>
      <c r="AK387" s="12"/>
      <c r="AL387" s="12"/>
      <c r="AM387" s="12"/>
    </row>
    <row r="388">
      <c r="A388" s="88" t="s">
        <v>39</v>
      </c>
      <c r="B388" s="98">
        <v>16220.0</v>
      </c>
      <c r="C388" s="92" t="str">
        <f t="array" ref="C388">INDEX('MTA 28-09'!B:B,MATCH(B388,'MTA 28-09'!A:A,0))</f>
        <v>SIM</v>
      </c>
      <c r="D388" s="95">
        <f t="array" ref="D388">INDEX('MTA 28-09'!D:D,MATCH(B388,'MTA 28-09'!A:A,0))</f>
        <v>2048</v>
      </c>
      <c r="E388" s="98" t="str">
        <f t="array" ref="E388">INDEX('MTA 28-09'!F:F,MATCH(B388,'MTA 28-09'!A:A,0))</f>
        <v>ATENDIDO</v>
      </c>
      <c r="F388" s="99">
        <f t="array" ref="F388">INDEX('MTA 28-09'!I:I,MATCH(B388,'MTA 28-09'!A:A,0))</f>
        <v>46213</v>
      </c>
      <c r="G388" s="100" t="str">
        <f t="array" ref="G388">INDEX('MTA 28-09'!J:J,MATCH(B388,'MTA 28-09'!A:A,0))</f>
        <v>C26156</v>
      </c>
      <c r="H388" s="101" t="s">
        <v>1451</v>
      </c>
      <c r="I388" s="90"/>
      <c r="J388" s="102"/>
      <c r="K388" s="103"/>
      <c r="L388" s="102" t="str">
        <f t="array" ref="L388">INDEX('MTA 28-09'!S:S,MATCH(B388,'MTA 28-09'!A:A,0))</f>
        <v>A-29</v>
      </c>
      <c r="M388" s="98" t="str">
        <f t="array" ref="M388">INDEX('MTA 28-09'!T:T,MATCH(B388,'MTA 28-09'!A:A,0))</f>
        <v>CTT 102/CELOG-PAMALS/2023 – EMBRAER - PSLI</v>
      </c>
      <c r="N388" s="98" t="str">
        <f t="array" ref="N388">INDEX('MTA 28-09'!U:U,MATCH(B388,'MTA 28-09'!A:A,0))</f>
        <v>Módulo Extra - Sob demanda 3/4</v>
      </c>
      <c r="O388" s="104">
        <f t="array" ref="O388">INDEX('MTA 28-09'!AC:AC,MATCH(B388,'MTA 28-09'!A:A,0))</f>
        <v>154159.32</v>
      </c>
      <c r="P388" s="98" t="str">
        <f t="array" ref="P388">INDEX('MTA 28-09'!N:N,MATCH(B388,'MTA 28-09'!A:A,0))</f>
        <v>CELOG</v>
      </c>
      <c r="Q388" s="105" t="str">
        <f t="array" ref="Q388">INDEX('MTA 28-09'!Z:Z,MATCH(B388,'MTA 28-09'!A:A,0))</f>
        <v>339039</v>
      </c>
      <c r="R388" s="98" t="str">
        <f t="array" ref="R388">INDEX('MTA 28-09'!L:L,MATCH(B388,'MTA 28-09'!A:A,0))</f>
        <v>A</v>
      </c>
      <c r="S388" s="107" t="str">
        <f t="array" ref="S388">INDEX('MTA 28-09'!X:X,MATCH(B388,'MTA 28-09'!A:A,0))</f>
        <v>SOB DEMANDA</v>
      </c>
      <c r="T388" s="107" t="str">
        <f t="array" ref="T388">INDEX('MTA 28-09'!W:W,MATCH(B388,'MTA 28-09'!A:A,0))</f>
        <v>Não</v>
      </c>
      <c r="U388" s="109">
        <f t="array" ref="U388">INDEX('MTA 28-09'!AE:AE,MATCH(B388,'MTA 28-09'!A:A,0))</f>
        <v>46260</v>
      </c>
      <c r="V388" s="29"/>
      <c r="W388" s="29"/>
      <c r="X388" s="29"/>
      <c r="Y388" s="29"/>
      <c r="Z388" s="29"/>
      <c r="AA388" s="29"/>
      <c r="AB388" s="29"/>
      <c r="AC388" s="29"/>
      <c r="AD388" s="29"/>
      <c r="AE388" s="29"/>
      <c r="AF388" s="29"/>
      <c r="AG388" s="29"/>
      <c r="AH388" s="29"/>
      <c r="AI388" s="29"/>
      <c r="AJ388" s="29"/>
      <c r="AK388" s="29"/>
      <c r="AL388" s="29"/>
      <c r="AM388" s="29"/>
    </row>
    <row r="389">
      <c r="A389" s="31" t="s">
        <v>39</v>
      </c>
      <c r="B389" s="38">
        <v>16221.0</v>
      </c>
      <c r="C389" s="33" t="str">
        <f t="array" ref="C389">INDEX('MTA 28-09'!B:B,MATCH(B389,'MTA 28-09'!A:A,0))</f>
        <v>SIM</v>
      </c>
      <c r="D389" s="34">
        <f t="array" ref="D389">INDEX('MTA 28-09'!D:D,MATCH(B389,'MTA 28-09'!A:A,0))</f>
        <v>2048</v>
      </c>
      <c r="E389" s="32" t="str">
        <f t="array" ref="E389">INDEX('MTA 28-09'!F:F,MATCH(B389,'MTA 28-09'!A:A,0))</f>
        <v>ATENDIDO</v>
      </c>
      <c r="F389" s="155">
        <f t="array" ref="F389">INDEX('MTA 28-09'!I:I,MATCH(B389,'MTA 28-09'!A:A,0))</f>
        <v>46213</v>
      </c>
      <c r="G389" s="36" t="str">
        <f t="array" ref="G389">INDEX('MTA 28-09'!J:J,MATCH(B389,'MTA 28-09'!A:A,0))</f>
        <v>C26156</v>
      </c>
      <c r="H389" s="37" t="s">
        <v>1451</v>
      </c>
      <c r="I389" s="38"/>
      <c r="J389" s="39"/>
      <c r="K389" s="40"/>
      <c r="L389" s="39" t="str">
        <f t="array" ref="L389">INDEX('MTA 28-09'!S:S,MATCH(B389,'MTA 28-09'!A:A,0))</f>
        <v>A-29</v>
      </c>
      <c r="M389" s="32" t="str">
        <f t="array" ref="M389">INDEX('MTA 28-09'!T:T,MATCH(B389,'MTA 28-09'!A:A,0))</f>
        <v>CTT 102/CELOG-PAMALS/2023 – EMBRAER - PSLI</v>
      </c>
      <c r="N389" s="32" t="str">
        <f t="array" ref="N389">INDEX('MTA 28-09'!U:U,MATCH(B389,'MTA 28-09'!A:A,0))</f>
        <v>Módulo Extra - Sob demanda 3/4</v>
      </c>
      <c r="O389" s="59">
        <f t="array" ref="O389">INDEX('MTA 28-09'!AC:AC,MATCH(B389,'MTA 28-09'!A:A,0))</f>
        <v>845840.68</v>
      </c>
      <c r="P389" s="32" t="str">
        <f t="array" ref="P389">INDEX('MTA 28-09'!N:N,MATCH(B389,'MTA 28-09'!A:A,0))</f>
        <v>CELOG</v>
      </c>
      <c r="Q389" s="67" t="str">
        <f t="array" ref="Q389">INDEX('MTA 28-09'!Z:Z,MATCH(B389,'MTA 28-09'!A:A,0))</f>
        <v>339039</v>
      </c>
      <c r="R389" s="32" t="str">
        <f t="array" ref="R389">INDEX('MTA 28-09'!L:L,MATCH(B389,'MTA 28-09'!A:A,0))</f>
        <v>A</v>
      </c>
      <c r="S389" s="72" t="str">
        <f t="array" ref="S389">INDEX('MTA 28-09'!X:X,MATCH(B389,'MTA 28-09'!A:A,0))</f>
        <v>SOB DEMANDA</v>
      </c>
      <c r="T389" s="72" t="str">
        <f t="array" ref="T389">INDEX('MTA 28-09'!W:W,MATCH(B389,'MTA 28-09'!A:A,0))</f>
        <v>Não</v>
      </c>
      <c r="U389" s="81">
        <f t="array" ref="U389">INDEX('MTA 28-09'!AE:AE,MATCH(B389,'MTA 28-09'!A:A,0))</f>
        <v>46260</v>
      </c>
      <c r="V389" s="12"/>
      <c r="W389" s="12"/>
      <c r="X389" s="12"/>
      <c r="Y389" s="12"/>
      <c r="Z389" s="12"/>
      <c r="AA389" s="12"/>
      <c r="AB389" s="12"/>
      <c r="AC389" s="12"/>
      <c r="AD389" s="12"/>
      <c r="AE389" s="12"/>
      <c r="AF389" s="12"/>
      <c r="AG389" s="12"/>
      <c r="AH389" s="12"/>
      <c r="AI389" s="12"/>
      <c r="AJ389" s="12"/>
      <c r="AK389" s="12"/>
      <c r="AL389" s="12"/>
      <c r="AM389" s="12"/>
    </row>
    <row r="390">
      <c r="A390" s="88" t="s">
        <v>43</v>
      </c>
      <c r="B390" s="98">
        <v>16240.0</v>
      </c>
      <c r="C390" s="92" t="str">
        <f t="array" ref="C390">INDEX('MTA 28-09'!B:B,MATCH(B390,'MTA 28-09'!A:A,0))</f>
        <v>NÃO</v>
      </c>
      <c r="D390" s="95" t="str">
        <f t="array" ref="D390">INDEX('MTA 28-09'!D:D,MATCH(B390,'MTA 28-09'!A:A,0))</f>
        <v/>
      </c>
      <c r="E390" s="98" t="str">
        <f t="array" ref="E390">INDEX('MTA 28-09'!F:F,MATCH(B390,'MTA 28-09'!A:A,0))</f>
        <v>BLOQUEIO</v>
      </c>
      <c r="F390" s="99" t="str">
        <f t="array" ref="F390">INDEX('MTA 28-09'!I:I,MATCH(B390,'MTA 28-09'!A:A,0))</f>
        <v/>
      </c>
      <c r="G390" s="100" t="str">
        <f t="array" ref="G390">INDEX('MTA 28-09'!J:J,MATCH(B390,'MTA 28-09'!A:A,0))</f>
        <v/>
      </c>
      <c r="H390" s="159" t="s">
        <v>157</v>
      </c>
      <c r="I390" s="296"/>
      <c r="J390" s="102"/>
      <c r="K390" s="103"/>
      <c r="L390" s="102" t="str">
        <f t="array" ref="L390">INDEX('MTA 28-09'!S:S,MATCH(B390,'MTA 28-09'!A:A,0))</f>
        <v>C-95M</v>
      </c>
      <c r="M390" s="98" t="str">
        <f t="array" ref="M390">INDEX('MTA 28-09'!T:T,MATCH(B390,'MTA 28-09'!A:A,0))</f>
        <v>Contrato de reparáveis</v>
      </c>
      <c r="N390" s="98" t="str">
        <f t="array" ref="N390">INDEX('MTA 28-09'!U:U,MATCH(B390,'MTA 28-09'!A:A,0))</f>
        <v>Reparo sob demanda 3/8</v>
      </c>
      <c r="O390" s="104">
        <f t="array" ref="O390">INDEX('MTA 28-09'!AC:AC,MATCH(B390,'MTA 28-09'!A:A,0))</f>
        <v>1000000</v>
      </c>
      <c r="P390" s="98" t="str">
        <f t="array" ref="P390">INDEX('MTA 28-09'!N:N,MATCH(B390,'MTA 28-09'!A:A,0))</f>
        <v>CELOG</v>
      </c>
      <c r="Q390" s="105" t="str">
        <f t="array" ref="Q390">INDEX('MTA 28-09'!Z:Z,MATCH(B390,'MTA 28-09'!A:A,0))</f>
        <v>339039</v>
      </c>
      <c r="R390" s="98" t="str">
        <f t="array" ref="R390">INDEX('MTA 28-09'!L:L,MATCH(B390,'MTA 28-09'!A:A,0))</f>
        <v>B</v>
      </c>
      <c r="S390" s="107" t="str">
        <f t="array" ref="S390">INDEX('MTA 28-09'!X:X,MATCH(B390,'MTA 28-09'!A:A,0))</f>
        <v>SOB DEMANDA</v>
      </c>
      <c r="T390" s="107" t="str">
        <f t="array" ref="T390">INDEX('MTA 28-09'!W:W,MATCH(B390,'MTA 28-09'!A:A,0))</f>
        <v>Não</v>
      </c>
      <c r="U390" s="109">
        <f t="array" ref="U390">INDEX('MTA 28-09'!AE:AE,MATCH(B390,'MTA 28-09'!A:A,0))</f>
        <v>46049</v>
      </c>
      <c r="V390" s="29"/>
      <c r="W390" s="29"/>
      <c r="X390" s="29"/>
      <c r="Y390" s="29"/>
      <c r="Z390" s="29"/>
      <c r="AA390" s="29"/>
      <c r="AB390" s="29"/>
      <c r="AC390" s="29"/>
      <c r="AD390" s="29"/>
      <c r="AE390" s="29"/>
      <c r="AF390" s="29"/>
      <c r="AG390" s="29"/>
      <c r="AH390" s="29"/>
      <c r="AI390" s="29"/>
      <c r="AJ390" s="29"/>
      <c r="AK390" s="29"/>
      <c r="AL390" s="29"/>
      <c r="AM390" s="29"/>
    </row>
    <row r="391">
      <c r="A391" s="31" t="s">
        <v>43</v>
      </c>
      <c r="B391" s="32">
        <v>16260.0</v>
      </c>
      <c r="C391" s="33" t="str">
        <f t="array" ref="C391">INDEX('MTA 28-09'!B:B,MATCH(B391,'MTA 28-09'!A:A,0))</f>
        <v>SIM</v>
      </c>
      <c r="D391" s="34">
        <f t="array" ref="D391">INDEX('MTA 28-09'!D:D,MATCH(B391,'MTA 28-09'!A:A,0))</f>
        <v>2048</v>
      </c>
      <c r="E391" s="32" t="str">
        <f t="array" ref="E391">INDEX('MTA 28-09'!F:F,MATCH(B391,'MTA 28-09'!A:A,0))</f>
        <v>ATENDIDO</v>
      </c>
      <c r="F391" s="155">
        <f t="array" ref="F391">INDEX('MTA 28-09'!I:I,MATCH(B391,'MTA 28-09'!A:A,0))</f>
        <v>46191</v>
      </c>
      <c r="G391" s="36" t="str">
        <f t="array" ref="G391">INDEX('MTA 28-09'!J:J,MATCH(B391,'MTA 28-09'!A:A,0))</f>
        <v>C26309</v>
      </c>
      <c r="H391" s="37" t="s">
        <v>421</v>
      </c>
      <c r="I391" s="38"/>
      <c r="J391" s="39"/>
      <c r="K391" s="40"/>
      <c r="L391" s="39" t="str">
        <f t="array" ref="L391">INDEX('MTA 28-09'!S:S,MATCH(B391,'MTA 28-09'!A:A,0))</f>
        <v>C-95M</v>
      </c>
      <c r="M391" s="32" t="str">
        <f t="array" ref="M391">INDEX('MTA 28-09'!T:T,MATCH(B391,'MTA 28-09'!A:A,0))</f>
        <v>CTT 028/CELOG-PAMALS/2025 – CLS AVIÔNICOS</v>
      </c>
      <c r="N391" s="32" t="str">
        <f t="array" ref="N391">INDEX('MTA 28-09'!U:U,MATCH(B391,'MTA 28-09'!A:A,0))</f>
        <v>Módulo Extra - Sob demanda 3/4</v>
      </c>
      <c r="O391" s="59">
        <f t="array" ref="O391">INDEX('MTA 28-09'!AC:AC,MATCH(B391,'MTA 28-09'!A:A,0))</f>
        <v>525000</v>
      </c>
      <c r="P391" s="32" t="str">
        <f t="array" ref="P391">INDEX('MTA 28-09'!N:N,MATCH(B391,'MTA 28-09'!A:A,0))</f>
        <v>CELOG</v>
      </c>
      <c r="Q391" s="67" t="str">
        <f t="array" ref="Q391">INDEX('MTA 28-09'!Z:Z,MATCH(B391,'MTA 28-09'!A:A,0))</f>
        <v>339030</v>
      </c>
      <c r="R391" s="32" t="str">
        <f t="array" ref="R391">INDEX('MTA 28-09'!L:L,MATCH(B391,'MTA 28-09'!A:A,0))</f>
        <v>A</v>
      </c>
      <c r="S391" s="72" t="str">
        <f t="array" ref="S391">INDEX('MTA 28-09'!X:X,MATCH(B391,'MTA 28-09'!A:A,0))</f>
        <v>SOB DEMANDA</v>
      </c>
      <c r="T391" s="72" t="str">
        <f t="array" ref="T391">INDEX('MTA 28-09'!W:W,MATCH(B391,'MTA 28-09'!A:A,0))</f>
        <v>Não</v>
      </c>
      <c r="U391" s="81">
        <f t="array" ref="U391">INDEX('MTA 28-09'!AE:AE,MATCH(B391,'MTA 28-09'!A:A,0))</f>
        <v>46260</v>
      </c>
      <c r="V391" s="12"/>
      <c r="W391" s="12"/>
      <c r="X391" s="12"/>
      <c r="Y391" s="12"/>
      <c r="Z391" s="12"/>
      <c r="AA391" s="12"/>
      <c r="AB391" s="12"/>
      <c r="AC391" s="12"/>
      <c r="AD391" s="12"/>
      <c r="AE391" s="12"/>
      <c r="AF391" s="12"/>
      <c r="AG391" s="12"/>
      <c r="AH391" s="12"/>
      <c r="AI391" s="12"/>
      <c r="AJ391" s="12"/>
      <c r="AK391" s="12"/>
      <c r="AL391" s="12"/>
      <c r="AM391" s="12"/>
    </row>
    <row r="392">
      <c r="A392" s="88" t="s">
        <v>43</v>
      </c>
      <c r="B392" s="98">
        <v>16280.0</v>
      </c>
      <c r="C392" s="92" t="str">
        <f t="array" ref="C392">INDEX('MTA 28-09'!B:B,MATCH(B392,'MTA 28-09'!A:A,0))</f>
        <v>SIM</v>
      </c>
      <c r="D392" s="95">
        <f t="array" ref="D392">INDEX('MTA 28-09'!D:D,MATCH(B392,'MTA 28-09'!A:A,0))</f>
        <v>2048</v>
      </c>
      <c r="E392" s="98" t="str">
        <f t="array" ref="E392">INDEX('MTA 28-09'!F:F,MATCH(B392,'MTA 28-09'!A:A,0))</f>
        <v>ATENDIDO</v>
      </c>
      <c r="F392" s="99">
        <f t="array" ref="F392">INDEX('MTA 28-09'!I:I,MATCH(B392,'MTA 28-09'!A:A,0))</f>
        <v>46121</v>
      </c>
      <c r="G392" s="100" t="str">
        <f t="array" ref="G392">INDEX('MTA 28-09'!J:J,MATCH(B392,'MTA 28-09'!A:A,0))</f>
        <v>C26204</v>
      </c>
      <c r="H392" s="101" t="s">
        <v>1582</v>
      </c>
      <c r="I392" s="90"/>
      <c r="J392" s="102"/>
      <c r="K392" s="103"/>
      <c r="L392" s="102" t="str">
        <f t="array" ref="L392">INDEX('MTA 28-09'!S:S,MATCH(B392,'MTA 28-09'!A:A,0))</f>
        <v>C-95M</v>
      </c>
      <c r="M392" s="98" t="str">
        <f t="array" ref="M392">INDEX('MTA 28-09'!T:T,MATCH(B392,'MTA 28-09'!A:A,0))</f>
        <v>CTT 049/CELOG-PAMALS/2024 – Aquisição de Consumíveis</v>
      </c>
      <c r="N392" s="98" t="str">
        <f t="array" ref="N392">INDEX('MTA 28-09'!U:U,MATCH(B392,'MTA 28-09'!A:A,0))</f>
        <v>Sob demanda 3/6</v>
      </c>
      <c r="O392" s="104">
        <f t="array" ref="O392">INDEX('MTA 28-09'!AC:AC,MATCH(B392,'MTA 28-09'!A:A,0))</f>
        <v>1360000</v>
      </c>
      <c r="P392" s="98" t="str">
        <f t="array" ref="P392">INDEX('MTA 28-09'!N:N,MATCH(B392,'MTA 28-09'!A:A,0))</f>
        <v>CELOG</v>
      </c>
      <c r="Q392" s="105" t="str">
        <f t="array" ref="Q392">INDEX('MTA 28-09'!Z:Z,MATCH(B392,'MTA 28-09'!A:A,0))</f>
        <v>339030</v>
      </c>
      <c r="R392" s="98" t="str">
        <f t="array" ref="R392">INDEX('MTA 28-09'!L:L,MATCH(B392,'MTA 28-09'!A:A,0))</f>
        <v>A</v>
      </c>
      <c r="S392" s="107" t="str">
        <f t="array" ref="S392">INDEX('MTA 28-09'!X:X,MATCH(B392,'MTA 28-09'!A:A,0))</f>
        <v>SOB DEMANDA</v>
      </c>
      <c r="T392" s="107" t="str">
        <f t="array" ref="T392">INDEX('MTA 28-09'!W:W,MATCH(B392,'MTA 28-09'!A:A,0))</f>
        <v>Não</v>
      </c>
      <c r="U392" s="109">
        <f t="array" ref="U392">INDEX('MTA 28-09'!AE:AE,MATCH(B392,'MTA 28-09'!A:A,0))</f>
        <v>46291</v>
      </c>
      <c r="V392" s="29"/>
      <c r="W392" s="29"/>
      <c r="X392" s="29"/>
      <c r="Y392" s="29"/>
      <c r="Z392" s="29"/>
      <c r="AA392" s="29"/>
      <c r="AB392" s="29"/>
      <c r="AC392" s="29"/>
      <c r="AD392" s="29"/>
      <c r="AE392" s="29"/>
      <c r="AF392" s="29"/>
      <c r="AG392" s="29"/>
      <c r="AH392" s="29"/>
      <c r="AI392" s="29"/>
      <c r="AJ392" s="29"/>
      <c r="AK392" s="29"/>
      <c r="AL392" s="29"/>
      <c r="AM392" s="29"/>
    </row>
    <row r="393">
      <c r="A393" s="31" t="s">
        <v>104</v>
      </c>
      <c r="B393" s="32">
        <v>16300.0</v>
      </c>
      <c r="C393" s="33" t="str">
        <f t="array" ref="C393">INDEX('MTA 28-09'!B:B,MATCH(B393,'MTA 28-09'!A:A,0))</f>
        <v>NÃO</v>
      </c>
      <c r="D393" s="34" t="str">
        <f t="array" ref="D393">INDEX('MTA 28-09'!D:D,MATCH(B393,'MTA 28-09'!A:A,0))</f>
        <v/>
      </c>
      <c r="E393" s="32" t="str">
        <f t="array" ref="E393">INDEX('MTA 28-09'!F:F,MATCH(B393,'MTA 28-09'!A:A,0))</f>
        <v/>
      </c>
      <c r="F393" s="155" t="str">
        <f t="array" ref="F393">INDEX('MTA 28-09'!I:I,MATCH(B393,'MTA 28-09'!A:A,0))</f>
        <v/>
      </c>
      <c r="G393" s="36" t="str">
        <f t="array" ref="G393">INDEX('MTA 28-09'!J:J,MATCH(B393,'MTA 28-09'!A:A,0))</f>
        <v/>
      </c>
      <c r="H393" s="287" t="s">
        <v>157</v>
      </c>
      <c r="I393" s="295"/>
      <c r="J393" s="39"/>
      <c r="K393" s="40"/>
      <c r="L393" s="39" t="str">
        <f t="array" ref="L393">INDEX('MTA 28-09'!S:S,MATCH(B393,'MTA 28-09'!A:A,0))</f>
        <v>APOIO</v>
      </c>
      <c r="M393" s="32" t="str">
        <f t="array" ref="M393">INDEX('MTA 28-09'!T:T,MATCH(B393,'MTA 28-09'!A:A,0))</f>
        <v>CTT XXXX/PAMALS-CELOG/2026</v>
      </c>
      <c r="N393" s="32" t="str">
        <f t="array" ref="N393">INDEX('MTA 28-09'!U:U,MATCH(B393,'MTA 28-09'!A:A,0))</f>
        <v>SERVIÇO/REPARO DE RECAUCHUTAGEM DE PNEUS DE AVIAÇÃO 2/4</v>
      </c>
      <c r="O393" s="59">
        <f t="array" ref="O393">INDEX('MTA 28-09'!AC:AC,MATCH(B393,'MTA 28-09'!A:A,0))</f>
        <v>216000</v>
      </c>
      <c r="P393" s="32" t="str">
        <f t="array" ref="P393">INDEX('MTA 28-09'!N:N,MATCH(B393,'MTA 28-09'!A:A,0))</f>
        <v>CELOG</v>
      </c>
      <c r="Q393" s="67" t="str">
        <f t="array" ref="Q393">INDEX('MTA 28-09'!Z:Z,MATCH(B393,'MTA 28-09'!A:A,0))</f>
        <v>339039</v>
      </c>
      <c r="R393" s="32" t="str">
        <f t="array" ref="R393">INDEX('MTA 28-09'!L:L,MATCH(B393,'MTA 28-09'!A:A,0))</f>
        <v>C</v>
      </c>
      <c r="S393" s="72" t="str">
        <f t="array" ref="S393">INDEX('MTA 28-09'!X:X,MATCH(B393,'MTA 28-09'!A:A,0))</f>
        <v>SOB DEMANDA</v>
      </c>
      <c r="T393" s="72" t="str">
        <f t="array" ref="T393">INDEX('MTA 28-09'!W:W,MATCH(B393,'MTA 28-09'!A:A,0))</f>
        <v>NÃO</v>
      </c>
      <c r="U393" s="81">
        <f t="array" ref="U393">INDEX('MTA 28-09'!AE:AE,MATCH(B393,'MTA 28-09'!A:A,0))</f>
        <v>46291</v>
      </c>
      <c r="V393" s="12"/>
      <c r="W393" s="12"/>
      <c r="X393" s="12"/>
      <c r="Y393" s="12"/>
      <c r="Z393" s="12"/>
      <c r="AA393" s="12"/>
      <c r="AB393" s="12"/>
      <c r="AC393" s="12"/>
      <c r="AD393" s="12"/>
      <c r="AE393" s="12"/>
      <c r="AF393" s="12"/>
      <c r="AG393" s="12"/>
      <c r="AH393" s="12"/>
      <c r="AI393" s="12"/>
      <c r="AJ393" s="12"/>
      <c r="AK393" s="12"/>
      <c r="AL393" s="12"/>
      <c r="AM393" s="12"/>
    </row>
    <row r="394">
      <c r="A394" s="88" t="s">
        <v>99</v>
      </c>
      <c r="B394" s="98">
        <v>16320.0</v>
      </c>
      <c r="C394" s="92" t="str">
        <f t="array" ref="C394">INDEX('MTA 28-09'!B:B,MATCH(B394,'MTA 28-09'!A:A,0))</f>
        <v>SIM</v>
      </c>
      <c r="D394" s="95">
        <f t="array" ref="D394">INDEX('MTA 28-09'!D:D,MATCH(B394,'MTA 28-09'!A:A,0))</f>
        <v>2048</v>
      </c>
      <c r="E394" s="98" t="str">
        <f t="array" ref="E394">INDEX('MTA 28-09'!F:F,MATCH(B394,'MTA 28-09'!A:A,0))</f>
        <v/>
      </c>
      <c r="F394" s="152" t="str">
        <f t="array" ref="F394">INDEX('MTA 28-09'!I:I,MATCH(B394,'MTA 28-09'!A:A,0))</f>
        <v/>
      </c>
      <c r="G394" s="100" t="str">
        <f t="array" ref="G394">INDEX('MTA 28-09'!J:J,MATCH(B394,'MTA 28-09'!A:A,0))</f>
        <v/>
      </c>
      <c r="H394" s="159" t="s">
        <v>157</v>
      </c>
      <c r="I394" s="90" t="s">
        <v>1588</v>
      </c>
      <c r="J394" s="102"/>
      <c r="K394" s="103"/>
      <c r="L394" s="102" t="str">
        <f t="array" ref="L394">INDEX('MTA 28-09'!S:S,MATCH(B394,'MTA 28-09'!A:A,0))</f>
        <v>APOIO</v>
      </c>
      <c r="M394" s="98" t="str">
        <f t="array" ref="M394">INDEX('MTA 28-09'!T:T,MATCH(B394,'MTA 28-09'!A:A,0))</f>
        <v>CNT XXX/GAPLS/2026 - Serviço de readequação da ETE do PAMALS para instalação de abrigo de resíduos sólidos</v>
      </c>
      <c r="N394" s="98" t="str">
        <f t="array" ref="N394">INDEX('MTA 28-09'!U:U,MATCH(B394,'MTA 28-09'!A:A,0))</f>
        <v>INFRAESTRUTURA - Serviço de readequação da ETE do PAMALS para instalação de abrigo de resíduos sólidos 2/2</v>
      </c>
      <c r="O394" s="104">
        <f t="array" ref="O394">INDEX('MTA 28-09'!AC:AC,MATCH(B394,'MTA 28-09'!A:A,0))</f>
        <v>29598.71</v>
      </c>
      <c r="P394" s="98" t="str">
        <f t="array" ref="P394">INDEX('MTA 28-09'!N:N,MATCH(B394,'MTA 28-09'!A:A,0))</f>
        <v>GAP-LS</v>
      </c>
      <c r="Q394" s="105" t="str">
        <f t="array" ref="Q394">INDEX('MTA 28-09'!Z:Z,MATCH(B394,'MTA 28-09'!A:A,0))</f>
        <v>339039</v>
      </c>
      <c r="R394" s="98" t="str">
        <f t="array" ref="R394">INDEX('MTA 28-09'!L:L,MATCH(B394,'MTA 28-09'!A:A,0))</f>
        <v>A</v>
      </c>
      <c r="S394" s="107" t="str">
        <f t="array" ref="S394">INDEX('MTA 28-09'!X:X,MATCH(B394,'MTA 28-09'!A:A,0))</f>
        <v>SOB DEMANDA</v>
      </c>
      <c r="T394" s="107" t="str">
        <f t="array" ref="T394">INDEX('MTA 28-09'!W:W,MATCH(B394,'MTA 28-09'!A:A,0))</f>
        <v>NÃO</v>
      </c>
      <c r="U394" s="109">
        <f t="array" ref="U394">INDEX('MTA 28-09'!AE:AE,MATCH(B394,'MTA 28-09'!A:A,0))</f>
        <v>46291</v>
      </c>
      <c r="V394" s="29"/>
      <c r="W394" s="29"/>
      <c r="X394" s="29"/>
      <c r="Y394" s="29"/>
      <c r="Z394" s="29"/>
      <c r="AA394" s="29"/>
      <c r="AB394" s="29"/>
      <c r="AC394" s="29"/>
      <c r="AD394" s="29"/>
      <c r="AE394" s="29"/>
      <c r="AF394" s="29"/>
      <c r="AG394" s="29"/>
      <c r="AH394" s="29"/>
      <c r="AI394" s="29"/>
      <c r="AJ394" s="29"/>
      <c r="AK394" s="29"/>
      <c r="AL394" s="29"/>
      <c r="AM394" s="29"/>
    </row>
    <row r="395">
      <c r="A395" s="31" t="s">
        <v>1573</v>
      </c>
      <c r="B395" s="32">
        <v>16340.0</v>
      </c>
      <c r="C395" s="33" t="str">
        <f t="array" ref="C395">INDEX('MTA 28-09'!B:B,MATCH(B395,'MTA 28-09'!A:A,0))</f>
        <v>NÃO</v>
      </c>
      <c r="D395" s="34" t="str">
        <f t="array" ref="D395">INDEX('MTA 28-09'!D:D,MATCH(B395,'MTA 28-09'!A:A,0))</f>
        <v/>
      </c>
      <c r="E395" s="32" t="str">
        <f t="array" ref="E395">INDEX('MTA 28-09'!F:F,MATCH(B395,'MTA 28-09'!A:A,0))</f>
        <v/>
      </c>
      <c r="F395" s="155" t="str">
        <f t="array" ref="F395">INDEX('MTA 28-09'!I:I,MATCH(B395,'MTA 28-09'!A:A,0))</f>
        <v/>
      </c>
      <c r="G395" s="36" t="str">
        <f t="array" ref="G395">INDEX('MTA 28-09'!J:J,MATCH(B395,'MTA 28-09'!A:A,0))</f>
        <v/>
      </c>
      <c r="H395" s="287" t="s">
        <v>157</v>
      </c>
      <c r="I395" s="295"/>
      <c r="J395" s="39"/>
      <c r="K395" s="40"/>
      <c r="L395" s="39" t="str">
        <f t="array" ref="L395">INDEX('MTA 28-09'!S:S,MATCH(B395,'MTA 28-09'!A:A,0))</f>
        <v>APOIO</v>
      </c>
      <c r="M395" s="32" t="str">
        <f t="array" ref="M395">INDEX('MTA 28-09'!T:T,MATCH(B395,'MTA 28-09'!A:A,0))</f>
        <v>CTT XXX/CELOG-PAMALS/2026 – Aquisição de Consumíveis</v>
      </c>
      <c r="N395" s="32" t="str">
        <f t="array" ref="N395">INDEX('MTA 28-09'!U:U,MATCH(B395,'MTA 28-09'!A:A,0))</f>
        <v>Aquisição de consumíveis 3/4</v>
      </c>
      <c r="O395" s="59">
        <f t="array" ref="O395">INDEX('MTA 28-09'!AC:AC,MATCH(B395,'MTA 28-09'!A:A,0))</f>
        <v>378000</v>
      </c>
      <c r="P395" s="32" t="str">
        <f t="array" ref="P395">INDEX('MTA 28-09'!N:N,MATCH(B395,'MTA 28-09'!A:A,0))</f>
        <v>CELOG</v>
      </c>
      <c r="Q395" s="67" t="str">
        <f t="array" ref="Q395">INDEX('MTA 28-09'!Z:Z,MATCH(B395,'MTA 28-09'!A:A,0))</f>
        <v>339030</v>
      </c>
      <c r="R395" s="32" t="str">
        <f t="array" ref="R395">INDEX('MTA 28-09'!L:L,MATCH(B395,'MTA 28-09'!A:A,0))</f>
        <v>C</v>
      </c>
      <c r="S395" s="72" t="str">
        <f t="array" ref="S395">INDEX('MTA 28-09'!X:X,MATCH(B395,'MTA 28-09'!A:A,0))</f>
        <v>SOB DEMANDA</v>
      </c>
      <c r="T395" s="72" t="str">
        <f t="array" ref="T395">INDEX('MTA 28-09'!W:W,MATCH(B395,'MTA 28-09'!A:A,0))</f>
        <v>NÃO</v>
      </c>
      <c r="U395" s="81">
        <f t="array" ref="U395">INDEX('MTA 28-09'!AE:AE,MATCH(B395,'MTA 28-09'!A:A,0))</f>
        <v>46291</v>
      </c>
      <c r="V395" s="12"/>
      <c r="W395" s="12"/>
      <c r="X395" s="12"/>
      <c r="Y395" s="12"/>
      <c r="Z395" s="12"/>
      <c r="AA395" s="12"/>
      <c r="AB395" s="12"/>
      <c r="AC395" s="12"/>
      <c r="AD395" s="12"/>
      <c r="AE395" s="12"/>
      <c r="AF395" s="12"/>
      <c r="AG395" s="12"/>
      <c r="AH395" s="12"/>
      <c r="AI395" s="12"/>
      <c r="AJ395" s="12"/>
      <c r="AK395" s="12"/>
      <c r="AL395" s="12"/>
      <c r="AM395" s="12"/>
    </row>
    <row r="396">
      <c r="A396" s="88" t="s">
        <v>1574</v>
      </c>
      <c r="B396" s="98">
        <v>16360.0</v>
      </c>
      <c r="C396" s="92" t="str">
        <f t="array" ref="C396">INDEX('MTA 28-09'!B:B,MATCH(B396,'MTA 28-09'!A:A,0))</f>
        <v>NÃO</v>
      </c>
      <c r="D396" s="95" t="str">
        <f t="array" ref="D396">INDEX('MTA 28-09'!D:D,MATCH(B396,'MTA 28-09'!A:A,0))</f>
        <v/>
      </c>
      <c r="E396" s="98" t="str">
        <f t="array" ref="E396">INDEX('MTA 28-09'!F:F,MATCH(B396,'MTA 28-09'!A:A,0))</f>
        <v/>
      </c>
      <c r="F396" s="152" t="str">
        <f t="array" ref="F396">INDEX('MTA 28-09'!I:I,MATCH(B396,'MTA 28-09'!A:A,0))</f>
        <v/>
      </c>
      <c r="G396" s="100" t="str">
        <f t="array" ref="G396">INDEX('MTA 28-09'!J:J,MATCH(B396,'MTA 28-09'!A:A,0))</f>
        <v/>
      </c>
      <c r="H396" s="159" t="s">
        <v>157</v>
      </c>
      <c r="I396" s="296"/>
      <c r="J396" s="102"/>
      <c r="K396" s="103"/>
      <c r="L396" s="102" t="str">
        <f t="array" ref="L396">INDEX('MTA 28-09'!S:S,MATCH(B396,'MTA 28-09'!A:A,0))</f>
        <v>APOIO</v>
      </c>
      <c r="M396" s="98" t="str">
        <f t="array" ref="M396">INDEX('MTA 28-09'!T:T,MATCH(B396,'MTA 28-09'!A:A,0))</f>
        <v>CTT XXX/CELOG-PAMALS/2026 – Aquisição de Consumíveis</v>
      </c>
      <c r="N396" s="98" t="str">
        <f t="array" ref="N396">INDEX('MTA 28-09'!U:U,MATCH(B396,'MTA 28-09'!A:A,0))</f>
        <v>Aquisição de consumíveis 3/4</v>
      </c>
      <c r="O396" s="104">
        <f t="array" ref="O396">INDEX('MTA 28-09'!AC:AC,MATCH(B396,'MTA 28-09'!A:A,0))</f>
        <v>135000</v>
      </c>
      <c r="P396" s="98" t="str">
        <f t="array" ref="P396">INDEX('MTA 28-09'!N:N,MATCH(B396,'MTA 28-09'!A:A,0))</f>
        <v>CELOG</v>
      </c>
      <c r="Q396" s="105" t="str">
        <f t="array" ref="Q396">INDEX('MTA 28-09'!Z:Z,MATCH(B396,'MTA 28-09'!A:A,0))</f>
        <v>339030</v>
      </c>
      <c r="R396" s="98" t="str">
        <f t="array" ref="R396">INDEX('MTA 28-09'!L:L,MATCH(B396,'MTA 28-09'!A:A,0))</f>
        <v>C</v>
      </c>
      <c r="S396" s="107" t="str">
        <f t="array" ref="S396">INDEX('MTA 28-09'!X:X,MATCH(B396,'MTA 28-09'!A:A,0))</f>
        <v>SOB DEMANDA</v>
      </c>
      <c r="T396" s="107" t="str">
        <f t="array" ref="T396">INDEX('MTA 28-09'!W:W,MATCH(B396,'MTA 28-09'!A:A,0))</f>
        <v>NÃO</v>
      </c>
      <c r="U396" s="109">
        <f t="array" ref="U396">INDEX('MTA 28-09'!AE:AE,MATCH(B396,'MTA 28-09'!A:A,0))</f>
        <v>46291</v>
      </c>
      <c r="V396" s="29"/>
      <c r="W396" s="29"/>
      <c r="X396" s="29"/>
      <c r="Y396" s="29"/>
      <c r="Z396" s="29"/>
      <c r="AA396" s="29"/>
      <c r="AB396" s="29"/>
      <c r="AC396" s="29"/>
      <c r="AD396" s="29"/>
      <c r="AE396" s="29"/>
      <c r="AF396" s="29"/>
      <c r="AG396" s="29"/>
      <c r="AH396" s="29"/>
      <c r="AI396" s="29"/>
      <c r="AJ396" s="29"/>
      <c r="AK396" s="29"/>
      <c r="AL396" s="29"/>
      <c r="AM396" s="29"/>
    </row>
    <row r="397">
      <c r="A397" s="31" t="s">
        <v>1575</v>
      </c>
      <c r="B397" s="32">
        <v>16380.0</v>
      </c>
      <c r="C397" s="33" t="str">
        <f t="array" ref="C397">INDEX('MTA 28-09'!B:B,MATCH(B397,'MTA 28-09'!A:A,0))</f>
        <v>NÃO</v>
      </c>
      <c r="D397" s="34" t="str">
        <f t="array" ref="D397">INDEX('MTA 28-09'!D:D,MATCH(B397,'MTA 28-09'!A:A,0))</f>
        <v/>
      </c>
      <c r="E397" s="32" t="str">
        <f t="array" ref="E397">INDEX('MTA 28-09'!F:F,MATCH(B397,'MTA 28-09'!A:A,0))</f>
        <v/>
      </c>
      <c r="F397" s="155" t="str">
        <f t="array" ref="F397">INDEX('MTA 28-09'!I:I,MATCH(B397,'MTA 28-09'!A:A,0))</f>
        <v/>
      </c>
      <c r="G397" s="36" t="str">
        <f t="array" ref="G397">INDEX('MTA 28-09'!J:J,MATCH(B397,'MTA 28-09'!A:A,0))</f>
        <v/>
      </c>
      <c r="H397" s="287" t="s">
        <v>157</v>
      </c>
      <c r="I397" s="295"/>
      <c r="J397" s="39"/>
      <c r="K397" s="40"/>
      <c r="L397" s="39" t="str">
        <f t="array" ref="L397">INDEX('MTA 28-09'!S:S,MATCH(B397,'MTA 28-09'!A:A,0))</f>
        <v>APOIO</v>
      </c>
      <c r="M397" s="32" t="str">
        <f t="array" ref="M397">INDEX('MTA 28-09'!T:T,MATCH(B397,'MTA 28-09'!A:A,0))</f>
        <v>CTT XXX/CELOG-PAMALS/2026 – Aquisição de Consumíveis</v>
      </c>
      <c r="N397" s="32" t="str">
        <f t="array" ref="N397">INDEX('MTA 28-09'!U:U,MATCH(B397,'MTA 28-09'!A:A,0))</f>
        <v>Aquisição de consumíveis 3/4</v>
      </c>
      <c r="O397" s="59">
        <f t="array" ref="O397">INDEX('MTA 28-09'!AC:AC,MATCH(B397,'MTA 28-09'!A:A,0))</f>
        <v>621000</v>
      </c>
      <c r="P397" s="32" t="str">
        <f t="array" ref="P397">INDEX('MTA 28-09'!N:N,MATCH(B397,'MTA 28-09'!A:A,0))</f>
        <v>CELOG</v>
      </c>
      <c r="Q397" s="67" t="str">
        <f t="array" ref="Q397">INDEX('MTA 28-09'!Z:Z,MATCH(B397,'MTA 28-09'!A:A,0))</f>
        <v>339030</v>
      </c>
      <c r="R397" s="32" t="str">
        <f t="array" ref="R397">INDEX('MTA 28-09'!L:L,MATCH(B397,'MTA 28-09'!A:A,0))</f>
        <v>C</v>
      </c>
      <c r="S397" s="72" t="str">
        <f t="array" ref="S397">INDEX('MTA 28-09'!X:X,MATCH(B397,'MTA 28-09'!A:A,0))</f>
        <v>SOB DEMANDA</v>
      </c>
      <c r="T397" s="72" t="str">
        <f t="array" ref="T397">INDEX('MTA 28-09'!W:W,MATCH(B397,'MTA 28-09'!A:A,0))</f>
        <v>NÃO</v>
      </c>
      <c r="U397" s="81">
        <f t="array" ref="U397">INDEX('MTA 28-09'!AE:AE,MATCH(B397,'MTA 28-09'!A:A,0))</f>
        <v>46291</v>
      </c>
      <c r="V397" s="12"/>
      <c r="W397" s="12"/>
      <c r="X397" s="12"/>
      <c r="Y397" s="12"/>
      <c r="Z397" s="12"/>
      <c r="AA397" s="12"/>
      <c r="AB397" s="12"/>
      <c r="AC397" s="12"/>
      <c r="AD397" s="12"/>
      <c r="AE397" s="12"/>
      <c r="AF397" s="12"/>
      <c r="AG397" s="12"/>
      <c r="AH397" s="12"/>
      <c r="AI397" s="12"/>
      <c r="AJ397" s="12"/>
      <c r="AK397" s="12"/>
      <c r="AL397" s="12"/>
      <c r="AM397" s="12"/>
    </row>
    <row r="398">
      <c r="A398" s="88" t="s">
        <v>1572</v>
      </c>
      <c r="B398" s="98">
        <v>16400.0</v>
      </c>
      <c r="C398" s="92" t="str">
        <f t="array" ref="C398">INDEX('MTA 28-09'!B:B,MATCH(B398,'MTA 28-09'!A:A,0))</f>
        <v>NÃO</v>
      </c>
      <c r="D398" s="95" t="str">
        <f t="array" ref="D398">INDEX('MTA 28-09'!D:D,MATCH(B398,'MTA 28-09'!A:A,0))</f>
        <v/>
      </c>
      <c r="E398" s="98" t="str">
        <f t="array" ref="E398">INDEX('MTA 28-09'!F:F,MATCH(B398,'MTA 28-09'!A:A,0))</f>
        <v/>
      </c>
      <c r="F398" s="152" t="str">
        <f t="array" ref="F398">INDEX('MTA 28-09'!I:I,MATCH(B398,'MTA 28-09'!A:A,0))</f>
        <v/>
      </c>
      <c r="G398" s="100" t="str">
        <f t="array" ref="G398">INDEX('MTA 28-09'!J:J,MATCH(B398,'MTA 28-09'!A:A,0))</f>
        <v/>
      </c>
      <c r="H398" s="159" t="s">
        <v>157</v>
      </c>
      <c r="I398" s="296"/>
      <c r="J398" s="102"/>
      <c r="K398" s="103"/>
      <c r="L398" s="102" t="str">
        <f t="array" ref="L398">INDEX('MTA 28-09'!S:S,MATCH(B398,'MTA 28-09'!A:A,0))</f>
        <v>APOIO</v>
      </c>
      <c r="M398" s="98" t="str">
        <f t="array" ref="M398">INDEX('MTA 28-09'!T:T,MATCH(B398,'MTA 28-09'!A:A,0))</f>
        <v>CTT XXX/CELOG-PAMALS/2026 – Aquisição de Consumíveis</v>
      </c>
      <c r="N398" s="98" t="str">
        <f t="array" ref="N398">INDEX('MTA 28-09'!U:U,MATCH(B398,'MTA 28-09'!A:A,0))</f>
        <v>Aquisição de consumíveis 3/4</v>
      </c>
      <c r="O398" s="104">
        <f t="array" ref="O398">INDEX('MTA 28-09'!AC:AC,MATCH(B398,'MTA 28-09'!A:A,0))</f>
        <v>430000</v>
      </c>
      <c r="P398" s="98" t="str">
        <f t="array" ref="P398">INDEX('MTA 28-09'!N:N,MATCH(B398,'MTA 28-09'!A:A,0))</f>
        <v>CELOG</v>
      </c>
      <c r="Q398" s="105" t="str">
        <f t="array" ref="Q398">INDEX('MTA 28-09'!Z:Z,MATCH(B398,'MTA 28-09'!A:A,0))</f>
        <v>339030</v>
      </c>
      <c r="R398" s="98" t="str">
        <f t="array" ref="R398">INDEX('MTA 28-09'!L:L,MATCH(B398,'MTA 28-09'!A:A,0))</f>
        <v>C</v>
      </c>
      <c r="S398" s="107" t="str">
        <f t="array" ref="S398">INDEX('MTA 28-09'!X:X,MATCH(B398,'MTA 28-09'!A:A,0))</f>
        <v>SOB DEMANDA</v>
      </c>
      <c r="T398" s="107" t="str">
        <f t="array" ref="T398">INDEX('MTA 28-09'!W:W,MATCH(B398,'MTA 28-09'!A:A,0))</f>
        <v>NÃO</v>
      </c>
      <c r="U398" s="109">
        <f t="array" ref="U398">INDEX('MTA 28-09'!AE:AE,MATCH(B398,'MTA 28-09'!A:A,0))</f>
        <v>46291</v>
      </c>
      <c r="V398" s="29"/>
      <c r="W398" s="29"/>
      <c r="X398" s="29"/>
      <c r="Y398" s="29"/>
      <c r="Z398" s="29"/>
      <c r="AA398" s="29"/>
      <c r="AB398" s="29"/>
      <c r="AC398" s="29"/>
      <c r="AD398" s="29"/>
      <c r="AE398" s="29"/>
      <c r="AF398" s="29"/>
      <c r="AG398" s="29"/>
      <c r="AH398" s="29"/>
      <c r="AI398" s="29"/>
      <c r="AJ398" s="29"/>
      <c r="AK398" s="29"/>
      <c r="AL398" s="29"/>
      <c r="AM398" s="29"/>
    </row>
    <row r="399">
      <c r="A399" s="31" t="s">
        <v>1572</v>
      </c>
      <c r="B399" s="32">
        <v>16420.0</v>
      </c>
      <c r="C399" s="33" t="str">
        <f t="array" ref="C399">INDEX('MTA 28-09'!B:B,MATCH(B399,'MTA 28-09'!A:A,0))</f>
        <v>NÃO</v>
      </c>
      <c r="D399" s="34" t="str">
        <f t="array" ref="D399">INDEX('MTA 28-09'!D:D,MATCH(B399,'MTA 28-09'!A:A,0))</f>
        <v/>
      </c>
      <c r="E399" s="32" t="str">
        <f t="array" ref="E399">INDEX('MTA 28-09'!F:F,MATCH(B399,'MTA 28-09'!A:A,0))</f>
        <v/>
      </c>
      <c r="F399" s="384" t="str">
        <f t="array" ref="F399">INDEX('MTA 28-09'!I:I,MATCH(B399,'MTA 28-09'!A:A,0))</f>
        <v/>
      </c>
      <c r="G399" s="36" t="str">
        <f t="array" ref="G399">INDEX('MTA 28-09'!J:J,MATCH(B399,'MTA 28-09'!A:A,0))</f>
        <v/>
      </c>
      <c r="H399" s="287" t="s">
        <v>157</v>
      </c>
      <c r="I399" s="295"/>
      <c r="J399" s="39"/>
      <c r="K399" s="40"/>
      <c r="L399" s="39" t="str">
        <f t="array" ref="L399">INDEX('MTA 28-09'!S:S,MATCH(B399,'MTA 28-09'!A:A,0))</f>
        <v>APOIO</v>
      </c>
      <c r="M399" s="32" t="str">
        <f t="array" ref="M399">INDEX('MTA 28-09'!T:T,MATCH(B399,'MTA 28-09'!A:A,0))</f>
        <v>CTT XXX/GAPLS-PAMALS/2026 – Gestão de Frota</v>
      </c>
      <c r="N399" s="32" t="str">
        <f t="array" ref="N399">INDEX('MTA 28-09'!U:U,MATCH(B399,'MTA 28-09'!A:A,0))</f>
        <v>Serviço de Reparo 3/4</v>
      </c>
      <c r="O399" s="59">
        <f t="array" ref="O399">INDEX('MTA 28-09'!AC:AC,MATCH(B399,'MTA 28-09'!A:A,0))</f>
        <v>70000</v>
      </c>
      <c r="P399" s="32" t="str">
        <f t="array" ref="P399">INDEX('MTA 28-09'!N:N,MATCH(B399,'MTA 28-09'!A:A,0))</f>
        <v>GAP-LS</v>
      </c>
      <c r="Q399" s="67" t="str">
        <f t="array" ref="Q399">INDEX('MTA 28-09'!Z:Z,MATCH(B399,'MTA 28-09'!A:A,0))</f>
        <v>339039</v>
      </c>
      <c r="R399" s="32" t="str">
        <f t="array" ref="R399">INDEX('MTA 28-09'!L:L,MATCH(B399,'MTA 28-09'!A:A,0))</f>
        <v>C</v>
      </c>
      <c r="S399" s="72" t="str">
        <f t="array" ref="S399">INDEX('MTA 28-09'!X:X,MATCH(B399,'MTA 28-09'!A:A,0))</f>
        <v>SOB DEMANDA</v>
      </c>
      <c r="T399" s="72" t="str">
        <f t="array" ref="T399">INDEX('MTA 28-09'!W:W,MATCH(B399,'MTA 28-09'!A:A,0))</f>
        <v>NÃO</v>
      </c>
      <c r="U399" s="81">
        <f t="array" ref="U399">INDEX('MTA 28-09'!AE:AE,MATCH(B399,'MTA 28-09'!A:A,0))</f>
        <v>46291</v>
      </c>
      <c r="V399" s="12"/>
      <c r="W399" s="12"/>
      <c r="X399" s="12"/>
      <c r="Y399" s="12"/>
      <c r="Z399" s="12"/>
      <c r="AA399" s="12"/>
      <c r="AB399" s="12"/>
      <c r="AC399" s="12"/>
      <c r="AD399" s="12"/>
      <c r="AE399" s="12"/>
      <c r="AF399" s="12"/>
      <c r="AG399" s="12"/>
      <c r="AH399" s="12"/>
      <c r="AI399" s="12"/>
      <c r="AJ399" s="12"/>
      <c r="AK399" s="12"/>
      <c r="AL399" s="12"/>
      <c r="AM399" s="12"/>
    </row>
    <row r="400">
      <c r="A400" s="88" t="s">
        <v>1574</v>
      </c>
      <c r="B400" s="98">
        <v>16440.0</v>
      </c>
      <c r="C400" s="92" t="str">
        <f t="array" ref="C400">INDEX('MTA 28-09'!B:B,MATCH(B400,'MTA 28-09'!A:A,0))</f>
        <v>NÃO</v>
      </c>
      <c r="D400" s="95" t="str">
        <f t="array" ref="D400">INDEX('MTA 28-09'!D:D,MATCH(B400,'MTA 28-09'!A:A,0))</f>
        <v/>
      </c>
      <c r="E400" s="98" t="str">
        <f t="array" ref="E400">INDEX('MTA 28-09'!F:F,MATCH(B400,'MTA 28-09'!A:A,0))</f>
        <v/>
      </c>
      <c r="F400" s="144" t="str">
        <f t="array" ref="F400">INDEX('MTA 28-09'!I:I,MATCH(B400,'MTA 28-09'!A:A,0))</f>
        <v/>
      </c>
      <c r="G400" s="100" t="str">
        <f t="array" ref="G400">INDEX('MTA 28-09'!J:J,MATCH(B400,'MTA 28-09'!A:A,0))</f>
        <v/>
      </c>
      <c r="H400" s="159" t="s">
        <v>157</v>
      </c>
      <c r="I400" s="296"/>
      <c r="J400" s="102"/>
      <c r="K400" s="103"/>
      <c r="L400" s="102" t="str">
        <f t="array" ref="L400">INDEX('MTA 28-09'!S:S,MATCH(B400,'MTA 28-09'!A:A,0))</f>
        <v>APOIO</v>
      </c>
      <c r="M400" s="98" t="str">
        <f t="array" ref="M400">INDEX('MTA 28-09'!T:T,MATCH(B400,'MTA 28-09'!A:A,0))</f>
        <v>CTT XXX/CELOG-PAMALS/2026 – Aquisição de Consumíveis</v>
      </c>
      <c r="N400" s="98" t="str">
        <f t="array" ref="N400">INDEX('MTA 28-09'!U:U,MATCH(B400,'MTA 28-09'!A:A,0))</f>
        <v>Aquisição de consumíveis 3/4</v>
      </c>
      <c r="O400" s="104">
        <f t="array" ref="O400">INDEX('MTA 28-09'!AC:AC,MATCH(B400,'MTA 28-09'!A:A,0))</f>
        <v>135000</v>
      </c>
      <c r="P400" s="98" t="str">
        <f t="array" ref="P400">INDEX('MTA 28-09'!N:N,MATCH(B400,'MTA 28-09'!A:A,0))</f>
        <v>CELOG</v>
      </c>
      <c r="Q400" s="105" t="str">
        <f t="array" ref="Q400">INDEX('MTA 28-09'!Z:Z,MATCH(B400,'MTA 28-09'!A:A,0))</f>
        <v>339030</v>
      </c>
      <c r="R400" s="98" t="str">
        <f t="array" ref="R400">INDEX('MTA 28-09'!L:L,MATCH(B400,'MTA 28-09'!A:A,0))</f>
        <v>C</v>
      </c>
      <c r="S400" s="107" t="str">
        <f t="array" ref="S400">INDEX('MTA 28-09'!X:X,MATCH(B400,'MTA 28-09'!A:A,0))</f>
        <v>SOB DEMANDA</v>
      </c>
      <c r="T400" s="107" t="str">
        <f t="array" ref="T400">INDEX('MTA 28-09'!W:W,MATCH(B400,'MTA 28-09'!A:A,0))</f>
        <v>NÃO</v>
      </c>
      <c r="U400" s="109">
        <f t="array" ref="U400">INDEX('MTA 28-09'!AE:AE,MATCH(B400,'MTA 28-09'!A:A,0))</f>
        <v>46291</v>
      </c>
      <c r="V400" s="29"/>
      <c r="W400" s="29"/>
      <c r="X400" s="29"/>
      <c r="Y400" s="29"/>
      <c r="Z400" s="29"/>
      <c r="AA400" s="29"/>
      <c r="AB400" s="29"/>
      <c r="AC400" s="29"/>
      <c r="AD400" s="29"/>
      <c r="AE400" s="29"/>
      <c r="AF400" s="29"/>
      <c r="AG400" s="29"/>
      <c r="AH400" s="29"/>
      <c r="AI400" s="29"/>
      <c r="AJ400" s="29"/>
      <c r="AK400" s="29"/>
      <c r="AL400" s="29"/>
      <c r="AM400" s="29"/>
    </row>
    <row r="401">
      <c r="A401" s="31" t="s">
        <v>39</v>
      </c>
      <c r="B401" s="32">
        <v>16460.0</v>
      </c>
      <c r="C401" s="33" t="str">
        <f t="array" ref="C401">INDEX('MTA 28-09'!B:B,MATCH(B401,'MTA 28-09'!A:A,0))</f>
        <v>SIM</v>
      </c>
      <c r="D401" s="34">
        <f t="array" ref="D401">INDEX('MTA 28-09'!D:D,MATCH(B401,'MTA 28-09'!A:A,0))</f>
        <v>2048</v>
      </c>
      <c r="E401" s="32" t="str">
        <f t="array" ref="E401">INDEX('MTA 28-09'!F:F,MATCH(B401,'MTA 28-09'!A:A,0))</f>
        <v>EM TRÂMITE</v>
      </c>
      <c r="F401" s="155">
        <f t="array" ref="F401">INDEX('MTA 28-09'!I:I,MATCH(B401,'MTA 28-09'!A:A,0))</f>
        <v>46293</v>
      </c>
      <c r="G401" s="36" t="str">
        <f t="array" ref="G401">INDEX('MTA 28-09'!J:J,MATCH(B401,'MTA 28-09'!A:A,0))</f>
        <v>ND</v>
      </c>
      <c r="H401" s="37" t="s">
        <v>1451</v>
      </c>
      <c r="I401" s="38"/>
      <c r="J401" s="39"/>
      <c r="K401" s="40"/>
      <c r="L401" s="39" t="str">
        <f t="array" ref="L401">INDEX('MTA 28-09'!S:S,MATCH(B401,'MTA 28-09'!A:A,0))</f>
        <v>A-29</v>
      </c>
      <c r="M401" s="32" t="str">
        <f t="array" ref="M401">INDEX('MTA 28-09'!T:T,MATCH(B401,'MTA 28-09'!A:A,0))</f>
        <v>CTT 102/CELOG-PAMALS/2023 – EMBRAER - PSLI</v>
      </c>
      <c r="N401" s="32" t="str">
        <f t="array" ref="N401">INDEX('MTA 28-09'!U:U,MATCH(B401,'MTA 28-09'!A:A,0))</f>
        <v>Parcela Fixa 08/12</v>
      </c>
      <c r="O401" s="59">
        <f t="array" ref="O401">INDEX('MTA 28-09'!AC:AC,MATCH(B401,'MTA 28-09'!A:A,0))</f>
        <v>2310000</v>
      </c>
      <c r="P401" s="32" t="str">
        <f t="array" ref="P401">INDEX('MTA 28-09'!N:N,MATCH(B401,'MTA 28-09'!A:A,0))</f>
        <v>CELOG</v>
      </c>
      <c r="Q401" s="67" t="str">
        <f t="array" ref="Q401">INDEX('MTA 28-09'!Z:Z,MATCH(B401,'MTA 28-09'!A:A,0))</f>
        <v>339039</v>
      </c>
      <c r="R401" s="32" t="str">
        <f t="array" ref="R401">INDEX('MTA 28-09'!L:L,MATCH(B401,'MTA 28-09'!A:A,0))</f>
        <v>A</v>
      </c>
      <c r="S401" s="72" t="str">
        <f t="array" ref="S401">INDEX('MTA 28-09'!X:X,MATCH(B401,'MTA 28-09'!A:A,0))</f>
        <v>PARCELA FIXA</v>
      </c>
      <c r="T401" s="72" t="str">
        <f t="array" ref="T401">INDEX('MTA 28-09'!W:W,MATCH(B401,'MTA 28-09'!A:A,0))</f>
        <v>Não</v>
      </c>
      <c r="U401" s="81">
        <f t="array" ref="U401">INDEX('MTA 28-09'!AE:AE,MATCH(B401,'MTA 28-09'!A:A,0))</f>
        <v>46321</v>
      </c>
      <c r="V401" s="12"/>
      <c r="W401" s="12"/>
      <c r="X401" s="12"/>
      <c r="Y401" s="12"/>
      <c r="Z401" s="12"/>
      <c r="AA401" s="12"/>
      <c r="AB401" s="12"/>
      <c r="AC401" s="12"/>
      <c r="AD401" s="12"/>
      <c r="AE401" s="12"/>
      <c r="AF401" s="12"/>
      <c r="AG401" s="12"/>
      <c r="AH401" s="12"/>
      <c r="AI401" s="12"/>
      <c r="AJ401" s="12"/>
      <c r="AK401" s="12"/>
      <c r="AL401" s="12"/>
      <c r="AM401" s="12"/>
    </row>
    <row r="402">
      <c r="A402" s="88" t="s">
        <v>44</v>
      </c>
      <c r="B402" s="98">
        <v>16480.0</v>
      </c>
      <c r="C402" s="92" t="str">
        <f t="array" ref="C402">INDEX('MTA 28-09'!B:B,MATCH(B402,'MTA 28-09'!A:A,0))</f>
        <v>SIM</v>
      </c>
      <c r="D402" s="95">
        <f t="array" ref="D402">INDEX('MTA 28-09'!D:D,MATCH(B402,'MTA 28-09'!A:A,0))</f>
        <v>2048</v>
      </c>
      <c r="E402" s="98" t="str">
        <f t="array" ref="E402">INDEX('MTA 28-09'!F:F,MATCH(B402,'MTA 28-09'!A:A,0))</f>
        <v>ATENDIDO</v>
      </c>
      <c r="F402" s="152">
        <f t="array" ref="F402">INDEX('MTA 28-09'!I:I,MATCH(B402,'MTA 28-09'!A:A,0))</f>
        <v>46213</v>
      </c>
      <c r="G402" s="100" t="str">
        <f t="array" ref="G402">INDEX('MTA 28-09'!J:J,MATCH(B402,'MTA 28-09'!A:A,0))</f>
        <v>C26079</v>
      </c>
      <c r="H402" s="101" t="s">
        <v>1451</v>
      </c>
      <c r="I402" s="90"/>
      <c r="J402" s="102"/>
      <c r="K402" s="103"/>
      <c r="L402" s="102" t="str">
        <f t="array" ref="L402">INDEX('MTA 28-09'!S:S,MATCH(B402,'MTA 28-09'!A:A,0))</f>
        <v>C-97</v>
      </c>
      <c r="M402" s="98" t="str">
        <f t="array" ref="M402">INDEX('MTA 28-09'!T:T,MATCH(B402,'MTA 28-09'!A:A,0))</f>
        <v>CTT 096/CAE-PAMALS/2021 - CLS C-97</v>
      </c>
      <c r="N402" s="98" t="str">
        <f t="array" ref="N402">INDEX('MTA 28-09'!U:U,MATCH(B402,'MTA 28-09'!A:A,0))</f>
        <v>Hora de Voo 06/09 (500HV)</v>
      </c>
      <c r="O402" s="104">
        <f t="array" ref="O402">INDEX('MTA 28-09'!AC:AC,MATCH(B402,'MTA 28-09'!A:A,0))</f>
        <v>2572500</v>
      </c>
      <c r="P402" s="98" t="str">
        <f t="array" ref="P402">INDEX('MTA 28-09'!N:N,MATCH(B402,'MTA 28-09'!A:A,0))</f>
        <v>CELOG</v>
      </c>
      <c r="Q402" s="105" t="str">
        <f t="array" ref="Q402">INDEX('MTA 28-09'!Z:Z,MATCH(B402,'MTA 28-09'!A:A,0))</f>
        <v>339039</v>
      </c>
      <c r="R402" s="98" t="str">
        <f t="array" ref="R402">INDEX('MTA 28-09'!L:L,MATCH(B402,'MTA 28-09'!A:A,0))</f>
        <v>A</v>
      </c>
      <c r="S402" s="107" t="str">
        <f t="array" ref="S402">INDEX('MTA 28-09'!X:X,MATCH(B402,'MTA 28-09'!A:A,0))</f>
        <v>HORA DE VOO</v>
      </c>
      <c r="T402" s="107" t="str">
        <f t="array" ref="T402">INDEX('MTA 28-09'!W:W,MATCH(B402,'MTA 28-09'!A:A,0))</f>
        <v>Não</v>
      </c>
      <c r="U402" s="109">
        <f t="array" ref="U402">INDEX('MTA 28-09'!AE:AE,MATCH(B402,'MTA 28-09'!A:A,0))</f>
        <v>46291</v>
      </c>
      <c r="V402" s="29"/>
      <c r="W402" s="29"/>
      <c r="X402" s="29"/>
      <c r="Y402" s="29"/>
      <c r="Z402" s="29"/>
      <c r="AA402" s="29"/>
      <c r="AB402" s="29"/>
      <c r="AC402" s="29"/>
      <c r="AD402" s="29"/>
      <c r="AE402" s="29"/>
      <c r="AF402" s="29"/>
      <c r="AG402" s="29"/>
      <c r="AH402" s="29"/>
      <c r="AI402" s="29"/>
      <c r="AJ402" s="29"/>
      <c r="AK402" s="29"/>
      <c r="AL402" s="29"/>
      <c r="AM402" s="29"/>
    </row>
    <row r="403">
      <c r="A403" s="31" t="s">
        <v>39</v>
      </c>
      <c r="B403" s="32">
        <v>16500.0</v>
      </c>
      <c r="C403" s="33" t="str">
        <f t="array" ref="C403">INDEX('MTA 28-09'!B:B,MATCH(B403,'MTA 28-09'!A:A,0))</f>
        <v>SIM</v>
      </c>
      <c r="D403" s="34">
        <f t="array" ref="D403">INDEX('MTA 28-09'!D:D,MATCH(B403,'MTA 28-09'!A:A,0))</f>
        <v>2048</v>
      </c>
      <c r="E403" s="32" t="str">
        <f t="array" ref="E403">INDEX('MTA 28-09'!F:F,MATCH(B403,'MTA 28-09'!A:A,0))</f>
        <v>ATENDIDO</v>
      </c>
      <c r="F403" s="137">
        <f t="array" ref="F403">INDEX('MTA 28-09'!I:I,MATCH(B403,'MTA 28-09'!A:A,0))</f>
        <v>46213</v>
      </c>
      <c r="G403" s="36" t="str">
        <f t="array" ref="G403">INDEX('MTA 28-09'!J:J,MATCH(B403,'MTA 28-09'!A:A,0))</f>
        <v>C26156</v>
      </c>
      <c r="H403" s="37" t="s">
        <v>1451</v>
      </c>
      <c r="I403" s="38"/>
      <c r="J403" s="39"/>
      <c r="K403" s="40"/>
      <c r="L403" s="39" t="str">
        <f t="array" ref="L403">INDEX('MTA 28-09'!S:S,MATCH(B403,'MTA 28-09'!A:A,0))</f>
        <v>A-29</v>
      </c>
      <c r="M403" s="32" t="str">
        <f t="array" ref="M403">INDEX('MTA 28-09'!T:T,MATCH(B403,'MTA 28-09'!A:A,0))</f>
        <v>CTT 102/CELOG-PAMALS/2023 – EMBRAER - PSLI</v>
      </c>
      <c r="N403" s="32" t="str">
        <f t="array" ref="N403">INDEX('MTA 28-09'!U:U,MATCH(B403,'MTA 28-09'!A:A,0))</f>
        <v>Hora de Voo 07/10 - 1000 HV</v>
      </c>
      <c r="O403" s="59">
        <f t="array" ref="O403">INDEX('MTA 28-09'!AC:AC,MATCH(B403,'MTA 28-09'!A:A,0))</f>
        <v>4072680</v>
      </c>
      <c r="P403" s="32" t="str">
        <f t="array" ref="P403">INDEX('MTA 28-09'!N:N,MATCH(B403,'MTA 28-09'!A:A,0))</f>
        <v>CELOG</v>
      </c>
      <c r="Q403" s="67" t="str">
        <f t="array" ref="Q403">INDEX('MTA 28-09'!Z:Z,MATCH(B403,'MTA 28-09'!A:A,0))</f>
        <v>339039</v>
      </c>
      <c r="R403" s="32" t="str">
        <f t="array" ref="R403">INDEX('MTA 28-09'!L:L,MATCH(B403,'MTA 28-09'!A:A,0))</f>
        <v>A</v>
      </c>
      <c r="S403" s="72" t="str">
        <f t="array" ref="S403">INDEX('MTA 28-09'!X:X,MATCH(B403,'MTA 28-09'!A:A,0))</f>
        <v>HORA DE VOO</v>
      </c>
      <c r="T403" s="72" t="str">
        <f t="array" ref="T403">INDEX('MTA 28-09'!W:W,MATCH(B403,'MTA 28-09'!A:A,0))</f>
        <v>Não</v>
      </c>
      <c r="U403" s="81">
        <f t="array" ref="U403">INDEX('MTA 28-09'!AE:AE,MATCH(B403,'MTA 28-09'!A:A,0))</f>
        <v>46291</v>
      </c>
      <c r="V403" s="12"/>
      <c r="W403" s="12"/>
      <c r="X403" s="12"/>
      <c r="Y403" s="12"/>
      <c r="Z403" s="12"/>
      <c r="AA403" s="12"/>
      <c r="AB403" s="12"/>
      <c r="AC403" s="12"/>
      <c r="AD403" s="12"/>
      <c r="AE403" s="12"/>
      <c r="AF403" s="12"/>
      <c r="AG403" s="12"/>
      <c r="AH403" s="12"/>
      <c r="AI403" s="12"/>
      <c r="AJ403" s="12"/>
      <c r="AK403" s="12"/>
      <c r="AL403" s="12"/>
      <c r="AM403" s="12"/>
    </row>
    <row r="404">
      <c r="A404" s="88" t="s">
        <v>43</v>
      </c>
      <c r="B404" s="98">
        <v>16520.0</v>
      </c>
      <c r="C404" s="92" t="str">
        <f t="array" ref="C404">INDEX('MTA 28-09'!B:B,MATCH(B404,'MTA 28-09'!A:A,0))</f>
        <v>SIM</v>
      </c>
      <c r="D404" s="95" t="str">
        <f t="array" ref="D404">INDEX('MTA 28-09'!D:D,MATCH(B404,'MTA 28-09'!A:A,0))</f>
        <v>20XV SUP</v>
      </c>
      <c r="E404" s="98" t="str">
        <f t="array" ref="E404">INDEX('MTA 28-09'!F:F,MATCH(B404,'MTA 28-09'!A:A,0))</f>
        <v>ATENDIDO</v>
      </c>
      <c r="F404" s="144">
        <f t="array" ref="F404">INDEX('MTA 28-09'!I:I,MATCH(B404,'MTA 28-09'!A:A,0))</f>
        <v>46154</v>
      </c>
      <c r="G404" s="100" t="str">
        <f t="array" ref="G404">INDEX('MTA 28-09'!J:J,MATCH(B404,'MTA 28-09'!A:A,0))</f>
        <v>C26255</v>
      </c>
      <c r="H404" s="159" t="s">
        <v>157</v>
      </c>
      <c r="I404" s="296"/>
      <c r="J404" s="102"/>
      <c r="K404" s="103"/>
      <c r="L404" s="102" t="str">
        <f t="array" ref="L404">INDEX('MTA 28-09'!S:S,MATCH(B404,'MTA 28-09'!A:A,0))</f>
        <v>C-95M</v>
      </c>
      <c r="M404" s="98" t="str">
        <f t="array" ref="M404">INDEX('MTA 28-09'!T:T,MATCH(B404,'MTA 28-09'!A:A,0))</f>
        <v>CTT 028/CELOG-PAMALS/2025 – CLS AVIÔNICOS</v>
      </c>
      <c r="N404" s="98" t="str">
        <f t="array" ref="N404">INDEX('MTA 28-09'!U:U,MATCH(B404,'MTA 28-09'!A:A,0))</f>
        <v>Hora de Voo 06/09 - 1000 HV</v>
      </c>
      <c r="O404" s="104">
        <f t="array" ref="O404">INDEX('MTA 28-09'!AC:AC,MATCH(B404,'MTA 28-09'!A:A,0))</f>
        <v>619070</v>
      </c>
      <c r="P404" s="98" t="str">
        <f t="array" ref="P404">INDEX('MTA 28-09'!N:N,MATCH(B404,'MTA 28-09'!A:A,0))</f>
        <v>CELOG</v>
      </c>
      <c r="Q404" s="105" t="str">
        <f t="array" ref="Q404">INDEX('MTA 28-09'!Z:Z,MATCH(B404,'MTA 28-09'!A:A,0))</f>
        <v>339039</v>
      </c>
      <c r="R404" s="98" t="str">
        <f t="array" ref="R404">INDEX('MTA 28-09'!L:L,MATCH(B404,'MTA 28-09'!A:A,0))</f>
        <v>A</v>
      </c>
      <c r="S404" s="107" t="str">
        <f t="array" ref="S404">INDEX('MTA 28-09'!X:X,MATCH(B404,'MTA 28-09'!A:A,0))</f>
        <v>HORA DE VOO</v>
      </c>
      <c r="T404" s="107" t="str">
        <f t="array" ref="T404">INDEX('MTA 28-09'!W:W,MATCH(B404,'MTA 28-09'!A:A,0))</f>
        <v>Não</v>
      </c>
      <c r="U404" s="109">
        <f t="array" ref="U404">INDEX('MTA 28-09'!AE:AE,MATCH(B404,'MTA 28-09'!A:A,0))</f>
        <v>46352</v>
      </c>
      <c r="V404" s="29"/>
      <c r="W404" s="29"/>
      <c r="X404" s="29"/>
      <c r="Y404" s="29"/>
      <c r="Z404" s="29"/>
      <c r="AA404" s="29"/>
      <c r="AB404" s="29"/>
      <c r="AC404" s="29"/>
      <c r="AD404" s="29"/>
      <c r="AE404" s="29"/>
      <c r="AF404" s="29"/>
      <c r="AG404" s="29"/>
      <c r="AH404" s="29"/>
      <c r="AI404" s="29"/>
      <c r="AJ404" s="29"/>
      <c r="AK404" s="29"/>
      <c r="AL404" s="29"/>
      <c r="AM404" s="29"/>
    </row>
    <row r="405">
      <c r="A405" s="31" t="s">
        <v>44</v>
      </c>
      <c r="B405" s="32">
        <v>16540.0</v>
      </c>
      <c r="C405" s="33" t="str">
        <f t="array" ref="C405">INDEX('MTA 28-09'!B:B,MATCH(B405,'MTA 28-09'!A:A,0))</f>
        <v>SIM</v>
      </c>
      <c r="D405" s="34">
        <f t="array" ref="D405">INDEX('MTA 28-09'!D:D,MATCH(B405,'MTA 28-09'!A:A,0))</f>
        <v>2048</v>
      </c>
      <c r="E405" s="32" t="str">
        <f t="array" ref="E405">INDEX('MTA 28-09'!F:F,MATCH(B405,'MTA 28-09'!A:A,0))</f>
        <v>CANCELADO</v>
      </c>
      <c r="F405" s="137" t="str">
        <f t="array" ref="F405">INDEX('MTA 28-09'!I:I,MATCH(B405,'MTA 28-09'!A:A,0))</f>
        <v/>
      </c>
      <c r="G405" s="36" t="str">
        <f t="array" ref="G405">INDEX('MTA 28-09'!J:J,MATCH(B405,'MTA 28-09'!A:A,0))</f>
        <v/>
      </c>
      <c r="H405" s="156">
        <v>46276.0</v>
      </c>
      <c r="I405" s="157" t="s">
        <v>1589</v>
      </c>
      <c r="J405" s="39"/>
      <c r="K405" s="40"/>
      <c r="L405" s="39" t="str">
        <f t="array" ref="L405">INDEX('MTA 28-09'!S:S,MATCH(B405,'MTA 28-09'!A:A,0))</f>
        <v>C-97</v>
      </c>
      <c r="M405" s="32" t="str">
        <f t="array" ref="M405">INDEX('MTA 28-09'!T:T,MATCH(B405,'MTA 28-09'!A:A,0))</f>
        <v>CTT 096/CAE-PAMALS/2021 - CLS C-97</v>
      </c>
      <c r="N405" s="32" t="str">
        <f t="array" ref="N405">INDEX('MTA 28-09'!U:U,MATCH(B405,'MTA 28-09'!A:A,0))</f>
        <v>Parcela Fixa 09/12</v>
      </c>
      <c r="O405" s="59" t="str">
        <f t="array" ref="O405">INDEX('MTA 28-09'!AC:AC,MATCH(B405,'MTA 28-09'!A:A,0))</f>
        <v> -</v>
      </c>
      <c r="P405" s="32" t="str">
        <f t="array" ref="P405">INDEX('MTA 28-09'!N:N,MATCH(B405,'MTA 28-09'!A:A,0))</f>
        <v>CELOG</v>
      </c>
      <c r="Q405" s="67" t="str">
        <f t="array" ref="Q405">INDEX('MTA 28-09'!Z:Z,MATCH(B405,'MTA 28-09'!A:A,0))</f>
        <v>339039</v>
      </c>
      <c r="R405" s="32" t="str">
        <f t="array" ref="R405">INDEX('MTA 28-09'!L:L,MATCH(B405,'MTA 28-09'!A:A,0))</f>
        <v>A</v>
      </c>
      <c r="S405" s="72" t="str">
        <f t="array" ref="S405">INDEX('MTA 28-09'!X:X,MATCH(B405,'MTA 28-09'!A:A,0))</f>
        <v>PARCELA FIXA</v>
      </c>
      <c r="T405" s="72" t="str">
        <f t="array" ref="T405">INDEX('MTA 28-09'!W:W,MATCH(B405,'MTA 28-09'!A:A,0))</f>
        <v>Não</v>
      </c>
      <c r="U405" s="81">
        <f t="array" ref="U405">INDEX('MTA 28-09'!AE:AE,MATCH(B405,'MTA 28-09'!A:A,0))</f>
        <v>46352</v>
      </c>
      <c r="V405" s="12"/>
      <c r="W405" s="12"/>
      <c r="X405" s="12"/>
      <c r="Y405" s="12"/>
      <c r="Z405" s="12"/>
      <c r="AA405" s="12"/>
      <c r="AB405" s="12"/>
      <c r="AC405" s="12"/>
      <c r="AD405" s="12"/>
      <c r="AE405" s="12"/>
      <c r="AF405" s="12"/>
      <c r="AG405" s="12"/>
      <c r="AH405" s="12"/>
      <c r="AI405" s="12"/>
      <c r="AJ405" s="12"/>
      <c r="AK405" s="12"/>
      <c r="AL405" s="12"/>
      <c r="AM405" s="12"/>
    </row>
    <row r="406">
      <c r="A406" s="88" t="s">
        <v>45</v>
      </c>
      <c r="B406" s="98">
        <v>16560.0</v>
      </c>
      <c r="C406" s="92" t="str">
        <f t="array" ref="C406">INDEX('MTA 28-09'!B:B,MATCH(B406,'MTA 28-09'!A:A,0))</f>
        <v>SIM</v>
      </c>
      <c r="D406" s="95">
        <f t="array" ref="D406">INDEX('MTA 28-09'!D:D,MATCH(B406,'MTA 28-09'!A:A,0))</f>
        <v>2048</v>
      </c>
      <c r="E406" s="98" t="str">
        <f t="array" ref="E406">INDEX('MTA 28-09'!F:F,MATCH(B406,'MTA 28-09'!A:A,0))</f>
        <v>ATENDIDO</v>
      </c>
      <c r="F406" s="352">
        <f t="array" ref="F406">INDEX('MTA 28-09'!I:I,MATCH(B406,'MTA 28-09'!A:A,0))</f>
        <v>46213</v>
      </c>
      <c r="G406" s="100" t="str">
        <f t="array" ref="G406">INDEX('MTA 28-09'!J:J,MATCH(B406,'MTA 28-09'!A:A,0))</f>
        <v>C26312</v>
      </c>
      <c r="H406" s="101" t="s">
        <v>1451</v>
      </c>
      <c r="I406" s="90"/>
      <c r="J406" s="102"/>
      <c r="K406" s="103"/>
      <c r="L406" s="102" t="str">
        <f t="array" ref="L406">INDEX('MTA 28-09'!S:S,MATCH(B406,'MTA 28-09'!A:A,0))</f>
        <v>C-98</v>
      </c>
      <c r="M406" s="98" t="str">
        <f t="array" ref="M406">INDEX('MTA 28-09'!T:T,MATCH(B406,'MTA 28-09'!A:A,0))</f>
        <v>CNT 005/CELOG-PAMALS/2025 - VEE ONE</v>
      </c>
      <c r="N406" s="98" t="str">
        <f t="array" ref="N406">INDEX('MTA 28-09'!U:U,MATCH(B406,'MTA 28-09'!A:A,0))</f>
        <v>Hora de Voo 06/10 - 1000 HV</v>
      </c>
      <c r="O406" s="104">
        <f t="array" ref="O406">INDEX('MTA 28-09'!AC:AC,MATCH(B406,'MTA 28-09'!A:A,0))</f>
        <v>173846.38</v>
      </c>
      <c r="P406" s="98" t="str">
        <f t="array" ref="P406">INDEX('MTA 28-09'!N:N,MATCH(B406,'MTA 28-09'!A:A,0))</f>
        <v>CELOG</v>
      </c>
      <c r="Q406" s="105" t="str">
        <f t="array" ref="Q406">INDEX('MTA 28-09'!Z:Z,MATCH(B406,'MTA 28-09'!A:A,0))</f>
        <v>339039</v>
      </c>
      <c r="R406" s="98" t="str">
        <f t="array" ref="R406">INDEX('MTA 28-09'!L:L,MATCH(B406,'MTA 28-09'!A:A,0))</f>
        <v>A</v>
      </c>
      <c r="S406" s="107" t="str">
        <f t="array" ref="S406">INDEX('MTA 28-09'!X:X,MATCH(B406,'MTA 28-09'!A:A,0))</f>
        <v>HORA DE VOO</v>
      </c>
      <c r="T406" s="107" t="str">
        <f t="array" ref="T406">INDEX('MTA 28-09'!W:W,MATCH(B406,'MTA 28-09'!A:A,0))</f>
        <v>Não</v>
      </c>
      <c r="U406" s="109">
        <f t="array" ref="U406">INDEX('MTA 28-09'!AE:AE,MATCH(B406,'MTA 28-09'!A:A,0))</f>
        <v>46291</v>
      </c>
      <c r="V406" s="29"/>
      <c r="W406" s="29"/>
      <c r="X406" s="29"/>
      <c r="Y406" s="29"/>
      <c r="Z406" s="29"/>
      <c r="AA406" s="29"/>
      <c r="AB406" s="29"/>
      <c r="AC406" s="29"/>
      <c r="AD406" s="29"/>
      <c r="AE406" s="29"/>
      <c r="AF406" s="29"/>
      <c r="AG406" s="29"/>
      <c r="AH406" s="29"/>
      <c r="AI406" s="29"/>
      <c r="AJ406" s="29"/>
      <c r="AK406" s="29"/>
      <c r="AL406" s="29"/>
      <c r="AM406" s="29"/>
    </row>
    <row r="407">
      <c r="A407" s="31" t="s">
        <v>45</v>
      </c>
      <c r="B407" s="38">
        <v>16561.0</v>
      </c>
      <c r="C407" s="33" t="str">
        <f t="array" ref="C407">INDEX('MTA 28-09'!B:B,MATCH(B407,'MTA 28-09'!A:A,0))</f>
        <v>SIM</v>
      </c>
      <c r="D407" s="34" t="str">
        <f t="array" ref="D407">INDEX('MTA 28-09'!D:D,MATCH(B407,'MTA 28-09'!A:A,0))</f>
        <v>DESTQ31</v>
      </c>
      <c r="E407" s="32" t="str">
        <f t="array" ref="E407">INDEX('MTA 28-09'!F:F,MATCH(B407,'MTA 28-09'!A:A,0))</f>
        <v>ATENDIDO</v>
      </c>
      <c r="F407" s="35">
        <f t="array" ref="F407">INDEX('MTA 28-09'!I:I,MATCH(B407,'MTA 28-09'!A:A,0))</f>
        <v>46210</v>
      </c>
      <c r="G407" s="36" t="str">
        <f t="array" ref="G407">INDEX('MTA 28-09'!J:J,MATCH(B407,'MTA 28-09'!A:A,0))</f>
        <v>C26326</v>
      </c>
      <c r="H407" s="287" t="s">
        <v>157</v>
      </c>
      <c r="I407" s="38"/>
      <c r="J407" s="39"/>
      <c r="K407" s="40"/>
      <c r="L407" s="39" t="str">
        <f t="array" ref="L407">INDEX('MTA 28-09'!S:S,MATCH(B407,'MTA 28-09'!A:A,0))</f>
        <v>C-98</v>
      </c>
      <c r="M407" s="32" t="str">
        <f t="array" ref="M407">INDEX('MTA 28-09'!T:T,MATCH(B407,'MTA 28-09'!A:A,0))</f>
        <v>CNT 005/CELOG-PAMALS/2025 - VEE ONE</v>
      </c>
      <c r="N407" s="32" t="str">
        <f t="array" ref="N407">INDEX('MTA 28-09'!U:U,MATCH(B407,'MTA 28-09'!A:A,0))</f>
        <v>Hora de Voo 06/10 - 1000 HV</v>
      </c>
      <c r="O407" s="59">
        <f t="array" ref="O407">INDEX('MTA 28-09'!AC:AC,MATCH(B407,'MTA 28-09'!A:A,0))</f>
        <v>1530656.62</v>
      </c>
      <c r="P407" s="32" t="str">
        <f t="array" ref="P407">INDEX('MTA 28-09'!N:N,MATCH(B407,'MTA 28-09'!A:A,0))</f>
        <v>CELOG</v>
      </c>
      <c r="Q407" s="67" t="str">
        <f t="array" ref="Q407">INDEX('MTA 28-09'!Z:Z,MATCH(B407,'MTA 28-09'!A:A,0))</f>
        <v>339039</v>
      </c>
      <c r="R407" s="32" t="str">
        <f t="array" ref="R407">INDEX('MTA 28-09'!L:L,MATCH(B407,'MTA 28-09'!A:A,0))</f>
        <v>A</v>
      </c>
      <c r="S407" s="72" t="str">
        <f t="array" ref="S407">INDEX('MTA 28-09'!X:X,MATCH(B407,'MTA 28-09'!A:A,0))</f>
        <v>HORA DE VOO</v>
      </c>
      <c r="T407" s="72" t="str">
        <f t="array" ref="T407">INDEX('MTA 28-09'!W:W,MATCH(B407,'MTA 28-09'!A:A,0))</f>
        <v>Não</v>
      </c>
      <c r="U407" s="81">
        <f t="array" ref="U407">INDEX('MTA 28-09'!AE:AE,MATCH(B407,'MTA 28-09'!A:A,0))</f>
        <v>46291</v>
      </c>
      <c r="V407" s="12"/>
      <c r="W407" s="12"/>
      <c r="X407" s="12"/>
      <c r="Y407" s="12"/>
      <c r="Z407" s="12"/>
      <c r="AA407" s="12"/>
      <c r="AB407" s="12"/>
      <c r="AC407" s="12"/>
      <c r="AD407" s="12"/>
      <c r="AE407" s="12"/>
      <c r="AF407" s="12"/>
      <c r="AG407" s="12"/>
      <c r="AH407" s="12"/>
      <c r="AI407" s="12"/>
      <c r="AJ407" s="12"/>
      <c r="AK407" s="12"/>
      <c r="AL407" s="12"/>
      <c r="AM407" s="12"/>
    </row>
    <row r="408">
      <c r="A408" s="88" t="s">
        <v>46</v>
      </c>
      <c r="B408" s="98">
        <v>16580.0</v>
      </c>
      <c r="C408" s="92" t="str">
        <f t="array" ref="C408">INDEX('MTA 28-09'!B:B,MATCH(B408,'MTA 28-09'!A:A,0))</f>
        <v>SIM</v>
      </c>
      <c r="D408" s="95">
        <f t="array" ref="D408">INDEX('MTA 28-09'!D:D,MATCH(B408,'MTA 28-09'!A:A,0))</f>
        <v>2048</v>
      </c>
      <c r="E408" s="98" t="str">
        <f t="array" ref="E408">INDEX('MTA 28-09'!F:F,MATCH(B408,'MTA 28-09'!A:A,0))</f>
        <v>ATENDIDO</v>
      </c>
      <c r="F408" s="152">
        <f t="array" ref="F408">INDEX('MTA 28-09'!I:I,MATCH(B408,'MTA 28-09'!A:A,0))</f>
        <v>46258</v>
      </c>
      <c r="G408" s="100" t="str">
        <f t="array" ref="G408">INDEX('MTA 28-09'!J:J,MATCH(B408,'MTA 28-09'!A:A,0))</f>
        <v>C26038</v>
      </c>
      <c r="H408" s="159" t="s">
        <v>157</v>
      </c>
      <c r="I408" s="296"/>
      <c r="J408" s="102"/>
      <c r="K408" s="103"/>
      <c r="L408" s="102" t="str">
        <f t="array" ref="L408">INDEX('MTA 28-09'!S:S,MATCH(B408,'MTA 28-09'!A:A,0))</f>
        <v>T-27</v>
      </c>
      <c r="M408" s="98" t="str">
        <f t="array" ref="M408">INDEX('MTA 28-09'!T:T,MATCH(B408,'MTA 28-09'!A:A,0))</f>
        <v>CNT 005/CELOG-PAMASP/2026 - STANDARDAERO - RG</v>
      </c>
      <c r="N408" s="98" t="str">
        <f t="array" ref="N408">INDEX('MTA 28-09'!U:U,MATCH(B408,'MTA 28-09'!A:A,0))</f>
        <v>Revisão Geral PT6A-25C (3/5)</v>
      </c>
      <c r="O408" s="104">
        <f t="array" ref="O408">INDEX('MTA 28-09'!AC:AC,MATCH(B408,'MTA 28-09'!A:A,0))</f>
        <v>4800000</v>
      </c>
      <c r="P408" s="98" t="str">
        <f t="array" ref="P408">INDEX('MTA 28-09'!N:N,MATCH(B408,'MTA 28-09'!A:A,0))</f>
        <v>CABW</v>
      </c>
      <c r="Q408" s="105" t="str">
        <f t="array" ref="Q408">INDEX('MTA 28-09'!Z:Z,MATCH(B408,'MTA 28-09'!A:A,0))</f>
        <v>339039</v>
      </c>
      <c r="R408" s="98" t="str">
        <f t="array" ref="R408">INDEX('MTA 28-09'!L:L,MATCH(B408,'MTA 28-09'!A:A,0))</f>
        <v>A</v>
      </c>
      <c r="S408" s="107" t="str">
        <f t="array" ref="S408">INDEX('MTA 28-09'!X:X,MATCH(B408,'MTA 28-09'!A:A,0))</f>
        <v>SOB DEMANDA</v>
      </c>
      <c r="T408" s="107" t="str">
        <f t="array" ref="T408">INDEX('MTA 28-09'!W:W,MATCH(B408,'MTA 28-09'!A:A,0))</f>
        <v>SIM</v>
      </c>
      <c r="U408" s="109">
        <f t="array" ref="U408">INDEX('MTA 28-09'!AE:AE,MATCH(B408,'MTA 28-09'!A:A,0))</f>
        <v>46352</v>
      </c>
      <c r="V408" s="29"/>
      <c r="W408" s="29"/>
      <c r="X408" s="29"/>
      <c r="Y408" s="29"/>
      <c r="Z408" s="29"/>
      <c r="AA408" s="29"/>
      <c r="AB408" s="29"/>
      <c r="AC408" s="29"/>
      <c r="AD408" s="29"/>
      <c r="AE408" s="29"/>
      <c r="AF408" s="29"/>
      <c r="AG408" s="29"/>
      <c r="AH408" s="29"/>
      <c r="AI408" s="29"/>
      <c r="AJ408" s="29"/>
      <c r="AK408" s="29"/>
      <c r="AL408" s="29"/>
      <c r="AM408" s="29"/>
    </row>
    <row r="409">
      <c r="A409" s="31" t="s">
        <v>46</v>
      </c>
      <c r="B409" s="32">
        <v>16600.0</v>
      </c>
      <c r="C409" s="33" t="str">
        <f t="array" ref="C409">INDEX('MTA 28-09'!B:B,MATCH(B409,'MTA 28-09'!A:A,0))</f>
        <v>SIM</v>
      </c>
      <c r="D409" s="34">
        <f t="array" ref="D409">INDEX('MTA 28-09'!D:D,MATCH(B409,'MTA 28-09'!A:A,0))</f>
        <v>2048</v>
      </c>
      <c r="E409" s="32" t="str">
        <f t="array" ref="E409">INDEX('MTA 28-09'!F:F,MATCH(B409,'MTA 28-09'!A:A,0))</f>
        <v>CANCELADO</v>
      </c>
      <c r="F409" s="155" t="str">
        <f t="array" ref="F409">INDEX('MTA 28-09'!I:I,MATCH(B409,'MTA 28-09'!A:A,0))</f>
        <v/>
      </c>
      <c r="G409" s="36" t="str">
        <f t="array" ref="G409">INDEX('MTA 28-09'!J:J,MATCH(B409,'MTA 28-09'!A:A,0))</f>
        <v/>
      </c>
      <c r="H409" s="287" t="s">
        <v>157</v>
      </c>
      <c r="I409" s="295"/>
      <c r="J409" s="39"/>
      <c r="K409" s="40"/>
      <c r="L409" s="39" t="str">
        <f t="array" ref="L409">INDEX('MTA 28-09'!S:S,MATCH(B409,'MTA 28-09'!A:A,0))</f>
        <v>T-27</v>
      </c>
      <c r="M409" s="32" t="str">
        <f t="array" ref="M409">INDEX('MTA 28-09'!T:T,MATCH(B409,'MTA 28-09'!A:A,0))</f>
        <v>REQUISIÇÃO PUBLICAÇÃO</v>
      </c>
      <c r="N409" s="32" t="str">
        <f t="array" ref="N409">INDEX('MTA 28-09'!U:U,MATCH(B409,'MTA 28-09'!A:A,0))</f>
        <v>Publicações de Acessórios PT6A-25C</v>
      </c>
      <c r="O409" s="59" t="str">
        <f t="array" ref="O409">INDEX('MTA 28-09'!AC:AC,MATCH(B409,'MTA 28-09'!A:A,0))</f>
        <v> -</v>
      </c>
      <c r="P409" s="32" t="str">
        <f t="array" ref="P409">INDEX('MTA 28-09'!N:N,MATCH(B409,'MTA 28-09'!A:A,0))</f>
        <v>CABW</v>
      </c>
      <c r="Q409" s="67" t="str">
        <f t="array" ref="Q409">INDEX('MTA 28-09'!Z:Z,MATCH(B409,'MTA 28-09'!A:A,0))</f>
        <v>339039</v>
      </c>
      <c r="R409" s="32" t="str">
        <f t="array" ref="R409">INDEX('MTA 28-09'!L:L,MATCH(B409,'MTA 28-09'!A:A,0))</f>
        <v>A</v>
      </c>
      <c r="S409" s="72" t="str">
        <f t="array" ref="S409">INDEX('MTA 28-09'!X:X,MATCH(B409,'MTA 28-09'!A:A,0))</f>
        <v>REQUISIÇÃO</v>
      </c>
      <c r="T409" s="72" t="str">
        <f t="array" ref="T409">INDEX('MTA 28-09'!W:W,MATCH(B409,'MTA 28-09'!A:A,0))</f>
        <v>SIM</v>
      </c>
      <c r="U409" s="81">
        <f t="array" ref="U409">INDEX('MTA 28-09'!AE:AE,MATCH(B409,'MTA 28-09'!A:A,0))</f>
        <v>46321</v>
      </c>
      <c r="V409" s="12"/>
      <c r="W409" s="12"/>
      <c r="X409" s="12"/>
      <c r="Y409" s="12"/>
      <c r="Z409" s="12"/>
      <c r="AA409" s="12"/>
      <c r="AB409" s="12"/>
      <c r="AC409" s="12"/>
      <c r="AD409" s="12"/>
      <c r="AE409" s="12"/>
      <c r="AF409" s="12"/>
      <c r="AG409" s="12"/>
      <c r="AH409" s="12"/>
      <c r="AI409" s="12"/>
      <c r="AJ409" s="12"/>
      <c r="AK409" s="12"/>
      <c r="AL409" s="12"/>
      <c r="AM409" s="12"/>
    </row>
    <row r="410">
      <c r="A410" s="88" t="s">
        <v>46</v>
      </c>
      <c r="B410" s="98">
        <v>16620.0</v>
      </c>
      <c r="C410" s="92" t="str">
        <f t="array" ref="C410">INDEX('MTA 28-09'!B:B,MATCH(B410,'MTA 28-09'!A:A,0))</f>
        <v>SIM</v>
      </c>
      <c r="D410" s="95">
        <f t="array" ref="D410">INDEX('MTA 28-09'!D:D,MATCH(B410,'MTA 28-09'!A:A,0))</f>
        <v>2048</v>
      </c>
      <c r="E410" s="98" t="str">
        <f t="array" ref="E410">INDEX('MTA 28-09'!F:F,MATCH(B410,'MTA 28-09'!A:A,0))</f>
        <v>ATENDIDO</v>
      </c>
      <c r="F410" s="152">
        <f t="array" ref="F410">INDEX('MTA 28-09'!I:I,MATCH(B410,'MTA 28-09'!A:A,0))</f>
        <v>46192</v>
      </c>
      <c r="G410" s="100" t="str">
        <f t="array" ref="G410">INDEX('MTA 28-09'!J:J,MATCH(B410,'MTA 28-09'!A:A,0))</f>
        <v>C26038</v>
      </c>
      <c r="H410" s="159" t="s">
        <v>157</v>
      </c>
      <c r="I410" s="90"/>
      <c r="J410" s="102"/>
      <c r="K410" s="103"/>
      <c r="L410" s="102" t="str">
        <f t="array" ref="L410">INDEX('MTA 28-09'!S:S,MATCH(B410,'MTA 28-09'!A:A,0))</f>
        <v>T-27</v>
      </c>
      <c r="M410" s="98" t="str">
        <f t="array" ref="M410">INDEX('MTA 28-09'!T:T,MATCH(B410,'MTA 28-09'!A:A,0))</f>
        <v>REQUISIÇÃO PUBLICAÇÃO</v>
      </c>
      <c r="N410" s="98" t="str">
        <f t="array" ref="N410">INDEX('MTA 28-09'!U:U,MATCH(B410,'MTA 28-09'!A:A,0))</f>
        <v>Maintenance and Overhaul Collection PN 3077123 PT6A-25C/114A</v>
      </c>
      <c r="O410" s="104">
        <f t="array" ref="O410">INDEX('MTA 28-09'!AC:AC,MATCH(B410,'MTA 28-09'!A:A,0))</f>
        <v>250000</v>
      </c>
      <c r="P410" s="98" t="str">
        <f t="array" ref="P410">INDEX('MTA 28-09'!N:N,MATCH(B410,'MTA 28-09'!A:A,0))</f>
        <v>CABW</v>
      </c>
      <c r="Q410" s="105" t="str">
        <f t="array" ref="Q410">INDEX('MTA 28-09'!Z:Z,MATCH(B410,'MTA 28-09'!A:A,0))</f>
        <v>339039</v>
      </c>
      <c r="R410" s="98" t="str">
        <f t="array" ref="R410">INDEX('MTA 28-09'!L:L,MATCH(B410,'MTA 28-09'!A:A,0))</f>
        <v>A</v>
      </c>
      <c r="S410" s="107" t="str">
        <f t="array" ref="S410">INDEX('MTA 28-09'!X:X,MATCH(B410,'MTA 28-09'!A:A,0))</f>
        <v>REQUISIÇÃO</v>
      </c>
      <c r="T410" s="107" t="str">
        <f t="array" ref="T410">INDEX('MTA 28-09'!W:W,MATCH(B410,'MTA 28-09'!A:A,0))</f>
        <v>SIM</v>
      </c>
      <c r="U410" s="109">
        <f t="array" ref="U410">INDEX('MTA 28-09'!AE:AE,MATCH(B410,'MTA 28-09'!A:A,0))</f>
        <v>46260</v>
      </c>
      <c r="V410" s="29"/>
      <c r="W410" s="29"/>
      <c r="X410" s="29"/>
      <c r="Y410" s="29"/>
      <c r="Z410" s="29"/>
      <c r="AA410" s="29"/>
      <c r="AB410" s="29"/>
      <c r="AC410" s="29"/>
      <c r="AD410" s="29"/>
      <c r="AE410" s="29"/>
      <c r="AF410" s="29"/>
      <c r="AG410" s="29"/>
      <c r="AH410" s="29"/>
      <c r="AI410" s="29"/>
      <c r="AJ410" s="29"/>
      <c r="AK410" s="29"/>
      <c r="AL410" s="29"/>
      <c r="AM410" s="29"/>
    </row>
    <row r="411">
      <c r="A411" s="31" t="s">
        <v>43</v>
      </c>
      <c r="B411" s="32">
        <v>16640.0</v>
      </c>
      <c r="C411" s="33" t="str">
        <f t="array" ref="C411">INDEX('MTA 28-09'!B:B,MATCH(B411,'MTA 28-09'!A:A,0))</f>
        <v>NÃO</v>
      </c>
      <c r="D411" s="34" t="str">
        <f t="array" ref="D411">INDEX('MTA 28-09'!D:D,MATCH(B411,'MTA 28-09'!A:A,0))</f>
        <v/>
      </c>
      <c r="E411" s="32" t="str">
        <f t="array" ref="E411">INDEX('MTA 28-09'!F:F,MATCH(B411,'MTA 28-09'!A:A,0))</f>
        <v>CANCELADO</v>
      </c>
      <c r="F411" s="137" t="str">
        <f t="array" ref="F411">INDEX('MTA 28-09'!I:I,MATCH(B411,'MTA 28-09'!A:A,0))</f>
        <v/>
      </c>
      <c r="G411" s="36" t="str">
        <f t="array" ref="G411">INDEX('MTA 28-09'!J:J,MATCH(B411,'MTA 28-09'!A:A,0))</f>
        <v/>
      </c>
      <c r="H411" s="287" t="s">
        <v>157</v>
      </c>
      <c r="I411" s="295"/>
      <c r="J411" s="39"/>
      <c r="K411" s="40"/>
      <c r="L411" s="39" t="str">
        <f t="array" ref="L411">INDEX('MTA 28-09'!S:S,MATCH(B411,'MTA 28-09'!A:A,0))</f>
        <v>C-95M</v>
      </c>
      <c r="M411" s="32" t="str">
        <f t="array" ref="M411">INDEX('MTA 28-09'!T:T,MATCH(B411,'MTA 28-09'!A:A,0))</f>
        <v>CNT 006/CELOG-PAMASP/2026 - PW - RG</v>
      </c>
      <c r="N411" s="32" t="str">
        <f t="array" ref="N411">INDEX('MTA 28-09'!U:U,MATCH(B411,'MTA 28-09'!A:A,0))</f>
        <v>Revisão Geral PT6A-34 (5/12)</v>
      </c>
      <c r="O411" s="59" t="str">
        <f t="array" ref="O411">INDEX('MTA 28-09'!AC:AC,MATCH(B411,'MTA 28-09'!A:A,0))</f>
        <v> -</v>
      </c>
      <c r="P411" s="32" t="str">
        <f t="array" ref="P411">INDEX('MTA 28-09'!N:N,MATCH(B411,'MTA 28-09'!A:A,0))</f>
        <v>CELOG</v>
      </c>
      <c r="Q411" s="67" t="str">
        <f t="array" ref="Q411">INDEX('MTA 28-09'!Z:Z,MATCH(B411,'MTA 28-09'!A:A,0))</f>
        <v>339039</v>
      </c>
      <c r="R411" s="32" t="str">
        <f t="array" ref="R411">INDEX('MTA 28-09'!L:L,MATCH(B411,'MTA 28-09'!A:A,0))</f>
        <v>C</v>
      </c>
      <c r="S411" s="72" t="str">
        <f t="array" ref="S411">INDEX('MTA 28-09'!X:X,MATCH(B411,'MTA 28-09'!A:A,0))</f>
        <v>SOB DEMANDA</v>
      </c>
      <c r="T411" s="72" t="str">
        <f t="array" ref="T411">INDEX('MTA 28-09'!W:W,MATCH(B411,'MTA 28-09'!A:A,0))</f>
        <v>SIM</v>
      </c>
      <c r="U411" s="81">
        <f t="array" ref="U411">INDEX('MTA 28-09'!AE:AE,MATCH(B411,'MTA 28-09'!A:A,0))</f>
        <v>46352</v>
      </c>
      <c r="V411" s="12"/>
      <c r="W411" s="12"/>
      <c r="X411" s="12"/>
      <c r="Y411" s="12"/>
      <c r="Z411" s="12"/>
      <c r="AA411" s="12"/>
      <c r="AB411" s="12"/>
      <c r="AC411" s="12"/>
      <c r="AD411" s="12"/>
      <c r="AE411" s="12"/>
      <c r="AF411" s="12"/>
      <c r="AG411" s="12"/>
      <c r="AH411" s="12"/>
      <c r="AI411" s="12"/>
      <c r="AJ411" s="12"/>
      <c r="AK411" s="12"/>
      <c r="AL411" s="12"/>
      <c r="AM411" s="12"/>
    </row>
    <row r="412">
      <c r="A412" s="88" t="s">
        <v>43</v>
      </c>
      <c r="B412" s="98">
        <v>16660.0</v>
      </c>
      <c r="C412" s="92" t="str">
        <f t="array" ref="C412">INDEX('MTA 28-09'!B:B,MATCH(B412,'MTA 28-09'!A:A,0))</f>
        <v>SIM</v>
      </c>
      <c r="D412" s="95">
        <f t="array" ref="D412">INDEX('MTA 28-09'!D:D,MATCH(B412,'MTA 28-09'!A:A,0))</f>
        <v>2048</v>
      </c>
      <c r="E412" s="98" t="str">
        <f t="array" ref="E412">INDEX('MTA 28-09'!F:F,MATCH(B412,'MTA 28-09'!A:A,0))</f>
        <v>ATENDIDO</v>
      </c>
      <c r="F412" s="99">
        <f t="array" ref="F412">INDEX('MTA 28-09'!I:I,MATCH(B412,'MTA 28-09'!A:A,0))</f>
        <v>46099</v>
      </c>
      <c r="G412" s="100" t="str">
        <f t="array" ref="G412">INDEX('MTA 28-09'!J:J,MATCH(B412,'MTA 28-09'!A:A,0))</f>
        <v>C26166</v>
      </c>
      <c r="H412" s="159" t="s">
        <v>157</v>
      </c>
      <c r="I412" s="296"/>
      <c r="J412" s="102"/>
      <c r="K412" s="103"/>
      <c r="L412" s="102" t="str">
        <f t="array" ref="L412">INDEX('MTA 28-09'!S:S,MATCH(B412,'MTA 28-09'!A:A,0))</f>
        <v>C-95M</v>
      </c>
      <c r="M412" s="98" t="str">
        <f t="array" ref="M412">INDEX('MTA 28-09'!T:T,MATCH(B412,'MTA 28-09'!A:A,0))</f>
        <v>CNT 048/CELOG-PAMASP/2022 - PW - Material</v>
      </c>
      <c r="N412" s="98" t="str">
        <f t="array" ref="N412">INDEX('MTA 28-09'!U:U,MATCH(B412,'MTA 28-09'!A:A,0))</f>
        <v>Material reparo PT6A-34 (3/6)</v>
      </c>
      <c r="O412" s="104">
        <f t="array" ref="O412">INDEX('MTA 28-09'!AC:AC,MATCH(B412,'MTA 28-09'!A:A,0))</f>
        <v>1000000</v>
      </c>
      <c r="P412" s="98" t="str">
        <f t="array" ref="P412">INDEX('MTA 28-09'!N:N,MATCH(B412,'MTA 28-09'!A:A,0))</f>
        <v>CELOG</v>
      </c>
      <c r="Q412" s="105" t="str">
        <f t="array" ref="Q412">INDEX('MTA 28-09'!Z:Z,MATCH(B412,'MTA 28-09'!A:A,0))</f>
        <v>339030</v>
      </c>
      <c r="R412" s="98" t="str">
        <f t="array" ref="R412">INDEX('MTA 28-09'!L:L,MATCH(B412,'MTA 28-09'!A:A,0))</f>
        <v>A</v>
      </c>
      <c r="S412" s="107" t="str">
        <f t="array" ref="S412">INDEX('MTA 28-09'!X:X,MATCH(B412,'MTA 28-09'!A:A,0))</f>
        <v>SOB DEMANDA</v>
      </c>
      <c r="T412" s="107" t="str">
        <f t="array" ref="T412">INDEX('MTA 28-09'!W:W,MATCH(B412,'MTA 28-09'!A:A,0))</f>
        <v>SIM</v>
      </c>
      <c r="U412" s="109">
        <f t="array" ref="U412">INDEX('MTA 28-09'!AE:AE,MATCH(B412,'MTA 28-09'!A:A,0))</f>
        <v>46260</v>
      </c>
      <c r="V412" s="29"/>
      <c r="W412" s="29"/>
      <c r="X412" s="29"/>
      <c r="Y412" s="29"/>
      <c r="Z412" s="29"/>
      <c r="AA412" s="29"/>
      <c r="AB412" s="29"/>
      <c r="AC412" s="29"/>
      <c r="AD412" s="29"/>
      <c r="AE412" s="29"/>
      <c r="AF412" s="29"/>
      <c r="AG412" s="29"/>
      <c r="AH412" s="29"/>
      <c r="AI412" s="29"/>
      <c r="AJ412" s="29"/>
      <c r="AK412" s="29"/>
      <c r="AL412" s="29"/>
      <c r="AM412" s="29"/>
    </row>
    <row r="413">
      <c r="A413" s="31" t="s">
        <v>99</v>
      </c>
      <c r="B413" s="32">
        <v>16680.0</v>
      </c>
      <c r="C413" s="33" t="str">
        <f t="array" ref="C413">INDEX('MTA 28-09'!B:B,MATCH(B413,'MTA 28-09'!A:A,0))</f>
        <v>NÃO</v>
      </c>
      <c r="D413" s="34" t="str">
        <f t="array" ref="D413">INDEX('MTA 28-09'!D:D,MATCH(B413,'MTA 28-09'!A:A,0))</f>
        <v/>
      </c>
      <c r="E413" s="32" t="str">
        <f t="array" ref="E413">INDEX('MTA 28-09'!F:F,MATCH(B413,'MTA 28-09'!A:A,0))</f>
        <v/>
      </c>
      <c r="F413" s="137" t="str">
        <f t="array" ref="F413">INDEX('MTA 28-09'!I:I,MATCH(B413,'MTA 28-09'!A:A,0))</f>
        <v/>
      </c>
      <c r="G413" s="36" t="str">
        <f t="array" ref="G413">INDEX('MTA 28-09'!J:J,MATCH(B413,'MTA 28-09'!A:A,0))</f>
        <v/>
      </c>
      <c r="H413" s="287" t="s">
        <v>157</v>
      </c>
      <c r="I413" s="295"/>
      <c r="J413" s="39"/>
      <c r="K413" s="40"/>
      <c r="L413" s="39" t="str">
        <f t="array" ref="L413">INDEX('MTA 28-09'!S:S,MATCH(B413,'MTA 28-09'!A:A,0))</f>
        <v>APOIO</v>
      </c>
      <c r="M413" s="32" t="str">
        <f t="array" ref="M413">INDEX('MTA 28-09'!T:T,MATCH(B413,'MTA 28-09'!A:A,0))</f>
        <v>PREGÃO GAP-LS - AQUISIÇÃO DE ITENS DE CLASSE GERAL</v>
      </c>
      <c r="N413" s="32" t="str">
        <f t="array" ref="N413">INDEX('MTA 28-09'!U:U,MATCH(B413,'MTA 28-09'!A:A,0))</f>
        <v>AQUISIÇÃO DE MATERIAL PARA OFICINAS INTERNAS, EM ATENDIMENTO AOS DIVERSOS PROJETOS DO PAMALS 3/4</v>
      </c>
      <c r="O413" s="59">
        <f t="array" ref="O413">INDEX('MTA 28-09'!AC:AC,MATCH(B413,'MTA 28-09'!A:A,0))</f>
        <v>54000</v>
      </c>
      <c r="P413" s="32" t="str">
        <f t="array" ref="P413">INDEX('MTA 28-09'!N:N,MATCH(B413,'MTA 28-09'!A:A,0))</f>
        <v>GAP-LS</v>
      </c>
      <c r="Q413" s="67" t="str">
        <f t="array" ref="Q413">INDEX('MTA 28-09'!Z:Z,MATCH(B413,'MTA 28-09'!A:A,0))</f>
        <v>339030</v>
      </c>
      <c r="R413" s="32" t="str">
        <f t="array" ref="R413">INDEX('MTA 28-09'!L:L,MATCH(B413,'MTA 28-09'!A:A,0))</f>
        <v>C</v>
      </c>
      <c r="S413" s="72" t="str">
        <f t="array" ref="S413">INDEX('MTA 28-09'!X:X,MATCH(B413,'MTA 28-09'!A:A,0))</f>
        <v>REQUISIÇÃO</v>
      </c>
      <c r="T413" s="72" t="str">
        <f t="array" ref="T413">INDEX('MTA 28-09'!W:W,MATCH(B413,'MTA 28-09'!A:A,0))</f>
        <v>NÃO</v>
      </c>
      <c r="U413" s="81">
        <f t="array" ref="U413">INDEX('MTA 28-09'!AE:AE,MATCH(B413,'MTA 28-09'!A:A,0))</f>
        <v>46321</v>
      </c>
      <c r="V413" s="12"/>
      <c r="W413" s="12"/>
      <c r="X413" s="12"/>
      <c r="Y413" s="12"/>
      <c r="Z413" s="12"/>
      <c r="AA413" s="12"/>
      <c r="AB413" s="12"/>
      <c r="AC413" s="12"/>
      <c r="AD413" s="12"/>
      <c r="AE413" s="12"/>
      <c r="AF413" s="12"/>
      <c r="AG413" s="12"/>
      <c r="AH413" s="12"/>
      <c r="AI413" s="12"/>
      <c r="AJ413" s="12"/>
      <c r="AK413" s="12"/>
      <c r="AL413" s="12"/>
      <c r="AM413" s="12"/>
    </row>
    <row r="414">
      <c r="A414" s="88" t="s">
        <v>45</v>
      </c>
      <c r="B414" s="98">
        <v>16700.0</v>
      </c>
      <c r="C414" s="92" t="str">
        <f t="array" ref="C414">INDEX('MTA 28-09'!B:B,MATCH(B414,'MTA 28-09'!A:A,0))</f>
        <v>SIM</v>
      </c>
      <c r="D414" s="95">
        <f t="array" ref="D414">INDEX('MTA 28-09'!D:D,MATCH(B414,'MTA 28-09'!A:A,0))</f>
        <v>2048</v>
      </c>
      <c r="E414" s="98" t="str">
        <f t="array" ref="E414">INDEX('MTA 28-09'!F:F,MATCH(B414,'MTA 28-09'!A:A,0))</f>
        <v/>
      </c>
      <c r="F414" s="152" t="str">
        <f t="array" ref="F414">INDEX('MTA 28-09'!I:I,MATCH(B414,'MTA 28-09'!A:A,0))</f>
        <v/>
      </c>
      <c r="G414" s="100" t="str">
        <f t="array" ref="G414">INDEX('MTA 28-09'!J:J,MATCH(B414,'MTA 28-09'!A:A,0))</f>
        <v/>
      </c>
      <c r="H414" s="159" t="s">
        <v>157</v>
      </c>
      <c r="I414" s="296"/>
      <c r="J414" s="102"/>
      <c r="K414" s="103"/>
      <c r="L414" s="102" t="str">
        <f t="array" ref="L414">INDEX('MTA 28-09'!S:S,MATCH(B414,'MTA 28-09'!A:A,0))</f>
        <v>C-98</v>
      </c>
      <c r="M414" s="98" t="str">
        <f t="array" ref="M414">INDEX('MTA 28-09'!T:T,MATCH(B414,'MTA 28-09'!A:A,0))</f>
        <v>CNT XXX/CELOG-PAMASP/2026 - Material</v>
      </c>
      <c r="N414" s="98" t="str">
        <f t="array" ref="N414">INDEX('MTA 28-09'!U:U,MATCH(B414,'MTA 28-09'!A:A,0))</f>
        <v>Material reparo PT6A-114A (2/4)</v>
      </c>
      <c r="O414" s="104">
        <f t="array" ref="O414">INDEX('MTA 28-09'!AC:AC,MATCH(B414,'MTA 28-09'!A:A,0))</f>
        <v>1000000</v>
      </c>
      <c r="P414" s="98" t="str">
        <f t="array" ref="P414">INDEX('MTA 28-09'!N:N,MATCH(B414,'MTA 28-09'!A:A,0))</f>
        <v>CELOG</v>
      </c>
      <c r="Q414" s="105" t="str">
        <f t="array" ref="Q414">INDEX('MTA 28-09'!Z:Z,MATCH(B414,'MTA 28-09'!A:A,0))</f>
        <v>339030</v>
      </c>
      <c r="R414" s="98" t="str">
        <f t="array" ref="R414">INDEX('MTA 28-09'!L:L,MATCH(B414,'MTA 28-09'!A:A,0))</f>
        <v>A</v>
      </c>
      <c r="S414" s="107" t="str">
        <f t="array" ref="S414">INDEX('MTA 28-09'!X:X,MATCH(B414,'MTA 28-09'!A:A,0))</f>
        <v>SOB DEMANDA</v>
      </c>
      <c r="T414" s="107" t="str">
        <f t="array" ref="T414">INDEX('MTA 28-09'!W:W,MATCH(B414,'MTA 28-09'!A:A,0))</f>
        <v>SIM</v>
      </c>
      <c r="U414" s="109">
        <f t="array" ref="U414">INDEX('MTA 28-09'!AE:AE,MATCH(B414,'MTA 28-09'!A:A,0))</f>
        <v>46321</v>
      </c>
      <c r="V414" s="29"/>
      <c r="W414" s="29"/>
      <c r="X414" s="29"/>
      <c r="Y414" s="29"/>
      <c r="Z414" s="29"/>
      <c r="AA414" s="29"/>
      <c r="AB414" s="29"/>
      <c r="AC414" s="29"/>
      <c r="AD414" s="29"/>
      <c r="AE414" s="29"/>
      <c r="AF414" s="29"/>
      <c r="AG414" s="29"/>
      <c r="AH414" s="29"/>
      <c r="AI414" s="29"/>
      <c r="AJ414" s="29"/>
      <c r="AK414" s="29"/>
      <c r="AL414" s="29"/>
      <c r="AM414" s="29"/>
    </row>
    <row r="415">
      <c r="A415" s="31" t="s">
        <v>99</v>
      </c>
      <c r="B415" s="32">
        <v>16720.0</v>
      </c>
      <c r="C415" s="33" t="str">
        <f t="array" ref="C415">INDEX('MTA 28-09'!B:B,MATCH(B415,'MTA 28-09'!A:A,0))</f>
        <v>NÃO</v>
      </c>
      <c r="D415" s="34" t="str">
        <f t="array" ref="D415">INDEX('MTA 28-09'!D:D,MATCH(B415,'MTA 28-09'!A:A,0))</f>
        <v/>
      </c>
      <c r="E415" s="32" t="str">
        <f t="array" ref="E415">INDEX('MTA 28-09'!F:F,MATCH(B415,'MTA 28-09'!A:A,0))</f>
        <v/>
      </c>
      <c r="F415" s="155" t="str">
        <f t="array" ref="F415">INDEX('MTA 28-09'!I:I,MATCH(B415,'MTA 28-09'!A:A,0))</f>
        <v/>
      </c>
      <c r="G415" s="36" t="str">
        <f t="array" ref="G415">INDEX('MTA 28-09'!J:J,MATCH(B415,'MTA 28-09'!A:A,0))</f>
        <v/>
      </c>
      <c r="H415" s="287" t="s">
        <v>157</v>
      </c>
      <c r="I415" s="295"/>
      <c r="J415" s="39"/>
      <c r="K415" s="40"/>
      <c r="L415" s="39" t="str">
        <f t="array" ref="L415">INDEX('MTA 28-09'!S:S,MATCH(B415,'MTA 28-09'!A:A,0))</f>
        <v>APOIO</v>
      </c>
      <c r="M415" s="32" t="str">
        <f t="array" ref="M415">INDEX('MTA 28-09'!T:T,MATCH(B415,'MTA 28-09'!A:A,0))</f>
        <v>CNT 032/CELOG-PAMALS/2025 - SENAI</v>
      </c>
      <c r="N415" s="32" t="str">
        <f t="array" ref="N415">INDEX('MTA 28-09'!U:U,MATCH(B415,'MTA 28-09'!A:A,0))</f>
        <v>Confecção de itens manufaturados 3/4</v>
      </c>
      <c r="O415" s="59">
        <f t="array" ref="O415">INDEX('MTA 28-09'!AC:AC,MATCH(B415,'MTA 28-09'!A:A,0))</f>
        <v>648000</v>
      </c>
      <c r="P415" s="32" t="str">
        <f t="array" ref="P415">INDEX('MTA 28-09'!N:N,MATCH(B415,'MTA 28-09'!A:A,0))</f>
        <v>CELOG</v>
      </c>
      <c r="Q415" s="67" t="str">
        <f t="array" ref="Q415">INDEX('MTA 28-09'!Z:Z,MATCH(B415,'MTA 28-09'!A:A,0))</f>
        <v>339039</v>
      </c>
      <c r="R415" s="32" t="str">
        <f t="array" ref="R415">INDEX('MTA 28-09'!L:L,MATCH(B415,'MTA 28-09'!A:A,0))</f>
        <v>C</v>
      </c>
      <c r="S415" s="72" t="str">
        <f t="array" ref="S415">INDEX('MTA 28-09'!X:X,MATCH(B415,'MTA 28-09'!A:A,0))</f>
        <v>SOB DEMANDA</v>
      </c>
      <c r="T415" s="72" t="str">
        <f t="array" ref="T415">INDEX('MTA 28-09'!W:W,MATCH(B415,'MTA 28-09'!A:A,0))</f>
        <v>NÃO</v>
      </c>
      <c r="U415" s="81">
        <f t="array" ref="U415">INDEX('MTA 28-09'!AE:AE,MATCH(B415,'MTA 28-09'!A:A,0))</f>
        <v>46321</v>
      </c>
      <c r="V415" s="12"/>
      <c r="W415" s="12"/>
      <c r="X415" s="12"/>
      <c r="Y415" s="12"/>
      <c r="Z415" s="12"/>
      <c r="AA415" s="12"/>
      <c r="AB415" s="12"/>
      <c r="AC415" s="12"/>
      <c r="AD415" s="12"/>
      <c r="AE415" s="12"/>
      <c r="AF415" s="12"/>
      <c r="AG415" s="12"/>
      <c r="AH415" s="12"/>
      <c r="AI415" s="12"/>
      <c r="AJ415" s="12"/>
      <c r="AK415" s="12"/>
      <c r="AL415" s="12"/>
      <c r="AM415" s="12"/>
    </row>
    <row r="416">
      <c r="A416" s="88" t="s">
        <v>49</v>
      </c>
      <c r="B416" s="98">
        <v>16740.0</v>
      </c>
      <c r="C416" s="92" t="str">
        <f t="array" ref="C416">INDEX('MTA 28-09'!B:B,MATCH(B416,'MTA 28-09'!A:A,0))</f>
        <v>SIM</v>
      </c>
      <c r="D416" s="95" t="str">
        <f t="array" ref="D416">INDEX('MTA 28-09'!D:D,MATCH(B416,'MTA 28-09'!A:A,0))</f>
        <v>20XV</v>
      </c>
      <c r="E416" s="98" t="str">
        <f t="array" ref="E416">INDEX('MTA 28-09'!F:F,MATCH(B416,'MTA 28-09'!A:A,0))</f>
        <v>ATENDIDO</v>
      </c>
      <c r="F416" s="152">
        <f t="array" ref="F416">INDEX('MTA 28-09'!I:I,MATCH(B416,'MTA 28-09'!A:A,0))</f>
        <v>46204</v>
      </c>
      <c r="G416" s="100" t="str">
        <f t="array" ref="G416">INDEX('MTA 28-09'!J:J,MATCH(B416,'MTA 28-09'!A:A,0))</f>
        <v>C26152</v>
      </c>
      <c r="H416" s="101" t="s">
        <v>375</v>
      </c>
      <c r="I416" s="90"/>
      <c r="J416" s="102"/>
      <c r="K416" s="103"/>
      <c r="L416" s="102" t="str">
        <f t="array" ref="L416">INDEX('MTA 28-09'!S:S,MATCH(B416,'MTA 28-09'!A:A,0))</f>
        <v>IU-93M</v>
      </c>
      <c r="M416" s="98" t="str">
        <f t="array" ref="M416">INDEX('MTA 28-09'!T:T,MATCH(B416,'MTA 28-09'!A:A,0))</f>
        <v>CNT 024/CELOG-PAMALS/2022 - VEE ONE</v>
      </c>
      <c r="N416" s="98" t="str">
        <f t="array" ref="N416">INDEX('MTA 28-09'!U:U,MATCH(B416,'MTA 28-09'!A:A,0))</f>
        <v>Módulo Extra - Sob demanda 2/3</v>
      </c>
      <c r="O416" s="104">
        <f t="array" ref="O416">INDEX('MTA 28-09'!AC:AC,MATCH(B416,'MTA 28-09'!A:A,0))</f>
        <v>471588.9</v>
      </c>
      <c r="P416" s="98" t="str">
        <f t="array" ref="P416">INDEX('MTA 28-09'!N:N,MATCH(B416,'MTA 28-09'!A:A,0))</f>
        <v>CELOG</v>
      </c>
      <c r="Q416" s="105" t="str">
        <f t="array" ref="Q416">INDEX('MTA 28-09'!Z:Z,MATCH(B416,'MTA 28-09'!A:A,0))</f>
        <v>339039</v>
      </c>
      <c r="R416" s="98" t="str">
        <f t="array" ref="R416">INDEX('MTA 28-09'!L:L,MATCH(B416,'MTA 28-09'!A:A,0))</f>
        <v>A</v>
      </c>
      <c r="S416" s="107" t="str">
        <f t="array" ref="S416">INDEX('MTA 28-09'!X:X,MATCH(B416,'MTA 28-09'!A:A,0))</f>
        <v>SOB DEMANDA</v>
      </c>
      <c r="T416" s="107" t="str">
        <f t="array" ref="T416">INDEX('MTA 28-09'!W:W,MATCH(B416,'MTA 28-09'!A:A,0))</f>
        <v>Não</v>
      </c>
      <c r="U416" s="109">
        <f t="array" ref="U416">INDEX('MTA 28-09'!AE:AE,MATCH(B416,'MTA 28-09'!A:A,0))</f>
        <v>46260</v>
      </c>
      <c r="V416" s="29"/>
      <c r="W416" s="29"/>
      <c r="X416" s="29"/>
      <c r="Y416" s="29"/>
      <c r="Z416" s="29"/>
      <c r="AA416" s="29"/>
      <c r="AB416" s="29"/>
      <c r="AC416" s="29"/>
      <c r="AD416" s="29"/>
      <c r="AE416" s="29"/>
      <c r="AF416" s="29"/>
      <c r="AG416" s="29"/>
      <c r="AH416" s="29"/>
      <c r="AI416" s="29"/>
      <c r="AJ416" s="29"/>
      <c r="AK416" s="29"/>
      <c r="AL416" s="29"/>
      <c r="AM416" s="29"/>
    </row>
    <row r="417">
      <c r="A417" s="31" t="s">
        <v>49</v>
      </c>
      <c r="B417" s="38">
        <v>16741.0</v>
      </c>
      <c r="C417" s="33" t="str">
        <f t="array" ref="C417">INDEX('MTA 28-09'!B:B,MATCH(B417,'MTA 28-09'!A:A,0))</f>
        <v>SIM</v>
      </c>
      <c r="D417" s="34" t="str">
        <f t="array" ref="D417">INDEX('MTA 28-09'!D:D,MATCH(B417,'MTA 28-09'!A:A,0))</f>
        <v>20XV</v>
      </c>
      <c r="E417" s="32" t="str">
        <f t="array" ref="E417">INDEX('MTA 28-09'!F:F,MATCH(B417,'MTA 28-09'!A:A,0))</f>
        <v>ATENDIDO</v>
      </c>
      <c r="F417" s="137">
        <f t="array" ref="F417">INDEX('MTA 28-09'!I:I,MATCH(B417,'MTA 28-09'!A:A,0))</f>
        <v>46204</v>
      </c>
      <c r="G417" s="36" t="str">
        <f t="array" ref="G417">INDEX('MTA 28-09'!J:J,MATCH(B417,'MTA 28-09'!A:A,0))</f>
        <v>C26152</v>
      </c>
      <c r="H417" s="287" t="s">
        <v>157</v>
      </c>
      <c r="I417" s="295"/>
      <c r="J417" s="39"/>
      <c r="K417" s="40"/>
      <c r="L417" s="39" t="str">
        <f t="array" ref="L417">INDEX('MTA 28-09'!S:S,MATCH(B417,'MTA 28-09'!A:A,0))</f>
        <v>IU-93M</v>
      </c>
      <c r="M417" s="32" t="str">
        <f t="array" ref="M417">INDEX('MTA 28-09'!T:T,MATCH(B417,'MTA 28-09'!A:A,0))</f>
        <v>CNT 024/CELOG-PAMALS/2022 - VEE ONE</v>
      </c>
      <c r="N417" s="32" t="str">
        <f t="array" ref="N417">INDEX('MTA 28-09'!U:U,MATCH(B417,'MTA 28-09'!A:A,0))</f>
        <v>Módulo Extra - Sob demanda 2/3</v>
      </c>
      <c r="O417" s="59">
        <f t="array" ref="O417">INDEX('MTA 28-09'!AC:AC,MATCH(B417,'MTA 28-09'!A:A,0))</f>
        <v>600000</v>
      </c>
      <c r="P417" s="32" t="str">
        <f t="array" ref="P417">INDEX('MTA 28-09'!N:N,MATCH(B417,'MTA 28-09'!A:A,0))</f>
        <v>CELOG</v>
      </c>
      <c r="Q417" s="67" t="str">
        <f t="array" ref="Q417">INDEX('MTA 28-09'!Z:Z,MATCH(B417,'MTA 28-09'!A:A,0))</f>
        <v>339039</v>
      </c>
      <c r="R417" s="32" t="str">
        <f t="array" ref="R417">INDEX('MTA 28-09'!L:L,MATCH(B417,'MTA 28-09'!A:A,0))</f>
        <v>A</v>
      </c>
      <c r="S417" s="72" t="str">
        <f t="array" ref="S417">INDEX('MTA 28-09'!X:X,MATCH(B417,'MTA 28-09'!A:A,0))</f>
        <v>SOB DEMANDA</v>
      </c>
      <c r="T417" s="72" t="str">
        <f t="array" ref="T417">INDEX('MTA 28-09'!W:W,MATCH(B417,'MTA 28-09'!A:A,0))</f>
        <v>Não</v>
      </c>
      <c r="U417" s="81">
        <f t="array" ref="U417">INDEX('MTA 28-09'!AE:AE,MATCH(B417,'MTA 28-09'!A:A,0))</f>
        <v>46260</v>
      </c>
      <c r="V417" s="12"/>
      <c r="W417" s="12"/>
      <c r="X417" s="12"/>
      <c r="Y417" s="12"/>
      <c r="Z417" s="12"/>
      <c r="AA417" s="12"/>
      <c r="AB417" s="12"/>
      <c r="AC417" s="12"/>
      <c r="AD417" s="12"/>
      <c r="AE417" s="12"/>
      <c r="AF417" s="12"/>
      <c r="AG417" s="12"/>
      <c r="AH417" s="12"/>
      <c r="AI417" s="12"/>
      <c r="AJ417" s="12"/>
      <c r="AK417" s="12"/>
      <c r="AL417" s="12"/>
      <c r="AM417" s="12"/>
    </row>
    <row r="418">
      <c r="A418" s="88" t="s">
        <v>39</v>
      </c>
      <c r="B418" s="98">
        <v>16760.0</v>
      </c>
      <c r="C418" s="92" t="str">
        <f t="array" ref="C418">INDEX('MTA 28-09'!B:B,MATCH(B418,'MTA 28-09'!A:A,0))</f>
        <v>SIM</v>
      </c>
      <c r="D418" s="95">
        <f t="array" ref="D418">INDEX('MTA 28-09'!D:D,MATCH(B418,'MTA 28-09'!A:A,0))</f>
        <v>2048</v>
      </c>
      <c r="E418" s="98" t="str">
        <f t="array" ref="E418">INDEX('MTA 28-09'!F:F,MATCH(B418,'MTA 28-09'!A:A,0))</f>
        <v>ATENDER</v>
      </c>
      <c r="F418" s="144" t="str">
        <f t="array" ref="F418">INDEX('MTA 28-09'!I:I,MATCH(B418,'MTA 28-09'!A:A,0))</f>
        <v/>
      </c>
      <c r="G418" s="100" t="str">
        <f t="array" ref="G418">INDEX('MTA 28-09'!J:J,MATCH(B418,'MTA 28-09'!A:A,0))</f>
        <v/>
      </c>
      <c r="H418" s="101" t="s">
        <v>1451</v>
      </c>
      <c r="I418" s="90" t="s">
        <v>152</v>
      </c>
      <c r="J418" s="102"/>
      <c r="K418" s="103"/>
      <c r="L418" s="102" t="str">
        <f t="array" ref="L418">INDEX('MTA 28-09'!S:S,MATCH(B418,'MTA 28-09'!A:A,0))</f>
        <v>A-29</v>
      </c>
      <c r="M418" s="98" t="str">
        <f t="array" ref="M418">INDEX('MTA 28-09'!T:T,MATCH(B418,'MTA 28-09'!A:A,0))</f>
        <v>CTT 102/CELOG-PAMALS/2023 – EMBRAER - PSLI</v>
      </c>
      <c r="N418" s="98" t="str">
        <f t="array" ref="N418">INDEX('MTA 28-09'!U:U,MATCH(B418,'MTA 28-09'!A:A,0))</f>
        <v>Parcela Fixa 09/12</v>
      </c>
      <c r="O418" s="104">
        <f t="array" ref="O418">INDEX('MTA 28-09'!AC:AC,MATCH(B418,'MTA 28-09'!A:A,0))</f>
        <v>2310000</v>
      </c>
      <c r="P418" s="98" t="str">
        <f t="array" ref="P418">INDEX('MTA 28-09'!N:N,MATCH(B418,'MTA 28-09'!A:A,0))</f>
        <v>CELOG</v>
      </c>
      <c r="Q418" s="105" t="str">
        <f t="array" ref="Q418">INDEX('MTA 28-09'!Z:Z,MATCH(B418,'MTA 28-09'!A:A,0))</f>
        <v>339039</v>
      </c>
      <c r="R418" s="98" t="str">
        <f t="array" ref="R418">INDEX('MTA 28-09'!L:L,MATCH(B418,'MTA 28-09'!A:A,0))</f>
        <v>A</v>
      </c>
      <c r="S418" s="107" t="str">
        <f t="array" ref="S418">INDEX('MTA 28-09'!X:X,MATCH(B418,'MTA 28-09'!A:A,0))</f>
        <v>PARCELA FIXA</v>
      </c>
      <c r="T418" s="107" t="str">
        <f t="array" ref="T418">INDEX('MTA 28-09'!W:W,MATCH(B418,'MTA 28-09'!A:A,0))</f>
        <v>Não</v>
      </c>
      <c r="U418" s="109">
        <f t="array" ref="U418">INDEX('MTA 28-09'!AE:AE,MATCH(B418,'MTA 28-09'!A:A,0))</f>
        <v>46352</v>
      </c>
      <c r="V418" s="29"/>
      <c r="W418" s="29"/>
      <c r="X418" s="29"/>
      <c r="Y418" s="29"/>
      <c r="Z418" s="29"/>
      <c r="AA418" s="29"/>
      <c r="AB418" s="29"/>
      <c r="AC418" s="29"/>
      <c r="AD418" s="29"/>
      <c r="AE418" s="29"/>
      <c r="AF418" s="29"/>
      <c r="AG418" s="29"/>
      <c r="AH418" s="29"/>
      <c r="AI418" s="29"/>
      <c r="AJ418" s="29"/>
      <c r="AK418" s="29"/>
      <c r="AL418" s="29"/>
      <c r="AM418" s="29"/>
    </row>
    <row r="419">
      <c r="A419" s="31" t="s">
        <v>44</v>
      </c>
      <c r="B419" s="32">
        <v>16780.0</v>
      </c>
      <c r="C419" s="33" t="str">
        <f t="array" ref="C419">INDEX('MTA 28-09'!B:B,MATCH(B419,'MTA 28-09'!A:A,0))</f>
        <v>SIM</v>
      </c>
      <c r="D419" s="34">
        <f t="array" ref="D419">INDEX('MTA 28-09'!D:D,MATCH(B419,'MTA 28-09'!A:A,0))</f>
        <v>2048</v>
      </c>
      <c r="E419" s="32" t="str">
        <f t="array" ref="E419">INDEX('MTA 28-09'!F:F,MATCH(B419,'MTA 28-09'!A:A,0))</f>
        <v>CANCELADO</v>
      </c>
      <c r="F419" s="384" t="str">
        <f t="array" ref="F419">INDEX('MTA 28-09'!I:I,MATCH(B419,'MTA 28-09'!A:A,0))</f>
        <v/>
      </c>
      <c r="G419" s="36" t="str">
        <f t="array" ref="G419">INDEX('MTA 28-09'!J:J,MATCH(B419,'MTA 28-09'!A:A,0))</f>
        <v/>
      </c>
      <c r="H419" s="156">
        <v>46276.0</v>
      </c>
      <c r="I419" s="157" t="s">
        <v>1590</v>
      </c>
      <c r="J419" s="39"/>
      <c r="K419" s="40"/>
      <c r="L419" s="39" t="str">
        <f t="array" ref="L419">INDEX('MTA 28-09'!S:S,MATCH(B419,'MTA 28-09'!A:A,0))</f>
        <v>C-97</v>
      </c>
      <c r="M419" s="32" t="str">
        <f t="array" ref="M419">INDEX('MTA 28-09'!T:T,MATCH(B419,'MTA 28-09'!A:A,0))</f>
        <v>CTT 096/CAE-PAMALS/2021 - CLS C-97</v>
      </c>
      <c r="N419" s="32" t="str">
        <f t="array" ref="N419">INDEX('MTA 28-09'!U:U,MATCH(B419,'MTA 28-09'!A:A,0))</f>
        <v>Parcela Fixa 10/12</v>
      </c>
      <c r="O419" s="59" t="str">
        <f t="array" ref="O419">INDEX('MTA 28-09'!AC:AC,MATCH(B419,'MTA 28-09'!A:A,0))</f>
        <v> -</v>
      </c>
      <c r="P419" s="32" t="str">
        <f t="array" ref="P419">INDEX('MTA 28-09'!N:N,MATCH(B419,'MTA 28-09'!A:A,0))</f>
        <v>CELOG</v>
      </c>
      <c r="Q419" s="67" t="str">
        <f t="array" ref="Q419">INDEX('MTA 28-09'!Z:Z,MATCH(B419,'MTA 28-09'!A:A,0))</f>
        <v>339039</v>
      </c>
      <c r="R419" s="32" t="str">
        <f t="array" ref="R419">INDEX('MTA 28-09'!L:L,MATCH(B419,'MTA 28-09'!A:A,0))</f>
        <v>A</v>
      </c>
      <c r="S419" s="72" t="str">
        <f t="array" ref="S419">INDEX('MTA 28-09'!X:X,MATCH(B419,'MTA 28-09'!A:A,0))</f>
        <v>PARCELA FIXA</v>
      </c>
      <c r="T419" s="72" t="str">
        <f t="array" ref="T419">INDEX('MTA 28-09'!W:W,MATCH(B419,'MTA 28-09'!A:A,0))</f>
        <v>Não</v>
      </c>
      <c r="U419" s="81">
        <f t="array" ref="U419">INDEX('MTA 28-09'!AE:AE,MATCH(B419,'MTA 28-09'!A:A,0))</f>
        <v>46382</v>
      </c>
      <c r="V419" s="12"/>
      <c r="W419" s="12"/>
      <c r="X419" s="12"/>
      <c r="Y419" s="12"/>
      <c r="Z419" s="12"/>
      <c r="AA419" s="12"/>
      <c r="AB419" s="12"/>
      <c r="AC419" s="12"/>
      <c r="AD419" s="12"/>
      <c r="AE419" s="12"/>
      <c r="AF419" s="12"/>
      <c r="AG419" s="12"/>
      <c r="AH419" s="12"/>
      <c r="AI419" s="12"/>
      <c r="AJ419" s="12"/>
      <c r="AK419" s="12"/>
      <c r="AL419" s="12"/>
      <c r="AM419" s="12"/>
    </row>
    <row r="420">
      <c r="A420" s="88" t="s">
        <v>39</v>
      </c>
      <c r="B420" s="98">
        <v>16800.0</v>
      </c>
      <c r="C420" s="92" t="str">
        <f t="array" ref="C420">INDEX('MTA 28-09'!B:B,MATCH(B420,'MTA 28-09'!A:A,0))</f>
        <v>SIM</v>
      </c>
      <c r="D420" s="95" t="str">
        <f t="array" ref="D420">INDEX('MTA 28-09'!D:D,MATCH(B420,'MTA 28-09'!A:A,0))</f>
        <v>20XV</v>
      </c>
      <c r="E420" s="98" t="str">
        <f t="array" ref="E420">INDEX('MTA 28-09'!F:F,MATCH(B420,'MTA 28-09'!A:A,0))</f>
        <v>ATENDIDO</v>
      </c>
      <c r="F420" s="144">
        <f t="array" ref="F420">INDEX('MTA 28-09'!I:I,MATCH(B420,'MTA 28-09'!A:A,0))</f>
        <v>46227</v>
      </c>
      <c r="G420" s="100" t="str">
        <f t="array" ref="G420">INDEX('MTA 28-09'!J:J,MATCH(B420,'MTA 28-09'!A:A,0))</f>
        <v>C26364</v>
      </c>
      <c r="H420" s="101" t="s">
        <v>1451</v>
      </c>
      <c r="I420" s="90"/>
      <c r="J420" s="102"/>
      <c r="K420" s="103"/>
      <c r="L420" s="102" t="str">
        <f t="array" ref="L420">INDEX('MTA 28-09'!S:S,MATCH(B420,'MTA 28-09'!A:A,0))</f>
        <v>A-29</v>
      </c>
      <c r="M420" s="98" t="str">
        <f t="array" ref="M420">INDEX('MTA 28-09'!T:T,MATCH(B420,'MTA 28-09'!A:A,0))</f>
        <v>CNT 040/CELOG-PAMALS/2022 - AEL - CLS AVIONICO</v>
      </c>
      <c r="N420" s="98" t="str">
        <f t="array" ref="N420">INDEX('MTA 28-09'!U:U,MATCH(B420,'MTA 28-09'!A:A,0))</f>
        <v>Hora de Voo 08/10 - 1000 HV</v>
      </c>
      <c r="O420" s="104">
        <f t="array" ref="O420">INDEX('MTA 28-09'!AC:AC,MATCH(B420,'MTA 28-09'!A:A,0))</f>
        <v>1057110</v>
      </c>
      <c r="P420" s="98" t="str">
        <f t="array" ref="P420">INDEX('MTA 28-09'!N:N,MATCH(B420,'MTA 28-09'!A:A,0))</f>
        <v>CELOG</v>
      </c>
      <c r="Q420" s="105" t="str">
        <f t="array" ref="Q420">INDEX('MTA 28-09'!Z:Z,MATCH(B420,'MTA 28-09'!A:A,0))</f>
        <v>339039</v>
      </c>
      <c r="R420" s="98" t="str">
        <f t="array" ref="R420">INDEX('MTA 28-09'!L:L,MATCH(B420,'MTA 28-09'!A:A,0))</f>
        <v>A</v>
      </c>
      <c r="S420" s="107" t="str">
        <f t="array" ref="S420">INDEX('MTA 28-09'!X:X,MATCH(B420,'MTA 28-09'!A:A,0))</f>
        <v>HORA DE VOO</v>
      </c>
      <c r="T420" s="107" t="str">
        <f t="array" ref="T420">INDEX('MTA 28-09'!W:W,MATCH(B420,'MTA 28-09'!A:A,0))</f>
        <v>Não</v>
      </c>
      <c r="U420" s="109">
        <f t="array" ref="U420">INDEX('MTA 28-09'!AE:AE,MATCH(B420,'MTA 28-09'!A:A,0))</f>
        <v>46321</v>
      </c>
      <c r="V420" s="29"/>
      <c r="W420" s="29"/>
      <c r="X420" s="29"/>
      <c r="Y420" s="29"/>
      <c r="Z420" s="29"/>
      <c r="AA420" s="29"/>
      <c r="AB420" s="29"/>
      <c r="AC420" s="29"/>
      <c r="AD420" s="29"/>
      <c r="AE420" s="29"/>
      <c r="AF420" s="29"/>
      <c r="AG420" s="29"/>
      <c r="AH420" s="29"/>
      <c r="AI420" s="29"/>
      <c r="AJ420" s="29"/>
      <c r="AK420" s="29"/>
      <c r="AL420" s="29"/>
      <c r="AM420" s="29"/>
    </row>
    <row r="421">
      <c r="A421" s="31" t="s">
        <v>43</v>
      </c>
      <c r="B421" s="32">
        <v>16820.0</v>
      </c>
      <c r="C421" s="33" t="str">
        <f t="array" ref="C421">INDEX('MTA 28-09'!B:B,MATCH(B421,'MTA 28-09'!A:A,0))</f>
        <v>SIM</v>
      </c>
      <c r="D421" s="34">
        <f t="array" ref="D421">INDEX('MTA 28-09'!D:D,MATCH(B421,'MTA 28-09'!A:A,0))</f>
        <v>2048</v>
      </c>
      <c r="E421" s="32" t="str">
        <f t="array" ref="E421">INDEX('MTA 28-09'!F:F,MATCH(B421,'MTA 28-09'!A:A,0))</f>
        <v/>
      </c>
      <c r="F421" s="155" t="str">
        <f t="array" ref="F421">INDEX('MTA 28-09'!I:I,MATCH(B421,'MTA 28-09'!A:A,0))</f>
        <v/>
      </c>
      <c r="G421" s="36" t="str">
        <f t="array" ref="G421">INDEX('MTA 28-09'!J:J,MATCH(B421,'MTA 28-09'!A:A,0))</f>
        <v/>
      </c>
      <c r="H421" s="156">
        <v>46276.0</v>
      </c>
      <c r="I421" s="38" t="s">
        <v>1591</v>
      </c>
      <c r="J421" s="39"/>
      <c r="K421" s="40"/>
      <c r="L421" s="39" t="str">
        <f t="array" ref="L421">INDEX('MTA 28-09'!S:S,MATCH(B421,'MTA 28-09'!A:A,0))</f>
        <v>C-95M</v>
      </c>
      <c r="M421" s="32" t="str">
        <f t="array" ref="M421">INDEX('MTA 28-09'!T:T,MATCH(B421,'MTA 28-09'!A:A,0))</f>
        <v>CTT 028/CELOG-PAMALS/2025 – CLS AVIÔNICOS</v>
      </c>
      <c r="N421" s="32" t="str">
        <f t="array" ref="N421">INDEX('MTA 28-09'!U:U,MATCH(B421,'MTA 28-09'!A:A,0))</f>
        <v>Hora de Voo 07/09 - 1000 HV</v>
      </c>
      <c r="O421" s="59">
        <f t="array" ref="O421">INDEX('MTA 28-09'!AC:AC,MATCH(B421,'MTA 28-09'!A:A,0))</f>
        <v>619070</v>
      </c>
      <c r="P421" s="32" t="str">
        <f t="array" ref="P421">INDEX('MTA 28-09'!N:N,MATCH(B421,'MTA 28-09'!A:A,0))</f>
        <v>CELOG</v>
      </c>
      <c r="Q421" s="67" t="str">
        <f t="array" ref="Q421">INDEX('MTA 28-09'!Z:Z,MATCH(B421,'MTA 28-09'!A:A,0))</f>
        <v>339039</v>
      </c>
      <c r="R421" s="32" t="str">
        <f t="array" ref="R421">INDEX('MTA 28-09'!L:L,MATCH(B421,'MTA 28-09'!A:A,0))</f>
        <v>A</v>
      </c>
      <c r="S421" s="72" t="str">
        <f t="array" ref="S421">INDEX('MTA 28-09'!X:X,MATCH(B421,'MTA 28-09'!A:A,0))</f>
        <v>HORA DE VOO</v>
      </c>
      <c r="T421" s="72" t="str">
        <f t="array" ref="T421">INDEX('MTA 28-09'!W:W,MATCH(B421,'MTA 28-09'!A:A,0))</f>
        <v>Não</v>
      </c>
      <c r="U421" s="81">
        <f t="array" ref="U421">INDEX('MTA 28-09'!AE:AE,MATCH(B421,'MTA 28-09'!A:A,0))</f>
        <v>46049</v>
      </c>
      <c r="V421" s="12"/>
      <c r="W421" s="12"/>
      <c r="X421" s="12"/>
      <c r="Y421" s="12"/>
      <c r="Z421" s="12"/>
      <c r="AA421" s="12"/>
      <c r="AB421" s="12"/>
      <c r="AC421" s="12"/>
      <c r="AD421" s="12"/>
      <c r="AE421" s="12"/>
      <c r="AF421" s="12"/>
      <c r="AG421" s="12"/>
      <c r="AH421" s="12"/>
      <c r="AI421" s="12"/>
      <c r="AJ421" s="12"/>
      <c r="AK421" s="12"/>
      <c r="AL421" s="12"/>
      <c r="AM421" s="12"/>
    </row>
    <row r="422">
      <c r="A422" s="88" t="s">
        <v>43</v>
      </c>
      <c r="B422" s="98">
        <v>16821.0</v>
      </c>
      <c r="C422" s="92" t="str">
        <f t="array" ref="C422">INDEX('MTA 28-09'!B:B,MATCH(B422,'MTA 28-09'!A:A,0))</f>
        <v>NÃO</v>
      </c>
      <c r="D422" s="95" t="str">
        <f t="array" ref="D422">INDEX('MTA 28-09'!D:D,MATCH(B422,'MTA 28-09'!A:A,0))</f>
        <v/>
      </c>
      <c r="E422" s="98" t="str">
        <f t="array" ref="E422">INDEX('MTA 28-09'!F:F,MATCH(B422,'MTA 28-09'!A:A,0))</f>
        <v/>
      </c>
      <c r="F422" s="152" t="str">
        <f t="array" ref="F422">INDEX('MTA 28-09'!I:I,MATCH(B422,'MTA 28-09'!A:A,0))</f>
        <v/>
      </c>
      <c r="G422" s="100" t="str">
        <f t="array" ref="G422">INDEX('MTA 28-09'!J:J,MATCH(B422,'MTA 28-09'!A:A,0))</f>
        <v/>
      </c>
      <c r="H422" s="159" t="s">
        <v>157</v>
      </c>
      <c r="I422" s="296"/>
      <c r="J422" s="102"/>
      <c r="K422" s="103"/>
      <c r="L422" s="102" t="str">
        <f t="array" ref="L422">INDEX('MTA 28-09'!S:S,MATCH(B422,'MTA 28-09'!A:A,0))</f>
        <v>C-95M</v>
      </c>
      <c r="M422" s="98" t="str">
        <f t="array" ref="M422">INDEX('MTA 28-09'!T:T,MATCH(B422,'MTA 28-09'!A:A,0))</f>
        <v>CTT 028/CELOG-PAMALS/2025 – CLS AVIÔNICOS</v>
      </c>
      <c r="N422" s="98" t="str">
        <f t="array" ref="N422">INDEX('MTA 28-09'!U:U,MATCH(B422,'MTA 28-09'!A:A,0))</f>
        <v>Hora de Voo 07/09 - 115 HV</v>
      </c>
      <c r="O422" s="104">
        <f t="array" ref="O422">INDEX('MTA 28-09'!AC:AC,MATCH(B422,'MTA 28-09'!A:A,0))</f>
        <v>71200</v>
      </c>
      <c r="P422" s="98" t="str">
        <f t="array" ref="P422">INDEX('MTA 28-09'!N:N,MATCH(B422,'MTA 28-09'!A:A,0))</f>
        <v>CELOG</v>
      </c>
      <c r="Q422" s="105" t="str">
        <f t="array" ref="Q422">INDEX('MTA 28-09'!Z:Z,MATCH(B422,'MTA 28-09'!A:A,0))</f>
        <v>339039</v>
      </c>
      <c r="R422" s="98" t="str">
        <f t="array" ref="R422">INDEX('MTA 28-09'!L:L,MATCH(B422,'MTA 28-09'!A:A,0))</f>
        <v>B</v>
      </c>
      <c r="S422" s="107" t="str">
        <f t="array" ref="S422">INDEX('MTA 28-09'!X:X,MATCH(B422,'MTA 28-09'!A:A,0))</f>
        <v>HORA DE VOO</v>
      </c>
      <c r="T422" s="107" t="str">
        <f t="array" ref="T422">INDEX('MTA 28-09'!W:W,MATCH(B422,'MTA 28-09'!A:A,0))</f>
        <v>Não</v>
      </c>
      <c r="U422" s="109">
        <f t="array" ref="U422">INDEX('MTA 28-09'!AE:AE,MATCH(B422,'MTA 28-09'!A:A,0))</f>
        <v>46080</v>
      </c>
      <c r="V422" s="29"/>
      <c r="W422" s="29"/>
      <c r="X422" s="29"/>
      <c r="Y422" s="29"/>
      <c r="Z422" s="29"/>
      <c r="AA422" s="29"/>
      <c r="AB422" s="29"/>
      <c r="AC422" s="29"/>
      <c r="AD422" s="29"/>
      <c r="AE422" s="29"/>
      <c r="AF422" s="29"/>
      <c r="AG422" s="29"/>
      <c r="AH422" s="29"/>
      <c r="AI422" s="29"/>
      <c r="AJ422" s="29"/>
      <c r="AK422" s="29"/>
      <c r="AL422" s="29"/>
      <c r="AM422" s="29"/>
    </row>
    <row r="423">
      <c r="A423" s="31" t="s">
        <v>43</v>
      </c>
      <c r="B423" s="32">
        <v>16840.0</v>
      </c>
      <c r="C423" s="33" t="str">
        <f t="array" ref="C423">INDEX('MTA 28-09'!B:B,MATCH(B423,'MTA 28-09'!A:A,0))</f>
        <v>SIM</v>
      </c>
      <c r="D423" s="34">
        <f t="array" ref="D423">INDEX('MTA 28-09'!D:D,MATCH(B423,'MTA 28-09'!A:A,0))</f>
        <v>2048</v>
      </c>
      <c r="E423" s="32" t="str">
        <f t="array" ref="E423">INDEX('MTA 28-09'!F:F,MATCH(B423,'MTA 28-09'!A:A,0))</f>
        <v/>
      </c>
      <c r="F423" s="155" t="str">
        <f t="array" ref="F423">INDEX('MTA 28-09'!I:I,MATCH(B423,'MTA 28-09'!A:A,0))</f>
        <v/>
      </c>
      <c r="G423" s="36" t="str">
        <f t="array" ref="G423">INDEX('MTA 28-09'!J:J,MATCH(B423,'MTA 28-09'!A:A,0))</f>
        <v/>
      </c>
      <c r="H423" s="156">
        <v>46276.0</v>
      </c>
      <c r="I423" s="38" t="s">
        <v>1569</v>
      </c>
      <c r="J423" s="39"/>
      <c r="K423" s="40"/>
      <c r="L423" s="39" t="str">
        <f t="array" ref="L423">INDEX('MTA 28-09'!S:S,MATCH(B423,'MTA 28-09'!A:A,0))</f>
        <v>C-95M</v>
      </c>
      <c r="M423" s="32" t="str">
        <f t="array" ref="M423">INDEX('MTA 28-09'!T:T,MATCH(B423,'MTA 28-09'!A:A,0))</f>
        <v>CTT 028/CELOG-PAMALS/2025 – CLS AVIÔNICOS</v>
      </c>
      <c r="N423" s="32" t="str">
        <f t="array" ref="N423">INDEX('MTA 28-09'!U:U,MATCH(B423,'MTA 28-09'!A:A,0))</f>
        <v>Hora de Voo 2025 - Faixa abaixo 10.000FH (previsão de voo de 9290HV)</v>
      </c>
      <c r="O423" s="59">
        <f t="array" ref="O423">INDEX('MTA 28-09'!AC:AC,MATCH(B423,'MTA 28-09'!A:A,0))</f>
        <v>750217.57</v>
      </c>
      <c r="P423" s="32" t="str">
        <f t="array" ref="P423">INDEX('MTA 28-09'!N:N,MATCH(B423,'MTA 28-09'!A:A,0))</f>
        <v>CELOG</v>
      </c>
      <c r="Q423" s="67" t="str">
        <f t="array" ref="Q423">INDEX('MTA 28-09'!Z:Z,MATCH(B423,'MTA 28-09'!A:A,0))</f>
        <v>339039</v>
      </c>
      <c r="R423" s="32" t="str">
        <f t="array" ref="R423">INDEX('MTA 28-09'!L:L,MATCH(B423,'MTA 28-09'!A:A,0))</f>
        <v>A</v>
      </c>
      <c r="S423" s="72" t="str">
        <f t="array" ref="S423">INDEX('MTA 28-09'!X:X,MATCH(B423,'MTA 28-09'!A:A,0))</f>
        <v>HORA DE VOO</v>
      </c>
      <c r="T423" s="72" t="str">
        <f t="array" ref="T423">INDEX('MTA 28-09'!W:W,MATCH(B423,'MTA 28-09'!A:A,0))</f>
        <v>Não</v>
      </c>
      <c r="U423" s="81">
        <f t="array" ref="U423">INDEX('MTA 28-09'!AE:AE,MATCH(B423,'MTA 28-09'!A:A,0))</f>
        <v>46352</v>
      </c>
      <c r="V423" s="12"/>
      <c r="W423" s="12"/>
      <c r="X423" s="12"/>
      <c r="Y423" s="12"/>
      <c r="Z423" s="12"/>
      <c r="AA423" s="12"/>
      <c r="AB423" s="12"/>
      <c r="AC423" s="12"/>
      <c r="AD423" s="12"/>
      <c r="AE423" s="12"/>
      <c r="AF423" s="12"/>
      <c r="AG423" s="12"/>
      <c r="AH423" s="12"/>
      <c r="AI423" s="12"/>
      <c r="AJ423" s="12"/>
      <c r="AK423" s="12"/>
      <c r="AL423" s="12"/>
      <c r="AM423" s="12"/>
    </row>
    <row r="424">
      <c r="A424" s="88" t="s">
        <v>49</v>
      </c>
      <c r="B424" s="98">
        <v>16860.0</v>
      </c>
      <c r="C424" s="92" t="str">
        <f t="array" ref="C424">INDEX('MTA 28-09'!B:B,MATCH(B424,'MTA 28-09'!A:A,0))</f>
        <v>SIM</v>
      </c>
      <c r="D424" s="95" t="str">
        <f t="array" ref="D424">INDEX('MTA 28-09'!D:D,MATCH(B424,'MTA 28-09'!A:A,0))</f>
        <v>20XV</v>
      </c>
      <c r="E424" s="98" t="str">
        <f t="array" ref="E424">INDEX('MTA 28-09'!F:F,MATCH(B424,'MTA 28-09'!A:A,0))</f>
        <v>ATENDIDO</v>
      </c>
      <c r="F424" s="152">
        <f t="array" ref="F424">INDEX('MTA 28-09'!I:I,MATCH(B424,'MTA 28-09'!A:A,0))</f>
        <v>46204</v>
      </c>
      <c r="G424" s="100" t="str">
        <f t="array" ref="G424">INDEX('MTA 28-09'!J:J,MATCH(B424,'MTA 28-09'!A:A,0))</f>
        <v>C26152</v>
      </c>
      <c r="H424" s="159" t="s">
        <v>157</v>
      </c>
      <c r="I424" s="296"/>
      <c r="J424" s="102"/>
      <c r="K424" s="103"/>
      <c r="L424" s="102" t="str">
        <f t="array" ref="L424">INDEX('MTA 28-09'!S:S,MATCH(B424,'MTA 28-09'!A:A,0))</f>
        <v>IU-93M</v>
      </c>
      <c r="M424" s="98" t="str">
        <f t="array" ref="M424">INDEX('MTA 28-09'!T:T,MATCH(B424,'MTA 28-09'!A:A,0))</f>
        <v>CNT 024/CELOG-PAMALS/2022 - VEE ONE</v>
      </c>
      <c r="N424" s="98" t="str">
        <f t="array" ref="N424">INDEX('MTA 28-09'!U:U,MATCH(B424,'MTA 28-09'!A:A,0))</f>
        <v>Hora de Voo 09/12 (100HV)</v>
      </c>
      <c r="O424" s="104">
        <f t="array" ref="O424">INDEX('MTA 28-09'!AC:AC,MATCH(B424,'MTA 28-09'!A:A,0))</f>
        <v>561946</v>
      </c>
      <c r="P424" s="98" t="str">
        <f t="array" ref="P424">INDEX('MTA 28-09'!N:N,MATCH(B424,'MTA 28-09'!A:A,0))</f>
        <v>CELOG</v>
      </c>
      <c r="Q424" s="105" t="str">
        <f t="array" ref="Q424">INDEX('MTA 28-09'!Z:Z,MATCH(B424,'MTA 28-09'!A:A,0))</f>
        <v>339039</v>
      </c>
      <c r="R424" s="98" t="str">
        <f t="array" ref="R424">INDEX('MTA 28-09'!L:L,MATCH(B424,'MTA 28-09'!A:A,0))</f>
        <v>A</v>
      </c>
      <c r="S424" s="107" t="str">
        <f t="array" ref="S424">INDEX('MTA 28-09'!X:X,MATCH(B424,'MTA 28-09'!A:A,0))</f>
        <v>HORA DE VOO</v>
      </c>
      <c r="T424" s="107" t="str">
        <f t="array" ref="T424">INDEX('MTA 28-09'!W:W,MATCH(B424,'MTA 28-09'!A:A,0))</f>
        <v>Não</v>
      </c>
      <c r="U424" s="109">
        <f t="array" ref="U424">INDEX('MTA 28-09'!AE:AE,MATCH(B424,'MTA 28-09'!A:A,0))</f>
        <v>46321</v>
      </c>
      <c r="V424" s="29"/>
      <c r="W424" s="29"/>
      <c r="X424" s="29"/>
      <c r="Y424" s="29"/>
      <c r="Z424" s="29"/>
      <c r="AA424" s="29"/>
      <c r="AB424" s="29"/>
      <c r="AC424" s="29"/>
      <c r="AD424" s="29"/>
      <c r="AE424" s="29"/>
      <c r="AF424" s="29"/>
      <c r="AG424" s="29"/>
      <c r="AH424" s="29"/>
      <c r="AI424" s="29"/>
      <c r="AJ424" s="29"/>
      <c r="AK424" s="29"/>
      <c r="AL424" s="29"/>
      <c r="AM424" s="29"/>
    </row>
    <row r="425">
      <c r="A425" s="31" t="s">
        <v>49</v>
      </c>
      <c r="B425" s="38">
        <v>16861.0</v>
      </c>
      <c r="C425" s="33" t="str">
        <f t="array" ref="C425">INDEX('MTA 28-09'!B:B,MATCH(B425,'MTA 28-09'!A:A,0))</f>
        <v>SIM</v>
      </c>
      <c r="D425" s="34" t="str">
        <f t="array" ref="D425">INDEX('MTA 28-09'!D:D,MATCH(B425,'MTA 28-09'!A:A,0))</f>
        <v>20XV SUP</v>
      </c>
      <c r="E425" s="32" t="str">
        <f t="array" ref="E425">INDEX('MTA 28-09'!F:F,MATCH(B425,'MTA 28-09'!A:A,0))</f>
        <v>ATENDIDO</v>
      </c>
      <c r="F425" s="35">
        <f t="array" ref="F425">INDEX('MTA 28-09'!I:I,MATCH(B425,'MTA 28-09'!A:A,0))</f>
        <v>46160</v>
      </c>
      <c r="G425" s="36" t="str">
        <f t="array" ref="G425">INDEX('MTA 28-09'!J:J,MATCH(B425,'MTA 28-09'!A:A,0))</f>
        <v>C26152</v>
      </c>
      <c r="H425" s="287" t="s">
        <v>157</v>
      </c>
      <c r="I425" s="38"/>
      <c r="J425" s="39"/>
      <c r="K425" s="40"/>
      <c r="L425" s="39" t="str">
        <f t="array" ref="L425">INDEX('MTA 28-09'!S:S,MATCH(B425,'MTA 28-09'!A:A,0))</f>
        <v>IU-93M</v>
      </c>
      <c r="M425" s="32" t="str">
        <f t="array" ref="M425">INDEX('MTA 28-09'!T:T,MATCH(B425,'MTA 28-09'!A:A,0))</f>
        <v>CNT 024/CELOG-PAMALS/2022 - VEE ONE</v>
      </c>
      <c r="N425" s="32" t="str">
        <f t="array" ref="N425">INDEX('MTA 28-09'!U:U,MATCH(B425,'MTA 28-09'!A:A,0))</f>
        <v>Hora de Voo 09/12 (100HV) - atendimento parcial</v>
      </c>
      <c r="O425" s="59">
        <f t="array" ref="O425">INDEX('MTA 28-09'!AC:AC,MATCH(B425,'MTA 28-09'!A:A,0))</f>
        <v>1330875</v>
      </c>
      <c r="P425" s="32" t="str">
        <f t="array" ref="P425">INDEX('MTA 28-09'!N:N,MATCH(B425,'MTA 28-09'!A:A,0))</f>
        <v>CELOG</v>
      </c>
      <c r="Q425" s="67" t="str">
        <f t="array" ref="Q425">INDEX('MTA 28-09'!Z:Z,MATCH(B425,'MTA 28-09'!A:A,0))</f>
        <v>339039</v>
      </c>
      <c r="R425" s="32" t="str">
        <f t="array" ref="R425">INDEX('MTA 28-09'!L:L,MATCH(B425,'MTA 28-09'!A:A,0))</f>
        <v>A</v>
      </c>
      <c r="S425" s="72" t="str">
        <f t="array" ref="S425">INDEX('MTA 28-09'!X:X,MATCH(B425,'MTA 28-09'!A:A,0))</f>
        <v>HORA DE VOO</v>
      </c>
      <c r="T425" s="72" t="str">
        <f t="array" ref="T425">INDEX('MTA 28-09'!W:W,MATCH(B425,'MTA 28-09'!A:A,0))</f>
        <v>Não</v>
      </c>
      <c r="U425" s="81">
        <f t="array" ref="U425">INDEX('MTA 28-09'!AE:AE,MATCH(B425,'MTA 28-09'!A:A,0))</f>
        <v>46352</v>
      </c>
      <c r="V425" s="12"/>
      <c r="W425" s="12"/>
      <c r="X425" s="12"/>
      <c r="Y425" s="12"/>
      <c r="Z425" s="12"/>
      <c r="AA425" s="12"/>
      <c r="AB425" s="12"/>
      <c r="AC425" s="12"/>
      <c r="AD425" s="12"/>
      <c r="AE425" s="12"/>
      <c r="AF425" s="12"/>
      <c r="AG425" s="12"/>
      <c r="AH425" s="12"/>
      <c r="AI425" s="12"/>
      <c r="AJ425" s="12"/>
      <c r="AK425" s="12"/>
      <c r="AL425" s="12"/>
      <c r="AM425" s="12"/>
    </row>
    <row r="426">
      <c r="A426" s="88" t="s">
        <v>47</v>
      </c>
      <c r="B426" s="98">
        <v>16880.0</v>
      </c>
      <c r="C426" s="92" t="str">
        <f t="array" ref="C426">INDEX('MTA 28-09'!B:B,MATCH(B426,'MTA 28-09'!A:A,0))</f>
        <v>NÃO</v>
      </c>
      <c r="D426" s="95" t="str">
        <f t="array" ref="D426">INDEX('MTA 28-09'!D:D,MATCH(B426,'MTA 28-09'!A:A,0))</f>
        <v/>
      </c>
      <c r="E426" s="98" t="str">
        <f t="array" ref="E426">INDEX('MTA 28-09'!F:F,MATCH(B426,'MTA 28-09'!A:A,0))</f>
        <v>BLOQUEIO</v>
      </c>
      <c r="F426" s="152" t="str">
        <f t="array" ref="F426">INDEX('MTA 28-09'!I:I,MATCH(B426,'MTA 28-09'!A:A,0))</f>
        <v/>
      </c>
      <c r="G426" s="100" t="str">
        <f t="array" ref="G426">INDEX('MTA 28-09'!J:J,MATCH(B426,'MTA 28-09'!A:A,0))</f>
        <v/>
      </c>
      <c r="H426" s="159" t="s">
        <v>157</v>
      </c>
      <c r="I426" s="296"/>
      <c r="J426" s="102"/>
      <c r="K426" s="103"/>
      <c r="L426" s="102" t="str">
        <f t="array" ref="L426">INDEX('MTA 28-09'!S:S,MATCH(B426,'MTA 28-09'!A:A,0))</f>
        <v>T-25</v>
      </c>
      <c r="M426" s="98" t="str">
        <f t="array" ref="M426">INDEX('MTA 28-09'!T:T,MATCH(B426,'MTA 28-09'!A:A,0))</f>
        <v>Requisição CABW</v>
      </c>
      <c r="N426" s="98" t="str">
        <f t="array" ref="N426">INDEX('MTA 28-09'!U:U,MATCH(B426,'MTA 28-09'!A:A,0))</f>
        <v>Requisições Consumíveis 2/4</v>
      </c>
      <c r="O426" s="104">
        <f t="array" ref="O426">INDEX('MTA 28-09'!AC:AC,MATCH(B426,'MTA 28-09'!A:A,0))</f>
        <v>2500000</v>
      </c>
      <c r="P426" s="98" t="str">
        <f t="array" ref="P426">INDEX('MTA 28-09'!N:N,MATCH(B426,'MTA 28-09'!A:A,0))</f>
        <v>CABW</v>
      </c>
      <c r="Q426" s="105" t="str">
        <f t="array" ref="Q426">INDEX('MTA 28-09'!Z:Z,MATCH(B426,'MTA 28-09'!A:A,0))</f>
        <v>339030</v>
      </c>
      <c r="R426" s="98" t="str">
        <f t="array" ref="R426">INDEX('MTA 28-09'!L:L,MATCH(B426,'MTA 28-09'!A:A,0))</f>
        <v>B</v>
      </c>
      <c r="S426" s="107" t="str">
        <f t="array" ref="S426">INDEX('MTA 28-09'!X:X,MATCH(B426,'MTA 28-09'!A:A,0))</f>
        <v>REQUISIÇÃO</v>
      </c>
      <c r="T426" s="107" t="str">
        <f t="array" ref="T426">INDEX('MTA 28-09'!W:W,MATCH(B426,'MTA 28-09'!A:A,0))</f>
        <v>Não</v>
      </c>
      <c r="U426" s="109">
        <f t="array" ref="U426">INDEX('MTA 28-09'!AE:AE,MATCH(B426,'MTA 28-09'!A:A,0))</f>
        <v>46352</v>
      </c>
      <c r="V426" s="29"/>
      <c r="W426" s="29"/>
      <c r="X426" s="29"/>
      <c r="Y426" s="29"/>
      <c r="Z426" s="29"/>
      <c r="AA426" s="29"/>
      <c r="AB426" s="29"/>
      <c r="AC426" s="29"/>
      <c r="AD426" s="29"/>
      <c r="AE426" s="29"/>
      <c r="AF426" s="29"/>
      <c r="AG426" s="29"/>
      <c r="AH426" s="29"/>
      <c r="AI426" s="29"/>
      <c r="AJ426" s="29"/>
      <c r="AK426" s="29"/>
      <c r="AL426" s="29"/>
      <c r="AM426" s="29"/>
    </row>
    <row r="427">
      <c r="A427" s="31" t="s">
        <v>47</v>
      </c>
      <c r="B427" s="32">
        <v>16900.0</v>
      </c>
      <c r="C427" s="33" t="str">
        <f t="array" ref="C427">INDEX('MTA 28-09'!B:B,MATCH(B427,'MTA 28-09'!A:A,0))</f>
        <v>SIM</v>
      </c>
      <c r="D427" s="34">
        <f t="array" ref="D427">INDEX('MTA 28-09'!D:D,MATCH(B427,'MTA 28-09'!A:A,0))</f>
        <v>2048</v>
      </c>
      <c r="E427" s="32" t="str">
        <f t="array" ref="E427">INDEX('MTA 28-09'!F:F,MATCH(B427,'MTA 28-09'!A:A,0))</f>
        <v>ATENDIDO</v>
      </c>
      <c r="F427" s="137">
        <f t="array" ref="F427">INDEX('MTA 28-09'!I:I,MATCH(B427,'MTA 28-09'!A:A,0))</f>
        <v>46205</v>
      </c>
      <c r="G427" s="36" t="str">
        <f t="array" ref="G427">INDEX('MTA 28-09'!J:J,MATCH(B427,'MTA 28-09'!A:A,0))</f>
        <v>C26135</v>
      </c>
      <c r="H427" s="37" t="s">
        <v>1562</v>
      </c>
      <c r="I427" s="38"/>
      <c r="J427" s="39" t="s">
        <v>155</v>
      </c>
      <c r="K427" s="40"/>
      <c r="L427" s="39" t="str">
        <f t="array" ref="L427">INDEX('MTA 28-09'!S:S,MATCH(B427,'MTA 28-09'!A:A,0))</f>
        <v>T-25</v>
      </c>
      <c r="M427" s="32" t="str">
        <f t="array" ref="M427">INDEX('MTA 28-09'!T:T,MATCH(B427,'MTA 28-09'!A:A,0))</f>
        <v>Requisição CABW</v>
      </c>
      <c r="N427" s="32" t="str">
        <f t="array" ref="N427">INDEX('MTA 28-09'!U:U,MATCH(B427,'MTA 28-09'!A:A,0))</f>
        <v>Requisições Consumíveis 4/4</v>
      </c>
      <c r="O427" s="59">
        <f t="array" ref="O427">INDEX('MTA 28-09'!AC:AC,MATCH(B427,'MTA 28-09'!A:A,0))</f>
        <v>1360263.13</v>
      </c>
      <c r="P427" s="32" t="str">
        <f t="array" ref="P427">INDEX('MTA 28-09'!N:N,MATCH(B427,'MTA 28-09'!A:A,0))</f>
        <v>CABW</v>
      </c>
      <c r="Q427" s="67" t="str">
        <f t="array" ref="Q427">INDEX('MTA 28-09'!Z:Z,MATCH(B427,'MTA 28-09'!A:A,0))</f>
        <v>339030</v>
      </c>
      <c r="R427" s="32" t="str">
        <f t="array" ref="R427">INDEX('MTA 28-09'!L:L,MATCH(B427,'MTA 28-09'!A:A,0))</f>
        <v>A</v>
      </c>
      <c r="S427" s="72" t="str">
        <f t="array" ref="S427">INDEX('MTA 28-09'!X:X,MATCH(B427,'MTA 28-09'!A:A,0))</f>
        <v>REQUISIÇÃO</v>
      </c>
      <c r="T427" s="72" t="str">
        <f t="array" ref="T427">INDEX('MTA 28-09'!W:W,MATCH(B427,'MTA 28-09'!A:A,0))</f>
        <v>Não</v>
      </c>
      <c r="U427" s="81">
        <f t="array" ref="U427">INDEX('MTA 28-09'!AE:AE,MATCH(B427,'MTA 28-09'!A:A,0))</f>
        <v>46352</v>
      </c>
      <c r="V427" s="12"/>
      <c r="W427" s="12"/>
      <c r="X427" s="12"/>
      <c r="Y427" s="12"/>
      <c r="Z427" s="12"/>
      <c r="AA427" s="12"/>
      <c r="AB427" s="12"/>
      <c r="AC427" s="12"/>
      <c r="AD427" s="12"/>
      <c r="AE427" s="12"/>
      <c r="AF427" s="12"/>
      <c r="AG427" s="12"/>
      <c r="AH427" s="12"/>
      <c r="AI427" s="12"/>
      <c r="AJ427" s="12"/>
      <c r="AK427" s="12"/>
      <c r="AL427" s="12"/>
      <c r="AM427" s="12"/>
    </row>
    <row r="428">
      <c r="A428" s="88" t="s">
        <v>47</v>
      </c>
      <c r="B428" s="98">
        <v>16920.0</v>
      </c>
      <c r="C428" s="92" t="str">
        <f t="array" ref="C428">INDEX('MTA 28-09'!B:B,MATCH(B428,'MTA 28-09'!A:A,0))</f>
        <v>SIM</v>
      </c>
      <c r="D428" s="95">
        <f t="array" ref="D428">INDEX('MTA 28-09'!D:D,MATCH(B428,'MTA 28-09'!A:A,0))</f>
        <v>2048</v>
      </c>
      <c r="E428" s="98" t="str">
        <f t="array" ref="E428">INDEX('MTA 28-09'!F:F,MATCH(B428,'MTA 28-09'!A:A,0))</f>
        <v>ATENDIDO</v>
      </c>
      <c r="F428" s="152">
        <f t="array" ref="F428">INDEX('MTA 28-09'!I:I,MATCH(B428,'MTA 28-09'!A:A,0))</f>
        <v>46213</v>
      </c>
      <c r="G428" s="100" t="str">
        <f t="array" ref="G428">INDEX('MTA 28-09'!J:J,MATCH(B428,'MTA 28-09'!A:A,0))</f>
        <v>C26156</v>
      </c>
      <c r="H428" s="101" t="s">
        <v>1451</v>
      </c>
      <c r="I428" s="90"/>
      <c r="J428" s="102"/>
      <c r="K428" s="103"/>
      <c r="L428" s="102" t="str">
        <f t="array" ref="L428">INDEX('MTA 28-09'!S:S,MATCH(B428,'MTA 28-09'!A:A,0))</f>
        <v>T-25</v>
      </c>
      <c r="M428" s="98" t="str">
        <f t="array" ref="M428">INDEX('MTA 28-09'!T:T,MATCH(B428,'MTA 28-09'!A:A,0))</f>
        <v>Requisição CABW</v>
      </c>
      <c r="N428" s="98" t="str">
        <f t="array" ref="N428">INDEX('MTA 28-09'!U:U,MATCH(B428,'MTA 28-09'!A:A,0))</f>
        <v>Requisições Serviço 2/4</v>
      </c>
      <c r="O428" s="104">
        <f t="array" ref="O428">INDEX('MTA 28-09'!AC:AC,MATCH(B428,'MTA 28-09'!A:A,0))</f>
        <v>97898.07</v>
      </c>
      <c r="P428" s="98" t="str">
        <f t="array" ref="P428">INDEX('MTA 28-09'!N:N,MATCH(B428,'MTA 28-09'!A:A,0))</f>
        <v>CABW</v>
      </c>
      <c r="Q428" s="105" t="str">
        <f t="array" ref="Q428">INDEX('MTA 28-09'!Z:Z,MATCH(B428,'MTA 28-09'!A:A,0))</f>
        <v>339030</v>
      </c>
      <c r="R428" s="98" t="str">
        <f t="array" ref="R428">INDEX('MTA 28-09'!L:L,MATCH(B428,'MTA 28-09'!A:A,0))</f>
        <v>A</v>
      </c>
      <c r="S428" s="107" t="str">
        <f t="array" ref="S428">INDEX('MTA 28-09'!X:X,MATCH(B428,'MTA 28-09'!A:A,0))</f>
        <v>REQUISIÇÃO</v>
      </c>
      <c r="T428" s="107" t="str">
        <f t="array" ref="T428">INDEX('MTA 28-09'!W:W,MATCH(B428,'MTA 28-09'!A:A,0))</f>
        <v>Não</v>
      </c>
      <c r="U428" s="109">
        <f t="array" ref="U428">INDEX('MTA 28-09'!AE:AE,MATCH(B428,'MTA 28-09'!A:A,0))</f>
        <v>46352</v>
      </c>
      <c r="V428" s="29"/>
      <c r="W428" s="29"/>
      <c r="X428" s="29"/>
      <c r="Y428" s="29"/>
      <c r="Z428" s="29"/>
      <c r="AA428" s="29"/>
      <c r="AB428" s="29"/>
      <c r="AC428" s="29"/>
      <c r="AD428" s="29"/>
      <c r="AE428" s="29"/>
      <c r="AF428" s="29"/>
      <c r="AG428" s="29"/>
      <c r="AH428" s="29"/>
      <c r="AI428" s="29"/>
      <c r="AJ428" s="29"/>
      <c r="AK428" s="29"/>
      <c r="AL428" s="29"/>
      <c r="AM428" s="29"/>
    </row>
    <row r="429">
      <c r="A429" s="31" t="s">
        <v>46</v>
      </c>
      <c r="B429" s="32">
        <v>16940.0</v>
      </c>
      <c r="C429" s="33" t="str">
        <f t="array" ref="C429">INDEX('MTA 28-09'!B:B,MATCH(B429,'MTA 28-09'!A:A,0))</f>
        <v>SIM</v>
      </c>
      <c r="D429" s="34">
        <f t="array" ref="D429">INDEX('MTA 28-09'!D:D,MATCH(B429,'MTA 28-09'!A:A,0))</f>
        <v>2048</v>
      </c>
      <c r="E429" s="32" t="str">
        <f t="array" ref="E429">INDEX('MTA 28-09'!F:F,MATCH(B429,'MTA 28-09'!A:A,0))</f>
        <v/>
      </c>
      <c r="F429" s="155" t="str">
        <f t="array" ref="F429">INDEX('MTA 28-09'!I:I,MATCH(B429,'MTA 28-09'!A:A,0))</f>
        <v/>
      </c>
      <c r="G429" s="36" t="str">
        <f t="array" ref="G429">INDEX('MTA 28-09'!J:J,MATCH(B429,'MTA 28-09'!A:A,0))</f>
        <v/>
      </c>
      <c r="H429" s="287" t="s">
        <v>157</v>
      </c>
      <c r="I429" s="157" t="s">
        <v>1585</v>
      </c>
      <c r="J429" s="39"/>
      <c r="K429" s="40"/>
      <c r="L429" s="39" t="str">
        <f t="array" ref="L429">INDEX('MTA 28-09'!S:S,MATCH(B429,'MTA 28-09'!A:A,0))</f>
        <v>T-27</v>
      </c>
      <c r="M429" s="32" t="str">
        <f t="array" ref="M429">INDEX('MTA 28-09'!T:T,MATCH(B429,'MTA 28-09'!A:A,0))</f>
        <v>Requisição FMS</v>
      </c>
      <c r="N429" s="32" t="str">
        <f t="array" ref="N429">INDEX('MTA 28-09'!U:U,MATCH(B429,'MTA 28-09'!A:A,0))</f>
        <v>Requisições Consumíveis 4/4</v>
      </c>
      <c r="O429" s="59">
        <f t="array" ref="O429">INDEX('MTA 28-09'!AC:AC,MATCH(B429,'MTA 28-09'!A:A,0))</f>
        <v>270000</v>
      </c>
      <c r="P429" s="32" t="str">
        <f t="array" ref="P429">INDEX('MTA 28-09'!N:N,MATCH(B429,'MTA 28-09'!A:A,0))</f>
        <v>FMS</v>
      </c>
      <c r="Q429" s="67" t="str">
        <f t="array" ref="Q429">INDEX('MTA 28-09'!Z:Z,MATCH(B429,'MTA 28-09'!A:A,0))</f>
        <v>339030</v>
      </c>
      <c r="R429" s="32" t="str">
        <f t="array" ref="R429">INDEX('MTA 28-09'!L:L,MATCH(B429,'MTA 28-09'!A:A,0))</f>
        <v>A</v>
      </c>
      <c r="S429" s="72" t="str">
        <f t="array" ref="S429">INDEX('MTA 28-09'!X:X,MATCH(B429,'MTA 28-09'!A:A,0))</f>
        <v>REQUISIÇÃO</v>
      </c>
      <c r="T429" s="72" t="str">
        <f t="array" ref="T429">INDEX('MTA 28-09'!W:W,MATCH(B429,'MTA 28-09'!A:A,0))</f>
        <v>Não</v>
      </c>
      <c r="U429" s="81">
        <f t="array" ref="U429">INDEX('MTA 28-09'!AE:AE,MATCH(B429,'MTA 28-09'!A:A,0))</f>
        <v>46352</v>
      </c>
      <c r="V429" s="12"/>
      <c r="W429" s="12"/>
      <c r="X429" s="12"/>
      <c r="Y429" s="12"/>
      <c r="Z429" s="12"/>
      <c r="AA429" s="12"/>
      <c r="AB429" s="12"/>
      <c r="AC429" s="12"/>
      <c r="AD429" s="12"/>
      <c r="AE429" s="12"/>
      <c r="AF429" s="12"/>
      <c r="AG429" s="12"/>
      <c r="AH429" s="12"/>
      <c r="AI429" s="12"/>
      <c r="AJ429" s="12"/>
      <c r="AK429" s="12"/>
      <c r="AL429" s="12"/>
      <c r="AM429" s="12"/>
    </row>
    <row r="430">
      <c r="A430" s="88" t="s">
        <v>46</v>
      </c>
      <c r="B430" s="98">
        <v>16960.0</v>
      </c>
      <c r="C430" s="92" t="str">
        <f t="array" ref="C430">INDEX('MTA 28-09'!B:B,MATCH(B430,'MTA 28-09'!A:A,0))</f>
        <v>SIM</v>
      </c>
      <c r="D430" s="95">
        <f t="array" ref="D430">INDEX('MTA 28-09'!D:D,MATCH(B430,'MTA 28-09'!A:A,0))</f>
        <v>2048</v>
      </c>
      <c r="E430" s="98" t="str">
        <f t="array" ref="E430">INDEX('MTA 28-09'!F:F,MATCH(B430,'MTA 28-09'!A:A,0))</f>
        <v>ATENDIDO</v>
      </c>
      <c r="F430" s="152">
        <f t="array" ref="F430">INDEX('MTA 28-09'!I:I,MATCH(B430,'MTA 28-09'!A:A,0))</f>
        <v>46072</v>
      </c>
      <c r="G430" s="100" t="str">
        <f t="array" ref="G430">INDEX('MTA 28-09'!J:J,MATCH(B430,'MTA 28-09'!A:A,0))</f>
        <v>C26035</v>
      </c>
      <c r="H430" s="101">
        <v>1.0</v>
      </c>
      <c r="I430" s="90"/>
      <c r="J430" s="102"/>
      <c r="K430" s="103"/>
      <c r="L430" s="102" t="str">
        <f t="array" ref="L430">INDEX('MTA 28-09'!S:S,MATCH(B430,'MTA 28-09'!A:A,0))</f>
        <v>T-27</v>
      </c>
      <c r="M430" s="98" t="str">
        <f t="array" ref="M430">INDEX('MTA 28-09'!T:T,MATCH(B430,'MTA 28-09'!A:A,0))</f>
        <v>Requisição CABW</v>
      </c>
      <c r="N430" s="98" t="str">
        <f t="array" ref="N430">INDEX('MTA 28-09'!U:U,MATCH(B430,'MTA 28-09'!A:A,0))</f>
        <v>Requisições Consumíveis 2/4</v>
      </c>
      <c r="O430" s="104">
        <f t="array" ref="O430">INDEX('MTA 28-09'!AC:AC,MATCH(B430,'MTA 28-09'!A:A,0))</f>
        <v>849731.96</v>
      </c>
      <c r="P430" s="98" t="str">
        <f t="array" ref="P430">INDEX('MTA 28-09'!N:N,MATCH(B430,'MTA 28-09'!A:A,0))</f>
        <v>CABW</v>
      </c>
      <c r="Q430" s="105" t="str">
        <f t="array" ref="Q430">INDEX('MTA 28-09'!Z:Z,MATCH(B430,'MTA 28-09'!A:A,0))</f>
        <v>339030</v>
      </c>
      <c r="R430" s="98" t="str">
        <f t="array" ref="R430">INDEX('MTA 28-09'!L:L,MATCH(B430,'MTA 28-09'!A:A,0))</f>
        <v>A</v>
      </c>
      <c r="S430" s="107" t="str">
        <f t="array" ref="S430">INDEX('MTA 28-09'!X:X,MATCH(B430,'MTA 28-09'!A:A,0))</f>
        <v>REQUISIÇÃO</v>
      </c>
      <c r="T430" s="107" t="str">
        <f t="array" ref="T430">INDEX('MTA 28-09'!W:W,MATCH(B430,'MTA 28-09'!A:A,0))</f>
        <v>Não</v>
      </c>
      <c r="U430" s="109">
        <f t="array" ref="U430">INDEX('MTA 28-09'!AE:AE,MATCH(B430,'MTA 28-09'!A:A,0))</f>
        <v>46107</v>
      </c>
      <c r="V430" s="29"/>
      <c r="W430" s="29"/>
      <c r="X430" s="29"/>
      <c r="Y430" s="29"/>
      <c r="Z430" s="29"/>
      <c r="AA430" s="29"/>
      <c r="AB430" s="29"/>
      <c r="AC430" s="29"/>
      <c r="AD430" s="29"/>
      <c r="AE430" s="29"/>
      <c r="AF430" s="29"/>
      <c r="AG430" s="29"/>
      <c r="AH430" s="29"/>
      <c r="AI430" s="29"/>
      <c r="AJ430" s="29"/>
      <c r="AK430" s="29"/>
      <c r="AL430" s="29"/>
      <c r="AM430" s="29"/>
    </row>
    <row r="431">
      <c r="A431" s="31" t="s">
        <v>46</v>
      </c>
      <c r="B431" s="32">
        <v>16980.0</v>
      </c>
      <c r="C431" s="33" t="str">
        <f t="array" ref="C431">INDEX('MTA 28-09'!B:B,MATCH(B431,'MTA 28-09'!A:A,0))</f>
        <v>SIM</v>
      </c>
      <c r="D431" s="34">
        <f t="array" ref="D431">INDEX('MTA 28-09'!D:D,MATCH(B431,'MTA 28-09'!A:A,0))</f>
        <v>2048</v>
      </c>
      <c r="E431" s="32" t="str">
        <f t="array" ref="E431">INDEX('MTA 28-09'!F:F,MATCH(B431,'MTA 28-09'!A:A,0))</f>
        <v>ATENDIDO</v>
      </c>
      <c r="F431" s="155">
        <f t="array" ref="F431">INDEX('MTA 28-09'!I:I,MATCH(B431,'MTA 28-09'!A:A,0))</f>
        <v>46205</v>
      </c>
      <c r="G431" s="36" t="str">
        <f t="array" ref="G431">INDEX('MTA 28-09'!J:J,MATCH(B431,'MTA 28-09'!A:A,0))</f>
        <v>C26134</v>
      </c>
      <c r="H431" s="37" t="s">
        <v>1578</v>
      </c>
      <c r="I431" s="38"/>
      <c r="J431" s="39"/>
      <c r="K431" s="40"/>
      <c r="L431" s="39" t="str">
        <f t="array" ref="L431">INDEX('MTA 28-09'!S:S,MATCH(B431,'MTA 28-09'!A:A,0))</f>
        <v>T-27</v>
      </c>
      <c r="M431" s="32" t="str">
        <f t="array" ref="M431">INDEX('MTA 28-09'!T:T,MATCH(B431,'MTA 28-09'!A:A,0))</f>
        <v>Requisição CABW</v>
      </c>
      <c r="N431" s="32" t="str">
        <f t="array" ref="N431">INDEX('MTA 28-09'!U:U,MATCH(B431,'MTA 28-09'!A:A,0))</f>
        <v>Requisições Consumíveis 4/4</v>
      </c>
      <c r="O431" s="59">
        <f t="array" ref="O431">INDEX('MTA 28-09'!AC:AC,MATCH(B431,'MTA 28-09'!A:A,0))</f>
        <v>891335.07</v>
      </c>
      <c r="P431" s="32" t="str">
        <f t="array" ref="P431">INDEX('MTA 28-09'!N:N,MATCH(B431,'MTA 28-09'!A:A,0))</f>
        <v>CABW</v>
      </c>
      <c r="Q431" s="67" t="str">
        <f t="array" ref="Q431">INDEX('MTA 28-09'!Z:Z,MATCH(B431,'MTA 28-09'!A:A,0))</f>
        <v>339030</v>
      </c>
      <c r="R431" s="32" t="str">
        <f t="array" ref="R431">INDEX('MTA 28-09'!L:L,MATCH(B431,'MTA 28-09'!A:A,0))</f>
        <v>A</v>
      </c>
      <c r="S431" s="72" t="str">
        <f t="array" ref="S431">INDEX('MTA 28-09'!X:X,MATCH(B431,'MTA 28-09'!A:A,0))</f>
        <v>REQUISIÇÃO</v>
      </c>
      <c r="T431" s="72" t="str">
        <f t="array" ref="T431">INDEX('MTA 28-09'!W:W,MATCH(B431,'MTA 28-09'!A:A,0))</f>
        <v>Não</v>
      </c>
      <c r="U431" s="81">
        <f t="array" ref="U431">INDEX('MTA 28-09'!AE:AE,MATCH(B431,'MTA 28-09'!A:A,0))</f>
        <v>46352</v>
      </c>
      <c r="V431" s="12"/>
      <c r="W431" s="12"/>
      <c r="X431" s="12"/>
      <c r="Y431" s="12"/>
      <c r="Z431" s="12"/>
      <c r="AA431" s="12"/>
      <c r="AB431" s="12"/>
      <c r="AC431" s="12"/>
      <c r="AD431" s="12"/>
      <c r="AE431" s="12"/>
      <c r="AF431" s="12"/>
      <c r="AG431" s="12"/>
      <c r="AH431" s="12"/>
      <c r="AI431" s="12"/>
      <c r="AJ431" s="12"/>
      <c r="AK431" s="12"/>
      <c r="AL431" s="12"/>
      <c r="AM431" s="12"/>
    </row>
    <row r="432">
      <c r="A432" s="88" t="s">
        <v>46</v>
      </c>
      <c r="B432" s="98">
        <v>17000.0</v>
      </c>
      <c r="C432" s="92" t="str">
        <f t="array" ref="C432">INDEX('MTA 28-09'!B:B,MATCH(B432,'MTA 28-09'!A:A,0))</f>
        <v>SIM</v>
      </c>
      <c r="D432" s="95">
        <f t="array" ref="D432">INDEX('MTA 28-09'!D:D,MATCH(B432,'MTA 28-09'!A:A,0))</f>
        <v>2048</v>
      </c>
      <c r="E432" s="98" t="str">
        <f t="array" ref="E432">INDEX('MTA 28-09'!F:F,MATCH(B432,'MTA 28-09'!A:A,0))</f>
        <v>ATENDIDO</v>
      </c>
      <c r="F432" s="152">
        <f t="array" ref="F432">INDEX('MTA 28-09'!I:I,MATCH(B432,'MTA 28-09'!A:A,0))</f>
        <v>46099</v>
      </c>
      <c r="G432" s="100" t="str">
        <f t="array" ref="G432">INDEX('MTA 28-09'!J:J,MATCH(B432,'MTA 28-09'!A:A,0))</f>
        <v>C26165</v>
      </c>
      <c r="H432" s="159" t="s">
        <v>157</v>
      </c>
      <c r="I432" s="296"/>
      <c r="J432" s="102"/>
      <c r="K432" s="103"/>
      <c r="L432" s="102" t="str">
        <f t="array" ref="L432">INDEX('MTA 28-09'!S:S,MATCH(B432,'MTA 28-09'!A:A,0))</f>
        <v>T-27</v>
      </c>
      <c r="M432" s="98" t="str">
        <f t="array" ref="M432">INDEX('MTA 28-09'!T:T,MATCH(B432,'MTA 28-09'!A:A,0))</f>
        <v>CNT 048/CELOG-PAMASP/2022 - PW - Material</v>
      </c>
      <c r="N432" s="98" t="str">
        <f t="array" ref="N432">INDEX('MTA 28-09'!U:U,MATCH(B432,'MTA 28-09'!A:A,0))</f>
        <v>Material HSI PT6A-25C (3/7)</v>
      </c>
      <c r="O432" s="104">
        <f t="array" ref="O432">INDEX('MTA 28-09'!AC:AC,MATCH(B432,'MTA 28-09'!A:A,0))</f>
        <v>750000</v>
      </c>
      <c r="P432" s="98" t="str">
        <f t="array" ref="P432">INDEX('MTA 28-09'!N:N,MATCH(B432,'MTA 28-09'!A:A,0))</f>
        <v>CELOG</v>
      </c>
      <c r="Q432" s="105" t="str">
        <f t="array" ref="Q432">INDEX('MTA 28-09'!Z:Z,MATCH(B432,'MTA 28-09'!A:A,0))</f>
        <v>339030</v>
      </c>
      <c r="R432" s="98" t="str">
        <f t="array" ref="R432">INDEX('MTA 28-09'!L:L,MATCH(B432,'MTA 28-09'!A:A,0))</f>
        <v>A</v>
      </c>
      <c r="S432" s="107" t="str">
        <f t="array" ref="S432">INDEX('MTA 28-09'!X:X,MATCH(B432,'MTA 28-09'!A:A,0))</f>
        <v>SOB DEMANDA</v>
      </c>
      <c r="T432" s="107" t="str">
        <f t="array" ref="T432">INDEX('MTA 28-09'!W:W,MATCH(B432,'MTA 28-09'!A:A,0))</f>
        <v>SIM</v>
      </c>
      <c r="U432" s="109">
        <f t="array" ref="U432">INDEX('MTA 28-09'!AE:AE,MATCH(B432,'MTA 28-09'!A:A,0))</f>
        <v>46260</v>
      </c>
      <c r="V432" s="29"/>
      <c r="W432" s="29"/>
      <c r="X432" s="29"/>
      <c r="Y432" s="29"/>
      <c r="Z432" s="29"/>
      <c r="AA432" s="29"/>
      <c r="AB432" s="29"/>
      <c r="AC432" s="29"/>
      <c r="AD432" s="29"/>
      <c r="AE432" s="29"/>
      <c r="AF432" s="29"/>
      <c r="AG432" s="29"/>
      <c r="AH432" s="29"/>
      <c r="AI432" s="29"/>
      <c r="AJ432" s="29"/>
      <c r="AK432" s="29"/>
      <c r="AL432" s="29"/>
      <c r="AM432" s="29"/>
    </row>
    <row r="433">
      <c r="A433" s="31" t="s">
        <v>39</v>
      </c>
      <c r="B433" s="32">
        <v>17020.0</v>
      </c>
      <c r="C433" s="33" t="str">
        <f t="array" ref="C433">INDEX('MTA 28-09'!B:B,MATCH(B433,'MTA 28-09'!A:A,0))</f>
        <v>NÃO</v>
      </c>
      <c r="D433" s="34" t="str">
        <f t="array" ref="D433">INDEX('MTA 28-09'!D:D,MATCH(B433,'MTA 28-09'!A:A,0))</f>
        <v/>
      </c>
      <c r="E433" s="32" t="str">
        <f t="array" ref="E433">INDEX('MTA 28-09'!F:F,MATCH(B433,'MTA 28-09'!A:A,0))</f>
        <v/>
      </c>
      <c r="F433" s="155" t="str">
        <f t="array" ref="F433">INDEX('MTA 28-09'!I:I,MATCH(B433,'MTA 28-09'!A:A,0))</f>
        <v/>
      </c>
      <c r="G433" s="36" t="str">
        <f t="array" ref="G433">INDEX('MTA 28-09'!J:J,MATCH(B433,'MTA 28-09'!A:A,0))</f>
        <v/>
      </c>
      <c r="H433" s="287" t="s">
        <v>157</v>
      </c>
      <c r="I433" s="425"/>
      <c r="J433" s="39"/>
      <c r="K433" s="40"/>
      <c r="L433" s="39" t="str">
        <f t="array" ref="L433">INDEX('MTA 28-09'!S:S,MATCH(B433,'MTA 28-09'!A:A,0))</f>
        <v>A-29</v>
      </c>
      <c r="M433" s="32" t="str">
        <f t="array" ref="M433">INDEX('MTA 28-09'!T:T,MATCH(B433,'MTA 28-09'!A:A,0))</f>
        <v>Requisição CABW</v>
      </c>
      <c r="N433" s="32" t="str">
        <f t="array" ref="N433">INDEX('MTA 28-09'!U:U,MATCH(B433,'MTA 28-09'!A:A,0))</f>
        <v>Requisições Consumíveis 2/2</v>
      </c>
      <c r="O433" s="59">
        <f t="array" ref="O433">INDEX('MTA 28-09'!AC:AC,MATCH(B433,'MTA 28-09'!A:A,0))</f>
        <v>150000</v>
      </c>
      <c r="P433" s="32" t="str">
        <f t="array" ref="P433">INDEX('MTA 28-09'!N:N,MATCH(B433,'MTA 28-09'!A:A,0))</f>
        <v>CABW</v>
      </c>
      <c r="Q433" s="67" t="str">
        <f t="array" ref="Q433">INDEX('MTA 28-09'!Z:Z,MATCH(B433,'MTA 28-09'!A:A,0))</f>
        <v>339030</v>
      </c>
      <c r="R433" s="32" t="str">
        <f t="array" ref="R433">INDEX('MTA 28-09'!L:L,MATCH(B433,'MTA 28-09'!A:A,0))</f>
        <v>B</v>
      </c>
      <c r="S433" s="72" t="str">
        <f t="array" ref="S433">INDEX('MTA 28-09'!X:X,MATCH(B433,'MTA 28-09'!A:A,0))</f>
        <v>REQUISIÇÃO</v>
      </c>
      <c r="T433" s="72" t="str">
        <f t="array" ref="T433">INDEX('MTA 28-09'!W:W,MATCH(B433,'MTA 28-09'!A:A,0))</f>
        <v>Não</v>
      </c>
      <c r="U433" s="81">
        <f t="array" ref="U433">INDEX('MTA 28-09'!AE:AE,MATCH(B433,'MTA 28-09'!A:A,0))</f>
        <v>46352</v>
      </c>
      <c r="V433" s="12"/>
      <c r="W433" s="12"/>
      <c r="X433" s="12"/>
      <c r="Y433" s="12"/>
      <c r="Z433" s="12"/>
      <c r="AA433" s="12"/>
      <c r="AB433" s="12"/>
      <c r="AC433" s="12"/>
      <c r="AD433" s="12"/>
      <c r="AE433" s="12"/>
      <c r="AF433" s="12"/>
      <c r="AG433" s="12"/>
      <c r="AH433" s="12"/>
      <c r="AI433" s="12"/>
      <c r="AJ433" s="12"/>
      <c r="AK433" s="12"/>
      <c r="AL433" s="12"/>
      <c r="AM433" s="12"/>
    </row>
    <row r="434">
      <c r="A434" s="88" t="s">
        <v>39</v>
      </c>
      <c r="B434" s="98">
        <v>17040.0</v>
      </c>
      <c r="C434" s="92" t="str">
        <f t="array" ref="C434">INDEX('MTA 28-09'!B:B,MATCH(B434,'MTA 28-09'!A:A,0))</f>
        <v>SIM</v>
      </c>
      <c r="D434" s="95">
        <f t="array" ref="D434">INDEX('MTA 28-09'!D:D,MATCH(B434,'MTA 28-09'!A:A,0))</f>
        <v>2048</v>
      </c>
      <c r="E434" s="98" t="str">
        <f t="array" ref="E434">INDEX('MTA 28-09'!F:F,MATCH(B434,'MTA 28-09'!A:A,0))</f>
        <v>ATENDIDO</v>
      </c>
      <c r="F434" s="144">
        <f t="array" ref="F434">INDEX('MTA 28-09'!I:I,MATCH(B434,'MTA 28-09'!A:A,0))</f>
        <v>46258</v>
      </c>
      <c r="G434" s="100" t="str">
        <f t="array" ref="G434">INDEX('MTA 28-09'!J:J,MATCH(B434,'MTA 28-09'!A:A,0))</f>
        <v>C26205</v>
      </c>
      <c r="H434" s="159" t="s">
        <v>157</v>
      </c>
      <c r="I434" s="296"/>
      <c r="J434" s="102"/>
      <c r="K434" s="103"/>
      <c r="L434" s="102" t="str">
        <f t="array" ref="L434">INDEX('MTA 28-09'!S:S,MATCH(B434,'MTA 28-09'!A:A,0))</f>
        <v>A-29</v>
      </c>
      <c r="M434" s="98" t="str">
        <f t="array" ref="M434">INDEX('MTA 28-09'!T:T,MATCH(B434,'MTA 28-09'!A:A,0))</f>
        <v>CNT 060/CELOG-PAMASP/2023 - PW - HSI/REPARO</v>
      </c>
      <c r="N434" s="98" t="str">
        <f t="array" ref="N434">INDEX('MTA 28-09'!U:U,MATCH(B434,'MTA 28-09'!A:A,0))</f>
        <v>Reparo PT6A-68C 5/9</v>
      </c>
      <c r="O434" s="104">
        <f t="array" ref="O434">INDEX('MTA 28-09'!AC:AC,MATCH(B434,'MTA 28-09'!A:A,0))</f>
        <v>1950000</v>
      </c>
      <c r="P434" s="98" t="str">
        <f t="array" ref="P434">INDEX('MTA 28-09'!N:N,MATCH(B434,'MTA 28-09'!A:A,0))</f>
        <v>CELOG</v>
      </c>
      <c r="Q434" s="105" t="str">
        <f t="array" ref="Q434">INDEX('MTA 28-09'!Z:Z,MATCH(B434,'MTA 28-09'!A:A,0))</f>
        <v>339039</v>
      </c>
      <c r="R434" s="98" t="str">
        <f t="array" ref="R434">INDEX('MTA 28-09'!L:L,MATCH(B434,'MTA 28-09'!A:A,0))</f>
        <v>A</v>
      </c>
      <c r="S434" s="107" t="str">
        <f t="array" ref="S434">INDEX('MTA 28-09'!X:X,MATCH(B434,'MTA 28-09'!A:A,0))</f>
        <v>SOB DEMANDA</v>
      </c>
      <c r="T434" s="107" t="str">
        <f t="array" ref="T434">INDEX('MTA 28-09'!W:W,MATCH(B434,'MTA 28-09'!A:A,0))</f>
        <v>SIM</v>
      </c>
      <c r="U434" s="109">
        <f t="array" ref="U434">INDEX('MTA 28-09'!AE:AE,MATCH(B434,'MTA 28-09'!A:A,0))</f>
        <v>46291</v>
      </c>
      <c r="V434" s="29"/>
      <c r="W434" s="29"/>
      <c r="X434" s="29"/>
      <c r="Y434" s="29"/>
      <c r="Z434" s="29"/>
      <c r="AA434" s="29"/>
      <c r="AB434" s="29"/>
      <c r="AC434" s="29"/>
      <c r="AD434" s="29"/>
      <c r="AE434" s="29"/>
      <c r="AF434" s="29"/>
      <c r="AG434" s="29"/>
      <c r="AH434" s="29"/>
      <c r="AI434" s="29"/>
      <c r="AJ434" s="29"/>
      <c r="AK434" s="29"/>
      <c r="AL434" s="29"/>
      <c r="AM434" s="29"/>
    </row>
    <row r="435">
      <c r="A435" s="31" t="s">
        <v>39</v>
      </c>
      <c r="B435" s="38">
        <v>17041.0</v>
      </c>
      <c r="C435" s="33" t="str">
        <f t="array" ref="C435">INDEX('MTA 28-09'!B:B,MATCH(B435,'MTA 28-09'!A:A,0))</f>
        <v>SIM</v>
      </c>
      <c r="D435" s="34">
        <f t="array" ref="D435">INDEX('MTA 28-09'!D:D,MATCH(B435,'MTA 28-09'!A:A,0))</f>
        <v>2048</v>
      </c>
      <c r="E435" s="32" t="str">
        <f t="array" ref="E435">INDEX('MTA 28-09'!F:F,MATCH(B435,'MTA 28-09'!A:A,0))</f>
        <v>CANCELADO</v>
      </c>
      <c r="F435" s="137" t="str">
        <f t="array" ref="F435">INDEX('MTA 28-09'!I:I,MATCH(B435,'MTA 28-09'!A:A,0))</f>
        <v/>
      </c>
      <c r="G435" s="36" t="str">
        <f t="array" ref="G435">INDEX('MTA 28-09'!J:J,MATCH(B435,'MTA 28-09'!A:A,0))</f>
        <v/>
      </c>
      <c r="H435" s="287" t="s">
        <v>157</v>
      </c>
      <c r="I435" s="295"/>
      <c r="J435" s="39"/>
      <c r="K435" s="40"/>
      <c r="L435" s="39" t="str">
        <f t="array" ref="L435">INDEX('MTA 28-09'!S:S,MATCH(B435,'MTA 28-09'!A:A,0))</f>
        <v>A-29</v>
      </c>
      <c r="M435" s="32" t="str">
        <f t="array" ref="M435">INDEX('MTA 28-09'!T:T,MATCH(B435,'MTA 28-09'!A:A,0))</f>
        <v>CNT 060/CELOG-PAMASP/2023 - PW - HSI/REPARO</v>
      </c>
      <c r="N435" s="32" t="str">
        <f t="array" ref="N435">INDEX('MTA 28-09'!U:U,MATCH(B435,'MTA 28-09'!A:A,0))</f>
        <v>Reparo PT6A-68C 5/9</v>
      </c>
      <c r="O435" s="59" t="str">
        <f t="array" ref="O435">INDEX('MTA 28-09'!AC:AC,MATCH(B435,'MTA 28-09'!A:A,0))</f>
        <v> -</v>
      </c>
      <c r="P435" s="32" t="str">
        <f t="array" ref="P435">INDEX('MTA 28-09'!N:N,MATCH(B435,'MTA 28-09'!A:A,0))</f>
        <v>CELOG</v>
      </c>
      <c r="Q435" s="67" t="str">
        <f t="array" ref="Q435">INDEX('MTA 28-09'!Z:Z,MATCH(B435,'MTA 28-09'!A:A,0))</f>
        <v>339039</v>
      </c>
      <c r="R435" s="32" t="str">
        <f t="array" ref="R435">INDEX('MTA 28-09'!L:L,MATCH(B435,'MTA 28-09'!A:A,0))</f>
        <v>A</v>
      </c>
      <c r="S435" s="72" t="str">
        <f t="array" ref="S435">INDEX('MTA 28-09'!X:X,MATCH(B435,'MTA 28-09'!A:A,0))</f>
        <v>SOB DEMANDA</v>
      </c>
      <c r="T435" s="72" t="str">
        <f t="array" ref="T435">INDEX('MTA 28-09'!W:W,MATCH(B435,'MTA 28-09'!A:A,0))</f>
        <v>SIM</v>
      </c>
      <c r="U435" s="81">
        <f t="array" ref="U435">INDEX('MTA 28-09'!AE:AE,MATCH(B435,'MTA 28-09'!A:A,0))</f>
        <v>46291</v>
      </c>
      <c r="V435" s="12"/>
      <c r="W435" s="12"/>
      <c r="X435" s="12"/>
      <c r="Y435" s="12"/>
      <c r="Z435" s="12"/>
      <c r="AA435" s="12"/>
      <c r="AB435" s="12"/>
      <c r="AC435" s="12"/>
      <c r="AD435" s="12"/>
      <c r="AE435" s="12"/>
      <c r="AF435" s="12"/>
      <c r="AG435" s="12"/>
      <c r="AH435" s="12"/>
      <c r="AI435" s="12"/>
      <c r="AJ435" s="12"/>
      <c r="AK435" s="12"/>
      <c r="AL435" s="12"/>
      <c r="AM435" s="12"/>
    </row>
    <row r="436">
      <c r="A436" s="88" t="s">
        <v>39</v>
      </c>
      <c r="B436" s="98">
        <v>17060.0</v>
      </c>
      <c r="C436" s="92" t="str">
        <f t="array" ref="C436">INDEX('MTA 28-09'!B:B,MATCH(B436,'MTA 28-09'!A:A,0))</f>
        <v>SIM</v>
      </c>
      <c r="D436" s="95">
        <f t="array" ref="D436">INDEX('MTA 28-09'!D:D,MATCH(B436,'MTA 28-09'!A:A,0))</f>
        <v>2048</v>
      </c>
      <c r="E436" s="98" t="str">
        <f t="array" ref="E436">INDEX('MTA 28-09'!F:F,MATCH(B436,'MTA 28-09'!A:A,0))</f>
        <v>ATENDIDO</v>
      </c>
      <c r="F436" s="144">
        <f t="array" ref="F436">INDEX('MTA 28-09'!I:I,MATCH(B436,'MTA 28-09'!A:A,0))</f>
        <v>46258</v>
      </c>
      <c r="G436" s="100" t="str">
        <f t="array" ref="G436">INDEX('MTA 28-09'!J:J,MATCH(B436,'MTA 28-09'!A:A,0))</f>
        <v>C26205</v>
      </c>
      <c r="H436" s="159" t="s">
        <v>157</v>
      </c>
      <c r="I436" s="296"/>
      <c r="J436" s="102"/>
      <c r="K436" s="103"/>
      <c r="L436" s="102" t="str">
        <f t="array" ref="L436">INDEX('MTA 28-09'!S:S,MATCH(B436,'MTA 28-09'!A:A,0))</f>
        <v>A-29</v>
      </c>
      <c r="M436" s="98" t="str">
        <f t="array" ref="M436">INDEX('MTA 28-09'!T:T,MATCH(B436,'MTA 28-09'!A:A,0))</f>
        <v>CNT 060/CELOG-PAMASP/2023 - PW - HSI/REPARO</v>
      </c>
      <c r="N436" s="98" t="str">
        <f t="array" ref="N436">INDEX('MTA 28-09'!U:U,MATCH(B436,'MTA 28-09'!A:A,0))</f>
        <v>Reparo PT6A-68C 6/9</v>
      </c>
      <c r="O436" s="104">
        <f t="array" ref="O436">INDEX('MTA 28-09'!AC:AC,MATCH(B436,'MTA 28-09'!A:A,0))</f>
        <v>1981026.4</v>
      </c>
      <c r="P436" s="98" t="str">
        <f t="array" ref="P436">INDEX('MTA 28-09'!N:N,MATCH(B436,'MTA 28-09'!A:A,0))</f>
        <v>CELOG</v>
      </c>
      <c r="Q436" s="105" t="str">
        <f t="array" ref="Q436">INDEX('MTA 28-09'!Z:Z,MATCH(B436,'MTA 28-09'!A:A,0))</f>
        <v>339039</v>
      </c>
      <c r="R436" s="98" t="str">
        <f t="array" ref="R436">INDEX('MTA 28-09'!L:L,MATCH(B436,'MTA 28-09'!A:A,0))</f>
        <v>A</v>
      </c>
      <c r="S436" s="107" t="str">
        <f t="array" ref="S436">INDEX('MTA 28-09'!X:X,MATCH(B436,'MTA 28-09'!A:A,0))</f>
        <v>SOB DEMANDA</v>
      </c>
      <c r="T436" s="107" t="str">
        <f t="array" ref="T436">INDEX('MTA 28-09'!W:W,MATCH(B436,'MTA 28-09'!A:A,0))</f>
        <v>SIM</v>
      </c>
      <c r="U436" s="109">
        <f t="array" ref="U436">INDEX('MTA 28-09'!AE:AE,MATCH(B436,'MTA 28-09'!A:A,0))</f>
        <v>46321</v>
      </c>
      <c r="V436" s="29"/>
      <c r="W436" s="29"/>
      <c r="X436" s="29"/>
      <c r="Y436" s="29"/>
      <c r="Z436" s="29"/>
      <c r="AA436" s="29"/>
      <c r="AB436" s="29"/>
      <c r="AC436" s="29"/>
      <c r="AD436" s="29"/>
      <c r="AE436" s="29"/>
      <c r="AF436" s="29"/>
      <c r="AG436" s="29"/>
      <c r="AH436" s="29"/>
      <c r="AI436" s="29"/>
      <c r="AJ436" s="29"/>
      <c r="AK436" s="29"/>
      <c r="AL436" s="29"/>
      <c r="AM436" s="29"/>
    </row>
    <row r="437">
      <c r="A437" s="31" t="s">
        <v>39</v>
      </c>
      <c r="B437" s="32">
        <v>17080.0</v>
      </c>
      <c r="C437" s="33" t="str">
        <f t="array" ref="C437">INDEX('MTA 28-09'!B:B,MATCH(B437,'MTA 28-09'!A:A,0))</f>
        <v>SIM</v>
      </c>
      <c r="D437" s="34">
        <f t="array" ref="D437">INDEX('MTA 28-09'!D:D,MATCH(B437,'MTA 28-09'!A:A,0))</f>
        <v>2048</v>
      </c>
      <c r="E437" s="32" t="str">
        <f t="array" ref="E437">INDEX('MTA 28-09'!F:F,MATCH(B437,'MTA 28-09'!A:A,0))</f>
        <v>CANCELADO</v>
      </c>
      <c r="F437" s="155" t="str">
        <f t="array" ref="F437">INDEX('MTA 28-09'!I:I,MATCH(B437,'MTA 28-09'!A:A,0))</f>
        <v/>
      </c>
      <c r="G437" s="36" t="str">
        <f t="array" ref="G437">INDEX('MTA 28-09'!J:J,MATCH(B437,'MTA 28-09'!A:A,0))</f>
        <v/>
      </c>
      <c r="H437" s="287" t="s">
        <v>157</v>
      </c>
      <c r="I437" s="295"/>
      <c r="J437" s="39"/>
      <c r="K437" s="40"/>
      <c r="L437" s="39" t="str">
        <f t="array" ref="L437">INDEX('MTA 28-09'!S:S,MATCH(B437,'MTA 28-09'!A:A,0))</f>
        <v>A-29</v>
      </c>
      <c r="M437" s="32" t="str">
        <f t="array" ref="M437">INDEX('MTA 28-09'!T:T,MATCH(B437,'MTA 28-09'!A:A,0))</f>
        <v>CNT 060/CELOG-PAMASP/2023 - PW - HSI/REPARO</v>
      </c>
      <c r="N437" s="32" t="str">
        <f t="array" ref="N437">INDEX('MTA 28-09'!U:U,MATCH(B437,'MTA 28-09'!A:A,0))</f>
        <v>Reparo PT6A-68C 7/9</v>
      </c>
      <c r="O437" s="59" t="str">
        <f t="array" ref="O437">INDEX('MTA 28-09'!AC:AC,MATCH(B437,'MTA 28-09'!A:A,0))</f>
        <v> -</v>
      </c>
      <c r="P437" s="32" t="str">
        <f t="array" ref="P437">INDEX('MTA 28-09'!N:N,MATCH(B437,'MTA 28-09'!A:A,0))</f>
        <v>CELOG</v>
      </c>
      <c r="Q437" s="67" t="str">
        <f t="array" ref="Q437">INDEX('MTA 28-09'!Z:Z,MATCH(B437,'MTA 28-09'!A:A,0))</f>
        <v>339039</v>
      </c>
      <c r="R437" s="32" t="str">
        <f t="array" ref="R437">INDEX('MTA 28-09'!L:L,MATCH(B437,'MTA 28-09'!A:A,0))</f>
        <v>A</v>
      </c>
      <c r="S437" s="72" t="str">
        <f t="array" ref="S437">INDEX('MTA 28-09'!X:X,MATCH(B437,'MTA 28-09'!A:A,0))</f>
        <v>SOB DEMANDA</v>
      </c>
      <c r="T437" s="72" t="str">
        <f t="array" ref="T437">INDEX('MTA 28-09'!W:W,MATCH(B437,'MTA 28-09'!A:A,0))</f>
        <v>SIM</v>
      </c>
      <c r="U437" s="81">
        <f t="array" ref="U437">INDEX('MTA 28-09'!AE:AE,MATCH(B437,'MTA 28-09'!A:A,0))</f>
        <v>46352</v>
      </c>
      <c r="V437" s="12"/>
      <c r="W437" s="12"/>
      <c r="X437" s="12"/>
      <c r="Y437" s="12"/>
      <c r="Z437" s="12"/>
      <c r="AA437" s="12"/>
      <c r="AB437" s="12"/>
      <c r="AC437" s="12"/>
      <c r="AD437" s="12"/>
      <c r="AE437" s="12"/>
      <c r="AF437" s="12"/>
      <c r="AG437" s="12"/>
      <c r="AH437" s="12"/>
      <c r="AI437" s="12"/>
      <c r="AJ437" s="12"/>
      <c r="AK437" s="12"/>
      <c r="AL437" s="12"/>
      <c r="AM437" s="12"/>
    </row>
    <row r="438">
      <c r="A438" s="88" t="s">
        <v>43</v>
      </c>
      <c r="B438" s="98">
        <v>17100.0</v>
      </c>
      <c r="C438" s="92" t="str">
        <f t="array" ref="C438">INDEX('MTA 28-09'!B:B,MATCH(B438,'MTA 28-09'!A:A,0))</f>
        <v>NÃO</v>
      </c>
      <c r="D438" s="95" t="str">
        <f t="array" ref="D438">INDEX('MTA 28-09'!D:D,MATCH(B438,'MTA 28-09'!A:A,0))</f>
        <v/>
      </c>
      <c r="E438" s="98" t="str">
        <f t="array" ref="E438">INDEX('MTA 28-09'!F:F,MATCH(B438,'MTA 28-09'!A:A,0))</f>
        <v>BLOQUEIO</v>
      </c>
      <c r="F438" s="99" t="str">
        <f t="array" ref="F438">INDEX('MTA 28-09'!I:I,MATCH(B438,'MTA 28-09'!A:A,0))</f>
        <v/>
      </c>
      <c r="G438" s="100" t="str">
        <f t="array" ref="G438">INDEX('MTA 28-09'!J:J,MATCH(B438,'MTA 28-09'!A:A,0))</f>
        <v/>
      </c>
      <c r="H438" s="159" t="s">
        <v>157</v>
      </c>
      <c r="I438" s="296"/>
      <c r="J438" s="102"/>
      <c r="K438" s="103"/>
      <c r="L438" s="102" t="str">
        <f t="array" ref="L438">INDEX('MTA 28-09'!S:S,MATCH(B438,'MTA 28-09'!A:A,0))</f>
        <v>C-95M</v>
      </c>
      <c r="M438" s="98" t="str">
        <f t="array" ref="M438">INDEX('MTA 28-09'!T:T,MATCH(B438,'MTA 28-09'!A:A,0))</f>
        <v>Requisição CABW</v>
      </c>
      <c r="N438" s="98" t="str">
        <f t="array" ref="N438">INDEX('MTA 28-09'!U:U,MATCH(B438,'MTA 28-09'!A:A,0))</f>
        <v>Requisições Consumíveis 2/4</v>
      </c>
      <c r="O438" s="104">
        <f t="array" ref="O438">INDEX('MTA 28-09'!AC:AC,MATCH(B438,'MTA 28-09'!A:A,0))</f>
        <v>4250000</v>
      </c>
      <c r="P438" s="98" t="str">
        <f t="array" ref="P438">INDEX('MTA 28-09'!N:N,MATCH(B438,'MTA 28-09'!A:A,0))</f>
        <v>CABW</v>
      </c>
      <c r="Q438" s="105" t="str">
        <f t="array" ref="Q438">INDEX('MTA 28-09'!Z:Z,MATCH(B438,'MTA 28-09'!A:A,0))</f>
        <v>339030</v>
      </c>
      <c r="R438" s="98" t="str">
        <f t="array" ref="R438">INDEX('MTA 28-09'!L:L,MATCH(B438,'MTA 28-09'!A:A,0))</f>
        <v>B</v>
      </c>
      <c r="S438" s="107" t="str">
        <f t="array" ref="S438">INDEX('MTA 28-09'!X:X,MATCH(B438,'MTA 28-09'!A:A,0))</f>
        <v>REQUISIÇÃO</v>
      </c>
      <c r="T438" s="107" t="str">
        <f t="array" ref="T438">INDEX('MTA 28-09'!W:W,MATCH(B438,'MTA 28-09'!A:A,0))</f>
        <v>Não</v>
      </c>
      <c r="U438" s="109">
        <f t="array" ref="U438">INDEX('MTA 28-09'!AE:AE,MATCH(B438,'MTA 28-09'!A:A,0))</f>
        <v>46352</v>
      </c>
      <c r="V438" s="29"/>
      <c r="W438" s="29"/>
      <c r="X438" s="29"/>
      <c r="Y438" s="29"/>
      <c r="Z438" s="29"/>
      <c r="AA438" s="29"/>
      <c r="AB438" s="29"/>
      <c r="AC438" s="29"/>
      <c r="AD438" s="29"/>
      <c r="AE438" s="29"/>
      <c r="AF438" s="29"/>
      <c r="AG438" s="29"/>
      <c r="AH438" s="29"/>
      <c r="AI438" s="29"/>
      <c r="AJ438" s="29"/>
      <c r="AK438" s="29"/>
      <c r="AL438" s="29"/>
      <c r="AM438" s="29"/>
    </row>
    <row r="439">
      <c r="A439" s="31" t="s">
        <v>43</v>
      </c>
      <c r="B439" s="32">
        <v>17120.0</v>
      </c>
      <c r="C439" s="33" t="str">
        <f t="array" ref="C439">INDEX('MTA 28-09'!B:B,MATCH(B439,'MTA 28-09'!A:A,0))</f>
        <v>NÃO</v>
      </c>
      <c r="D439" s="34" t="str">
        <f t="array" ref="D439">INDEX('MTA 28-09'!D:D,MATCH(B439,'MTA 28-09'!A:A,0))</f>
        <v/>
      </c>
      <c r="E439" s="32" t="str">
        <f t="array" ref="E439">INDEX('MTA 28-09'!F:F,MATCH(B439,'MTA 28-09'!A:A,0))</f>
        <v/>
      </c>
      <c r="F439" s="155" t="str">
        <f t="array" ref="F439">INDEX('MTA 28-09'!I:I,MATCH(B439,'MTA 28-09'!A:A,0))</f>
        <v/>
      </c>
      <c r="G439" s="36" t="str">
        <f t="array" ref="G439">INDEX('MTA 28-09'!J:J,MATCH(B439,'MTA 28-09'!A:A,0))</f>
        <v/>
      </c>
      <c r="H439" s="287" t="s">
        <v>157</v>
      </c>
      <c r="I439" s="295"/>
      <c r="J439" s="39"/>
      <c r="K439" s="40"/>
      <c r="L439" s="39" t="str">
        <f t="array" ref="L439">INDEX('MTA 28-09'!S:S,MATCH(B439,'MTA 28-09'!A:A,0))</f>
        <v>C-95M</v>
      </c>
      <c r="M439" s="32" t="str">
        <f t="array" ref="M439">INDEX('MTA 28-09'!T:T,MATCH(B439,'MTA 28-09'!A:A,0))</f>
        <v>Requisição CABW</v>
      </c>
      <c r="N439" s="32" t="str">
        <f t="array" ref="N439">INDEX('MTA 28-09'!U:U,MATCH(B439,'MTA 28-09'!A:A,0))</f>
        <v>Requisições Consumíveis 4/4</v>
      </c>
      <c r="O439" s="59">
        <f t="array" ref="O439">INDEX('MTA 28-09'!AC:AC,MATCH(B439,'MTA 28-09'!A:A,0))</f>
        <v>4250000</v>
      </c>
      <c r="P439" s="32" t="str">
        <f t="array" ref="P439">INDEX('MTA 28-09'!N:N,MATCH(B439,'MTA 28-09'!A:A,0))</f>
        <v>CABW</v>
      </c>
      <c r="Q439" s="67" t="str">
        <f t="array" ref="Q439">INDEX('MTA 28-09'!Z:Z,MATCH(B439,'MTA 28-09'!A:A,0))</f>
        <v>339030</v>
      </c>
      <c r="R439" s="32" t="str">
        <f t="array" ref="R439">INDEX('MTA 28-09'!L:L,MATCH(B439,'MTA 28-09'!A:A,0))</f>
        <v>C</v>
      </c>
      <c r="S439" s="72" t="str">
        <f t="array" ref="S439">INDEX('MTA 28-09'!X:X,MATCH(B439,'MTA 28-09'!A:A,0))</f>
        <v>REQUISIÇÃO</v>
      </c>
      <c r="T439" s="72" t="str">
        <f t="array" ref="T439">INDEX('MTA 28-09'!W:W,MATCH(B439,'MTA 28-09'!A:A,0))</f>
        <v>Não</v>
      </c>
      <c r="U439" s="81">
        <f t="array" ref="U439">INDEX('MTA 28-09'!AE:AE,MATCH(B439,'MTA 28-09'!A:A,0))</f>
        <v>46352</v>
      </c>
      <c r="V439" s="12"/>
      <c r="W439" s="12"/>
      <c r="X439" s="12"/>
      <c r="Y439" s="12"/>
      <c r="Z439" s="12"/>
      <c r="AA439" s="12"/>
      <c r="AB439" s="12"/>
      <c r="AC439" s="12"/>
      <c r="AD439" s="12"/>
      <c r="AE439" s="12"/>
      <c r="AF439" s="12"/>
      <c r="AG439" s="12"/>
      <c r="AH439" s="12"/>
      <c r="AI439" s="12"/>
      <c r="AJ439" s="12"/>
      <c r="AK439" s="12"/>
      <c r="AL439" s="12"/>
      <c r="AM439" s="12"/>
    </row>
    <row r="440">
      <c r="A440" s="88" t="s">
        <v>43</v>
      </c>
      <c r="B440" s="98">
        <v>17140.0</v>
      </c>
      <c r="C440" s="92" t="str">
        <f t="array" ref="C440">INDEX('MTA 28-09'!B:B,MATCH(B440,'MTA 28-09'!A:A,0))</f>
        <v>SIM</v>
      </c>
      <c r="D440" s="95">
        <f t="array" ref="D440">INDEX('MTA 28-09'!D:D,MATCH(B440,'MTA 28-09'!A:A,0))</f>
        <v>2048</v>
      </c>
      <c r="E440" s="98" t="str">
        <f t="array" ref="E440">INDEX('MTA 28-09'!F:F,MATCH(B440,'MTA 28-09'!A:A,0))</f>
        <v>ATENDIDO</v>
      </c>
      <c r="F440" s="144">
        <f t="array" ref="F440">INDEX('MTA 28-09'!I:I,MATCH(B440,'MTA 28-09'!A:A,0))</f>
        <v>46191</v>
      </c>
      <c r="G440" s="100" t="str">
        <f t="array" ref="G440">INDEX('MTA 28-09'!J:J,MATCH(B440,'MTA 28-09'!A:A,0))</f>
        <v>C26310</v>
      </c>
      <c r="H440" s="159" t="s">
        <v>157</v>
      </c>
      <c r="I440" s="296"/>
      <c r="J440" s="102"/>
      <c r="K440" s="103"/>
      <c r="L440" s="102" t="str">
        <f t="array" ref="L440">INDEX('MTA 28-09'!S:S,MATCH(B440,'MTA 28-09'!A:A,0))</f>
        <v>C-95M</v>
      </c>
      <c r="M440" s="98" t="str">
        <f t="array" ref="M440">INDEX('MTA 28-09'!T:T,MATCH(B440,'MTA 28-09'!A:A,0))</f>
        <v>CNT 048/CELOG-PAMASP/2022 - PW - Material</v>
      </c>
      <c r="N440" s="98" t="str">
        <f t="array" ref="N440">INDEX('MTA 28-09'!U:U,MATCH(B440,'MTA 28-09'!A:A,0))</f>
        <v>Material reparo PT6A-34 (4/6)</v>
      </c>
      <c r="O440" s="104">
        <f t="array" ref="O440">INDEX('MTA 28-09'!AC:AC,MATCH(B440,'MTA 28-09'!A:A,0))</f>
        <v>1000000</v>
      </c>
      <c r="P440" s="98" t="str">
        <f t="array" ref="P440">INDEX('MTA 28-09'!N:N,MATCH(B440,'MTA 28-09'!A:A,0))</f>
        <v>CELOG</v>
      </c>
      <c r="Q440" s="105" t="str">
        <f t="array" ref="Q440">INDEX('MTA 28-09'!Z:Z,MATCH(B440,'MTA 28-09'!A:A,0))</f>
        <v>339030</v>
      </c>
      <c r="R440" s="98" t="str">
        <f t="array" ref="R440">INDEX('MTA 28-09'!L:L,MATCH(B440,'MTA 28-09'!A:A,0))</f>
        <v>A</v>
      </c>
      <c r="S440" s="107" t="str">
        <f t="array" ref="S440">INDEX('MTA 28-09'!X:X,MATCH(B440,'MTA 28-09'!A:A,0))</f>
        <v>SOB DEMANDA</v>
      </c>
      <c r="T440" s="107" t="str">
        <f t="array" ref="T440">INDEX('MTA 28-09'!W:W,MATCH(B440,'MTA 28-09'!A:A,0))</f>
        <v>SIM</v>
      </c>
      <c r="U440" s="109">
        <f t="array" ref="U440">INDEX('MTA 28-09'!AE:AE,MATCH(B440,'MTA 28-09'!A:A,0))</f>
        <v>46260</v>
      </c>
      <c r="V440" s="29"/>
      <c r="W440" s="29"/>
      <c r="X440" s="29"/>
      <c r="Y440" s="29"/>
      <c r="Z440" s="29"/>
      <c r="AA440" s="29"/>
      <c r="AB440" s="29"/>
      <c r="AC440" s="29"/>
      <c r="AD440" s="29"/>
      <c r="AE440" s="29"/>
      <c r="AF440" s="29"/>
      <c r="AG440" s="29"/>
      <c r="AH440" s="29"/>
      <c r="AI440" s="29"/>
      <c r="AJ440" s="29"/>
      <c r="AK440" s="29"/>
      <c r="AL440" s="29"/>
      <c r="AM440" s="29"/>
    </row>
    <row r="441">
      <c r="A441" s="31" t="s">
        <v>99</v>
      </c>
      <c r="B441" s="32">
        <v>17160.0</v>
      </c>
      <c r="C441" s="33" t="str">
        <f t="array" ref="C441">INDEX('MTA 28-09'!B:B,MATCH(B441,'MTA 28-09'!A:A,0))</f>
        <v>SIM</v>
      </c>
      <c r="D441" s="34">
        <f t="array" ref="D441">INDEX('MTA 28-09'!D:D,MATCH(B441,'MTA 28-09'!A:A,0))</f>
        <v>2048</v>
      </c>
      <c r="E441" s="32" t="str">
        <f t="array" ref="E441">INDEX('MTA 28-09'!F:F,MATCH(B441,'MTA 28-09'!A:A,0))</f>
        <v>ATENDIDO</v>
      </c>
      <c r="F441" s="137">
        <f t="array" ref="F441">INDEX('MTA 28-09'!I:I,MATCH(B441,'MTA 28-09'!A:A,0))</f>
        <v>46265</v>
      </c>
      <c r="G441" s="36" t="str">
        <f t="array" ref="G441">INDEX('MTA 28-09'!J:J,MATCH(B441,'MTA 28-09'!A:A,0))</f>
        <v>C26146</v>
      </c>
      <c r="H441" s="287" t="s">
        <v>157</v>
      </c>
      <c r="I441" s="38"/>
      <c r="J441" s="39"/>
      <c r="K441" s="40"/>
      <c r="L441" s="39" t="str">
        <f t="array" ref="L441">INDEX('MTA 28-09'!S:S,MATCH(B441,'MTA 28-09'!A:A,0))</f>
        <v>APOIO</v>
      </c>
      <c r="M441" s="32" t="str">
        <f t="array" ref="M441">INDEX('MTA 28-09'!T:T,MATCH(B441,'MTA 28-09'!A:A,0))</f>
        <v>MANUTENÇÂO DAS INSTALAÇÕES</v>
      </c>
      <c r="N441" s="32" t="str">
        <f t="array" ref="N441">INDEX('MTA 28-09'!U:U,MATCH(B441,'MTA 28-09'!A:A,0))</f>
        <v>INFRAESTRUTURA - SUBSTITUIÇÃO DE ILUMINAÇÂO DO PÁTIO OPERACIONAL E DAS VIAS DE ACESSO</v>
      </c>
      <c r="O441" s="59">
        <f t="array" ref="O441">INDEX('MTA 28-09'!AC:AC,MATCH(B441,'MTA 28-09'!A:A,0))</f>
        <v>75600</v>
      </c>
      <c r="P441" s="32" t="str">
        <f t="array" ref="P441">INDEX('MTA 28-09'!N:N,MATCH(B441,'MTA 28-09'!A:A,0))</f>
        <v>GAP-LS</v>
      </c>
      <c r="Q441" s="67" t="str">
        <f t="array" ref="Q441">INDEX('MTA 28-09'!Z:Z,MATCH(B441,'MTA 28-09'!A:A,0))</f>
        <v>339039</v>
      </c>
      <c r="R441" s="32" t="str">
        <f t="array" ref="R441">INDEX('MTA 28-09'!L:L,MATCH(B441,'MTA 28-09'!A:A,0))</f>
        <v>A</v>
      </c>
      <c r="S441" s="72" t="str">
        <f t="array" ref="S441">INDEX('MTA 28-09'!X:X,MATCH(B441,'MTA 28-09'!A:A,0))</f>
        <v>REQUISIÇÃO</v>
      </c>
      <c r="T441" s="72" t="str">
        <f t="array" ref="T441">INDEX('MTA 28-09'!W:W,MATCH(B441,'MTA 28-09'!A:A,0))</f>
        <v>NÃO</v>
      </c>
      <c r="U441" s="81">
        <f t="array" ref="U441">INDEX('MTA 28-09'!AE:AE,MATCH(B441,'MTA 28-09'!A:A,0))</f>
        <v>46291</v>
      </c>
      <c r="V441" s="12"/>
      <c r="W441" s="12"/>
      <c r="X441" s="12"/>
      <c r="Y441" s="12"/>
      <c r="Z441" s="12"/>
      <c r="AA441" s="12"/>
      <c r="AB441" s="12"/>
      <c r="AC441" s="12"/>
      <c r="AD441" s="12"/>
      <c r="AE441" s="12"/>
      <c r="AF441" s="12"/>
      <c r="AG441" s="12"/>
      <c r="AH441" s="12"/>
      <c r="AI441" s="12"/>
      <c r="AJ441" s="12"/>
      <c r="AK441" s="12"/>
      <c r="AL441" s="12"/>
      <c r="AM441" s="12"/>
    </row>
    <row r="442">
      <c r="A442" s="88" t="s">
        <v>104</v>
      </c>
      <c r="B442" s="98">
        <v>17180.0</v>
      </c>
      <c r="C442" s="92" t="str">
        <f t="array" ref="C442">INDEX('MTA 28-09'!B:B,MATCH(B442,'MTA 28-09'!A:A,0))</f>
        <v>NÃO</v>
      </c>
      <c r="D442" s="95" t="str">
        <f t="array" ref="D442">INDEX('MTA 28-09'!D:D,MATCH(B442,'MTA 28-09'!A:A,0))</f>
        <v/>
      </c>
      <c r="E442" s="98" t="str">
        <f t="array" ref="E442">INDEX('MTA 28-09'!F:F,MATCH(B442,'MTA 28-09'!A:A,0))</f>
        <v/>
      </c>
      <c r="F442" s="152" t="str">
        <f t="array" ref="F442">INDEX('MTA 28-09'!I:I,MATCH(B442,'MTA 28-09'!A:A,0))</f>
        <v/>
      </c>
      <c r="G442" s="100" t="str">
        <f t="array" ref="G442">INDEX('MTA 28-09'!J:J,MATCH(B442,'MTA 28-09'!A:A,0))</f>
        <v/>
      </c>
      <c r="H442" s="159" t="s">
        <v>157</v>
      </c>
      <c r="I442" s="296"/>
      <c r="J442" s="102"/>
      <c r="K442" s="103"/>
      <c r="L442" s="102" t="str">
        <f t="array" ref="L442">INDEX('MTA 28-09'!S:S,MATCH(B442,'MTA 28-09'!A:A,0))</f>
        <v>APOIO</v>
      </c>
      <c r="M442" s="98" t="str">
        <f t="array" ref="M442">INDEX('MTA 28-09'!T:T,MATCH(B442,'MTA 28-09'!A:A,0))</f>
        <v>Requisição CABW</v>
      </c>
      <c r="N442" s="98" t="str">
        <f t="array" ref="N442">INDEX('MTA 28-09'!U:U,MATCH(B442,'MTA 28-09'!A:A,0))</f>
        <v>Requisições Consumíveis 2/2</v>
      </c>
      <c r="O442" s="104">
        <f t="array" ref="O442">INDEX('MTA 28-09'!AC:AC,MATCH(B442,'MTA 28-09'!A:A,0))</f>
        <v>190000</v>
      </c>
      <c r="P442" s="98" t="str">
        <f t="array" ref="P442">INDEX('MTA 28-09'!N:N,MATCH(B442,'MTA 28-09'!A:A,0))</f>
        <v>CELOG</v>
      </c>
      <c r="Q442" s="105" t="str">
        <f t="array" ref="Q442">INDEX('MTA 28-09'!Z:Z,MATCH(B442,'MTA 28-09'!A:A,0))</f>
        <v>339030</v>
      </c>
      <c r="R442" s="98" t="str">
        <f t="array" ref="R442">INDEX('MTA 28-09'!L:L,MATCH(B442,'MTA 28-09'!A:A,0))</f>
        <v>C</v>
      </c>
      <c r="S442" s="107" t="str">
        <f t="array" ref="S442">INDEX('MTA 28-09'!X:X,MATCH(B442,'MTA 28-09'!A:A,0))</f>
        <v>REQUISIÇÃO</v>
      </c>
      <c r="T442" s="107" t="str">
        <f t="array" ref="T442">INDEX('MTA 28-09'!W:W,MATCH(B442,'MTA 28-09'!A:A,0))</f>
        <v>NÃO</v>
      </c>
      <c r="U442" s="109">
        <f t="array" ref="U442">INDEX('MTA 28-09'!AE:AE,MATCH(B442,'MTA 28-09'!A:A,0))</f>
        <v>46352</v>
      </c>
      <c r="V442" s="29"/>
      <c r="W442" s="29"/>
      <c r="X442" s="29"/>
      <c r="Y442" s="29"/>
      <c r="Z442" s="29"/>
      <c r="AA442" s="29"/>
      <c r="AB442" s="29"/>
      <c r="AC442" s="29"/>
      <c r="AD442" s="29"/>
      <c r="AE442" s="29"/>
      <c r="AF442" s="29"/>
      <c r="AG442" s="29"/>
      <c r="AH442" s="29"/>
      <c r="AI442" s="29"/>
      <c r="AJ442" s="29"/>
      <c r="AK442" s="29"/>
      <c r="AL442" s="29"/>
      <c r="AM442" s="29"/>
    </row>
    <row r="443">
      <c r="A443" s="31" t="s">
        <v>45</v>
      </c>
      <c r="B443" s="32">
        <v>17200.0</v>
      </c>
      <c r="C443" s="33" t="str">
        <f t="array" ref="C443">INDEX('MTA 28-09'!B:B,MATCH(B443,'MTA 28-09'!A:A,0))</f>
        <v>SIM</v>
      </c>
      <c r="D443" s="34">
        <f t="array" ref="D443">INDEX('MTA 28-09'!D:D,MATCH(B443,'MTA 28-09'!A:A,0))</f>
        <v>2048</v>
      </c>
      <c r="E443" s="32" t="str">
        <f t="array" ref="E443">INDEX('MTA 28-09'!F:F,MATCH(B443,'MTA 28-09'!A:A,0))</f>
        <v/>
      </c>
      <c r="F443" s="137" t="str">
        <f t="array" ref="F443">INDEX('MTA 28-09'!I:I,MATCH(B443,'MTA 28-09'!A:A,0))</f>
        <v/>
      </c>
      <c r="G443" s="36" t="str">
        <f t="array" ref="G443">INDEX('MTA 28-09'!J:J,MATCH(B443,'MTA 28-09'!A:A,0))</f>
        <v/>
      </c>
      <c r="H443" s="287">
        <v>46276.0</v>
      </c>
      <c r="I443" s="38" t="s">
        <v>293</v>
      </c>
      <c r="J443" s="39"/>
      <c r="K443" s="40"/>
      <c r="L443" s="39" t="str">
        <f t="array" ref="L443">INDEX('MTA 28-09'!S:S,MATCH(B443,'MTA 28-09'!A:A,0))</f>
        <v>C-98</v>
      </c>
      <c r="M443" s="32" t="str">
        <f t="array" ref="M443">INDEX('MTA 28-09'!T:T,MATCH(B443,'MTA 28-09'!A:A,0))</f>
        <v>Requisição CABW</v>
      </c>
      <c r="N443" s="32" t="str">
        <f t="array" ref="N443">INDEX('MTA 28-09'!U:U,MATCH(B443,'MTA 28-09'!A:A,0))</f>
        <v>Requisições Consumíveis 2/8</v>
      </c>
      <c r="O443" s="59">
        <f t="array" ref="O443">INDEX('MTA 28-09'!AC:AC,MATCH(B443,'MTA 28-09'!A:A,0))</f>
        <v>958040</v>
      </c>
      <c r="P443" s="32" t="str">
        <f t="array" ref="P443">INDEX('MTA 28-09'!N:N,MATCH(B443,'MTA 28-09'!A:A,0))</f>
        <v>CABW</v>
      </c>
      <c r="Q443" s="67" t="str">
        <f t="array" ref="Q443">INDEX('MTA 28-09'!Z:Z,MATCH(B443,'MTA 28-09'!A:A,0))</f>
        <v>339030</v>
      </c>
      <c r="R443" s="32" t="str">
        <f t="array" ref="R443">INDEX('MTA 28-09'!L:L,MATCH(B443,'MTA 28-09'!A:A,0))</f>
        <v>A</v>
      </c>
      <c r="S443" s="72" t="str">
        <f t="array" ref="S443">INDEX('MTA 28-09'!X:X,MATCH(B443,'MTA 28-09'!A:A,0))</f>
        <v>REQUISIÇÃO</v>
      </c>
      <c r="T443" s="72" t="str">
        <f t="array" ref="T443">INDEX('MTA 28-09'!W:W,MATCH(B443,'MTA 28-09'!A:A,0))</f>
        <v>Não</v>
      </c>
      <c r="U443" s="81">
        <f t="array" ref="U443">INDEX('MTA 28-09'!AE:AE,MATCH(B443,'MTA 28-09'!A:A,0))</f>
        <v>46352</v>
      </c>
      <c r="V443" s="12"/>
      <c r="W443" s="12"/>
      <c r="X443" s="12"/>
      <c r="Y443" s="12"/>
      <c r="Z443" s="12"/>
      <c r="AA443" s="12"/>
      <c r="AB443" s="12"/>
      <c r="AC443" s="12"/>
      <c r="AD443" s="12"/>
      <c r="AE443" s="12"/>
      <c r="AF443" s="12"/>
      <c r="AG443" s="12"/>
      <c r="AH443" s="12"/>
      <c r="AI443" s="12"/>
      <c r="AJ443" s="12"/>
      <c r="AK443" s="12"/>
      <c r="AL443" s="12"/>
      <c r="AM443" s="12"/>
    </row>
    <row r="444">
      <c r="A444" s="88" t="s">
        <v>45</v>
      </c>
      <c r="B444" s="90">
        <v>17201.0</v>
      </c>
      <c r="C444" s="92" t="str">
        <f t="array" ref="C444">INDEX('MTA 28-09'!B:B,MATCH(B444,'MTA 28-09'!A:A,0))</f>
        <v>SIM</v>
      </c>
      <c r="D444" s="95">
        <f t="array" ref="D444">INDEX('MTA 28-09'!D:D,MATCH(B444,'MTA 28-09'!A:A,0))</f>
        <v>2048</v>
      </c>
      <c r="E444" s="98" t="str">
        <f t="array" ref="E444">INDEX('MTA 28-09'!F:F,MATCH(B444,'MTA 28-09'!A:A,0))</f>
        <v>ATENDIDO</v>
      </c>
      <c r="F444" s="144">
        <f t="array" ref="F444">INDEX('MTA 28-09'!I:I,MATCH(B444,'MTA 28-09'!A:A,0))</f>
        <v>46176</v>
      </c>
      <c r="G444" s="100" t="str">
        <f t="array" ref="G444">INDEX('MTA 28-09'!J:J,MATCH(B444,'MTA 28-09'!A:A,0))</f>
        <v>C26116</v>
      </c>
      <c r="H444" s="372" t="s">
        <v>1466</v>
      </c>
      <c r="I444" s="90"/>
      <c r="J444" s="102"/>
      <c r="K444" s="103"/>
      <c r="L444" s="102" t="str">
        <f t="array" ref="L444">INDEX('MTA 28-09'!S:S,MATCH(B444,'MTA 28-09'!A:A,0))</f>
        <v>C-98</v>
      </c>
      <c r="M444" s="98" t="str">
        <f t="array" ref="M444">INDEX('MTA 28-09'!T:T,MATCH(B444,'MTA 28-09'!A:A,0))</f>
        <v>Requisição CABW</v>
      </c>
      <c r="N444" s="98" t="str">
        <f t="array" ref="N444">INDEX('MTA 28-09'!U:U,MATCH(B444,'MTA 28-09'!A:A,0))</f>
        <v>Requisições Consumíveis 2/8</v>
      </c>
      <c r="O444" s="104">
        <f t="array" ref="O444">INDEX('MTA 28-09'!AC:AC,MATCH(B444,'MTA 28-09'!A:A,0))</f>
        <v>41730.64</v>
      </c>
      <c r="P444" s="98" t="str">
        <f t="array" ref="P444">INDEX('MTA 28-09'!N:N,MATCH(B444,'MTA 28-09'!A:A,0))</f>
        <v>CABW</v>
      </c>
      <c r="Q444" s="105" t="str">
        <f t="array" ref="Q444">INDEX('MTA 28-09'!Z:Z,MATCH(B444,'MTA 28-09'!A:A,0))</f>
        <v>449052</v>
      </c>
      <c r="R444" s="98" t="str">
        <f t="array" ref="R444">INDEX('MTA 28-09'!L:L,MATCH(B444,'MTA 28-09'!A:A,0))</f>
        <v>A</v>
      </c>
      <c r="S444" s="107" t="str">
        <f t="array" ref="S444">INDEX('MTA 28-09'!X:X,MATCH(B444,'MTA 28-09'!A:A,0))</f>
        <v>REQUISIÇÃO</v>
      </c>
      <c r="T444" s="107" t="str">
        <f t="array" ref="T444">INDEX('MTA 28-09'!W:W,MATCH(B444,'MTA 28-09'!A:A,0))</f>
        <v>Não</v>
      </c>
      <c r="U444" s="109">
        <f t="array" ref="U444">INDEX('MTA 28-09'!AE:AE,MATCH(B444,'MTA 28-09'!A:A,0))</f>
        <v>46352</v>
      </c>
      <c r="V444" s="29"/>
      <c r="W444" s="29"/>
      <c r="X444" s="29"/>
      <c r="Y444" s="29"/>
      <c r="Z444" s="29"/>
      <c r="AA444" s="29"/>
      <c r="AB444" s="29"/>
      <c r="AC444" s="29"/>
      <c r="AD444" s="29"/>
      <c r="AE444" s="29"/>
      <c r="AF444" s="29"/>
      <c r="AG444" s="29"/>
      <c r="AH444" s="29"/>
      <c r="AI444" s="29"/>
      <c r="AJ444" s="29"/>
      <c r="AK444" s="29"/>
      <c r="AL444" s="29"/>
      <c r="AM444" s="29"/>
    </row>
    <row r="445">
      <c r="A445" s="31" t="s">
        <v>48</v>
      </c>
      <c r="B445" s="32">
        <v>17220.0</v>
      </c>
      <c r="C445" s="33" t="str">
        <f t="array" ref="C445">INDEX('MTA 28-09'!B:B,MATCH(B445,'MTA 28-09'!A:A,0))</f>
        <v>SIM</v>
      </c>
      <c r="D445" s="34">
        <f t="array" ref="D445">INDEX('MTA 28-09'!D:D,MATCH(B445,'MTA 28-09'!A:A,0))</f>
        <v>2048</v>
      </c>
      <c r="E445" s="32" t="str">
        <f t="array" ref="E445">INDEX('MTA 28-09'!F:F,MATCH(B445,'MTA 28-09'!A:A,0))</f>
        <v/>
      </c>
      <c r="F445" s="155" t="str">
        <f t="array" ref="F445">INDEX('MTA 28-09'!I:I,MATCH(B445,'MTA 28-09'!A:A,0))</f>
        <v/>
      </c>
      <c r="G445" s="36" t="str">
        <f t="array" ref="G445">INDEX('MTA 28-09'!J:J,MATCH(B445,'MTA 28-09'!A:A,0))</f>
        <v/>
      </c>
      <c r="H445" s="287">
        <v>46276.0</v>
      </c>
      <c r="I445" s="426" t="s">
        <v>1592</v>
      </c>
      <c r="J445" s="39"/>
      <c r="K445" s="40"/>
      <c r="L445" s="39" t="str">
        <f t="array" ref="L445">INDEX('MTA 28-09'!S:S,MATCH(B445,'MTA 28-09'!A:A,0))</f>
        <v>G-19</v>
      </c>
      <c r="M445" s="32" t="str">
        <f t="array" ref="M445">INDEX('MTA 28-09'!T:T,MATCH(B445,'MTA 28-09'!A:A,0))</f>
        <v>Requisição CABW</v>
      </c>
      <c r="N445" s="32" t="str">
        <f t="array" ref="N445">INDEX('MTA 28-09'!U:U,MATCH(B445,'MTA 28-09'!A:A,0))</f>
        <v>Requisições Consumíveis 2/8</v>
      </c>
      <c r="O445" s="59">
        <f t="array" ref="O445">INDEX('MTA 28-09'!AC:AC,MATCH(B445,'MTA 28-09'!A:A,0))</f>
        <v>145000</v>
      </c>
      <c r="P445" s="32" t="str">
        <f t="array" ref="P445">INDEX('MTA 28-09'!N:N,MATCH(B445,'MTA 28-09'!A:A,0))</f>
        <v>CABW</v>
      </c>
      <c r="Q445" s="67" t="str">
        <f t="array" ref="Q445">INDEX('MTA 28-09'!Z:Z,MATCH(B445,'MTA 28-09'!A:A,0))</f>
        <v>339030</v>
      </c>
      <c r="R445" s="32" t="str">
        <f t="array" ref="R445">INDEX('MTA 28-09'!L:L,MATCH(B445,'MTA 28-09'!A:A,0))</f>
        <v>A</v>
      </c>
      <c r="S445" s="72" t="str">
        <f t="array" ref="S445">INDEX('MTA 28-09'!X:X,MATCH(B445,'MTA 28-09'!A:A,0))</f>
        <v>REQUISIÇÃO</v>
      </c>
      <c r="T445" s="72" t="str">
        <f t="array" ref="T445">INDEX('MTA 28-09'!W:W,MATCH(B445,'MTA 28-09'!A:A,0))</f>
        <v>Não</v>
      </c>
      <c r="U445" s="81">
        <f t="array" ref="U445">INDEX('MTA 28-09'!AE:AE,MATCH(B445,'MTA 28-09'!A:A,0))</f>
        <v>46352</v>
      </c>
      <c r="V445" s="12"/>
      <c r="W445" s="12"/>
      <c r="X445" s="12"/>
      <c r="Y445" s="12"/>
      <c r="Z445" s="12"/>
      <c r="AA445" s="12"/>
      <c r="AB445" s="12"/>
      <c r="AC445" s="12"/>
      <c r="AD445" s="12"/>
      <c r="AE445" s="12"/>
      <c r="AF445" s="12"/>
      <c r="AG445" s="12"/>
      <c r="AH445" s="12"/>
      <c r="AI445" s="12"/>
      <c r="AJ445" s="12"/>
      <c r="AK445" s="12"/>
      <c r="AL445" s="12"/>
      <c r="AM445" s="12"/>
    </row>
    <row r="446">
      <c r="A446" s="88" t="s">
        <v>48</v>
      </c>
      <c r="B446" s="98">
        <v>17240.0</v>
      </c>
      <c r="C446" s="92" t="str">
        <f t="array" ref="C446">INDEX('MTA 28-09'!B:B,MATCH(B446,'MTA 28-09'!A:A,0))</f>
        <v>SIM</v>
      </c>
      <c r="D446" s="95">
        <f t="array" ref="D446">INDEX('MTA 28-09'!D:D,MATCH(B446,'MTA 28-09'!A:A,0))</f>
        <v>2048</v>
      </c>
      <c r="E446" s="98" t="str">
        <f t="array" ref="E446">INDEX('MTA 28-09'!F:F,MATCH(B446,'MTA 28-09'!A:A,0))</f>
        <v>CANCELADO</v>
      </c>
      <c r="F446" s="144" t="str">
        <f t="array" ref="F446">INDEX('MTA 28-09'!I:I,MATCH(B446,'MTA 28-09'!A:A,0))</f>
        <v/>
      </c>
      <c r="G446" s="100" t="str">
        <f t="array" ref="G446">INDEX('MTA 28-09'!J:J,MATCH(B446,'MTA 28-09'!A:A,0))</f>
        <v/>
      </c>
      <c r="H446" s="159">
        <v>46276.0</v>
      </c>
      <c r="I446" s="154" t="s">
        <v>1593</v>
      </c>
      <c r="J446" s="102"/>
      <c r="K446" s="103"/>
      <c r="L446" s="102" t="str">
        <f t="array" ref="L446">INDEX('MTA 28-09'!S:S,MATCH(B446,'MTA 28-09'!A:A,0))</f>
        <v>G-19</v>
      </c>
      <c r="M446" s="98" t="str">
        <f t="array" ref="M446">INDEX('MTA 28-09'!T:T,MATCH(B446,'MTA 28-09'!A:A,0))</f>
        <v>Requisição FMS</v>
      </c>
      <c r="N446" s="98" t="str">
        <f t="array" ref="N446">INDEX('MTA 28-09'!U:U,MATCH(B446,'MTA 28-09'!A:A,0))</f>
        <v>Requisições Consumíveis 4/4</v>
      </c>
      <c r="O446" s="104" t="str">
        <f t="array" ref="O446">INDEX('MTA 28-09'!AC:AC,MATCH(B446,'MTA 28-09'!A:A,0))</f>
        <v> -</v>
      </c>
      <c r="P446" s="98" t="str">
        <f t="array" ref="P446">INDEX('MTA 28-09'!N:N,MATCH(B446,'MTA 28-09'!A:A,0))</f>
        <v>FMS</v>
      </c>
      <c r="Q446" s="105" t="str">
        <f t="array" ref="Q446">INDEX('MTA 28-09'!Z:Z,MATCH(B446,'MTA 28-09'!A:A,0))</f>
        <v>339030</v>
      </c>
      <c r="R446" s="98" t="str">
        <f t="array" ref="R446">INDEX('MTA 28-09'!L:L,MATCH(B446,'MTA 28-09'!A:A,0))</f>
        <v>A</v>
      </c>
      <c r="S446" s="107" t="str">
        <f t="array" ref="S446">INDEX('MTA 28-09'!X:X,MATCH(B446,'MTA 28-09'!A:A,0))</f>
        <v>REQUISIÇÃO</v>
      </c>
      <c r="T446" s="107" t="str">
        <f t="array" ref="T446">INDEX('MTA 28-09'!W:W,MATCH(B446,'MTA 28-09'!A:A,0))</f>
        <v>Não</v>
      </c>
      <c r="U446" s="109">
        <f t="array" ref="U446">INDEX('MTA 28-09'!AE:AE,MATCH(B446,'MTA 28-09'!A:A,0))</f>
        <v>46352</v>
      </c>
      <c r="V446" s="29"/>
      <c r="W446" s="29"/>
      <c r="X446" s="29"/>
      <c r="Y446" s="29"/>
      <c r="Z446" s="29"/>
      <c r="AA446" s="29"/>
      <c r="AB446" s="29"/>
      <c r="AC446" s="29"/>
      <c r="AD446" s="29"/>
      <c r="AE446" s="29"/>
      <c r="AF446" s="29"/>
      <c r="AG446" s="29"/>
      <c r="AH446" s="29"/>
      <c r="AI446" s="29"/>
      <c r="AJ446" s="29"/>
      <c r="AK446" s="29"/>
      <c r="AL446" s="29"/>
      <c r="AM446" s="29"/>
    </row>
    <row r="447">
      <c r="A447" s="31" t="s">
        <v>1572</v>
      </c>
      <c r="B447" s="32">
        <v>17260.0</v>
      </c>
      <c r="C447" s="33" t="str">
        <f t="array" ref="C447">INDEX('MTA 28-09'!B:B,MATCH(B447,'MTA 28-09'!A:A,0))</f>
        <v>NÃO</v>
      </c>
      <c r="D447" s="34" t="str">
        <f t="array" ref="D447">INDEX('MTA 28-09'!D:D,MATCH(B447,'MTA 28-09'!A:A,0))</f>
        <v/>
      </c>
      <c r="E447" s="32" t="str">
        <f t="array" ref="E447">INDEX('MTA 28-09'!F:F,MATCH(B447,'MTA 28-09'!A:A,0))</f>
        <v/>
      </c>
      <c r="F447" s="137" t="str">
        <f t="array" ref="F447">INDEX('MTA 28-09'!I:I,MATCH(B447,'MTA 28-09'!A:A,0))</f>
        <v/>
      </c>
      <c r="G447" s="36" t="str">
        <f t="array" ref="G447">INDEX('MTA 28-09'!J:J,MATCH(B447,'MTA 28-09'!A:A,0))</f>
        <v/>
      </c>
      <c r="H447" s="287" t="s">
        <v>157</v>
      </c>
      <c r="I447" s="411"/>
      <c r="J447" s="39"/>
      <c r="K447" s="40"/>
      <c r="L447" s="39" t="str">
        <f t="array" ref="L447">INDEX('MTA 28-09'!S:S,MATCH(B447,'MTA 28-09'!A:A,0))</f>
        <v>APOIO</v>
      </c>
      <c r="M447" s="32" t="str">
        <f t="array" ref="M447">INDEX('MTA 28-09'!T:T,MATCH(B447,'MTA 28-09'!A:A,0))</f>
        <v>Requisição CABW</v>
      </c>
      <c r="N447" s="32" t="str">
        <f t="array" ref="N447">INDEX('MTA 28-09'!U:U,MATCH(B447,'MTA 28-09'!A:A,0))</f>
        <v>Requisições Consumíveis 2/4</v>
      </c>
      <c r="O447" s="59">
        <f t="array" ref="O447">INDEX('MTA 28-09'!AC:AC,MATCH(B447,'MTA 28-09'!A:A,0))</f>
        <v>280000</v>
      </c>
      <c r="P447" s="32" t="str">
        <f t="array" ref="P447">INDEX('MTA 28-09'!N:N,MATCH(B447,'MTA 28-09'!A:A,0))</f>
        <v>CABW</v>
      </c>
      <c r="Q447" s="67" t="str">
        <f t="array" ref="Q447">INDEX('MTA 28-09'!Z:Z,MATCH(B447,'MTA 28-09'!A:A,0))</f>
        <v>339030</v>
      </c>
      <c r="R447" s="32" t="str">
        <f t="array" ref="R447">INDEX('MTA 28-09'!L:L,MATCH(B447,'MTA 28-09'!A:A,0))</f>
        <v>C</v>
      </c>
      <c r="S447" s="72" t="str">
        <f t="array" ref="S447">INDEX('MTA 28-09'!X:X,MATCH(B447,'MTA 28-09'!A:A,0))</f>
        <v>REQUISIÇÃO</v>
      </c>
      <c r="T447" s="72" t="str">
        <f t="array" ref="T447">INDEX('MTA 28-09'!W:W,MATCH(B447,'MTA 28-09'!A:A,0))</f>
        <v>NÃO</v>
      </c>
      <c r="U447" s="81">
        <f t="array" ref="U447">INDEX('MTA 28-09'!AE:AE,MATCH(B447,'MTA 28-09'!A:A,0))</f>
        <v>46352</v>
      </c>
      <c r="V447" s="12"/>
      <c r="W447" s="12"/>
      <c r="X447" s="12"/>
      <c r="Y447" s="12"/>
      <c r="Z447" s="12"/>
      <c r="AA447" s="12"/>
      <c r="AB447" s="12"/>
      <c r="AC447" s="12"/>
      <c r="AD447" s="12"/>
      <c r="AE447" s="12"/>
      <c r="AF447" s="12"/>
      <c r="AG447" s="12"/>
      <c r="AH447" s="12"/>
      <c r="AI447" s="12"/>
      <c r="AJ447" s="12"/>
      <c r="AK447" s="12"/>
      <c r="AL447" s="12"/>
      <c r="AM447" s="12"/>
    </row>
    <row r="448">
      <c r="A448" s="88" t="s">
        <v>1572</v>
      </c>
      <c r="B448" s="90">
        <v>17261.0</v>
      </c>
      <c r="C448" s="92" t="str">
        <f t="array" ref="C448">INDEX('MTA 28-09'!B:B,MATCH(B448,'MTA 28-09'!A:A,0))</f>
        <v>SIM</v>
      </c>
      <c r="D448" s="95">
        <f t="array" ref="D448">INDEX('MTA 28-09'!D:D,MATCH(B448,'MTA 28-09'!A:A,0))</f>
        <v>2048</v>
      </c>
      <c r="E448" s="98" t="str">
        <f t="array" ref="E448">INDEX('MTA 28-09'!F:F,MATCH(B448,'MTA 28-09'!A:A,0))</f>
        <v>ATENDIDO</v>
      </c>
      <c r="F448" s="152">
        <f t="array" ref="F448">INDEX('MTA 28-09'!I:I,MATCH(B448,'MTA 28-09'!A:A,0))</f>
        <v>46192</v>
      </c>
      <c r="G448" s="100" t="str">
        <f t="array" ref="G448">INDEX('MTA 28-09'!J:J,MATCH(B448,'MTA 28-09'!A:A,0))</f>
        <v>C26044</v>
      </c>
      <c r="H448" s="372" t="s">
        <v>1466</v>
      </c>
      <c r="I448" s="90"/>
      <c r="J448" s="102"/>
      <c r="K448" s="103"/>
      <c r="L448" s="102" t="str">
        <f t="array" ref="L448">INDEX('MTA 28-09'!S:S,MATCH(B448,'MTA 28-09'!A:A,0))</f>
        <v>APOIO</v>
      </c>
      <c r="M448" s="98" t="str">
        <f t="array" ref="M448">INDEX('MTA 28-09'!T:T,MATCH(B448,'MTA 28-09'!A:A,0))</f>
        <v>Requisição CABW</v>
      </c>
      <c r="N448" s="98" t="str">
        <f t="array" ref="N448">INDEX('MTA 28-09'!U:U,MATCH(B448,'MTA 28-09'!A:A,0))</f>
        <v>Requisições Consumíveis 2/4</v>
      </c>
      <c r="O448" s="104">
        <f t="array" ref="O448">INDEX('MTA 28-09'!AC:AC,MATCH(B448,'MTA 28-09'!A:A,0))</f>
        <v>7800</v>
      </c>
      <c r="P448" s="98" t="str">
        <f t="array" ref="P448">INDEX('MTA 28-09'!N:N,MATCH(B448,'MTA 28-09'!A:A,0))</f>
        <v>CABW</v>
      </c>
      <c r="Q448" s="105" t="str">
        <f t="array" ref="Q448">INDEX('MTA 28-09'!Z:Z,MATCH(B448,'MTA 28-09'!A:A,0))</f>
        <v>339030</v>
      </c>
      <c r="R448" s="98" t="str">
        <f t="array" ref="R448">INDEX('MTA 28-09'!L:L,MATCH(B448,'MTA 28-09'!A:A,0))</f>
        <v>A</v>
      </c>
      <c r="S448" s="107" t="str">
        <f t="array" ref="S448">INDEX('MTA 28-09'!X:X,MATCH(B448,'MTA 28-09'!A:A,0))</f>
        <v>REQUISIÇÃO</v>
      </c>
      <c r="T448" s="107" t="str">
        <f t="array" ref="T448">INDEX('MTA 28-09'!W:W,MATCH(B448,'MTA 28-09'!A:A,0))</f>
        <v>NÃO</v>
      </c>
      <c r="U448" s="109">
        <f t="array" ref="U448">INDEX('MTA 28-09'!AE:AE,MATCH(B448,'MTA 28-09'!A:A,0))</f>
        <v>46260</v>
      </c>
      <c r="V448" s="29"/>
      <c r="W448" s="29"/>
      <c r="X448" s="29"/>
      <c r="Y448" s="29"/>
      <c r="Z448" s="29"/>
      <c r="AA448" s="29"/>
      <c r="AB448" s="29"/>
      <c r="AC448" s="29"/>
      <c r="AD448" s="29"/>
      <c r="AE448" s="29"/>
      <c r="AF448" s="29"/>
      <c r="AG448" s="29"/>
      <c r="AH448" s="29"/>
      <c r="AI448" s="29"/>
      <c r="AJ448" s="29"/>
      <c r="AK448" s="29"/>
      <c r="AL448" s="29"/>
      <c r="AM448" s="29"/>
    </row>
    <row r="449">
      <c r="A449" s="31" t="s">
        <v>97</v>
      </c>
      <c r="B449" s="32">
        <v>17280.0</v>
      </c>
      <c r="C449" s="33" t="str">
        <f t="array" ref="C449">INDEX('MTA 28-09'!B:B,MATCH(B449,'MTA 28-09'!A:A,0))</f>
        <v>NÃO</v>
      </c>
      <c r="D449" s="34" t="str">
        <f t="array" ref="D449">INDEX('MTA 28-09'!D:D,MATCH(B449,'MTA 28-09'!A:A,0))</f>
        <v/>
      </c>
      <c r="E449" s="32" t="str">
        <f t="array" ref="E449">INDEX('MTA 28-09'!F:F,MATCH(B449,'MTA 28-09'!A:A,0))</f>
        <v/>
      </c>
      <c r="F449" s="137" t="str">
        <f t="array" ref="F449">INDEX('MTA 28-09'!I:I,MATCH(B449,'MTA 28-09'!A:A,0))</f>
        <v/>
      </c>
      <c r="G449" s="36" t="str">
        <f t="array" ref="G449">INDEX('MTA 28-09'!J:J,MATCH(B449,'MTA 28-09'!A:A,0))</f>
        <v/>
      </c>
      <c r="H449" s="287" t="s">
        <v>157</v>
      </c>
      <c r="I449" s="295"/>
      <c r="J449" s="39"/>
      <c r="K449" s="40"/>
      <c r="L449" s="39" t="str">
        <f t="array" ref="L449">INDEX('MTA 28-09'!S:S,MATCH(B449,'MTA 28-09'!A:A,0))</f>
        <v>APOIO</v>
      </c>
      <c r="M449" s="32" t="str">
        <f t="array" ref="M449">INDEX('MTA 28-09'!T:T,MATCH(B449,'MTA 28-09'!A:A,0))</f>
        <v>Requisição CABW</v>
      </c>
      <c r="N449" s="32" t="str">
        <f t="array" ref="N449">INDEX('MTA 28-09'!U:U,MATCH(B449,'MTA 28-09'!A:A,0))</f>
        <v>Requisições Consumíveis 2/4</v>
      </c>
      <c r="O449" s="59">
        <f t="array" ref="O449">INDEX('MTA 28-09'!AC:AC,MATCH(B449,'MTA 28-09'!A:A,0))</f>
        <v>82000</v>
      </c>
      <c r="P449" s="32" t="str">
        <f t="array" ref="P449">INDEX('MTA 28-09'!N:N,MATCH(B449,'MTA 28-09'!A:A,0))</f>
        <v>CABW</v>
      </c>
      <c r="Q449" s="67" t="str">
        <f t="array" ref="Q449">INDEX('MTA 28-09'!Z:Z,MATCH(B449,'MTA 28-09'!A:A,0))</f>
        <v>339030</v>
      </c>
      <c r="R449" s="32" t="str">
        <f t="array" ref="R449">INDEX('MTA 28-09'!L:L,MATCH(B449,'MTA 28-09'!A:A,0))</f>
        <v>C</v>
      </c>
      <c r="S449" s="72" t="str">
        <f t="array" ref="S449">INDEX('MTA 28-09'!X:X,MATCH(B449,'MTA 28-09'!A:A,0))</f>
        <v>REQUISIÇÃO</v>
      </c>
      <c r="T449" s="72" t="str">
        <f t="array" ref="T449">INDEX('MTA 28-09'!W:W,MATCH(B449,'MTA 28-09'!A:A,0))</f>
        <v>NÃO</v>
      </c>
      <c r="U449" s="81">
        <f t="array" ref="U449">INDEX('MTA 28-09'!AE:AE,MATCH(B449,'MTA 28-09'!A:A,0))</f>
        <v>46352</v>
      </c>
      <c r="V449" s="12"/>
      <c r="W449" s="12"/>
      <c r="X449" s="12"/>
      <c r="Y449" s="12"/>
      <c r="Z449" s="12"/>
      <c r="AA449" s="12"/>
      <c r="AB449" s="12"/>
      <c r="AC449" s="12"/>
      <c r="AD449" s="12"/>
      <c r="AE449" s="12"/>
      <c r="AF449" s="12"/>
      <c r="AG449" s="12"/>
      <c r="AH449" s="12"/>
      <c r="AI449" s="12"/>
      <c r="AJ449" s="12"/>
      <c r="AK449" s="12"/>
      <c r="AL449" s="12"/>
      <c r="AM449" s="12"/>
    </row>
    <row r="450">
      <c r="A450" s="88" t="s">
        <v>97</v>
      </c>
      <c r="B450" s="98">
        <v>17300.0</v>
      </c>
      <c r="C450" s="92" t="str">
        <f t="array" ref="C450">INDEX('MTA 28-09'!B:B,MATCH(B450,'MTA 28-09'!A:A,0))</f>
        <v>NÃO</v>
      </c>
      <c r="D450" s="95" t="str">
        <f t="array" ref="D450">INDEX('MTA 28-09'!D:D,MATCH(B450,'MTA 28-09'!A:A,0))</f>
        <v/>
      </c>
      <c r="E450" s="98" t="str">
        <f t="array" ref="E450">INDEX('MTA 28-09'!F:F,MATCH(B450,'MTA 28-09'!A:A,0))</f>
        <v/>
      </c>
      <c r="F450" s="144" t="str">
        <f t="array" ref="F450">INDEX('MTA 28-09'!I:I,MATCH(B450,'MTA 28-09'!A:A,0))</f>
        <v/>
      </c>
      <c r="G450" s="100" t="str">
        <f t="array" ref="G450">INDEX('MTA 28-09'!J:J,MATCH(B450,'MTA 28-09'!A:A,0))</f>
        <v/>
      </c>
      <c r="H450" s="159" t="s">
        <v>157</v>
      </c>
      <c r="I450" s="296"/>
      <c r="J450" s="102"/>
      <c r="K450" s="103"/>
      <c r="L450" s="102" t="str">
        <f t="array" ref="L450">INDEX('MTA 28-09'!S:S,MATCH(B450,'MTA 28-09'!A:A,0))</f>
        <v>APOIO</v>
      </c>
      <c r="M450" s="98" t="str">
        <f t="array" ref="M450">INDEX('MTA 28-09'!T:T,MATCH(B450,'MTA 28-09'!A:A,0))</f>
        <v>Requisição CABW</v>
      </c>
      <c r="N450" s="98" t="str">
        <f t="array" ref="N450">INDEX('MTA 28-09'!U:U,MATCH(B450,'MTA 28-09'!A:A,0))</f>
        <v>Requisições Consumíveis 4/4</v>
      </c>
      <c r="O450" s="104">
        <f t="array" ref="O450">INDEX('MTA 28-09'!AC:AC,MATCH(B450,'MTA 28-09'!A:A,0))</f>
        <v>82000</v>
      </c>
      <c r="P450" s="98" t="str">
        <f t="array" ref="P450">INDEX('MTA 28-09'!N:N,MATCH(B450,'MTA 28-09'!A:A,0))</f>
        <v>CABW</v>
      </c>
      <c r="Q450" s="105" t="str">
        <f t="array" ref="Q450">INDEX('MTA 28-09'!Z:Z,MATCH(B450,'MTA 28-09'!A:A,0))</f>
        <v>339030</v>
      </c>
      <c r="R450" s="98" t="str">
        <f t="array" ref="R450">INDEX('MTA 28-09'!L:L,MATCH(B450,'MTA 28-09'!A:A,0))</f>
        <v>C</v>
      </c>
      <c r="S450" s="107" t="str">
        <f t="array" ref="S450">INDEX('MTA 28-09'!X:X,MATCH(B450,'MTA 28-09'!A:A,0))</f>
        <v>REQUISIÇÃO</v>
      </c>
      <c r="T450" s="107" t="str">
        <f t="array" ref="T450">INDEX('MTA 28-09'!W:W,MATCH(B450,'MTA 28-09'!A:A,0))</f>
        <v>NÃO</v>
      </c>
      <c r="U450" s="109">
        <f t="array" ref="U450">INDEX('MTA 28-09'!AE:AE,MATCH(B450,'MTA 28-09'!A:A,0))</f>
        <v>46352</v>
      </c>
      <c r="V450" s="29"/>
      <c r="W450" s="29"/>
      <c r="X450" s="29"/>
      <c r="Y450" s="29"/>
      <c r="Z450" s="29"/>
      <c r="AA450" s="29"/>
      <c r="AB450" s="29"/>
      <c r="AC450" s="29"/>
      <c r="AD450" s="29"/>
      <c r="AE450" s="29"/>
      <c r="AF450" s="29"/>
      <c r="AG450" s="29"/>
      <c r="AH450" s="29"/>
      <c r="AI450" s="29"/>
      <c r="AJ450" s="29"/>
      <c r="AK450" s="29"/>
      <c r="AL450" s="29"/>
      <c r="AM450" s="29"/>
    </row>
    <row r="451">
      <c r="A451" s="31" t="s">
        <v>1575</v>
      </c>
      <c r="B451" s="32">
        <v>17320.0</v>
      </c>
      <c r="C451" s="33" t="str">
        <f t="array" ref="C451">INDEX('MTA 28-09'!B:B,MATCH(B451,'MTA 28-09'!A:A,0))</f>
        <v>NÃO</v>
      </c>
      <c r="D451" s="34" t="str">
        <f t="array" ref="D451">INDEX('MTA 28-09'!D:D,MATCH(B451,'MTA 28-09'!A:A,0))</f>
        <v/>
      </c>
      <c r="E451" s="32" t="str">
        <f t="array" ref="E451">INDEX('MTA 28-09'!F:F,MATCH(B451,'MTA 28-09'!A:A,0))</f>
        <v/>
      </c>
      <c r="F451" s="137" t="str">
        <f t="array" ref="F451">INDEX('MTA 28-09'!I:I,MATCH(B451,'MTA 28-09'!A:A,0))</f>
        <v/>
      </c>
      <c r="G451" s="36" t="str">
        <f t="array" ref="G451">INDEX('MTA 28-09'!J:J,MATCH(B451,'MTA 28-09'!A:A,0))</f>
        <v/>
      </c>
      <c r="H451" s="287" t="s">
        <v>157</v>
      </c>
      <c r="I451" s="295"/>
      <c r="J451" s="39"/>
      <c r="K451" s="40"/>
      <c r="L451" s="39" t="str">
        <f t="array" ref="L451">INDEX('MTA 28-09'!S:S,MATCH(B451,'MTA 28-09'!A:A,0))</f>
        <v>APOIO</v>
      </c>
      <c r="M451" s="32" t="str">
        <f t="array" ref="M451">INDEX('MTA 28-09'!T:T,MATCH(B451,'MTA 28-09'!A:A,0))</f>
        <v>Requisição CABW</v>
      </c>
      <c r="N451" s="32" t="str">
        <f t="array" ref="N451">INDEX('MTA 28-09'!U:U,MATCH(B451,'MTA 28-09'!A:A,0))</f>
        <v>Requisições Consumíveis 4/4</v>
      </c>
      <c r="O451" s="59">
        <f t="array" ref="O451">INDEX('MTA 28-09'!AC:AC,MATCH(B451,'MTA 28-09'!A:A,0))</f>
        <v>380000</v>
      </c>
      <c r="P451" s="32" t="str">
        <f t="array" ref="P451">INDEX('MTA 28-09'!N:N,MATCH(B451,'MTA 28-09'!A:A,0))</f>
        <v>CABW</v>
      </c>
      <c r="Q451" s="67" t="str">
        <f t="array" ref="Q451">INDEX('MTA 28-09'!Z:Z,MATCH(B451,'MTA 28-09'!A:A,0))</f>
        <v>339030</v>
      </c>
      <c r="R451" s="32" t="str">
        <f t="array" ref="R451">INDEX('MTA 28-09'!L:L,MATCH(B451,'MTA 28-09'!A:A,0))</f>
        <v>C</v>
      </c>
      <c r="S451" s="72" t="str">
        <f t="array" ref="S451">INDEX('MTA 28-09'!X:X,MATCH(B451,'MTA 28-09'!A:A,0))</f>
        <v>REQUISIÇÃO</v>
      </c>
      <c r="T451" s="72" t="str">
        <f t="array" ref="T451">INDEX('MTA 28-09'!W:W,MATCH(B451,'MTA 28-09'!A:A,0))</f>
        <v>NÃO</v>
      </c>
      <c r="U451" s="81">
        <f t="array" ref="U451">INDEX('MTA 28-09'!AE:AE,MATCH(B451,'MTA 28-09'!A:A,0))</f>
        <v>46352</v>
      </c>
      <c r="V451" s="12"/>
      <c r="W451" s="12"/>
      <c r="X451" s="12"/>
      <c r="Y451" s="12"/>
      <c r="Z451" s="12"/>
      <c r="AA451" s="12"/>
      <c r="AB451" s="12"/>
      <c r="AC451" s="12"/>
      <c r="AD451" s="12"/>
      <c r="AE451" s="12"/>
      <c r="AF451" s="12"/>
      <c r="AG451" s="12"/>
      <c r="AH451" s="12"/>
      <c r="AI451" s="12"/>
      <c r="AJ451" s="12"/>
      <c r="AK451" s="12"/>
      <c r="AL451" s="12"/>
      <c r="AM451" s="12"/>
    </row>
    <row r="452">
      <c r="A452" s="88" t="s">
        <v>1573</v>
      </c>
      <c r="B452" s="98">
        <v>17340.0</v>
      </c>
      <c r="C452" s="92" t="str">
        <f t="array" ref="C452">INDEX('MTA 28-09'!B:B,MATCH(B452,'MTA 28-09'!A:A,0))</f>
        <v>NÃO</v>
      </c>
      <c r="D452" s="95" t="str">
        <f t="array" ref="D452">INDEX('MTA 28-09'!D:D,MATCH(B452,'MTA 28-09'!A:A,0))</f>
        <v/>
      </c>
      <c r="E452" s="98" t="str">
        <f t="array" ref="E452">INDEX('MTA 28-09'!F:F,MATCH(B452,'MTA 28-09'!A:A,0))</f>
        <v/>
      </c>
      <c r="F452" s="144" t="str">
        <f t="array" ref="F452">INDEX('MTA 28-09'!I:I,MATCH(B452,'MTA 28-09'!A:A,0))</f>
        <v/>
      </c>
      <c r="G452" s="100" t="str">
        <f t="array" ref="G452">INDEX('MTA 28-09'!J:J,MATCH(B452,'MTA 28-09'!A:A,0))</f>
        <v/>
      </c>
      <c r="H452" s="159" t="s">
        <v>157</v>
      </c>
      <c r="I452" s="296"/>
      <c r="J452" s="102"/>
      <c r="K452" s="103"/>
      <c r="L452" s="102" t="str">
        <f t="array" ref="L452">INDEX('MTA 28-09'!S:S,MATCH(B452,'MTA 28-09'!A:A,0))</f>
        <v>APOIO</v>
      </c>
      <c r="M452" s="98" t="str">
        <f t="array" ref="M452">INDEX('MTA 28-09'!T:T,MATCH(B452,'MTA 28-09'!A:A,0))</f>
        <v>Requisição CABW</v>
      </c>
      <c r="N452" s="98" t="str">
        <f t="array" ref="N452">INDEX('MTA 28-09'!U:U,MATCH(B452,'MTA 28-09'!A:A,0))</f>
        <v>Requisições Consumíveis 2/4</v>
      </c>
      <c r="O452" s="104">
        <f t="array" ref="O452">INDEX('MTA 28-09'!AC:AC,MATCH(B452,'MTA 28-09'!A:A,0))</f>
        <v>250000</v>
      </c>
      <c r="P452" s="98" t="str">
        <f t="array" ref="P452">INDEX('MTA 28-09'!N:N,MATCH(B452,'MTA 28-09'!A:A,0))</f>
        <v>CABW</v>
      </c>
      <c r="Q452" s="105" t="str">
        <f t="array" ref="Q452">INDEX('MTA 28-09'!Z:Z,MATCH(B452,'MTA 28-09'!A:A,0))</f>
        <v>339030</v>
      </c>
      <c r="R452" s="98" t="str">
        <f t="array" ref="R452">INDEX('MTA 28-09'!L:L,MATCH(B452,'MTA 28-09'!A:A,0))</f>
        <v>C</v>
      </c>
      <c r="S452" s="107" t="str">
        <f t="array" ref="S452">INDEX('MTA 28-09'!X:X,MATCH(B452,'MTA 28-09'!A:A,0))</f>
        <v>REQUISIÇÃO</v>
      </c>
      <c r="T452" s="107" t="str">
        <f t="array" ref="T452">INDEX('MTA 28-09'!W:W,MATCH(B452,'MTA 28-09'!A:A,0))</f>
        <v>NÃO</v>
      </c>
      <c r="U452" s="109">
        <f t="array" ref="U452">INDEX('MTA 28-09'!AE:AE,MATCH(B452,'MTA 28-09'!A:A,0))</f>
        <v>46352</v>
      </c>
      <c r="V452" s="29"/>
      <c r="W452" s="29"/>
      <c r="X452" s="29"/>
      <c r="Y452" s="29"/>
      <c r="Z452" s="29"/>
      <c r="AA452" s="29"/>
      <c r="AB452" s="29"/>
      <c r="AC452" s="29"/>
      <c r="AD452" s="29"/>
      <c r="AE452" s="29"/>
      <c r="AF452" s="29"/>
      <c r="AG452" s="29"/>
      <c r="AH452" s="29"/>
      <c r="AI452" s="29"/>
      <c r="AJ452" s="29"/>
      <c r="AK452" s="29"/>
      <c r="AL452" s="29"/>
      <c r="AM452" s="29"/>
    </row>
    <row r="453">
      <c r="A453" s="31" t="s">
        <v>1576</v>
      </c>
      <c r="B453" s="32">
        <v>17360.0</v>
      </c>
      <c r="C453" s="33" t="str">
        <f t="array" ref="C453">INDEX('MTA 28-09'!B:B,MATCH(B453,'MTA 28-09'!A:A,0))</f>
        <v>NÃO</v>
      </c>
      <c r="D453" s="34" t="str">
        <f t="array" ref="D453">INDEX('MTA 28-09'!D:D,MATCH(B453,'MTA 28-09'!A:A,0))</f>
        <v/>
      </c>
      <c r="E453" s="32" t="str">
        <f t="array" ref="E453">INDEX('MTA 28-09'!F:F,MATCH(B453,'MTA 28-09'!A:A,0))</f>
        <v/>
      </c>
      <c r="F453" s="137" t="str">
        <f t="array" ref="F453">INDEX('MTA 28-09'!I:I,MATCH(B453,'MTA 28-09'!A:A,0))</f>
        <v/>
      </c>
      <c r="G453" s="36" t="str">
        <f t="array" ref="G453">INDEX('MTA 28-09'!J:J,MATCH(B453,'MTA 28-09'!A:A,0))</f>
        <v/>
      </c>
      <c r="H453" s="287" t="s">
        <v>157</v>
      </c>
      <c r="I453" s="295"/>
      <c r="J453" s="39"/>
      <c r="K453" s="40"/>
      <c r="L453" s="39" t="str">
        <f t="array" ref="L453">INDEX('MTA 28-09'!S:S,MATCH(B453,'MTA 28-09'!A:A,0))</f>
        <v>APOIO</v>
      </c>
      <c r="M453" s="32" t="str">
        <f t="array" ref="M453">INDEX('MTA 28-09'!T:T,MATCH(B453,'MTA 28-09'!A:A,0))</f>
        <v>Requisição CABW</v>
      </c>
      <c r="N453" s="32" t="str">
        <f t="array" ref="N453">INDEX('MTA 28-09'!U:U,MATCH(B453,'MTA 28-09'!A:A,0))</f>
        <v>Requisições Consumíveis 2/4</v>
      </c>
      <c r="O453" s="59">
        <f t="array" ref="O453">INDEX('MTA 28-09'!AC:AC,MATCH(B453,'MTA 28-09'!A:A,0))</f>
        <v>50000</v>
      </c>
      <c r="P453" s="32" t="str">
        <f t="array" ref="P453">INDEX('MTA 28-09'!N:N,MATCH(B453,'MTA 28-09'!A:A,0))</f>
        <v>CABW</v>
      </c>
      <c r="Q453" s="67" t="str">
        <f t="array" ref="Q453">INDEX('MTA 28-09'!Z:Z,MATCH(B453,'MTA 28-09'!A:A,0))</f>
        <v>339030</v>
      </c>
      <c r="R453" s="32" t="str">
        <f t="array" ref="R453">INDEX('MTA 28-09'!L:L,MATCH(B453,'MTA 28-09'!A:A,0))</f>
        <v>C</v>
      </c>
      <c r="S453" s="72" t="str">
        <f t="array" ref="S453">INDEX('MTA 28-09'!X:X,MATCH(B453,'MTA 28-09'!A:A,0))</f>
        <v>REQUISIÇÃO</v>
      </c>
      <c r="T453" s="72" t="str">
        <f t="array" ref="T453">INDEX('MTA 28-09'!W:W,MATCH(B453,'MTA 28-09'!A:A,0))</f>
        <v>NÃO</v>
      </c>
      <c r="U453" s="81">
        <f t="array" ref="U453">INDEX('MTA 28-09'!AE:AE,MATCH(B453,'MTA 28-09'!A:A,0))</f>
        <v>46352</v>
      </c>
      <c r="V453" s="12"/>
      <c r="W453" s="12"/>
      <c r="X453" s="12"/>
      <c r="Y453" s="12"/>
      <c r="Z453" s="12"/>
      <c r="AA453" s="12"/>
      <c r="AB453" s="12"/>
      <c r="AC453" s="12"/>
      <c r="AD453" s="12"/>
      <c r="AE453" s="12"/>
      <c r="AF453" s="12"/>
      <c r="AG453" s="12"/>
      <c r="AH453" s="12"/>
      <c r="AI453" s="12"/>
      <c r="AJ453" s="12"/>
      <c r="AK453" s="12"/>
      <c r="AL453" s="12"/>
      <c r="AM453" s="12"/>
    </row>
    <row r="454">
      <c r="A454" s="88" t="s">
        <v>1577</v>
      </c>
      <c r="B454" s="98">
        <v>17380.0</v>
      </c>
      <c r="C454" s="92" t="str">
        <f t="array" ref="C454">INDEX('MTA 28-09'!B:B,MATCH(B454,'MTA 28-09'!A:A,0))</f>
        <v>NÃO</v>
      </c>
      <c r="D454" s="95" t="str">
        <f t="array" ref="D454">INDEX('MTA 28-09'!D:D,MATCH(B454,'MTA 28-09'!A:A,0))</f>
        <v/>
      </c>
      <c r="E454" s="98" t="str">
        <f t="array" ref="E454">INDEX('MTA 28-09'!F:F,MATCH(B454,'MTA 28-09'!A:A,0))</f>
        <v/>
      </c>
      <c r="F454" s="152" t="str">
        <f t="array" ref="F454">INDEX('MTA 28-09'!I:I,MATCH(B454,'MTA 28-09'!A:A,0))</f>
        <v/>
      </c>
      <c r="G454" s="100" t="str">
        <f t="array" ref="G454">INDEX('MTA 28-09'!J:J,MATCH(B454,'MTA 28-09'!A:A,0))</f>
        <v/>
      </c>
      <c r="H454" s="159" t="s">
        <v>157</v>
      </c>
      <c r="I454" s="296"/>
      <c r="J454" s="102"/>
      <c r="K454" s="103"/>
      <c r="L454" s="102" t="str">
        <f t="array" ref="L454">INDEX('MTA 28-09'!S:S,MATCH(B454,'MTA 28-09'!A:A,0))</f>
        <v>APOIO</v>
      </c>
      <c r="M454" s="98" t="str">
        <f t="array" ref="M454">INDEX('MTA 28-09'!T:T,MATCH(B454,'MTA 28-09'!A:A,0))</f>
        <v>Requisição CABW</v>
      </c>
      <c r="N454" s="98" t="str">
        <f t="array" ref="N454">INDEX('MTA 28-09'!U:U,MATCH(B454,'MTA 28-09'!A:A,0))</f>
        <v>Requisições Consumíveis 2/4</v>
      </c>
      <c r="O454" s="104">
        <f t="array" ref="O454">INDEX('MTA 28-09'!AC:AC,MATCH(B454,'MTA 28-09'!A:A,0))</f>
        <v>497000</v>
      </c>
      <c r="P454" s="98" t="str">
        <f t="array" ref="P454">INDEX('MTA 28-09'!N:N,MATCH(B454,'MTA 28-09'!A:A,0))</f>
        <v>CABW</v>
      </c>
      <c r="Q454" s="105" t="str">
        <f t="array" ref="Q454">INDEX('MTA 28-09'!Z:Z,MATCH(B454,'MTA 28-09'!A:A,0))</f>
        <v>339030</v>
      </c>
      <c r="R454" s="98" t="str">
        <f t="array" ref="R454">INDEX('MTA 28-09'!L:L,MATCH(B454,'MTA 28-09'!A:A,0))</f>
        <v>C</v>
      </c>
      <c r="S454" s="107" t="str">
        <f t="array" ref="S454">INDEX('MTA 28-09'!X:X,MATCH(B454,'MTA 28-09'!A:A,0))</f>
        <v>REQUISIÇÃO</v>
      </c>
      <c r="T454" s="107" t="str">
        <f t="array" ref="T454">INDEX('MTA 28-09'!W:W,MATCH(B454,'MTA 28-09'!A:A,0))</f>
        <v>NÃO</v>
      </c>
      <c r="U454" s="109">
        <f t="array" ref="U454">INDEX('MTA 28-09'!AE:AE,MATCH(B454,'MTA 28-09'!A:A,0))</f>
        <v>46352</v>
      </c>
      <c r="V454" s="29"/>
      <c r="W454" s="29"/>
      <c r="X454" s="29"/>
      <c r="Y454" s="29"/>
      <c r="Z454" s="29"/>
      <c r="AA454" s="29"/>
      <c r="AB454" s="29"/>
      <c r="AC454" s="29"/>
      <c r="AD454" s="29"/>
      <c r="AE454" s="29"/>
      <c r="AF454" s="29"/>
      <c r="AG454" s="29"/>
      <c r="AH454" s="29"/>
      <c r="AI454" s="29"/>
      <c r="AJ454" s="29"/>
      <c r="AK454" s="29"/>
      <c r="AL454" s="29"/>
      <c r="AM454" s="29"/>
    </row>
    <row r="455">
      <c r="A455" s="31" t="s">
        <v>1574</v>
      </c>
      <c r="B455" s="32">
        <v>17400.0</v>
      </c>
      <c r="C455" s="33" t="str">
        <f t="array" ref="C455">INDEX('MTA 28-09'!B:B,MATCH(B455,'MTA 28-09'!A:A,0))</f>
        <v>NÃO</v>
      </c>
      <c r="D455" s="34" t="str">
        <f t="array" ref="D455">INDEX('MTA 28-09'!D:D,MATCH(B455,'MTA 28-09'!A:A,0))</f>
        <v/>
      </c>
      <c r="E455" s="32" t="str">
        <f t="array" ref="E455">INDEX('MTA 28-09'!F:F,MATCH(B455,'MTA 28-09'!A:A,0))</f>
        <v/>
      </c>
      <c r="F455" s="155" t="str">
        <f t="array" ref="F455">INDEX('MTA 28-09'!I:I,MATCH(B455,'MTA 28-09'!A:A,0))</f>
        <v/>
      </c>
      <c r="G455" s="36" t="str">
        <f t="array" ref="G455">INDEX('MTA 28-09'!J:J,MATCH(B455,'MTA 28-09'!A:A,0))</f>
        <v/>
      </c>
      <c r="H455" s="287" t="s">
        <v>157</v>
      </c>
      <c r="I455" s="295"/>
      <c r="J455" s="39"/>
      <c r="K455" s="40"/>
      <c r="L455" s="39" t="str">
        <f t="array" ref="L455">INDEX('MTA 28-09'!S:S,MATCH(B455,'MTA 28-09'!A:A,0))</f>
        <v>APOIO</v>
      </c>
      <c r="M455" s="32" t="str">
        <f t="array" ref="M455">INDEX('MTA 28-09'!T:T,MATCH(B455,'MTA 28-09'!A:A,0))</f>
        <v>Requisição CABW</v>
      </c>
      <c r="N455" s="32" t="str">
        <f t="array" ref="N455">INDEX('MTA 28-09'!U:U,MATCH(B455,'MTA 28-09'!A:A,0))</f>
        <v>Requisições Consumíveis 2/4</v>
      </c>
      <c r="O455" s="59">
        <f t="array" ref="O455">INDEX('MTA 28-09'!AC:AC,MATCH(B455,'MTA 28-09'!A:A,0))</f>
        <v>68000</v>
      </c>
      <c r="P455" s="32" t="str">
        <f t="array" ref="P455">INDEX('MTA 28-09'!N:N,MATCH(B455,'MTA 28-09'!A:A,0))</f>
        <v>CABW</v>
      </c>
      <c r="Q455" s="67" t="str">
        <f t="array" ref="Q455">INDEX('MTA 28-09'!Z:Z,MATCH(B455,'MTA 28-09'!A:A,0))</f>
        <v>339030</v>
      </c>
      <c r="R455" s="32" t="str">
        <f t="array" ref="R455">INDEX('MTA 28-09'!L:L,MATCH(B455,'MTA 28-09'!A:A,0))</f>
        <v>C</v>
      </c>
      <c r="S455" s="72" t="str">
        <f t="array" ref="S455">INDEX('MTA 28-09'!X:X,MATCH(B455,'MTA 28-09'!A:A,0))</f>
        <v>REQUISIÇÃO</v>
      </c>
      <c r="T455" s="72" t="str">
        <f t="array" ref="T455">INDEX('MTA 28-09'!W:W,MATCH(B455,'MTA 28-09'!A:A,0))</f>
        <v>NÃO</v>
      </c>
      <c r="U455" s="81">
        <f t="array" ref="U455">INDEX('MTA 28-09'!AE:AE,MATCH(B455,'MTA 28-09'!A:A,0))</f>
        <v>46352</v>
      </c>
      <c r="V455" s="12"/>
      <c r="W455" s="12"/>
      <c r="X455" s="12"/>
      <c r="Y455" s="12"/>
      <c r="Z455" s="12"/>
      <c r="AA455" s="12"/>
      <c r="AB455" s="12"/>
      <c r="AC455" s="12"/>
      <c r="AD455" s="12"/>
      <c r="AE455" s="12"/>
      <c r="AF455" s="12"/>
      <c r="AG455" s="12"/>
      <c r="AH455" s="12"/>
      <c r="AI455" s="12"/>
      <c r="AJ455" s="12"/>
      <c r="AK455" s="12"/>
      <c r="AL455" s="12"/>
      <c r="AM455" s="12"/>
    </row>
    <row r="456">
      <c r="A456" s="88" t="s">
        <v>1575</v>
      </c>
      <c r="B456" s="98">
        <v>17420.0</v>
      </c>
      <c r="C456" s="92" t="str">
        <f t="array" ref="C456">INDEX('MTA 28-09'!B:B,MATCH(B456,'MTA 28-09'!A:A,0))</f>
        <v>NÃO</v>
      </c>
      <c r="D456" s="95" t="str">
        <f t="array" ref="D456">INDEX('MTA 28-09'!D:D,MATCH(B456,'MTA 28-09'!A:A,0))</f>
        <v/>
      </c>
      <c r="E456" s="98" t="str">
        <f t="array" ref="E456">INDEX('MTA 28-09'!F:F,MATCH(B456,'MTA 28-09'!A:A,0))</f>
        <v/>
      </c>
      <c r="F456" s="144" t="str">
        <f t="array" ref="F456">INDEX('MTA 28-09'!I:I,MATCH(B456,'MTA 28-09'!A:A,0))</f>
        <v/>
      </c>
      <c r="G456" s="100" t="str">
        <f t="array" ref="G456">INDEX('MTA 28-09'!J:J,MATCH(B456,'MTA 28-09'!A:A,0))</f>
        <v/>
      </c>
      <c r="H456" s="159" t="s">
        <v>157</v>
      </c>
      <c r="I456" s="296"/>
      <c r="J456" s="102"/>
      <c r="K456" s="103"/>
      <c r="L456" s="102" t="str">
        <f t="array" ref="L456">INDEX('MTA 28-09'!S:S,MATCH(B456,'MTA 28-09'!A:A,0))</f>
        <v>APOIO</v>
      </c>
      <c r="M456" s="98" t="str">
        <f t="array" ref="M456">INDEX('MTA 28-09'!T:T,MATCH(B456,'MTA 28-09'!A:A,0))</f>
        <v>Requisição CABW</v>
      </c>
      <c r="N456" s="98" t="str">
        <f t="array" ref="N456">INDEX('MTA 28-09'!U:U,MATCH(B456,'MTA 28-09'!A:A,0))</f>
        <v>Requisições Consumíveis 2/4</v>
      </c>
      <c r="O456" s="104">
        <f t="array" ref="O456">INDEX('MTA 28-09'!AC:AC,MATCH(B456,'MTA 28-09'!A:A,0))</f>
        <v>380000</v>
      </c>
      <c r="P456" s="98" t="str">
        <f t="array" ref="P456">INDEX('MTA 28-09'!N:N,MATCH(B456,'MTA 28-09'!A:A,0))</f>
        <v>CABW</v>
      </c>
      <c r="Q456" s="105" t="str">
        <f t="array" ref="Q456">INDEX('MTA 28-09'!Z:Z,MATCH(B456,'MTA 28-09'!A:A,0))</f>
        <v>339030</v>
      </c>
      <c r="R456" s="98" t="str">
        <f t="array" ref="R456">INDEX('MTA 28-09'!L:L,MATCH(B456,'MTA 28-09'!A:A,0))</f>
        <v>C</v>
      </c>
      <c r="S456" s="107" t="str">
        <f t="array" ref="S456">INDEX('MTA 28-09'!X:X,MATCH(B456,'MTA 28-09'!A:A,0))</f>
        <v>REQUISIÇÃO</v>
      </c>
      <c r="T456" s="107" t="str">
        <f t="array" ref="T456">INDEX('MTA 28-09'!W:W,MATCH(B456,'MTA 28-09'!A:A,0))</f>
        <v>NÃO</v>
      </c>
      <c r="U456" s="109">
        <f t="array" ref="U456">INDEX('MTA 28-09'!AE:AE,MATCH(B456,'MTA 28-09'!A:A,0))</f>
        <v>46352</v>
      </c>
      <c r="V456" s="29"/>
      <c r="W456" s="29"/>
      <c r="X456" s="29"/>
      <c r="Y456" s="29"/>
      <c r="Z456" s="29"/>
      <c r="AA456" s="29"/>
      <c r="AB456" s="29"/>
      <c r="AC456" s="29"/>
      <c r="AD456" s="29"/>
      <c r="AE456" s="29"/>
      <c r="AF456" s="29"/>
      <c r="AG456" s="29"/>
      <c r="AH456" s="29"/>
      <c r="AI456" s="29"/>
      <c r="AJ456" s="29"/>
      <c r="AK456" s="29"/>
      <c r="AL456" s="29"/>
      <c r="AM456" s="29"/>
    </row>
    <row r="457">
      <c r="A457" s="31" t="s">
        <v>1576</v>
      </c>
      <c r="B457" s="32">
        <v>17440.0</v>
      </c>
      <c r="C457" s="33" t="str">
        <f t="array" ref="C457">INDEX('MTA 28-09'!B:B,MATCH(B457,'MTA 28-09'!A:A,0))</f>
        <v>NÃO</v>
      </c>
      <c r="D457" s="34" t="str">
        <f t="array" ref="D457">INDEX('MTA 28-09'!D:D,MATCH(B457,'MTA 28-09'!A:A,0))</f>
        <v/>
      </c>
      <c r="E457" s="32" t="str">
        <f t="array" ref="E457">INDEX('MTA 28-09'!F:F,MATCH(B457,'MTA 28-09'!A:A,0))</f>
        <v/>
      </c>
      <c r="F457" s="155" t="str">
        <f t="array" ref="F457">INDEX('MTA 28-09'!I:I,MATCH(B457,'MTA 28-09'!A:A,0))</f>
        <v/>
      </c>
      <c r="G457" s="36" t="str">
        <f t="array" ref="G457">INDEX('MTA 28-09'!J:J,MATCH(B457,'MTA 28-09'!A:A,0))</f>
        <v/>
      </c>
      <c r="H457" s="287" t="s">
        <v>157</v>
      </c>
      <c r="I457" s="295"/>
      <c r="J457" s="39"/>
      <c r="K457" s="40"/>
      <c r="L457" s="39" t="str">
        <f t="array" ref="L457">INDEX('MTA 28-09'!S:S,MATCH(B457,'MTA 28-09'!A:A,0))</f>
        <v>APOIO</v>
      </c>
      <c r="M457" s="32" t="str">
        <f t="array" ref="M457">INDEX('MTA 28-09'!T:T,MATCH(B457,'MTA 28-09'!A:A,0))</f>
        <v>Requisição CABW</v>
      </c>
      <c r="N457" s="32" t="str">
        <f t="array" ref="N457">INDEX('MTA 28-09'!U:U,MATCH(B457,'MTA 28-09'!A:A,0))</f>
        <v>Requisições Consumíveis 4/4</v>
      </c>
      <c r="O457" s="59">
        <f t="array" ref="O457">INDEX('MTA 28-09'!AC:AC,MATCH(B457,'MTA 28-09'!A:A,0))</f>
        <v>50000</v>
      </c>
      <c r="P457" s="32" t="str">
        <f t="array" ref="P457">INDEX('MTA 28-09'!N:N,MATCH(B457,'MTA 28-09'!A:A,0))</f>
        <v>CABW</v>
      </c>
      <c r="Q457" s="67" t="str">
        <f t="array" ref="Q457">INDEX('MTA 28-09'!Z:Z,MATCH(B457,'MTA 28-09'!A:A,0))</f>
        <v>339030</v>
      </c>
      <c r="R457" s="32" t="str">
        <f t="array" ref="R457">INDEX('MTA 28-09'!L:L,MATCH(B457,'MTA 28-09'!A:A,0))</f>
        <v>C</v>
      </c>
      <c r="S457" s="72" t="str">
        <f t="array" ref="S457">INDEX('MTA 28-09'!X:X,MATCH(B457,'MTA 28-09'!A:A,0))</f>
        <v>REQUISIÇÃO</v>
      </c>
      <c r="T457" s="72" t="str">
        <f t="array" ref="T457">INDEX('MTA 28-09'!W:W,MATCH(B457,'MTA 28-09'!A:A,0))</f>
        <v>NÃO</v>
      </c>
      <c r="U457" s="81">
        <f t="array" ref="U457">INDEX('MTA 28-09'!AE:AE,MATCH(B457,'MTA 28-09'!A:A,0))</f>
        <v>46352</v>
      </c>
      <c r="V457" s="12"/>
      <c r="W457" s="12"/>
      <c r="X457" s="12"/>
      <c r="Y457" s="12"/>
      <c r="Z457" s="12"/>
      <c r="AA457" s="12"/>
      <c r="AB457" s="12"/>
      <c r="AC457" s="12"/>
      <c r="AD457" s="12"/>
      <c r="AE457" s="12"/>
      <c r="AF457" s="12"/>
      <c r="AG457" s="12"/>
      <c r="AH457" s="12"/>
      <c r="AI457" s="12"/>
      <c r="AJ457" s="12"/>
      <c r="AK457" s="12"/>
      <c r="AL457" s="12"/>
      <c r="AM457" s="12"/>
    </row>
    <row r="458">
      <c r="A458" s="88" t="s">
        <v>107</v>
      </c>
      <c r="B458" s="98">
        <v>17460.0</v>
      </c>
      <c r="C458" s="92" t="str">
        <f t="array" ref="C458">INDEX('MTA 28-09'!B:B,MATCH(B458,'MTA 28-09'!A:A,0))</f>
        <v>NÃO</v>
      </c>
      <c r="D458" s="95" t="str">
        <f t="array" ref="D458">INDEX('MTA 28-09'!D:D,MATCH(B458,'MTA 28-09'!A:A,0))</f>
        <v/>
      </c>
      <c r="E458" s="98" t="str">
        <f t="array" ref="E458">INDEX('MTA 28-09'!F:F,MATCH(B458,'MTA 28-09'!A:A,0))</f>
        <v/>
      </c>
      <c r="F458" s="144" t="str">
        <f t="array" ref="F458">INDEX('MTA 28-09'!I:I,MATCH(B458,'MTA 28-09'!A:A,0))</f>
        <v/>
      </c>
      <c r="G458" s="100" t="str">
        <f t="array" ref="G458">INDEX('MTA 28-09'!J:J,MATCH(B458,'MTA 28-09'!A:A,0))</f>
        <v/>
      </c>
      <c r="H458" s="159" t="s">
        <v>157</v>
      </c>
      <c r="I458" s="90" t="s">
        <v>1583</v>
      </c>
      <c r="J458" s="102"/>
      <c r="K458" s="103"/>
      <c r="L458" s="102" t="str">
        <f t="array" ref="L458">INDEX('MTA 28-09'!S:S,MATCH(B458,'MTA 28-09'!A:A,0))</f>
        <v>APOIO</v>
      </c>
      <c r="M458" s="98" t="str">
        <f t="array" ref="M458">INDEX('MTA 28-09'!T:T,MATCH(B458,'MTA 28-09'!A:A,0))</f>
        <v>REQUISIÇÃO LOTAÇÃO SSS</v>
      </c>
      <c r="N458" s="98" t="str">
        <f t="array" ref="N458">INDEX('MTA 28-09'!U:U,MATCH(B458,'MTA 28-09'!A:A,0))</f>
        <v>AQUISIÇÃO ITENS SSS ATENDER 100% DA LOTAÇÃO (CELOG) 1/2</v>
      </c>
      <c r="O458" s="104">
        <f t="array" ref="O458">INDEX('MTA 28-09'!AC:AC,MATCH(B458,'MTA 28-09'!A:A,0))</f>
        <v>1540627.24</v>
      </c>
      <c r="P458" s="98" t="str">
        <f t="array" ref="P458">INDEX('MTA 28-09'!N:N,MATCH(B458,'MTA 28-09'!A:A,0))</f>
        <v>CABW</v>
      </c>
      <c r="Q458" s="105" t="str">
        <f t="array" ref="Q458">INDEX('MTA 28-09'!Z:Z,MATCH(B458,'MTA 28-09'!A:A,0))</f>
        <v>339030</v>
      </c>
      <c r="R458" s="98" t="str">
        <f t="array" ref="R458">INDEX('MTA 28-09'!L:L,MATCH(B458,'MTA 28-09'!A:A,0))</f>
        <v>C</v>
      </c>
      <c r="S458" s="107" t="str">
        <f t="array" ref="S458">INDEX('MTA 28-09'!X:X,MATCH(B458,'MTA 28-09'!A:A,0))</f>
        <v>REQUISIÇÃO</v>
      </c>
      <c r="T458" s="107" t="str">
        <f t="array" ref="T458">INDEX('MTA 28-09'!W:W,MATCH(B458,'MTA 28-09'!A:A,0))</f>
        <v>NÃO</v>
      </c>
      <c r="U458" s="109">
        <f t="array" ref="U458">INDEX('MTA 28-09'!AE:AE,MATCH(B458,'MTA 28-09'!A:A,0))</f>
        <v>46352</v>
      </c>
      <c r="V458" s="29"/>
      <c r="W458" s="29"/>
      <c r="X458" s="29"/>
      <c r="Y458" s="29"/>
      <c r="Z458" s="29"/>
      <c r="AA458" s="29"/>
      <c r="AB458" s="29"/>
      <c r="AC458" s="29"/>
      <c r="AD458" s="29"/>
      <c r="AE458" s="29"/>
      <c r="AF458" s="29"/>
      <c r="AG458" s="29"/>
      <c r="AH458" s="29"/>
      <c r="AI458" s="29"/>
      <c r="AJ458" s="29"/>
      <c r="AK458" s="29"/>
      <c r="AL458" s="29"/>
      <c r="AM458" s="29"/>
    </row>
    <row r="459">
      <c r="A459" s="31" t="s">
        <v>47</v>
      </c>
      <c r="B459" s="32">
        <v>17480.0</v>
      </c>
      <c r="C459" s="33" t="str">
        <f t="array" ref="C459">INDEX('MTA 28-09'!B:B,MATCH(B459,'MTA 28-09'!A:A,0))</f>
        <v>SIM</v>
      </c>
      <c r="D459" s="34">
        <f t="array" ref="D459">INDEX('MTA 28-09'!D:D,MATCH(B459,'MTA 28-09'!A:A,0))</f>
        <v>2048</v>
      </c>
      <c r="E459" s="32" t="str">
        <f t="array" ref="E459">INDEX('MTA 28-09'!F:F,MATCH(B459,'MTA 28-09'!A:A,0))</f>
        <v>CANCELADO</v>
      </c>
      <c r="F459" s="35" t="str">
        <f t="array" ref="F459">INDEX('MTA 28-09'!I:I,MATCH(B459,'MTA 28-09'!A:A,0))</f>
        <v/>
      </c>
      <c r="G459" s="36" t="str">
        <f t="array" ref="G459">INDEX('MTA 28-09'!J:J,MATCH(B459,'MTA 28-09'!A:A,0))</f>
        <v/>
      </c>
      <c r="H459" s="156">
        <v>46276.0</v>
      </c>
      <c r="I459" s="157" t="s">
        <v>1594</v>
      </c>
      <c r="J459" s="39"/>
      <c r="K459" s="40"/>
      <c r="L459" s="39" t="str">
        <f t="array" ref="L459">INDEX('MTA 28-09'!S:S,MATCH(B459,'MTA 28-09'!A:A,0))</f>
        <v>T-25</v>
      </c>
      <c r="M459" s="32" t="str">
        <f t="array" ref="M459">INDEX('MTA 28-09'!T:T,MATCH(B459,'MTA 28-09'!A:A,0))</f>
        <v>Contrato de reparáveis</v>
      </c>
      <c r="N459" s="32" t="str">
        <f t="array" ref="N459">INDEX('MTA 28-09'!U:U,MATCH(B459,'MTA 28-09'!A:A,0))</f>
        <v>Reparo sob demanda 4/6</v>
      </c>
      <c r="O459" s="59" t="str">
        <f t="array" ref="O459">INDEX('MTA 28-09'!AC:AC,MATCH(B459,'MTA 28-09'!A:A,0))</f>
        <v> -</v>
      </c>
      <c r="P459" s="32" t="str">
        <f t="array" ref="P459">INDEX('MTA 28-09'!N:N,MATCH(B459,'MTA 28-09'!A:A,0))</f>
        <v>CELOG</v>
      </c>
      <c r="Q459" s="67" t="str">
        <f t="array" ref="Q459">INDEX('MTA 28-09'!Z:Z,MATCH(B459,'MTA 28-09'!A:A,0))</f>
        <v>339039</v>
      </c>
      <c r="R459" s="32" t="str">
        <f t="array" ref="R459">INDEX('MTA 28-09'!L:L,MATCH(B459,'MTA 28-09'!A:A,0))</f>
        <v>A</v>
      </c>
      <c r="S459" s="72" t="str">
        <f t="array" ref="S459">INDEX('MTA 28-09'!X:X,MATCH(B459,'MTA 28-09'!A:A,0))</f>
        <v>SOB DEMANDA</v>
      </c>
      <c r="T459" s="72" t="str">
        <f t="array" ref="T459">INDEX('MTA 28-09'!W:W,MATCH(B459,'MTA 28-09'!A:A,0))</f>
        <v>Não</v>
      </c>
      <c r="U459" s="81">
        <f t="array" ref="U459">INDEX('MTA 28-09'!AE:AE,MATCH(B459,'MTA 28-09'!A:A,0))</f>
        <v>46382</v>
      </c>
      <c r="V459" s="12"/>
      <c r="W459" s="12"/>
      <c r="X459" s="12"/>
      <c r="Y459" s="12"/>
      <c r="Z459" s="12"/>
      <c r="AA459" s="12"/>
      <c r="AB459" s="12"/>
      <c r="AC459" s="12"/>
      <c r="AD459" s="12"/>
      <c r="AE459" s="12"/>
      <c r="AF459" s="12"/>
      <c r="AG459" s="12"/>
      <c r="AH459" s="12"/>
      <c r="AI459" s="12"/>
      <c r="AJ459" s="12"/>
      <c r="AK459" s="12"/>
      <c r="AL459" s="12"/>
      <c r="AM459" s="12"/>
    </row>
    <row r="460">
      <c r="A460" s="88" t="s">
        <v>46</v>
      </c>
      <c r="B460" s="98">
        <v>17500.0</v>
      </c>
      <c r="C460" s="92" t="str">
        <f t="array" ref="C460">INDEX('MTA 28-09'!B:B,MATCH(B460,'MTA 28-09'!A:A,0))</f>
        <v>SIM</v>
      </c>
      <c r="D460" s="95">
        <f t="array" ref="D460">INDEX('MTA 28-09'!D:D,MATCH(B460,'MTA 28-09'!A:A,0))</f>
        <v>2048</v>
      </c>
      <c r="E460" s="98" t="str">
        <f t="array" ref="E460">INDEX('MTA 28-09'!F:F,MATCH(B460,'MTA 28-09'!A:A,0))</f>
        <v/>
      </c>
      <c r="F460" s="289" t="str">
        <f t="array" ref="F460">INDEX('MTA 28-09'!I:I,MATCH(B460,'MTA 28-09'!A:A,0))</f>
        <v/>
      </c>
      <c r="G460" s="100" t="str">
        <f t="array" ref="G460">INDEX('MTA 28-09'!J:J,MATCH(B460,'MTA 28-09'!A:A,0))</f>
        <v/>
      </c>
      <c r="H460" s="159" t="s">
        <v>157</v>
      </c>
      <c r="I460" s="154" t="s">
        <v>1183</v>
      </c>
      <c r="J460" s="102"/>
      <c r="K460" s="103"/>
      <c r="L460" s="102" t="str">
        <f t="array" ref="L460">INDEX('MTA 28-09'!S:S,MATCH(B460,'MTA 28-09'!A:A,0))</f>
        <v>T-27</v>
      </c>
      <c r="M460" s="98" t="str">
        <f t="array" ref="M460">INDEX('MTA 28-09'!T:T,MATCH(B460,'MTA 28-09'!A:A,0))</f>
        <v>Contrato de reparáveis</v>
      </c>
      <c r="N460" s="98" t="str">
        <f t="array" ref="N460">INDEX('MTA 28-09'!U:U,MATCH(B460,'MTA 28-09'!A:A,0))</f>
        <v>Reparo sob demanda 4/6</v>
      </c>
      <c r="O460" s="104">
        <f t="array" ref="O460">INDEX('MTA 28-09'!AC:AC,MATCH(B460,'MTA 28-09'!A:A,0))</f>
        <v>266904.57</v>
      </c>
      <c r="P460" s="98" t="str">
        <f t="array" ref="P460">INDEX('MTA 28-09'!N:N,MATCH(B460,'MTA 28-09'!A:A,0))</f>
        <v>CELOG</v>
      </c>
      <c r="Q460" s="105" t="str">
        <f t="array" ref="Q460">INDEX('MTA 28-09'!Z:Z,MATCH(B460,'MTA 28-09'!A:A,0))</f>
        <v>339039</v>
      </c>
      <c r="R460" s="98" t="str">
        <f t="array" ref="R460">INDEX('MTA 28-09'!L:L,MATCH(B460,'MTA 28-09'!A:A,0))</f>
        <v>A</v>
      </c>
      <c r="S460" s="107" t="str">
        <f t="array" ref="S460">INDEX('MTA 28-09'!X:X,MATCH(B460,'MTA 28-09'!A:A,0))</f>
        <v>SOB DEMANDA</v>
      </c>
      <c r="T460" s="107" t="str">
        <f t="array" ref="T460">INDEX('MTA 28-09'!W:W,MATCH(B460,'MTA 28-09'!A:A,0))</f>
        <v>Não</v>
      </c>
      <c r="U460" s="109">
        <f t="array" ref="U460">INDEX('MTA 28-09'!AE:AE,MATCH(B460,'MTA 28-09'!A:A,0))</f>
        <v>46321</v>
      </c>
      <c r="V460" s="29"/>
      <c r="W460" s="29"/>
      <c r="X460" s="29"/>
      <c r="Y460" s="29"/>
      <c r="Z460" s="29"/>
      <c r="AA460" s="29"/>
      <c r="AB460" s="29"/>
      <c r="AC460" s="29"/>
      <c r="AD460" s="29"/>
      <c r="AE460" s="29"/>
      <c r="AF460" s="29"/>
      <c r="AG460" s="29"/>
      <c r="AH460" s="29"/>
      <c r="AI460" s="29"/>
      <c r="AJ460" s="29"/>
      <c r="AK460" s="29"/>
      <c r="AL460" s="29"/>
      <c r="AM460" s="29"/>
    </row>
    <row r="461">
      <c r="A461" s="31" t="s">
        <v>46</v>
      </c>
      <c r="B461" s="38">
        <v>17501.0</v>
      </c>
      <c r="C461" s="33" t="str">
        <f t="array" ref="C461">INDEX('MTA 28-09'!B:B,MATCH(B461,'MTA 28-09'!A:A,0))</f>
        <v>SIM</v>
      </c>
      <c r="D461" s="34">
        <f t="array" ref="D461">INDEX('MTA 28-09'!D:D,MATCH(B461,'MTA 28-09'!A:A,0))</f>
        <v>2048</v>
      </c>
      <c r="E461" s="32" t="str">
        <f t="array" ref="E461">INDEX('MTA 28-09'!F:F,MATCH(B461,'MTA 28-09'!A:A,0))</f>
        <v>ATENDIDO</v>
      </c>
      <c r="F461" s="384">
        <f t="array" ref="F461">INDEX('MTA 28-09'!I:I,MATCH(B461,'MTA 28-09'!A:A,0))</f>
        <v>46118</v>
      </c>
      <c r="G461" s="36" t="str">
        <f t="array" ref="G461">INDEX('MTA 28-09'!J:J,MATCH(B461,'MTA 28-09'!A:A,0))</f>
        <v>C26153</v>
      </c>
      <c r="H461" s="37" t="s">
        <v>1580</v>
      </c>
      <c r="I461" s="38"/>
      <c r="J461" s="39"/>
      <c r="K461" s="40"/>
      <c r="L461" s="39" t="str">
        <f t="array" ref="L461">INDEX('MTA 28-09'!S:S,MATCH(B461,'MTA 28-09'!A:A,0))</f>
        <v>T-27</v>
      </c>
      <c r="M461" s="32" t="str">
        <f t="array" ref="M461">INDEX('MTA 28-09'!T:T,MATCH(B461,'MTA 28-09'!A:A,0))</f>
        <v>Contrato de reparáveis</v>
      </c>
      <c r="N461" s="32" t="str">
        <f t="array" ref="N461">INDEX('MTA 28-09'!U:U,MATCH(B461,'MTA 28-09'!A:A,0))</f>
        <v>Reparo sob demanda 4/6</v>
      </c>
      <c r="O461" s="59">
        <f t="array" ref="O461">INDEX('MTA 28-09'!AC:AC,MATCH(B461,'MTA 28-09'!A:A,0))</f>
        <v>60000</v>
      </c>
      <c r="P461" s="32" t="str">
        <f t="array" ref="P461">INDEX('MTA 28-09'!N:N,MATCH(B461,'MTA 28-09'!A:A,0))</f>
        <v>CELOG</v>
      </c>
      <c r="Q461" s="67" t="str">
        <f t="array" ref="Q461">INDEX('MTA 28-09'!Z:Z,MATCH(B461,'MTA 28-09'!A:A,0))</f>
        <v>339039</v>
      </c>
      <c r="R461" s="32" t="str">
        <f t="array" ref="R461">INDEX('MTA 28-09'!L:L,MATCH(B461,'MTA 28-09'!A:A,0))</f>
        <v>A</v>
      </c>
      <c r="S461" s="72" t="str">
        <f t="array" ref="S461">INDEX('MTA 28-09'!X:X,MATCH(B461,'MTA 28-09'!A:A,0))</f>
        <v>SOB DEMANDA</v>
      </c>
      <c r="T461" s="72" t="str">
        <f t="array" ref="T461">INDEX('MTA 28-09'!W:W,MATCH(B461,'MTA 28-09'!A:A,0))</f>
        <v>Não</v>
      </c>
      <c r="U461" s="81">
        <f t="array" ref="U461">INDEX('MTA 28-09'!AE:AE,MATCH(B461,'MTA 28-09'!A:A,0))</f>
        <v>46321</v>
      </c>
      <c r="V461" s="12"/>
      <c r="W461" s="12"/>
      <c r="X461" s="12"/>
      <c r="Y461" s="12"/>
      <c r="Z461" s="12"/>
      <c r="AA461" s="12"/>
      <c r="AB461" s="12"/>
      <c r="AC461" s="12"/>
      <c r="AD461" s="12"/>
      <c r="AE461" s="12"/>
      <c r="AF461" s="12"/>
      <c r="AG461" s="12"/>
      <c r="AH461" s="12"/>
      <c r="AI461" s="12"/>
      <c r="AJ461" s="12"/>
      <c r="AK461" s="12"/>
      <c r="AL461" s="12"/>
      <c r="AM461" s="12"/>
    </row>
    <row r="462">
      <c r="A462" s="88" t="s">
        <v>46</v>
      </c>
      <c r="B462" s="90">
        <v>17502.0</v>
      </c>
      <c r="C462" s="92" t="str">
        <f t="array" ref="C462">INDEX('MTA 28-09'!B:B,MATCH(B462,'MTA 28-09'!A:A,0))</f>
        <v>SIM</v>
      </c>
      <c r="D462" s="95">
        <f t="array" ref="D462">INDEX('MTA 28-09'!D:D,MATCH(B462,'MTA 28-09'!A:A,0))</f>
        <v>2048</v>
      </c>
      <c r="E462" s="98" t="str">
        <f t="array" ref="E462">INDEX('MTA 28-09'!F:F,MATCH(B462,'MTA 28-09'!A:A,0))</f>
        <v>ATENDIDO</v>
      </c>
      <c r="F462" s="144">
        <f t="array" ref="F462">INDEX('MTA 28-09'!I:I,MATCH(B462,'MTA 28-09'!A:A,0))</f>
        <v>46210</v>
      </c>
      <c r="G462" s="100" t="str">
        <f t="array" ref="G462">INDEX('MTA 28-09'!J:J,MATCH(B462,'MTA 28-09'!A:A,0))</f>
        <v>C26153</v>
      </c>
      <c r="H462" s="101" t="s">
        <v>375</v>
      </c>
      <c r="I462" s="90"/>
      <c r="J462" s="102"/>
      <c r="K462" s="103"/>
      <c r="L462" s="102" t="str">
        <f t="array" ref="L462">INDEX('MTA 28-09'!S:S,MATCH(B462,'MTA 28-09'!A:A,0))</f>
        <v>T-27</v>
      </c>
      <c r="M462" s="98" t="str">
        <f t="array" ref="M462">INDEX('MTA 28-09'!T:T,MATCH(B462,'MTA 28-09'!A:A,0))</f>
        <v>Contrato de reparáveis</v>
      </c>
      <c r="N462" s="98" t="str">
        <f t="array" ref="N462">INDEX('MTA 28-09'!U:U,MATCH(B462,'MTA 28-09'!A:A,0))</f>
        <v>Reparo sob demanda 4/6</v>
      </c>
      <c r="O462" s="104">
        <f t="array" ref="O462">INDEX('MTA 28-09'!AC:AC,MATCH(B462,'MTA 28-09'!A:A,0))</f>
        <v>3095.43</v>
      </c>
      <c r="P462" s="98" t="str">
        <f t="array" ref="P462">INDEX('MTA 28-09'!N:N,MATCH(B462,'MTA 28-09'!A:A,0))</f>
        <v>CABW</v>
      </c>
      <c r="Q462" s="105" t="str">
        <f t="array" ref="Q462">INDEX('MTA 28-09'!Z:Z,MATCH(B462,'MTA 28-09'!A:A,0))</f>
        <v>339039</v>
      </c>
      <c r="R462" s="98" t="str">
        <f t="array" ref="R462">INDEX('MTA 28-09'!L:L,MATCH(B462,'MTA 28-09'!A:A,0))</f>
        <v>A</v>
      </c>
      <c r="S462" s="107" t="str">
        <f t="array" ref="S462">INDEX('MTA 28-09'!X:X,MATCH(B462,'MTA 28-09'!A:A,0))</f>
        <v>SOB DEMANDA</v>
      </c>
      <c r="T462" s="107" t="str">
        <f t="array" ref="T462">INDEX('MTA 28-09'!W:W,MATCH(B462,'MTA 28-09'!A:A,0))</f>
        <v>Não</v>
      </c>
      <c r="U462" s="109">
        <f t="array" ref="U462">INDEX('MTA 28-09'!AE:AE,MATCH(B462,'MTA 28-09'!A:A,0))</f>
        <v>46321</v>
      </c>
      <c r="V462" s="29"/>
      <c r="W462" s="29"/>
      <c r="X462" s="29"/>
      <c r="Y462" s="29"/>
      <c r="Z462" s="29"/>
      <c r="AA462" s="29"/>
      <c r="AB462" s="29"/>
      <c r="AC462" s="29"/>
      <c r="AD462" s="29"/>
      <c r="AE462" s="29"/>
      <c r="AF462" s="29"/>
      <c r="AG462" s="29"/>
      <c r="AH462" s="29"/>
      <c r="AI462" s="29"/>
      <c r="AJ462" s="29"/>
      <c r="AK462" s="29"/>
      <c r="AL462" s="29"/>
      <c r="AM462" s="29"/>
    </row>
    <row r="463">
      <c r="A463" s="31" t="s">
        <v>43</v>
      </c>
      <c r="B463" s="32">
        <v>17520.0</v>
      </c>
      <c r="C463" s="33" t="str">
        <f t="array" ref="C463">INDEX('MTA 28-09'!B:B,MATCH(B463,'MTA 28-09'!A:A,0))</f>
        <v>NÃO</v>
      </c>
      <c r="D463" s="34" t="str">
        <f t="array" ref="D463">INDEX('MTA 28-09'!D:D,MATCH(B463,'MTA 28-09'!A:A,0))</f>
        <v/>
      </c>
      <c r="E463" s="32" t="str">
        <f t="array" ref="E463">INDEX('MTA 28-09'!F:F,MATCH(B463,'MTA 28-09'!A:A,0))</f>
        <v>BLOQUEIO</v>
      </c>
      <c r="F463" s="35" t="str">
        <f t="array" ref="F463">INDEX('MTA 28-09'!I:I,MATCH(B463,'MTA 28-09'!A:A,0))</f>
        <v/>
      </c>
      <c r="G463" s="36" t="str">
        <f t="array" ref="G463">INDEX('MTA 28-09'!J:J,MATCH(B463,'MTA 28-09'!A:A,0))</f>
        <v/>
      </c>
      <c r="H463" s="287" t="s">
        <v>157</v>
      </c>
      <c r="I463" s="295"/>
      <c r="J463" s="39"/>
      <c r="K463" s="40"/>
      <c r="L463" s="39" t="str">
        <f t="array" ref="L463">INDEX('MTA 28-09'!S:S,MATCH(B463,'MTA 28-09'!A:A,0))</f>
        <v>C-95M</v>
      </c>
      <c r="M463" s="32" t="str">
        <f t="array" ref="M463">INDEX('MTA 28-09'!T:T,MATCH(B463,'MTA 28-09'!A:A,0))</f>
        <v>Contrato de reparáveis</v>
      </c>
      <c r="N463" s="32" t="str">
        <f t="array" ref="N463">INDEX('MTA 28-09'!U:U,MATCH(B463,'MTA 28-09'!A:A,0))</f>
        <v>Reparo sob demanda 4/8</v>
      </c>
      <c r="O463" s="59">
        <f t="array" ref="O463">INDEX('MTA 28-09'!AC:AC,MATCH(B463,'MTA 28-09'!A:A,0))</f>
        <v>1000000</v>
      </c>
      <c r="P463" s="32" t="str">
        <f t="array" ref="P463">INDEX('MTA 28-09'!N:N,MATCH(B463,'MTA 28-09'!A:A,0))</f>
        <v>CELOG</v>
      </c>
      <c r="Q463" s="67" t="str">
        <f t="array" ref="Q463">INDEX('MTA 28-09'!Z:Z,MATCH(B463,'MTA 28-09'!A:A,0))</f>
        <v>339039</v>
      </c>
      <c r="R463" s="32" t="str">
        <f t="array" ref="R463">INDEX('MTA 28-09'!L:L,MATCH(B463,'MTA 28-09'!A:A,0))</f>
        <v>B</v>
      </c>
      <c r="S463" s="72" t="str">
        <f t="array" ref="S463">INDEX('MTA 28-09'!X:X,MATCH(B463,'MTA 28-09'!A:A,0))</f>
        <v>SOB DEMANDA</v>
      </c>
      <c r="T463" s="72" t="str">
        <f t="array" ref="T463">INDEX('MTA 28-09'!W:W,MATCH(B463,'MTA 28-09'!A:A,0))</f>
        <v>Não</v>
      </c>
      <c r="U463" s="81">
        <f t="array" ref="U463">INDEX('MTA 28-09'!AE:AE,MATCH(B463,'MTA 28-09'!A:A,0))</f>
        <v>46049</v>
      </c>
      <c r="V463" s="12"/>
      <c r="W463" s="12"/>
      <c r="X463" s="12"/>
      <c r="Y463" s="12"/>
      <c r="Z463" s="12"/>
      <c r="AA463" s="12"/>
      <c r="AB463" s="12"/>
      <c r="AC463" s="12"/>
      <c r="AD463" s="12"/>
      <c r="AE463" s="12"/>
      <c r="AF463" s="12"/>
      <c r="AG463" s="12"/>
      <c r="AH463" s="12"/>
      <c r="AI463" s="12"/>
      <c r="AJ463" s="12"/>
      <c r="AK463" s="12"/>
      <c r="AL463" s="12"/>
      <c r="AM463" s="12"/>
    </row>
    <row r="464">
      <c r="A464" s="88" t="s">
        <v>104</v>
      </c>
      <c r="B464" s="98">
        <v>17540.0</v>
      </c>
      <c r="C464" s="92" t="str">
        <f t="array" ref="C464">INDEX('MTA 28-09'!B:B,MATCH(B464,'MTA 28-09'!A:A,0))</f>
        <v>NÃO</v>
      </c>
      <c r="D464" s="95" t="str">
        <f t="array" ref="D464">INDEX('MTA 28-09'!D:D,MATCH(B464,'MTA 28-09'!A:A,0))</f>
        <v/>
      </c>
      <c r="E464" s="98" t="str">
        <f t="array" ref="E464">INDEX('MTA 28-09'!F:F,MATCH(B464,'MTA 28-09'!A:A,0))</f>
        <v/>
      </c>
      <c r="F464" s="144" t="str">
        <f t="array" ref="F464">INDEX('MTA 28-09'!I:I,MATCH(B464,'MTA 28-09'!A:A,0))</f>
        <v/>
      </c>
      <c r="G464" s="100" t="str">
        <f t="array" ref="G464">INDEX('MTA 28-09'!J:J,MATCH(B464,'MTA 28-09'!A:A,0))</f>
        <v/>
      </c>
      <c r="H464" s="159" t="s">
        <v>157</v>
      </c>
      <c r="I464" s="296"/>
      <c r="J464" s="102"/>
      <c r="K464" s="103"/>
      <c r="L464" s="102" t="str">
        <f t="array" ref="L464">INDEX('MTA 28-09'!S:S,MATCH(B464,'MTA 28-09'!A:A,0))</f>
        <v>APOIO</v>
      </c>
      <c r="M464" s="98" t="str">
        <f t="array" ref="M464">INDEX('MTA 28-09'!T:T,MATCH(B464,'MTA 28-09'!A:A,0))</f>
        <v>CTT XXXX/PAMALS-CELOG/2026</v>
      </c>
      <c r="N464" s="98" t="str">
        <f t="array" ref="N464">INDEX('MTA 28-09'!U:U,MATCH(B464,'MTA 28-09'!A:A,0))</f>
        <v>SERVIÇO/REPARO DE RECAUCHUTAGEM DE PNEUS DE AVIAÇÃO 3/4</v>
      </c>
      <c r="O464" s="104">
        <f t="array" ref="O464">INDEX('MTA 28-09'!AC:AC,MATCH(B464,'MTA 28-09'!A:A,0))</f>
        <v>216000</v>
      </c>
      <c r="P464" s="98" t="str">
        <f t="array" ref="P464">INDEX('MTA 28-09'!N:N,MATCH(B464,'MTA 28-09'!A:A,0))</f>
        <v>CELOG</v>
      </c>
      <c r="Q464" s="105" t="str">
        <f t="array" ref="Q464">INDEX('MTA 28-09'!Z:Z,MATCH(B464,'MTA 28-09'!A:A,0))</f>
        <v>339039</v>
      </c>
      <c r="R464" s="98" t="str">
        <f t="array" ref="R464">INDEX('MTA 28-09'!L:L,MATCH(B464,'MTA 28-09'!A:A,0))</f>
        <v>C</v>
      </c>
      <c r="S464" s="107" t="str">
        <f t="array" ref="S464">INDEX('MTA 28-09'!X:X,MATCH(B464,'MTA 28-09'!A:A,0))</f>
        <v>SOB DEMANDA</v>
      </c>
      <c r="T464" s="107" t="str">
        <f t="array" ref="T464">INDEX('MTA 28-09'!W:W,MATCH(B464,'MTA 28-09'!A:A,0))</f>
        <v>NÃO</v>
      </c>
      <c r="U464" s="109">
        <f t="array" ref="U464">INDEX('MTA 28-09'!AE:AE,MATCH(B464,'MTA 28-09'!A:A,0))</f>
        <v>46352</v>
      </c>
      <c r="V464" s="29"/>
      <c r="W464" s="29"/>
      <c r="X464" s="29"/>
      <c r="Y464" s="29"/>
      <c r="Z464" s="29"/>
      <c r="AA464" s="29"/>
      <c r="AB464" s="29"/>
      <c r="AC464" s="29"/>
      <c r="AD464" s="29"/>
      <c r="AE464" s="29"/>
      <c r="AF464" s="29"/>
      <c r="AG464" s="29"/>
      <c r="AH464" s="29"/>
      <c r="AI464" s="29"/>
      <c r="AJ464" s="29"/>
      <c r="AK464" s="29"/>
      <c r="AL464" s="29"/>
      <c r="AM464" s="29"/>
    </row>
    <row r="465">
      <c r="A465" s="31" t="s">
        <v>1575</v>
      </c>
      <c r="B465" s="32">
        <v>17560.0</v>
      </c>
      <c r="C465" s="33" t="str">
        <f t="array" ref="C465">INDEX('MTA 28-09'!B:B,MATCH(B465,'MTA 28-09'!A:A,0))</f>
        <v>NÃO</v>
      </c>
      <c r="D465" s="34" t="str">
        <f t="array" ref="D465">INDEX('MTA 28-09'!D:D,MATCH(B465,'MTA 28-09'!A:A,0))</f>
        <v/>
      </c>
      <c r="E465" s="32" t="str">
        <f t="array" ref="E465">INDEX('MTA 28-09'!F:F,MATCH(B465,'MTA 28-09'!A:A,0))</f>
        <v/>
      </c>
      <c r="F465" s="155" t="str">
        <f t="array" ref="F465">INDEX('MTA 28-09'!I:I,MATCH(B465,'MTA 28-09'!A:A,0))</f>
        <v/>
      </c>
      <c r="G465" s="36" t="str">
        <f t="array" ref="G465">INDEX('MTA 28-09'!J:J,MATCH(B465,'MTA 28-09'!A:A,0))</f>
        <v/>
      </c>
      <c r="H465" s="287" t="s">
        <v>157</v>
      </c>
      <c r="I465" s="295"/>
      <c r="J465" s="39"/>
      <c r="K465" s="40"/>
      <c r="L465" s="39" t="str">
        <f t="array" ref="L465">INDEX('MTA 28-09'!S:S,MATCH(B465,'MTA 28-09'!A:A,0))</f>
        <v>APOIO</v>
      </c>
      <c r="M465" s="32" t="str">
        <f t="array" ref="M465">INDEX('MTA 28-09'!T:T,MATCH(B465,'MTA 28-09'!A:A,0))</f>
        <v>CTT XXX/GAPLS-PAMALS/2026 – Gestão de Frota</v>
      </c>
      <c r="N465" s="32" t="str">
        <f t="array" ref="N465">INDEX('MTA 28-09'!U:U,MATCH(B465,'MTA 28-09'!A:A,0))</f>
        <v>Serviço de Reparo 3/4</v>
      </c>
      <c r="O465" s="59">
        <f t="array" ref="O465">INDEX('MTA 28-09'!AC:AC,MATCH(B465,'MTA 28-09'!A:A,0))</f>
        <v>25000</v>
      </c>
      <c r="P465" s="32" t="str">
        <f t="array" ref="P465">INDEX('MTA 28-09'!N:N,MATCH(B465,'MTA 28-09'!A:A,0))</f>
        <v>GAP-LS</v>
      </c>
      <c r="Q465" s="67" t="str">
        <f t="array" ref="Q465">INDEX('MTA 28-09'!Z:Z,MATCH(B465,'MTA 28-09'!A:A,0))</f>
        <v>339039</v>
      </c>
      <c r="R465" s="32" t="str">
        <f t="array" ref="R465">INDEX('MTA 28-09'!L:L,MATCH(B465,'MTA 28-09'!A:A,0))</f>
        <v>C</v>
      </c>
      <c r="S465" s="72" t="str">
        <f t="array" ref="S465">INDEX('MTA 28-09'!X:X,MATCH(B465,'MTA 28-09'!A:A,0))</f>
        <v>SOB DEMANDA</v>
      </c>
      <c r="T465" s="72" t="str">
        <f t="array" ref="T465">INDEX('MTA 28-09'!W:W,MATCH(B465,'MTA 28-09'!A:A,0))</f>
        <v>NÃO</v>
      </c>
      <c r="U465" s="81">
        <f t="array" ref="U465">INDEX('MTA 28-09'!AE:AE,MATCH(B465,'MTA 28-09'!A:A,0))</f>
        <v>46352</v>
      </c>
      <c r="V465" s="12"/>
      <c r="W465" s="12"/>
      <c r="X465" s="12"/>
      <c r="Y465" s="12"/>
      <c r="Z465" s="12"/>
      <c r="AA465" s="12"/>
      <c r="AB465" s="12"/>
      <c r="AC465" s="12"/>
      <c r="AD465" s="12"/>
      <c r="AE465" s="12"/>
      <c r="AF465" s="12"/>
      <c r="AG465" s="12"/>
      <c r="AH465" s="12"/>
      <c r="AI465" s="12"/>
      <c r="AJ465" s="12"/>
      <c r="AK465" s="12"/>
      <c r="AL465" s="12"/>
      <c r="AM465" s="12"/>
    </row>
    <row r="466">
      <c r="A466" s="88" t="s">
        <v>1576</v>
      </c>
      <c r="B466" s="98">
        <v>17580.0</v>
      </c>
      <c r="C466" s="92" t="str">
        <f t="array" ref="C466">INDEX('MTA 28-09'!B:B,MATCH(B466,'MTA 28-09'!A:A,0))</f>
        <v>NÃO</v>
      </c>
      <c r="D466" s="95" t="str">
        <f t="array" ref="D466">INDEX('MTA 28-09'!D:D,MATCH(B466,'MTA 28-09'!A:A,0))</f>
        <v/>
      </c>
      <c r="E466" s="98" t="str">
        <f t="array" ref="E466">INDEX('MTA 28-09'!F:F,MATCH(B466,'MTA 28-09'!A:A,0))</f>
        <v/>
      </c>
      <c r="F466" s="152" t="str">
        <f t="array" ref="F466">INDEX('MTA 28-09'!I:I,MATCH(B466,'MTA 28-09'!A:A,0))</f>
        <v/>
      </c>
      <c r="G466" s="100" t="str">
        <f t="array" ref="G466">INDEX('MTA 28-09'!J:J,MATCH(B466,'MTA 28-09'!A:A,0))</f>
        <v/>
      </c>
      <c r="H466" s="159" t="s">
        <v>157</v>
      </c>
      <c r="I466" s="296"/>
      <c r="J466" s="102"/>
      <c r="K466" s="103"/>
      <c r="L466" s="102" t="str">
        <f t="array" ref="L466">INDEX('MTA 28-09'!S:S,MATCH(B466,'MTA 28-09'!A:A,0))</f>
        <v>APOIO</v>
      </c>
      <c r="M466" s="98" t="str">
        <f t="array" ref="M466">INDEX('MTA 28-09'!T:T,MATCH(B466,'MTA 28-09'!A:A,0))</f>
        <v>CTT XXX/GAPLS-PAMALS/2026 – Gestão de Frota</v>
      </c>
      <c r="N466" s="98" t="str">
        <f t="array" ref="N466">INDEX('MTA 28-09'!U:U,MATCH(B466,'MTA 28-09'!A:A,0))</f>
        <v>Serviço de Reparo 3/4</v>
      </c>
      <c r="O466" s="104">
        <f t="array" ref="O466">INDEX('MTA 28-09'!AC:AC,MATCH(B466,'MTA 28-09'!A:A,0))</f>
        <v>21600</v>
      </c>
      <c r="P466" s="98" t="str">
        <f t="array" ref="P466">INDEX('MTA 28-09'!N:N,MATCH(B466,'MTA 28-09'!A:A,0))</f>
        <v>GAP-LS</v>
      </c>
      <c r="Q466" s="105" t="str">
        <f t="array" ref="Q466">INDEX('MTA 28-09'!Z:Z,MATCH(B466,'MTA 28-09'!A:A,0))</f>
        <v>339039</v>
      </c>
      <c r="R466" s="98" t="str">
        <f t="array" ref="R466">INDEX('MTA 28-09'!L:L,MATCH(B466,'MTA 28-09'!A:A,0))</f>
        <v>C</v>
      </c>
      <c r="S466" s="107" t="str">
        <f t="array" ref="S466">INDEX('MTA 28-09'!X:X,MATCH(B466,'MTA 28-09'!A:A,0))</f>
        <v>SOB DEMANDA</v>
      </c>
      <c r="T466" s="107" t="str">
        <f t="array" ref="T466">INDEX('MTA 28-09'!W:W,MATCH(B466,'MTA 28-09'!A:A,0))</f>
        <v>NÃO</v>
      </c>
      <c r="U466" s="109">
        <f t="array" ref="U466">INDEX('MTA 28-09'!AE:AE,MATCH(B466,'MTA 28-09'!A:A,0))</f>
        <v>46352</v>
      </c>
      <c r="V466" s="29"/>
      <c r="W466" s="29"/>
      <c r="X466" s="29"/>
      <c r="Y466" s="29"/>
      <c r="Z466" s="29"/>
      <c r="AA466" s="29"/>
      <c r="AB466" s="29"/>
      <c r="AC466" s="29"/>
      <c r="AD466" s="29"/>
      <c r="AE466" s="29"/>
      <c r="AF466" s="29"/>
      <c r="AG466" s="29"/>
      <c r="AH466" s="29"/>
      <c r="AI466" s="29"/>
      <c r="AJ466" s="29"/>
      <c r="AK466" s="29"/>
      <c r="AL466" s="29"/>
      <c r="AM466" s="29"/>
    </row>
    <row r="467">
      <c r="A467" s="31" t="s">
        <v>1574</v>
      </c>
      <c r="B467" s="32">
        <v>17600.0</v>
      </c>
      <c r="C467" s="33" t="str">
        <f t="array" ref="C467">INDEX('MTA 28-09'!B:B,MATCH(B467,'MTA 28-09'!A:A,0))</f>
        <v>NÃO</v>
      </c>
      <c r="D467" s="34" t="str">
        <f t="array" ref="D467">INDEX('MTA 28-09'!D:D,MATCH(B467,'MTA 28-09'!A:A,0))</f>
        <v/>
      </c>
      <c r="E467" s="32" t="str">
        <f t="array" ref="E467">INDEX('MTA 28-09'!F:F,MATCH(B467,'MTA 28-09'!A:A,0))</f>
        <v/>
      </c>
      <c r="F467" s="137" t="str">
        <f t="array" ref="F467">INDEX('MTA 28-09'!I:I,MATCH(B467,'MTA 28-09'!A:A,0))</f>
        <v/>
      </c>
      <c r="G467" s="36" t="str">
        <f t="array" ref="G467">INDEX('MTA 28-09'!J:J,MATCH(B467,'MTA 28-09'!A:A,0))</f>
        <v/>
      </c>
      <c r="H467" s="287" t="s">
        <v>157</v>
      </c>
      <c r="I467" s="295"/>
      <c r="J467" s="39"/>
      <c r="K467" s="40"/>
      <c r="L467" s="39" t="str">
        <f t="array" ref="L467">INDEX('MTA 28-09'!S:S,MATCH(B467,'MTA 28-09'!A:A,0))</f>
        <v>APOIO</v>
      </c>
      <c r="M467" s="32" t="str">
        <f t="array" ref="M467">INDEX('MTA 28-09'!T:T,MATCH(B467,'MTA 28-09'!A:A,0))</f>
        <v>CTT XXX/GAPLS-PAMALS/2026 – Gestão de Frota</v>
      </c>
      <c r="N467" s="32" t="str">
        <f t="array" ref="N467">INDEX('MTA 28-09'!U:U,MATCH(B467,'MTA 28-09'!A:A,0))</f>
        <v>Serviço de Reparo 3/4</v>
      </c>
      <c r="O467" s="59">
        <f t="array" ref="O467">INDEX('MTA 28-09'!AC:AC,MATCH(B467,'MTA 28-09'!A:A,0))</f>
        <v>10800</v>
      </c>
      <c r="P467" s="32" t="str">
        <f t="array" ref="P467">INDEX('MTA 28-09'!N:N,MATCH(B467,'MTA 28-09'!A:A,0))</f>
        <v>GAP-LS</v>
      </c>
      <c r="Q467" s="67" t="str">
        <f t="array" ref="Q467">INDEX('MTA 28-09'!Z:Z,MATCH(B467,'MTA 28-09'!A:A,0))</f>
        <v>339039</v>
      </c>
      <c r="R467" s="32" t="str">
        <f t="array" ref="R467">INDEX('MTA 28-09'!L:L,MATCH(B467,'MTA 28-09'!A:A,0))</f>
        <v>C</v>
      </c>
      <c r="S467" s="72" t="str">
        <f t="array" ref="S467">INDEX('MTA 28-09'!X:X,MATCH(B467,'MTA 28-09'!A:A,0))</f>
        <v>SOB DEMANDA</v>
      </c>
      <c r="T467" s="72" t="str">
        <f t="array" ref="T467">INDEX('MTA 28-09'!W:W,MATCH(B467,'MTA 28-09'!A:A,0))</f>
        <v>NÃO</v>
      </c>
      <c r="U467" s="81">
        <f t="array" ref="U467">INDEX('MTA 28-09'!AE:AE,MATCH(B467,'MTA 28-09'!A:A,0))</f>
        <v>46352</v>
      </c>
      <c r="V467" s="12"/>
      <c r="W467" s="12"/>
      <c r="X467" s="12"/>
      <c r="Y467" s="12"/>
      <c r="Z467" s="12"/>
      <c r="AA467" s="12"/>
      <c r="AB467" s="12"/>
      <c r="AC467" s="12"/>
      <c r="AD467" s="12"/>
      <c r="AE467" s="12"/>
      <c r="AF467" s="12"/>
      <c r="AG467" s="12"/>
      <c r="AH467" s="12"/>
      <c r="AI467" s="12"/>
      <c r="AJ467" s="12"/>
      <c r="AK467" s="12"/>
      <c r="AL467" s="12"/>
      <c r="AM467" s="12"/>
    </row>
    <row r="468">
      <c r="A468" s="88" t="s">
        <v>1573</v>
      </c>
      <c r="B468" s="98">
        <v>17620.0</v>
      </c>
      <c r="C468" s="92" t="str">
        <f t="array" ref="C468">INDEX('MTA 28-09'!B:B,MATCH(B468,'MTA 28-09'!A:A,0))</f>
        <v>NÃO</v>
      </c>
      <c r="D468" s="95" t="str">
        <f t="array" ref="D468">INDEX('MTA 28-09'!D:D,MATCH(B468,'MTA 28-09'!A:A,0))</f>
        <v/>
      </c>
      <c r="E468" s="98" t="str">
        <f t="array" ref="E468">INDEX('MTA 28-09'!F:F,MATCH(B468,'MTA 28-09'!A:A,0))</f>
        <v/>
      </c>
      <c r="F468" s="144" t="str">
        <f t="array" ref="F468">INDEX('MTA 28-09'!I:I,MATCH(B468,'MTA 28-09'!A:A,0))</f>
        <v/>
      </c>
      <c r="G468" s="100" t="str">
        <f t="array" ref="G468">INDEX('MTA 28-09'!J:J,MATCH(B468,'MTA 28-09'!A:A,0))</f>
        <v/>
      </c>
      <c r="H468" s="159" t="s">
        <v>157</v>
      </c>
      <c r="I468" s="296"/>
      <c r="J468" s="102"/>
      <c r="K468" s="103"/>
      <c r="L468" s="102" t="str">
        <f t="array" ref="L468">INDEX('MTA 28-09'!S:S,MATCH(B468,'MTA 28-09'!A:A,0))</f>
        <v>APOIO</v>
      </c>
      <c r="M468" s="98" t="str">
        <f t="array" ref="M468">INDEX('MTA 28-09'!T:T,MATCH(B468,'MTA 28-09'!A:A,0))</f>
        <v>CTT XXX/GAPLS-PAMALS/2026 – Gestão de Frota</v>
      </c>
      <c r="N468" s="98" t="str">
        <f t="array" ref="N468">INDEX('MTA 28-09'!U:U,MATCH(B468,'MTA 28-09'!A:A,0))</f>
        <v>Serviço de Reparo 3/4</v>
      </c>
      <c r="O468" s="104">
        <f t="array" ref="O468">INDEX('MTA 28-09'!AC:AC,MATCH(B468,'MTA 28-09'!A:A,0))</f>
        <v>21600</v>
      </c>
      <c r="P468" s="98" t="str">
        <f t="array" ref="P468">INDEX('MTA 28-09'!N:N,MATCH(B468,'MTA 28-09'!A:A,0))</f>
        <v>GAP-LS</v>
      </c>
      <c r="Q468" s="105" t="str">
        <f t="array" ref="Q468">INDEX('MTA 28-09'!Z:Z,MATCH(B468,'MTA 28-09'!A:A,0))</f>
        <v>339039</v>
      </c>
      <c r="R468" s="98" t="str">
        <f t="array" ref="R468">INDEX('MTA 28-09'!L:L,MATCH(B468,'MTA 28-09'!A:A,0))</f>
        <v>C</v>
      </c>
      <c r="S468" s="107" t="str">
        <f t="array" ref="S468">INDEX('MTA 28-09'!X:X,MATCH(B468,'MTA 28-09'!A:A,0))</f>
        <v>SOB DEMANDA</v>
      </c>
      <c r="T468" s="107" t="str">
        <f t="array" ref="T468">INDEX('MTA 28-09'!W:W,MATCH(B468,'MTA 28-09'!A:A,0))</f>
        <v>NÃO</v>
      </c>
      <c r="U468" s="109">
        <f t="array" ref="U468">INDEX('MTA 28-09'!AE:AE,MATCH(B468,'MTA 28-09'!A:A,0))</f>
        <v>46352</v>
      </c>
      <c r="V468" s="29"/>
      <c r="W468" s="29"/>
      <c r="X468" s="29"/>
      <c r="Y468" s="29"/>
      <c r="Z468" s="29"/>
      <c r="AA468" s="29"/>
      <c r="AB468" s="29"/>
      <c r="AC468" s="29"/>
      <c r="AD468" s="29"/>
      <c r="AE468" s="29"/>
      <c r="AF468" s="29"/>
      <c r="AG468" s="29"/>
      <c r="AH468" s="29"/>
      <c r="AI468" s="29"/>
      <c r="AJ468" s="29"/>
      <c r="AK468" s="29"/>
      <c r="AL468" s="29"/>
      <c r="AM468" s="29"/>
    </row>
    <row r="469">
      <c r="A469" s="31" t="s">
        <v>39</v>
      </c>
      <c r="B469" s="32">
        <v>17640.0</v>
      </c>
      <c r="C469" s="33" t="str">
        <f t="array" ref="C469">INDEX('MTA 28-09'!B:B,MATCH(B469,'MTA 28-09'!A:A,0))</f>
        <v>SIM</v>
      </c>
      <c r="D469" s="34">
        <f t="array" ref="D469">INDEX('MTA 28-09'!D:D,MATCH(B469,'MTA 28-09'!A:A,0))</f>
        <v>2048</v>
      </c>
      <c r="E469" s="32" t="str">
        <f t="array" ref="E469">INDEX('MTA 28-09'!F:F,MATCH(B469,'MTA 28-09'!A:A,0))</f>
        <v>ATENDER</v>
      </c>
      <c r="F469" s="35" t="str">
        <f t="array" ref="F469">INDEX('MTA 28-09'!I:I,MATCH(B469,'MTA 28-09'!A:A,0))</f>
        <v/>
      </c>
      <c r="G469" s="36" t="str">
        <f t="array" ref="G469">INDEX('MTA 28-09'!J:J,MATCH(B469,'MTA 28-09'!A:A,0))</f>
        <v/>
      </c>
      <c r="H469" s="287">
        <v>46276.0</v>
      </c>
      <c r="I469" s="38" t="s">
        <v>293</v>
      </c>
      <c r="J469" s="39"/>
      <c r="K469" s="40"/>
      <c r="L469" s="39" t="str">
        <f t="array" ref="L469">INDEX('MTA 28-09'!S:S,MATCH(B469,'MTA 28-09'!A:A,0))</f>
        <v>A-29</v>
      </c>
      <c r="M469" s="32" t="str">
        <f t="array" ref="M469">INDEX('MTA 28-09'!T:T,MATCH(B469,'MTA 28-09'!A:A,0))</f>
        <v>CTT 102/CELOG-PAMALS/2023 – EMBRAER - PSLI</v>
      </c>
      <c r="N469" s="32" t="str">
        <f t="array" ref="N469">INDEX('MTA 28-09'!U:U,MATCH(B469,'MTA 28-09'!A:A,0))</f>
        <v>Parcela Fixa 10/12</v>
      </c>
      <c r="O469" s="59">
        <f t="array" ref="O469">INDEX('MTA 28-09'!AC:AC,MATCH(B469,'MTA 28-09'!A:A,0))</f>
        <v>2310000</v>
      </c>
      <c r="P469" s="32" t="str">
        <f t="array" ref="P469">INDEX('MTA 28-09'!N:N,MATCH(B469,'MTA 28-09'!A:A,0))</f>
        <v>CELOG</v>
      </c>
      <c r="Q469" s="67" t="str">
        <f t="array" ref="Q469">INDEX('MTA 28-09'!Z:Z,MATCH(B469,'MTA 28-09'!A:A,0))</f>
        <v>339039</v>
      </c>
      <c r="R469" s="32" t="str">
        <f t="array" ref="R469">INDEX('MTA 28-09'!L:L,MATCH(B469,'MTA 28-09'!A:A,0))</f>
        <v>A</v>
      </c>
      <c r="S469" s="72" t="str">
        <f t="array" ref="S469">INDEX('MTA 28-09'!X:X,MATCH(B469,'MTA 28-09'!A:A,0))</f>
        <v>PARCELA FIXA</v>
      </c>
      <c r="T469" s="72" t="str">
        <f t="array" ref="T469">INDEX('MTA 28-09'!W:W,MATCH(B469,'MTA 28-09'!A:A,0))</f>
        <v>Não</v>
      </c>
      <c r="U469" s="81">
        <f t="array" ref="U469">INDEX('MTA 28-09'!AE:AE,MATCH(B469,'MTA 28-09'!A:A,0))</f>
        <v>46382</v>
      </c>
      <c r="V469" s="12"/>
      <c r="W469" s="12"/>
      <c r="X469" s="12"/>
      <c r="Y469" s="12"/>
      <c r="Z469" s="12"/>
      <c r="AA469" s="12"/>
      <c r="AB469" s="12"/>
      <c r="AC469" s="12"/>
      <c r="AD469" s="12"/>
      <c r="AE469" s="12"/>
      <c r="AF469" s="12"/>
      <c r="AG469" s="12"/>
      <c r="AH469" s="12"/>
      <c r="AI469" s="12"/>
      <c r="AJ469" s="12"/>
      <c r="AK469" s="12"/>
      <c r="AL469" s="12"/>
      <c r="AM469" s="12"/>
    </row>
    <row r="470">
      <c r="A470" s="88" t="s">
        <v>44</v>
      </c>
      <c r="B470" s="98">
        <v>17660.0</v>
      </c>
      <c r="C470" s="92" t="str">
        <f t="array" ref="C470">INDEX('MTA 28-09'!B:B,MATCH(B470,'MTA 28-09'!A:A,0))</f>
        <v>SIM</v>
      </c>
      <c r="D470" s="95">
        <f t="array" ref="D470">INDEX('MTA 28-09'!D:D,MATCH(B470,'MTA 28-09'!A:A,0))</f>
        <v>2048</v>
      </c>
      <c r="E470" s="98" t="str">
        <f t="array" ref="E470">INDEX('MTA 28-09'!F:F,MATCH(B470,'MTA 28-09'!A:A,0))</f>
        <v>CANCELADO</v>
      </c>
      <c r="F470" s="289" t="str">
        <f t="array" ref="F470">INDEX('MTA 28-09'!I:I,MATCH(B470,'MTA 28-09'!A:A,0))</f>
        <v/>
      </c>
      <c r="G470" s="100" t="str">
        <f t="array" ref="G470">INDEX('MTA 28-09'!J:J,MATCH(B470,'MTA 28-09'!A:A,0))</f>
        <v>C26110</v>
      </c>
      <c r="H470" s="101" t="s">
        <v>1451</v>
      </c>
      <c r="I470" s="90" t="s">
        <v>1595</v>
      </c>
      <c r="J470" s="102"/>
      <c r="K470" s="103"/>
      <c r="L470" s="102" t="str">
        <f t="array" ref="L470">INDEX('MTA 28-09'!S:S,MATCH(B470,'MTA 28-09'!A:A,0))</f>
        <v>C-97</v>
      </c>
      <c r="M470" s="98" t="str">
        <f t="array" ref="M470">INDEX('MTA 28-09'!T:T,MATCH(B470,'MTA 28-09'!A:A,0))</f>
        <v>CTT 096/CAE-PAMALS/2021 - CLS C-97</v>
      </c>
      <c r="N470" s="98" t="str">
        <f t="array" ref="N470">INDEX('MTA 28-09'!U:U,MATCH(B470,'MTA 28-09'!A:A,0))</f>
        <v>Hora de Voo 07/09 (500HV)</v>
      </c>
      <c r="O470" s="104" t="str">
        <f t="array" ref="O470">INDEX('MTA 28-09'!AC:AC,MATCH(B470,'MTA 28-09'!A:A,0))</f>
        <v> -</v>
      </c>
      <c r="P470" s="98" t="str">
        <f t="array" ref="P470">INDEX('MTA 28-09'!N:N,MATCH(B470,'MTA 28-09'!A:A,0))</f>
        <v>CELOG</v>
      </c>
      <c r="Q470" s="105" t="str">
        <f t="array" ref="Q470">INDEX('MTA 28-09'!Z:Z,MATCH(B470,'MTA 28-09'!A:A,0))</f>
        <v>339039</v>
      </c>
      <c r="R470" s="98" t="str">
        <f t="array" ref="R470">INDEX('MTA 28-09'!L:L,MATCH(B470,'MTA 28-09'!A:A,0))</f>
        <v>A</v>
      </c>
      <c r="S470" s="107" t="str">
        <f t="array" ref="S470">INDEX('MTA 28-09'!X:X,MATCH(B470,'MTA 28-09'!A:A,0))</f>
        <v>HORA DE VOO</v>
      </c>
      <c r="T470" s="107" t="str">
        <f t="array" ref="T470">INDEX('MTA 28-09'!W:W,MATCH(B470,'MTA 28-09'!A:A,0))</f>
        <v>Não</v>
      </c>
      <c r="U470" s="109">
        <f t="array" ref="U470">INDEX('MTA 28-09'!AE:AE,MATCH(B470,'MTA 28-09'!A:A,0))</f>
        <v>46321</v>
      </c>
      <c r="V470" s="29"/>
      <c r="W470" s="29"/>
      <c r="X470" s="29"/>
      <c r="Y470" s="29"/>
      <c r="Z470" s="29"/>
      <c r="AA470" s="29"/>
      <c r="AB470" s="29"/>
      <c r="AC470" s="29"/>
      <c r="AD470" s="29"/>
      <c r="AE470" s="29"/>
      <c r="AF470" s="29"/>
      <c r="AG470" s="29"/>
      <c r="AH470" s="29"/>
      <c r="AI470" s="29"/>
      <c r="AJ470" s="29"/>
      <c r="AK470" s="29"/>
      <c r="AL470" s="29"/>
      <c r="AM470" s="29"/>
    </row>
    <row r="471">
      <c r="A471" s="31" t="s">
        <v>44</v>
      </c>
      <c r="B471" s="38">
        <v>17661.0</v>
      </c>
      <c r="C471" s="33" t="str">
        <f t="array" ref="C471">INDEX('MTA 28-09'!B:B,MATCH(B471,'MTA 28-09'!A:A,0))</f>
        <v>SIM</v>
      </c>
      <c r="D471" s="34">
        <f t="array" ref="D471">INDEX('MTA 28-09'!D:D,MATCH(B471,'MTA 28-09'!A:A,0))</f>
        <v>2048</v>
      </c>
      <c r="E471" s="32" t="str">
        <f t="array" ref="E471">INDEX('MTA 28-09'!F:F,MATCH(B471,'MTA 28-09'!A:A,0))</f>
        <v>CANCELADO</v>
      </c>
      <c r="F471" s="137" t="str">
        <f t="array" ref="F471">INDEX('MTA 28-09'!I:I,MATCH(B471,'MTA 28-09'!A:A,0))</f>
        <v/>
      </c>
      <c r="G471" s="36" t="str">
        <f t="array" ref="G471">INDEX('MTA 28-09'!J:J,MATCH(B471,'MTA 28-09'!A:A,0))</f>
        <v>C26079</v>
      </c>
      <c r="H471" s="287" t="s">
        <v>157</v>
      </c>
      <c r="I471" s="38"/>
      <c r="J471" s="39"/>
      <c r="K471" s="40"/>
      <c r="L471" s="39" t="str">
        <f t="array" ref="L471">INDEX('MTA 28-09'!S:S,MATCH(B471,'MTA 28-09'!A:A,0))</f>
        <v>C-97</v>
      </c>
      <c r="M471" s="32" t="str">
        <f t="array" ref="M471">INDEX('MTA 28-09'!T:T,MATCH(B471,'MTA 28-09'!A:A,0))</f>
        <v>CTT 096/CAE-PAMALS/2021 - CLS C-97</v>
      </c>
      <c r="N471" s="32" t="str">
        <f t="array" ref="N471">INDEX('MTA 28-09'!U:U,MATCH(B471,'MTA 28-09'!A:A,0))</f>
        <v>Hora de Voo 07/09 (500HV)</v>
      </c>
      <c r="O471" s="59" t="str">
        <f t="array" ref="O471">INDEX('MTA 28-09'!AC:AC,MATCH(B471,'MTA 28-09'!A:A,0))</f>
        <v> -</v>
      </c>
      <c r="P471" s="32" t="str">
        <f t="array" ref="P471">INDEX('MTA 28-09'!N:N,MATCH(B471,'MTA 28-09'!A:A,0))</f>
        <v>CELOG</v>
      </c>
      <c r="Q471" s="67" t="str">
        <f t="array" ref="Q471">INDEX('MTA 28-09'!Z:Z,MATCH(B471,'MTA 28-09'!A:A,0))</f>
        <v>339039</v>
      </c>
      <c r="R471" s="32" t="str">
        <f t="array" ref="R471">INDEX('MTA 28-09'!L:L,MATCH(B471,'MTA 28-09'!A:A,0))</f>
        <v>A</v>
      </c>
      <c r="S471" s="72" t="str">
        <f t="array" ref="S471">INDEX('MTA 28-09'!X:X,MATCH(B471,'MTA 28-09'!A:A,0))</f>
        <v>HORA DE VOO</v>
      </c>
      <c r="T471" s="72" t="str">
        <f t="array" ref="T471">INDEX('MTA 28-09'!W:W,MATCH(B471,'MTA 28-09'!A:A,0))</f>
        <v>Não</v>
      </c>
      <c r="U471" s="81">
        <f t="array" ref="U471">INDEX('MTA 28-09'!AE:AE,MATCH(B471,'MTA 28-09'!A:A,0))</f>
        <v>46321</v>
      </c>
      <c r="V471" s="12"/>
      <c r="W471" s="12"/>
      <c r="X471" s="12"/>
      <c r="Y471" s="12"/>
      <c r="Z471" s="12"/>
      <c r="AA471" s="12"/>
      <c r="AB471" s="12"/>
      <c r="AC471" s="12"/>
      <c r="AD471" s="12"/>
      <c r="AE471" s="12"/>
      <c r="AF471" s="12"/>
      <c r="AG471" s="12"/>
      <c r="AH471" s="12"/>
      <c r="AI471" s="12"/>
      <c r="AJ471" s="12"/>
      <c r="AK471" s="12"/>
      <c r="AL471" s="12"/>
      <c r="AM471" s="12"/>
    </row>
    <row r="472">
      <c r="A472" s="88" t="s">
        <v>44</v>
      </c>
      <c r="B472" s="90">
        <v>17662.0</v>
      </c>
      <c r="C472" s="92" t="str">
        <f t="array" ref="C472">INDEX('MTA 28-09'!B:B,MATCH(B472,'MTA 28-09'!A:A,0))</f>
        <v>SIM</v>
      </c>
      <c r="D472" s="95">
        <f t="array" ref="D472">INDEX('MTA 28-09'!D:D,MATCH(B472,'MTA 28-09'!A:A,0))</f>
        <v>2048</v>
      </c>
      <c r="E472" s="98" t="str">
        <f t="array" ref="E472">INDEX('MTA 28-09'!F:F,MATCH(B472,'MTA 28-09'!A:A,0))</f>
        <v>CANCELADO</v>
      </c>
      <c r="F472" s="152" t="str">
        <f t="array" ref="F472">INDEX('MTA 28-09'!I:I,MATCH(B472,'MTA 28-09'!A:A,0))</f>
        <v/>
      </c>
      <c r="G472" s="100" t="str">
        <f t="array" ref="G472">INDEX('MTA 28-09'!J:J,MATCH(B472,'MTA 28-09'!A:A,0))</f>
        <v/>
      </c>
      <c r="H472" s="153">
        <v>46276.0</v>
      </c>
      <c r="I472" s="154" t="s">
        <v>1596</v>
      </c>
      <c r="J472" s="102"/>
      <c r="K472" s="103"/>
      <c r="L472" s="102" t="str">
        <f t="array" ref="L472">INDEX('MTA 28-09'!S:S,MATCH(B472,'MTA 28-09'!A:A,0))</f>
        <v>C-97</v>
      </c>
      <c r="M472" s="98" t="str">
        <f t="array" ref="M472">INDEX('MTA 28-09'!T:T,MATCH(B472,'MTA 28-09'!A:A,0))</f>
        <v>CTT 096/CAE-PAMALS/2021 - CLS C-97</v>
      </c>
      <c r="N472" s="98" t="str">
        <f t="array" ref="N472">INDEX('MTA 28-09'!U:U,MATCH(B472,'MTA 28-09'!A:A,0))</f>
        <v>Hora de Voo 07/09 (500HV)</v>
      </c>
      <c r="O472" s="104" t="str">
        <f t="array" ref="O472">INDEX('MTA 28-09'!AC:AC,MATCH(B472,'MTA 28-09'!A:A,0))</f>
        <v> -</v>
      </c>
      <c r="P472" s="98" t="str">
        <f t="array" ref="P472">INDEX('MTA 28-09'!N:N,MATCH(B472,'MTA 28-09'!A:A,0))</f>
        <v>CELOG</v>
      </c>
      <c r="Q472" s="105" t="str">
        <f t="array" ref="Q472">INDEX('MTA 28-09'!Z:Z,MATCH(B472,'MTA 28-09'!A:A,0))</f>
        <v>339039</v>
      </c>
      <c r="R472" s="98" t="str">
        <f t="array" ref="R472">INDEX('MTA 28-09'!L:L,MATCH(B472,'MTA 28-09'!A:A,0))</f>
        <v>A</v>
      </c>
      <c r="S472" s="107" t="str">
        <f t="array" ref="S472">INDEX('MTA 28-09'!X:X,MATCH(B472,'MTA 28-09'!A:A,0))</f>
        <v>HORA DE VOO</v>
      </c>
      <c r="T472" s="107" t="str">
        <f t="array" ref="T472">INDEX('MTA 28-09'!W:W,MATCH(B472,'MTA 28-09'!A:A,0))</f>
        <v>Não</v>
      </c>
      <c r="U472" s="109">
        <f t="array" ref="U472">INDEX('MTA 28-09'!AE:AE,MATCH(B472,'MTA 28-09'!A:A,0))</f>
        <v>46321</v>
      </c>
      <c r="V472" s="29"/>
      <c r="W472" s="29"/>
      <c r="X472" s="29"/>
      <c r="Y472" s="29"/>
      <c r="Z472" s="29"/>
      <c r="AA472" s="29"/>
      <c r="AB472" s="29"/>
      <c r="AC472" s="29"/>
      <c r="AD472" s="29"/>
      <c r="AE472" s="29"/>
      <c r="AF472" s="29"/>
      <c r="AG472" s="29"/>
      <c r="AH472" s="29"/>
      <c r="AI472" s="29"/>
      <c r="AJ472" s="29"/>
      <c r="AK472" s="29"/>
      <c r="AL472" s="29"/>
      <c r="AM472" s="29"/>
    </row>
    <row r="473">
      <c r="A473" s="31" t="s">
        <v>44</v>
      </c>
      <c r="B473" s="38">
        <v>17663.0</v>
      </c>
      <c r="C473" s="33" t="str">
        <f t="array" ref="C473">INDEX('MTA 28-09'!B:B,MATCH(B473,'MTA 28-09'!A:A,0))</f>
        <v>SIM</v>
      </c>
      <c r="D473" s="34">
        <f t="array" ref="D473">INDEX('MTA 28-09'!D:D,MATCH(B473,'MTA 28-09'!A:A,0))</f>
        <v>2048</v>
      </c>
      <c r="E473" s="32" t="str">
        <f t="array" ref="E473">INDEX('MTA 28-09'!F:F,MATCH(B473,'MTA 28-09'!A:A,0))</f>
        <v>CANCELADO</v>
      </c>
      <c r="F473" s="155" t="str">
        <f t="array" ref="F473">INDEX('MTA 28-09'!I:I,MATCH(B473,'MTA 28-09'!A:A,0))</f>
        <v/>
      </c>
      <c r="G473" s="36" t="str">
        <f t="array" ref="G473">INDEX('MTA 28-09'!J:J,MATCH(B473,'MTA 28-09'!A:A,0))</f>
        <v>C26079</v>
      </c>
      <c r="H473" s="287" t="s">
        <v>157</v>
      </c>
      <c r="I473" s="38"/>
      <c r="J473" s="39"/>
      <c r="K473" s="40"/>
      <c r="L473" s="39" t="str">
        <f t="array" ref="L473">INDEX('MTA 28-09'!S:S,MATCH(B473,'MTA 28-09'!A:A,0))</f>
        <v>C-97</v>
      </c>
      <c r="M473" s="32" t="str">
        <f t="array" ref="M473">INDEX('MTA 28-09'!T:T,MATCH(B473,'MTA 28-09'!A:A,0))</f>
        <v>CTT 096/CAE-PAMALS/2021 - CLS C-97</v>
      </c>
      <c r="N473" s="32" t="str">
        <f t="array" ref="N473">INDEX('MTA 28-09'!U:U,MATCH(B473,'MTA 28-09'!A:A,0))</f>
        <v>Hora de Voo 07/09 (500HV)</v>
      </c>
      <c r="O473" s="59" t="str">
        <f t="array" ref="O473">INDEX('MTA 28-09'!AC:AC,MATCH(B473,'MTA 28-09'!A:A,0))</f>
        <v> -</v>
      </c>
      <c r="P473" s="32" t="str">
        <f t="array" ref="P473">INDEX('MTA 28-09'!N:N,MATCH(B473,'MTA 28-09'!A:A,0))</f>
        <v>CELOG</v>
      </c>
      <c r="Q473" s="67" t="str">
        <f t="array" ref="Q473">INDEX('MTA 28-09'!Z:Z,MATCH(B473,'MTA 28-09'!A:A,0))</f>
        <v>339039</v>
      </c>
      <c r="R473" s="32" t="str">
        <f t="array" ref="R473">INDEX('MTA 28-09'!L:L,MATCH(B473,'MTA 28-09'!A:A,0))</f>
        <v>A</v>
      </c>
      <c r="S473" s="72" t="str">
        <f t="array" ref="S473">INDEX('MTA 28-09'!X:X,MATCH(B473,'MTA 28-09'!A:A,0))</f>
        <v>HORA DE VOO</v>
      </c>
      <c r="T473" s="72" t="str">
        <f t="array" ref="T473">INDEX('MTA 28-09'!W:W,MATCH(B473,'MTA 28-09'!A:A,0))</f>
        <v>Não</v>
      </c>
      <c r="U473" s="81">
        <f t="array" ref="U473">INDEX('MTA 28-09'!AE:AE,MATCH(B473,'MTA 28-09'!A:A,0))</f>
        <v>46321</v>
      </c>
      <c r="V473" s="12"/>
      <c r="W473" s="12"/>
      <c r="X473" s="12"/>
      <c r="Y473" s="12"/>
      <c r="Z473" s="12"/>
      <c r="AA473" s="12"/>
      <c r="AB473" s="12"/>
      <c r="AC473" s="12"/>
      <c r="AD473" s="12"/>
      <c r="AE473" s="12"/>
      <c r="AF473" s="12"/>
      <c r="AG473" s="12"/>
      <c r="AH473" s="12"/>
      <c r="AI473" s="12"/>
      <c r="AJ473" s="12"/>
      <c r="AK473" s="12"/>
      <c r="AL473" s="12"/>
      <c r="AM473" s="12"/>
    </row>
    <row r="474">
      <c r="A474" s="88" t="s">
        <v>39</v>
      </c>
      <c r="B474" s="98">
        <v>17680.0</v>
      </c>
      <c r="C474" s="92" t="str">
        <f t="array" ref="C474">INDEX('MTA 28-09'!B:B,MATCH(B474,'MTA 28-09'!A:A,0))</f>
        <v>SIM</v>
      </c>
      <c r="D474" s="95">
        <f t="array" ref="D474">INDEX('MTA 28-09'!D:D,MATCH(B474,'MTA 28-09'!A:A,0))</f>
        <v>2048</v>
      </c>
      <c r="E474" s="98" t="str">
        <f t="array" ref="E474">INDEX('MTA 28-09'!F:F,MATCH(B474,'MTA 28-09'!A:A,0))</f>
        <v>ATENDIDO</v>
      </c>
      <c r="F474" s="144">
        <f t="array" ref="F474">INDEX('MTA 28-09'!I:I,MATCH(B474,'MTA 28-09'!A:A,0))</f>
        <v>46265</v>
      </c>
      <c r="G474" s="100" t="str">
        <f t="array" ref="G474">INDEX('MTA 28-09'!J:J,MATCH(B474,'MTA 28-09'!A:A,0))</f>
        <v>C26344</v>
      </c>
      <c r="H474" s="101" t="s">
        <v>1451</v>
      </c>
      <c r="I474" s="90"/>
      <c r="J474" s="102"/>
      <c r="K474" s="103"/>
      <c r="L474" s="102" t="str">
        <f t="array" ref="L474">INDEX('MTA 28-09'!S:S,MATCH(B474,'MTA 28-09'!A:A,0))</f>
        <v>A-29</v>
      </c>
      <c r="M474" s="98" t="str">
        <f t="array" ref="M474">INDEX('MTA 28-09'!T:T,MATCH(B474,'MTA 28-09'!A:A,0))</f>
        <v>CNT 040/CELOG-PAMALS/2022 - AEL - CLS AVIONICO</v>
      </c>
      <c r="N474" s="98" t="str">
        <f t="array" ref="N474">INDEX('MTA 28-09'!U:U,MATCH(B474,'MTA 28-09'!A:A,0))</f>
        <v>Hora de Voo 09/10 - 1000 HV</v>
      </c>
      <c r="O474" s="104">
        <f t="array" ref="O474">INDEX('MTA 28-09'!AC:AC,MATCH(B474,'MTA 28-09'!A:A,0))</f>
        <v>1057110</v>
      </c>
      <c r="P474" s="98" t="str">
        <f t="array" ref="P474">INDEX('MTA 28-09'!N:N,MATCH(B474,'MTA 28-09'!A:A,0))</f>
        <v>CELOG</v>
      </c>
      <c r="Q474" s="105" t="str">
        <f t="array" ref="Q474">INDEX('MTA 28-09'!Z:Z,MATCH(B474,'MTA 28-09'!A:A,0))</f>
        <v>339039</v>
      </c>
      <c r="R474" s="98" t="str">
        <f t="array" ref="R474">INDEX('MTA 28-09'!L:L,MATCH(B474,'MTA 28-09'!A:A,0))</f>
        <v>A</v>
      </c>
      <c r="S474" s="107" t="str">
        <f t="array" ref="S474">INDEX('MTA 28-09'!X:X,MATCH(B474,'MTA 28-09'!A:A,0))</f>
        <v>HORA DE VOO</v>
      </c>
      <c r="T474" s="107" t="str">
        <f t="array" ref="T474">INDEX('MTA 28-09'!W:W,MATCH(B474,'MTA 28-09'!A:A,0))</f>
        <v>Não</v>
      </c>
      <c r="U474" s="109">
        <f t="array" ref="U474">INDEX('MTA 28-09'!AE:AE,MATCH(B474,'MTA 28-09'!A:A,0))</f>
        <v>46352</v>
      </c>
      <c r="V474" s="29"/>
      <c r="W474" s="29"/>
      <c r="X474" s="29"/>
      <c r="Y474" s="29"/>
      <c r="Z474" s="29"/>
      <c r="AA474" s="29"/>
      <c r="AB474" s="29"/>
      <c r="AC474" s="29"/>
      <c r="AD474" s="29"/>
      <c r="AE474" s="29"/>
      <c r="AF474" s="29"/>
      <c r="AG474" s="29"/>
      <c r="AH474" s="29"/>
      <c r="AI474" s="29"/>
      <c r="AJ474" s="29"/>
      <c r="AK474" s="29"/>
      <c r="AL474" s="29"/>
      <c r="AM474" s="29"/>
    </row>
    <row r="475">
      <c r="A475" s="31" t="s">
        <v>39</v>
      </c>
      <c r="B475" s="32">
        <v>17700.0</v>
      </c>
      <c r="C475" s="33" t="str">
        <f t="array" ref="C475">INDEX('MTA 28-09'!B:B,MATCH(B475,'MTA 28-09'!A:A,0))</f>
        <v>SIM</v>
      </c>
      <c r="D475" s="34">
        <f t="array" ref="D475">INDEX('MTA 28-09'!D:D,MATCH(B475,'MTA 28-09'!A:A,0))</f>
        <v>2048</v>
      </c>
      <c r="E475" s="32" t="str">
        <f t="array" ref="E475">INDEX('MTA 28-09'!F:F,MATCH(B475,'MTA 28-09'!A:A,0))</f>
        <v>ATENDER</v>
      </c>
      <c r="F475" s="155" t="str">
        <f t="array" ref="F475">INDEX('MTA 28-09'!I:I,MATCH(B475,'MTA 28-09'!A:A,0))</f>
        <v/>
      </c>
      <c r="G475" s="36" t="str">
        <f t="array" ref="G475">INDEX('MTA 28-09'!J:J,MATCH(B475,'MTA 28-09'!A:A,0))</f>
        <v/>
      </c>
      <c r="H475" s="37" t="s">
        <v>1451</v>
      </c>
      <c r="I475" s="38" t="s">
        <v>1597</v>
      </c>
      <c r="J475" s="39"/>
      <c r="K475" s="40"/>
      <c r="L475" s="39" t="str">
        <f t="array" ref="L475">INDEX('MTA 28-09'!S:S,MATCH(B475,'MTA 28-09'!A:A,0))</f>
        <v>A-29</v>
      </c>
      <c r="M475" s="32" t="str">
        <f t="array" ref="M475">INDEX('MTA 28-09'!T:T,MATCH(B475,'MTA 28-09'!A:A,0))</f>
        <v>CTT 102/CELOG-PAMALS/2023 – EMBRAER - PSLI</v>
      </c>
      <c r="N475" s="32" t="str">
        <f t="array" ref="N475">INDEX('MTA 28-09'!U:U,MATCH(B475,'MTA 28-09'!A:A,0))</f>
        <v>Hora de Voo 08/10 - 1000 HV</v>
      </c>
      <c r="O475" s="59">
        <f t="array" ref="O475">INDEX('MTA 28-09'!AC:AC,MATCH(B475,'MTA 28-09'!A:A,0))</f>
        <v>4072680</v>
      </c>
      <c r="P475" s="32" t="str">
        <f t="array" ref="P475">INDEX('MTA 28-09'!N:N,MATCH(B475,'MTA 28-09'!A:A,0))</f>
        <v>CELOG</v>
      </c>
      <c r="Q475" s="67" t="str">
        <f t="array" ref="Q475">INDEX('MTA 28-09'!Z:Z,MATCH(B475,'MTA 28-09'!A:A,0))</f>
        <v>339039</v>
      </c>
      <c r="R475" s="32" t="str">
        <f t="array" ref="R475">INDEX('MTA 28-09'!L:L,MATCH(B475,'MTA 28-09'!A:A,0))</f>
        <v>A</v>
      </c>
      <c r="S475" s="72" t="str">
        <f t="array" ref="S475">INDEX('MTA 28-09'!X:X,MATCH(B475,'MTA 28-09'!A:A,0))</f>
        <v>HORA DE VOO</v>
      </c>
      <c r="T475" s="72" t="str">
        <f t="array" ref="T475">INDEX('MTA 28-09'!W:W,MATCH(B475,'MTA 28-09'!A:A,0))</f>
        <v>Não</v>
      </c>
      <c r="U475" s="81">
        <f t="array" ref="U475">INDEX('MTA 28-09'!AE:AE,MATCH(B475,'MTA 28-09'!A:A,0))</f>
        <v>46321</v>
      </c>
      <c r="V475" s="12"/>
      <c r="W475" s="12"/>
      <c r="X475" s="12"/>
      <c r="Y475" s="12"/>
      <c r="Z475" s="12"/>
      <c r="AA475" s="12"/>
      <c r="AB475" s="12"/>
      <c r="AC475" s="12"/>
      <c r="AD475" s="12"/>
      <c r="AE475" s="12"/>
      <c r="AF475" s="12"/>
      <c r="AG475" s="12"/>
      <c r="AH475" s="12"/>
      <c r="AI475" s="12"/>
      <c r="AJ475" s="12"/>
      <c r="AK475" s="12"/>
      <c r="AL475" s="12"/>
      <c r="AM475" s="12"/>
    </row>
    <row r="476">
      <c r="A476" s="88" t="s">
        <v>43</v>
      </c>
      <c r="B476" s="98">
        <v>17720.0</v>
      </c>
      <c r="C476" s="92" t="str">
        <f t="array" ref="C476">INDEX('MTA 28-09'!B:B,MATCH(B476,'MTA 28-09'!A:A,0))</f>
        <v>NÃO</v>
      </c>
      <c r="D476" s="95" t="str">
        <f t="array" ref="D476">INDEX('MTA 28-09'!D:D,MATCH(B476,'MTA 28-09'!A:A,0))</f>
        <v/>
      </c>
      <c r="E476" s="98" t="str">
        <f t="array" ref="E476">INDEX('MTA 28-09'!F:F,MATCH(B476,'MTA 28-09'!A:A,0))</f>
        <v/>
      </c>
      <c r="F476" s="152" t="str">
        <f t="array" ref="F476">INDEX('MTA 28-09'!I:I,MATCH(B476,'MTA 28-09'!A:A,0))</f>
        <v/>
      </c>
      <c r="G476" s="100" t="str">
        <f t="array" ref="G476">INDEX('MTA 28-09'!J:J,MATCH(B476,'MTA 28-09'!A:A,0))</f>
        <v/>
      </c>
      <c r="H476" s="159" t="s">
        <v>157</v>
      </c>
      <c r="I476" s="296"/>
      <c r="J476" s="102"/>
      <c r="K476" s="103"/>
      <c r="L476" s="102" t="str">
        <f t="array" ref="L476">INDEX('MTA 28-09'!S:S,MATCH(B476,'MTA 28-09'!A:A,0))</f>
        <v>C-95M</v>
      </c>
      <c r="M476" s="98" t="str">
        <f t="array" ref="M476">INDEX('MTA 28-09'!T:T,MATCH(B476,'MTA 28-09'!A:A,0))</f>
        <v>CTT 028/CELOG-PAMALS/2025 – CLS AVIÔNICOS</v>
      </c>
      <c r="N476" s="98" t="str">
        <f t="array" ref="N476">INDEX('MTA 28-09'!U:U,MATCH(B476,'MTA 28-09'!A:A,0))</f>
        <v>Hora de Voo 08/09 - 1000 HV</v>
      </c>
      <c r="O476" s="104">
        <f t="array" ref="O476">INDEX('MTA 28-09'!AC:AC,MATCH(B476,'MTA 28-09'!A:A,0))</f>
        <v>619070</v>
      </c>
      <c r="P476" s="98" t="str">
        <f t="array" ref="P476">INDEX('MTA 28-09'!N:N,MATCH(B476,'MTA 28-09'!A:A,0))</f>
        <v>CELOG</v>
      </c>
      <c r="Q476" s="105" t="str">
        <f t="array" ref="Q476">INDEX('MTA 28-09'!Z:Z,MATCH(B476,'MTA 28-09'!A:A,0))</f>
        <v>339039</v>
      </c>
      <c r="R476" s="98" t="str">
        <f t="array" ref="R476">INDEX('MTA 28-09'!L:L,MATCH(B476,'MTA 28-09'!A:A,0))</f>
        <v>C</v>
      </c>
      <c r="S476" s="107" t="str">
        <f t="array" ref="S476">INDEX('MTA 28-09'!X:X,MATCH(B476,'MTA 28-09'!A:A,0))</f>
        <v>HORA DE VOO</v>
      </c>
      <c r="T476" s="107" t="str">
        <f t="array" ref="T476">INDEX('MTA 28-09'!W:W,MATCH(B476,'MTA 28-09'!A:A,0))</f>
        <v>Não</v>
      </c>
      <c r="U476" s="109">
        <f t="array" ref="U476">INDEX('MTA 28-09'!AE:AE,MATCH(B476,'MTA 28-09'!A:A,0))</f>
        <v>46382</v>
      </c>
      <c r="V476" s="29"/>
      <c r="W476" s="29"/>
      <c r="X476" s="29"/>
      <c r="Y476" s="29"/>
      <c r="Z476" s="29"/>
      <c r="AA476" s="29"/>
      <c r="AB476" s="29"/>
      <c r="AC476" s="29"/>
      <c r="AD476" s="29"/>
      <c r="AE476" s="29"/>
      <c r="AF476" s="29"/>
      <c r="AG476" s="29"/>
      <c r="AH476" s="29"/>
      <c r="AI476" s="29"/>
      <c r="AJ476" s="29"/>
      <c r="AK476" s="29"/>
      <c r="AL476" s="29"/>
      <c r="AM476" s="29"/>
    </row>
    <row r="477">
      <c r="A477" s="31" t="s">
        <v>44</v>
      </c>
      <c r="B477" s="32">
        <v>17740.0</v>
      </c>
      <c r="C477" s="33" t="str">
        <f t="array" ref="C477">INDEX('MTA 28-09'!B:B,MATCH(B477,'MTA 28-09'!A:A,0))</f>
        <v>SIM</v>
      </c>
      <c r="D477" s="34">
        <f t="array" ref="D477">INDEX('MTA 28-09'!D:D,MATCH(B477,'MTA 28-09'!A:A,0))</f>
        <v>2048</v>
      </c>
      <c r="E477" s="32" t="str">
        <f t="array" ref="E477">INDEX('MTA 28-09'!F:F,MATCH(B477,'MTA 28-09'!A:A,0))</f>
        <v>CANCELADO</v>
      </c>
      <c r="F477" s="155" t="str">
        <f t="array" ref="F477">INDEX('MTA 28-09'!I:I,MATCH(B477,'MTA 28-09'!A:A,0))</f>
        <v/>
      </c>
      <c r="G477" s="36" t="str">
        <f t="array" ref="G477">INDEX('MTA 28-09'!J:J,MATCH(B477,'MTA 28-09'!A:A,0))</f>
        <v/>
      </c>
      <c r="H477" s="156">
        <v>46276.0</v>
      </c>
      <c r="I477" s="157" t="s">
        <v>1598</v>
      </c>
      <c r="J477" s="39"/>
      <c r="K477" s="40"/>
      <c r="L477" s="39" t="str">
        <f t="array" ref="L477">INDEX('MTA 28-09'!S:S,MATCH(B477,'MTA 28-09'!A:A,0))</f>
        <v>C-97</v>
      </c>
      <c r="M477" s="32" t="str">
        <f t="array" ref="M477">INDEX('MTA 28-09'!T:T,MATCH(B477,'MTA 28-09'!A:A,0))</f>
        <v>CTT 096/CAE-PAMALS/2021 - CLS C-97</v>
      </c>
      <c r="N477" s="32" t="str">
        <f t="array" ref="N477">INDEX('MTA 28-09'!U:U,MATCH(B477,'MTA 28-09'!A:A,0))</f>
        <v>Parcela Fixa 11/12</v>
      </c>
      <c r="O477" s="59" t="str">
        <f t="array" ref="O477">INDEX('MTA 28-09'!AC:AC,MATCH(B477,'MTA 28-09'!A:A,0))</f>
        <v> -</v>
      </c>
      <c r="P477" s="32" t="str">
        <f t="array" ref="P477">INDEX('MTA 28-09'!N:N,MATCH(B477,'MTA 28-09'!A:A,0))</f>
        <v>CELOG</v>
      </c>
      <c r="Q477" s="67" t="str">
        <f t="array" ref="Q477">INDEX('MTA 28-09'!Z:Z,MATCH(B477,'MTA 28-09'!A:A,0))</f>
        <v>339039</v>
      </c>
      <c r="R477" s="32" t="str">
        <f t="array" ref="R477">INDEX('MTA 28-09'!L:L,MATCH(B477,'MTA 28-09'!A:A,0))</f>
        <v>A</v>
      </c>
      <c r="S477" s="72" t="str">
        <f t="array" ref="S477">INDEX('MTA 28-09'!X:X,MATCH(B477,'MTA 28-09'!A:A,0))</f>
        <v>PARCELA FIXA</v>
      </c>
      <c r="T477" s="72" t="str">
        <f t="array" ref="T477">INDEX('MTA 28-09'!W:W,MATCH(B477,'MTA 28-09'!A:A,0))</f>
        <v>Não</v>
      </c>
      <c r="U477" s="81">
        <f t="array" ref="U477">INDEX('MTA 28-09'!AE:AE,MATCH(B477,'MTA 28-09'!A:A,0))</f>
        <v>46049</v>
      </c>
      <c r="V477" s="12"/>
      <c r="W477" s="12"/>
      <c r="X477" s="12"/>
      <c r="Y477" s="12"/>
      <c r="Z477" s="12"/>
      <c r="AA477" s="12"/>
      <c r="AB477" s="12"/>
      <c r="AC477" s="12"/>
      <c r="AD477" s="12"/>
      <c r="AE477" s="12"/>
      <c r="AF477" s="12"/>
      <c r="AG477" s="12"/>
      <c r="AH477" s="12"/>
      <c r="AI477" s="12"/>
      <c r="AJ477" s="12"/>
      <c r="AK477" s="12"/>
      <c r="AL477" s="12"/>
      <c r="AM477" s="12"/>
    </row>
    <row r="478">
      <c r="A478" s="88" t="s">
        <v>45</v>
      </c>
      <c r="B478" s="98">
        <v>17760.0</v>
      </c>
      <c r="C478" s="92" t="str">
        <f t="array" ref="C478">INDEX('MTA 28-09'!B:B,MATCH(B478,'MTA 28-09'!A:A,0))</f>
        <v>SIM</v>
      </c>
      <c r="D478" s="95">
        <f t="array" ref="D478">INDEX('MTA 28-09'!D:D,MATCH(B478,'MTA 28-09'!A:A,0))</f>
        <v>2048</v>
      </c>
      <c r="E478" s="98" t="str">
        <f t="array" ref="E478">INDEX('MTA 28-09'!F:F,MATCH(B478,'MTA 28-09'!A:A,0))</f>
        <v/>
      </c>
      <c r="F478" s="152" t="str">
        <f t="array" ref="F478">INDEX('MTA 28-09'!I:I,MATCH(B478,'MTA 28-09'!A:A,0))</f>
        <v/>
      </c>
      <c r="G478" s="100" t="str">
        <f t="array" ref="G478">INDEX('MTA 28-09'!J:J,MATCH(B478,'MTA 28-09'!A:A,0))</f>
        <v/>
      </c>
      <c r="H478" s="101" t="s">
        <v>1451</v>
      </c>
      <c r="I478" s="90" t="s">
        <v>1599</v>
      </c>
      <c r="J478" s="102"/>
      <c r="K478" s="103"/>
      <c r="L478" s="102" t="str">
        <f t="array" ref="L478">INDEX('MTA 28-09'!S:S,MATCH(B478,'MTA 28-09'!A:A,0))</f>
        <v>C-98</v>
      </c>
      <c r="M478" s="98" t="str">
        <f t="array" ref="M478">INDEX('MTA 28-09'!T:T,MATCH(B478,'MTA 28-09'!A:A,0))</f>
        <v>CNT 005/CELOG-PAMALS/2025 - VEE ONE</v>
      </c>
      <c r="N478" s="98" t="str">
        <f t="array" ref="N478">INDEX('MTA 28-09'!U:U,MATCH(B478,'MTA 28-09'!A:A,0))</f>
        <v>Hora de Voo 07/10 - 1000 HV</v>
      </c>
      <c r="O478" s="104">
        <f t="array" ref="O478">INDEX('MTA 28-09'!AC:AC,MATCH(B478,'MTA 28-09'!A:A,0))</f>
        <v>608623.25</v>
      </c>
      <c r="P478" s="98" t="str">
        <f t="array" ref="P478">INDEX('MTA 28-09'!N:N,MATCH(B478,'MTA 28-09'!A:A,0))</f>
        <v>CELOG</v>
      </c>
      <c r="Q478" s="105" t="str">
        <f t="array" ref="Q478">INDEX('MTA 28-09'!Z:Z,MATCH(B478,'MTA 28-09'!A:A,0))</f>
        <v>339039</v>
      </c>
      <c r="R478" s="98" t="str">
        <f t="array" ref="R478">INDEX('MTA 28-09'!L:L,MATCH(B478,'MTA 28-09'!A:A,0))</f>
        <v>A</v>
      </c>
      <c r="S478" s="107" t="str">
        <f t="array" ref="S478">INDEX('MTA 28-09'!X:X,MATCH(B478,'MTA 28-09'!A:A,0))</f>
        <v>HORA DE VOO</v>
      </c>
      <c r="T478" s="107" t="str">
        <f t="array" ref="T478">INDEX('MTA 28-09'!W:W,MATCH(B478,'MTA 28-09'!A:A,0))</f>
        <v>Não</v>
      </c>
      <c r="U478" s="109">
        <f t="array" ref="U478">INDEX('MTA 28-09'!AE:AE,MATCH(B478,'MTA 28-09'!A:A,0))</f>
        <v>46321</v>
      </c>
      <c r="V478" s="29"/>
      <c r="W478" s="29"/>
      <c r="X478" s="29"/>
      <c r="Y478" s="29"/>
      <c r="Z478" s="29"/>
      <c r="AA478" s="29"/>
      <c r="AB478" s="29"/>
      <c r="AC478" s="29"/>
      <c r="AD478" s="29"/>
      <c r="AE478" s="29"/>
      <c r="AF478" s="29"/>
      <c r="AG478" s="29"/>
      <c r="AH478" s="29"/>
      <c r="AI478" s="29"/>
      <c r="AJ478" s="29"/>
      <c r="AK478" s="29"/>
      <c r="AL478" s="29"/>
      <c r="AM478" s="29"/>
    </row>
    <row r="479">
      <c r="A479" s="31" t="s">
        <v>45</v>
      </c>
      <c r="B479" s="32">
        <v>17761.0</v>
      </c>
      <c r="C479" s="33" t="str">
        <f t="array" ref="C479">INDEX('MTA 28-09'!B:B,MATCH(B479,'MTA 28-09'!A:A,0))</f>
        <v>SIM</v>
      </c>
      <c r="D479" s="34">
        <f t="array" ref="D479">INDEX('MTA 28-09'!D:D,MATCH(B479,'MTA 28-09'!A:A,0))</f>
        <v>2048</v>
      </c>
      <c r="E479" s="32" t="str">
        <f t="array" ref="E479">INDEX('MTA 28-09'!F:F,MATCH(B479,'MTA 28-09'!A:A,0))</f>
        <v>ATENDER</v>
      </c>
      <c r="F479" s="137" t="str">
        <f t="array" ref="F479">INDEX('MTA 28-09'!I:I,MATCH(B479,'MTA 28-09'!A:A,0))</f>
        <v/>
      </c>
      <c r="G479" s="36" t="str">
        <f t="array" ref="G479">INDEX('MTA 28-09'!J:J,MATCH(B479,'MTA 28-09'!A:A,0))</f>
        <v/>
      </c>
      <c r="H479" s="37" t="s">
        <v>1451</v>
      </c>
      <c r="I479" s="157" t="s">
        <v>152</v>
      </c>
      <c r="J479" s="39"/>
      <c r="K479" s="40"/>
      <c r="L479" s="39" t="str">
        <f t="array" ref="L479">INDEX('MTA 28-09'!S:S,MATCH(B479,'MTA 28-09'!A:A,0))</f>
        <v>C-98</v>
      </c>
      <c r="M479" s="32" t="str">
        <f t="array" ref="M479">INDEX('MTA 28-09'!T:T,MATCH(B479,'MTA 28-09'!A:A,0))</f>
        <v>CNT 005/CELOG-PAMALS/2025 - VEE ONE</v>
      </c>
      <c r="N479" s="32" t="str">
        <f t="array" ref="N479">INDEX('MTA 28-09'!U:U,MATCH(B479,'MTA 28-09'!A:A,0))</f>
        <v>Hora de Voo 08/10 - 1000 HV</v>
      </c>
      <c r="O479" s="59">
        <f t="array" ref="O479">INDEX('MTA 28-09'!AC:AC,MATCH(B479,'MTA 28-09'!A:A,0))</f>
        <v>559040.07</v>
      </c>
      <c r="P479" s="32" t="str">
        <f t="array" ref="P479">INDEX('MTA 28-09'!N:N,MATCH(B479,'MTA 28-09'!A:A,0))</f>
        <v>CELOG</v>
      </c>
      <c r="Q479" s="67" t="str">
        <f t="array" ref="Q479">INDEX('MTA 28-09'!Z:Z,MATCH(B479,'MTA 28-09'!A:A,0))</f>
        <v>339039</v>
      </c>
      <c r="R479" s="32" t="str">
        <f t="array" ref="R479">INDEX('MTA 28-09'!L:L,MATCH(B479,'MTA 28-09'!A:A,0))</f>
        <v>A</v>
      </c>
      <c r="S479" s="72" t="str">
        <f t="array" ref="S479">INDEX('MTA 28-09'!X:X,MATCH(B479,'MTA 28-09'!A:A,0))</f>
        <v>HORA DE VOO</v>
      </c>
      <c r="T479" s="72" t="str">
        <f t="array" ref="T479">INDEX('MTA 28-09'!W:W,MATCH(B479,'MTA 28-09'!A:A,0))</f>
        <v>Não</v>
      </c>
      <c r="U479" s="81">
        <f t="array" ref="U479">INDEX('MTA 28-09'!AE:AE,MATCH(B479,'MTA 28-09'!A:A,0))</f>
        <v>46352</v>
      </c>
      <c r="V479" s="12"/>
      <c r="W479" s="12"/>
      <c r="X479" s="12"/>
      <c r="Y479" s="12"/>
      <c r="Z479" s="12"/>
      <c r="AA479" s="12"/>
      <c r="AB479" s="12"/>
      <c r="AC479" s="12"/>
      <c r="AD479" s="12"/>
      <c r="AE479" s="12"/>
      <c r="AF479" s="12"/>
      <c r="AG479" s="12"/>
      <c r="AH479" s="12"/>
      <c r="AI479" s="12"/>
      <c r="AJ479" s="12"/>
      <c r="AK479" s="12"/>
      <c r="AL479" s="12"/>
      <c r="AM479" s="12"/>
    </row>
    <row r="480">
      <c r="A480" s="88" t="s">
        <v>45</v>
      </c>
      <c r="B480" s="98">
        <v>17762.0</v>
      </c>
      <c r="C480" s="92" t="str">
        <f t="array" ref="C480">INDEX('MTA 28-09'!B:B,MATCH(B480,'MTA 28-09'!A:A,0))</f>
        <v>SIM</v>
      </c>
      <c r="D480" s="95">
        <f t="array" ref="D480">INDEX('MTA 28-09'!D:D,MATCH(B480,'MTA 28-09'!A:A,0))</f>
        <v>2048</v>
      </c>
      <c r="E480" s="98" t="str">
        <f t="array" ref="E480">INDEX('MTA 28-09'!F:F,MATCH(B480,'MTA 28-09'!A:A,0))</f>
        <v/>
      </c>
      <c r="F480" s="144" t="str">
        <f t="array" ref="F480">INDEX('MTA 28-09'!I:I,MATCH(B480,'MTA 28-09'!A:A,0))</f>
        <v/>
      </c>
      <c r="G480" s="100" t="str">
        <f t="array" ref="G480">INDEX('MTA 28-09'!J:J,MATCH(B480,'MTA 28-09'!A:A,0))</f>
        <v/>
      </c>
      <c r="H480" s="159" t="s">
        <v>157</v>
      </c>
      <c r="I480" s="154" t="s">
        <v>1183</v>
      </c>
      <c r="J480" s="102"/>
      <c r="K480" s="103"/>
      <c r="L480" s="102" t="str">
        <f t="array" ref="L480">INDEX('MTA 28-09'!S:S,MATCH(B480,'MTA 28-09'!A:A,0))</f>
        <v>C-98</v>
      </c>
      <c r="M480" s="98" t="str">
        <f t="array" ref="M480">INDEX('MTA 28-09'!T:T,MATCH(B480,'MTA 28-09'!A:A,0))</f>
        <v>CNT 005/CELOG-PAMALS/2025 - VEE ONE</v>
      </c>
      <c r="N480" s="98" t="str">
        <f t="array" ref="N480">INDEX('MTA 28-09'!U:U,MATCH(B480,'MTA 28-09'!A:A,0))</f>
        <v>Hora de Voo 09/10 - 1000 HV</v>
      </c>
      <c r="O480" s="104">
        <f t="array" ref="O480">INDEX('MTA 28-09'!AC:AC,MATCH(B480,'MTA 28-09'!A:A,0))</f>
        <v>1704503</v>
      </c>
      <c r="P480" s="98" t="str">
        <f t="array" ref="P480">INDEX('MTA 28-09'!N:N,MATCH(B480,'MTA 28-09'!A:A,0))</f>
        <v>CELOG</v>
      </c>
      <c r="Q480" s="105" t="str">
        <f t="array" ref="Q480">INDEX('MTA 28-09'!Z:Z,MATCH(B480,'MTA 28-09'!A:A,0))</f>
        <v>339039</v>
      </c>
      <c r="R480" s="98" t="str">
        <f t="array" ref="R480">INDEX('MTA 28-09'!L:L,MATCH(B480,'MTA 28-09'!A:A,0))</f>
        <v>A</v>
      </c>
      <c r="S480" s="107" t="str">
        <f t="array" ref="S480">INDEX('MTA 28-09'!X:X,MATCH(B480,'MTA 28-09'!A:A,0))</f>
        <v>HORA DE VOO</v>
      </c>
      <c r="T480" s="107" t="str">
        <f t="array" ref="T480">INDEX('MTA 28-09'!W:W,MATCH(B480,'MTA 28-09'!A:A,0))</f>
        <v>Não</v>
      </c>
      <c r="U480" s="109">
        <f t="array" ref="U480">INDEX('MTA 28-09'!AE:AE,MATCH(B480,'MTA 28-09'!A:A,0))</f>
        <v>46382</v>
      </c>
      <c r="V480" s="29"/>
      <c r="W480" s="29"/>
      <c r="X480" s="29"/>
      <c r="Y480" s="29"/>
      <c r="Z480" s="29"/>
      <c r="AA480" s="29"/>
      <c r="AB480" s="29"/>
      <c r="AC480" s="29"/>
      <c r="AD480" s="29"/>
      <c r="AE480" s="29"/>
      <c r="AF480" s="29"/>
      <c r="AG480" s="29"/>
      <c r="AH480" s="29"/>
      <c r="AI480" s="29"/>
      <c r="AJ480" s="29"/>
      <c r="AK480" s="29"/>
      <c r="AL480" s="29"/>
      <c r="AM480" s="29"/>
    </row>
    <row r="481">
      <c r="A481" s="31" t="s">
        <v>45</v>
      </c>
      <c r="B481" s="38">
        <v>17763.0</v>
      </c>
      <c r="C481" s="33" t="str">
        <f t="array" ref="C481">INDEX('MTA 28-09'!B:B,MATCH(B481,'MTA 28-09'!A:A,0))</f>
        <v>SIM</v>
      </c>
      <c r="D481" s="34" t="str">
        <f t="array" ref="D481">INDEX('MTA 28-09'!D:D,MATCH(B481,'MTA 28-09'!A:A,0))</f>
        <v>20XV</v>
      </c>
      <c r="E481" s="32" t="str">
        <f t="array" ref="E481">INDEX('MTA 28-09'!F:F,MATCH(B481,'MTA 28-09'!A:A,0))</f>
        <v>ATENDIDO</v>
      </c>
      <c r="F481" s="137">
        <f t="array" ref="F481">INDEX('MTA 28-09'!I:I,MATCH(B481,'MTA 28-09'!A:A,0))</f>
        <v>46227</v>
      </c>
      <c r="G481" s="36" t="str">
        <f t="array" ref="G481">INDEX('MTA 28-09'!J:J,MATCH(B481,'MTA 28-09'!A:A,0))</f>
        <v>C26363</v>
      </c>
      <c r="H481" s="287" t="s">
        <v>157</v>
      </c>
      <c r="I481" s="295"/>
      <c r="J481" s="39"/>
      <c r="K481" s="40"/>
      <c r="L481" s="39" t="str">
        <f t="array" ref="L481">INDEX('MTA 28-09'!S:S,MATCH(B481,'MTA 28-09'!A:A,0))</f>
        <v>C-98</v>
      </c>
      <c r="M481" s="32" t="str">
        <f t="array" ref="M481">INDEX('MTA 28-09'!T:T,MATCH(B481,'MTA 28-09'!A:A,0))</f>
        <v>CNT 005/CELOG-PAMALS/2025 - VEE ONE</v>
      </c>
      <c r="N481" s="32" t="str">
        <f t="array" ref="N481">INDEX('MTA 28-09'!U:U,MATCH(B481,'MTA 28-09'!A:A,0))</f>
        <v>Hora de Voo 07/10 - 1000 HV</v>
      </c>
      <c r="O481" s="59">
        <f t="array" ref="O481">INDEX('MTA 28-09'!AC:AC,MATCH(B481,'MTA 28-09'!A:A,0))</f>
        <v>236343.68</v>
      </c>
      <c r="P481" s="32" t="str">
        <f t="array" ref="P481">INDEX('MTA 28-09'!N:N,MATCH(B481,'MTA 28-09'!A:A,0))</f>
        <v>CELOG</v>
      </c>
      <c r="Q481" s="67" t="str">
        <f t="array" ref="Q481">INDEX('MTA 28-09'!Z:Z,MATCH(B481,'MTA 28-09'!A:A,0))</f>
        <v>339039</v>
      </c>
      <c r="R481" s="32" t="str">
        <f t="array" ref="R481">INDEX('MTA 28-09'!L:L,MATCH(B481,'MTA 28-09'!A:A,0))</f>
        <v>A</v>
      </c>
      <c r="S481" s="72" t="str">
        <f t="array" ref="S481">INDEX('MTA 28-09'!X:X,MATCH(B481,'MTA 28-09'!A:A,0))</f>
        <v>HORA DE VOO</v>
      </c>
      <c r="T481" s="72" t="str">
        <f t="array" ref="T481">INDEX('MTA 28-09'!W:W,MATCH(B481,'MTA 28-09'!A:A,0))</f>
        <v>Não</v>
      </c>
      <c r="U481" s="81">
        <f t="array" ref="U481">INDEX('MTA 28-09'!AE:AE,MATCH(B481,'MTA 28-09'!A:A,0))</f>
        <v>46321</v>
      </c>
      <c r="V481" s="12"/>
      <c r="W481" s="12"/>
      <c r="X481" s="12"/>
      <c r="Y481" s="12"/>
      <c r="Z481" s="12"/>
      <c r="AA481" s="12"/>
      <c r="AB481" s="12"/>
      <c r="AC481" s="12"/>
      <c r="AD481" s="12"/>
      <c r="AE481" s="12"/>
      <c r="AF481" s="12"/>
      <c r="AG481" s="12"/>
      <c r="AH481" s="12"/>
      <c r="AI481" s="12"/>
      <c r="AJ481" s="12"/>
      <c r="AK481" s="12"/>
      <c r="AL481" s="12"/>
      <c r="AM481" s="12"/>
    </row>
    <row r="482">
      <c r="A482" s="88" t="s">
        <v>45</v>
      </c>
      <c r="B482" s="90">
        <v>17764.0</v>
      </c>
      <c r="C482" s="92" t="str">
        <f t="array" ref="C482">INDEX('MTA 28-09'!B:B,MATCH(B482,'MTA 28-09'!A:A,0))</f>
        <v>SIM</v>
      </c>
      <c r="D482" s="95" t="str">
        <f t="array" ref="D482">INDEX('MTA 28-09'!D:D,MATCH(B482,'MTA 28-09'!A:A,0))</f>
        <v>DESTQ50</v>
      </c>
      <c r="E482" s="98" t="str">
        <f t="array" ref="E482">INDEX('MTA 28-09'!F:F,MATCH(B482,'MTA 28-09'!A:A,0))</f>
        <v>ATENDIDO</v>
      </c>
      <c r="F482" s="152">
        <f t="array" ref="F482">INDEX('MTA 28-09'!I:I,MATCH(B482,'MTA 28-09'!A:A,0))</f>
        <v>46280</v>
      </c>
      <c r="G482" s="100" t="str">
        <f t="array" ref="G482">INDEX('MTA 28-09'!J:J,MATCH(B482,'MTA 28-09'!A:A,0))</f>
        <v>C26326</v>
      </c>
      <c r="H482" s="159"/>
      <c r="I482" s="296"/>
      <c r="J482" s="102"/>
      <c r="K482" s="103"/>
      <c r="L482" s="102"/>
      <c r="M482" s="98" t="str">
        <f t="array" ref="M482">INDEX('MTA 28-09'!T:T,MATCH(B482,'MTA 28-09'!A:A,0))</f>
        <v>CNT 005/CELOG-PAMALS/2025 - VEE ONE</v>
      </c>
      <c r="N482" s="98" t="str">
        <f t="array" ref="N482">INDEX('MTA 28-09'!U:U,MATCH(B482,'MTA 28-09'!A:A,0))</f>
        <v>Hora de Voo 08/10 - 1000 HV</v>
      </c>
      <c r="O482" s="104">
        <f t="array" ref="O482">INDEX('MTA 28-09'!AC:AC,MATCH(B482,'MTA 28-09'!A:A,0))</f>
        <v>1145462.93</v>
      </c>
      <c r="P482" s="98" t="str">
        <f t="array" ref="P482">INDEX('MTA 28-09'!N:N,MATCH(B482,'MTA 28-09'!A:A,0))</f>
        <v>CELOG</v>
      </c>
      <c r="Q482" s="105" t="str">
        <f t="array" ref="Q482">INDEX('MTA 28-09'!Z:Z,MATCH(B482,'MTA 28-09'!A:A,0))</f>
        <v>339039</v>
      </c>
      <c r="R482" s="98" t="str">
        <f t="array" ref="R482">INDEX('MTA 28-09'!L:L,MATCH(B482,'MTA 28-09'!A:A,0))</f>
        <v>A</v>
      </c>
      <c r="S482" s="107" t="str">
        <f t="array" ref="S482">INDEX('MTA 28-09'!X:X,MATCH(B482,'MTA 28-09'!A:A,0))</f>
        <v>HORA DE VOO</v>
      </c>
      <c r="T482" s="107" t="str">
        <f t="array" ref="T482">INDEX('MTA 28-09'!W:W,MATCH(B482,'MTA 28-09'!A:A,0))</f>
        <v>Não</v>
      </c>
      <c r="U482" s="109">
        <f t="array" ref="U482">INDEX('MTA 28-09'!AE:AE,MATCH(B482,'MTA 28-09'!A:A,0))</f>
        <v>46352</v>
      </c>
      <c r="V482" s="29"/>
      <c r="W482" s="29"/>
      <c r="X482" s="29"/>
      <c r="Y482" s="29"/>
      <c r="Z482" s="29"/>
      <c r="AA482" s="29"/>
      <c r="AB482" s="29"/>
      <c r="AC482" s="29"/>
      <c r="AD482" s="29"/>
      <c r="AE482" s="29"/>
      <c r="AF482" s="29"/>
      <c r="AG482" s="29"/>
      <c r="AH482" s="29"/>
      <c r="AI482" s="29"/>
      <c r="AJ482" s="29"/>
      <c r="AK482" s="29"/>
      <c r="AL482" s="29"/>
      <c r="AM482" s="29"/>
    </row>
    <row r="483">
      <c r="A483" s="31" t="s">
        <v>45</v>
      </c>
      <c r="B483" s="38">
        <v>17765.0</v>
      </c>
      <c r="C483" s="33" t="str">
        <f t="array" ref="C483">INDEX('MTA 28-09'!B:B,MATCH(B483,'MTA 28-09'!A:A,0))</f>
        <v>SIM</v>
      </c>
      <c r="D483" s="34" t="str">
        <f t="array" ref="D483">INDEX('MTA 28-09'!D:D,MATCH(B483,'MTA 28-09'!A:A,0))</f>
        <v>DESTQ51</v>
      </c>
      <c r="E483" s="32" t="str">
        <f t="array" ref="E483">INDEX('MTA 28-09'!F:F,MATCH(B483,'MTA 28-09'!A:A,0))</f>
        <v>ATENDIDO</v>
      </c>
      <c r="F483" s="137">
        <f t="array" ref="F483">INDEX('MTA 28-09'!I:I,MATCH(B483,'MTA 28-09'!A:A,0))</f>
        <v>46280</v>
      </c>
      <c r="G483" s="36" t="str">
        <f t="array" ref="G483">INDEX('MTA 28-09'!J:J,MATCH(B483,'MTA 28-09'!A:A,0))</f>
        <v>C26326</v>
      </c>
      <c r="H483" s="287"/>
      <c r="I483" s="295"/>
      <c r="J483" s="39"/>
      <c r="K483" s="40"/>
      <c r="L483" s="39"/>
      <c r="M483" s="32" t="str">
        <f t="array" ref="M483">INDEX('MTA 28-09'!T:T,MATCH(B483,'MTA 28-09'!A:A,0))</f>
        <v>CNT 005/CELOG-PAMALS/2025 - VEE ONE</v>
      </c>
      <c r="N483" s="32" t="str">
        <f t="array" ref="N483">INDEX('MTA 28-09'!U:U,MATCH(B483,'MTA 28-09'!A:A,0))</f>
        <v>Hora de Voo 07/10 - 1000 HV</v>
      </c>
      <c r="O483" s="59">
        <f t="array" ref="O483">INDEX('MTA 28-09'!AC:AC,MATCH(B483,'MTA 28-09'!A:A,0))</f>
        <v>859536.07</v>
      </c>
      <c r="P483" s="32" t="str">
        <f t="array" ref="P483">INDEX('MTA 28-09'!N:N,MATCH(B483,'MTA 28-09'!A:A,0))</f>
        <v>CELOG</v>
      </c>
      <c r="Q483" s="67" t="str">
        <f t="array" ref="Q483">INDEX('MTA 28-09'!Z:Z,MATCH(B483,'MTA 28-09'!A:A,0))</f>
        <v>339039</v>
      </c>
      <c r="R483" s="32" t="str">
        <f t="array" ref="R483">INDEX('MTA 28-09'!L:L,MATCH(B483,'MTA 28-09'!A:A,0))</f>
        <v>A</v>
      </c>
      <c r="S483" s="72" t="str">
        <f t="array" ref="S483">INDEX('MTA 28-09'!X:X,MATCH(B483,'MTA 28-09'!A:A,0))</f>
        <v>HORA DE VOO</v>
      </c>
      <c r="T483" s="72" t="str">
        <f t="array" ref="T483">INDEX('MTA 28-09'!W:W,MATCH(B483,'MTA 28-09'!A:A,0))</f>
        <v>Não</v>
      </c>
      <c r="U483" s="81">
        <f t="array" ref="U483">INDEX('MTA 28-09'!AE:AE,MATCH(B483,'MTA 28-09'!A:A,0))</f>
        <v>46321</v>
      </c>
      <c r="V483" s="12"/>
      <c r="W483" s="12"/>
      <c r="X483" s="12"/>
      <c r="Y483" s="12"/>
      <c r="Z483" s="12"/>
      <c r="AA483" s="12"/>
      <c r="AB483" s="12"/>
      <c r="AC483" s="12"/>
      <c r="AD483" s="12"/>
      <c r="AE483" s="12"/>
      <c r="AF483" s="12"/>
      <c r="AG483" s="12"/>
      <c r="AH483" s="12"/>
      <c r="AI483" s="12"/>
      <c r="AJ483" s="12"/>
      <c r="AK483" s="12"/>
      <c r="AL483" s="12"/>
      <c r="AM483" s="12"/>
    </row>
    <row r="484">
      <c r="A484" s="88" t="s">
        <v>49</v>
      </c>
      <c r="B484" s="98">
        <v>17780.0</v>
      </c>
      <c r="C484" s="92" t="str">
        <f t="array" ref="C484">INDEX('MTA 28-09'!B:B,MATCH(B484,'MTA 28-09'!A:A,0))</f>
        <v>SIM</v>
      </c>
      <c r="D484" s="95" t="str">
        <f t="array" ref="D484">INDEX('MTA 28-09'!D:D,MATCH(B484,'MTA 28-09'!A:A,0))</f>
        <v>20XV</v>
      </c>
      <c r="E484" s="98" t="str">
        <f t="array" ref="E484">INDEX('MTA 28-09'!F:F,MATCH(B484,'MTA 28-09'!A:A,0))</f>
        <v>ATENDIDO</v>
      </c>
      <c r="F484" s="144">
        <f t="array" ref="F484">INDEX('MTA 28-09'!I:I,MATCH(B484,'MTA 28-09'!A:A,0))</f>
        <v>46210</v>
      </c>
      <c r="G484" s="100" t="str">
        <f t="array" ref="G484">INDEX('MTA 28-09'!J:J,MATCH(B484,'MTA 28-09'!A:A,0))</f>
        <v>C26152</v>
      </c>
      <c r="H484" s="159" t="s">
        <v>157</v>
      </c>
      <c r="I484" s="90"/>
      <c r="J484" s="102"/>
      <c r="K484" s="103"/>
      <c r="L484" s="102" t="str">
        <f t="array" ref="L484">INDEX('MTA 28-09'!S:S,MATCH(B484,'MTA 28-09'!A:A,0))</f>
        <v>IU-93M</v>
      </c>
      <c r="M484" s="98" t="str">
        <f t="array" ref="M484">INDEX('MTA 28-09'!T:T,MATCH(B484,'MTA 28-09'!A:A,0))</f>
        <v>CNT 024/CELOG-PAMALS/2022 - VEE ONE</v>
      </c>
      <c r="N484" s="98" t="str">
        <f t="array" ref="N484">INDEX('MTA 28-09'!U:U,MATCH(B484,'MTA 28-09'!A:A,0))</f>
        <v>Hora de Voo 10/12 (100HV)</v>
      </c>
      <c r="O484" s="104">
        <f t="array" ref="O484">INDEX('MTA 28-09'!AC:AC,MATCH(B484,'MTA 28-09'!A:A,0))</f>
        <v>526355.9</v>
      </c>
      <c r="P484" s="98" t="str">
        <f t="array" ref="P484">INDEX('MTA 28-09'!N:N,MATCH(B484,'MTA 28-09'!A:A,0))</f>
        <v>CELOG</v>
      </c>
      <c r="Q484" s="105" t="str">
        <f t="array" ref="Q484">INDEX('MTA 28-09'!Z:Z,MATCH(B484,'MTA 28-09'!A:A,0))</f>
        <v>339039</v>
      </c>
      <c r="R484" s="98" t="str">
        <f t="array" ref="R484">INDEX('MTA 28-09'!L:L,MATCH(B484,'MTA 28-09'!A:A,0))</f>
        <v>A</v>
      </c>
      <c r="S484" s="107" t="str">
        <f t="array" ref="S484">INDEX('MTA 28-09'!X:X,MATCH(B484,'MTA 28-09'!A:A,0))</f>
        <v>HORA DE VOO</v>
      </c>
      <c r="T484" s="107" t="str">
        <f t="array" ref="T484">INDEX('MTA 28-09'!W:W,MATCH(B484,'MTA 28-09'!A:A,0))</f>
        <v>Não</v>
      </c>
      <c r="U484" s="109">
        <f t="array" ref="U484">INDEX('MTA 28-09'!AE:AE,MATCH(B484,'MTA 28-09'!A:A,0))</f>
        <v>46352</v>
      </c>
      <c r="V484" s="29"/>
      <c r="W484" s="29"/>
      <c r="X484" s="29"/>
      <c r="Y484" s="29"/>
      <c r="Z484" s="29"/>
      <c r="AA484" s="29"/>
      <c r="AB484" s="29"/>
      <c r="AC484" s="29"/>
      <c r="AD484" s="29"/>
      <c r="AE484" s="29"/>
      <c r="AF484" s="29"/>
      <c r="AG484" s="29"/>
      <c r="AH484" s="29"/>
      <c r="AI484" s="29"/>
      <c r="AJ484" s="29"/>
      <c r="AK484" s="29"/>
      <c r="AL484" s="29"/>
      <c r="AM484" s="29"/>
    </row>
    <row r="485">
      <c r="A485" s="31" t="s">
        <v>49</v>
      </c>
      <c r="B485" s="38">
        <v>17781.0</v>
      </c>
      <c r="C485" s="33" t="str">
        <f t="array" ref="C485">INDEX('MTA 28-09'!B:B,MATCH(B485,'MTA 28-09'!A:A,0))</f>
        <v>SIM</v>
      </c>
      <c r="D485" s="34" t="str">
        <f t="array" ref="D485">INDEX('MTA 28-09'!D:D,MATCH(B485,'MTA 28-09'!A:A,0))</f>
        <v>20XV</v>
      </c>
      <c r="E485" s="32" t="str">
        <f t="array" ref="E485">INDEX('MTA 28-09'!F:F,MATCH(B485,'MTA 28-09'!A:A,0))</f>
        <v>ATENDIDO</v>
      </c>
      <c r="F485" s="155">
        <f t="array" ref="F485">INDEX('MTA 28-09'!I:I,MATCH(B485,'MTA 28-09'!A:A,0))</f>
        <v>46204</v>
      </c>
      <c r="G485" s="36" t="str">
        <f t="array" ref="G485">INDEX('MTA 28-09'!J:J,MATCH(B485,'MTA 28-09'!A:A,0))</f>
        <v>C26152</v>
      </c>
      <c r="H485" s="287" t="s">
        <v>157</v>
      </c>
      <c r="I485" s="295"/>
      <c r="J485" s="39"/>
      <c r="K485" s="40"/>
      <c r="L485" s="39" t="str">
        <f t="array" ref="L485">INDEX('MTA 28-09'!S:S,MATCH(B485,'MTA 28-09'!A:A,0))</f>
        <v>IU-93M</v>
      </c>
      <c r="M485" s="32" t="str">
        <f t="array" ref="M485">INDEX('MTA 28-09'!T:T,MATCH(B485,'MTA 28-09'!A:A,0))</f>
        <v>CNT 024/CELOG-PAMALS/2022 - VEE ONE</v>
      </c>
      <c r="N485" s="32" t="str">
        <f t="array" ref="N485">INDEX('MTA 28-09'!U:U,MATCH(B485,'MTA 28-09'!A:A,0))</f>
        <v>Hora de Voo 10/12 (100HV)</v>
      </c>
      <c r="O485" s="59">
        <f t="array" ref="O485">INDEX('MTA 28-09'!AC:AC,MATCH(B485,'MTA 28-09'!A:A,0))</f>
        <v>1366465.1</v>
      </c>
      <c r="P485" s="32" t="str">
        <f t="array" ref="P485">INDEX('MTA 28-09'!N:N,MATCH(B485,'MTA 28-09'!A:A,0))</f>
        <v>CELOG</v>
      </c>
      <c r="Q485" s="67" t="str">
        <f t="array" ref="Q485">INDEX('MTA 28-09'!Z:Z,MATCH(B485,'MTA 28-09'!A:A,0))</f>
        <v>339039</v>
      </c>
      <c r="R485" s="32" t="str">
        <f t="array" ref="R485">INDEX('MTA 28-09'!L:L,MATCH(B485,'MTA 28-09'!A:A,0))</f>
        <v>A</v>
      </c>
      <c r="S485" s="72" t="str">
        <f t="array" ref="S485">INDEX('MTA 28-09'!X:X,MATCH(B485,'MTA 28-09'!A:A,0))</f>
        <v>HORA DE VOO</v>
      </c>
      <c r="T485" s="72" t="str">
        <f t="array" ref="T485">INDEX('MTA 28-09'!W:W,MATCH(B485,'MTA 28-09'!A:A,0))</f>
        <v>Não</v>
      </c>
      <c r="U485" s="81">
        <f t="array" ref="U485">INDEX('MTA 28-09'!AE:AE,MATCH(B485,'MTA 28-09'!A:A,0))</f>
        <v>46352</v>
      </c>
      <c r="V485" s="12"/>
      <c r="W485" s="12"/>
      <c r="X485" s="12"/>
      <c r="Y485" s="12"/>
      <c r="Z485" s="12"/>
      <c r="AA485" s="12"/>
      <c r="AB485" s="12"/>
      <c r="AC485" s="12"/>
      <c r="AD485" s="12"/>
      <c r="AE485" s="12"/>
      <c r="AF485" s="12"/>
      <c r="AG485" s="12"/>
      <c r="AH485" s="12"/>
      <c r="AI485" s="12"/>
      <c r="AJ485" s="12"/>
      <c r="AK485" s="12"/>
      <c r="AL485" s="12"/>
      <c r="AM485" s="12"/>
    </row>
    <row r="486">
      <c r="A486" s="88" t="s">
        <v>39</v>
      </c>
      <c r="B486" s="98">
        <v>17800.0</v>
      </c>
      <c r="C486" s="92" t="str">
        <f t="array" ref="C486">INDEX('MTA 28-09'!B:B,MATCH(B486,'MTA 28-09'!A:A,0))</f>
        <v>SIM</v>
      </c>
      <c r="D486" s="95">
        <f t="array" ref="D486">INDEX('MTA 28-09'!D:D,MATCH(B486,'MTA 28-09'!A:A,0))</f>
        <v>2048</v>
      </c>
      <c r="E486" s="98" t="str">
        <f t="array" ref="E486">INDEX('MTA 28-09'!F:F,MATCH(B486,'MTA 28-09'!A:A,0))</f>
        <v>ATENDER</v>
      </c>
      <c r="F486" s="152" t="str">
        <f t="array" ref="F486">INDEX('MTA 28-09'!I:I,MATCH(B486,'MTA 28-09'!A:A,0))</f>
        <v/>
      </c>
      <c r="G486" s="100" t="str">
        <f t="array" ref="G486">INDEX('MTA 28-09'!J:J,MATCH(B486,'MTA 28-09'!A:A,0))</f>
        <v/>
      </c>
      <c r="H486" s="159" t="s">
        <v>157</v>
      </c>
      <c r="I486" s="296"/>
      <c r="J486" s="102"/>
      <c r="K486" s="103"/>
      <c r="L486" s="102" t="str">
        <f t="array" ref="L486">INDEX('MTA 28-09'!S:S,MATCH(B486,'MTA 28-09'!A:A,0))</f>
        <v>A-29</v>
      </c>
      <c r="M486" s="98" t="str">
        <f t="array" ref="M486">INDEX('MTA 28-09'!T:T,MATCH(B486,'MTA 28-09'!A:A,0))</f>
        <v>CTT 004/CELOG-PAMASP/2025 - PW - AQ. PEÇAS</v>
      </c>
      <c r="N486" s="98" t="str">
        <f t="array" ref="N486">INDEX('MTA 28-09'!U:U,MATCH(B486,'MTA 28-09'!A:A,0))</f>
        <v>Material para PT6A-68C 3/3</v>
      </c>
      <c r="O486" s="104">
        <f t="array" ref="O486">INDEX('MTA 28-09'!AC:AC,MATCH(B486,'MTA 28-09'!A:A,0))</f>
        <v>3000000</v>
      </c>
      <c r="P486" s="98" t="str">
        <f t="array" ref="P486">INDEX('MTA 28-09'!N:N,MATCH(B486,'MTA 28-09'!A:A,0))</f>
        <v>CELOG</v>
      </c>
      <c r="Q486" s="105" t="str">
        <f t="array" ref="Q486">INDEX('MTA 28-09'!Z:Z,MATCH(B486,'MTA 28-09'!A:A,0))</f>
        <v>339030</v>
      </c>
      <c r="R486" s="98" t="str">
        <f t="array" ref="R486">INDEX('MTA 28-09'!L:L,MATCH(B486,'MTA 28-09'!A:A,0))</f>
        <v>A</v>
      </c>
      <c r="S486" s="107" t="str">
        <f t="array" ref="S486">INDEX('MTA 28-09'!X:X,MATCH(B486,'MTA 28-09'!A:A,0))</f>
        <v>SOB DEMANDA</v>
      </c>
      <c r="T486" s="107" t="str">
        <f t="array" ref="T486">INDEX('MTA 28-09'!W:W,MATCH(B486,'MTA 28-09'!A:A,0))</f>
        <v>SIM</v>
      </c>
      <c r="U486" s="109">
        <f t="array" ref="U486">INDEX('MTA 28-09'!AE:AE,MATCH(B486,'MTA 28-09'!A:A,0))</f>
        <v>46352</v>
      </c>
      <c r="V486" s="29"/>
      <c r="W486" s="29"/>
      <c r="X486" s="29"/>
      <c r="Y486" s="29"/>
      <c r="Z486" s="29"/>
      <c r="AA486" s="29"/>
      <c r="AB486" s="29"/>
      <c r="AC486" s="29"/>
      <c r="AD486" s="29"/>
      <c r="AE486" s="29"/>
      <c r="AF486" s="29"/>
      <c r="AG486" s="29"/>
      <c r="AH486" s="29"/>
      <c r="AI486" s="29"/>
      <c r="AJ486" s="29"/>
      <c r="AK486" s="29"/>
      <c r="AL486" s="29"/>
      <c r="AM486" s="29"/>
    </row>
    <row r="487">
      <c r="A487" s="31" t="s">
        <v>99</v>
      </c>
      <c r="B487" s="32">
        <v>17820.0</v>
      </c>
      <c r="C487" s="33" t="str">
        <f t="array" ref="C487">INDEX('MTA 28-09'!B:B,MATCH(B487,'MTA 28-09'!A:A,0))</f>
        <v>SIM</v>
      </c>
      <c r="D487" s="34">
        <f t="array" ref="D487">INDEX('MTA 28-09'!D:D,MATCH(B487,'MTA 28-09'!A:A,0))</f>
        <v>2048</v>
      </c>
      <c r="E487" s="32" t="str">
        <f t="array" ref="E487">INDEX('MTA 28-09'!F:F,MATCH(B487,'MTA 28-09'!A:A,0))</f>
        <v>ATENDIDO</v>
      </c>
      <c r="F487" s="155">
        <f t="array" ref="F487">INDEX('MTA 28-09'!I:I,MATCH(B487,'MTA 28-09'!A:A,0))</f>
        <v>46265</v>
      </c>
      <c r="G487" s="36" t="str">
        <f t="array" ref="G487">INDEX('MTA 28-09'!J:J,MATCH(B487,'MTA 28-09'!A:A,0))</f>
        <v>C26146</v>
      </c>
      <c r="H487" s="287" t="s">
        <v>157</v>
      </c>
      <c r="I487" s="38"/>
      <c r="J487" s="39"/>
      <c r="K487" s="40"/>
      <c r="L487" s="39" t="str">
        <f t="array" ref="L487">INDEX('MTA 28-09'!S:S,MATCH(B487,'MTA 28-09'!A:A,0))</f>
        <v>APOIO</v>
      </c>
      <c r="M487" s="32" t="str">
        <f t="array" ref="M487">INDEX('MTA 28-09'!T:T,MATCH(B487,'MTA 28-09'!A:A,0))</f>
        <v>MANUTENÇÂO DAS INSTALAÇÕES</v>
      </c>
      <c r="N487" s="32" t="str">
        <f t="array" ref="N487">INDEX('MTA 28-09'!U:U,MATCH(B487,'MTA 28-09'!A:A,0))</f>
        <v>INFRAESTRUTURA - SUBSTITUIÇÃO DE ILUMINAÇÂO DA TANV</v>
      </c>
      <c r="O487" s="59">
        <f t="array" ref="O487">INDEX('MTA 28-09'!AC:AC,MATCH(B487,'MTA 28-09'!A:A,0))</f>
        <v>113463.72</v>
      </c>
      <c r="P487" s="32" t="str">
        <f t="array" ref="P487">INDEX('MTA 28-09'!N:N,MATCH(B487,'MTA 28-09'!A:A,0))</f>
        <v>GAP-LS</v>
      </c>
      <c r="Q487" s="67" t="str">
        <f t="array" ref="Q487">INDEX('MTA 28-09'!Z:Z,MATCH(B487,'MTA 28-09'!A:A,0))</f>
        <v>339039</v>
      </c>
      <c r="R487" s="32" t="str">
        <f t="array" ref="R487">INDEX('MTA 28-09'!L:L,MATCH(B487,'MTA 28-09'!A:A,0))</f>
        <v>A</v>
      </c>
      <c r="S487" s="72" t="str">
        <f t="array" ref="S487">INDEX('MTA 28-09'!X:X,MATCH(B487,'MTA 28-09'!A:A,0))</f>
        <v>REQUISIÇÃO</v>
      </c>
      <c r="T487" s="72" t="str">
        <f t="array" ref="T487">INDEX('MTA 28-09'!W:W,MATCH(B487,'MTA 28-09'!A:A,0))</f>
        <v>NÃO</v>
      </c>
      <c r="U487" s="81">
        <f t="array" ref="U487">INDEX('MTA 28-09'!AE:AE,MATCH(B487,'MTA 28-09'!A:A,0))</f>
        <v>46291</v>
      </c>
      <c r="V487" s="12"/>
      <c r="W487" s="12"/>
      <c r="X487" s="12"/>
      <c r="Y487" s="12"/>
      <c r="Z487" s="12"/>
      <c r="AA487" s="12"/>
      <c r="AB487" s="12"/>
      <c r="AC487" s="12"/>
      <c r="AD487" s="12"/>
      <c r="AE487" s="12"/>
      <c r="AF487" s="12"/>
      <c r="AG487" s="12"/>
      <c r="AH487" s="12"/>
      <c r="AI487" s="12"/>
      <c r="AJ487" s="12"/>
      <c r="AK487" s="12"/>
      <c r="AL487" s="12"/>
      <c r="AM487" s="12"/>
    </row>
    <row r="488">
      <c r="A488" s="88" t="s">
        <v>99</v>
      </c>
      <c r="B488" s="98">
        <v>17840.0</v>
      </c>
      <c r="C488" s="92" t="str">
        <f t="array" ref="C488">INDEX('MTA 28-09'!B:B,MATCH(B488,'MTA 28-09'!A:A,0))</f>
        <v>NÃO</v>
      </c>
      <c r="D488" s="95" t="str">
        <f t="array" ref="D488">INDEX('MTA 28-09'!D:D,MATCH(B488,'MTA 28-09'!A:A,0))</f>
        <v/>
      </c>
      <c r="E488" s="98" t="str">
        <f t="array" ref="E488">INDEX('MTA 28-09'!F:F,MATCH(B488,'MTA 28-09'!A:A,0))</f>
        <v/>
      </c>
      <c r="F488" s="152" t="str">
        <f t="array" ref="F488">INDEX('MTA 28-09'!I:I,MATCH(B488,'MTA 28-09'!A:A,0))</f>
        <v/>
      </c>
      <c r="G488" s="100" t="str">
        <f t="array" ref="G488">INDEX('MTA 28-09'!J:J,MATCH(B488,'MTA 28-09'!A:A,0))</f>
        <v/>
      </c>
      <c r="H488" s="159" t="s">
        <v>157</v>
      </c>
      <c r="I488" s="263"/>
      <c r="J488" s="102"/>
      <c r="K488" s="103"/>
      <c r="L488" s="102" t="str">
        <f t="array" ref="L488">INDEX('MTA 28-09'!S:S,MATCH(B488,'MTA 28-09'!A:A,0))</f>
        <v>APOIO</v>
      </c>
      <c r="M488" s="98" t="str">
        <f t="array" ref="M488">INDEX('MTA 28-09'!T:T,MATCH(B488,'MTA 28-09'!A:A,0))</f>
        <v>Requisição CABW</v>
      </c>
      <c r="N488" s="98" t="str">
        <f t="array" ref="N488">INDEX('MTA 28-09'!U:U,MATCH(B488,'MTA 28-09'!A:A,0))</f>
        <v>Requisições Consumíveis</v>
      </c>
      <c r="O488" s="104">
        <f t="array" ref="O488">INDEX('MTA 28-09'!AC:AC,MATCH(B488,'MTA 28-09'!A:A,0))</f>
        <v>277251.55</v>
      </c>
      <c r="P488" s="98" t="str">
        <f t="array" ref="P488">INDEX('MTA 28-09'!N:N,MATCH(B488,'MTA 28-09'!A:A,0))</f>
        <v>CABW</v>
      </c>
      <c r="Q488" s="105" t="str">
        <f t="array" ref="Q488">INDEX('MTA 28-09'!Z:Z,MATCH(B488,'MTA 28-09'!A:A,0))</f>
        <v>339030</v>
      </c>
      <c r="R488" s="98" t="str">
        <f t="array" ref="R488">INDEX('MTA 28-09'!L:L,MATCH(B488,'MTA 28-09'!A:A,0))</f>
        <v>C</v>
      </c>
      <c r="S488" s="107" t="str">
        <f t="array" ref="S488">INDEX('MTA 28-09'!X:X,MATCH(B488,'MTA 28-09'!A:A,0))</f>
        <v>REQUISIÇÃO</v>
      </c>
      <c r="T488" s="107" t="str">
        <f t="array" ref="T488">INDEX('MTA 28-09'!W:W,MATCH(B488,'MTA 28-09'!A:A,0))</f>
        <v>NÃO</v>
      </c>
      <c r="U488" s="109">
        <f t="array" ref="U488">INDEX('MTA 28-09'!AE:AE,MATCH(B488,'MTA 28-09'!A:A,0))</f>
        <v>46382</v>
      </c>
      <c r="V488" s="29"/>
      <c r="W488" s="29"/>
      <c r="X488" s="29"/>
      <c r="Y488" s="29"/>
      <c r="Z488" s="29"/>
      <c r="AA488" s="29"/>
      <c r="AB488" s="29"/>
      <c r="AC488" s="29"/>
      <c r="AD488" s="29"/>
      <c r="AE488" s="29"/>
      <c r="AF488" s="29"/>
      <c r="AG488" s="29"/>
      <c r="AH488" s="29"/>
      <c r="AI488" s="29"/>
      <c r="AJ488" s="29"/>
      <c r="AK488" s="29"/>
      <c r="AL488" s="29"/>
      <c r="AM488" s="29"/>
    </row>
    <row r="489">
      <c r="A489" s="31" t="s">
        <v>99</v>
      </c>
      <c r="B489" s="38">
        <v>17841.0</v>
      </c>
      <c r="C489" s="33" t="str">
        <f t="array" ref="C489">INDEX('MTA 28-09'!B:B,MATCH(B489,'MTA 28-09'!A:A,0))</f>
        <v>SIM</v>
      </c>
      <c r="D489" s="34">
        <f t="array" ref="D489">INDEX('MTA 28-09'!D:D,MATCH(B489,'MTA 28-09'!A:A,0))</f>
        <v>2048</v>
      </c>
      <c r="E489" s="32" t="str">
        <f t="array" ref="E489">INDEX('MTA 28-09'!F:F,MATCH(B489,'MTA 28-09'!A:A,0))</f>
        <v>ATENDIDO</v>
      </c>
      <c r="F489" s="155">
        <f t="array" ref="F489">INDEX('MTA 28-09'!I:I,MATCH(B489,'MTA 28-09'!A:A,0))</f>
        <v>46192</v>
      </c>
      <c r="G489" s="36" t="str">
        <f t="array" ref="G489">INDEX('MTA 28-09'!J:J,MATCH(B489,'MTA 28-09'!A:A,0))</f>
        <v>C26044</v>
      </c>
      <c r="H489" s="412" t="s">
        <v>1466</v>
      </c>
      <c r="I489" s="38"/>
      <c r="J489" s="39"/>
      <c r="K489" s="40"/>
      <c r="L489" s="39" t="str">
        <f t="array" ref="L489">INDEX('MTA 28-09'!S:S,MATCH(B489,'MTA 28-09'!A:A,0))</f>
        <v>APOIO</v>
      </c>
      <c r="M489" s="32" t="str">
        <f t="array" ref="M489">INDEX('MTA 28-09'!T:T,MATCH(B489,'MTA 28-09'!A:A,0))</f>
        <v>Requisição CABW</v>
      </c>
      <c r="N489" s="32" t="str">
        <f t="array" ref="N489">INDEX('MTA 28-09'!U:U,MATCH(B489,'MTA 28-09'!A:A,0))</f>
        <v>Requisições Consumíveis</v>
      </c>
      <c r="O489" s="59">
        <f t="array" ref="O489">INDEX('MTA 28-09'!AC:AC,MATCH(B489,'MTA 28-09'!A:A,0))</f>
        <v>41890</v>
      </c>
      <c r="P489" s="32" t="str">
        <f t="array" ref="P489">INDEX('MTA 28-09'!N:N,MATCH(B489,'MTA 28-09'!A:A,0))</f>
        <v>CABW</v>
      </c>
      <c r="Q489" s="67" t="str">
        <f t="array" ref="Q489">INDEX('MTA 28-09'!Z:Z,MATCH(B489,'MTA 28-09'!A:A,0))</f>
        <v>339030</v>
      </c>
      <c r="R489" s="32" t="str">
        <f t="array" ref="R489">INDEX('MTA 28-09'!L:L,MATCH(B489,'MTA 28-09'!A:A,0))</f>
        <v>A</v>
      </c>
      <c r="S489" s="72" t="str">
        <f t="array" ref="S489">INDEX('MTA 28-09'!X:X,MATCH(B489,'MTA 28-09'!A:A,0))</f>
        <v>REQUISIÇÃO</v>
      </c>
      <c r="T489" s="72" t="str">
        <f t="array" ref="T489">INDEX('MTA 28-09'!W:W,MATCH(B489,'MTA 28-09'!A:A,0))</f>
        <v>NÃO</v>
      </c>
      <c r="U489" s="81">
        <f t="array" ref="U489">INDEX('MTA 28-09'!AE:AE,MATCH(B489,'MTA 28-09'!A:A,0))</f>
        <v>46260</v>
      </c>
      <c r="V489" s="12"/>
      <c r="W489" s="12"/>
      <c r="X489" s="12"/>
      <c r="Y489" s="12"/>
      <c r="Z489" s="12"/>
      <c r="AA489" s="12"/>
      <c r="AB489" s="12"/>
      <c r="AC489" s="12"/>
      <c r="AD489" s="12"/>
      <c r="AE489" s="12"/>
      <c r="AF489" s="12"/>
      <c r="AG489" s="12"/>
      <c r="AH489" s="12"/>
      <c r="AI489" s="12"/>
      <c r="AJ489" s="12"/>
      <c r="AK489" s="12"/>
      <c r="AL489" s="12"/>
      <c r="AM489" s="12"/>
    </row>
    <row r="490">
      <c r="A490" s="88" t="s">
        <v>104</v>
      </c>
      <c r="B490" s="98">
        <v>17860.0</v>
      </c>
      <c r="C490" s="92" t="str">
        <f t="array" ref="C490">INDEX('MTA 28-09'!B:B,MATCH(B490,'MTA 28-09'!A:A,0))</f>
        <v>NÃO</v>
      </c>
      <c r="D490" s="95" t="str">
        <f t="array" ref="D490">INDEX('MTA 28-09'!D:D,MATCH(B490,'MTA 28-09'!A:A,0))</f>
        <v/>
      </c>
      <c r="E490" s="98" t="str">
        <f t="array" ref="E490">INDEX('MTA 28-09'!F:F,MATCH(B490,'MTA 28-09'!A:A,0))</f>
        <v/>
      </c>
      <c r="F490" s="152" t="str">
        <f t="array" ref="F490">INDEX('MTA 28-09'!I:I,MATCH(B490,'MTA 28-09'!A:A,0))</f>
        <v/>
      </c>
      <c r="G490" s="100" t="str">
        <f t="array" ref="G490">INDEX('MTA 28-09'!J:J,MATCH(B490,'MTA 28-09'!A:A,0))</f>
        <v/>
      </c>
      <c r="H490" s="159" t="s">
        <v>157</v>
      </c>
      <c r="I490" s="296"/>
      <c r="J490" s="102"/>
      <c r="K490" s="103"/>
      <c r="L490" s="102" t="str">
        <f t="array" ref="L490">INDEX('MTA 28-09'!S:S,MATCH(B490,'MTA 28-09'!A:A,0))</f>
        <v>APOIO</v>
      </c>
      <c r="M490" s="98" t="str">
        <f t="array" ref="M490">INDEX('MTA 28-09'!T:T,MATCH(B490,'MTA 28-09'!A:A,0))</f>
        <v>ADQUIRIR PNEUS DE AVIAÇÃO</v>
      </c>
      <c r="N490" s="98" t="str">
        <f t="array" ref="N490">INDEX('MTA 28-09'!U:U,MATCH(B490,'MTA 28-09'!A:A,0))</f>
        <v>Aquisição de Pneu de Aviação - ARP - 4/5</v>
      </c>
      <c r="O490" s="104">
        <f t="array" ref="O490">INDEX('MTA 28-09'!AC:AC,MATCH(B490,'MTA 28-09'!A:A,0))</f>
        <v>1000000</v>
      </c>
      <c r="P490" s="98" t="str">
        <f t="array" ref="P490">INDEX('MTA 28-09'!N:N,MATCH(B490,'MTA 28-09'!A:A,0))</f>
        <v>CELOG</v>
      </c>
      <c r="Q490" s="105" t="str">
        <f t="array" ref="Q490">INDEX('MTA 28-09'!Z:Z,MATCH(B490,'MTA 28-09'!A:A,0))</f>
        <v>339030</v>
      </c>
      <c r="R490" s="98" t="str">
        <f t="array" ref="R490">INDEX('MTA 28-09'!L:L,MATCH(B490,'MTA 28-09'!A:A,0))</f>
        <v>C</v>
      </c>
      <c r="S490" s="107" t="str">
        <f t="array" ref="S490">INDEX('MTA 28-09'!X:X,MATCH(B490,'MTA 28-09'!A:A,0))</f>
        <v>REQUISIÇÃO</v>
      </c>
      <c r="T490" s="107" t="str">
        <f t="array" ref="T490">INDEX('MTA 28-09'!W:W,MATCH(B490,'MTA 28-09'!A:A,0))</f>
        <v>NÃO</v>
      </c>
      <c r="U490" s="109">
        <f t="array" ref="U490">INDEX('MTA 28-09'!AE:AE,MATCH(B490,'MTA 28-09'!A:A,0))</f>
        <v>46382</v>
      </c>
      <c r="V490" s="29"/>
      <c r="W490" s="29"/>
      <c r="X490" s="29"/>
      <c r="Y490" s="29"/>
      <c r="Z490" s="29"/>
      <c r="AA490" s="29"/>
      <c r="AB490" s="29"/>
      <c r="AC490" s="29"/>
      <c r="AD490" s="29"/>
      <c r="AE490" s="29"/>
      <c r="AF490" s="29"/>
      <c r="AG490" s="29"/>
      <c r="AH490" s="29"/>
      <c r="AI490" s="29"/>
      <c r="AJ490" s="29"/>
      <c r="AK490" s="29"/>
      <c r="AL490" s="29"/>
      <c r="AM490" s="29"/>
    </row>
    <row r="491">
      <c r="A491" s="31" t="s">
        <v>104</v>
      </c>
      <c r="B491" s="32">
        <v>17880.0</v>
      </c>
      <c r="C491" s="33" t="str">
        <f t="array" ref="C491">INDEX('MTA 28-09'!B:B,MATCH(B491,'MTA 28-09'!A:A,0))</f>
        <v>NÃO</v>
      </c>
      <c r="D491" s="34" t="str">
        <f t="array" ref="D491">INDEX('MTA 28-09'!D:D,MATCH(B491,'MTA 28-09'!A:A,0))</f>
        <v/>
      </c>
      <c r="E491" s="32" t="str">
        <f t="array" ref="E491">INDEX('MTA 28-09'!F:F,MATCH(B491,'MTA 28-09'!A:A,0))</f>
        <v/>
      </c>
      <c r="F491" s="155" t="str">
        <f t="array" ref="F491">INDEX('MTA 28-09'!I:I,MATCH(B491,'MTA 28-09'!A:A,0))</f>
        <v/>
      </c>
      <c r="G491" s="36" t="str">
        <f t="array" ref="G491">INDEX('MTA 28-09'!J:J,MATCH(B491,'MTA 28-09'!A:A,0))</f>
        <v/>
      </c>
      <c r="H491" s="287" t="s">
        <v>157</v>
      </c>
      <c r="I491" s="295"/>
      <c r="J491" s="39"/>
      <c r="K491" s="40"/>
      <c r="L491" s="39" t="str">
        <f t="array" ref="L491">INDEX('MTA 28-09'!S:S,MATCH(B491,'MTA 28-09'!A:A,0))</f>
        <v>APOIO</v>
      </c>
      <c r="M491" s="32" t="str">
        <f t="array" ref="M491">INDEX('MTA 28-09'!T:T,MATCH(B491,'MTA 28-09'!A:A,0))</f>
        <v>ADQUIRIR PNEUS DE AVIAÇÃO</v>
      </c>
      <c r="N491" s="32" t="str">
        <f t="array" ref="N491">INDEX('MTA 28-09'!U:U,MATCH(B491,'MTA 28-09'!A:A,0))</f>
        <v>Aquisição de Pneu de Aviação - ARP - 5/5</v>
      </c>
      <c r="O491" s="59">
        <f t="array" ref="O491">INDEX('MTA 28-09'!AC:AC,MATCH(B491,'MTA 28-09'!A:A,0))</f>
        <v>1000000</v>
      </c>
      <c r="P491" s="32" t="str">
        <f t="array" ref="P491">INDEX('MTA 28-09'!N:N,MATCH(B491,'MTA 28-09'!A:A,0))</f>
        <v>CELOG</v>
      </c>
      <c r="Q491" s="67" t="str">
        <f t="array" ref="Q491">INDEX('MTA 28-09'!Z:Z,MATCH(B491,'MTA 28-09'!A:A,0))</f>
        <v>339030</v>
      </c>
      <c r="R491" s="32" t="str">
        <f t="array" ref="R491">INDEX('MTA 28-09'!L:L,MATCH(B491,'MTA 28-09'!A:A,0))</f>
        <v>C</v>
      </c>
      <c r="S491" s="72" t="str">
        <f t="array" ref="S491">INDEX('MTA 28-09'!X:X,MATCH(B491,'MTA 28-09'!A:A,0))</f>
        <v>REQUISIÇÃO</v>
      </c>
      <c r="T491" s="72" t="str">
        <f t="array" ref="T491">INDEX('MTA 28-09'!W:W,MATCH(B491,'MTA 28-09'!A:A,0))</f>
        <v>NÃO</v>
      </c>
      <c r="U491" s="81">
        <f t="array" ref="U491">INDEX('MTA 28-09'!AE:AE,MATCH(B491,'MTA 28-09'!A:A,0))</f>
        <v>46382</v>
      </c>
      <c r="V491" s="12"/>
      <c r="W491" s="12"/>
      <c r="X491" s="12"/>
      <c r="Y491" s="12"/>
      <c r="Z491" s="12"/>
      <c r="AA491" s="12"/>
      <c r="AB491" s="12"/>
      <c r="AC491" s="12"/>
      <c r="AD491" s="12"/>
      <c r="AE491" s="12"/>
      <c r="AF491" s="12"/>
      <c r="AG491" s="12"/>
      <c r="AH491" s="12"/>
      <c r="AI491" s="12"/>
      <c r="AJ491" s="12"/>
      <c r="AK491" s="12"/>
      <c r="AL491" s="12"/>
      <c r="AM491" s="12"/>
    </row>
    <row r="492">
      <c r="A492" s="88" t="s">
        <v>107</v>
      </c>
      <c r="B492" s="98">
        <v>17900.0</v>
      </c>
      <c r="C492" s="92" t="str">
        <f t="array" ref="C492">INDEX('MTA 28-09'!B:B,MATCH(B492,'MTA 28-09'!A:A,0))</f>
        <v>NÃO</v>
      </c>
      <c r="D492" s="95" t="str">
        <f t="array" ref="D492">INDEX('MTA 28-09'!D:D,MATCH(B492,'MTA 28-09'!A:A,0))</f>
        <v/>
      </c>
      <c r="E492" s="98" t="str">
        <f t="array" ref="E492">INDEX('MTA 28-09'!F:F,MATCH(B492,'MTA 28-09'!A:A,0))</f>
        <v/>
      </c>
      <c r="F492" s="144" t="str">
        <f t="array" ref="F492">INDEX('MTA 28-09'!I:I,MATCH(B492,'MTA 28-09'!A:A,0))</f>
        <v/>
      </c>
      <c r="G492" s="100" t="str">
        <f t="array" ref="G492">INDEX('MTA 28-09'!J:J,MATCH(B492,'MTA 28-09'!A:A,0))</f>
        <v/>
      </c>
      <c r="H492" s="159" t="s">
        <v>157</v>
      </c>
      <c r="I492" s="296"/>
      <c r="J492" s="102"/>
      <c r="K492" s="103"/>
      <c r="L492" s="102" t="str">
        <f t="array" ref="L492">INDEX('MTA 28-09'!S:S,MATCH(B492,'MTA 28-09'!A:A,0))</f>
        <v>APOIO</v>
      </c>
      <c r="M492" s="98" t="str">
        <f t="array" ref="M492">INDEX('MTA 28-09'!T:T,MATCH(B492,'MTA 28-09'!A:A,0))</f>
        <v>REQUISIÇÃO LOTAÇÃO SSS</v>
      </c>
      <c r="N492" s="98" t="str">
        <f t="array" ref="N492">INDEX('MTA 28-09'!U:U,MATCH(B492,'MTA 28-09'!A:A,0))</f>
        <v>AQUISIÇÃO ITENS SSS ATENDER 100% DA LOTAÇÃO (CELOG) 2/2</v>
      </c>
      <c r="O492" s="104">
        <f t="array" ref="O492">INDEX('MTA 28-09'!AC:AC,MATCH(B492,'MTA 28-09'!A:A,0))</f>
        <v>1060678.12</v>
      </c>
      <c r="P492" s="98" t="str">
        <f t="array" ref="P492">INDEX('MTA 28-09'!N:N,MATCH(B492,'MTA 28-09'!A:A,0))</f>
        <v>CABW</v>
      </c>
      <c r="Q492" s="105" t="str">
        <f t="array" ref="Q492">INDEX('MTA 28-09'!Z:Z,MATCH(B492,'MTA 28-09'!A:A,0))</f>
        <v>339030</v>
      </c>
      <c r="R492" s="98" t="str">
        <f t="array" ref="R492">INDEX('MTA 28-09'!L:L,MATCH(B492,'MTA 28-09'!A:A,0))</f>
        <v>C</v>
      </c>
      <c r="S492" s="107" t="str">
        <f t="array" ref="S492">INDEX('MTA 28-09'!X:X,MATCH(B492,'MTA 28-09'!A:A,0))</f>
        <v>REQUISIÇÃO</v>
      </c>
      <c r="T492" s="107" t="str">
        <f t="array" ref="T492">INDEX('MTA 28-09'!W:W,MATCH(B492,'MTA 28-09'!A:A,0))</f>
        <v>NÃO</v>
      </c>
      <c r="U492" s="109">
        <f t="array" ref="U492">INDEX('MTA 28-09'!AE:AE,MATCH(B492,'MTA 28-09'!A:A,0))</f>
        <v>46382</v>
      </c>
      <c r="V492" s="29"/>
      <c r="W492" s="29"/>
      <c r="X492" s="29"/>
      <c r="Y492" s="29"/>
      <c r="Z492" s="29"/>
      <c r="AA492" s="29"/>
      <c r="AB492" s="29"/>
      <c r="AC492" s="29"/>
      <c r="AD492" s="29"/>
      <c r="AE492" s="29"/>
      <c r="AF492" s="29"/>
      <c r="AG492" s="29"/>
      <c r="AH492" s="29"/>
      <c r="AI492" s="29"/>
      <c r="AJ492" s="29"/>
      <c r="AK492" s="29"/>
      <c r="AL492" s="29"/>
      <c r="AM492" s="29"/>
    </row>
    <row r="493">
      <c r="A493" s="31" t="s">
        <v>46</v>
      </c>
      <c r="B493" s="32">
        <v>17920.0</v>
      </c>
      <c r="C493" s="33" t="str">
        <f t="array" ref="C493">INDEX('MTA 28-09'!B:B,MATCH(B493,'MTA 28-09'!A:A,0))</f>
        <v>SIM</v>
      </c>
      <c r="D493" s="34">
        <f t="array" ref="D493">INDEX('MTA 28-09'!D:D,MATCH(B493,'MTA 28-09'!A:A,0))</f>
        <v>2048</v>
      </c>
      <c r="E493" s="32" t="str">
        <f t="array" ref="E493">INDEX('MTA 28-09'!F:F,MATCH(B493,'MTA 28-09'!A:A,0))</f>
        <v>ATENDIDO</v>
      </c>
      <c r="F493" s="155">
        <f t="array" ref="F493">INDEX('MTA 28-09'!I:I,MATCH(B493,'MTA 28-09'!A:A,0))</f>
        <v>46121</v>
      </c>
      <c r="G493" s="36" t="str">
        <f t="array" ref="G493">INDEX('MTA 28-09'!J:J,MATCH(B493,'MTA 28-09'!A:A,0))</f>
        <v>C26214</v>
      </c>
      <c r="H493" s="37" t="s">
        <v>1587</v>
      </c>
      <c r="I493" s="38"/>
      <c r="J493" s="39"/>
      <c r="K493" s="40"/>
      <c r="L493" s="39" t="str">
        <f t="array" ref="L493">INDEX('MTA 28-09'!S:S,MATCH(B493,'MTA 28-09'!A:A,0))</f>
        <v>T-27</v>
      </c>
      <c r="M493" s="32" t="str">
        <f t="array" ref="M493">INDEX('MTA 28-09'!T:T,MATCH(B493,'MTA 28-09'!A:A,0))</f>
        <v>CTT 009/CELOG-PAMALS/2025 – Aquisição de Consumíveis</v>
      </c>
      <c r="N493" s="32" t="str">
        <f t="array" ref="N493">INDEX('MTA 28-09'!U:U,MATCH(B493,'MTA 28-09'!A:A,0))</f>
        <v>Sob demanda 4/8</v>
      </c>
      <c r="O493" s="59">
        <f t="array" ref="O493">INDEX('MTA 28-09'!AC:AC,MATCH(B493,'MTA 28-09'!A:A,0))</f>
        <v>1130000</v>
      </c>
      <c r="P493" s="32" t="str">
        <f t="array" ref="P493">INDEX('MTA 28-09'!N:N,MATCH(B493,'MTA 28-09'!A:A,0))</f>
        <v>CELOG</v>
      </c>
      <c r="Q493" s="67" t="str">
        <f t="array" ref="Q493">INDEX('MTA 28-09'!Z:Z,MATCH(B493,'MTA 28-09'!A:A,0))</f>
        <v>339030</v>
      </c>
      <c r="R493" s="32" t="str">
        <f t="array" ref="R493">INDEX('MTA 28-09'!L:L,MATCH(B493,'MTA 28-09'!A:A,0))</f>
        <v>A</v>
      </c>
      <c r="S493" s="72" t="str">
        <f t="array" ref="S493">INDEX('MTA 28-09'!X:X,MATCH(B493,'MTA 28-09'!A:A,0))</f>
        <v>SOB DEMANDA</v>
      </c>
      <c r="T493" s="72" t="str">
        <f t="array" ref="T493">INDEX('MTA 28-09'!W:W,MATCH(B493,'MTA 28-09'!A:A,0))</f>
        <v>Não</v>
      </c>
      <c r="U493" s="81">
        <f t="array" ref="U493">INDEX('MTA 28-09'!AE:AE,MATCH(B493,'MTA 28-09'!A:A,0))</f>
        <v>46382</v>
      </c>
      <c r="V493" s="12"/>
      <c r="W493" s="12"/>
      <c r="X493" s="12"/>
      <c r="Y493" s="12"/>
      <c r="Z493" s="12"/>
      <c r="AA493" s="12"/>
      <c r="AB493" s="12"/>
      <c r="AC493" s="12"/>
      <c r="AD493" s="12"/>
      <c r="AE493" s="12"/>
      <c r="AF493" s="12"/>
      <c r="AG493" s="12"/>
      <c r="AH493" s="12"/>
      <c r="AI493" s="12"/>
      <c r="AJ493" s="12"/>
      <c r="AK493" s="12"/>
      <c r="AL493" s="12"/>
      <c r="AM493" s="12"/>
    </row>
    <row r="494">
      <c r="A494" s="88" t="s">
        <v>43</v>
      </c>
      <c r="B494" s="98">
        <v>17940.0</v>
      </c>
      <c r="C494" s="92" t="str">
        <f t="array" ref="C494">INDEX('MTA 28-09'!B:B,MATCH(B494,'MTA 28-09'!A:A,0))</f>
        <v>SIM</v>
      </c>
      <c r="D494" s="95">
        <f t="array" ref="D494">INDEX('MTA 28-09'!D:D,MATCH(B494,'MTA 28-09'!A:A,0))</f>
        <v>2048</v>
      </c>
      <c r="E494" s="98" t="str">
        <f t="array" ref="E494">INDEX('MTA 28-09'!F:F,MATCH(B494,'MTA 28-09'!A:A,0))</f>
        <v>ATENDIDO</v>
      </c>
      <c r="F494" s="152">
        <f t="array" ref="F494">INDEX('MTA 28-09'!I:I,MATCH(B494,'MTA 28-09'!A:A,0))</f>
        <v>46191</v>
      </c>
      <c r="G494" s="100" t="str">
        <f t="array" ref="G494">INDEX('MTA 28-09'!J:J,MATCH(B494,'MTA 28-09'!A:A,0))</f>
        <v>C26309</v>
      </c>
      <c r="H494" s="101" t="s">
        <v>421</v>
      </c>
      <c r="I494" s="90"/>
      <c r="J494" s="102"/>
      <c r="K494" s="103"/>
      <c r="L494" s="102" t="str">
        <f t="array" ref="L494">INDEX('MTA 28-09'!S:S,MATCH(B494,'MTA 28-09'!A:A,0))</f>
        <v>C-95M</v>
      </c>
      <c r="M494" s="98" t="str">
        <f t="array" ref="M494">INDEX('MTA 28-09'!T:T,MATCH(B494,'MTA 28-09'!A:A,0))</f>
        <v>CTT 028/CELOG-PAMALS/2025 – CLS AVIÔNICOS</v>
      </c>
      <c r="N494" s="98" t="str">
        <f t="array" ref="N494">INDEX('MTA 28-09'!U:U,MATCH(B494,'MTA 28-09'!A:A,0))</f>
        <v>Módulo Extra - Sob demanda 4/4</v>
      </c>
      <c r="O494" s="104">
        <f t="array" ref="O494">INDEX('MTA 28-09'!AC:AC,MATCH(B494,'MTA 28-09'!A:A,0))</f>
        <v>1201670.86</v>
      </c>
      <c r="P494" s="98" t="str">
        <f t="array" ref="P494">INDEX('MTA 28-09'!N:N,MATCH(B494,'MTA 28-09'!A:A,0))</f>
        <v>CELOG</v>
      </c>
      <c r="Q494" s="105" t="str">
        <f t="array" ref="Q494">INDEX('MTA 28-09'!Z:Z,MATCH(B494,'MTA 28-09'!A:A,0))</f>
        <v>339030</v>
      </c>
      <c r="R494" s="98" t="str">
        <f t="array" ref="R494">INDEX('MTA 28-09'!L:L,MATCH(B494,'MTA 28-09'!A:A,0))</f>
        <v>A</v>
      </c>
      <c r="S494" s="107" t="str">
        <f t="array" ref="S494">INDEX('MTA 28-09'!X:X,MATCH(B494,'MTA 28-09'!A:A,0))</f>
        <v>SOB DEMANDA</v>
      </c>
      <c r="T494" s="107" t="str">
        <f t="array" ref="T494">INDEX('MTA 28-09'!W:W,MATCH(B494,'MTA 28-09'!A:A,0))</f>
        <v>Não</v>
      </c>
      <c r="U494" s="109">
        <f t="array" ref="U494">INDEX('MTA 28-09'!AE:AE,MATCH(B494,'MTA 28-09'!A:A,0))</f>
        <v>46260</v>
      </c>
      <c r="V494" s="29"/>
      <c r="W494" s="29"/>
      <c r="X494" s="29"/>
      <c r="Y494" s="29"/>
      <c r="Z494" s="29"/>
      <c r="AA494" s="29"/>
      <c r="AB494" s="29"/>
      <c r="AC494" s="29"/>
      <c r="AD494" s="29"/>
      <c r="AE494" s="29"/>
      <c r="AF494" s="29"/>
      <c r="AG494" s="29"/>
      <c r="AH494" s="29"/>
      <c r="AI494" s="29"/>
      <c r="AJ494" s="29"/>
      <c r="AK494" s="29"/>
      <c r="AL494" s="29"/>
      <c r="AM494" s="29"/>
    </row>
    <row r="495">
      <c r="A495" s="31" t="s">
        <v>43</v>
      </c>
      <c r="B495" s="32">
        <v>17960.0</v>
      </c>
      <c r="C495" s="33" t="str">
        <f t="array" ref="C495">INDEX('MTA 28-09'!B:B,MATCH(B495,'MTA 28-09'!A:A,0))</f>
        <v>SIM</v>
      </c>
      <c r="D495" s="34">
        <f t="array" ref="D495">INDEX('MTA 28-09'!D:D,MATCH(B495,'MTA 28-09'!A:A,0))</f>
        <v>2048</v>
      </c>
      <c r="E495" s="32" t="str">
        <f t="array" ref="E495">INDEX('MTA 28-09'!F:F,MATCH(B495,'MTA 28-09'!A:A,0))</f>
        <v>ATENDIDO</v>
      </c>
      <c r="F495" s="155">
        <f t="array" ref="F495">INDEX('MTA 28-09'!I:I,MATCH(B495,'MTA 28-09'!A:A,0))</f>
        <v>46258</v>
      </c>
      <c r="G495" s="36" t="str">
        <f t="array" ref="G495">INDEX('MTA 28-09'!J:J,MATCH(B495,'MTA 28-09'!A:A,0))</f>
        <v>C26204</v>
      </c>
      <c r="H495" s="37" t="s">
        <v>1451</v>
      </c>
      <c r="I495" s="38"/>
      <c r="J495" s="39"/>
      <c r="K495" s="40"/>
      <c r="L495" s="39" t="str">
        <f t="array" ref="L495">INDEX('MTA 28-09'!S:S,MATCH(B495,'MTA 28-09'!A:A,0))</f>
        <v>C-95M</v>
      </c>
      <c r="M495" s="32" t="str">
        <f t="array" ref="M495">INDEX('MTA 28-09'!T:T,MATCH(B495,'MTA 28-09'!A:A,0))</f>
        <v>CTT 049/CELOG-PAMALS/2024 – Aquisição de Consumíveis</v>
      </c>
      <c r="N495" s="32" t="str">
        <f t="array" ref="N495">INDEX('MTA 28-09'!U:U,MATCH(B495,'MTA 28-09'!A:A,0))</f>
        <v>Sob demanda 4/6</v>
      </c>
      <c r="O495" s="59">
        <f t="array" ref="O495">INDEX('MTA 28-09'!AC:AC,MATCH(B495,'MTA 28-09'!A:A,0))</f>
        <v>5790000</v>
      </c>
      <c r="P495" s="32" t="str">
        <f t="array" ref="P495">INDEX('MTA 28-09'!N:N,MATCH(B495,'MTA 28-09'!A:A,0))</f>
        <v>CELOG</v>
      </c>
      <c r="Q495" s="67" t="str">
        <f t="array" ref="Q495">INDEX('MTA 28-09'!Z:Z,MATCH(B495,'MTA 28-09'!A:A,0))</f>
        <v>339030</v>
      </c>
      <c r="R495" s="32" t="str">
        <f t="array" ref="R495">INDEX('MTA 28-09'!L:L,MATCH(B495,'MTA 28-09'!A:A,0))</f>
        <v>A</v>
      </c>
      <c r="S495" s="72" t="str">
        <f t="array" ref="S495">INDEX('MTA 28-09'!X:X,MATCH(B495,'MTA 28-09'!A:A,0))</f>
        <v>SOB DEMANDA</v>
      </c>
      <c r="T495" s="72" t="str">
        <f t="array" ref="T495">INDEX('MTA 28-09'!W:W,MATCH(B495,'MTA 28-09'!A:A,0))</f>
        <v>Não</v>
      </c>
      <c r="U495" s="81">
        <f t="array" ref="U495">INDEX('MTA 28-09'!AE:AE,MATCH(B495,'MTA 28-09'!A:A,0))</f>
        <v>46382</v>
      </c>
      <c r="V495" s="12"/>
      <c r="W495" s="12"/>
      <c r="X495" s="12"/>
      <c r="Y495" s="12"/>
      <c r="Z495" s="12"/>
      <c r="AA495" s="12"/>
      <c r="AB495" s="12"/>
      <c r="AC495" s="12"/>
      <c r="AD495" s="12"/>
      <c r="AE495" s="12"/>
      <c r="AF495" s="12"/>
      <c r="AG495" s="12"/>
      <c r="AH495" s="12"/>
      <c r="AI495" s="12"/>
      <c r="AJ495" s="12"/>
      <c r="AK495" s="12"/>
      <c r="AL495" s="12"/>
      <c r="AM495" s="12"/>
    </row>
    <row r="496">
      <c r="A496" s="88" t="s">
        <v>99</v>
      </c>
      <c r="B496" s="98">
        <v>17980.0</v>
      </c>
      <c r="C496" s="92" t="str">
        <f t="array" ref="C496">INDEX('MTA 28-09'!B:B,MATCH(B496,'MTA 28-09'!A:A,0))</f>
        <v>NÃO</v>
      </c>
      <c r="D496" s="95" t="str">
        <f t="array" ref="D496">INDEX('MTA 28-09'!D:D,MATCH(B496,'MTA 28-09'!A:A,0))</f>
        <v/>
      </c>
      <c r="E496" s="98" t="str">
        <f t="array" ref="E496">INDEX('MTA 28-09'!F:F,MATCH(B496,'MTA 28-09'!A:A,0))</f>
        <v/>
      </c>
      <c r="F496" s="144" t="str">
        <f t="array" ref="F496">INDEX('MTA 28-09'!I:I,MATCH(B496,'MTA 28-09'!A:A,0))</f>
        <v/>
      </c>
      <c r="G496" s="100" t="str">
        <f t="array" ref="G496">INDEX('MTA 28-09'!J:J,MATCH(B496,'MTA 28-09'!A:A,0))</f>
        <v/>
      </c>
      <c r="H496" s="159" t="s">
        <v>157</v>
      </c>
      <c r="I496" s="296"/>
      <c r="J496" s="102"/>
      <c r="K496" s="103"/>
      <c r="L496" s="102" t="str">
        <f t="array" ref="L496">INDEX('MTA 28-09'!S:S,MATCH(B496,'MTA 28-09'!A:A,0))</f>
        <v>APOIO</v>
      </c>
      <c r="M496" s="98" t="str">
        <f t="array" ref="M496">INDEX('MTA 28-09'!T:T,MATCH(B496,'MTA 28-09'!A:A,0))</f>
        <v>CNT 032/CELOG-PAMALS/2025 - SENAI</v>
      </c>
      <c r="N496" s="98" t="str">
        <f t="array" ref="N496">INDEX('MTA 28-09'!U:U,MATCH(B496,'MTA 28-09'!A:A,0))</f>
        <v>Confecção de itens manufaturados 4/4</v>
      </c>
      <c r="O496" s="104">
        <f t="array" ref="O496">INDEX('MTA 28-09'!AC:AC,MATCH(B496,'MTA 28-09'!A:A,0))</f>
        <v>648000</v>
      </c>
      <c r="P496" s="98" t="str">
        <f t="array" ref="P496">INDEX('MTA 28-09'!N:N,MATCH(B496,'MTA 28-09'!A:A,0))</f>
        <v>CELOG</v>
      </c>
      <c r="Q496" s="105" t="str">
        <f t="array" ref="Q496">INDEX('MTA 28-09'!Z:Z,MATCH(B496,'MTA 28-09'!A:A,0))</f>
        <v>339039</v>
      </c>
      <c r="R496" s="98" t="str">
        <f t="array" ref="R496">INDEX('MTA 28-09'!L:L,MATCH(B496,'MTA 28-09'!A:A,0))</f>
        <v>C</v>
      </c>
      <c r="S496" s="107" t="str">
        <f t="array" ref="S496">INDEX('MTA 28-09'!X:X,MATCH(B496,'MTA 28-09'!A:A,0))</f>
        <v>SOB DEMANDA</v>
      </c>
      <c r="T496" s="107" t="str">
        <f t="array" ref="T496">INDEX('MTA 28-09'!W:W,MATCH(B496,'MTA 28-09'!A:A,0))</f>
        <v>NÃO</v>
      </c>
      <c r="U496" s="109">
        <f t="array" ref="U496">INDEX('MTA 28-09'!AE:AE,MATCH(B496,'MTA 28-09'!A:A,0))</f>
        <v>46382</v>
      </c>
      <c r="V496" s="29"/>
      <c r="W496" s="29"/>
      <c r="X496" s="29"/>
      <c r="Y496" s="29"/>
      <c r="Z496" s="29"/>
      <c r="AA496" s="29"/>
      <c r="AB496" s="29"/>
      <c r="AC496" s="29"/>
      <c r="AD496" s="29"/>
      <c r="AE496" s="29"/>
      <c r="AF496" s="29"/>
      <c r="AG496" s="29"/>
      <c r="AH496" s="29"/>
      <c r="AI496" s="29"/>
      <c r="AJ496" s="29"/>
      <c r="AK496" s="29"/>
      <c r="AL496" s="29"/>
      <c r="AM496" s="29"/>
    </row>
    <row r="497">
      <c r="A497" s="31" t="s">
        <v>99</v>
      </c>
      <c r="B497" s="32">
        <v>18000.0</v>
      </c>
      <c r="C497" s="33" t="str">
        <f t="array" ref="C497">INDEX('MTA 28-09'!B:B,MATCH(B497,'MTA 28-09'!A:A,0))</f>
        <v>SIM</v>
      </c>
      <c r="D497" s="34">
        <f t="array" ref="D497">INDEX('MTA 28-09'!D:D,MATCH(B497,'MTA 28-09'!A:A,0))</f>
        <v>2048</v>
      </c>
      <c r="E497" s="32" t="str">
        <f t="array" ref="E497">INDEX('MTA 28-09'!F:F,MATCH(B497,'MTA 28-09'!A:A,0))</f>
        <v>CANCELADO</v>
      </c>
      <c r="F497" s="137" t="str">
        <f t="array" ref="F497">INDEX('MTA 28-09'!I:I,MATCH(B497,'MTA 28-09'!A:A,0))</f>
        <v/>
      </c>
      <c r="G497" s="36" t="str">
        <f t="array" ref="G497">INDEX('MTA 28-09'!J:J,MATCH(B497,'MTA 28-09'!A:A,0))</f>
        <v/>
      </c>
      <c r="H497" s="287" t="s">
        <v>157</v>
      </c>
      <c r="I497" s="295"/>
      <c r="J497" s="39"/>
      <c r="K497" s="40"/>
      <c r="L497" s="39" t="str">
        <f t="array" ref="L497">INDEX('MTA 28-09'!S:S,MATCH(B497,'MTA 28-09'!A:A,0))</f>
        <v>APOIO</v>
      </c>
      <c r="M497" s="32" t="str">
        <f t="array" ref="M497">INDEX('MTA 28-09'!T:T,MATCH(B497,'MTA 28-09'!A:A,0))</f>
        <v>CTT XXX/GAPLS-PAMALS/2026 – Instalação e manutenção de Ar Condicionado</v>
      </c>
      <c r="N497" s="32" t="str">
        <f t="array" ref="N497">INDEX('MTA 28-09'!U:U,MATCH(B497,'MTA 28-09'!A:A,0))</f>
        <v>INFRAESTRUTURA - Instalação de aparelhos de ar condicionado.</v>
      </c>
      <c r="O497" s="59" t="str">
        <f t="array" ref="O497">INDEX('MTA 28-09'!AC:AC,MATCH(B497,'MTA 28-09'!A:A,0))</f>
        <v> -</v>
      </c>
      <c r="P497" s="32" t="str">
        <f t="array" ref="P497">INDEX('MTA 28-09'!N:N,MATCH(B497,'MTA 28-09'!A:A,0))</f>
        <v>GAP-LS</v>
      </c>
      <c r="Q497" s="67" t="str">
        <f t="array" ref="Q497">INDEX('MTA 28-09'!Z:Z,MATCH(B497,'MTA 28-09'!A:A,0))</f>
        <v>339039</v>
      </c>
      <c r="R497" s="32" t="str">
        <f t="array" ref="R497">INDEX('MTA 28-09'!L:L,MATCH(B497,'MTA 28-09'!A:A,0))</f>
        <v>A</v>
      </c>
      <c r="S497" s="72" t="str">
        <f t="array" ref="S497">INDEX('MTA 28-09'!X:X,MATCH(B497,'MTA 28-09'!A:A,0))</f>
        <v>SOB DEMANDA</v>
      </c>
      <c r="T497" s="72" t="str">
        <f t="array" ref="T497">INDEX('MTA 28-09'!W:W,MATCH(B497,'MTA 28-09'!A:A,0))</f>
        <v>NÃO</v>
      </c>
      <c r="U497" s="81">
        <f t="array" ref="U497">INDEX('MTA 28-09'!AE:AE,MATCH(B497,'MTA 28-09'!A:A,0))</f>
        <v>46291</v>
      </c>
      <c r="V497" s="12"/>
      <c r="W497" s="12"/>
      <c r="X497" s="12"/>
      <c r="Y497" s="12"/>
      <c r="Z497" s="12"/>
      <c r="AA497" s="12"/>
      <c r="AB497" s="12"/>
      <c r="AC497" s="12"/>
      <c r="AD497" s="12"/>
      <c r="AE497" s="12"/>
      <c r="AF497" s="12"/>
      <c r="AG497" s="12"/>
      <c r="AH497" s="12"/>
      <c r="AI497" s="12"/>
      <c r="AJ497" s="12"/>
      <c r="AK497" s="12"/>
      <c r="AL497" s="12"/>
      <c r="AM497" s="12"/>
    </row>
    <row r="498">
      <c r="A498" s="88" t="s">
        <v>39</v>
      </c>
      <c r="B498" s="98">
        <v>18020.0</v>
      </c>
      <c r="C498" s="92" t="str">
        <f t="array" ref="C498">INDEX('MTA 28-09'!B:B,MATCH(B498,'MTA 28-09'!A:A,0))</f>
        <v>SIM</v>
      </c>
      <c r="D498" s="95">
        <f t="array" ref="D498">INDEX('MTA 28-09'!D:D,MATCH(B498,'MTA 28-09'!A:A,0))</f>
        <v>2048</v>
      </c>
      <c r="E498" s="98" t="str">
        <f t="array" ref="E498">INDEX('MTA 28-09'!F:F,MATCH(B498,'MTA 28-09'!A:A,0))</f>
        <v>ATENDER</v>
      </c>
      <c r="F498" s="144" t="str">
        <f t="array" ref="F498">INDEX('MTA 28-09'!I:I,MATCH(B498,'MTA 28-09'!A:A,0))</f>
        <v/>
      </c>
      <c r="G498" s="100" t="str">
        <f t="array" ref="G498">INDEX('MTA 28-09'!J:J,MATCH(B498,'MTA 28-09'!A:A,0))</f>
        <v/>
      </c>
      <c r="H498" s="159">
        <v>46276.0</v>
      </c>
      <c r="I498" s="90" t="s">
        <v>1591</v>
      </c>
      <c r="J498" s="102"/>
      <c r="K498" s="103"/>
      <c r="L498" s="102" t="str">
        <f t="array" ref="L498">INDEX('MTA 28-09'!S:S,MATCH(B498,'MTA 28-09'!A:A,0))</f>
        <v>A-29</v>
      </c>
      <c r="M498" s="98" t="str">
        <f t="array" ref="M498">INDEX('MTA 28-09'!T:T,MATCH(B498,'MTA 28-09'!A:A,0))</f>
        <v>CTT 102/CELOG-PAMALS/2023 – EMBRAER - PSLI</v>
      </c>
      <c r="N498" s="98" t="str">
        <f t="array" ref="N498">INDEX('MTA 28-09'!U:U,MATCH(B498,'MTA 28-09'!A:A,0))</f>
        <v>Parcela Fixa 11/12</v>
      </c>
      <c r="O498" s="104">
        <f t="array" ref="O498">INDEX('MTA 28-09'!AC:AC,MATCH(B498,'MTA 28-09'!A:A,0))</f>
        <v>2310000</v>
      </c>
      <c r="P498" s="98" t="str">
        <f t="array" ref="P498">INDEX('MTA 28-09'!N:N,MATCH(B498,'MTA 28-09'!A:A,0))</f>
        <v>CELOG</v>
      </c>
      <c r="Q498" s="105" t="str">
        <f t="array" ref="Q498">INDEX('MTA 28-09'!Z:Z,MATCH(B498,'MTA 28-09'!A:A,0))</f>
        <v>339039</v>
      </c>
      <c r="R498" s="98" t="str">
        <f t="array" ref="R498">INDEX('MTA 28-09'!L:L,MATCH(B498,'MTA 28-09'!A:A,0))</f>
        <v>A</v>
      </c>
      <c r="S498" s="107" t="str">
        <f t="array" ref="S498">INDEX('MTA 28-09'!X:X,MATCH(B498,'MTA 28-09'!A:A,0))</f>
        <v>PARCELA FIXA</v>
      </c>
      <c r="T498" s="107" t="str">
        <f t="array" ref="T498">INDEX('MTA 28-09'!W:W,MATCH(B498,'MTA 28-09'!A:A,0))</f>
        <v>Não</v>
      </c>
      <c r="U498" s="109">
        <f t="array" ref="U498">INDEX('MTA 28-09'!AE:AE,MATCH(B498,'MTA 28-09'!A:A,0))</f>
        <v>46049</v>
      </c>
      <c r="V498" s="29"/>
      <c r="W498" s="29"/>
      <c r="X498" s="29"/>
      <c r="Y498" s="29"/>
      <c r="Z498" s="29"/>
      <c r="AA498" s="29"/>
      <c r="AB498" s="29"/>
      <c r="AC498" s="29"/>
      <c r="AD498" s="29"/>
      <c r="AE498" s="29"/>
      <c r="AF498" s="29"/>
      <c r="AG498" s="29"/>
      <c r="AH498" s="29"/>
      <c r="AI498" s="29"/>
      <c r="AJ498" s="29"/>
      <c r="AK498" s="29"/>
      <c r="AL498" s="29"/>
      <c r="AM498" s="29"/>
    </row>
    <row r="499">
      <c r="A499" s="31" t="s">
        <v>43</v>
      </c>
      <c r="B499" s="32">
        <v>18040.0</v>
      </c>
      <c r="C499" s="33" t="str">
        <f t="array" ref="C499">INDEX('MTA 28-09'!B:B,MATCH(B499,'MTA 28-09'!A:A,0))</f>
        <v>SIM</v>
      </c>
      <c r="D499" s="34">
        <f t="array" ref="D499">INDEX('MTA 28-09'!D:D,MATCH(B499,'MTA 28-09'!A:A,0))</f>
        <v>2048</v>
      </c>
      <c r="E499" s="32" t="str">
        <f t="array" ref="E499">INDEX('MTA 28-09'!F:F,MATCH(B499,'MTA 28-09'!A:A,0))</f>
        <v>ATENDIDO</v>
      </c>
      <c r="F499" s="384">
        <f t="array" ref="F499">INDEX('MTA 28-09'!I:I,MATCH(B499,'MTA 28-09'!A:A,0))</f>
        <v>46191</v>
      </c>
      <c r="G499" s="36" t="str">
        <f t="array" ref="G499">INDEX('MTA 28-09'!J:J,MATCH(B499,'MTA 28-09'!A:A,0))</f>
        <v>C26311</v>
      </c>
      <c r="H499" s="287" t="s">
        <v>157</v>
      </c>
      <c r="I499" s="295"/>
      <c r="J499" s="39"/>
      <c r="K499" s="40"/>
      <c r="L499" s="39" t="str">
        <f t="array" ref="L499">INDEX('MTA 28-09'!S:S,MATCH(B499,'MTA 28-09'!A:A,0))</f>
        <v>C-95M</v>
      </c>
      <c r="M499" s="32" t="str">
        <f t="array" ref="M499">INDEX('MTA 28-09'!T:T,MATCH(B499,'MTA 28-09'!A:A,0))</f>
        <v>CNT 018/CELOG-PAMASP/2026 - SERVIÇO - TOFI</v>
      </c>
      <c r="N499" s="32" t="str">
        <f t="array" ref="N499">INDEX('MTA 28-09'!U:U,MATCH(B499,'MTA 28-09'!A:A,0))</f>
        <v>Reparo de estatores dos geradores DO C95/T/27 - TOEG</v>
      </c>
      <c r="O499" s="59">
        <f t="array" ref="O499">INDEX('MTA 28-09'!AC:AC,MATCH(B499,'MTA 28-09'!A:A,0))</f>
        <v>160000</v>
      </c>
      <c r="P499" s="32" t="str">
        <f t="array" ref="P499">INDEX('MTA 28-09'!N:N,MATCH(B499,'MTA 28-09'!A:A,0))</f>
        <v>CELOG</v>
      </c>
      <c r="Q499" s="67" t="str">
        <f t="array" ref="Q499">INDEX('MTA 28-09'!Z:Z,MATCH(B499,'MTA 28-09'!A:A,0))</f>
        <v>339039</v>
      </c>
      <c r="R499" s="32" t="str">
        <f t="array" ref="R499">INDEX('MTA 28-09'!L:L,MATCH(B499,'MTA 28-09'!A:A,0))</f>
        <v>A</v>
      </c>
      <c r="S499" s="72" t="str">
        <f t="array" ref="S499">INDEX('MTA 28-09'!X:X,MATCH(B499,'MTA 28-09'!A:A,0))</f>
        <v>PARCELA FIXA</v>
      </c>
      <c r="T499" s="72" t="str">
        <f t="array" ref="T499">INDEX('MTA 28-09'!W:W,MATCH(B499,'MTA 28-09'!A:A,0))</f>
        <v>NÃO</v>
      </c>
      <c r="U499" s="81">
        <f t="array" ref="U499">INDEX('MTA 28-09'!AE:AE,MATCH(B499,'MTA 28-09'!A:A,0))</f>
        <v>46382</v>
      </c>
      <c r="V499" s="12"/>
      <c r="W499" s="12"/>
      <c r="X499" s="12"/>
      <c r="Y499" s="12"/>
      <c r="Z499" s="12"/>
      <c r="AA499" s="12"/>
      <c r="AB499" s="12"/>
      <c r="AC499" s="12"/>
      <c r="AD499" s="12"/>
      <c r="AE499" s="12"/>
      <c r="AF499" s="12"/>
      <c r="AG499" s="12"/>
      <c r="AH499" s="12"/>
      <c r="AI499" s="12"/>
      <c r="AJ499" s="12"/>
      <c r="AK499" s="12"/>
      <c r="AL499" s="12"/>
      <c r="AM499" s="12"/>
    </row>
    <row r="500">
      <c r="A500" s="88" t="s">
        <v>44</v>
      </c>
      <c r="B500" s="98">
        <v>18060.0</v>
      </c>
      <c r="C500" s="92" t="str">
        <f t="array" ref="C500">INDEX('MTA 28-09'!B:B,MATCH(B500,'MTA 28-09'!A:A,0))</f>
        <v>SIM</v>
      </c>
      <c r="D500" s="95">
        <f t="array" ref="D500">INDEX('MTA 28-09'!D:D,MATCH(B500,'MTA 28-09'!A:A,0))</f>
        <v>2048</v>
      </c>
      <c r="E500" s="98" t="str">
        <f t="array" ref="E500">INDEX('MTA 28-09'!F:F,MATCH(B500,'MTA 28-09'!A:A,0))</f>
        <v>CANCELADO</v>
      </c>
      <c r="F500" s="99" t="str">
        <f t="array" ref="F500">INDEX('MTA 28-09'!I:I,MATCH(B500,'MTA 28-09'!A:A,0))</f>
        <v/>
      </c>
      <c r="G500" s="100" t="str">
        <f t="array" ref="G500">INDEX('MTA 28-09'!J:J,MATCH(B500,'MTA 28-09'!A:A,0))</f>
        <v/>
      </c>
      <c r="H500" s="153">
        <v>46276.0</v>
      </c>
      <c r="I500" s="154" t="s">
        <v>1600</v>
      </c>
      <c r="J500" s="102"/>
      <c r="K500" s="103"/>
      <c r="L500" s="102" t="str">
        <f t="array" ref="L500">INDEX('MTA 28-09'!S:S,MATCH(B500,'MTA 28-09'!A:A,0))</f>
        <v>C-97</v>
      </c>
      <c r="M500" s="98" t="str">
        <f t="array" ref="M500">INDEX('MTA 28-09'!T:T,MATCH(B500,'MTA 28-09'!A:A,0))</f>
        <v>CTT 096/CAE-PAMALS/2021 - CLS C-97</v>
      </c>
      <c r="N500" s="98" t="str">
        <f t="array" ref="N500">INDEX('MTA 28-09'!U:U,MATCH(B500,'MTA 28-09'!A:A,0))</f>
        <v>Parcela Fixa 12/12</v>
      </c>
      <c r="O500" s="104" t="str">
        <f t="array" ref="O500">INDEX('MTA 28-09'!AC:AC,MATCH(B500,'MTA 28-09'!A:A,0))</f>
        <v> -</v>
      </c>
      <c r="P500" s="98" t="str">
        <f t="array" ref="P500">INDEX('MTA 28-09'!N:N,MATCH(B500,'MTA 28-09'!A:A,0))</f>
        <v>CELOG</v>
      </c>
      <c r="Q500" s="105" t="str">
        <f t="array" ref="Q500">INDEX('MTA 28-09'!Z:Z,MATCH(B500,'MTA 28-09'!A:A,0))</f>
        <v>339039</v>
      </c>
      <c r="R500" s="98" t="str">
        <f t="array" ref="R500">INDEX('MTA 28-09'!L:L,MATCH(B500,'MTA 28-09'!A:A,0))</f>
        <v>A</v>
      </c>
      <c r="S500" s="107" t="str">
        <f t="array" ref="S500">INDEX('MTA 28-09'!X:X,MATCH(B500,'MTA 28-09'!A:A,0))</f>
        <v>PARCELA FIXA</v>
      </c>
      <c r="T500" s="107" t="str">
        <f t="array" ref="T500">INDEX('MTA 28-09'!W:W,MATCH(B500,'MTA 28-09'!A:A,0))</f>
        <v>Não</v>
      </c>
      <c r="U500" s="109">
        <f t="array" ref="U500">INDEX('MTA 28-09'!AE:AE,MATCH(B500,'MTA 28-09'!A:A,0))</f>
        <v>46080</v>
      </c>
      <c r="V500" s="29"/>
      <c r="W500" s="29"/>
      <c r="X500" s="29"/>
      <c r="Y500" s="29"/>
      <c r="Z500" s="29"/>
      <c r="AA500" s="29"/>
      <c r="AB500" s="29"/>
      <c r="AC500" s="29"/>
      <c r="AD500" s="29"/>
      <c r="AE500" s="29"/>
      <c r="AF500" s="29"/>
      <c r="AG500" s="29"/>
      <c r="AH500" s="29"/>
      <c r="AI500" s="29"/>
      <c r="AJ500" s="29"/>
      <c r="AK500" s="29"/>
      <c r="AL500" s="29"/>
      <c r="AM500" s="29"/>
    </row>
    <row r="501">
      <c r="A501" s="31" t="s">
        <v>39</v>
      </c>
      <c r="B501" s="32">
        <v>18080.0</v>
      </c>
      <c r="C501" s="33" t="str">
        <f t="array" ref="C501">INDEX('MTA 28-09'!B:B,MATCH(B501,'MTA 28-09'!A:A,0))</f>
        <v>SIM</v>
      </c>
      <c r="D501" s="34">
        <f t="array" ref="D501">INDEX('MTA 28-09'!D:D,MATCH(B501,'MTA 28-09'!A:A,0))</f>
        <v>2048</v>
      </c>
      <c r="E501" s="32" t="str">
        <f t="array" ref="E501">INDEX('MTA 28-09'!F:F,MATCH(B501,'MTA 28-09'!A:A,0))</f>
        <v>ATENDER</v>
      </c>
      <c r="F501" s="155" t="str">
        <f t="array" ref="F501">INDEX('MTA 28-09'!I:I,MATCH(B501,'MTA 28-09'!A:A,0))</f>
        <v/>
      </c>
      <c r="G501" s="36" t="str">
        <f t="array" ref="G501">INDEX('MTA 28-09'!J:J,MATCH(B501,'MTA 28-09'!A:A,0))</f>
        <v/>
      </c>
      <c r="H501" s="287">
        <v>46276.0</v>
      </c>
      <c r="I501" s="38" t="s">
        <v>1569</v>
      </c>
      <c r="J501" s="39"/>
      <c r="K501" s="40"/>
      <c r="L501" s="39" t="str">
        <f t="array" ref="L501">INDEX('MTA 28-09'!S:S,MATCH(B501,'MTA 28-09'!A:A,0))</f>
        <v>A-29</v>
      </c>
      <c r="M501" s="32" t="str">
        <f t="array" ref="M501">INDEX('MTA 28-09'!T:T,MATCH(B501,'MTA 28-09'!A:A,0))</f>
        <v>CNT 040/CELOG-PAMALS/2022 - AEL - CLS AVIONICO</v>
      </c>
      <c r="N501" s="32" t="str">
        <f t="array" ref="N501">INDEX('MTA 28-09'!U:U,MATCH(B501,'MTA 28-09'!A:A,0))</f>
        <v>Hora de Voo 10/10 - 1000HV</v>
      </c>
      <c r="O501" s="59">
        <f t="array" ref="O501">INDEX('MTA 28-09'!AC:AC,MATCH(B501,'MTA 28-09'!A:A,0))</f>
        <v>1057110</v>
      </c>
      <c r="P501" s="32" t="str">
        <f t="array" ref="P501">INDEX('MTA 28-09'!N:N,MATCH(B501,'MTA 28-09'!A:A,0))</f>
        <v>CELOG</v>
      </c>
      <c r="Q501" s="67" t="str">
        <f t="array" ref="Q501">INDEX('MTA 28-09'!Z:Z,MATCH(B501,'MTA 28-09'!A:A,0))</f>
        <v>339039</v>
      </c>
      <c r="R501" s="32" t="str">
        <f t="array" ref="R501">INDEX('MTA 28-09'!L:L,MATCH(B501,'MTA 28-09'!A:A,0))</f>
        <v>A</v>
      </c>
      <c r="S501" s="72" t="str">
        <f t="array" ref="S501">INDEX('MTA 28-09'!X:X,MATCH(B501,'MTA 28-09'!A:A,0))</f>
        <v>HORA DE VOO</v>
      </c>
      <c r="T501" s="72" t="str">
        <f t="array" ref="T501">INDEX('MTA 28-09'!W:W,MATCH(B501,'MTA 28-09'!A:A,0))</f>
        <v>Não</v>
      </c>
      <c r="U501" s="81">
        <f t="array" ref="U501">INDEX('MTA 28-09'!AE:AE,MATCH(B501,'MTA 28-09'!A:A,0))</f>
        <v>46382</v>
      </c>
      <c r="V501" s="12"/>
      <c r="W501" s="12"/>
      <c r="X501" s="12"/>
      <c r="Y501" s="12"/>
      <c r="Z501" s="12"/>
      <c r="AA501" s="12"/>
      <c r="AB501" s="12"/>
      <c r="AC501" s="12"/>
      <c r="AD501" s="12"/>
      <c r="AE501" s="12"/>
      <c r="AF501" s="12"/>
      <c r="AG501" s="12"/>
      <c r="AH501" s="12"/>
      <c r="AI501" s="12"/>
      <c r="AJ501" s="12"/>
      <c r="AK501" s="12"/>
      <c r="AL501" s="12"/>
      <c r="AM501" s="12"/>
    </row>
    <row r="502">
      <c r="A502" s="88" t="s">
        <v>39</v>
      </c>
      <c r="B502" s="98">
        <v>18081.0</v>
      </c>
      <c r="C502" s="92" t="str">
        <f t="array" ref="C502">INDEX('MTA 28-09'!B:B,MATCH(B502,'MTA 28-09'!A:A,0))</f>
        <v>SIM</v>
      </c>
      <c r="D502" s="95">
        <f t="array" ref="D502">INDEX('MTA 28-09'!D:D,MATCH(B502,'MTA 28-09'!A:A,0))</f>
        <v>2048</v>
      </c>
      <c r="E502" s="98" t="str">
        <f t="array" ref="E502">INDEX('MTA 28-09'!F:F,MATCH(B502,'MTA 28-09'!A:A,0))</f>
        <v>ATENDER</v>
      </c>
      <c r="F502" s="144" t="str">
        <f t="array" ref="F502">INDEX('MTA 28-09'!I:I,MATCH(B502,'MTA 28-09'!A:A,0))</f>
        <v/>
      </c>
      <c r="G502" s="100" t="str">
        <f t="array" ref="G502">INDEX('MTA 28-09'!J:J,MATCH(B502,'MTA 28-09'!A:A,0))</f>
        <v/>
      </c>
      <c r="H502" s="159">
        <v>46276.0</v>
      </c>
      <c r="I502" s="90" t="s">
        <v>1591</v>
      </c>
      <c r="J502" s="102"/>
      <c r="K502" s="103"/>
      <c r="L502" s="102" t="str">
        <f t="array" ref="L502">INDEX('MTA 28-09'!S:S,MATCH(B502,'MTA 28-09'!A:A,0))</f>
        <v>A-29</v>
      </c>
      <c r="M502" s="98" t="str">
        <f t="array" ref="M502">INDEX('MTA 28-09'!T:T,MATCH(B502,'MTA 28-09'!A:A,0))</f>
        <v>CNT 040/CELOG-PAMALS/2022 - AEL - CLS AVIONICO</v>
      </c>
      <c r="N502" s="98" t="str">
        <f t="array" ref="N502">INDEX('MTA 28-09'!U:U,MATCH(B502,'MTA 28-09'!A:A,0))</f>
        <v>Hora de Voo 10/10 - 450HV</v>
      </c>
      <c r="O502" s="104">
        <f t="array" ref="O502">INDEX('MTA 28-09'!AC:AC,MATCH(B502,'MTA 28-09'!A:A,0))</f>
        <v>475700</v>
      </c>
      <c r="P502" s="98" t="str">
        <f t="array" ref="P502">INDEX('MTA 28-09'!N:N,MATCH(B502,'MTA 28-09'!A:A,0))</f>
        <v>CELOG</v>
      </c>
      <c r="Q502" s="105" t="str">
        <f t="array" ref="Q502">INDEX('MTA 28-09'!Z:Z,MATCH(B502,'MTA 28-09'!A:A,0))</f>
        <v>339039</v>
      </c>
      <c r="R502" s="98" t="str">
        <f t="array" ref="R502">INDEX('MTA 28-09'!L:L,MATCH(B502,'MTA 28-09'!A:A,0))</f>
        <v>A</v>
      </c>
      <c r="S502" s="107" t="str">
        <f t="array" ref="S502">INDEX('MTA 28-09'!X:X,MATCH(B502,'MTA 28-09'!A:A,0))</f>
        <v>HORA DE VOO</v>
      </c>
      <c r="T502" s="107" t="str">
        <f t="array" ref="T502">INDEX('MTA 28-09'!W:W,MATCH(B502,'MTA 28-09'!A:A,0))</f>
        <v>Não</v>
      </c>
      <c r="U502" s="109">
        <f t="array" ref="U502">INDEX('MTA 28-09'!AE:AE,MATCH(B502,'MTA 28-09'!A:A,0))</f>
        <v>46080</v>
      </c>
      <c r="V502" s="29"/>
      <c r="W502" s="29"/>
      <c r="X502" s="29"/>
      <c r="Y502" s="29"/>
      <c r="Z502" s="29"/>
      <c r="AA502" s="29"/>
      <c r="AB502" s="29"/>
      <c r="AC502" s="29"/>
      <c r="AD502" s="29"/>
      <c r="AE502" s="29"/>
      <c r="AF502" s="29"/>
      <c r="AG502" s="29"/>
      <c r="AH502" s="29"/>
      <c r="AI502" s="29"/>
      <c r="AJ502" s="29"/>
      <c r="AK502" s="29"/>
      <c r="AL502" s="29"/>
      <c r="AM502" s="29"/>
    </row>
    <row r="503">
      <c r="A503" s="31" t="s">
        <v>39</v>
      </c>
      <c r="B503" s="32">
        <v>18100.0</v>
      </c>
      <c r="C503" s="33" t="str">
        <f t="array" ref="C503">INDEX('MTA 28-09'!B:B,MATCH(B503,'MTA 28-09'!A:A,0))</f>
        <v>SIM</v>
      </c>
      <c r="D503" s="34">
        <f t="array" ref="D503">INDEX('MTA 28-09'!D:D,MATCH(B503,'MTA 28-09'!A:A,0))</f>
        <v>2048</v>
      </c>
      <c r="E503" s="32" t="str">
        <f t="array" ref="E503">INDEX('MTA 28-09'!F:F,MATCH(B503,'MTA 28-09'!A:A,0))</f>
        <v>ATENDER</v>
      </c>
      <c r="F503" s="137" t="str">
        <f t="array" ref="F503">INDEX('MTA 28-09'!I:I,MATCH(B503,'MTA 28-09'!A:A,0))</f>
        <v/>
      </c>
      <c r="G503" s="36" t="str">
        <f t="array" ref="G503">INDEX('MTA 28-09'!J:J,MATCH(B503,'MTA 28-09'!A:A,0))</f>
        <v/>
      </c>
      <c r="H503" s="37" t="s">
        <v>1451</v>
      </c>
      <c r="I503" s="38" t="s">
        <v>293</v>
      </c>
      <c r="J503" s="39"/>
      <c r="K503" s="40"/>
      <c r="L503" s="39" t="str">
        <f t="array" ref="L503">INDEX('MTA 28-09'!S:S,MATCH(B503,'MTA 28-09'!A:A,0))</f>
        <v>A-29</v>
      </c>
      <c r="M503" s="32" t="str">
        <f t="array" ref="M503">INDEX('MTA 28-09'!T:T,MATCH(B503,'MTA 28-09'!A:A,0))</f>
        <v>CTT 102/CELOG-PAMALS/2023 – EMBRAER - PSLI</v>
      </c>
      <c r="N503" s="32" t="str">
        <f t="array" ref="N503">INDEX('MTA 28-09'!U:U,MATCH(B503,'MTA 28-09'!A:A,0))</f>
        <v>Hora de Voo 09/10 - 1000 HV</v>
      </c>
      <c r="O503" s="59">
        <f t="array" ref="O503">INDEX('MTA 28-09'!AC:AC,MATCH(B503,'MTA 28-09'!A:A,0))</f>
        <v>4072680</v>
      </c>
      <c r="P503" s="32" t="str">
        <f t="array" ref="P503">INDEX('MTA 28-09'!N:N,MATCH(B503,'MTA 28-09'!A:A,0))</f>
        <v>CELOG</v>
      </c>
      <c r="Q503" s="67" t="str">
        <f t="array" ref="Q503">INDEX('MTA 28-09'!Z:Z,MATCH(B503,'MTA 28-09'!A:A,0))</f>
        <v>339039</v>
      </c>
      <c r="R503" s="32" t="str">
        <f t="array" ref="R503">INDEX('MTA 28-09'!L:L,MATCH(B503,'MTA 28-09'!A:A,0))</f>
        <v>A</v>
      </c>
      <c r="S503" s="72" t="str">
        <f t="array" ref="S503">INDEX('MTA 28-09'!X:X,MATCH(B503,'MTA 28-09'!A:A,0))</f>
        <v>HORA DE VOO</v>
      </c>
      <c r="T503" s="72" t="str">
        <f t="array" ref="T503">INDEX('MTA 28-09'!W:W,MATCH(B503,'MTA 28-09'!A:A,0))</f>
        <v>Não</v>
      </c>
      <c r="U503" s="81">
        <f t="array" ref="U503">INDEX('MTA 28-09'!AE:AE,MATCH(B503,'MTA 28-09'!A:A,0))</f>
        <v>46352</v>
      </c>
      <c r="V503" s="12"/>
      <c r="W503" s="12"/>
      <c r="X503" s="12"/>
      <c r="Y503" s="12"/>
      <c r="Z503" s="12"/>
      <c r="AA503" s="12"/>
      <c r="AB503" s="12"/>
      <c r="AC503" s="12"/>
      <c r="AD503" s="12"/>
      <c r="AE503" s="12"/>
      <c r="AF503" s="12"/>
      <c r="AG503" s="12"/>
      <c r="AH503" s="12"/>
      <c r="AI503" s="12"/>
      <c r="AJ503" s="12"/>
      <c r="AK503" s="12"/>
      <c r="AL503" s="12"/>
      <c r="AM503" s="12"/>
    </row>
    <row r="504">
      <c r="A504" s="88" t="s">
        <v>43</v>
      </c>
      <c r="B504" s="98">
        <v>18120.0</v>
      </c>
      <c r="C504" s="92" t="str">
        <f t="array" ref="C504">INDEX('MTA 28-09'!B:B,MATCH(B504,'MTA 28-09'!A:A,0))</f>
        <v>NÃO</v>
      </c>
      <c r="D504" s="95" t="str">
        <f t="array" ref="D504">INDEX('MTA 28-09'!D:D,MATCH(B504,'MTA 28-09'!A:A,0))</f>
        <v/>
      </c>
      <c r="E504" s="98" t="str">
        <f t="array" ref="E504">INDEX('MTA 28-09'!F:F,MATCH(B504,'MTA 28-09'!A:A,0))</f>
        <v/>
      </c>
      <c r="F504" s="152" t="str">
        <f t="array" ref="F504">INDEX('MTA 28-09'!I:I,MATCH(B504,'MTA 28-09'!A:A,0))</f>
        <v/>
      </c>
      <c r="G504" s="100" t="str">
        <f t="array" ref="G504">INDEX('MTA 28-09'!J:J,MATCH(B504,'MTA 28-09'!A:A,0))</f>
        <v/>
      </c>
      <c r="H504" s="159" t="s">
        <v>157</v>
      </c>
      <c r="I504" s="296"/>
      <c r="J504" s="102"/>
      <c r="K504" s="103"/>
      <c r="L504" s="102" t="str">
        <f t="array" ref="L504">INDEX('MTA 28-09'!S:S,MATCH(B504,'MTA 28-09'!A:A,0))</f>
        <v>C-95M</v>
      </c>
      <c r="M504" s="98" t="str">
        <f t="array" ref="M504">INDEX('MTA 28-09'!T:T,MATCH(B504,'MTA 28-09'!A:A,0))</f>
        <v>CTT 028/CELOG-PAMALS/2025 – CLS AVIÔNICOS</v>
      </c>
      <c r="N504" s="98" t="str">
        <f t="array" ref="N504">INDEX('MTA 28-09'!U:U,MATCH(B504,'MTA 28-09'!A:A,0))</f>
        <v>Hora de Voo 09/09 - 1000 HV</v>
      </c>
      <c r="O504" s="104">
        <f t="array" ref="O504">INDEX('MTA 28-09'!AC:AC,MATCH(B504,'MTA 28-09'!A:A,0))</f>
        <v>619070</v>
      </c>
      <c r="P504" s="98" t="str">
        <f t="array" ref="P504">INDEX('MTA 28-09'!N:N,MATCH(B504,'MTA 28-09'!A:A,0))</f>
        <v>CELOG</v>
      </c>
      <c r="Q504" s="105" t="str">
        <f t="array" ref="Q504">INDEX('MTA 28-09'!Z:Z,MATCH(B504,'MTA 28-09'!A:A,0))</f>
        <v>339039</v>
      </c>
      <c r="R504" s="98" t="str">
        <f t="array" ref="R504">INDEX('MTA 28-09'!L:L,MATCH(B504,'MTA 28-09'!A:A,0))</f>
        <v>C</v>
      </c>
      <c r="S504" s="107" t="str">
        <f t="array" ref="S504">INDEX('MTA 28-09'!X:X,MATCH(B504,'MTA 28-09'!A:A,0))</f>
        <v>HORA DE VOO</v>
      </c>
      <c r="T504" s="107" t="str">
        <f t="array" ref="T504">INDEX('MTA 28-09'!W:W,MATCH(B504,'MTA 28-09'!A:A,0))</f>
        <v>Não</v>
      </c>
      <c r="U504" s="109">
        <f t="array" ref="U504">INDEX('MTA 28-09'!AE:AE,MATCH(B504,'MTA 28-09'!A:A,0))</f>
        <v>46049</v>
      </c>
      <c r="V504" s="29"/>
      <c r="W504" s="29"/>
      <c r="X504" s="29"/>
      <c r="Y504" s="29"/>
      <c r="Z504" s="29"/>
      <c r="AA504" s="29"/>
      <c r="AB504" s="29"/>
      <c r="AC504" s="29"/>
      <c r="AD504" s="29"/>
      <c r="AE504" s="29"/>
      <c r="AF504" s="29"/>
      <c r="AG504" s="29"/>
      <c r="AH504" s="29"/>
      <c r="AI504" s="29"/>
      <c r="AJ504" s="29"/>
      <c r="AK504" s="29"/>
      <c r="AL504" s="29"/>
      <c r="AM504" s="29"/>
    </row>
    <row r="505">
      <c r="A505" s="31" t="s">
        <v>45</v>
      </c>
      <c r="B505" s="32">
        <v>18140.0</v>
      </c>
      <c r="C505" s="33" t="str">
        <f t="array" ref="C505">INDEX('MTA 28-09'!B:B,MATCH(B505,'MTA 28-09'!A:A,0))</f>
        <v>SIM</v>
      </c>
      <c r="D505" s="34">
        <f t="array" ref="D505">INDEX('MTA 28-09'!D:D,MATCH(B505,'MTA 28-09'!A:A,0))</f>
        <v>2048</v>
      </c>
      <c r="E505" s="32" t="str">
        <f t="array" ref="E505">INDEX('MTA 28-09'!F:F,MATCH(B505,'MTA 28-09'!A:A,0))</f>
        <v/>
      </c>
      <c r="F505" s="137" t="str">
        <f t="array" ref="F505">INDEX('MTA 28-09'!I:I,MATCH(B505,'MTA 28-09'!A:A,0))</f>
        <v/>
      </c>
      <c r="G505" s="36" t="str">
        <f t="array" ref="G505">INDEX('MTA 28-09'!J:J,MATCH(B505,'MTA 28-09'!A:A,0))</f>
        <v/>
      </c>
      <c r="H505" s="287">
        <v>46276.0</v>
      </c>
      <c r="I505" s="38" t="s">
        <v>1601</v>
      </c>
      <c r="J505" s="39"/>
      <c r="K505" s="40"/>
      <c r="L505" s="39" t="str">
        <f t="array" ref="L505">INDEX('MTA 28-09'!S:S,MATCH(B505,'MTA 28-09'!A:A,0))</f>
        <v>C-98</v>
      </c>
      <c r="M505" s="32" t="str">
        <f t="array" ref="M505">INDEX('MTA 28-09'!T:T,MATCH(B505,'MTA 28-09'!A:A,0))</f>
        <v>CNT 005/CELOG-PAMALS/2025 - VEE ONE</v>
      </c>
      <c r="N505" s="32" t="str">
        <f t="array" ref="N505">INDEX('MTA 28-09'!U:U,MATCH(B505,'MTA 28-09'!A:A,0))</f>
        <v>Hora de Voo 10/10 - 760 HV</v>
      </c>
      <c r="O505" s="59">
        <f t="array" ref="O505">INDEX('MTA 28-09'!AC:AC,MATCH(B505,'MTA 28-09'!A:A,0))</f>
        <v>1295422.28</v>
      </c>
      <c r="P505" s="32" t="str">
        <f t="array" ref="P505">INDEX('MTA 28-09'!N:N,MATCH(B505,'MTA 28-09'!A:A,0))</f>
        <v>CELOG</v>
      </c>
      <c r="Q505" s="67" t="str">
        <f t="array" ref="Q505">INDEX('MTA 28-09'!Z:Z,MATCH(B505,'MTA 28-09'!A:A,0))</f>
        <v>339039</v>
      </c>
      <c r="R505" s="32" t="str">
        <f t="array" ref="R505">INDEX('MTA 28-09'!L:L,MATCH(B505,'MTA 28-09'!A:A,0))</f>
        <v>A</v>
      </c>
      <c r="S505" s="72" t="str">
        <f t="array" ref="S505">INDEX('MTA 28-09'!X:X,MATCH(B505,'MTA 28-09'!A:A,0))</f>
        <v>HORA DE VOO</v>
      </c>
      <c r="T505" s="72" t="str">
        <f t="array" ref="T505">INDEX('MTA 28-09'!W:W,MATCH(B505,'MTA 28-09'!A:A,0))</f>
        <v>Não</v>
      </c>
      <c r="U505" s="81">
        <f t="array" ref="U505">INDEX('MTA 28-09'!AE:AE,MATCH(B505,'MTA 28-09'!A:A,0))</f>
        <v>46049</v>
      </c>
      <c r="V505" s="12"/>
      <c r="W505" s="12"/>
      <c r="X505" s="12"/>
      <c r="Y505" s="12"/>
      <c r="Z505" s="12"/>
      <c r="AA505" s="12"/>
      <c r="AB505" s="12"/>
      <c r="AC505" s="12"/>
      <c r="AD505" s="12"/>
      <c r="AE505" s="12"/>
      <c r="AF505" s="12"/>
      <c r="AG505" s="12"/>
      <c r="AH505" s="12"/>
      <c r="AI505" s="12"/>
      <c r="AJ505" s="12"/>
      <c r="AK505" s="12"/>
      <c r="AL505" s="12"/>
      <c r="AM505" s="12"/>
    </row>
    <row r="506">
      <c r="A506" s="88" t="s">
        <v>49</v>
      </c>
      <c r="B506" s="98">
        <v>18160.0</v>
      </c>
      <c r="C506" s="92" t="str">
        <f t="array" ref="C506">INDEX('MTA 28-09'!B:B,MATCH(B506,'MTA 28-09'!A:A,0))</f>
        <v>SIM</v>
      </c>
      <c r="D506" s="95" t="str">
        <f t="array" ref="D506">INDEX('MTA 28-09'!D:D,MATCH(B506,'MTA 28-09'!A:A,0))</f>
        <v>20XV</v>
      </c>
      <c r="E506" s="98" t="str">
        <f t="array" ref="E506">INDEX('MTA 28-09'!F:F,MATCH(B506,'MTA 28-09'!A:A,0))</f>
        <v>ATENDIDO</v>
      </c>
      <c r="F506" s="144">
        <f t="array" ref="F506">INDEX('MTA 28-09'!I:I,MATCH(B506,'MTA 28-09'!A:A,0))</f>
        <v>46210</v>
      </c>
      <c r="G506" s="100" t="str">
        <f t="array" ref="G506">INDEX('MTA 28-09'!J:J,MATCH(B506,'MTA 28-09'!A:A,0))</f>
        <v>C26152</v>
      </c>
      <c r="H506" s="159" t="s">
        <v>157</v>
      </c>
      <c r="I506" s="296"/>
      <c r="J506" s="102"/>
      <c r="K506" s="103"/>
      <c r="L506" s="102" t="str">
        <f t="array" ref="L506">INDEX('MTA 28-09'!S:S,MATCH(B506,'MTA 28-09'!A:A,0))</f>
        <v>IU-93M</v>
      </c>
      <c r="M506" s="98" t="str">
        <f t="array" ref="M506">INDEX('MTA 28-09'!T:T,MATCH(B506,'MTA 28-09'!A:A,0))</f>
        <v>CNT 024/CELOG-PAMALS/2022 - VEE ONE</v>
      </c>
      <c r="N506" s="98" t="str">
        <f t="array" ref="N506">INDEX('MTA 28-09'!U:U,MATCH(B506,'MTA 28-09'!A:A,0))</f>
        <v>Hora de Voo 11/12 (100HV)</v>
      </c>
      <c r="O506" s="104">
        <f t="array" ref="O506">INDEX('MTA 28-09'!AC:AC,MATCH(B506,'MTA 28-09'!A:A,0))</f>
        <v>1892821</v>
      </c>
      <c r="P506" s="98" t="str">
        <f t="array" ref="P506">INDEX('MTA 28-09'!N:N,MATCH(B506,'MTA 28-09'!A:A,0))</f>
        <v>CELOG</v>
      </c>
      <c r="Q506" s="105" t="str">
        <f t="array" ref="Q506">INDEX('MTA 28-09'!Z:Z,MATCH(B506,'MTA 28-09'!A:A,0))</f>
        <v>339039</v>
      </c>
      <c r="R506" s="98" t="str">
        <f t="array" ref="R506">INDEX('MTA 28-09'!L:L,MATCH(B506,'MTA 28-09'!A:A,0))</f>
        <v>A</v>
      </c>
      <c r="S506" s="107" t="str">
        <f t="array" ref="S506">INDEX('MTA 28-09'!X:X,MATCH(B506,'MTA 28-09'!A:A,0))</f>
        <v>HORA DE VOO</v>
      </c>
      <c r="T506" s="107" t="str">
        <f t="array" ref="T506">INDEX('MTA 28-09'!W:W,MATCH(B506,'MTA 28-09'!A:A,0))</f>
        <v>Não</v>
      </c>
      <c r="U506" s="109">
        <f t="array" ref="U506">INDEX('MTA 28-09'!AE:AE,MATCH(B506,'MTA 28-09'!A:A,0))</f>
        <v>46382</v>
      </c>
      <c r="V506" s="29"/>
      <c r="W506" s="29"/>
      <c r="X506" s="29"/>
      <c r="Y506" s="29"/>
      <c r="Z506" s="29"/>
      <c r="AA506" s="29"/>
      <c r="AB506" s="29"/>
      <c r="AC506" s="29"/>
      <c r="AD506" s="29"/>
      <c r="AE506" s="29"/>
      <c r="AF506" s="29"/>
      <c r="AG506" s="29"/>
      <c r="AH506" s="29"/>
      <c r="AI506" s="29"/>
      <c r="AJ506" s="29"/>
      <c r="AK506" s="29"/>
      <c r="AL506" s="29"/>
      <c r="AM506" s="29"/>
    </row>
    <row r="507">
      <c r="A507" s="31" t="s">
        <v>46</v>
      </c>
      <c r="B507" s="32">
        <v>18180.0</v>
      </c>
      <c r="C507" s="33" t="str">
        <f t="array" ref="C507">INDEX('MTA 28-09'!B:B,MATCH(B507,'MTA 28-09'!A:A,0))</f>
        <v>SIM</v>
      </c>
      <c r="D507" s="34" t="str">
        <f t="array" ref="D507">INDEX('MTA 28-09'!D:D,MATCH(B507,'MTA 28-09'!A:A,0))</f>
        <v>20XV</v>
      </c>
      <c r="E507" s="32" t="str">
        <f t="array" ref="E507">INDEX('MTA 28-09'!F:F,MATCH(B507,'MTA 28-09'!A:A,0))</f>
        <v>ATENDIDO</v>
      </c>
      <c r="F507" s="420">
        <f t="array" ref="F507">INDEX('MTA 28-09'!I:I,MATCH(B507,'MTA 28-09'!A:A,0))</f>
        <v>46211</v>
      </c>
      <c r="G507" s="36" t="str">
        <f t="array" ref="G507">INDEX('MTA 28-09'!J:J,MATCH(B507,'MTA 28-09'!A:A,0))</f>
        <v>C26157</v>
      </c>
      <c r="H507" s="287" t="s">
        <v>157</v>
      </c>
      <c r="I507" s="295"/>
      <c r="J507" s="39"/>
      <c r="K507" s="40"/>
      <c r="L507" s="39" t="str">
        <f t="array" ref="L507">INDEX('MTA 28-09'!S:S,MATCH(B507,'MTA 28-09'!A:A,0))</f>
        <v>T-27</v>
      </c>
      <c r="M507" s="32" t="str">
        <f t="array" ref="M507">INDEX('MTA 28-09'!T:T,MATCH(B507,'MTA 28-09'!A:A,0))</f>
        <v>CNT 005/CELOG-PAMASP/2026 - STANDARDAERO - RG</v>
      </c>
      <c r="N507" s="32" t="str">
        <f t="array" ref="N507">INDEX('MTA 28-09'!U:U,MATCH(B507,'MTA 28-09'!A:A,0))</f>
        <v>Revisão Geral PT6A-25C (4/5)</v>
      </c>
      <c r="O507" s="59">
        <f t="array" ref="O507">INDEX('MTA 28-09'!AC:AC,MATCH(B507,'MTA 28-09'!A:A,0))</f>
        <v>4800000</v>
      </c>
      <c r="P507" s="32" t="str">
        <f t="array" ref="P507">INDEX('MTA 28-09'!N:N,MATCH(B507,'MTA 28-09'!A:A,0))</f>
        <v>CABW</v>
      </c>
      <c r="Q507" s="67" t="str">
        <f t="array" ref="Q507">INDEX('MTA 28-09'!Z:Z,MATCH(B507,'MTA 28-09'!A:A,0))</f>
        <v>339039</v>
      </c>
      <c r="R507" s="32" t="str">
        <f t="array" ref="R507">INDEX('MTA 28-09'!L:L,MATCH(B507,'MTA 28-09'!A:A,0))</f>
        <v>A</v>
      </c>
      <c r="S507" s="72" t="str">
        <f t="array" ref="S507">INDEX('MTA 28-09'!X:X,MATCH(B507,'MTA 28-09'!A:A,0))</f>
        <v>SOB DEMANDA</v>
      </c>
      <c r="T507" s="72" t="str">
        <f t="array" ref="T507">INDEX('MTA 28-09'!W:W,MATCH(B507,'MTA 28-09'!A:A,0))</f>
        <v>SIM</v>
      </c>
      <c r="U507" s="81">
        <f t="array" ref="U507">INDEX('MTA 28-09'!AE:AE,MATCH(B507,'MTA 28-09'!A:A,0))</f>
        <v>46352</v>
      </c>
      <c r="V507" s="12"/>
      <c r="W507" s="12"/>
      <c r="X507" s="12"/>
      <c r="Y507" s="12"/>
      <c r="Z507" s="12"/>
      <c r="AA507" s="12"/>
      <c r="AB507" s="12"/>
      <c r="AC507" s="12"/>
      <c r="AD507" s="12"/>
      <c r="AE507" s="12"/>
      <c r="AF507" s="12"/>
      <c r="AG507" s="12"/>
      <c r="AH507" s="12"/>
      <c r="AI507" s="12"/>
      <c r="AJ507" s="12"/>
      <c r="AK507" s="12"/>
      <c r="AL507" s="12"/>
      <c r="AM507" s="12"/>
    </row>
    <row r="508">
      <c r="A508" s="88" t="s">
        <v>46</v>
      </c>
      <c r="B508" s="98">
        <v>18200.0</v>
      </c>
      <c r="C508" s="92" t="str">
        <f t="array" ref="C508">INDEX('MTA 28-09'!B:B,MATCH(B508,'MTA 28-09'!A:A,0))</f>
        <v>NÃO</v>
      </c>
      <c r="D508" s="95" t="str">
        <f t="array" ref="D508">INDEX('MTA 28-09'!D:D,MATCH(B508,'MTA 28-09'!A:A,0))</f>
        <v/>
      </c>
      <c r="E508" s="98" t="str">
        <f t="array" ref="E508">INDEX('MTA 28-09'!F:F,MATCH(B508,'MTA 28-09'!A:A,0))</f>
        <v>BLOQUEIO</v>
      </c>
      <c r="F508" s="99" t="str">
        <f t="array" ref="F508">INDEX('MTA 28-09'!I:I,MATCH(B508,'MTA 28-09'!A:A,0))</f>
        <v/>
      </c>
      <c r="G508" s="100" t="str">
        <f t="array" ref="G508">INDEX('MTA 28-09'!J:J,MATCH(B508,'MTA 28-09'!A:A,0))</f>
        <v/>
      </c>
      <c r="H508" s="159" t="s">
        <v>157</v>
      </c>
      <c r="I508" s="296"/>
      <c r="J508" s="102"/>
      <c r="K508" s="103"/>
      <c r="L508" s="102" t="str">
        <f t="array" ref="L508">INDEX('MTA 28-09'!S:S,MATCH(B508,'MTA 28-09'!A:A,0))</f>
        <v>T-27</v>
      </c>
      <c r="M508" s="98" t="str">
        <f t="array" ref="M508">INDEX('MTA 28-09'!T:T,MATCH(B508,'MTA 28-09'!A:A,0))</f>
        <v>CNT XXX/CELOG-PAMASP/2026 - XX - Material</v>
      </c>
      <c r="N508" s="98" t="str">
        <f t="array" ref="N508">INDEX('MTA 28-09'!U:U,MATCH(B508,'MTA 28-09'!A:A,0))</f>
        <v>Material reparo PT6A-25C (1/4)</v>
      </c>
      <c r="O508" s="104">
        <f t="array" ref="O508">INDEX('MTA 28-09'!AC:AC,MATCH(B508,'MTA 28-09'!A:A,0))</f>
        <v>750000</v>
      </c>
      <c r="P508" s="98" t="str">
        <f t="array" ref="P508">INDEX('MTA 28-09'!N:N,MATCH(B508,'MTA 28-09'!A:A,0))</f>
        <v>CELOG</v>
      </c>
      <c r="Q508" s="105" t="str">
        <f t="array" ref="Q508">INDEX('MTA 28-09'!Z:Z,MATCH(B508,'MTA 28-09'!A:A,0))</f>
        <v>339030</v>
      </c>
      <c r="R508" s="98" t="str">
        <f t="array" ref="R508">INDEX('MTA 28-09'!L:L,MATCH(B508,'MTA 28-09'!A:A,0))</f>
        <v>B</v>
      </c>
      <c r="S508" s="107" t="str">
        <f t="array" ref="S508">INDEX('MTA 28-09'!X:X,MATCH(B508,'MTA 28-09'!A:A,0))</f>
        <v>SOB DEMANDA</v>
      </c>
      <c r="T508" s="107" t="str">
        <f t="array" ref="T508">INDEX('MTA 28-09'!W:W,MATCH(B508,'MTA 28-09'!A:A,0))</f>
        <v>SIM</v>
      </c>
      <c r="U508" s="109">
        <f t="array" ref="U508">INDEX('MTA 28-09'!AE:AE,MATCH(B508,'MTA 28-09'!A:A,0))</f>
        <v>46138</v>
      </c>
      <c r="V508" s="29"/>
      <c r="W508" s="29"/>
      <c r="X508" s="29"/>
      <c r="Y508" s="29"/>
      <c r="Z508" s="29"/>
      <c r="AA508" s="29"/>
      <c r="AB508" s="29"/>
      <c r="AC508" s="29"/>
      <c r="AD508" s="29"/>
      <c r="AE508" s="29"/>
      <c r="AF508" s="29"/>
      <c r="AG508" s="29"/>
      <c r="AH508" s="29"/>
      <c r="AI508" s="29"/>
      <c r="AJ508" s="29"/>
      <c r="AK508" s="29"/>
      <c r="AL508" s="29"/>
      <c r="AM508" s="29"/>
    </row>
    <row r="509">
      <c r="A509" s="31" t="s">
        <v>47</v>
      </c>
      <c r="B509" s="32">
        <v>18220.0</v>
      </c>
      <c r="C509" s="33" t="str">
        <f t="array" ref="C509">INDEX('MTA 28-09'!B:B,MATCH(B509,'MTA 28-09'!A:A,0))</f>
        <v>SIM</v>
      </c>
      <c r="D509" s="34">
        <f t="array" ref="D509">INDEX('MTA 28-09'!D:D,MATCH(B509,'MTA 28-09'!A:A,0))</f>
        <v>2048</v>
      </c>
      <c r="E509" s="32" t="str">
        <f t="array" ref="E509">INDEX('MTA 28-09'!F:F,MATCH(B509,'MTA 28-09'!A:A,0))</f>
        <v>CANCELADO</v>
      </c>
      <c r="F509" s="137" t="str">
        <f t="array" ref="F509">INDEX('MTA 28-09'!I:I,MATCH(B509,'MTA 28-09'!A:A,0))</f>
        <v/>
      </c>
      <c r="G509" s="36" t="str">
        <f t="array" ref="G509">INDEX('MTA 28-09'!J:J,MATCH(B509,'MTA 28-09'!A:A,0))</f>
        <v/>
      </c>
      <c r="H509" s="156">
        <v>46276.0</v>
      </c>
      <c r="I509" s="157" t="s">
        <v>1602</v>
      </c>
      <c r="J509" s="39" t="s">
        <v>155</v>
      </c>
      <c r="K509" s="40"/>
      <c r="L509" s="39" t="str">
        <f t="array" ref="L509">INDEX('MTA 28-09'!S:S,MATCH(B509,'MTA 28-09'!A:A,0))</f>
        <v>T-25</v>
      </c>
      <c r="M509" s="32" t="str">
        <f t="array" ref="M509">INDEX('MTA 28-09'!T:T,MATCH(B509,'MTA 28-09'!A:A,0))</f>
        <v>Contrato de reparáveis</v>
      </c>
      <c r="N509" s="32" t="str">
        <f t="array" ref="N509">INDEX('MTA 28-09'!U:U,MATCH(B509,'MTA 28-09'!A:A,0))</f>
        <v>Reparo sob demanda 6/6</v>
      </c>
      <c r="O509" s="59" t="str">
        <f t="array" ref="O509">INDEX('MTA 28-09'!AC:AC,MATCH(B509,'MTA 28-09'!A:A,0))</f>
        <v> -</v>
      </c>
      <c r="P509" s="32" t="str">
        <f t="array" ref="P509">INDEX('MTA 28-09'!N:N,MATCH(B509,'MTA 28-09'!A:A,0))</f>
        <v>CELOG</v>
      </c>
      <c r="Q509" s="67" t="str">
        <f t="array" ref="Q509">INDEX('MTA 28-09'!Z:Z,MATCH(B509,'MTA 28-09'!A:A,0))</f>
        <v>339039</v>
      </c>
      <c r="R509" s="32" t="str">
        <f t="array" ref="R509">INDEX('MTA 28-09'!L:L,MATCH(B509,'MTA 28-09'!A:A,0))</f>
        <v>A</v>
      </c>
      <c r="S509" s="72" t="str">
        <f t="array" ref="S509">INDEX('MTA 28-09'!X:X,MATCH(B509,'MTA 28-09'!A:A,0))</f>
        <v>SOB DEMANDA</v>
      </c>
      <c r="T509" s="72" t="str">
        <f t="array" ref="T509">INDEX('MTA 28-09'!W:W,MATCH(B509,'MTA 28-09'!A:A,0))</f>
        <v>Não</v>
      </c>
      <c r="U509" s="81">
        <f t="array" ref="U509">INDEX('MTA 28-09'!AE:AE,MATCH(B509,'MTA 28-09'!A:A,0))</f>
        <v>46382</v>
      </c>
      <c r="V509" s="12"/>
      <c r="W509" s="12"/>
      <c r="X509" s="12"/>
      <c r="Y509" s="12"/>
      <c r="Z509" s="12"/>
      <c r="AA509" s="12"/>
      <c r="AB509" s="12"/>
      <c r="AC509" s="12"/>
      <c r="AD509" s="12"/>
      <c r="AE509" s="12"/>
      <c r="AF509" s="12"/>
      <c r="AG509" s="12"/>
      <c r="AH509" s="12"/>
      <c r="AI509" s="12"/>
      <c r="AJ509" s="12"/>
      <c r="AK509" s="12"/>
      <c r="AL509" s="12"/>
      <c r="AM509" s="12"/>
    </row>
    <row r="510">
      <c r="A510" s="88" t="s">
        <v>47</v>
      </c>
      <c r="B510" s="98">
        <v>18240.0</v>
      </c>
      <c r="C510" s="92" t="str">
        <f t="array" ref="C510">INDEX('MTA 28-09'!B:B,MATCH(B510,'MTA 28-09'!A:A,0))</f>
        <v>SIM</v>
      </c>
      <c r="D510" s="95">
        <f t="array" ref="D510">INDEX('MTA 28-09'!D:D,MATCH(B510,'MTA 28-09'!A:A,0))</f>
        <v>2048</v>
      </c>
      <c r="E510" s="98" t="str">
        <f t="array" ref="E510">INDEX('MTA 28-09'!F:F,MATCH(B510,'MTA 28-09'!A:A,0))</f>
        <v>CANCELADO</v>
      </c>
      <c r="F510" s="144" t="str">
        <f t="array" ref="F510">INDEX('MTA 28-09'!I:I,MATCH(B510,'MTA 28-09'!A:A,0))</f>
        <v/>
      </c>
      <c r="G510" s="100" t="str">
        <f t="array" ref="G510">INDEX('MTA 28-09'!J:J,MATCH(B510,'MTA 28-09'!A:A,0))</f>
        <v/>
      </c>
      <c r="H510" s="153">
        <v>46276.0</v>
      </c>
      <c r="I510" s="154" t="s">
        <v>1603</v>
      </c>
      <c r="J510" s="102"/>
      <c r="K510" s="103"/>
      <c r="L510" s="102" t="str">
        <f t="array" ref="L510">INDEX('MTA 28-09'!S:S,MATCH(B510,'MTA 28-09'!A:A,0))</f>
        <v>T-25</v>
      </c>
      <c r="M510" s="98" t="str">
        <f t="array" ref="M510">INDEX('MTA 28-09'!T:T,MATCH(B510,'MTA 28-09'!A:A,0))</f>
        <v>Contrato de reparáveis</v>
      </c>
      <c r="N510" s="98" t="str">
        <f t="array" ref="N510">INDEX('MTA 28-09'!U:U,MATCH(B510,'MTA 28-09'!A:A,0))</f>
        <v>Reparo sob demanda 5/6</v>
      </c>
      <c r="O510" s="104" t="str">
        <f t="array" ref="O510">INDEX('MTA 28-09'!AC:AC,MATCH(B510,'MTA 28-09'!A:A,0))</f>
        <v> -</v>
      </c>
      <c r="P510" s="98" t="str">
        <f t="array" ref="P510">INDEX('MTA 28-09'!N:N,MATCH(B510,'MTA 28-09'!A:A,0))</f>
        <v>CELOG</v>
      </c>
      <c r="Q510" s="105" t="str">
        <f t="array" ref="Q510">INDEX('MTA 28-09'!Z:Z,MATCH(B510,'MTA 28-09'!A:A,0))</f>
        <v>339039</v>
      </c>
      <c r="R510" s="98" t="str">
        <f t="array" ref="R510">INDEX('MTA 28-09'!L:L,MATCH(B510,'MTA 28-09'!A:A,0))</f>
        <v>A</v>
      </c>
      <c r="S510" s="107" t="str">
        <f t="array" ref="S510">INDEX('MTA 28-09'!X:X,MATCH(B510,'MTA 28-09'!A:A,0))</f>
        <v>SOB DEMANDA</v>
      </c>
      <c r="T510" s="107" t="str">
        <f t="array" ref="T510">INDEX('MTA 28-09'!W:W,MATCH(B510,'MTA 28-09'!A:A,0))</f>
        <v>Não</v>
      </c>
      <c r="U510" s="109">
        <f t="array" ref="U510">INDEX('MTA 28-09'!AE:AE,MATCH(B510,'MTA 28-09'!A:A,0))</f>
        <v>46382</v>
      </c>
      <c r="V510" s="29"/>
      <c r="W510" s="29"/>
      <c r="X510" s="29"/>
      <c r="Y510" s="29"/>
      <c r="Z510" s="29"/>
      <c r="AA510" s="29"/>
      <c r="AB510" s="29"/>
      <c r="AC510" s="29"/>
      <c r="AD510" s="29"/>
      <c r="AE510" s="29"/>
      <c r="AF510" s="29"/>
      <c r="AG510" s="29"/>
      <c r="AH510" s="29"/>
      <c r="AI510" s="29"/>
      <c r="AJ510" s="29"/>
      <c r="AK510" s="29"/>
      <c r="AL510" s="29"/>
      <c r="AM510" s="29"/>
    </row>
    <row r="511">
      <c r="A511" s="31" t="s">
        <v>46</v>
      </c>
      <c r="B511" s="32">
        <v>18260.0</v>
      </c>
      <c r="C511" s="33" t="str">
        <f t="array" ref="C511">INDEX('MTA 28-09'!B:B,MATCH(B511,'MTA 28-09'!A:A,0))</f>
        <v>SIM</v>
      </c>
      <c r="D511" s="34">
        <f t="array" ref="D511">INDEX('MTA 28-09'!D:D,MATCH(B511,'MTA 28-09'!A:A,0))</f>
        <v>2048</v>
      </c>
      <c r="E511" s="32" t="str">
        <f t="array" ref="E511">INDEX('MTA 28-09'!F:F,MATCH(B511,'MTA 28-09'!A:A,0))</f>
        <v/>
      </c>
      <c r="F511" s="137" t="str">
        <f t="array" ref="F511">INDEX('MTA 28-09'!I:I,MATCH(B511,'MTA 28-09'!A:A,0))</f>
        <v/>
      </c>
      <c r="G511" s="36" t="str">
        <f t="array" ref="G511">INDEX('MTA 28-09'!J:J,MATCH(B511,'MTA 28-09'!A:A,0))</f>
        <v/>
      </c>
      <c r="H511" s="287" t="s">
        <v>157</v>
      </c>
      <c r="I511" s="157" t="s">
        <v>1183</v>
      </c>
      <c r="J511" s="39"/>
      <c r="K511" s="40"/>
      <c r="L511" s="39" t="str">
        <f t="array" ref="L511">INDEX('MTA 28-09'!S:S,MATCH(B511,'MTA 28-09'!A:A,0))</f>
        <v>T-27</v>
      </c>
      <c r="M511" s="32" t="str">
        <f t="array" ref="M511">INDEX('MTA 28-09'!T:T,MATCH(B511,'MTA 28-09'!A:A,0))</f>
        <v>Contrato de reparáveis</v>
      </c>
      <c r="N511" s="32" t="str">
        <f t="array" ref="N511">INDEX('MTA 28-09'!U:U,MATCH(B511,'MTA 28-09'!A:A,0))</f>
        <v>Reparo sob demanda 5/6</v>
      </c>
      <c r="O511" s="59">
        <f t="array" ref="O511">INDEX('MTA 28-09'!AC:AC,MATCH(B511,'MTA 28-09'!A:A,0))</f>
        <v>330000</v>
      </c>
      <c r="P511" s="32" t="str">
        <f t="array" ref="P511">INDEX('MTA 28-09'!N:N,MATCH(B511,'MTA 28-09'!A:A,0))</f>
        <v>CELOG</v>
      </c>
      <c r="Q511" s="67" t="str">
        <f t="array" ref="Q511">INDEX('MTA 28-09'!Z:Z,MATCH(B511,'MTA 28-09'!A:A,0))</f>
        <v>339039</v>
      </c>
      <c r="R511" s="32" t="str">
        <f t="array" ref="R511">INDEX('MTA 28-09'!L:L,MATCH(B511,'MTA 28-09'!A:A,0))</f>
        <v>A</v>
      </c>
      <c r="S511" s="72" t="str">
        <f t="array" ref="S511">INDEX('MTA 28-09'!X:X,MATCH(B511,'MTA 28-09'!A:A,0))</f>
        <v>SOB DEMANDA</v>
      </c>
      <c r="T511" s="72" t="str">
        <f t="array" ref="T511">INDEX('MTA 28-09'!W:W,MATCH(B511,'MTA 28-09'!A:A,0))</f>
        <v>Não</v>
      </c>
      <c r="U511" s="81">
        <f t="array" ref="U511">INDEX('MTA 28-09'!AE:AE,MATCH(B511,'MTA 28-09'!A:A,0))</f>
        <v>46382</v>
      </c>
      <c r="V511" s="12"/>
      <c r="W511" s="12"/>
      <c r="X511" s="12"/>
      <c r="Y511" s="12"/>
      <c r="Z511" s="12"/>
      <c r="AA511" s="12"/>
      <c r="AB511" s="12"/>
      <c r="AC511" s="12"/>
      <c r="AD511" s="12"/>
      <c r="AE511" s="12"/>
      <c r="AF511" s="12"/>
      <c r="AG511" s="12"/>
      <c r="AH511" s="12"/>
      <c r="AI511" s="12"/>
      <c r="AJ511" s="12"/>
      <c r="AK511" s="12"/>
      <c r="AL511" s="12"/>
      <c r="AM511" s="12"/>
    </row>
    <row r="512">
      <c r="A512" s="88" t="s">
        <v>46</v>
      </c>
      <c r="B512" s="98">
        <v>18280.0</v>
      </c>
      <c r="C512" s="92" t="str">
        <f t="array" ref="C512">INDEX('MTA 28-09'!B:B,MATCH(B512,'MTA 28-09'!A:A,0))</f>
        <v>SIM</v>
      </c>
      <c r="D512" s="95">
        <f t="array" ref="D512">INDEX('MTA 28-09'!D:D,MATCH(B512,'MTA 28-09'!A:A,0))</f>
        <v>2048</v>
      </c>
      <c r="E512" s="98" t="str">
        <f t="array" ref="E512">INDEX('MTA 28-09'!F:F,MATCH(B512,'MTA 28-09'!A:A,0))</f>
        <v/>
      </c>
      <c r="F512" s="152" t="str">
        <f t="array" ref="F512">INDEX('MTA 28-09'!I:I,MATCH(B512,'MTA 28-09'!A:A,0))</f>
        <v/>
      </c>
      <c r="G512" s="100" t="str">
        <f t="array" ref="G512">INDEX('MTA 28-09'!J:J,MATCH(B512,'MTA 28-09'!A:A,0))</f>
        <v/>
      </c>
      <c r="H512" s="159" t="s">
        <v>157</v>
      </c>
      <c r="I512" s="154" t="s">
        <v>1183</v>
      </c>
      <c r="J512" s="102"/>
      <c r="K512" s="103"/>
      <c r="L512" s="102" t="str">
        <f t="array" ref="L512">INDEX('MTA 28-09'!S:S,MATCH(B512,'MTA 28-09'!A:A,0))</f>
        <v>T-27</v>
      </c>
      <c r="M512" s="98" t="str">
        <f t="array" ref="M512">INDEX('MTA 28-09'!T:T,MATCH(B512,'MTA 28-09'!A:A,0))</f>
        <v>Contrato de reparáveis</v>
      </c>
      <c r="N512" s="98" t="str">
        <f t="array" ref="N512">INDEX('MTA 28-09'!U:U,MATCH(B512,'MTA 28-09'!A:A,0))</f>
        <v>Reparo sob demanda 6/6</v>
      </c>
      <c r="O512" s="104">
        <f t="array" ref="O512">INDEX('MTA 28-09'!AC:AC,MATCH(B512,'MTA 28-09'!A:A,0))</f>
        <v>330000</v>
      </c>
      <c r="P512" s="98" t="str">
        <f t="array" ref="P512">INDEX('MTA 28-09'!N:N,MATCH(B512,'MTA 28-09'!A:A,0))</f>
        <v>CELOG</v>
      </c>
      <c r="Q512" s="105" t="str">
        <f t="array" ref="Q512">INDEX('MTA 28-09'!Z:Z,MATCH(B512,'MTA 28-09'!A:A,0))</f>
        <v>339039</v>
      </c>
      <c r="R512" s="98" t="str">
        <f t="array" ref="R512">INDEX('MTA 28-09'!L:L,MATCH(B512,'MTA 28-09'!A:A,0))</f>
        <v>A</v>
      </c>
      <c r="S512" s="107" t="str">
        <f t="array" ref="S512">INDEX('MTA 28-09'!X:X,MATCH(B512,'MTA 28-09'!A:A,0))</f>
        <v>SOB DEMANDA</v>
      </c>
      <c r="T512" s="107" t="str">
        <f t="array" ref="T512">INDEX('MTA 28-09'!W:W,MATCH(B512,'MTA 28-09'!A:A,0))</f>
        <v>Não</v>
      </c>
      <c r="U512" s="109">
        <f t="array" ref="U512">INDEX('MTA 28-09'!AE:AE,MATCH(B512,'MTA 28-09'!A:A,0))</f>
        <v>46382</v>
      </c>
      <c r="V512" s="29"/>
      <c r="W512" s="29"/>
      <c r="X512" s="29"/>
      <c r="Y512" s="29"/>
      <c r="Z512" s="29"/>
      <c r="AA512" s="29"/>
      <c r="AB512" s="29"/>
      <c r="AC512" s="29"/>
      <c r="AD512" s="29"/>
      <c r="AE512" s="29"/>
      <c r="AF512" s="29"/>
      <c r="AG512" s="29"/>
      <c r="AH512" s="29"/>
      <c r="AI512" s="29"/>
      <c r="AJ512" s="29"/>
      <c r="AK512" s="29"/>
      <c r="AL512" s="29"/>
      <c r="AM512" s="29"/>
    </row>
    <row r="513">
      <c r="A513" s="31" t="s">
        <v>43</v>
      </c>
      <c r="B513" s="32">
        <v>18300.0</v>
      </c>
      <c r="C513" s="33" t="str">
        <f t="array" ref="C513">INDEX('MTA 28-09'!B:B,MATCH(B513,'MTA 28-09'!A:A,0))</f>
        <v>NÃO</v>
      </c>
      <c r="D513" s="34" t="str">
        <f t="array" ref="D513">INDEX('MTA 28-09'!D:D,MATCH(B513,'MTA 28-09'!A:A,0))</f>
        <v/>
      </c>
      <c r="E513" s="32" t="str">
        <f t="array" ref="E513">INDEX('MTA 28-09'!F:F,MATCH(B513,'MTA 28-09'!A:A,0))</f>
        <v/>
      </c>
      <c r="F513" s="155" t="str">
        <f t="array" ref="F513">INDEX('MTA 28-09'!I:I,MATCH(B513,'MTA 28-09'!A:A,0))</f>
        <v/>
      </c>
      <c r="G513" s="36" t="str">
        <f t="array" ref="G513">INDEX('MTA 28-09'!J:J,MATCH(B513,'MTA 28-09'!A:A,0))</f>
        <v/>
      </c>
      <c r="H513" s="287" t="s">
        <v>157</v>
      </c>
      <c r="I513" s="295"/>
      <c r="J513" s="39"/>
      <c r="K513" s="40"/>
      <c r="L513" s="39" t="str">
        <f t="array" ref="L513">INDEX('MTA 28-09'!S:S,MATCH(B513,'MTA 28-09'!A:A,0))</f>
        <v>C-95M</v>
      </c>
      <c r="M513" s="32" t="str">
        <f t="array" ref="M513">INDEX('MTA 28-09'!T:T,MATCH(B513,'MTA 28-09'!A:A,0))</f>
        <v>Contrato de reparáveis</v>
      </c>
      <c r="N513" s="32" t="str">
        <f t="array" ref="N513">INDEX('MTA 28-09'!U:U,MATCH(B513,'MTA 28-09'!A:A,0))</f>
        <v>Reparo sob demanda 5/8</v>
      </c>
      <c r="O513" s="59">
        <f t="array" ref="O513">INDEX('MTA 28-09'!AC:AC,MATCH(B513,'MTA 28-09'!A:A,0))</f>
        <v>1000000</v>
      </c>
      <c r="P513" s="32" t="str">
        <f t="array" ref="P513">INDEX('MTA 28-09'!N:N,MATCH(B513,'MTA 28-09'!A:A,0))</f>
        <v>CELOG</v>
      </c>
      <c r="Q513" s="67" t="str">
        <f t="array" ref="Q513">INDEX('MTA 28-09'!Z:Z,MATCH(B513,'MTA 28-09'!A:A,0))</f>
        <v>339039</v>
      </c>
      <c r="R513" s="32" t="str">
        <f t="array" ref="R513">INDEX('MTA 28-09'!L:L,MATCH(B513,'MTA 28-09'!A:A,0))</f>
        <v>C</v>
      </c>
      <c r="S513" s="72" t="str">
        <f t="array" ref="S513">INDEX('MTA 28-09'!X:X,MATCH(B513,'MTA 28-09'!A:A,0))</f>
        <v>SOB DEMANDA</v>
      </c>
      <c r="T513" s="72" t="str">
        <f t="array" ref="T513">INDEX('MTA 28-09'!W:W,MATCH(B513,'MTA 28-09'!A:A,0))</f>
        <v>Não</v>
      </c>
      <c r="U513" s="81">
        <f t="array" ref="U513">INDEX('MTA 28-09'!AE:AE,MATCH(B513,'MTA 28-09'!A:A,0))</f>
        <v>46382</v>
      </c>
      <c r="V513" s="12"/>
      <c r="W513" s="12"/>
      <c r="X513" s="12"/>
      <c r="Y513" s="12"/>
      <c r="Z513" s="12"/>
      <c r="AA513" s="12"/>
      <c r="AB513" s="12"/>
      <c r="AC513" s="12"/>
      <c r="AD513" s="12"/>
      <c r="AE513" s="12"/>
      <c r="AF513" s="12"/>
      <c r="AG513" s="12"/>
      <c r="AH513" s="12"/>
      <c r="AI513" s="12"/>
      <c r="AJ513" s="12"/>
      <c r="AK513" s="12"/>
      <c r="AL513" s="12"/>
      <c r="AM513" s="12"/>
    </row>
    <row r="514">
      <c r="A514" s="88" t="s">
        <v>104</v>
      </c>
      <c r="B514" s="98">
        <v>18320.0</v>
      </c>
      <c r="C514" s="92" t="str">
        <f t="array" ref="C514">INDEX('MTA 28-09'!B:B,MATCH(B514,'MTA 28-09'!A:A,0))</f>
        <v>NÃO</v>
      </c>
      <c r="D514" s="95" t="str">
        <f t="array" ref="D514">INDEX('MTA 28-09'!D:D,MATCH(B514,'MTA 28-09'!A:A,0))</f>
        <v/>
      </c>
      <c r="E514" s="98" t="str">
        <f t="array" ref="E514">INDEX('MTA 28-09'!F:F,MATCH(B514,'MTA 28-09'!A:A,0))</f>
        <v/>
      </c>
      <c r="F514" s="289" t="str">
        <f t="array" ref="F514">INDEX('MTA 28-09'!I:I,MATCH(B514,'MTA 28-09'!A:A,0))</f>
        <v/>
      </c>
      <c r="G514" s="100" t="str">
        <f t="array" ref="G514">INDEX('MTA 28-09'!J:J,MATCH(B514,'MTA 28-09'!A:A,0))</f>
        <v/>
      </c>
      <c r="H514" s="159" t="s">
        <v>157</v>
      </c>
      <c r="I514" s="296"/>
      <c r="J514" s="102"/>
      <c r="K514" s="103"/>
      <c r="L514" s="102" t="str">
        <f t="array" ref="L514">INDEX('MTA 28-09'!S:S,MATCH(B514,'MTA 28-09'!A:A,0))</f>
        <v>APOIO</v>
      </c>
      <c r="M514" s="98" t="str">
        <f t="array" ref="M514">INDEX('MTA 28-09'!T:T,MATCH(B514,'MTA 28-09'!A:A,0))</f>
        <v>CTT XXXX/PAMALS-CELOG/2026</v>
      </c>
      <c r="N514" s="98" t="str">
        <f t="array" ref="N514">INDEX('MTA 28-09'!U:U,MATCH(B514,'MTA 28-09'!A:A,0))</f>
        <v>SERVIÇO/REPARO DE RECAUCHUTAGEM DE PNEUS DE AVIAÇÃO 4/4</v>
      </c>
      <c r="O514" s="104">
        <f t="array" ref="O514">INDEX('MTA 28-09'!AC:AC,MATCH(B514,'MTA 28-09'!A:A,0))</f>
        <v>216000</v>
      </c>
      <c r="P514" s="98" t="str">
        <f t="array" ref="P514">INDEX('MTA 28-09'!N:N,MATCH(B514,'MTA 28-09'!A:A,0))</f>
        <v>CELOG</v>
      </c>
      <c r="Q514" s="105" t="str">
        <f t="array" ref="Q514">INDEX('MTA 28-09'!Z:Z,MATCH(B514,'MTA 28-09'!A:A,0))</f>
        <v>339039</v>
      </c>
      <c r="R514" s="98" t="str">
        <f t="array" ref="R514">INDEX('MTA 28-09'!L:L,MATCH(B514,'MTA 28-09'!A:A,0))</f>
        <v>C</v>
      </c>
      <c r="S514" s="107" t="str">
        <f t="array" ref="S514">INDEX('MTA 28-09'!X:X,MATCH(B514,'MTA 28-09'!A:A,0))</f>
        <v>SOB DEMANDA</v>
      </c>
      <c r="T514" s="107" t="str">
        <f t="array" ref="T514">INDEX('MTA 28-09'!W:W,MATCH(B514,'MTA 28-09'!A:A,0))</f>
        <v>NÃO</v>
      </c>
      <c r="U514" s="109">
        <f t="array" ref="U514">INDEX('MTA 28-09'!AE:AE,MATCH(B514,'MTA 28-09'!A:A,0))</f>
        <v>46049</v>
      </c>
      <c r="V514" s="29"/>
      <c r="W514" s="29"/>
      <c r="X514" s="29"/>
      <c r="Y514" s="29"/>
      <c r="Z514" s="29"/>
      <c r="AA514" s="29"/>
      <c r="AB514" s="29"/>
      <c r="AC514" s="29"/>
      <c r="AD514" s="29"/>
      <c r="AE514" s="29"/>
      <c r="AF514" s="29"/>
      <c r="AG514" s="29"/>
      <c r="AH514" s="29"/>
      <c r="AI514" s="29"/>
      <c r="AJ514" s="29"/>
      <c r="AK514" s="29"/>
      <c r="AL514" s="29"/>
      <c r="AM514" s="29"/>
    </row>
    <row r="515">
      <c r="A515" s="31" t="s">
        <v>39</v>
      </c>
      <c r="B515" s="32">
        <v>18340.0</v>
      </c>
      <c r="C515" s="33" t="str">
        <f t="array" ref="C515">INDEX('MTA 28-09'!B:B,MATCH(B515,'MTA 28-09'!A:A,0))</f>
        <v>SIM</v>
      </c>
      <c r="D515" s="34">
        <f t="array" ref="D515">INDEX('MTA 28-09'!D:D,MATCH(B515,'MTA 28-09'!A:A,0))</f>
        <v>2048</v>
      </c>
      <c r="E515" s="32" t="str">
        <f t="array" ref="E515">INDEX('MTA 28-09'!F:F,MATCH(B515,'MTA 28-09'!A:A,0))</f>
        <v>ATENDER</v>
      </c>
      <c r="F515" s="35" t="str">
        <f t="array" ref="F515">INDEX('MTA 28-09'!I:I,MATCH(B515,'MTA 28-09'!A:A,0))</f>
        <v/>
      </c>
      <c r="G515" s="36" t="str">
        <f t="array" ref="G515">INDEX('MTA 28-09'!J:J,MATCH(B515,'MTA 28-09'!A:A,0))</f>
        <v/>
      </c>
      <c r="H515" s="287">
        <v>46276.0</v>
      </c>
      <c r="I515" s="38" t="s">
        <v>1591</v>
      </c>
      <c r="J515" s="39"/>
      <c r="K515" s="40"/>
      <c r="L515" s="39" t="str">
        <f t="array" ref="L515">INDEX('MTA 28-09'!S:S,MATCH(B515,'MTA 28-09'!A:A,0))</f>
        <v>A-29</v>
      </c>
      <c r="M515" s="32" t="str">
        <f t="array" ref="M515">INDEX('MTA 28-09'!T:T,MATCH(B515,'MTA 28-09'!A:A,0))</f>
        <v>CTT 102/CELOG-PAMALS/2023 – EMBRAER - PSLI</v>
      </c>
      <c r="N515" s="32" t="str">
        <f t="array" ref="N515">INDEX('MTA 28-09'!U:U,MATCH(B515,'MTA 28-09'!A:A,0))</f>
        <v>Parcela Fixa 12/12</v>
      </c>
      <c r="O515" s="59">
        <f t="array" ref="O515">INDEX('MTA 28-09'!AC:AC,MATCH(B515,'MTA 28-09'!A:A,0))</f>
        <v>2310000</v>
      </c>
      <c r="P515" s="32" t="str">
        <f t="array" ref="P515">INDEX('MTA 28-09'!N:N,MATCH(B515,'MTA 28-09'!A:A,0))</f>
        <v>CELOG</v>
      </c>
      <c r="Q515" s="67" t="str">
        <f t="array" ref="Q515">INDEX('MTA 28-09'!Z:Z,MATCH(B515,'MTA 28-09'!A:A,0))</f>
        <v>339039</v>
      </c>
      <c r="R515" s="32" t="str">
        <f t="array" ref="R515">INDEX('MTA 28-09'!L:L,MATCH(B515,'MTA 28-09'!A:A,0))</f>
        <v>A</v>
      </c>
      <c r="S515" s="72" t="str">
        <f t="array" ref="S515">INDEX('MTA 28-09'!X:X,MATCH(B515,'MTA 28-09'!A:A,0))</f>
        <v>PARCELA FIXA</v>
      </c>
      <c r="T515" s="72" t="str">
        <f t="array" ref="T515">INDEX('MTA 28-09'!W:W,MATCH(B515,'MTA 28-09'!A:A,0))</f>
        <v>Não</v>
      </c>
      <c r="U515" s="81">
        <f t="array" ref="U515">INDEX('MTA 28-09'!AE:AE,MATCH(B515,'MTA 28-09'!A:A,0))</f>
        <v>46080</v>
      </c>
      <c r="V515" s="12"/>
      <c r="W515" s="12"/>
      <c r="X515" s="12"/>
      <c r="Y515" s="12"/>
      <c r="Z515" s="12"/>
      <c r="AA515" s="12"/>
      <c r="AB515" s="12"/>
      <c r="AC515" s="12"/>
      <c r="AD515" s="12"/>
      <c r="AE515" s="12"/>
      <c r="AF515" s="12"/>
      <c r="AG515" s="12"/>
      <c r="AH515" s="12"/>
      <c r="AI515" s="12"/>
      <c r="AJ515" s="12"/>
      <c r="AK515" s="12"/>
      <c r="AL515" s="12"/>
      <c r="AM515" s="12"/>
    </row>
    <row r="516">
      <c r="A516" s="88" t="s">
        <v>44</v>
      </c>
      <c r="B516" s="98">
        <v>18360.0</v>
      </c>
      <c r="C516" s="92" t="str">
        <f t="array" ref="C516">INDEX('MTA 28-09'!B:B,MATCH(B516,'MTA 28-09'!A:A,0))</f>
        <v>SIM</v>
      </c>
      <c r="D516" s="95">
        <f t="array" ref="D516">INDEX('MTA 28-09'!D:D,MATCH(B516,'MTA 28-09'!A:A,0))</f>
        <v>2048</v>
      </c>
      <c r="E516" s="98" t="str">
        <f t="array" ref="E516">INDEX('MTA 28-09'!F:F,MATCH(B516,'MTA 28-09'!A:A,0))</f>
        <v>CANCELADO</v>
      </c>
      <c r="F516" s="144" t="str">
        <f t="array" ref="F516">INDEX('MTA 28-09'!I:I,MATCH(B516,'MTA 28-09'!A:A,0))</f>
        <v/>
      </c>
      <c r="G516" s="100" t="str">
        <f t="array" ref="G516">INDEX('MTA 28-09'!J:J,MATCH(B516,'MTA 28-09'!A:A,0))</f>
        <v/>
      </c>
      <c r="H516" s="153">
        <v>46276.0</v>
      </c>
      <c r="I516" s="154" t="s">
        <v>1604</v>
      </c>
      <c r="J516" s="102"/>
      <c r="K516" s="103"/>
      <c r="L516" s="102" t="str">
        <f t="array" ref="L516">INDEX('MTA 28-09'!S:S,MATCH(B516,'MTA 28-09'!A:A,0))</f>
        <v>C-97</v>
      </c>
      <c r="M516" s="98" t="str">
        <f t="array" ref="M516">INDEX('MTA 28-09'!T:T,MATCH(B516,'MTA 28-09'!A:A,0))</f>
        <v>CTT 096/CAE-PAMALS/2021 - CLS C-97</v>
      </c>
      <c r="N516" s="98" t="str">
        <f t="array" ref="N516">INDEX('MTA 28-09'!U:U,MATCH(B516,'MTA 28-09'!A:A,0))</f>
        <v>Hora de Voo 10/10 (500HV) - 10HV</v>
      </c>
      <c r="O516" s="104" t="str">
        <f t="array" ref="O516">INDEX('MTA 28-09'!AC:AC,MATCH(B516,'MTA 28-09'!A:A,0))</f>
        <v> -</v>
      </c>
      <c r="P516" s="98" t="str">
        <f t="array" ref="P516">INDEX('MTA 28-09'!N:N,MATCH(B516,'MTA 28-09'!A:A,0))</f>
        <v>CELOG</v>
      </c>
      <c r="Q516" s="105" t="str">
        <f t="array" ref="Q516">INDEX('MTA 28-09'!Z:Z,MATCH(B516,'MTA 28-09'!A:A,0))</f>
        <v>339039</v>
      </c>
      <c r="R516" s="98" t="str">
        <f t="array" ref="R516">INDEX('MTA 28-09'!L:L,MATCH(B516,'MTA 28-09'!A:A,0))</f>
        <v>A</v>
      </c>
      <c r="S516" s="107" t="str">
        <f t="array" ref="S516">INDEX('MTA 28-09'!X:X,MATCH(B516,'MTA 28-09'!A:A,0))</f>
        <v>HORA DE VOO</v>
      </c>
      <c r="T516" s="107" t="str">
        <f t="array" ref="T516">INDEX('MTA 28-09'!W:W,MATCH(B516,'MTA 28-09'!A:A,0))</f>
        <v>Não</v>
      </c>
      <c r="U516" s="109">
        <f t="array" ref="U516">INDEX('MTA 28-09'!AE:AE,MATCH(B516,'MTA 28-09'!A:A,0))</f>
        <v>46080</v>
      </c>
      <c r="V516" s="29"/>
      <c r="W516" s="29"/>
      <c r="X516" s="29"/>
      <c r="Y516" s="29"/>
      <c r="Z516" s="29"/>
      <c r="AA516" s="29"/>
      <c r="AB516" s="29"/>
      <c r="AC516" s="29"/>
      <c r="AD516" s="29"/>
      <c r="AE516" s="29"/>
      <c r="AF516" s="29"/>
      <c r="AG516" s="29"/>
      <c r="AH516" s="29"/>
      <c r="AI516" s="29"/>
      <c r="AJ516" s="29"/>
      <c r="AK516" s="29"/>
      <c r="AL516" s="29"/>
      <c r="AM516" s="29"/>
    </row>
    <row r="517">
      <c r="A517" s="31" t="s">
        <v>39</v>
      </c>
      <c r="B517" s="32">
        <v>18380.0</v>
      </c>
      <c r="C517" s="33" t="str">
        <f t="array" ref="C517">INDEX('MTA 28-09'!B:B,MATCH(B517,'MTA 28-09'!A:A,0))</f>
        <v>SIM</v>
      </c>
      <c r="D517" s="34">
        <f t="array" ref="D517">INDEX('MTA 28-09'!D:D,MATCH(B517,'MTA 28-09'!A:A,0))</f>
        <v>2048</v>
      </c>
      <c r="E517" s="32" t="str">
        <f t="array" ref="E517">INDEX('MTA 28-09'!F:F,MATCH(B517,'MTA 28-09'!A:A,0))</f>
        <v>ATENDER</v>
      </c>
      <c r="F517" s="155" t="str">
        <f t="array" ref="F517">INDEX('MTA 28-09'!I:I,MATCH(B517,'MTA 28-09'!A:A,0))</f>
        <v/>
      </c>
      <c r="G517" s="36" t="str">
        <f t="array" ref="G517">INDEX('MTA 28-09'!J:J,MATCH(B517,'MTA 28-09'!A:A,0))</f>
        <v/>
      </c>
      <c r="H517" s="287">
        <v>46276.0</v>
      </c>
      <c r="I517" s="38" t="s">
        <v>1605</v>
      </c>
      <c r="J517" s="39"/>
      <c r="K517" s="40"/>
      <c r="L517" s="39" t="str">
        <f t="array" ref="L517">INDEX('MTA 28-09'!S:S,MATCH(B517,'MTA 28-09'!A:A,0))</f>
        <v>A-29</v>
      </c>
      <c r="M517" s="32" t="str">
        <f t="array" ref="M517">INDEX('MTA 28-09'!T:T,MATCH(B517,'MTA 28-09'!A:A,0))</f>
        <v>CTT 102/CELOG-PAMALS/2023 – EMBRAER - PSLI</v>
      </c>
      <c r="N517" s="32" t="str">
        <f t="array" ref="N517">INDEX('MTA 28-09'!U:U,MATCH(B517,'MTA 28-09'!A:A,0))</f>
        <v>Hora de Voo 10/10 - 1000 HV</v>
      </c>
      <c r="O517" s="59">
        <f t="array" ref="O517">INDEX('MTA 28-09'!AC:AC,MATCH(B517,'MTA 28-09'!A:A,0))</f>
        <v>4072680</v>
      </c>
      <c r="P517" s="32" t="str">
        <f t="array" ref="P517">INDEX('MTA 28-09'!N:N,MATCH(B517,'MTA 28-09'!A:A,0))</f>
        <v>CELOG</v>
      </c>
      <c r="Q517" s="67" t="str">
        <f t="array" ref="Q517">INDEX('MTA 28-09'!Z:Z,MATCH(B517,'MTA 28-09'!A:A,0))</f>
        <v>339039</v>
      </c>
      <c r="R517" s="32" t="str">
        <f t="array" ref="R517">INDEX('MTA 28-09'!L:L,MATCH(B517,'MTA 28-09'!A:A,0))</f>
        <v>A</v>
      </c>
      <c r="S517" s="72" t="str">
        <f t="array" ref="S517">INDEX('MTA 28-09'!X:X,MATCH(B517,'MTA 28-09'!A:A,0))</f>
        <v>HORA DE VOO</v>
      </c>
      <c r="T517" s="72" t="str">
        <f t="array" ref="T517">INDEX('MTA 28-09'!W:W,MATCH(B517,'MTA 28-09'!A:A,0))</f>
        <v>Não</v>
      </c>
      <c r="U517" s="81">
        <f t="array" ref="U517">INDEX('MTA 28-09'!AE:AE,MATCH(B517,'MTA 28-09'!A:A,0))</f>
        <v>46382</v>
      </c>
      <c r="V517" s="12"/>
      <c r="W517" s="12"/>
      <c r="X517" s="12"/>
      <c r="Y517" s="12"/>
      <c r="Z517" s="12"/>
      <c r="AA517" s="12"/>
      <c r="AB517" s="12"/>
      <c r="AC517" s="12"/>
      <c r="AD517" s="12"/>
      <c r="AE517" s="12"/>
      <c r="AF517" s="12"/>
      <c r="AG517" s="12"/>
      <c r="AH517" s="12"/>
      <c r="AI517" s="12"/>
      <c r="AJ517" s="12"/>
      <c r="AK517" s="12"/>
      <c r="AL517" s="12"/>
      <c r="AM517" s="12"/>
    </row>
    <row r="518">
      <c r="A518" s="88" t="s">
        <v>39</v>
      </c>
      <c r="B518" s="98">
        <v>18381.0</v>
      </c>
      <c r="C518" s="92" t="str">
        <f t="array" ref="C518">INDEX('MTA 28-09'!B:B,MATCH(B518,'MTA 28-09'!A:A,0))</f>
        <v>NÃO</v>
      </c>
      <c r="D518" s="95" t="str">
        <f t="array" ref="D518">INDEX('MTA 28-09'!D:D,MATCH(B518,'MTA 28-09'!A:A,0))</f>
        <v/>
      </c>
      <c r="E518" s="98" t="str">
        <f t="array" ref="E518">INDEX('MTA 28-09'!F:F,MATCH(B518,'MTA 28-09'!A:A,0))</f>
        <v>CANCELADO</v>
      </c>
      <c r="F518" s="144" t="str">
        <f t="array" ref="F518">INDEX('MTA 28-09'!I:I,MATCH(B518,'MTA 28-09'!A:A,0))</f>
        <v/>
      </c>
      <c r="G518" s="100" t="str">
        <f t="array" ref="G518">INDEX('MTA 28-09'!J:J,MATCH(B518,'MTA 28-09'!A:A,0))</f>
        <v/>
      </c>
      <c r="H518" s="159" t="s">
        <v>157</v>
      </c>
      <c r="I518" s="296"/>
      <c r="J518" s="102"/>
      <c r="K518" s="103"/>
      <c r="L518" s="102" t="str">
        <f t="array" ref="L518">INDEX('MTA 28-09'!S:S,MATCH(B518,'MTA 28-09'!A:A,0))</f>
        <v>A-29</v>
      </c>
      <c r="M518" s="98" t="str">
        <f t="array" ref="M518">INDEX('MTA 28-09'!T:T,MATCH(B518,'MTA 28-09'!A:A,0))</f>
        <v>CTT 102/CELOG-PAMALS/2023 – EMBRAER - PSLI</v>
      </c>
      <c r="N518" s="98" t="str">
        <f t="array" ref="N518">INDEX('MTA 28-09'!U:U,MATCH(B518,'MTA 28-09'!A:A,0))</f>
        <v>Hora de Voo 10/10 - 450 HV</v>
      </c>
      <c r="O518" s="104" t="str">
        <f t="array" ref="O518">INDEX('MTA 28-09'!AC:AC,MATCH(B518,'MTA 28-09'!A:A,0))</f>
        <v> -</v>
      </c>
      <c r="P518" s="98" t="str">
        <f t="array" ref="P518">INDEX('MTA 28-09'!N:N,MATCH(B518,'MTA 28-09'!A:A,0))</f>
        <v>CELOG</v>
      </c>
      <c r="Q518" s="105" t="str">
        <f t="array" ref="Q518">INDEX('MTA 28-09'!Z:Z,MATCH(B518,'MTA 28-09'!A:A,0))</f>
        <v>339039</v>
      </c>
      <c r="R518" s="98" t="str">
        <f t="array" ref="R518">INDEX('MTA 28-09'!L:L,MATCH(B518,'MTA 28-09'!A:A,0))</f>
        <v>B</v>
      </c>
      <c r="S518" s="107" t="str">
        <f t="array" ref="S518">INDEX('MTA 28-09'!X:X,MATCH(B518,'MTA 28-09'!A:A,0))</f>
        <v>HORA DE VOO</v>
      </c>
      <c r="T518" s="107" t="str">
        <f t="array" ref="T518">INDEX('MTA 28-09'!W:W,MATCH(B518,'MTA 28-09'!A:A,0))</f>
        <v>Não</v>
      </c>
      <c r="U518" s="418" t="str">
        <f t="array" ref="U518">INDEX('MTA 28-09'!AE:AE,MATCH(B518,'MTA 28-09'!A:A,0))</f>
        <v>-</v>
      </c>
      <c r="V518" s="29"/>
      <c r="W518" s="29"/>
      <c r="X518" s="29"/>
      <c r="Y518" s="29"/>
      <c r="Z518" s="29"/>
      <c r="AA518" s="29"/>
      <c r="AB518" s="29"/>
      <c r="AC518" s="29"/>
      <c r="AD518" s="29"/>
      <c r="AE518" s="29"/>
      <c r="AF518" s="29"/>
      <c r="AG518" s="29"/>
      <c r="AH518" s="29"/>
      <c r="AI518" s="29"/>
      <c r="AJ518" s="29"/>
      <c r="AK518" s="29"/>
      <c r="AL518" s="29"/>
      <c r="AM518" s="29"/>
    </row>
    <row r="519">
      <c r="A519" s="31" t="s">
        <v>44</v>
      </c>
      <c r="B519" s="32">
        <v>18420.0</v>
      </c>
      <c r="C519" s="33" t="str">
        <f t="array" ref="C519">INDEX('MTA 28-09'!B:B,MATCH(B519,'MTA 28-09'!A:A,0))</f>
        <v>SIM</v>
      </c>
      <c r="D519" s="34">
        <f t="array" ref="D519">INDEX('MTA 28-09'!D:D,MATCH(B519,'MTA 28-09'!A:A,0))</f>
        <v>2048</v>
      </c>
      <c r="E519" s="32" t="str">
        <f t="array" ref="E519">INDEX('MTA 28-09'!F:F,MATCH(B519,'MTA 28-09'!A:A,0))</f>
        <v>ATENDIDO</v>
      </c>
      <c r="F519" s="137">
        <f t="array" ref="F519">INDEX('MTA 28-09'!I:I,MATCH(B519,'MTA 28-09'!A:A,0))</f>
        <v>46210</v>
      </c>
      <c r="G519" s="36" t="str">
        <f t="array" ref="G519">INDEX('MTA 28-09'!J:J,MATCH(B519,'MTA 28-09'!A:A,0))</f>
        <v>C26145</v>
      </c>
      <c r="H519" s="37" t="s">
        <v>1562</v>
      </c>
      <c r="I519" s="38"/>
      <c r="J519" s="39"/>
      <c r="K519" s="40"/>
      <c r="L519" s="39" t="str">
        <f t="array" ref="L519">INDEX('MTA 28-09'!S:S,MATCH(B519,'MTA 28-09'!A:A,0))</f>
        <v>C-97</v>
      </c>
      <c r="M519" s="32" t="str">
        <f t="array" ref="M519">INDEX('MTA 28-09'!T:T,MATCH(B519,'MTA 28-09'!A:A,0))</f>
        <v>Requisição CABW</v>
      </c>
      <c r="N519" s="32" t="str">
        <f t="array" ref="N519">INDEX('MTA 28-09'!U:U,MATCH(B519,'MTA 28-09'!A:A,0))</f>
        <v>PN 17TES0065 - Leitor de Dados de Voo</v>
      </c>
      <c r="O519" s="59">
        <f t="array" ref="O519">INDEX('MTA 28-09'!AC:AC,MATCH(B519,'MTA 28-09'!A:A,0))</f>
        <v>91853.6</v>
      </c>
      <c r="P519" s="32" t="str">
        <f t="array" ref="P519">INDEX('MTA 28-09'!N:N,MATCH(B519,'MTA 28-09'!A:A,0))</f>
        <v>CABW</v>
      </c>
      <c r="Q519" s="67" t="str">
        <f t="array" ref="Q519">INDEX('MTA 28-09'!Z:Z,MATCH(B519,'MTA 28-09'!A:A,0))</f>
        <v>449052</v>
      </c>
      <c r="R519" s="32" t="str">
        <f t="array" ref="R519">INDEX('MTA 28-09'!L:L,MATCH(B519,'MTA 28-09'!A:A,0))</f>
        <v>A</v>
      </c>
      <c r="S519" s="72" t="str">
        <f t="array" ref="S519">INDEX('MTA 28-09'!X:X,MATCH(B519,'MTA 28-09'!A:A,0))</f>
        <v>REQUISIÇÃO</v>
      </c>
      <c r="T519" s="72" t="str">
        <f t="array" ref="T519">INDEX('MTA 28-09'!W:W,MATCH(B519,'MTA 28-09'!A:A,0))</f>
        <v>Não</v>
      </c>
      <c r="U519" s="81">
        <f t="array" ref="U519">INDEX('MTA 28-09'!AE:AE,MATCH(B519,'MTA 28-09'!A:A,0))</f>
        <v>46291</v>
      </c>
      <c r="V519" s="12"/>
      <c r="W519" s="12"/>
      <c r="X519" s="12"/>
      <c r="Y519" s="12"/>
      <c r="Z519" s="12"/>
      <c r="AA519" s="12"/>
      <c r="AB519" s="12"/>
      <c r="AC519" s="12"/>
      <c r="AD519" s="12"/>
      <c r="AE519" s="12"/>
      <c r="AF519" s="12"/>
      <c r="AG519" s="12"/>
      <c r="AH519" s="12"/>
      <c r="AI519" s="12"/>
      <c r="AJ519" s="12"/>
      <c r="AK519" s="12"/>
      <c r="AL519" s="12"/>
      <c r="AM519" s="12"/>
    </row>
    <row r="520">
      <c r="A520" s="88" t="s">
        <v>49</v>
      </c>
      <c r="B520" s="98">
        <v>18440.0</v>
      </c>
      <c r="C520" s="92" t="str">
        <f t="array" ref="C520">INDEX('MTA 28-09'!B:B,MATCH(B520,'MTA 28-09'!A:A,0))</f>
        <v>SIM</v>
      </c>
      <c r="D520" s="95" t="str">
        <f t="array" ref="D520">INDEX('MTA 28-09'!D:D,MATCH(B520,'MTA 28-09'!A:A,0))</f>
        <v>20XV</v>
      </c>
      <c r="E520" s="98" t="str">
        <f t="array" ref="E520">INDEX('MTA 28-09'!F:F,MATCH(B520,'MTA 28-09'!A:A,0))</f>
        <v>ATENDIDO</v>
      </c>
      <c r="F520" s="152">
        <f t="array" ref="F520">INDEX('MTA 28-09'!I:I,MATCH(B520,'MTA 28-09'!A:A,0))</f>
        <v>46210</v>
      </c>
      <c r="G520" s="100" t="str">
        <f t="array" ref="G520">INDEX('MTA 28-09'!J:J,MATCH(B520,'MTA 28-09'!A:A,0))</f>
        <v>C26152</v>
      </c>
      <c r="H520" s="159" t="s">
        <v>157</v>
      </c>
      <c r="I520" s="296"/>
      <c r="J520" s="102"/>
      <c r="K520" s="103"/>
      <c r="L520" s="102" t="str">
        <f t="array" ref="L520">INDEX('MTA 28-09'!S:S,MATCH(B520,'MTA 28-09'!A:A,0))</f>
        <v>IU-93M</v>
      </c>
      <c r="M520" s="98" t="str">
        <f t="array" ref="M520">INDEX('MTA 28-09'!T:T,MATCH(B520,'MTA 28-09'!A:A,0))</f>
        <v>CNT 024/CELOG-PAMALS/2022 - VEE ONE</v>
      </c>
      <c r="N520" s="98" t="str">
        <f t="array" ref="N520">INDEX('MTA 28-09'!U:U,MATCH(B520,'MTA 28-09'!A:A,0))</f>
        <v>Hora de Voo 12/12 (100HV)</v>
      </c>
      <c r="O520" s="104">
        <f t="array" ref="O520">INDEX('MTA 28-09'!AC:AC,MATCH(B520,'MTA 28-09'!A:A,0))</f>
        <v>1892821</v>
      </c>
      <c r="P520" s="98" t="str">
        <f t="array" ref="P520">INDEX('MTA 28-09'!N:N,MATCH(B520,'MTA 28-09'!A:A,0))</f>
        <v>CELOG</v>
      </c>
      <c r="Q520" s="105" t="str">
        <f t="array" ref="Q520">INDEX('MTA 28-09'!Z:Z,MATCH(B520,'MTA 28-09'!A:A,0))</f>
        <v>339039</v>
      </c>
      <c r="R520" s="98" t="str">
        <f t="array" ref="R520">INDEX('MTA 28-09'!L:L,MATCH(B520,'MTA 28-09'!A:A,0))</f>
        <v>A</v>
      </c>
      <c r="S520" s="107" t="str">
        <f t="array" ref="S520">INDEX('MTA 28-09'!X:X,MATCH(B520,'MTA 28-09'!A:A,0))</f>
        <v>HORA DE VOO</v>
      </c>
      <c r="T520" s="107" t="str">
        <f t="array" ref="T520">INDEX('MTA 28-09'!W:W,MATCH(B520,'MTA 28-09'!A:A,0))</f>
        <v>Não</v>
      </c>
      <c r="U520" s="109">
        <f t="array" ref="U520">INDEX('MTA 28-09'!AE:AE,MATCH(B520,'MTA 28-09'!A:A,0))</f>
        <v>46049</v>
      </c>
      <c r="V520" s="29"/>
      <c r="W520" s="29"/>
      <c r="X520" s="29"/>
      <c r="Y520" s="29"/>
      <c r="Z520" s="29"/>
      <c r="AA520" s="29"/>
      <c r="AB520" s="29"/>
      <c r="AC520" s="29"/>
      <c r="AD520" s="29"/>
      <c r="AE520" s="29"/>
      <c r="AF520" s="29"/>
      <c r="AG520" s="29"/>
      <c r="AH520" s="29"/>
      <c r="AI520" s="29"/>
      <c r="AJ520" s="29"/>
      <c r="AK520" s="29"/>
      <c r="AL520" s="29"/>
      <c r="AM520" s="29"/>
    </row>
    <row r="521">
      <c r="A521" s="31" t="s">
        <v>49</v>
      </c>
      <c r="B521" s="32">
        <v>18460.0</v>
      </c>
      <c r="C521" s="33" t="str">
        <f t="array" ref="C521">INDEX('MTA 28-09'!B:B,MATCH(B521,'MTA 28-09'!A:A,0))</f>
        <v>SIM</v>
      </c>
      <c r="D521" s="34" t="str">
        <f t="array" ref="D521">INDEX('MTA 28-09'!D:D,MATCH(B521,'MTA 28-09'!A:A,0))</f>
        <v>20XV</v>
      </c>
      <c r="E521" s="32" t="str">
        <f t="array" ref="E521">INDEX('MTA 28-09'!F:F,MATCH(B521,'MTA 28-09'!A:A,0))</f>
        <v>ATENDIDO</v>
      </c>
      <c r="F521" s="155">
        <f t="array" ref="F521">INDEX('MTA 28-09'!I:I,MATCH(B521,'MTA 28-09'!A:A,0))</f>
        <v>46210</v>
      </c>
      <c r="G521" s="36" t="str">
        <f t="array" ref="G521">INDEX('MTA 28-09'!J:J,MATCH(B521,'MTA 28-09'!A:A,0))</f>
        <v>C26152</v>
      </c>
      <c r="H521" s="287" t="s">
        <v>157</v>
      </c>
      <c r="I521" s="295"/>
      <c r="J521" s="39"/>
      <c r="K521" s="40"/>
      <c r="L521" s="39" t="str">
        <f t="array" ref="L521">INDEX('MTA 28-09'!S:S,MATCH(B521,'MTA 28-09'!A:A,0))</f>
        <v>IU-93M</v>
      </c>
      <c r="M521" s="32" t="str">
        <f t="array" ref="M521">INDEX('MTA 28-09'!T:T,MATCH(B521,'MTA 28-09'!A:A,0))</f>
        <v>CNT 024/CELOG-PAMALS/2022 - VEE ONE</v>
      </c>
      <c r="N521" s="32" t="str">
        <f t="array" ref="N521">INDEX('MTA 28-09'!U:U,MATCH(B521,'MTA 28-09'!A:A,0))</f>
        <v>Hora de Voo 12/12 (100HV) - 10 HV</v>
      </c>
      <c r="O521" s="59">
        <f t="array" ref="O521">INDEX('MTA 28-09'!AC:AC,MATCH(B521,'MTA 28-09'!A:A,0))</f>
        <v>189282.1</v>
      </c>
      <c r="P521" s="32" t="str">
        <f t="array" ref="P521">INDEX('MTA 28-09'!N:N,MATCH(B521,'MTA 28-09'!A:A,0))</f>
        <v>CELOG</v>
      </c>
      <c r="Q521" s="67" t="str">
        <f t="array" ref="Q521">INDEX('MTA 28-09'!Z:Z,MATCH(B521,'MTA 28-09'!A:A,0))</f>
        <v>339039</v>
      </c>
      <c r="R521" s="32" t="str">
        <f t="array" ref="R521">INDEX('MTA 28-09'!L:L,MATCH(B521,'MTA 28-09'!A:A,0))</f>
        <v>A</v>
      </c>
      <c r="S521" s="72" t="str">
        <f t="array" ref="S521">INDEX('MTA 28-09'!X:X,MATCH(B521,'MTA 28-09'!A:A,0))</f>
        <v>HORA DE VOO</v>
      </c>
      <c r="T521" s="72" t="str">
        <f t="array" ref="T521">INDEX('MTA 28-09'!W:W,MATCH(B521,'MTA 28-09'!A:A,0))</f>
        <v>Não</v>
      </c>
      <c r="U521" s="81">
        <f t="array" ref="U521">INDEX('MTA 28-09'!AE:AE,MATCH(B521,'MTA 28-09'!A:A,0))</f>
        <v>46080</v>
      </c>
      <c r="V521" s="12"/>
      <c r="W521" s="12"/>
      <c r="X521" s="12"/>
      <c r="Y521" s="12"/>
      <c r="Z521" s="12"/>
      <c r="AA521" s="12"/>
      <c r="AB521" s="12"/>
      <c r="AC521" s="12"/>
      <c r="AD521" s="12"/>
      <c r="AE521" s="12"/>
      <c r="AF521" s="12"/>
      <c r="AG521" s="12"/>
      <c r="AH521" s="12"/>
      <c r="AI521" s="12"/>
      <c r="AJ521" s="12"/>
      <c r="AK521" s="12"/>
      <c r="AL521" s="12"/>
      <c r="AM521" s="12"/>
    </row>
    <row r="522">
      <c r="A522" s="88" t="s">
        <v>104</v>
      </c>
      <c r="B522" s="98">
        <v>18480.0</v>
      </c>
      <c r="C522" s="92" t="str">
        <f t="array" ref="C522">INDEX('MTA 28-09'!B:B,MATCH(B522,'MTA 28-09'!A:A,0))</f>
        <v>NÃO</v>
      </c>
      <c r="D522" s="95" t="str">
        <f t="array" ref="D522">INDEX('MTA 28-09'!D:D,MATCH(B522,'MTA 28-09'!A:A,0))</f>
        <v/>
      </c>
      <c r="E522" s="98" t="str">
        <f t="array" ref="E522">INDEX('MTA 28-09'!F:F,MATCH(B522,'MTA 28-09'!A:A,0))</f>
        <v/>
      </c>
      <c r="F522" s="152" t="str">
        <f t="array" ref="F522">INDEX('MTA 28-09'!I:I,MATCH(B522,'MTA 28-09'!A:A,0))</f>
        <v/>
      </c>
      <c r="G522" s="100" t="str">
        <f t="array" ref="G522">INDEX('MTA 28-09'!J:J,MATCH(B522,'MTA 28-09'!A:A,0))</f>
        <v/>
      </c>
      <c r="H522" s="159" t="s">
        <v>157</v>
      </c>
      <c r="I522" s="296"/>
      <c r="J522" s="102"/>
      <c r="K522" s="103"/>
      <c r="L522" s="102" t="str">
        <f t="array" ref="L522">INDEX('MTA 28-09'!S:S,MATCH(B522,'MTA 28-09'!A:A,0))</f>
        <v>APOIO</v>
      </c>
      <c r="M522" s="98" t="str">
        <f t="array" ref="M522">INDEX('MTA 28-09'!T:T,MATCH(B522,'MTA 28-09'!A:A,0))</f>
        <v>ADQUIRIR PNEUS DE AVIAÇÃO</v>
      </c>
      <c r="N522" s="98" t="str">
        <f t="array" ref="N522">INDEX('MTA 28-09'!U:U,MATCH(B522,'MTA 28-09'!A:A,0))</f>
        <v>Aquisição de Pneu de Aviação - ARP - 6/6</v>
      </c>
      <c r="O522" s="104">
        <f t="array" ref="O522">INDEX('MTA 28-09'!AC:AC,MATCH(B522,'MTA 28-09'!A:A,0))</f>
        <v>1000000</v>
      </c>
      <c r="P522" s="98" t="str">
        <f t="array" ref="P522">INDEX('MTA 28-09'!N:N,MATCH(B522,'MTA 28-09'!A:A,0))</f>
        <v>CELOG</v>
      </c>
      <c r="Q522" s="105" t="str">
        <f t="array" ref="Q522">INDEX('MTA 28-09'!Z:Z,MATCH(B522,'MTA 28-09'!A:A,0))</f>
        <v>339030</v>
      </c>
      <c r="R522" s="98" t="str">
        <f t="array" ref="R522">INDEX('MTA 28-09'!L:L,MATCH(B522,'MTA 28-09'!A:A,0))</f>
        <v>C</v>
      </c>
      <c r="S522" s="107" t="str">
        <f t="array" ref="S522">INDEX('MTA 28-09'!X:X,MATCH(B522,'MTA 28-09'!A:A,0))</f>
        <v>REQUISIÇÃO</v>
      </c>
      <c r="T522" s="107" t="str">
        <f t="array" ref="T522">INDEX('MTA 28-09'!W:W,MATCH(B522,'MTA 28-09'!A:A,0))</f>
        <v>NÃO</v>
      </c>
      <c r="U522" s="109">
        <f t="array" ref="U522">INDEX('MTA 28-09'!AE:AE,MATCH(B522,'MTA 28-09'!A:A,0))</f>
        <v>46080</v>
      </c>
      <c r="V522" s="29"/>
      <c r="W522" s="29"/>
      <c r="X522" s="29"/>
      <c r="Y522" s="29"/>
      <c r="Z522" s="29"/>
      <c r="AA522" s="29"/>
      <c r="AB522" s="29"/>
      <c r="AC522" s="29"/>
      <c r="AD522" s="29"/>
      <c r="AE522" s="29"/>
      <c r="AF522" s="29"/>
      <c r="AG522" s="29"/>
      <c r="AH522" s="29"/>
      <c r="AI522" s="29"/>
      <c r="AJ522" s="29"/>
      <c r="AK522" s="29"/>
      <c r="AL522" s="29"/>
      <c r="AM522" s="29"/>
    </row>
    <row r="523">
      <c r="A523" s="31" t="s">
        <v>49</v>
      </c>
      <c r="B523" s="32">
        <v>18500.0</v>
      </c>
      <c r="C523" s="33" t="str">
        <f t="array" ref="C523">INDEX('MTA 28-09'!B:B,MATCH(B523,'MTA 28-09'!A:A,0))</f>
        <v>SIM</v>
      </c>
      <c r="D523" s="34" t="str">
        <f t="array" ref="D523">INDEX('MTA 28-09'!D:D,MATCH(B523,'MTA 28-09'!A:A,0))</f>
        <v>20XV</v>
      </c>
      <c r="E523" s="32" t="str">
        <f t="array" ref="E523">INDEX('MTA 28-09'!F:F,MATCH(B523,'MTA 28-09'!A:A,0))</f>
        <v>ATENDIDO</v>
      </c>
      <c r="F523" s="35">
        <f t="array" ref="F523">INDEX('MTA 28-09'!I:I,MATCH(B523,'MTA 28-09'!A:A,0))</f>
        <v>46204</v>
      </c>
      <c r="G523" s="36" t="str">
        <f t="array" ref="G523">INDEX('MTA 28-09'!J:J,MATCH(B523,'MTA 28-09'!A:A,0))</f>
        <v>C26152</v>
      </c>
      <c r="H523" s="37" t="s">
        <v>375</v>
      </c>
      <c r="I523" s="38"/>
      <c r="J523" s="39"/>
      <c r="K523" s="40"/>
      <c r="L523" s="39" t="str">
        <f t="array" ref="L523">INDEX('MTA 28-09'!S:S,MATCH(B523,'MTA 28-09'!A:A,0))</f>
        <v>IU-93M</v>
      </c>
      <c r="M523" s="32" t="str">
        <f t="array" ref="M523">INDEX('MTA 28-09'!T:T,MATCH(B523,'MTA 28-09'!A:A,0))</f>
        <v>CNT 024/CELOG-PAMALS/2022 - VEE ONE</v>
      </c>
      <c r="N523" s="32" t="str">
        <f t="array" ref="N523">INDEX('MTA 28-09'!U:U,MATCH(B523,'MTA 28-09'!A:A,0))</f>
        <v>Módulo Extra - Sob demanda 3/3</v>
      </c>
      <c r="O523" s="59">
        <f t="array" ref="O523">INDEX('MTA 28-09'!AC:AC,MATCH(B523,'MTA 28-09'!A:A,0))</f>
        <v>600000</v>
      </c>
      <c r="P523" s="32" t="str">
        <f t="array" ref="P523">INDEX('MTA 28-09'!N:N,MATCH(B523,'MTA 28-09'!A:A,0))</f>
        <v>CELOG</v>
      </c>
      <c r="Q523" s="67" t="str">
        <f t="array" ref="Q523">INDEX('MTA 28-09'!Z:Z,MATCH(B523,'MTA 28-09'!A:A,0))</f>
        <v>339039</v>
      </c>
      <c r="R523" s="32" t="str">
        <f t="array" ref="R523">INDEX('MTA 28-09'!L:L,MATCH(B523,'MTA 28-09'!A:A,0))</f>
        <v>A</v>
      </c>
      <c r="S523" s="72" t="str">
        <f t="array" ref="S523">INDEX('MTA 28-09'!X:X,MATCH(B523,'MTA 28-09'!A:A,0))</f>
        <v>SOB DEMANDA</v>
      </c>
      <c r="T523" s="72" t="str">
        <f t="array" ref="T523">INDEX('MTA 28-09'!W:W,MATCH(B523,'MTA 28-09'!A:A,0))</f>
        <v>Não</v>
      </c>
      <c r="U523" s="81">
        <f t="array" ref="U523">INDEX('MTA 28-09'!AE:AE,MATCH(B523,'MTA 28-09'!A:A,0))</f>
        <v>46261</v>
      </c>
      <c r="V523" s="12"/>
      <c r="W523" s="12"/>
      <c r="X523" s="12"/>
      <c r="Y523" s="12"/>
      <c r="Z523" s="12"/>
      <c r="AA523" s="12"/>
      <c r="AB523" s="12"/>
      <c r="AC523" s="12"/>
      <c r="AD523" s="12"/>
      <c r="AE523" s="12"/>
      <c r="AF523" s="12"/>
      <c r="AG523" s="12"/>
      <c r="AH523" s="12"/>
      <c r="AI523" s="12"/>
      <c r="AJ523" s="12"/>
      <c r="AK523" s="12"/>
      <c r="AL523" s="12"/>
      <c r="AM523" s="12"/>
    </row>
    <row r="524">
      <c r="A524" s="88" t="s">
        <v>49</v>
      </c>
      <c r="B524" s="90">
        <v>18501.0</v>
      </c>
      <c r="C524" s="92" t="str">
        <f t="array" ref="C524">INDEX('MTA 28-09'!B:B,MATCH(B524,'MTA 28-09'!A:A,0))</f>
        <v>SIM</v>
      </c>
      <c r="D524" s="95" t="str">
        <f t="array" ref="D524">INDEX('MTA 28-09'!D:D,MATCH(B524,'MTA 28-09'!A:A,0))</f>
        <v>20XV</v>
      </c>
      <c r="E524" s="98" t="str">
        <f t="array" ref="E524">INDEX('MTA 28-09'!F:F,MATCH(B524,'MTA 28-09'!A:A,0))</f>
        <v>ATENDIDO</v>
      </c>
      <c r="F524" s="99">
        <f t="array" ref="F524">INDEX('MTA 28-09'!I:I,MATCH(B524,'MTA 28-09'!A:A,0))</f>
        <v>46224</v>
      </c>
      <c r="G524" s="100" t="str">
        <f t="array" ref="G524">INDEX('MTA 28-09'!J:J,MATCH(B524,'MTA 28-09'!A:A,0))</f>
        <v>C26152</v>
      </c>
      <c r="H524" s="101" t="s">
        <v>1606</v>
      </c>
      <c r="I524" s="90"/>
      <c r="J524" s="102"/>
      <c r="K524" s="103"/>
      <c r="L524" s="102" t="str">
        <f t="array" ref="L524">INDEX('MTA 28-09'!S:S,MATCH(B524,'MTA 28-09'!A:A,0))</f>
        <v>IU-93M</v>
      </c>
      <c r="M524" s="98" t="str">
        <f t="array" ref="M524">INDEX('MTA 28-09'!T:T,MATCH(B524,'MTA 28-09'!A:A,0))</f>
        <v>CNT 024/CELOG-PAMALS/2022 - VEE ONE</v>
      </c>
      <c r="N524" s="98" t="str">
        <f t="array" ref="N524">INDEX('MTA 28-09'!U:U,MATCH(B524,'MTA 28-09'!A:A,0))</f>
        <v>Módulo Extra - Sob demanda 4/4</v>
      </c>
      <c r="O524" s="104">
        <f t="array" ref="O524">INDEX('MTA 28-09'!AC:AC,MATCH(B524,'MTA 28-09'!A:A,0))</f>
        <v>250000</v>
      </c>
      <c r="P524" s="98" t="str">
        <f t="array" ref="P524">INDEX('MTA 28-09'!N:N,MATCH(B524,'MTA 28-09'!A:A,0))</f>
        <v>CELOG</v>
      </c>
      <c r="Q524" s="105" t="str">
        <f t="array" ref="Q524">INDEX('MTA 28-09'!Z:Z,MATCH(B524,'MTA 28-09'!A:A,0))</f>
        <v>339039</v>
      </c>
      <c r="R524" s="98" t="str">
        <f t="array" ref="R524">INDEX('MTA 28-09'!L:L,MATCH(B524,'MTA 28-09'!A:A,0))</f>
        <v>A</v>
      </c>
      <c r="S524" s="107" t="str">
        <f t="array" ref="S524">INDEX('MTA 28-09'!X:X,MATCH(B524,'MTA 28-09'!A:A,0))</f>
        <v>SOB DEMANDA</v>
      </c>
      <c r="T524" s="107" t="str">
        <f t="array" ref="T524">INDEX('MTA 28-09'!W:W,MATCH(B524,'MTA 28-09'!A:A,0))</f>
        <v>Não</v>
      </c>
      <c r="U524" s="109">
        <f t="array" ref="U524">INDEX('MTA 28-09'!AE:AE,MATCH(B524,'MTA 28-09'!A:A,0))</f>
        <v>46261</v>
      </c>
      <c r="V524" s="29"/>
      <c r="W524" s="29"/>
      <c r="X524" s="29"/>
      <c r="Y524" s="29"/>
      <c r="Z524" s="29"/>
      <c r="AA524" s="29"/>
      <c r="AB524" s="29"/>
      <c r="AC524" s="29"/>
      <c r="AD524" s="29"/>
      <c r="AE524" s="29"/>
      <c r="AF524" s="29"/>
      <c r="AG524" s="29"/>
      <c r="AH524" s="29"/>
      <c r="AI524" s="29"/>
      <c r="AJ524" s="29"/>
      <c r="AK524" s="29"/>
      <c r="AL524" s="29"/>
      <c r="AM524" s="29"/>
    </row>
    <row r="525">
      <c r="A525" s="31" t="s">
        <v>39</v>
      </c>
      <c r="B525" s="32">
        <v>18520.0</v>
      </c>
      <c r="C525" s="33" t="str">
        <f t="array" ref="C525">INDEX('MTA 28-09'!B:B,MATCH(B525,'MTA 28-09'!A:A,0))</f>
        <v>SIM</v>
      </c>
      <c r="D525" s="34" t="str">
        <f t="array" ref="D525">INDEX('MTA 28-09'!D:D,MATCH(B525,'MTA 28-09'!A:A,0))</f>
        <v/>
      </c>
      <c r="E525" s="32" t="str">
        <f t="array" ref="E525">INDEX('MTA 28-09'!F:F,MATCH(B525,'MTA 28-09'!A:A,0))</f>
        <v/>
      </c>
      <c r="F525" s="155" t="str">
        <f t="array" ref="F525">INDEX('MTA 28-09'!I:I,MATCH(B525,'MTA 28-09'!A:A,0))</f>
        <v/>
      </c>
      <c r="G525" s="36" t="str">
        <f t="array" ref="G525">INDEX('MTA 28-09'!J:J,MATCH(B525,'MTA 28-09'!A:A,0))</f>
        <v/>
      </c>
      <c r="H525" s="37" t="s">
        <v>1607</v>
      </c>
      <c r="I525" s="32" t="s">
        <v>1608</v>
      </c>
      <c r="J525" s="39"/>
      <c r="K525" s="40"/>
      <c r="L525" s="39" t="str">
        <f t="array" ref="L525">INDEX('MTA 28-09'!S:S,MATCH(B525,'MTA 28-09'!A:A,0))</f>
        <v>A-29</v>
      </c>
      <c r="M525" s="32" t="str">
        <f t="array" ref="M525">INDEX('MTA 28-09'!T:T,MATCH(B525,'MTA 28-09'!A:A,0))</f>
        <v>CTT 102/CELOG-PAMALS/2023 – EMBRAER - PSLI</v>
      </c>
      <c r="N525" s="32" t="str">
        <f t="array" ref="N525">INDEX('MTA 28-09'!U:U,MATCH(B525,'MTA 28-09'!A:A,0))</f>
        <v>Módulo Extra - Atualização do GPS da aeronave 01/30</v>
      </c>
      <c r="O525" s="59">
        <f t="array" ref="O525">INDEX('MTA 28-09'!AC:AC,MATCH(B525,'MTA 28-09'!A:A,0))</f>
        <v>100000</v>
      </c>
      <c r="P525" s="32" t="str">
        <f t="array" ref="P525">INDEX('MTA 28-09'!N:N,MATCH(B525,'MTA 28-09'!A:A,0))</f>
        <v>CELOG</v>
      </c>
      <c r="Q525" s="67" t="str">
        <f t="array" ref="Q525">INDEX('MTA 28-09'!Z:Z,MATCH(B525,'MTA 28-09'!A:A,0))</f>
        <v>339030</v>
      </c>
      <c r="R525" s="32" t="str">
        <f t="array" ref="R525">INDEX('MTA 28-09'!L:L,MATCH(B525,'MTA 28-09'!A:A,0))</f>
        <v>D</v>
      </c>
      <c r="S525" s="72" t="str">
        <f t="array" ref="S525">INDEX('MTA 28-09'!X:X,MATCH(B525,'MTA 28-09'!A:A,0))</f>
        <v>SOB DEMANDA</v>
      </c>
      <c r="T525" s="72" t="str">
        <f t="array" ref="T525">INDEX('MTA 28-09'!W:W,MATCH(B525,'MTA 28-09'!A:A,0))</f>
        <v>Não</v>
      </c>
      <c r="U525" s="81">
        <f t="array" ref="U525">INDEX('MTA 28-09'!AE:AE,MATCH(B525,'MTA 28-09'!A:A,0))</f>
        <v>46383</v>
      </c>
      <c r="V525" s="12"/>
      <c r="W525" s="12"/>
      <c r="X525" s="12"/>
      <c r="Y525" s="12"/>
      <c r="Z525" s="12"/>
      <c r="AA525" s="12"/>
      <c r="AB525" s="12"/>
      <c r="AC525" s="12"/>
      <c r="AD525" s="12"/>
      <c r="AE525" s="12"/>
      <c r="AF525" s="12"/>
      <c r="AG525" s="12"/>
      <c r="AH525" s="12"/>
      <c r="AI525" s="12"/>
      <c r="AJ525" s="12"/>
      <c r="AK525" s="12"/>
      <c r="AL525" s="12"/>
      <c r="AM525" s="12"/>
    </row>
    <row r="526">
      <c r="A526" s="88" t="s">
        <v>39</v>
      </c>
      <c r="B526" s="98">
        <v>18540.0</v>
      </c>
      <c r="C526" s="92" t="str">
        <f t="array" ref="C526">INDEX('MTA 28-09'!B:B,MATCH(B526,'MTA 28-09'!A:A,0))</f>
        <v>SIM</v>
      </c>
      <c r="D526" s="95" t="str">
        <f t="array" ref="D526">INDEX('MTA 28-09'!D:D,MATCH(B526,'MTA 28-09'!A:A,0))</f>
        <v/>
      </c>
      <c r="E526" s="98" t="str">
        <f t="array" ref="E526">INDEX('MTA 28-09'!F:F,MATCH(B526,'MTA 28-09'!A:A,0))</f>
        <v/>
      </c>
      <c r="F526" s="144" t="str">
        <f t="array" ref="F526">INDEX('MTA 28-09'!I:I,MATCH(B526,'MTA 28-09'!A:A,0))</f>
        <v/>
      </c>
      <c r="G526" s="100" t="str">
        <f t="array" ref="G526">INDEX('MTA 28-09'!J:J,MATCH(B526,'MTA 28-09'!A:A,0))</f>
        <v/>
      </c>
      <c r="H526" s="101" t="s">
        <v>1607</v>
      </c>
      <c r="I526" s="98" t="s">
        <v>1608</v>
      </c>
      <c r="J526" s="102"/>
      <c r="K526" s="103"/>
      <c r="L526" s="102" t="str">
        <f t="array" ref="L526">INDEX('MTA 28-09'!S:S,MATCH(B526,'MTA 28-09'!A:A,0))</f>
        <v>A-29</v>
      </c>
      <c r="M526" s="98" t="str">
        <f t="array" ref="M526">INDEX('MTA 28-09'!T:T,MATCH(B526,'MTA 28-09'!A:A,0))</f>
        <v>CTT 102/CELOG-PAMALS/2023 – EMBRAER - PSLI</v>
      </c>
      <c r="N526" s="98" t="str">
        <f t="array" ref="N526">INDEX('MTA 28-09'!U:U,MATCH(B526,'MTA 28-09'!A:A,0))</f>
        <v>Módulo Extra - Atualização do GPS da aeronave 02/30</v>
      </c>
      <c r="O526" s="104">
        <f t="array" ref="O526">INDEX('MTA 28-09'!AC:AC,MATCH(B526,'MTA 28-09'!A:A,0))</f>
        <v>100000</v>
      </c>
      <c r="P526" s="98" t="str">
        <f t="array" ref="P526">INDEX('MTA 28-09'!N:N,MATCH(B526,'MTA 28-09'!A:A,0))</f>
        <v>CELOG</v>
      </c>
      <c r="Q526" s="105" t="str">
        <f t="array" ref="Q526">INDEX('MTA 28-09'!Z:Z,MATCH(B526,'MTA 28-09'!A:A,0))</f>
        <v>339030</v>
      </c>
      <c r="R526" s="98" t="str">
        <f t="array" ref="R526">INDEX('MTA 28-09'!L:L,MATCH(B526,'MTA 28-09'!A:A,0))</f>
        <v>D</v>
      </c>
      <c r="S526" s="107" t="str">
        <f t="array" ref="S526">INDEX('MTA 28-09'!X:X,MATCH(B526,'MTA 28-09'!A:A,0))</f>
        <v>SOB DEMANDA</v>
      </c>
      <c r="T526" s="107" t="str">
        <f t="array" ref="T526">INDEX('MTA 28-09'!W:W,MATCH(B526,'MTA 28-09'!A:A,0))</f>
        <v>Não</v>
      </c>
      <c r="U526" s="109">
        <f t="array" ref="U526">INDEX('MTA 28-09'!AE:AE,MATCH(B526,'MTA 28-09'!A:A,0))</f>
        <v>46383</v>
      </c>
      <c r="V526" s="29"/>
      <c r="W526" s="29"/>
      <c r="X526" s="29"/>
      <c r="Y526" s="29"/>
      <c r="Z526" s="29"/>
      <c r="AA526" s="29"/>
      <c r="AB526" s="29"/>
      <c r="AC526" s="29"/>
      <c r="AD526" s="29"/>
      <c r="AE526" s="29"/>
      <c r="AF526" s="29"/>
      <c r="AG526" s="29"/>
      <c r="AH526" s="29"/>
      <c r="AI526" s="29"/>
      <c r="AJ526" s="29"/>
      <c r="AK526" s="29"/>
      <c r="AL526" s="29"/>
      <c r="AM526" s="29"/>
    </row>
    <row r="527">
      <c r="A527" s="31" t="s">
        <v>39</v>
      </c>
      <c r="B527" s="32">
        <v>18560.0</v>
      </c>
      <c r="C527" s="33" t="str">
        <f t="array" ref="C527">INDEX('MTA 28-09'!B:B,MATCH(B527,'MTA 28-09'!A:A,0))</f>
        <v>SIM</v>
      </c>
      <c r="D527" s="34" t="str">
        <f t="array" ref="D527">INDEX('MTA 28-09'!D:D,MATCH(B527,'MTA 28-09'!A:A,0))</f>
        <v/>
      </c>
      <c r="E527" s="32" t="str">
        <f t="array" ref="E527">INDEX('MTA 28-09'!F:F,MATCH(B527,'MTA 28-09'!A:A,0))</f>
        <v/>
      </c>
      <c r="F527" s="155" t="str">
        <f t="array" ref="F527">INDEX('MTA 28-09'!I:I,MATCH(B527,'MTA 28-09'!A:A,0))</f>
        <v/>
      </c>
      <c r="G527" s="36" t="str">
        <f t="array" ref="G527">INDEX('MTA 28-09'!J:J,MATCH(B527,'MTA 28-09'!A:A,0))</f>
        <v/>
      </c>
      <c r="H527" s="37" t="s">
        <v>1607</v>
      </c>
      <c r="I527" s="32" t="s">
        <v>1608</v>
      </c>
      <c r="J527" s="39"/>
      <c r="K527" s="40"/>
      <c r="L527" s="39" t="str">
        <f t="array" ref="L527">INDEX('MTA 28-09'!S:S,MATCH(B527,'MTA 28-09'!A:A,0))</f>
        <v>A-29</v>
      </c>
      <c r="M527" s="32" t="str">
        <f t="array" ref="M527">INDEX('MTA 28-09'!T:T,MATCH(B527,'MTA 28-09'!A:A,0))</f>
        <v>CTT 102/CELOG-PAMALS/2023 – EMBRAER - PSLI</v>
      </c>
      <c r="N527" s="32" t="str">
        <f t="array" ref="N527">INDEX('MTA 28-09'!U:U,MATCH(B527,'MTA 28-09'!A:A,0))</f>
        <v>Módulo Extra - Atualização do GPS da aeronave 03/30</v>
      </c>
      <c r="O527" s="59">
        <f t="array" ref="O527">INDEX('MTA 28-09'!AC:AC,MATCH(B527,'MTA 28-09'!A:A,0))</f>
        <v>100000</v>
      </c>
      <c r="P527" s="32" t="str">
        <f t="array" ref="P527">INDEX('MTA 28-09'!N:N,MATCH(B527,'MTA 28-09'!A:A,0))</f>
        <v>CELOG</v>
      </c>
      <c r="Q527" s="67" t="str">
        <f t="array" ref="Q527">INDEX('MTA 28-09'!Z:Z,MATCH(B527,'MTA 28-09'!A:A,0))</f>
        <v>339030</v>
      </c>
      <c r="R527" s="32" t="str">
        <f t="array" ref="R527">INDEX('MTA 28-09'!L:L,MATCH(B527,'MTA 28-09'!A:A,0))</f>
        <v>D</v>
      </c>
      <c r="S527" s="72" t="str">
        <f t="array" ref="S527">INDEX('MTA 28-09'!X:X,MATCH(B527,'MTA 28-09'!A:A,0))</f>
        <v>SOB DEMANDA</v>
      </c>
      <c r="T527" s="72" t="str">
        <f t="array" ref="T527">INDEX('MTA 28-09'!W:W,MATCH(B527,'MTA 28-09'!A:A,0))</f>
        <v>Não</v>
      </c>
      <c r="U527" s="81">
        <f t="array" ref="U527">INDEX('MTA 28-09'!AE:AE,MATCH(B527,'MTA 28-09'!A:A,0))</f>
        <v>46383</v>
      </c>
      <c r="V527" s="12"/>
      <c r="W527" s="12"/>
      <c r="X527" s="12"/>
      <c r="Y527" s="12"/>
      <c r="Z527" s="12"/>
      <c r="AA527" s="12"/>
      <c r="AB527" s="12"/>
      <c r="AC527" s="12"/>
      <c r="AD527" s="12"/>
      <c r="AE527" s="12"/>
      <c r="AF527" s="12"/>
      <c r="AG527" s="12"/>
      <c r="AH527" s="12"/>
      <c r="AI527" s="12"/>
      <c r="AJ527" s="12"/>
      <c r="AK527" s="12"/>
      <c r="AL527" s="12"/>
      <c r="AM527" s="12"/>
    </row>
    <row r="528">
      <c r="A528" s="88" t="s">
        <v>39</v>
      </c>
      <c r="B528" s="98">
        <v>18580.0</v>
      </c>
      <c r="C528" s="92" t="str">
        <f t="array" ref="C528">INDEX('MTA 28-09'!B:B,MATCH(B528,'MTA 28-09'!A:A,0))</f>
        <v>SIM</v>
      </c>
      <c r="D528" s="95" t="str">
        <f t="array" ref="D528">INDEX('MTA 28-09'!D:D,MATCH(B528,'MTA 28-09'!A:A,0))</f>
        <v/>
      </c>
      <c r="E528" s="98" t="str">
        <f t="array" ref="E528">INDEX('MTA 28-09'!F:F,MATCH(B528,'MTA 28-09'!A:A,0))</f>
        <v/>
      </c>
      <c r="F528" s="152" t="str">
        <f t="array" ref="F528">INDEX('MTA 28-09'!I:I,MATCH(B528,'MTA 28-09'!A:A,0))</f>
        <v/>
      </c>
      <c r="G528" s="100" t="str">
        <f t="array" ref="G528">INDEX('MTA 28-09'!J:J,MATCH(B528,'MTA 28-09'!A:A,0))</f>
        <v/>
      </c>
      <c r="H528" s="101" t="s">
        <v>1607</v>
      </c>
      <c r="I528" s="98" t="s">
        <v>1608</v>
      </c>
      <c r="J528" s="102"/>
      <c r="K528" s="103"/>
      <c r="L528" s="102" t="str">
        <f t="array" ref="L528">INDEX('MTA 28-09'!S:S,MATCH(B528,'MTA 28-09'!A:A,0))</f>
        <v>A-29</v>
      </c>
      <c r="M528" s="98" t="str">
        <f t="array" ref="M528">INDEX('MTA 28-09'!T:T,MATCH(B528,'MTA 28-09'!A:A,0))</f>
        <v>CTT 102/CELOG-PAMALS/2023 – EMBRAER - PSLI</v>
      </c>
      <c r="N528" s="98" t="str">
        <f t="array" ref="N528">INDEX('MTA 28-09'!U:U,MATCH(B528,'MTA 28-09'!A:A,0))</f>
        <v>Módulo Extra - Atualização do GPS da aeronave 04/30</v>
      </c>
      <c r="O528" s="104">
        <f t="array" ref="O528">INDEX('MTA 28-09'!AC:AC,MATCH(B528,'MTA 28-09'!A:A,0))</f>
        <v>100000</v>
      </c>
      <c r="P528" s="98" t="str">
        <f t="array" ref="P528">INDEX('MTA 28-09'!N:N,MATCH(B528,'MTA 28-09'!A:A,0))</f>
        <v>CELOG</v>
      </c>
      <c r="Q528" s="105" t="str">
        <f t="array" ref="Q528">INDEX('MTA 28-09'!Z:Z,MATCH(B528,'MTA 28-09'!A:A,0))</f>
        <v>339030</v>
      </c>
      <c r="R528" s="98" t="str">
        <f t="array" ref="R528">INDEX('MTA 28-09'!L:L,MATCH(B528,'MTA 28-09'!A:A,0))</f>
        <v>D</v>
      </c>
      <c r="S528" s="107" t="str">
        <f t="array" ref="S528">INDEX('MTA 28-09'!X:X,MATCH(B528,'MTA 28-09'!A:A,0))</f>
        <v>SOB DEMANDA</v>
      </c>
      <c r="T528" s="107" t="str">
        <f t="array" ref="T528">INDEX('MTA 28-09'!W:W,MATCH(B528,'MTA 28-09'!A:A,0))</f>
        <v>Não</v>
      </c>
      <c r="U528" s="109">
        <f t="array" ref="U528">INDEX('MTA 28-09'!AE:AE,MATCH(B528,'MTA 28-09'!A:A,0))</f>
        <v>46383</v>
      </c>
      <c r="V528" s="29"/>
      <c r="W528" s="29"/>
      <c r="X528" s="29"/>
      <c r="Y528" s="29"/>
      <c r="Z528" s="29"/>
      <c r="AA528" s="29"/>
      <c r="AB528" s="29"/>
      <c r="AC528" s="29"/>
      <c r="AD528" s="29"/>
      <c r="AE528" s="29"/>
      <c r="AF528" s="29"/>
      <c r="AG528" s="29"/>
      <c r="AH528" s="29"/>
      <c r="AI528" s="29"/>
      <c r="AJ528" s="29"/>
      <c r="AK528" s="29"/>
      <c r="AL528" s="29"/>
      <c r="AM528" s="29"/>
    </row>
    <row r="529">
      <c r="A529" s="31" t="s">
        <v>39</v>
      </c>
      <c r="B529" s="32">
        <v>18600.0</v>
      </c>
      <c r="C529" s="33" t="str">
        <f t="array" ref="C529">INDEX('MTA 28-09'!B:B,MATCH(B529,'MTA 28-09'!A:A,0))</f>
        <v>SIM</v>
      </c>
      <c r="D529" s="34" t="str">
        <f t="array" ref="D529">INDEX('MTA 28-09'!D:D,MATCH(B529,'MTA 28-09'!A:A,0))</f>
        <v/>
      </c>
      <c r="E529" s="32" t="str">
        <f t="array" ref="E529">INDEX('MTA 28-09'!F:F,MATCH(B529,'MTA 28-09'!A:A,0))</f>
        <v/>
      </c>
      <c r="F529" s="155" t="str">
        <f t="array" ref="F529">INDEX('MTA 28-09'!I:I,MATCH(B529,'MTA 28-09'!A:A,0))</f>
        <v/>
      </c>
      <c r="G529" s="36" t="str">
        <f t="array" ref="G529">INDEX('MTA 28-09'!J:J,MATCH(B529,'MTA 28-09'!A:A,0))</f>
        <v/>
      </c>
      <c r="H529" s="37" t="s">
        <v>1607</v>
      </c>
      <c r="I529" s="32" t="s">
        <v>1608</v>
      </c>
      <c r="J529" s="39"/>
      <c r="K529" s="40"/>
      <c r="L529" s="39" t="str">
        <f t="array" ref="L529">INDEX('MTA 28-09'!S:S,MATCH(B529,'MTA 28-09'!A:A,0))</f>
        <v>A-29</v>
      </c>
      <c r="M529" s="32" t="str">
        <f t="array" ref="M529">INDEX('MTA 28-09'!T:T,MATCH(B529,'MTA 28-09'!A:A,0))</f>
        <v>CTT 102/CELOG-PAMALS/2023 – EMBRAER - PSLI</v>
      </c>
      <c r="N529" s="32" t="str">
        <f t="array" ref="N529">INDEX('MTA 28-09'!U:U,MATCH(B529,'MTA 28-09'!A:A,0))</f>
        <v>Módulo Extra - Atualização do GPS da aeronave 05/30</v>
      </c>
      <c r="O529" s="59">
        <f t="array" ref="O529">INDEX('MTA 28-09'!AC:AC,MATCH(B529,'MTA 28-09'!A:A,0))</f>
        <v>100000</v>
      </c>
      <c r="P529" s="32" t="str">
        <f t="array" ref="P529">INDEX('MTA 28-09'!N:N,MATCH(B529,'MTA 28-09'!A:A,0))</f>
        <v>CELOG</v>
      </c>
      <c r="Q529" s="67" t="str">
        <f t="array" ref="Q529">INDEX('MTA 28-09'!Z:Z,MATCH(B529,'MTA 28-09'!A:A,0))</f>
        <v>339030</v>
      </c>
      <c r="R529" s="32" t="str">
        <f t="array" ref="R529">INDEX('MTA 28-09'!L:L,MATCH(B529,'MTA 28-09'!A:A,0))</f>
        <v>D</v>
      </c>
      <c r="S529" s="72" t="str">
        <f t="array" ref="S529">INDEX('MTA 28-09'!X:X,MATCH(B529,'MTA 28-09'!A:A,0))</f>
        <v>SOB DEMANDA</v>
      </c>
      <c r="T529" s="72" t="str">
        <f t="array" ref="T529">INDEX('MTA 28-09'!W:W,MATCH(B529,'MTA 28-09'!A:A,0))</f>
        <v>Não</v>
      </c>
      <c r="U529" s="81">
        <f t="array" ref="U529">INDEX('MTA 28-09'!AE:AE,MATCH(B529,'MTA 28-09'!A:A,0))</f>
        <v>46383</v>
      </c>
      <c r="V529" s="12"/>
      <c r="W529" s="12"/>
      <c r="X529" s="12"/>
      <c r="Y529" s="12"/>
      <c r="Z529" s="12"/>
      <c r="AA529" s="12"/>
      <c r="AB529" s="12"/>
      <c r="AC529" s="12"/>
      <c r="AD529" s="12"/>
      <c r="AE529" s="12"/>
      <c r="AF529" s="12"/>
      <c r="AG529" s="12"/>
      <c r="AH529" s="12"/>
      <c r="AI529" s="12"/>
      <c r="AJ529" s="12"/>
      <c r="AK529" s="12"/>
      <c r="AL529" s="12"/>
      <c r="AM529" s="12"/>
    </row>
    <row r="530">
      <c r="A530" s="88" t="s">
        <v>39</v>
      </c>
      <c r="B530" s="98">
        <v>18620.0</v>
      </c>
      <c r="C530" s="92" t="str">
        <f t="array" ref="C530">INDEX('MTA 28-09'!B:B,MATCH(B530,'MTA 28-09'!A:A,0))</f>
        <v>SIM</v>
      </c>
      <c r="D530" s="95" t="str">
        <f t="array" ref="D530">INDEX('MTA 28-09'!D:D,MATCH(B530,'MTA 28-09'!A:A,0))</f>
        <v/>
      </c>
      <c r="E530" s="98" t="str">
        <f t="array" ref="E530">INDEX('MTA 28-09'!F:F,MATCH(B530,'MTA 28-09'!A:A,0))</f>
        <v/>
      </c>
      <c r="F530" s="152" t="str">
        <f t="array" ref="F530">INDEX('MTA 28-09'!I:I,MATCH(B530,'MTA 28-09'!A:A,0))</f>
        <v/>
      </c>
      <c r="G530" s="100" t="str">
        <f t="array" ref="G530">INDEX('MTA 28-09'!J:J,MATCH(B530,'MTA 28-09'!A:A,0))</f>
        <v/>
      </c>
      <c r="H530" s="101" t="s">
        <v>1607</v>
      </c>
      <c r="I530" s="98" t="s">
        <v>1608</v>
      </c>
      <c r="J530" s="102"/>
      <c r="K530" s="103"/>
      <c r="L530" s="102" t="str">
        <f t="array" ref="L530">INDEX('MTA 28-09'!S:S,MATCH(B530,'MTA 28-09'!A:A,0))</f>
        <v>A-29</v>
      </c>
      <c r="M530" s="98" t="str">
        <f t="array" ref="M530">INDEX('MTA 28-09'!T:T,MATCH(B530,'MTA 28-09'!A:A,0))</f>
        <v>CTT 102/CELOG-PAMALS/2023 – EMBRAER - PSLI</v>
      </c>
      <c r="N530" s="98" t="str">
        <f t="array" ref="N530">INDEX('MTA 28-09'!U:U,MATCH(B530,'MTA 28-09'!A:A,0))</f>
        <v>Módulo Extra - Atualização do GPS da aeronave 06/30</v>
      </c>
      <c r="O530" s="104">
        <f t="array" ref="O530">INDEX('MTA 28-09'!AC:AC,MATCH(B530,'MTA 28-09'!A:A,0))</f>
        <v>100000</v>
      </c>
      <c r="P530" s="98" t="str">
        <f t="array" ref="P530">INDEX('MTA 28-09'!N:N,MATCH(B530,'MTA 28-09'!A:A,0))</f>
        <v>CELOG</v>
      </c>
      <c r="Q530" s="105" t="str">
        <f t="array" ref="Q530">INDEX('MTA 28-09'!Z:Z,MATCH(B530,'MTA 28-09'!A:A,0))</f>
        <v>339030</v>
      </c>
      <c r="R530" s="98" t="str">
        <f t="array" ref="R530">INDEX('MTA 28-09'!L:L,MATCH(B530,'MTA 28-09'!A:A,0))</f>
        <v>D</v>
      </c>
      <c r="S530" s="107" t="str">
        <f t="array" ref="S530">INDEX('MTA 28-09'!X:X,MATCH(B530,'MTA 28-09'!A:A,0))</f>
        <v>SOB DEMANDA</v>
      </c>
      <c r="T530" s="107" t="str">
        <f t="array" ref="T530">INDEX('MTA 28-09'!W:W,MATCH(B530,'MTA 28-09'!A:A,0))</f>
        <v>Não</v>
      </c>
      <c r="U530" s="109">
        <f t="array" ref="U530">INDEX('MTA 28-09'!AE:AE,MATCH(B530,'MTA 28-09'!A:A,0))</f>
        <v>46383</v>
      </c>
      <c r="V530" s="29"/>
      <c r="W530" s="29"/>
      <c r="X530" s="29"/>
      <c r="Y530" s="29"/>
      <c r="Z530" s="29"/>
      <c r="AA530" s="29"/>
      <c r="AB530" s="29"/>
      <c r="AC530" s="29"/>
      <c r="AD530" s="29"/>
      <c r="AE530" s="29"/>
      <c r="AF530" s="29"/>
      <c r="AG530" s="29"/>
      <c r="AH530" s="29"/>
      <c r="AI530" s="29"/>
      <c r="AJ530" s="29"/>
      <c r="AK530" s="29"/>
      <c r="AL530" s="29"/>
      <c r="AM530" s="29"/>
    </row>
    <row r="531">
      <c r="A531" s="31" t="s">
        <v>1609</v>
      </c>
      <c r="B531" s="32">
        <v>18640.0</v>
      </c>
      <c r="C531" s="33" t="str">
        <f t="array" ref="C531">INDEX('MTA 28-09'!B:B,MATCH(B531,'MTA 28-09'!A:A,0))</f>
        <v>SIM</v>
      </c>
      <c r="D531" s="34" t="str">
        <f t="array" ref="D531">INDEX('MTA 28-09'!D:D,MATCH(B531,'MTA 28-09'!A:A,0))</f>
        <v>20IH</v>
      </c>
      <c r="E531" s="32" t="str">
        <f t="array" ref="E531">INDEX('MTA 28-09'!F:F,MATCH(B531,'MTA 28-09'!A:A,0))</f>
        <v>ATENDIDO</v>
      </c>
      <c r="F531" s="155">
        <f t="array" ref="F531">INDEX('MTA 28-09'!I:I,MATCH(B531,'MTA 28-09'!A:A,0))</f>
        <v>46065</v>
      </c>
      <c r="G531" s="36" t="str">
        <f t="array" ref="G531">INDEX('MTA 28-09'!J:J,MATCH(B531,'MTA 28-09'!A:A,0))</f>
        <v>C26023</v>
      </c>
      <c r="H531" s="37">
        <v>1.0</v>
      </c>
      <c r="I531" s="38"/>
      <c r="J531" s="39"/>
      <c r="K531" s="40"/>
      <c r="L531" s="39" t="str">
        <f t="array" ref="L531">INDEX('MTA 28-09'!S:S,MATCH(B531,'MTA 28-09'!A:A,0))</f>
        <v>C-97</v>
      </c>
      <c r="M531" s="32" t="str">
        <f t="array" ref="M531">INDEX('MTA 28-09'!T:T,MATCH(B531,'MTA 28-09'!A:A,0))</f>
        <v>CTT 039/CABW-PAMALS/2024 - Modernização</v>
      </c>
      <c r="N531" s="32" t="str">
        <f t="array" ref="N531">INDEX('MTA 28-09'!U:U,MATCH(B531,'MTA 28-09'!A:A,0))</f>
        <v>2ª ANV - etapa 2/3</v>
      </c>
      <c r="O531" s="59">
        <f t="array" ref="O531">INDEX('MTA 28-09'!AC:AC,MATCH(B531,'MTA 28-09'!A:A,0))</f>
        <v>262200</v>
      </c>
      <c r="P531" s="32" t="str">
        <f t="array" ref="P531">INDEX('MTA 28-09'!N:N,MATCH(B531,'MTA 28-09'!A:A,0))</f>
        <v>CABW</v>
      </c>
      <c r="Q531" s="67" t="str">
        <f t="array" ref="Q531">INDEX('MTA 28-09'!Z:Z,MATCH(B531,'MTA 28-09'!A:A,0))</f>
        <v>339039</v>
      </c>
      <c r="R531" s="32" t="str">
        <f t="array" ref="R531">INDEX('MTA 28-09'!L:L,MATCH(B531,'MTA 28-09'!A:A,0))</f>
        <v>D</v>
      </c>
      <c r="S531" s="72" t="str">
        <f t="array" ref="S531">INDEX('MTA 28-09'!X:X,MATCH(B531,'MTA 28-09'!A:A,0))</f>
        <v>PARCELA FIXA</v>
      </c>
      <c r="T531" s="72" t="str">
        <f t="array" ref="T531">INDEX('MTA 28-09'!W:W,MATCH(B531,'MTA 28-09'!A:A,0))</f>
        <v>Não</v>
      </c>
      <c r="U531" s="81">
        <f t="array" ref="U531">INDEX('MTA 28-09'!AE:AE,MATCH(B531,'MTA 28-09'!A:A,0))</f>
        <v>46107</v>
      </c>
      <c r="V531" s="12"/>
      <c r="W531" s="12"/>
      <c r="X531" s="12"/>
      <c r="Y531" s="12"/>
      <c r="Z531" s="12"/>
      <c r="AA531" s="12"/>
      <c r="AB531" s="12"/>
      <c r="AC531" s="12"/>
      <c r="AD531" s="12"/>
      <c r="AE531" s="12"/>
      <c r="AF531" s="12"/>
      <c r="AG531" s="12"/>
      <c r="AH531" s="12"/>
      <c r="AI531" s="12"/>
      <c r="AJ531" s="12"/>
      <c r="AK531" s="12"/>
      <c r="AL531" s="12"/>
      <c r="AM531" s="12"/>
    </row>
    <row r="532">
      <c r="A532" s="88" t="s">
        <v>1610</v>
      </c>
      <c r="B532" s="98">
        <v>18660.0</v>
      </c>
      <c r="C532" s="92" t="str">
        <f t="array" ref="C532">INDEX('MTA 28-09'!B:B,MATCH(B532,'MTA 28-09'!A:A,0))</f>
        <v>SIM</v>
      </c>
      <c r="D532" s="95" t="str">
        <f t="array" ref="D532">INDEX('MTA 28-09'!D:D,MATCH(B532,'MTA 28-09'!A:A,0))</f>
        <v>20IH</v>
      </c>
      <c r="E532" s="98" t="str">
        <f t="array" ref="E532">INDEX('MTA 28-09'!F:F,MATCH(B532,'MTA 28-09'!A:A,0))</f>
        <v/>
      </c>
      <c r="F532" s="152" t="str">
        <f t="array" ref="F532">INDEX('MTA 28-09'!I:I,MATCH(B532,'MTA 28-09'!A:A,0))</f>
        <v/>
      </c>
      <c r="G532" s="100" t="str">
        <f t="array" ref="G532">INDEX('MTA 28-09'!J:J,MATCH(B532,'MTA 28-09'!A:A,0))</f>
        <v/>
      </c>
      <c r="H532" s="101" t="s">
        <v>1451</v>
      </c>
      <c r="I532" s="90" t="s">
        <v>293</v>
      </c>
      <c r="J532" s="102"/>
      <c r="K532" s="103"/>
      <c r="L532" s="102" t="str">
        <f t="array" ref="L532">INDEX('MTA 28-09'!S:S,MATCH(B532,'MTA 28-09'!A:A,0))</f>
        <v>T-25</v>
      </c>
      <c r="M532" s="98" t="str">
        <f t="array" ref="M532">INDEX('MTA 28-09'!T:T,MATCH(B532,'MTA 28-09'!A:A,0))</f>
        <v>CTT Modernização</v>
      </c>
      <c r="N532" s="98" t="str">
        <f t="array" ref="N532">INDEX('MTA 28-09'!U:U,MATCH(B532,'MTA 28-09'!A:A,0))</f>
        <v>Modernização 1/6</v>
      </c>
      <c r="O532" s="104">
        <f t="array" ref="O532">INDEX('MTA 28-09'!AC:AC,MATCH(B532,'MTA 28-09'!A:A,0))</f>
        <v>472141.18</v>
      </c>
      <c r="P532" s="98" t="str">
        <f t="array" ref="P532">INDEX('MTA 28-09'!N:N,MATCH(B532,'MTA 28-09'!A:A,0))</f>
        <v>CELOG</v>
      </c>
      <c r="Q532" s="105" t="str">
        <f t="array" ref="Q532">INDEX('MTA 28-09'!Z:Z,MATCH(B532,'MTA 28-09'!A:A,0))</f>
        <v>339030</v>
      </c>
      <c r="R532" s="98" t="str">
        <f t="array" ref="R532">INDEX('MTA 28-09'!L:L,MATCH(B532,'MTA 28-09'!A:A,0))</f>
        <v>D</v>
      </c>
      <c r="S532" s="107" t="str">
        <f t="array" ref="S532">INDEX('MTA 28-09'!X:X,MATCH(B532,'MTA 28-09'!A:A,0))</f>
        <v>PARCELA FIXA</v>
      </c>
      <c r="T532" s="107" t="str">
        <f t="array" ref="T532">INDEX('MTA 28-09'!W:W,MATCH(B532,'MTA 28-09'!A:A,0))</f>
        <v>Não</v>
      </c>
      <c r="U532" s="109">
        <f t="array" ref="U532">INDEX('MTA 28-09'!AE:AE,MATCH(B532,'MTA 28-09'!A:A,0))</f>
        <v>46321</v>
      </c>
      <c r="V532" s="29"/>
      <c r="W532" s="29"/>
      <c r="X532" s="29"/>
      <c r="Y532" s="29"/>
      <c r="Z532" s="29"/>
      <c r="AA532" s="29"/>
      <c r="AB532" s="29"/>
      <c r="AC532" s="29"/>
      <c r="AD532" s="29"/>
      <c r="AE532" s="29"/>
      <c r="AF532" s="29"/>
      <c r="AG532" s="29"/>
      <c r="AH532" s="29"/>
      <c r="AI532" s="29"/>
      <c r="AJ532" s="29"/>
      <c r="AK532" s="29"/>
      <c r="AL532" s="29"/>
      <c r="AM532" s="29"/>
    </row>
    <row r="533">
      <c r="A533" s="31" t="s">
        <v>1610</v>
      </c>
      <c r="B533" s="38">
        <v>18661.0</v>
      </c>
      <c r="C533" s="33" t="str">
        <f t="array" ref="C533">INDEX('MTA 28-09'!B:B,MATCH(B533,'MTA 28-09'!A:A,0))</f>
        <v>SIM</v>
      </c>
      <c r="D533" s="34" t="str">
        <f t="array" ref="D533">INDEX('MTA 28-09'!D:D,MATCH(B533,'MTA 28-09'!A:A,0))</f>
        <v>20IH</v>
      </c>
      <c r="E533" s="32" t="str">
        <f t="array" ref="E533">INDEX('MTA 28-09'!F:F,MATCH(B533,'MTA 28-09'!A:A,0))</f>
        <v>ATENDIDO</v>
      </c>
      <c r="F533" s="35">
        <f t="array" ref="F533">INDEX('MTA 28-09'!I:I,MATCH(B533,'MTA 28-09'!A:A,0))</f>
        <v>46121</v>
      </c>
      <c r="G533" s="36" t="str">
        <f t="array" ref="G533">INDEX('MTA 28-09'!J:J,MATCH(B533,'MTA 28-09'!A:A,0))</f>
        <v>C26209</v>
      </c>
      <c r="H533" s="287" t="s">
        <v>157</v>
      </c>
      <c r="I533" s="295"/>
      <c r="J533" s="39"/>
      <c r="K533" s="40"/>
      <c r="L533" s="39" t="str">
        <f t="array" ref="L533">INDEX('MTA 28-09'!S:S,MATCH(B533,'MTA 28-09'!A:A,0))</f>
        <v>T-25</v>
      </c>
      <c r="M533" s="32" t="str">
        <f t="array" ref="M533">INDEX('MTA 28-09'!T:T,MATCH(B533,'MTA 28-09'!A:A,0))</f>
        <v>CTT Modernização</v>
      </c>
      <c r="N533" s="32" t="str">
        <f t="array" ref="N533">INDEX('MTA 28-09'!U:U,MATCH(B533,'MTA 28-09'!A:A,0))</f>
        <v>Modernização 1/6</v>
      </c>
      <c r="O533" s="59">
        <f t="array" ref="O533">INDEX('MTA 28-09'!AC:AC,MATCH(B533,'MTA 28-09'!A:A,0))</f>
        <v>914588.67</v>
      </c>
      <c r="P533" s="32" t="str">
        <f t="array" ref="P533">INDEX('MTA 28-09'!N:N,MATCH(B533,'MTA 28-09'!A:A,0))</f>
        <v>CELOG</v>
      </c>
      <c r="Q533" s="67" t="str">
        <f t="array" ref="Q533">INDEX('MTA 28-09'!Z:Z,MATCH(B533,'MTA 28-09'!A:A,0))</f>
        <v>339030</v>
      </c>
      <c r="R533" s="32" t="str">
        <f t="array" ref="R533">INDEX('MTA 28-09'!L:L,MATCH(B533,'MTA 28-09'!A:A,0))</f>
        <v>D</v>
      </c>
      <c r="S533" s="72" t="str">
        <f t="array" ref="S533">INDEX('MTA 28-09'!X:X,MATCH(B533,'MTA 28-09'!A:A,0))</f>
        <v>PARCELA FIXA</v>
      </c>
      <c r="T533" s="72" t="str">
        <f t="array" ref="T533">INDEX('MTA 28-09'!W:W,MATCH(B533,'MTA 28-09'!A:A,0))</f>
        <v>Não</v>
      </c>
      <c r="U533" s="81">
        <f t="array" ref="U533">INDEX('MTA 28-09'!AE:AE,MATCH(B533,'MTA 28-09'!A:A,0))</f>
        <v>46168</v>
      </c>
      <c r="V533" s="12"/>
      <c r="W533" s="12"/>
      <c r="X533" s="12"/>
      <c r="Y533" s="12"/>
      <c r="Z533" s="12"/>
      <c r="AA533" s="12"/>
      <c r="AB533" s="12"/>
      <c r="AC533" s="12"/>
      <c r="AD533" s="12"/>
      <c r="AE533" s="12"/>
      <c r="AF533" s="12"/>
      <c r="AG533" s="12"/>
      <c r="AH533" s="12"/>
      <c r="AI533" s="12"/>
      <c r="AJ533" s="12"/>
      <c r="AK533" s="12"/>
      <c r="AL533" s="12"/>
      <c r="AM533" s="12"/>
    </row>
    <row r="534">
      <c r="A534" s="88" t="s">
        <v>1610</v>
      </c>
      <c r="B534" s="90">
        <v>18662.0</v>
      </c>
      <c r="C534" s="92" t="str">
        <f t="array" ref="C534">INDEX('MTA 28-09'!B:B,MATCH(B534,'MTA 28-09'!A:A,0))</f>
        <v>SIM</v>
      </c>
      <c r="D534" s="95" t="str">
        <f t="array" ref="D534">INDEX('MTA 28-09'!D:D,MATCH(B534,'MTA 28-09'!A:A,0))</f>
        <v>20IH</v>
      </c>
      <c r="E534" s="98" t="str">
        <f t="array" ref="E534">INDEX('MTA 28-09'!F:F,MATCH(B534,'MTA 28-09'!A:A,0))</f>
        <v>ATENDIDO</v>
      </c>
      <c r="F534" s="152">
        <f t="array" ref="F534">INDEX('MTA 28-09'!I:I,MATCH(B534,'MTA 28-09'!A:A,0))</f>
        <v>46205</v>
      </c>
      <c r="G534" s="100" t="str">
        <f t="array" ref="G534">INDEX('MTA 28-09'!J:J,MATCH(B534,'MTA 28-09'!A:A,0))</f>
        <v>C26121</v>
      </c>
      <c r="H534" s="372" t="s">
        <v>1466</v>
      </c>
      <c r="I534" s="90"/>
      <c r="J534" s="102"/>
      <c r="K534" s="103"/>
      <c r="L534" s="102" t="str">
        <f t="array" ref="L534">INDEX('MTA 28-09'!S:S,MATCH(B534,'MTA 28-09'!A:A,0))</f>
        <v>T-25</v>
      </c>
      <c r="M534" s="98" t="str">
        <f t="array" ref="M534">INDEX('MTA 28-09'!T:T,MATCH(B534,'MTA 28-09'!A:A,0))</f>
        <v>CTT Modernização</v>
      </c>
      <c r="N534" s="98" t="str">
        <f t="array" ref="N534">INDEX('MTA 28-09'!U:U,MATCH(B534,'MTA 28-09'!A:A,0))</f>
        <v>Modernização 1/6</v>
      </c>
      <c r="O534" s="104">
        <f t="array" ref="O534">INDEX('MTA 28-09'!AC:AC,MATCH(B534,'MTA 28-09'!A:A,0))</f>
        <v>102938.15</v>
      </c>
      <c r="P534" s="98" t="str">
        <f t="array" ref="P534">INDEX('MTA 28-09'!N:N,MATCH(B534,'MTA 28-09'!A:A,0))</f>
        <v>GAPLS</v>
      </c>
      <c r="Q534" s="105" t="str">
        <f t="array" ref="Q534">INDEX('MTA 28-09'!Z:Z,MATCH(B534,'MTA 28-09'!A:A,0))</f>
        <v>339030</v>
      </c>
      <c r="R534" s="98" t="str">
        <f t="array" ref="R534">INDEX('MTA 28-09'!L:L,MATCH(B534,'MTA 28-09'!A:A,0))</f>
        <v>D</v>
      </c>
      <c r="S534" s="107" t="str">
        <f t="array" ref="S534">INDEX('MTA 28-09'!X:X,MATCH(B534,'MTA 28-09'!A:A,0))</f>
        <v>PARCELA FIXA</v>
      </c>
      <c r="T534" s="107" t="str">
        <f t="array" ref="T534">INDEX('MTA 28-09'!W:W,MATCH(B534,'MTA 28-09'!A:A,0))</f>
        <v>Não</v>
      </c>
      <c r="U534" s="109">
        <f t="array" ref="U534">INDEX('MTA 28-09'!AE:AE,MATCH(B534,'MTA 28-09'!A:A,0))</f>
        <v>46321</v>
      </c>
      <c r="V534" s="29"/>
      <c r="W534" s="29"/>
      <c r="X534" s="29"/>
      <c r="Y534" s="29"/>
      <c r="Z534" s="29"/>
      <c r="AA534" s="29"/>
      <c r="AB534" s="29"/>
      <c r="AC534" s="29"/>
      <c r="AD534" s="29"/>
      <c r="AE534" s="29"/>
      <c r="AF534" s="29"/>
      <c r="AG534" s="29"/>
      <c r="AH534" s="29"/>
      <c r="AI534" s="29"/>
      <c r="AJ534" s="29"/>
      <c r="AK534" s="29"/>
      <c r="AL534" s="29"/>
      <c r="AM534" s="29"/>
    </row>
    <row r="535">
      <c r="A535" s="31" t="s">
        <v>1610</v>
      </c>
      <c r="B535" s="38">
        <v>18663.0</v>
      </c>
      <c r="C535" s="33" t="str">
        <f t="array" ref="C535">INDEX('MTA 28-09'!B:B,MATCH(B535,'MTA 28-09'!A:A,0))</f>
        <v>NÃO</v>
      </c>
      <c r="D535" s="34" t="str">
        <f t="array" ref="D535">INDEX('MTA 28-09'!D:D,MATCH(B535,'MTA 28-09'!A:A,0))</f>
        <v/>
      </c>
      <c r="E535" s="32" t="str">
        <f t="array" ref="E535">INDEX('MTA 28-09'!F:F,MATCH(B535,'MTA 28-09'!A:A,0))</f>
        <v/>
      </c>
      <c r="F535" s="35" t="str">
        <f t="array" ref="F535">INDEX('MTA 28-09'!I:I,MATCH(B535,'MTA 28-09'!A:A,0))</f>
        <v/>
      </c>
      <c r="G535" s="36" t="str">
        <f t="array" ref="G535">INDEX('MTA 28-09'!J:J,MATCH(B535,'MTA 28-09'!A:A,0))</f>
        <v/>
      </c>
      <c r="H535" s="37" t="s">
        <v>1451</v>
      </c>
      <c r="I535" s="38" t="s">
        <v>293</v>
      </c>
      <c r="J535" s="39"/>
      <c r="K535" s="40"/>
      <c r="L535" s="39" t="str">
        <f t="array" ref="L535">INDEX('MTA 28-09'!S:S,MATCH(B535,'MTA 28-09'!A:A,0))</f>
        <v>T-25</v>
      </c>
      <c r="M535" s="32" t="str">
        <f t="array" ref="M535">INDEX('MTA 28-09'!T:T,MATCH(B535,'MTA 28-09'!A:A,0))</f>
        <v>CTT Modernização</v>
      </c>
      <c r="N535" s="32" t="str">
        <f t="array" ref="N535">INDEX('MTA 28-09'!U:U,MATCH(B535,'MTA 28-09'!A:A,0))</f>
        <v>Modernização 1/6</v>
      </c>
      <c r="O535" s="59">
        <f t="array" ref="O535">INDEX('MTA 28-09'!AC:AC,MATCH(B535,'MTA 28-09'!A:A,0))</f>
        <v>636126</v>
      </c>
      <c r="P535" s="32" t="str">
        <f t="array" ref="P535">INDEX('MTA 28-09'!N:N,MATCH(B535,'MTA 28-09'!A:A,0))</f>
        <v>CELOG</v>
      </c>
      <c r="Q535" s="67" t="str">
        <f t="array" ref="Q535">INDEX('MTA 28-09'!Z:Z,MATCH(B535,'MTA 28-09'!A:A,0))</f>
        <v>339030</v>
      </c>
      <c r="R535" s="32" t="str">
        <f t="array" ref="R535">INDEX('MTA 28-09'!L:L,MATCH(B535,'MTA 28-09'!A:A,0))</f>
        <v>D</v>
      </c>
      <c r="S535" s="72" t="str">
        <f t="array" ref="S535">INDEX('MTA 28-09'!X:X,MATCH(B535,'MTA 28-09'!A:A,0))</f>
        <v>PARCELA FIXA</v>
      </c>
      <c r="T535" s="72" t="str">
        <f t="array" ref="T535">INDEX('MTA 28-09'!W:W,MATCH(B535,'MTA 28-09'!A:A,0))</f>
        <v>Não</v>
      </c>
      <c r="U535" s="81">
        <f t="array" ref="U535">INDEX('MTA 28-09'!AE:AE,MATCH(B535,'MTA 28-09'!A:A,0))</f>
        <v>46321</v>
      </c>
      <c r="V535" s="12"/>
      <c r="W535" s="12"/>
      <c r="X535" s="12"/>
      <c r="Y535" s="12"/>
      <c r="Z535" s="12"/>
      <c r="AA535" s="12"/>
      <c r="AB535" s="12"/>
      <c r="AC535" s="12"/>
      <c r="AD535" s="12"/>
      <c r="AE535" s="12"/>
      <c r="AF535" s="12"/>
      <c r="AG535" s="12"/>
      <c r="AH535" s="12"/>
      <c r="AI535" s="12"/>
      <c r="AJ535" s="12"/>
      <c r="AK535" s="12"/>
      <c r="AL535" s="12"/>
      <c r="AM535" s="12"/>
    </row>
    <row r="536">
      <c r="A536" s="88" t="s">
        <v>1610</v>
      </c>
      <c r="B536" s="90">
        <v>18664.0</v>
      </c>
      <c r="C536" s="92" t="str">
        <f t="array" ref="C536">INDEX('MTA 28-09'!B:B,MATCH(B536,'MTA 28-09'!A:A,0))</f>
        <v>NÃO</v>
      </c>
      <c r="D536" s="95" t="str">
        <f t="array" ref="D536">INDEX('MTA 28-09'!D:D,MATCH(B536,'MTA 28-09'!A:A,0))</f>
        <v/>
      </c>
      <c r="E536" s="98" t="str">
        <f t="array" ref="E536">INDEX('MTA 28-09'!F:F,MATCH(B536,'MTA 28-09'!A:A,0))</f>
        <v>BLOQUEIO</v>
      </c>
      <c r="F536" s="152" t="str">
        <f t="array" ref="F536">INDEX('MTA 28-09'!I:I,MATCH(B536,'MTA 28-09'!A:A,0))</f>
        <v/>
      </c>
      <c r="G536" s="100" t="str">
        <f t="array" ref="G536">INDEX('MTA 28-09'!J:J,MATCH(B536,'MTA 28-09'!A:A,0))</f>
        <v/>
      </c>
      <c r="H536" s="159" t="s">
        <v>157</v>
      </c>
      <c r="I536" s="90"/>
      <c r="J536" s="102"/>
      <c r="K536" s="103"/>
      <c r="L536" s="102" t="str">
        <f t="array" ref="L536">INDEX('MTA 28-09'!S:S,MATCH(B536,'MTA 28-09'!A:A,0))</f>
        <v>T-25</v>
      </c>
      <c r="M536" s="98" t="str">
        <f t="array" ref="M536">INDEX('MTA 28-09'!T:T,MATCH(B536,'MTA 28-09'!A:A,0))</f>
        <v>CTT Modernização</v>
      </c>
      <c r="N536" s="98" t="str">
        <f t="array" ref="N536">INDEX('MTA 28-09'!U:U,MATCH(B536,'MTA 28-09'!A:A,0))</f>
        <v>Modernização 1/6</v>
      </c>
      <c r="O536" s="104">
        <f t="array" ref="O536">INDEX('MTA 28-09'!AC:AC,MATCH(B536,'MTA 28-09'!A:A,0))</f>
        <v>3351036</v>
      </c>
      <c r="P536" s="98" t="str">
        <f t="array" ref="P536">INDEX('MTA 28-09'!N:N,MATCH(B536,'MTA 28-09'!A:A,0))</f>
        <v>GAPLS</v>
      </c>
      <c r="Q536" s="105" t="str">
        <f t="array" ref="Q536">INDEX('MTA 28-09'!Z:Z,MATCH(B536,'MTA 28-09'!A:A,0))</f>
        <v>339030</v>
      </c>
      <c r="R536" s="98" t="str">
        <f t="array" ref="R536">INDEX('MTA 28-09'!L:L,MATCH(B536,'MTA 28-09'!A:A,0))</f>
        <v>D</v>
      </c>
      <c r="S536" s="107" t="str">
        <f t="array" ref="S536">INDEX('MTA 28-09'!X:X,MATCH(B536,'MTA 28-09'!A:A,0))</f>
        <v>PARCELA FIXA</v>
      </c>
      <c r="T536" s="107" t="str">
        <f t="array" ref="T536">INDEX('MTA 28-09'!W:W,MATCH(B536,'MTA 28-09'!A:A,0))</f>
        <v>Não</v>
      </c>
      <c r="U536" s="109">
        <f t="array" ref="U536">INDEX('MTA 28-09'!AE:AE,MATCH(B536,'MTA 28-09'!A:A,0))</f>
        <v>46321</v>
      </c>
      <c r="V536" s="29"/>
      <c r="W536" s="29"/>
      <c r="X536" s="29"/>
      <c r="Y536" s="29"/>
      <c r="Z536" s="29"/>
      <c r="AA536" s="29"/>
      <c r="AB536" s="29"/>
      <c r="AC536" s="29"/>
      <c r="AD536" s="29"/>
      <c r="AE536" s="29"/>
      <c r="AF536" s="29"/>
      <c r="AG536" s="29"/>
      <c r="AH536" s="29"/>
      <c r="AI536" s="29"/>
      <c r="AJ536" s="29"/>
      <c r="AK536" s="29"/>
      <c r="AL536" s="29"/>
      <c r="AM536" s="29"/>
    </row>
    <row r="537">
      <c r="A537" s="31" t="s">
        <v>1610</v>
      </c>
      <c r="B537" s="32">
        <v>18680.0</v>
      </c>
      <c r="C537" s="33" t="str">
        <f t="array" ref="C537">INDEX('MTA 28-09'!B:B,MATCH(B537,'MTA 28-09'!A:A,0))</f>
        <v>NÃO</v>
      </c>
      <c r="D537" s="34" t="str">
        <f t="array" ref="D537">INDEX('MTA 28-09'!D:D,MATCH(B537,'MTA 28-09'!A:A,0))</f>
        <v>20IH</v>
      </c>
      <c r="E537" s="32" t="str">
        <f t="array" ref="E537">INDEX('MTA 28-09'!F:F,MATCH(B537,'MTA 28-09'!A:A,0))</f>
        <v/>
      </c>
      <c r="F537" s="155" t="str">
        <f t="array" ref="F537">INDEX('MTA 28-09'!I:I,MATCH(B537,'MTA 28-09'!A:A,0))</f>
        <v/>
      </c>
      <c r="G537" s="36" t="str">
        <f t="array" ref="G537">INDEX('MTA 28-09'!J:J,MATCH(B537,'MTA 28-09'!A:A,0))</f>
        <v/>
      </c>
      <c r="H537" s="37" t="s">
        <v>1451</v>
      </c>
      <c r="I537" s="38"/>
      <c r="J537" s="39"/>
      <c r="K537" s="40"/>
      <c r="L537" s="39" t="str">
        <f t="array" ref="L537">INDEX('MTA 28-09'!S:S,MATCH(B537,'MTA 28-09'!A:A,0))</f>
        <v>T-25</v>
      </c>
      <c r="M537" s="32" t="str">
        <f t="array" ref="M537">INDEX('MTA 28-09'!T:T,MATCH(B537,'MTA 28-09'!A:A,0))</f>
        <v>CTT Modernização</v>
      </c>
      <c r="N537" s="32" t="str">
        <f t="array" ref="N537">INDEX('MTA 28-09'!U:U,MATCH(B537,'MTA 28-09'!A:A,0))</f>
        <v>Modernização 4/6</v>
      </c>
      <c r="O537" s="59">
        <f t="array" ref="O537">INDEX('MTA 28-09'!AC:AC,MATCH(B537,'MTA 28-09'!A:A,0))</f>
        <v>6000000</v>
      </c>
      <c r="P537" s="32" t="str">
        <f t="array" ref="P537">INDEX('MTA 28-09'!N:N,MATCH(B537,'MTA 28-09'!A:A,0))</f>
        <v>CELOG</v>
      </c>
      <c r="Q537" s="67" t="str">
        <f t="array" ref="Q537">INDEX('MTA 28-09'!Z:Z,MATCH(B537,'MTA 28-09'!A:A,0))</f>
        <v>339030</v>
      </c>
      <c r="R537" s="32" t="str">
        <f t="array" ref="R537">INDEX('MTA 28-09'!L:L,MATCH(B537,'MTA 28-09'!A:A,0))</f>
        <v>D</v>
      </c>
      <c r="S537" s="72" t="str">
        <f t="array" ref="S537">INDEX('MTA 28-09'!X:X,MATCH(B537,'MTA 28-09'!A:A,0))</f>
        <v>PARCELA FIXA</v>
      </c>
      <c r="T537" s="72" t="str">
        <f t="array" ref="T537">INDEX('MTA 28-09'!W:W,MATCH(B537,'MTA 28-09'!A:A,0))</f>
        <v>Não</v>
      </c>
      <c r="U537" s="81">
        <f t="array" ref="U537">INDEX('MTA 28-09'!AE:AE,MATCH(B537,'MTA 28-09'!A:A,0))</f>
        <v>46382</v>
      </c>
      <c r="V537" s="12"/>
      <c r="W537" s="12"/>
      <c r="X537" s="12"/>
      <c r="Y537" s="12"/>
      <c r="Z537" s="12"/>
      <c r="AA537" s="12"/>
      <c r="AB537" s="12"/>
      <c r="AC537" s="12"/>
      <c r="AD537" s="12"/>
      <c r="AE537" s="12"/>
      <c r="AF537" s="12"/>
      <c r="AG537" s="12"/>
      <c r="AH537" s="12"/>
      <c r="AI537" s="12"/>
      <c r="AJ537" s="12"/>
      <c r="AK537" s="12"/>
      <c r="AL537" s="12"/>
      <c r="AM537" s="12"/>
    </row>
    <row r="538">
      <c r="A538" s="88" t="s">
        <v>1609</v>
      </c>
      <c r="B538" s="98">
        <v>18700.0</v>
      </c>
      <c r="C538" s="92" t="str">
        <f t="array" ref="C538">INDEX('MTA 28-09'!B:B,MATCH(B538,'MTA 28-09'!A:A,0))</f>
        <v>SIM</v>
      </c>
      <c r="D538" s="95" t="str">
        <f t="array" ref="D538">INDEX('MTA 28-09'!D:D,MATCH(B538,'MTA 28-09'!A:A,0))</f>
        <v>20IH</v>
      </c>
      <c r="E538" s="98" t="str">
        <f t="array" ref="E538">INDEX('MTA 28-09'!F:F,MATCH(B538,'MTA 28-09'!A:A,0))</f>
        <v>ATENDIDO</v>
      </c>
      <c r="F538" s="152">
        <f t="array" ref="F538">INDEX('MTA 28-09'!I:I,MATCH(B538,'MTA 28-09'!A:A,0))</f>
        <v>46195</v>
      </c>
      <c r="G538" s="100" t="str">
        <f t="array" ref="G538">INDEX('MTA 28-09'!J:J,MATCH(B538,'MTA 28-09'!A:A,0))</f>
        <v>C26126</v>
      </c>
      <c r="H538" s="101" t="s">
        <v>421</v>
      </c>
      <c r="I538" s="90"/>
      <c r="J538" s="102" t="s">
        <v>1611</v>
      </c>
      <c r="K538" s="103"/>
      <c r="L538" s="102" t="str">
        <f t="array" ref="L538">INDEX('MTA 28-09'!S:S,MATCH(B538,'MTA 28-09'!A:A,0))</f>
        <v>C-97</v>
      </c>
      <c r="M538" s="98" t="str">
        <f t="array" ref="M538">INDEX('MTA 28-09'!T:T,MATCH(B538,'MTA 28-09'!A:A,0))</f>
        <v>CTT 039/CABW-PAMALS/2024 - Modernização</v>
      </c>
      <c r="N538" s="98" t="str">
        <f t="array" ref="N538">INDEX('MTA 28-09'!U:U,MATCH(B538,'MTA 28-09'!A:A,0))</f>
        <v>KIT AERONAVE BR (3ANV)</v>
      </c>
      <c r="O538" s="104">
        <f t="array" ref="O538">INDEX('MTA 28-09'!AC:AC,MATCH(B538,'MTA 28-09'!A:A,0))</f>
        <v>43760</v>
      </c>
      <c r="P538" s="98" t="str">
        <f t="array" ref="P538">INDEX('MTA 28-09'!N:N,MATCH(B538,'MTA 28-09'!A:A,0))</f>
        <v>CABW</v>
      </c>
      <c r="Q538" s="105" t="str">
        <f t="array" ref="Q538">INDEX('MTA 28-09'!Z:Z,MATCH(B538,'MTA 28-09'!A:A,0))</f>
        <v>339030</v>
      </c>
      <c r="R538" s="98" t="str">
        <f t="array" ref="R538">INDEX('MTA 28-09'!L:L,MATCH(B538,'MTA 28-09'!A:A,0))</f>
        <v>D</v>
      </c>
      <c r="S538" s="107" t="str">
        <f t="array" ref="S538">INDEX('MTA 28-09'!X:X,MATCH(B538,'MTA 28-09'!A:A,0))</f>
        <v>PARCELA FIXA</v>
      </c>
      <c r="T538" s="107" t="str">
        <f t="array" ref="T538">INDEX('MTA 28-09'!W:W,MATCH(B538,'MTA 28-09'!A:A,0))</f>
        <v>Não</v>
      </c>
      <c r="U538" s="109">
        <f t="array" ref="U538">INDEX('MTA 28-09'!AE:AE,MATCH(B538,'MTA 28-09'!A:A,0))</f>
        <v>46260</v>
      </c>
      <c r="V538" s="29"/>
      <c r="W538" s="29"/>
      <c r="X538" s="29"/>
      <c r="Y538" s="29"/>
      <c r="Z538" s="29"/>
      <c r="AA538" s="29"/>
      <c r="AB538" s="29"/>
      <c r="AC538" s="29"/>
      <c r="AD538" s="29"/>
      <c r="AE538" s="29"/>
      <c r="AF538" s="29"/>
      <c r="AG538" s="29"/>
      <c r="AH538" s="29"/>
      <c r="AI538" s="29"/>
      <c r="AJ538" s="29"/>
      <c r="AK538" s="29"/>
      <c r="AL538" s="29"/>
      <c r="AM538" s="29"/>
    </row>
    <row r="539">
      <c r="A539" s="31" t="s">
        <v>1609</v>
      </c>
      <c r="B539" s="38">
        <v>18701.0</v>
      </c>
      <c r="C539" s="33" t="str">
        <f t="array" ref="C539">INDEX('MTA 28-09'!B:B,MATCH(B539,'MTA 28-09'!A:A,0))</f>
        <v>SIM</v>
      </c>
      <c r="D539" s="34" t="str">
        <f t="array" ref="D539">INDEX('MTA 28-09'!D:D,MATCH(B539,'MTA 28-09'!A:A,0))</f>
        <v>20IH</v>
      </c>
      <c r="E539" s="32" t="str">
        <f t="array" ref="E539">INDEX('MTA 28-09'!F:F,MATCH(B539,'MTA 28-09'!A:A,0))</f>
        <v>ATENDIDO</v>
      </c>
      <c r="F539" s="155">
        <f t="array" ref="F539">INDEX('MTA 28-09'!I:I,MATCH(B539,'MTA 28-09'!A:A,0))</f>
        <v>46195</v>
      </c>
      <c r="G539" s="36" t="str">
        <f t="array" ref="G539">INDEX('MTA 28-09'!J:J,MATCH(B539,'MTA 28-09'!A:A,0))</f>
        <v>C26080</v>
      </c>
      <c r="H539" s="37" t="s">
        <v>421</v>
      </c>
      <c r="I539" s="38"/>
      <c r="J539" s="39"/>
      <c r="K539" s="40"/>
      <c r="L539" s="39" t="str">
        <f t="array" ref="L539">INDEX('MTA 28-09'!S:S,MATCH(B539,'MTA 28-09'!A:A,0))</f>
        <v>C-97</v>
      </c>
      <c r="M539" s="32" t="str">
        <f t="array" ref="M539">INDEX('MTA 28-09'!T:T,MATCH(B539,'MTA 28-09'!A:A,0))</f>
        <v>CTT 039/CABW-PAMALS/2024 - Modernização</v>
      </c>
      <c r="N539" s="32" t="str">
        <f t="array" ref="N539">INDEX('MTA 28-09'!U:U,MATCH(B539,'MTA 28-09'!A:A,0))</f>
        <v>KIT AERONAVE BR (3ANV)</v>
      </c>
      <c r="O539" s="59">
        <f t="array" ref="O539">INDEX('MTA 28-09'!AC:AC,MATCH(B539,'MTA 28-09'!A:A,0))</f>
        <v>383740</v>
      </c>
      <c r="P539" s="32" t="str">
        <f t="array" ref="P539">INDEX('MTA 28-09'!N:N,MATCH(B539,'MTA 28-09'!A:A,0))</f>
        <v>CABW</v>
      </c>
      <c r="Q539" s="67" t="str">
        <f t="array" ref="Q539">INDEX('MTA 28-09'!Z:Z,MATCH(B539,'MTA 28-09'!A:A,0))</f>
        <v>339039</v>
      </c>
      <c r="R539" s="32" t="str">
        <f t="array" ref="R539">INDEX('MTA 28-09'!L:L,MATCH(B539,'MTA 28-09'!A:A,0))</f>
        <v>D</v>
      </c>
      <c r="S539" s="72" t="str">
        <f t="array" ref="S539">INDEX('MTA 28-09'!X:X,MATCH(B539,'MTA 28-09'!A:A,0))</f>
        <v>PARCELA FIXA</v>
      </c>
      <c r="T539" s="72" t="str">
        <f t="array" ref="T539">INDEX('MTA 28-09'!W:W,MATCH(B539,'MTA 28-09'!A:A,0))</f>
        <v>Não</v>
      </c>
      <c r="U539" s="81">
        <f t="array" ref="U539">INDEX('MTA 28-09'!AE:AE,MATCH(B539,'MTA 28-09'!A:A,0))</f>
        <v>46260</v>
      </c>
      <c r="V539" s="12"/>
      <c r="W539" s="12"/>
      <c r="X539" s="12"/>
      <c r="Y539" s="12"/>
      <c r="Z539" s="12"/>
      <c r="AA539" s="12"/>
      <c r="AB539" s="12"/>
      <c r="AC539" s="12"/>
      <c r="AD539" s="12"/>
      <c r="AE539" s="12"/>
      <c r="AF539" s="12"/>
      <c r="AG539" s="12"/>
      <c r="AH539" s="12"/>
      <c r="AI539" s="12"/>
      <c r="AJ539" s="12"/>
      <c r="AK539" s="12"/>
      <c r="AL539" s="12"/>
      <c r="AM539" s="12"/>
    </row>
    <row r="540">
      <c r="A540" s="88" t="s">
        <v>1609</v>
      </c>
      <c r="B540" s="98">
        <v>18720.0</v>
      </c>
      <c r="C540" s="92" t="str">
        <f t="array" ref="C540">INDEX('MTA 28-09'!B:B,MATCH(B540,'MTA 28-09'!A:A,0))</f>
        <v>SIM</v>
      </c>
      <c r="D540" s="95" t="str">
        <f t="array" ref="D540">INDEX('MTA 28-09'!D:D,MATCH(B540,'MTA 28-09'!A:A,0))</f>
        <v>20IH</v>
      </c>
      <c r="E540" s="98" t="str">
        <f t="array" ref="E540">INDEX('MTA 28-09'!F:F,MATCH(B540,'MTA 28-09'!A:A,0))</f>
        <v>ATENDIDO</v>
      </c>
      <c r="F540" s="152">
        <f t="array" ref="F540">INDEX('MTA 28-09'!I:I,MATCH(B540,'MTA 28-09'!A:A,0))</f>
        <v>46195</v>
      </c>
      <c r="G540" s="100" t="str">
        <f t="array" ref="G540">INDEX('MTA 28-09'!J:J,MATCH(B540,'MTA 28-09'!A:A,0))</f>
        <v>C26080</v>
      </c>
      <c r="H540" s="101" t="s">
        <v>421</v>
      </c>
      <c r="I540" s="90"/>
      <c r="J540" s="102" t="s">
        <v>152</v>
      </c>
      <c r="K540" s="103"/>
      <c r="L540" s="102" t="str">
        <f t="array" ref="L540">INDEX('MTA 28-09'!S:S,MATCH(B540,'MTA 28-09'!A:A,0))</f>
        <v>C-97</v>
      </c>
      <c r="M540" s="98" t="str">
        <f t="array" ref="M540">INDEX('MTA 28-09'!T:T,MATCH(B540,'MTA 28-09'!A:A,0))</f>
        <v>CTT 039/CABW-PAMALS/2024 - Modernização</v>
      </c>
      <c r="N540" s="98" t="str">
        <f t="array" ref="N540">INDEX('MTA 28-09'!U:U,MATCH(B540,'MTA 28-09'!A:A,0))</f>
        <v>STC BR (3ANV)</v>
      </c>
      <c r="O540" s="104">
        <f t="array" ref="O540">INDEX('MTA 28-09'!AC:AC,MATCH(B540,'MTA 28-09'!A:A,0))</f>
        <v>855000</v>
      </c>
      <c r="P540" s="98" t="str">
        <f t="array" ref="P540">INDEX('MTA 28-09'!N:N,MATCH(B540,'MTA 28-09'!A:A,0))</f>
        <v>CABW</v>
      </c>
      <c r="Q540" s="105" t="str">
        <f t="array" ref="Q540">INDEX('MTA 28-09'!Z:Z,MATCH(B540,'MTA 28-09'!A:A,0))</f>
        <v>339039</v>
      </c>
      <c r="R540" s="98" t="str">
        <f t="array" ref="R540">INDEX('MTA 28-09'!L:L,MATCH(B540,'MTA 28-09'!A:A,0))</f>
        <v>D</v>
      </c>
      <c r="S540" s="107" t="str">
        <f t="array" ref="S540">INDEX('MTA 28-09'!X:X,MATCH(B540,'MTA 28-09'!A:A,0))</f>
        <v>PARCELA FIXA</v>
      </c>
      <c r="T540" s="107" t="str">
        <f t="array" ref="T540">INDEX('MTA 28-09'!W:W,MATCH(B540,'MTA 28-09'!A:A,0))</f>
        <v>Não</v>
      </c>
      <c r="U540" s="109">
        <f t="array" ref="U540">INDEX('MTA 28-09'!AE:AE,MATCH(B540,'MTA 28-09'!A:A,0))</f>
        <v>46260</v>
      </c>
      <c r="V540" s="29"/>
      <c r="W540" s="29"/>
      <c r="X540" s="29"/>
      <c r="Y540" s="29"/>
      <c r="Z540" s="29"/>
      <c r="AA540" s="29"/>
      <c r="AB540" s="29"/>
      <c r="AC540" s="29"/>
      <c r="AD540" s="29"/>
      <c r="AE540" s="29"/>
      <c r="AF540" s="29"/>
      <c r="AG540" s="29"/>
      <c r="AH540" s="29"/>
      <c r="AI540" s="29"/>
      <c r="AJ540" s="29"/>
      <c r="AK540" s="29"/>
      <c r="AL540" s="29"/>
      <c r="AM540" s="29"/>
    </row>
    <row r="541">
      <c r="A541" s="31" t="s">
        <v>1610</v>
      </c>
      <c r="B541" s="32">
        <v>18740.0</v>
      </c>
      <c r="C541" s="33" t="str">
        <f t="array" ref="C541">INDEX('MTA 28-09'!B:B,MATCH(B541,'MTA 28-09'!A:A,0))</f>
        <v>SIM</v>
      </c>
      <c r="D541" s="34" t="str">
        <f t="array" ref="D541">INDEX('MTA 28-09'!D:D,MATCH(B541,'MTA 28-09'!A:A,0))</f>
        <v>20IH</v>
      </c>
      <c r="E541" s="32" t="str">
        <f t="array" ref="E541">INDEX('MTA 28-09'!F:F,MATCH(B541,'MTA 28-09'!A:A,0))</f>
        <v>ATENDIDO</v>
      </c>
      <c r="F541" s="155">
        <f t="array" ref="F541">INDEX('MTA 28-09'!I:I,MATCH(B541,'MTA 28-09'!A:A,0))</f>
        <v>46205</v>
      </c>
      <c r="G541" s="36" t="str">
        <f t="array" ref="G541">INDEX('MTA 28-09'!J:J,MATCH(B541,'MTA 28-09'!A:A,0))</f>
        <v>C26148</v>
      </c>
      <c r="H541" s="412" t="s">
        <v>1466</v>
      </c>
      <c r="I541" s="38"/>
      <c r="J541" s="39"/>
      <c r="K541" s="40"/>
      <c r="L541" s="39" t="str">
        <f t="array" ref="L541">INDEX('MTA 28-09'!S:S,MATCH(B541,'MTA 28-09'!A:A,0))</f>
        <v>T-25</v>
      </c>
      <c r="M541" s="32" t="str">
        <f t="array" ref="M541">INDEX('MTA 28-09'!T:T,MATCH(B541,'MTA 28-09'!A:A,0))</f>
        <v>Requisição CABW</v>
      </c>
      <c r="N541" s="32" t="str">
        <f t="array" ref="N541">INDEX('MTA 28-09'!U:U,MATCH(B541,'MTA 28-09'!A:A,0))</f>
        <v>Requisições Consumíveis - Modernização 1/2</v>
      </c>
      <c r="O541" s="59">
        <f t="array" ref="O541">INDEX('MTA 28-09'!AC:AC,MATCH(B541,'MTA 28-09'!A:A,0))</f>
        <v>523170</v>
      </c>
      <c r="P541" s="32" t="str">
        <f t="array" ref="P541">INDEX('MTA 28-09'!N:N,MATCH(B541,'MTA 28-09'!A:A,0))</f>
        <v>CABW</v>
      </c>
      <c r="Q541" s="67" t="str">
        <f t="array" ref="Q541">INDEX('MTA 28-09'!Z:Z,MATCH(B541,'MTA 28-09'!A:A,0))</f>
        <v>339030</v>
      </c>
      <c r="R541" s="32" t="str">
        <f t="array" ref="R541">INDEX('MTA 28-09'!L:L,MATCH(B541,'MTA 28-09'!A:A,0))</f>
        <v>D</v>
      </c>
      <c r="S541" s="72" t="str">
        <f t="array" ref="S541">INDEX('MTA 28-09'!X:X,MATCH(B541,'MTA 28-09'!A:A,0))</f>
        <v>REQUISIÇÃO</v>
      </c>
      <c r="T541" s="72" t="str">
        <f t="array" ref="T541">INDEX('MTA 28-09'!W:W,MATCH(B541,'MTA 28-09'!A:A,0))</f>
        <v>Não</v>
      </c>
      <c r="U541" s="81">
        <f t="array" ref="U541">INDEX('MTA 28-09'!AE:AE,MATCH(B541,'MTA 28-09'!A:A,0))</f>
        <v>46260</v>
      </c>
      <c r="V541" s="12"/>
      <c r="W541" s="12"/>
      <c r="X541" s="12"/>
      <c r="Y541" s="12"/>
      <c r="Z541" s="12"/>
      <c r="AA541" s="12"/>
      <c r="AB541" s="12"/>
      <c r="AC541" s="12"/>
      <c r="AD541" s="12"/>
      <c r="AE541" s="12"/>
      <c r="AF541" s="12"/>
      <c r="AG541" s="12"/>
      <c r="AH541" s="12"/>
      <c r="AI541" s="12"/>
      <c r="AJ541" s="12"/>
      <c r="AK541" s="12"/>
      <c r="AL541" s="12"/>
      <c r="AM541" s="12"/>
    </row>
    <row r="542">
      <c r="A542" s="88" t="s">
        <v>1610</v>
      </c>
      <c r="B542" s="98">
        <v>18741.0</v>
      </c>
      <c r="C542" s="92" t="str">
        <f t="array" ref="C542">INDEX('MTA 28-09'!B:B,MATCH(B542,'MTA 28-09'!A:A,0))</f>
        <v>NÃO</v>
      </c>
      <c r="D542" s="95" t="str">
        <f t="array" ref="D542">INDEX('MTA 28-09'!D:D,MATCH(B542,'MTA 28-09'!A:A,0))</f>
        <v>20IH</v>
      </c>
      <c r="E542" s="98" t="str">
        <f t="array" ref="E542">INDEX('MTA 28-09'!F:F,MATCH(B542,'MTA 28-09'!A:A,0))</f>
        <v/>
      </c>
      <c r="F542" s="152" t="str">
        <f t="array" ref="F542">INDEX('MTA 28-09'!I:I,MATCH(B542,'MTA 28-09'!A:A,0))</f>
        <v/>
      </c>
      <c r="G542" s="100" t="str">
        <f t="array" ref="G542">INDEX('MTA 28-09'!J:J,MATCH(B542,'MTA 28-09'!A:A,0))</f>
        <v/>
      </c>
      <c r="H542" s="159" t="s">
        <v>157</v>
      </c>
      <c r="I542" s="296"/>
      <c r="J542" s="102"/>
      <c r="K542" s="103"/>
      <c r="L542" s="102" t="str">
        <f t="array" ref="L542">INDEX('MTA 28-09'!S:S,MATCH(B542,'MTA 28-09'!A:A,0))</f>
        <v>T-25</v>
      </c>
      <c r="M542" s="98" t="str">
        <f t="array" ref="M542">INDEX('MTA 28-09'!T:T,MATCH(B542,'MTA 28-09'!A:A,0))</f>
        <v>Requisição FMS</v>
      </c>
      <c r="N542" s="98" t="str">
        <f t="array" ref="N542">INDEX('MTA 28-09'!U:U,MATCH(B542,'MTA 28-09'!A:A,0))</f>
        <v>Aquisição de fones para produção do capacete do T25M (230un)</v>
      </c>
      <c r="O542" s="104">
        <f t="array" ref="O542">INDEX('MTA 28-09'!AC:AC,MATCH(B542,'MTA 28-09'!A:A,0))</f>
        <v>2400000</v>
      </c>
      <c r="P542" s="98" t="str">
        <f t="array" ref="P542">INDEX('MTA 28-09'!N:N,MATCH(B542,'MTA 28-09'!A:A,0))</f>
        <v>CABW</v>
      </c>
      <c r="Q542" s="105" t="str">
        <f t="array" ref="Q542">INDEX('MTA 28-09'!Z:Z,MATCH(B542,'MTA 28-09'!A:A,0))</f>
        <v>339030</v>
      </c>
      <c r="R542" s="98" t="str">
        <f t="array" ref="R542">INDEX('MTA 28-09'!L:L,MATCH(B542,'MTA 28-09'!A:A,0))</f>
        <v>D</v>
      </c>
      <c r="S542" s="107" t="str">
        <f t="array" ref="S542">INDEX('MTA 28-09'!X:X,MATCH(B542,'MTA 28-09'!A:A,0))</f>
        <v>REQUISIÇÃO</v>
      </c>
      <c r="T542" s="107" t="str">
        <f t="array" ref="T542">INDEX('MTA 28-09'!W:W,MATCH(B542,'MTA 28-09'!A:A,0))</f>
        <v>Não</v>
      </c>
      <c r="U542" s="109">
        <f t="array" ref="U542">INDEX('MTA 28-09'!AE:AE,MATCH(B542,'MTA 28-09'!A:A,0))</f>
        <v>46168</v>
      </c>
      <c r="V542" s="29"/>
      <c r="W542" s="29"/>
      <c r="X542" s="29"/>
      <c r="Y542" s="29"/>
      <c r="Z542" s="29"/>
      <c r="AA542" s="29"/>
      <c r="AB542" s="29"/>
      <c r="AC542" s="29"/>
      <c r="AD542" s="29"/>
      <c r="AE542" s="29"/>
      <c r="AF542" s="29"/>
      <c r="AG542" s="29"/>
      <c r="AH542" s="29"/>
      <c r="AI542" s="29"/>
      <c r="AJ542" s="29"/>
      <c r="AK542" s="29"/>
      <c r="AL542" s="29"/>
      <c r="AM542" s="29"/>
    </row>
    <row r="543">
      <c r="A543" s="31" t="s">
        <v>1610</v>
      </c>
      <c r="B543" s="38">
        <v>18742.0</v>
      </c>
      <c r="C543" s="33" t="str">
        <f t="array" ref="C543">INDEX('MTA 28-09'!B:B,MATCH(B543,'MTA 28-09'!A:A,0))</f>
        <v>SIM</v>
      </c>
      <c r="D543" s="34" t="str">
        <f t="array" ref="D543">INDEX('MTA 28-09'!D:D,MATCH(B543,'MTA 28-09'!A:A,0))</f>
        <v>20IH</v>
      </c>
      <c r="E543" s="32" t="str">
        <f t="array" ref="E543">INDEX('MTA 28-09'!F:F,MATCH(B543,'MTA 28-09'!A:A,0))</f>
        <v>ATENDIDO</v>
      </c>
      <c r="F543" s="35">
        <f t="array" ref="F543">INDEX('MTA 28-09'!I:I,MATCH(B543,'MTA 28-09'!A:A,0))</f>
        <v>46119</v>
      </c>
      <c r="G543" s="36" t="str">
        <f t="array" ref="G543">INDEX('MTA 28-09'!J:J,MATCH(B543,'MTA 28-09'!A:A,0))</f>
        <v>C26083</v>
      </c>
      <c r="H543" s="37" t="s">
        <v>1398</v>
      </c>
      <c r="I543" s="38"/>
      <c r="J543" s="39"/>
      <c r="K543" s="40"/>
      <c r="L543" s="39" t="str">
        <f t="array" ref="L543">INDEX('MTA 28-09'!S:S,MATCH(B543,'MTA 28-09'!A:A,0))</f>
        <v>T-25</v>
      </c>
      <c r="M543" s="32" t="str">
        <f t="array" ref="M543">INDEX('MTA 28-09'!T:T,MATCH(B543,'MTA 28-09'!A:A,0))</f>
        <v>Requisição CABW</v>
      </c>
      <c r="N543" s="32" t="str">
        <f t="array" ref="N543">INDEX('MTA 28-09'!U:U,MATCH(B543,'MTA 28-09'!A:A,0))</f>
        <v>Requisições Consumíveis - Modernização 1/2</v>
      </c>
      <c r="O543" s="59">
        <f t="array" ref="O543">INDEX('MTA 28-09'!AC:AC,MATCH(B543,'MTA 28-09'!A:A,0))</f>
        <v>1893979</v>
      </c>
      <c r="P543" s="32" t="str">
        <f t="array" ref="P543">INDEX('MTA 28-09'!N:N,MATCH(B543,'MTA 28-09'!A:A,0))</f>
        <v>CABW</v>
      </c>
      <c r="Q543" s="67" t="str">
        <f t="array" ref="Q543">INDEX('MTA 28-09'!Z:Z,MATCH(B543,'MTA 28-09'!A:A,0))</f>
        <v>339030</v>
      </c>
      <c r="R543" s="32" t="str">
        <f t="array" ref="R543">INDEX('MTA 28-09'!L:L,MATCH(B543,'MTA 28-09'!A:A,0))</f>
        <v>D</v>
      </c>
      <c r="S543" s="72" t="str">
        <f t="array" ref="S543">INDEX('MTA 28-09'!X:X,MATCH(B543,'MTA 28-09'!A:A,0))</f>
        <v>REQUISIÇÃO</v>
      </c>
      <c r="T543" s="72" t="str">
        <f t="array" ref="T543">INDEX('MTA 28-09'!W:W,MATCH(B543,'MTA 28-09'!A:A,0))</f>
        <v>Não</v>
      </c>
      <c r="U543" s="81">
        <f t="array" ref="U543">INDEX('MTA 28-09'!AE:AE,MATCH(B543,'MTA 28-09'!A:A,0))</f>
        <v>46168</v>
      </c>
      <c r="V543" s="12"/>
      <c r="W543" s="12"/>
      <c r="X543" s="12"/>
      <c r="Y543" s="12"/>
      <c r="Z543" s="12"/>
      <c r="AA543" s="12"/>
      <c r="AB543" s="12"/>
      <c r="AC543" s="12"/>
      <c r="AD543" s="12"/>
      <c r="AE543" s="12"/>
      <c r="AF543" s="12"/>
      <c r="AG543" s="12"/>
      <c r="AH543" s="12"/>
      <c r="AI543" s="12"/>
      <c r="AJ543" s="12"/>
      <c r="AK543" s="12"/>
      <c r="AL543" s="12"/>
      <c r="AM543" s="12"/>
    </row>
    <row r="544">
      <c r="A544" s="88" t="s">
        <v>1610</v>
      </c>
      <c r="B544" s="90">
        <v>18743.0</v>
      </c>
      <c r="C544" s="92" t="str">
        <f t="array" ref="C544">INDEX('MTA 28-09'!B:B,MATCH(B544,'MTA 28-09'!A:A,0))</f>
        <v>SIM</v>
      </c>
      <c r="D544" s="95" t="str">
        <f t="array" ref="D544">INDEX('MTA 28-09'!D:D,MATCH(B544,'MTA 28-09'!A:A,0))</f>
        <v>20IH</v>
      </c>
      <c r="E544" s="98" t="str">
        <f t="array" ref="E544">INDEX('MTA 28-09'!F:F,MATCH(B544,'MTA 28-09'!A:A,0))</f>
        <v>ATENDIDO</v>
      </c>
      <c r="F544" s="99">
        <f t="array" ref="F544">INDEX('MTA 28-09'!I:I,MATCH(B544,'MTA 28-09'!A:A,0))</f>
        <v>46119</v>
      </c>
      <c r="G544" s="100" t="str">
        <f t="array" ref="G544">INDEX('MTA 28-09'!J:J,MATCH(B544,'MTA 28-09'!A:A,0))</f>
        <v>C26076</v>
      </c>
      <c r="H544" s="101" t="s">
        <v>1398</v>
      </c>
      <c r="I544" s="90"/>
      <c r="J544" s="102"/>
      <c r="K544" s="103"/>
      <c r="L544" s="102" t="str">
        <f t="array" ref="L544">INDEX('MTA 28-09'!S:S,MATCH(B544,'MTA 28-09'!A:A,0))</f>
        <v>T-25</v>
      </c>
      <c r="M544" s="98" t="str">
        <f t="array" ref="M544">INDEX('MTA 28-09'!T:T,MATCH(B544,'MTA 28-09'!A:A,0))</f>
        <v>Requisição CABW</v>
      </c>
      <c r="N544" s="98" t="str">
        <f t="array" ref="N544">INDEX('MTA 28-09'!U:U,MATCH(B544,'MTA 28-09'!A:A,0))</f>
        <v>Requisições Consumíveis - Modernização 1/2</v>
      </c>
      <c r="O544" s="104">
        <f t="array" ref="O544">INDEX('MTA 28-09'!AC:AC,MATCH(B544,'MTA 28-09'!A:A,0))</f>
        <v>348064</v>
      </c>
      <c r="P544" s="98" t="str">
        <f t="array" ref="P544">INDEX('MTA 28-09'!N:N,MATCH(B544,'MTA 28-09'!A:A,0))</f>
        <v>CABW</v>
      </c>
      <c r="Q544" s="105" t="str">
        <f t="array" ref="Q544">INDEX('MTA 28-09'!Z:Z,MATCH(B544,'MTA 28-09'!A:A,0))</f>
        <v>339030</v>
      </c>
      <c r="R544" s="98" t="str">
        <f t="array" ref="R544">INDEX('MTA 28-09'!L:L,MATCH(B544,'MTA 28-09'!A:A,0))</f>
        <v>D</v>
      </c>
      <c r="S544" s="107" t="str">
        <f t="array" ref="S544">INDEX('MTA 28-09'!X:X,MATCH(B544,'MTA 28-09'!A:A,0))</f>
        <v>REQUISIÇÃO</v>
      </c>
      <c r="T544" s="107" t="str">
        <f t="array" ref="T544">INDEX('MTA 28-09'!W:W,MATCH(B544,'MTA 28-09'!A:A,0))</f>
        <v>Não</v>
      </c>
      <c r="U544" s="109">
        <f t="array" ref="U544">INDEX('MTA 28-09'!AE:AE,MATCH(B544,'MTA 28-09'!A:A,0))</f>
        <v>46168</v>
      </c>
      <c r="V544" s="29"/>
      <c r="W544" s="29"/>
      <c r="X544" s="29"/>
      <c r="Y544" s="29"/>
      <c r="Z544" s="29"/>
      <c r="AA544" s="29"/>
      <c r="AB544" s="29"/>
      <c r="AC544" s="29"/>
      <c r="AD544" s="29"/>
      <c r="AE544" s="29"/>
      <c r="AF544" s="29"/>
      <c r="AG544" s="29"/>
      <c r="AH544" s="29"/>
      <c r="AI544" s="29"/>
      <c r="AJ544" s="29"/>
      <c r="AK544" s="29"/>
      <c r="AL544" s="29"/>
      <c r="AM544" s="29"/>
    </row>
    <row r="545">
      <c r="A545" s="31" t="s">
        <v>1612</v>
      </c>
      <c r="B545" s="32">
        <v>18760.0</v>
      </c>
      <c r="C545" s="33" t="str">
        <f t="array" ref="C545">INDEX('MTA 28-09'!B:B,MATCH(B545,'MTA 28-09'!A:A,0))</f>
        <v>SIM</v>
      </c>
      <c r="D545" s="34" t="str">
        <f t="array" ref="D545">INDEX('MTA 28-09'!D:D,MATCH(B545,'MTA 28-09'!A:A,0))</f>
        <v>20IH</v>
      </c>
      <c r="E545" s="32" t="str">
        <f t="array" ref="E545">INDEX('MTA 28-09'!F:F,MATCH(B545,'MTA 28-09'!A:A,0))</f>
        <v/>
      </c>
      <c r="F545" s="155" t="str">
        <f t="array" ref="F545">INDEX('MTA 28-09'!I:I,MATCH(B545,'MTA 28-09'!A:A,0))</f>
        <v/>
      </c>
      <c r="G545" s="36" t="str">
        <f t="array" ref="G545">INDEX('MTA 28-09'!J:J,MATCH(B545,'MTA 28-09'!A:A,0))</f>
        <v/>
      </c>
      <c r="H545" s="287" t="s">
        <v>157</v>
      </c>
      <c r="I545" s="157" t="s">
        <v>1613</v>
      </c>
      <c r="J545" s="39"/>
      <c r="K545" s="40"/>
      <c r="L545" s="39" t="str">
        <f t="array" ref="L545">INDEX('MTA 28-09'!S:S,MATCH(B545,'MTA 28-09'!A:A,0))</f>
        <v>T-27</v>
      </c>
      <c r="M545" s="32" t="str">
        <f t="array" ref="M545">INDEX('MTA 28-09'!T:T,MATCH(B545,'MTA 28-09'!A:A,0))</f>
        <v>Requisição CABW</v>
      </c>
      <c r="N545" s="32" t="str">
        <f t="array" ref="N545">INDEX('MTA 28-09'!U:U,MATCH(B545,'MTA 28-09'!A:A,0))</f>
        <v>Requisições Consumíveis - Modernização 1/2</v>
      </c>
      <c r="O545" s="59">
        <f t="array" ref="O545">INDEX('MTA 28-09'!AC:AC,MATCH(B545,'MTA 28-09'!A:A,0))</f>
        <v>2700000</v>
      </c>
      <c r="P545" s="32" t="str">
        <f t="array" ref="P545">INDEX('MTA 28-09'!N:N,MATCH(B545,'MTA 28-09'!A:A,0))</f>
        <v>CABW</v>
      </c>
      <c r="Q545" s="67" t="str">
        <f t="array" ref="Q545">INDEX('MTA 28-09'!Z:Z,MATCH(B545,'MTA 28-09'!A:A,0))</f>
        <v>339030</v>
      </c>
      <c r="R545" s="32" t="str">
        <f t="array" ref="R545">INDEX('MTA 28-09'!L:L,MATCH(B545,'MTA 28-09'!A:A,0))</f>
        <v>D</v>
      </c>
      <c r="S545" s="72" t="str">
        <f t="array" ref="S545">INDEX('MTA 28-09'!X:X,MATCH(B545,'MTA 28-09'!A:A,0))</f>
        <v>REQUISIÇÃO</v>
      </c>
      <c r="T545" s="72" t="str">
        <f t="array" ref="T545">INDEX('MTA 28-09'!W:W,MATCH(B545,'MTA 28-09'!A:A,0))</f>
        <v>Não</v>
      </c>
      <c r="U545" s="81">
        <f t="array" ref="U545">INDEX('MTA 28-09'!AE:AE,MATCH(B545,'MTA 28-09'!A:A,0))</f>
        <v>46352</v>
      </c>
      <c r="V545" s="12"/>
      <c r="W545" s="12"/>
      <c r="X545" s="12"/>
      <c r="Y545" s="12"/>
      <c r="Z545" s="12"/>
      <c r="AA545" s="12"/>
      <c r="AB545" s="12"/>
      <c r="AC545" s="12"/>
      <c r="AD545" s="12"/>
      <c r="AE545" s="12"/>
      <c r="AF545" s="12"/>
      <c r="AG545" s="12"/>
      <c r="AH545" s="12"/>
      <c r="AI545" s="12"/>
      <c r="AJ545" s="12"/>
      <c r="AK545" s="12"/>
      <c r="AL545" s="12"/>
      <c r="AM545" s="12"/>
    </row>
    <row r="546">
      <c r="A546" s="88" t="s">
        <v>1609</v>
      </c>
      <c r="B546" s="98">
        <v>18780.0</v>
      </c>
      <c r="C546" s="92" t="str">
        <f t="array" ref="C546">INDEX('MTA 28-09'!B:B,MATCH(B546,'MTA 28-09'!A:A,0))</f>
        <v>NÃO</v>
      </c>
      <c r="D546" s="95" t="str">
        <f t="array" ref="D546">INDEX('MTA 28-09'!D:D,MATCH(B546,'MTA 28-09'!A:A,0))</f>
        <v>20IH</v>
      </c>
      <c r="E546" s="98" t="str">
        <f t="array" ref="E546">INDEX('MTA 28-09'!F:F,MATCH(B546,'MTA 28-09'!A:A,0))</f>
        <v/>
      </c>
      <c r="F546" s="152" t="str">
        <f t="array" ref="F546">INDEX('MTA 28-09'!I:I,MATCH(B546,'MTA 28-09'!A:A,0))</f>
        <v/>
      </c>
      <c r="G546" s="100" t="str">
        <f t="array" ref="G546">INDEX('MTA 28-09'!J:J,MATCH(B546,'MTA 28-09'!A:A,0))</f>
        <v/>
      </c>
      <c r="H546" s="159" t="s">
        <v>157</v>
      </c>
      <c r="I546" s="296"/>
      <c r="J546" s="102"/>
      <c r="K546" s="103"/>
      <c r="L546" s="102" t="str">
        <f t="array" ref="L546">INDEX('MTA 28-09'!S:S,MATCH(B546,'MTA 28-09'!A:A,0))</f>
        <v>C-97</v>
      </c>
      <c r="M546" s="98" t="str">
        <f t="array" ref="M546">INDEX('MTA 28-09'!T:T,MATCH(B546,'MTA 28-09'!A:A,0))</f>
        <v>Requisição CABW</v>
      </c>
      <c r="N546" s="98" t="str">
        <f t="array" ref="N546">INDEX('MTA 28-09'!U:U,MATCH(B546,'MTA 28-09'!A:A,0))</f>
        <v>PN 2100-4043-00 - Gravador de Dados de Voo 1/4</v>
      </c>
      <c r="O546" s="104">
        <f t="array" ref="O546">INDEX('MTA 28-09'!AC:AC,MATCH(B546,'MTA 28-09'!A:A,0))</f>
        <v>575000</v>
      </c>
      <c r="P546" s="98" t="str">
        <f t="array" ref="P546">INDEX('MTA 28-09'!N:N,MATCH(B546,'MTA 28-09'!A:A,0))</f>
        <v>CABW</v>
      </c>
      <c r="Q546" s="105" t="str">
        <f t="array" ref="Q546">INDEX('MTA 28-09'!Z:Z,MATCH(B546,'MTA 28-09'!A:A,0))</f>
        <v>339030</v>
      </c>
      <c r="R546" s="98" t="str">
        <f t="array" ref="R546">INDEX('MTA 28-09'!L:L,MATCH(B546,'MTA 28-09'!A:A,0))</f>
        <v>D</v>
      </c>
      <c r="S546" s="107" t="str">
        <f t="array" ref="S546">INDEX('MTA 28-09'!X:X,MATCH(B546,'MTA 28-09'!A:A,0))</f>
        <v>REQUISIÇÃO</v>
      </c>
      <c r="T546" s="107" t="str">
        <f t="array" ref="T546">INDEX('MTA 28-09'!W:W,MATCH(B546,'MTA 28-09'!A:A,0))</f>
        <v>Não</v>
      </c>
      <c r="U546" s="109">
        <f t="array" ref="U546">INDEX('MTA 28-09'!AE:AE,MATCH(B546,'MTA 28-09'!A:A,0))</f>
        <v>46168</v>
      </c>
      <c r="V546" s="29"/>
      <c r="W546" s="29"/>
      <c r="X546" s="29"/>
      <c r="Y546" s="29"/>
      <c r="Z546" s="29"/>
      <c r="AA546" s="29"/>
      <c r="AB546" s="29"/>
      <c r="AC546" s="29"/>
      <c r="AD546" s="29"/>
      <c r="AE546" s="29"/>
      <c r="AF546" s="29"/>
      <c r="AG546" s="29"/>
      <c r="AH546" s="29"/>
      <c r="AI546" s="29"/>
      <c r="AJ546" s="29"/>
      <c r="AK546" s="29"/>
      <c r="AL546" s="29"/>
      <c r="AM546" s="29"/>
    </row>
    <row r="547">
      <c r="A547" s="31" t="s">
        <v>1609</v>
      </c>
      <c r="B547" s="32">
        <v>18800.0</v>
      </c>
      <c r="C547" s="33" t="str">
        <f t="array" ref="C547">INDEX('MTA 28-09'!B:B,MATCH(B547,'MTA 28-09'!A:A,0))</f>
        <v>SIM</v>
      </c>
      <c r="D547" s="34" t="str">
        <f t="array" ref="D547">INDEX('MTA 28-09'!D:D,MATCH(B547,'MTA 28-09'!A:A,0))</f>
        <v>20IH</v>
      </c>
      <c r="E547" s="32" t="str">
        <f t="array" ref="E547">INDEX('MTA 28-09'!F:F,MATCH(B547,'MTA 28-09'!A:A,0))</f>
        <v>ATENDIDO</v>
      </c>
      <c r="F547" s="155">
        <f t="array" ref="F547">INDEX('MTA 28-09'!I:I,MATCH(B547,'MTA 28-09'!A:A,0))</f>
        <v>46205</v>
      </c>
      <c r="G547" s="36" t="str">
        <f t="array" ref="G547">INDEX('MTA 28-09'!J:J,MATCH(B547,'MTA 28-09'!A:A,0))</f>
        <v>C26088</v>
      </c>
      <c r="H547" s="37" t="s">
        <v>1562</v>
      </c>
      <c r="I547" s="38"/>
      <c r="J547" s="39"/>
      <c r="K547" s="40"/>
      <c r="L547" s="39" t="str">
        <f t="array" ref="L547">INDEX('MTA 28-09'!S:S,MATCH(B547,'MTA 28-09'!A:A,0))</f>
        <v>C-97</v>
      </c>
      <c r="M547" s="32" t="str">
        <f t="array" ref="M547">INDEX('MTA 28-09'!T:T,MATCH(B547,'MTA 28-09'!A:A,0))</f>
        <v>Requisição CABW</v>
      </c>
      <c r="N547" s="32" t="str">
        <f t="array" ref="N547">INDEX('MTA 28-09'!U:U,MATCH(B547,'MTA 28-09'!A:A,0))</f>
        <v>Modernização PAMALS 1/4</v>
      </c>
      <c r="O547" s="59">
        <f t="array" ref="O547">INDEX('MTA 28-09'!AC:AC,MATCH(B547,'MTA 28-09'!A:A,0))</f>
        <v>172326.01</v>
      </c>
      <c r="P547" s="32" t="str">
        <f t="array" ref="P547">INDEX('MTA 28-09'!N:N,MATCH(B547,'MTA 28-09'!A:A,0))</f>
        <v>CABW</v>
      </c>
      <c r="Q547" s="67" t="str">
        <f t="array" ref="Q547">INDEX('MTA 28-09'!Z:Z,MATCH(B547,'MTA 28-09'!A:A,0))</f>
        <v>339030</v>
      </c>
      <c r="R547" s="32" t="str">
        <f t="array" ref="R547">INDEX('MTA 28-09'!L:L,MATCH(B547,'MTA 28-09'!A:A,0))</f>
        <v>D</v>
      </c>
      <c r="S547" s="72" t="str">
        <f t="array" ref="S547">INDEX('MTA 28-09'!X:X,MATCH(B547,'MTA 28-09'!A:A,0))</f>
        <v>REQUISIÇÃO</v>
      </c>
      <c r="T547" s="72" t="str">
        <f t="array" ref="T547">INDEX('MTA 28-09'!W:W,MATCH(B547,'MTA 28-09'!A:A,0))</f>
        <v>Não</v>
      </c>
      <c r="U547" s="81">
        <f t="array" ref="U547">INDEX('MTA 28-09'!AE:AE,MATCH(B547,'MTA 28-09'!A:A,0))</f>
        <v>46291</v>
      </c>
      <c r="V547" s="12"/>
      <c r="W547" s="12"/>
      <c r="X547" s="12"/>
      <c r="Y547" s="12"/>
      <c r="Z547" s="12"/>
      <c r="AA547" s="12"/>
      <c r="AB547" s="12"/>
      <c r="AC547" s="12"/>
      <c r="AD547" s="12"/>
      <c r="AE547" s="12"/>
      <c r="AF547" s="12"/>
      <c r="AG547" s="12"/>
      <c r="AH547" s="12"/>
      <c r="AI547" s="12"/>
      <c r="AJ547" s="12"/>
      <c r="AK547" s="12"/>
      <c r="AL547" s="12"/>
      <c r="AM547" s="12"/>
    </row>
    <row r="548">
      <c r="A548" s="88" t="s">
        <v>1609</v>
      </c>
      <c r="B548" s="98">
        <v>18801.0</v>
      </c>
      <c r="C548" s="92" t="str">
        <f t="array" ref="C548">INDEX('MTA 28-09'!B:B,MATCH(B548,'MTA 28-09'!A:A,0))</f>
        <v>SIM</v>
      </c>
      <c r="D548" s="95" t="str">
        <f t="array" ref="D548">INDEX('MTA 28-09'!D:D,MATCH(B548,'MTA 28-09'!A:A,0))</f>
        <v>20IH</v>
      </c>
      <c r="E548" s="98" t="str">
        <f t="array" ref="E548">INDEX('MTA 28-09'!F:F,MATCH(B548,'MTA 28-09'!A:A,0))</f>
        <v>ATENDIDO</v>
      </c>
      <c r="F548" s="152">
        <f t="array" ref="F548">INDEX('MTA 28-09'!I:I,MATCH(B548,'MTA 28-09'!A:A,0))</f>
        <v>46043</v>
      </c>
      <c r="G548" s="100" t="str">
        <f t="array" ref="G548">INDEX('MTA 28-09'!J:J,MATCH(B548,'MTA 28-09'!A:A,0))</f>
        <v>C26008</v>
      </c>
      <c r="H548" s="101">
        <v>1.0</v>
      </c>
      <c r="I548" s="90"/>
      <c r="J548" s="102"/>
      <c r="K548" s="103"/>
      <c r="L548" s="102" t="str">
        <f t="array" ref="L548">INDEX('MTA 28-09'!S:S,MATCH(B548,'MTA 28-09'!A:A,0))</f>
        <v>C-97</v>
      </c>
      <c r="M548" s="98" t="str">
        <f t="array" ref="M548">INDEX('MTA 28-09'!T:T,MATCH(B548,'MTA 28-09'!A:A,0))</f>
        <v>Requisição CABW</v>
      </c>
      <c r="N548" s="98" t="str">
        <f t="array" ref="N548">INDEX('MTA 28-09'!U:U,MATCH(B548,'MTA 28-09'!A:A,0))</f>
        <v>Modernização PAMALS 1/4</v>
      </c>
      <c r="O548" s="104">
        <f t="array" ref="O548">INDEX('MTA 28-09'!AC:AC,MATCH(B548,'MTA 28-09'!A:A,0))</f>
        <v>320000</v>
      </c>
      <c r="P548" s="98" t="str">
        <f t="array" ref="P548">INDEX('MTA 28-09'!N:N,MATCH(B548,'MTA 28-09'!A:A,0))</f>
        <v>CABW</v>
      </c>
      <c r="Q548" s="105" t="str">
        <f t="array" ref="Q548">INDEX('MTA 28-09'!Z:Z,MATCH(B548,'MTA 28-09'!A:A,0))</f>
        <v>339030</v>
      </c>
      <c r="R548" s="98" t="str">
        <f t="array" ref="R548">INDEX('MTA 28-09'!L:L,MATCH(B548,'MTA 28-09'!A:A,0))</f>
        <v>D</v>
      </c>
      <c r="S548" s="107" t="str">
        <f t="array" ref="S548">INDEX('MTA 28-09'!X:X,MATCH(B548,'MTA 28-09'!A:A,0))</f>
        <v>REQUISIÇÃO</v>
      </c>
      <c r="T548" s="107" t="str">
        <f t="array" ref="T548">INDEX('MTA 28-09'!W:W,MATCH(B548,'MTA 28-09'!A:A,0))</f>
        <v>Não</v>
      </c>
      <c r="U548" s="109">
        <f t="array" ref="U548">INDEX('MTA 28-09'!AE:AE,MATCH(B548,'MTA 28-09'!A:A,0))</f>
        <v>46107</v>
      </c>
      <c r="V548" s="29"/>
      <c r="W548" s="29"/>
      <c r="X548" s="29"/>
      <c r="Y548" s="29"/>
      <c r="Z548" s="29"/>
      <c r="AA548" s="29"/>
      <c r="AB548" s="29"/>
      <c r="AC548" s="29"/>
      <c r="AD548" s="29"/>
      <c r="AE548" s="29"/>
      <c r="AF548" s="29"/>
      <c r="AG548" s="29"/>
      <c r="AH548" s="29"/>
      <c r="AI548" s="29"/>
      <c r="AJ548" s="29"/>
      <c r="AK548" s="29"/>
      <c r="AL548" s="29"/>
      <c r="AM548" s="29"/>
    </row>
    <row r="549">
      <c r="A549" s="31" t="s">
        <v>1609</v>
      </c>
      <c r="B549" s="38">
        <v>18802.0</v>
      </c>
      <c r="C549" s="33" t="str">
        <f t="array" ref="C549">INDEX('MTA 28-09'!B:B,MATCH(B549,'MTA 28-09'!A:A,0))</f>
        <v>SIM</v>
      </c>
      <c r="D549" s="34" t="str">
        <f t="array" ref="D549">INDEX('MTA 28-09'!D:D,MATCH(B549,'MTA 28-09'!A:A,0))</f>
        <v>20IH</v>
      </c>
      <c r="E549" s="32" t="str">
        <f t="array" ref="E549">INDEX('MTA 28-09'!F:F,MATCH(B549,'MTA 28-09'!A:A,0))</f>
        <v>ATENDIDO</v>
      </c>
      <c r="F549" s="155">
        <f t="array" ref="F549">INDEX('MTA 28-09'!I:I,MATCH(B549,'MTA 28-09'!A:A,0))</f>
        <v>46118</v>
      </c>
      <c r="G549" s="36" t="str">
        <f t="array" ref="G549">INDEX('MTA 28-09'!J:J,MATCH(B549,'MTA 28-09'!A:A,0))</f>
        <v>C26077</v>
      </c>
      <c r="H549" s="37" t="s">
        <v>1398</v>
      </c>
      <c r="I549" s="38"/>
      <c r="J549" s="39"/>
      <c r="K549" s="40"/>
      <c r="L549" s="39" t="str">
        <f t="array" ref="L549">INDEX('MTA 28-09'!S:S,MATCH(B549,'MTA 28-09'!A:A,0))</f>
        <v>C-97</v>
      </c>
      <c r="M549" s="32" t="str">
        <f t="array" ref="M549">INDEX('MTA 28-09'!T:T,MATCH(B549,'MTA 28-09'!A:A,0))</f>
        <v>Requisição CABW</v>
      </c>
      <c r="N549" s="32" t="str">
        <f t="array" ref="N549">INDEX('MTA 28-09'!U:U,MATCH(B549,'MTA 28-09'!A:A,0))</f>
        <v>Modernização PAMALS 1/4</v>
      </c>
      <c r="O549" s="59">
        <f t="array" ref="O549">INDEX('MTA 28-09'!AC:AC,MATCH(B549,'MTA 28-09'!A:A,0))</f>
        <v>290174</v>
      </c>
      <c r="P549" s="32" t="str">
        <f t="array" ref="P549">INDEX('MTA 28-09'!N:N,MATCH(B549,'MTA 28-09'!A:A,0))</f>
        <v>CABW</v>
      </c>
      <c r="Q549" s="67" t="str">
        <f t="array" ref="Q549">INDEX('MTA 28-09'!Z:Z,MATCH(B549,'MTA 28-09'!A:A,0))</f>
        <v>339030</v>
      </c>
      <c r="R549" s="32" t="str">
        <f t="array" ref="R549">INDEX('MTA 28-09'!L:L,MATCH(B549,'MTA 28-09'!A:A,0))</f>
        <v>D</v>
      </c>
      <c r="S549" s="72" t="str">
        <f t="array" ref="S549">INDEX('MTA 28-09'!X:X,MATCH(B549,'MTA 28-09'!A:A,0))</f>
        <v>REQUISIÇÃO</v>
      </c>
      <c r="T549" s="72" t="str">
        <f t="array" ref="T549">INDEX('MTA 28-09'!W:W,MATCH(B549,'MTA 28-09'!A:A,0))</f>
        <v>Não</v>
      </c>
      <c r="U549" s="81">
        <f t="array" ref="U549">INDEX('MTA 28-09'!AE:AE,MATCH(B549,'MTA 28-09'!A:A,0))</f>
        <v>46168</v>
      </c>
      <c r="V549" s="12"/>
      <c r="W549" s="12"/>
      <c r="X549" s="12"/>
      <c r="Y549" s="12"/>
      <c r="Z549" s="12"/>
      <c r="AA549" s="12"/>
      <c r="AB549" s="12"/>
      <c r="AC549" s="12"/>
      <c r="AD549" s="12"/>
      <c r="AE549" s="12"/>
      <c r="AF549" s="12"/>
      <c r="AG549" s="12"/>
      <c r="AH549" s="12"/>
      <c r="AI549" s="12"/>
      <c r="AJ549" s="12"/>
      <c r="AK549" s="12"/>
      <c r="AL549" s="12"/>
      <c r="AM549" s="12"/>
    </row>
    <row r="550">
      <c r="A550" s="88" t="s">
        <v>1609</v>
      </c>
      <c r="B550" s="90">
        <v>18803.0</v>
      </c>
      <c r="C550" s="92" t="str">
        <f t="array" ref="C550">INDEX('MTA 28-09'!B:B,MATCH(B550,'MTA 28-09'!A:A,0))</f>
        <v>SIM</v>
      </c>
      <c r="D550" s="95" t="str">
        <f t="array" ref="D550">INDEX('MTA 28-09'!D:D,MATCH(B550,'MTA 28-09'!A:A,0))</f>
        <v>20IH</v>
      </c>
      <c r="E550" s="98" t="str">
        <f t="array" ref="E550">INDEX('MTA 28-09'!F:F,MATCH(B550,'MTA 28-09'!A:A,0))</f>
        <v>ATENDIDO</v>
      </c>
      <c r="F550" s="99">
        <f t="array" ref="F550">INDEX('MTA 28-09'!I:I,MATCH(B550,'MTA 28-09'!A:A,0))</f>
        <v>46184</v>
      </c>
      <c r="G550" s="100" t="str">
        <f t="array" ref="G550">INDEX('MTA 28-09'!J:J,MATCH(B550,'MTA 28-09'!A:A,0))</f>
        <v>C26119</v>
      </c>
      <c r="H550" s="101" t="s">
        <v>1398</v>
      </c>
      <c r="I550" s="90"/>
      <c r="J550" s="102"/>
      <c r="K550" s="103"/>
      <c r="L550" s="102" t="str">
        <f t="array" ref="L550">INDEX('MTA 28-09'!S:S,MATCH(B550,'MTA 28-09'!A:A,0))</f>
        <v>C-97</v>
      </c>
      <c r="M550" s="98" t="str">
        <f t="array" ref="M550">INDEX('MTA 28-09'!T:T,MATCH(B550,'MTA 28-09'!A:A,0))</f>
        <v>Requisição CABW</v>
      </c>
      <c r="N550" s="98" t="str">
        <f t="array" ref="N550">INDEX('MTA 28-09'!U:U,MATCH(B550,'MTA 28-09'!A:A,0))</f>
        <v>Modernização PAMALS 1/4</v>
      </c>
      <c r="O550" s="104">
        <f t="array" ref="O550">INDEX('MTA 28-09'!AC:AC,MATCH(B550,'MTA 28-09'!A:A,0))</f>
        <v>540000</v>
      </c>
      <c r="P550" s="98" t="str">
        <f t="array" ref="P550">INDEX('MTA 28-09'!N:N,MATCH(B550,'MTA 28-09'!A:A,0))</f>
        <v>CABW</v>
      </c>
      <c r="Q550" s="105" t="str">
        <f t="array" ref="Q550">INDEX('MTA 28-09'!Z:Z,MATCH(B550,'MTA 28-09'!A:A,0))</f>
        <v>449052</v>
      </c>
      <c r="R550" s="98" t="str">
        <f t="array" ref="R550">INDEX('MTA 28-09'!L:L,MATCH(B550,'MTA 28-09'!A:A,0))</f>
        <v>D</v>
      </c>
      <c r="S550" s="107" t="str">
        <f t="array" ref="S550">INDEX('MTA 28-09'!X:X,MATCH(B550,'MTA 28-09'!A:A,0))</f>
        <v>REQUISIÇÃO</v>
      </c>
      <c r="T550" s="107" t="str">
        <f t="array" ref="T550">INDEX('MTA 28-09'!W:W,MATCH(B550,'MTA 28-09'!A:A,0))</f>
        <v>Não</v>
      </c>
      <c r="U550" s="109">
        <f t="array" ref="U550">INDEX('MTA 28-09'!AE:AE,MATCH(B550,'MTA 28-09'!A:A,0))</f>
        <v>46260</v>
      </c>
      <c r="V550" s="29"/>
      <c r="W550" s="29"/>
      <c r="X550" s="29"/>
      <c r="Y550" s="29"/>
      <c r="Z550" s="29"/>
      <c r="AA550" s="29"/>
      <c r="AB550" s="29"/>
      <c r="AC550" s="29"/>
      <c r="AD550" s="29"/>
      <c r="AE550" s="29"/>
      <c r="AF550" s="29"/>
      <c r="AG550" s="29"/>
      <c r="AH550" s="29"/>
      <c r="AI550" s="29"/>
      <c r="AJ550" s="29"/>
      <c r="AK550" s="29"/>
      <c r="AL550" s="29"/>
      <c r="AM550" s="29"/>
    </row>
    <row r="551">
      <c r="A551" s="31" t="s">
        <v>1609</v>
      </c>
      <c r="B551" s="38">
        <v>18804.0</v>
      </c>
      <c r="C551" s="33" t="str">
        <f t="array" ref="C551">INDEX('MTA 28-09'!B:B,MATCH(B551,'MTA 28-09'!A:A,0))</f>
        <v>SIM</v>
      </c>
      <c r="D551" s="34" t="str">
        <f t="array" ref="D551">INDEX('MTA 28-09'!D:D,MATCH(B551,'MTA 28-09'!A:A,0))</f>
        <v>20IH</v>
      </c>
      <c r="E551" s="32" t="str">
        <f t="array" ref="E551">INDEX('MTA 28-09'!F:F,MATCH(B551,'MTA 28-09'!A:A,0))</f>
        <v>ATENDIDO</v>
      </c>
      <c r="F551" s="155">
        <f t="array" ref="F551">INDEX('MTA 28-09'!I:I,MATCH(B551,'MTA 28-09'!A:A,0))</f>
        <v>46184</v>
      </c>
      <c r="G551" s="36" t="str">
        <f t="array" ref="G551">INDEX('MTA 28-09'!J:J,MATCH(B551,'MTA 28-09'!A:A,0))</f>
        <v>C26119</v>
      </c>
      <c r="H551" s="37" t="s">
        <v>1398</v>
      </c>
      <c r="I551" s="38"/>
      <c r="J551" s="39"/>
      <c r="K551" s="40"/>
      <c r="L551" s="39" t="str">
        <f t="array" ref="L551">INDEX('MTA 28-09'!S:S,MATCH(B551,'MTA 28-09'!A:A,0))</f>
        <v>C-97</v>
      </c>
      <c r="M551" s="32" t="str">
        <f t="array" ref="M551">INDEX('MTA 28-09'!T:T,MATCH(B551,'MTA 28-09'!A:A,0))</f>
        <v>Requisição FMS</v>
      </c>
      <c r="N551" s="32" t="str">
        <f t="array" ref="N551">INDEX('MTA 28-09'!U:U,MATCH(B551,'MTA 28-09'!A:A,0))</f>
        <v>Modernização PAMALS 1/4 - Case QAQ</v>
      </c>
      <c r="O551" s="59">
        <f t="array" ref="O551">INDEX('MTA 28-09'!AC:AC,MATCH(B551,'MTA 28-09'!A:A,0))</f>
        <v>270000</v>
      </c>
      <c r="P551" s="32" t="str">
        <f t="array" ref="P551">INDEX('MTA 28-09'!N:N,MATCH(B551,'MTA 28-09'!A:A,0))</f>
        <v>FMS</v>
      </c>
      <c r="Q551" s="67" t="str">
        <f t="array" ref="Q551">INDEX('MTA 28-09'!Z:Z,MATCH(B551,'MTA 28-09'!A:A,0))</f>
        <v>449052</v>
      </c>
      <c r="R551" s="32" t="str">
        <f t="array" ref="R551">INDEX('MTA 28-09'!L:L,MATCH(B551,'MTA 28-09'!A:A,0))</f>
        <v>D</v>
      </c>
      <c r="S551" s="72" t="str">
        <f t="array" ref="S551">INDEX('MTA 28-09'!X:X,MATCH(B551,'MTA 28-09'!A:A,0))</f>
        <v>REQUISIÇÃO</v>
      </c>
      <c r="T551" s="72" t="str">
        <f t="array" ref="T551">INDEX('MTA 28-09'!W:W,MATCH(B551,'MTA 28-09'!A:A,0))</f>
        <v>Não</v>
      </c>
      <c r="U551" s="81">
        <f t="array" ref="U551">INDEX('MTA 28-09'!AE:AE,MATCH(B551,'MTA 28-09'!A:A,0))</f>
        <v>46260</v>
      </c>
      <c r="V551" s="12"/>
      <c r="W551" s="12"/>
      <c r="X551" s="12"/>
      <c r="Y551" s="12"/>
      <c r="Z551" s="12"/>
      <c r="AA551" s="12"/>
      <c r="AB551" s="12"/>
      <c r="AC551" s="12"/>
      <c r="AD551" s="12"/>
      <c r="AE551" s="12"/>
      <c r="AF551" s="12"/>
      <c r="AG551" s="12"/>
      <c r="AH551" s="12"/>
      <c r="AI551" s="12"/>
      <c r="AJ551" s="12"/>
      <c r="AK551" s="12"/>
      <c r="AL551" s="12"/>
      <c r="AM551" s="12"/>
    </row>
    <row r="552">
      <c r="A552" s="88" t="s">
        <v>1609</v>
      </c>
      <c r="B552" s="90">
        <v>18805.0</v>
      </c>
      <c r="C552" s="92" t="str">
        <f t="array" ref="C552">INDEX('MTA 28-09'!B:B,MATCH(B552,'MTA 28-09'!A:A,0))</f>
        <v>SIM</v>
      </c>
      <c r="D552" s="95" t="str">
        <f t="array" ref="D552">INDEX('MTA 28-09'!D:D,MATCH(B552,'MTA 28-09'!A:A,0))</f>
        <v>20IH</v>
      </c>
      <c r="E552" s="98" t="str">
        <f t="array" ref="E552">INDEX('MTA 28-09'!F:F,MATCH(B552,'MTA 28-09'!A:A,0))</f>
        <v>ATENDIDO</v>
      </c>
      <c r="F552" s="144">
        <f t="array" ref="F552">INDEX('MTA 28-09'!I:I,MATCH(B552,'MTA 28-09'!A:A,0))</f>
        <v>46195</v>
      </c>
      <c r="G552" s="100" t="str">
        <f t="array" ref="G552">INDEX('MTA 28-09'!J:J,MATCH(B552,'MTA 28-09'!A:A,0))</f>
        <v>C26128</v>
      </c>
      <c r="H552" s="372" t="s">
        <v>1466</v>
      </c>
      <c r="I552" s="90"/>
      <c r="J552" s="102"/>
      <c r="K552" s="103"/>
      <c r="L552" s="102" t="str">
        <f t="array" ref="L552">INDEX('MTA 28-09'!S:S,MATCH(B552,'MTA 28-09'!A:A,0))</f>
        <v>C-97</v>
      </c>
      <c r="M552" s="98" t="str">
        <f t="array" ref="M552">INDEX('MTA 28-09'!T:T,MATCH(B552,'MTA 28-09'!A:A,0))</f>
        <v>Requisição FMS</v>
      </c>
      <c r="N552" s="98" t="str">
        <f t="array" ref="N552">INDEX('MTA 28-09'!U:U,MATCH(B552,'MTA 28-09'!A:A,0))</f>
        <v>Modernização PAMALS 1/4 - Case QAQ</v>
      </c>
      <c r="O552" s="104">
        <f t="array" ref="O552">INDEX('MTA 28-09'!AC:AC,MATCH(B552,'MTA 28-09'!A:A,0))</f>
        <v>103820</v>
      </c>
      <c r="P552" s="98" t="str">
        <f t="array" ref="P552">INDEX('MTA 28-09'!N:N,MATCH(B552,'MTA 28-09'!A:A,0))</f>
        <v>FMS</v>
      </c>
      <c r="Q552" s="105" t="str">
        <f t="array" ref="Q552">INDEX('MTA 28-09'!Z:Z,MATCH(B552,'MTA 28-09'!A:A,0))</f>
        <v>339030</v>
      </c>
      <c r="R552" s="98" t="str">
        <f t="array" ref="R552">INDEX('MTA 28-09'!L:L,MATCH(B552,'MTA 28-09'!A:A,0))</f>
        <v>D</v>
      </c>
      <c r="S552" s="107" t="str">
        <f t="array" ref="S552">INDEX('MTA 28-09'!X:X,MATCH(B552,'MTA 28-09'!A:A,0))</f>
        <v>REQUISIÇÃO</v>
      </c>
      <c r="T552" s="107" t="str">
        <f t="array" ref="T552">INDEX('MTA 28-09'!W:W,MATCH(B552,'MTA 28-09'!A:A,0))</f>
        <v>Não</v>
      </c>
      <c r="U552" s="109">
        <f t="array" ref="U552">INDEX('MTA 28-09'!AE:AE,MATCH(B552,'MTA 28-09'!A:A,0))</f>
        <v>46260</v>
      </c>
      <c r="V552" s="29"/>
      <c r="W552" s="29"/>
      <c r="X552" s="29"/>
      <c r="Y552" s="29"/>
      <c r="Z552" s="29"/>
      <c r="AA552" s="29"/>
      <c r="AB552" s="29"/>
      <c r="AC552" s="29"/>
      <c r="AD552" s="29"/>
      <c r="AE552" s="29"/>
      <c r="AF552" s="29"/>
      <c r="AG552" s="29"/>
      <c r="AH552" s="29"/>
      <c r="AI552" s="29"/>
      <c r="AJ552" s="29"/>
      <c r="AK552" s="29"/>
      <c r="AL552" s="29"/>
      <c r="AM552" s="29"/>
    </row>
    <row r="553">
      <c r="A553" s="31" t="s">
        <v>1609</v>
      </c>
      <c r="B553" s="38">
        <v>18806.0</v>
      </c>
      <c r="C553" s="33" t="str">
        <f t="array" ref="C553">INDEX('MTA 28-09'!B:B,MATCH(B553,'MTA 28-09'!A:A,0))</f>
        <v>SIM</v>
      </c>
      <c r="D553" s="34" t="str">
        <f t="array" ref="D553">INDEX('MTA 28-09'!D:D,MATCH(B553,'MTA 28-09'!A:A,0))</f>
        <v>20IH</v>
      </c>
      <c r="E553" s="32" t="str">
        <f t="array" ref="E553">INDEX('MTA 28-09'!F:F,MATCH(B553,'MTA 28-09'!A:A,0))</f>
        <v>ATENDIDO</v>
      </c>
      <c r="F553" s="155">
        <f t="array" ref="F553">INDEX('MTA 28-09'!I:I,MATCH(B553,'MTA 28-09'!A:A,0))</f>
        <v>46195</v>
      </c>
      <c r="G553" s="36" t="str">
        <f t="array" ref="G553">INDEX('MTA 28-09'!J:J,MATCH(B553,'MTA 28-09'!A:A,0))</f>
        <v>C26129</v>
      </c>
      <c r="H553" s="412" t="s">
        <v>1466</v>
      </c>
      <c r="I553" s="38"/>
      <c r="J553" s="39"/>
      <c r="K553" s="40"/>
      <c r="L553" s="39" t="str">
        <f t="array" ref="L553">INDEX('MTA 28-09'!S:S,MATCH(B553,'MTA 28-09'!A:A,0))</f>
        <v>C-97</v>
      </c>
      <c r="M553" s="32" t="str">
        <f t="array" ref="M553">INDEX('MTA 28-09'!T:T,MATCH(B553,'MTA 28-09'!A:A,0))</f>
        <v>Requisição FMS</v>
      </c>
      <c r="N553" s="32" t="str">
        <f t="array" ref="N553">INDEX('MTA 28-09'!U:U,MATCH(B553,'MTA 28-09'!A:A,0))</f>
        <v>Modernização PAMALS 1/4 - Case KCQ</v>
      </c>
      <c r="O553" s="59">
        <f t="array" ref="O553">INDEX('MTA 28-09'!AC:AC,MATCH(B553,'MTA 28-09'!A:A,0))</f>
        <v>155730</v>
      </c>
      <c r="P553" s="32" t="str">
        <f t="array" ref="P553">INDEX('MTA 28-09'!N:N,MATCH(B553,'MTA 28-09'!A:A,0))</f>
        <v>FMS</v>
      </c>
      <c r="Q553" s="67" t="str">
        <f t="array" ref="Q553">INDEX('MTA 28-09'!Z:Z,MATCH(B553,'MTA 28-09'!A:A,0))</f>
        <v>339030</v>
      </c>
      <c r="R553" s="32" t="str">
        <f t="array" ref="R553">INDEX('MTA 28-09'!L:L,MATCH(B553,'MTA 28-09'!A:A,0))</f>
        <v>D</v>
      </c>
      <c r="S553" s="72" t="str">
        <f t="array" ref="S553">INDEX('MTA 28-09'!X:X,MATCH(B553,'MTA 28-09'!A:A,0))</f>
        <v>REQUISIÇÃO</v>
      </c>
      <c r="T553" s="72" t="str">
        <f t="array" ref="T553">INDEX('MTA 28-09'!W:W,MATCH(B553,'MTA 28-09'!A:A,0))</f>
        <v>Não</v>
      </c>
      <c r="U553" s="81">
        <f t="array" ref="U553">INDEX('MTA 28-09'!AE:AE,MATCH(B553,'MTA 28-09'!A:A,0))</f>
        <v>46260</v>
      </c>
      <c r="V553" s="12"/>
      <c r="W553" s="12"/>
      <c r="X553" s="12"/>
      <c r="Y553" s="12"/>
      <c r="Z553" s="12"/>
      <c r="AA553" s="12"/>
      <c r="AB553" s="12"/>
      <c r="AC553" s="12"/>
      <c r="AD553" s="12"/>
      <c r="AE553" s="12"/>
      <c r="AF553" s="12"/>
      <c r="AG553" s="12"/>
      <c r="AH553" s="12"/>
      <c r="AI553" s="12"/>
      <c r="AJ553" s="12"/>
      <c r="AK553" s="12"/>
      <c r="AL553" s="12"/>
      <c r="AM553" s="12"/>
    </row>
    <row r="554">
      <c r="A554" s="88" t="s">
        <v>1609</v>
      </c>
      <c r="B554" s="98">
        <v>18820.0</v>
      </c>
      <c r="C554" s="92" t="str">
        <f t="array" ref="C554">INDEX('MTA 28-09'!B:B,MATCH(B554,'MTA 28-09'!A:A,0))</f>
        <v>SIM</v>
      </c>
      <c r="D554" s="95" t="str">
        <f t="array" ref="D554">INDEX('MTA 28-09'!D:D,MATCH(B554,'MTA 28-09'!A:A,0))</f>
        <v>20IH</v>
      </c>
      <c r="E554" s="98" t="str">
        <f t="array" ref="E554">INDEX('MTA 28-09'!F:F,MATCH(B554,'MTA 28-09'!A:A,0))</f>
        <v/>
      </c>
      <c r="F554" s="144" t="str">
        <f t="array" ref="F554">INDEX('MTA 28-09'!I:I,MATCH(B554,'MTA 28-09'!A:A,0))</f>
        <v/>
      </c>
      <c r="G554" s="100" t="str">
        <f t="array" ref="G554">INDEX('MTA 28-09'!J:J,MATCH(B554,'MTA 28-09'!A:A,0))</f>
        <v/>
      </c>
      <c r="H554" s="159" t="s">
        <v>157</v>
      </c>
      <c r="I554" s="296"/>
      <c r="J554" s="102"/>
      <c r="K554" s="103"/>
      <c r="L554" s="102" t="str">
        <f t="array" ref="L554">INDEX('MTA 28-09'!S:S,MATCH(B554,'MTA 28-09'!A:A,0))</f>
        <v>C-97</v>
      </c>
      <c r="M554" s="98" t="str">
        <f t="array" ref="M554">INDEX('MTA 28-09'!T:T,MATCH(B554,'MTA 28-09'!A:A,0))</f>
        <v>Requisição CABW</v>
      </c>
      <c r="N554" s="98" t="str">
        <f t="array" ref="N554">INDEX('MTA 28-09'!U:U,MATCH(B554,'MTA 28-09'!A:A,0))</f>
        <v>Modernização PAMALS 3/4</v>
      </c>
      <c r="O554" s="104">
        <f t="array" ref="O554">INDEX('MTA 28-09'!AC:AC,MATCH(B554,'MTA 28-09'!A:A,0))</f>
        <v>1852500</v>
      </c>
      <c r="P554" s="98" t="str">
        <f t="array" ref="P554">INDEX('MTA 28-09'!N:N,MATCH(B554,'MTA 28-09'!A:A,0))</f>
        <v>CABW</v>
      </c>
      <c r="Q554" s="105" t="str">
        <f t="array" ref="Q554">INDEX('MTA 28-09'!Z:Z,MATCH(B554,'MTA 28-09'!A:A,0))</f>
        <v>339030</v>
      </c>
      <c r="R554" s="98" t="str">
        <f t="array" ref="R554">INDEX('MTA 28-09'!L:L,MATCH(B554,'MTA 28-09'!A:A,0))</f>
        <v>D</v>
      </c>
      <c r="S554" s="107" t="str">
        <f t="array" ref="S554">INDEX('MTA 28-09'!X:X,MATCH(B554,'MTA 28-09'!A:A,0))</f>
        <v>REQUISIÇÃO</v>
      </c>
      <c r="T554" s="107" t="str">
        <f t="array" ref="T554">INDEX('MTA 28-09'!W:W,MATCH(B554,'MTA 28-09'!A:A,0))</f>
        <v>Não</v>
      </c>
      <c r="U554" s="109">
        <f t="array" ref="U554">INDEX('MTA 28-09'!AE:AE,MATCH(B554,'MTA 28-09'!A:A,0))</f>
        <v>46168</v>
      </c>
      <c r="V554" s="29"/>
      <c r="W554" s="29"/>
      <c r="X554" s="29"/>
      <c r="Y554" s="29"/>
      <c r="Z554" s="29"/>
      <c r="AA554" s="29"/>
      <c r="AB554" s="29"/>
      <c r="AC554" s="29"/>
      <c r="AD554" s="29"/>
      <c r="AE554" s="29"/>
      <c r="AF554" s="29"/>
      <c r="AG554" s="29"/>
      <c r="AH554" s="29"/>
      <c r="AI554" s="29"/>
      <c r="AJ554" s="29"/>
      <c r="AK554" s="29"/>
      <c r="AL554" s="29"/>
      <c r="AM554" s="29"/>
    </row>
    <row r="555">
      <c r="A555" s="31" t="s">
        <v>39</v>
      </c>
      <c r="B555" s="32">
        <v>18840.0</v>
      </c>
      <c r="C555" s="33" t="str">
        <f t="array" ref="C555">INDEX('MTA 28-09'!B:B,MATCH(B555,'MTA 28-09'!A:A,0))</f>
        <v>SIM</v>
      </c>
      <c r="D555" s="34" t="str">
        <f t="array" ref="D555">INDEX('MTA 28-09'!D:D,MATCH(B555,'MTA 28-09'!A:A,0))</f>
        <v>2048 PO 02</v>
      </c>
      <c r="E555" s="32" t="str">
        <f t="array" ref="E555">INDEX('MTA 28-09'!F:F,MATCH(B555,'MTA 28-09'!A:A,0))</f>
        <v>ATENDER</v>
      </c>
      <c r="F555" s="35" t="str">
        <f t="array" ref="F555">INDEX('MTA 28-09'!I:I,MATCH(B555,'MTA 28-09'!A:A,0))</f>
        <v/>
      </c>
      <c r="G555" s="36" t="str">
        <f t="array" ref="G555">INDEX('MTA 28-09'!J:J,MATCH(B555,'MTA 28-09'!A:A,0))</f>
        <v/>
      </c>
      <c r="H555" s="37">
        <v>1.0</v>
      </c>
      <c r="I555" s="38" t="s">
        <v>1614</v>
      </c>
      <c r="J555" s="39" t="s">
        <v>1615</v>
      </c>
      <c r="K555" s="40"/>
      <c r="L555" s="39" t="str">
        <f t="array" ref="L555">INDEX('MTA 28-09'!S:S,MATCH(B555,'MTA 28-09'!A:A,0))</f>
        <v>A-29</v>
      </c>
      <c r="M555" s="32" t="str">
        <f t="array" ref="M555">INDEX('MTA 28-09'!T:T,MATCH(B555,'MTA 28-09'!A:A,0))</f>
        <v>CTT 102/CELOG-PAMALS/2023 – EMBRAER - PSLI</v>
      </c>
      <c r="N555" s="32" t="str">
        <f t="array" ref="N555">INDEX('MTA 28-09'!U:U,MATCH(B555,'MTA 28-09'!A:A,0))</f>
        <v>Módulo Extra - Desenvolvimento da atualização do GPS da aeronave</v>
      </c>
      <c r="O555" s="59">
        <f t="array" ref="O555">INDEX('MTA 28-09'!AC:AC,MATCH(B555,'MTA 28-09'!A:A,0))</f>
        <v>189744.39</v>
      </c>
      <c r="P555" s="32" t="str">
        <f t="array" ref="P555">INDEX('MTA 28-09'!N:N,MATCH(B555,'MTA 28-09'!A:A,0))</f>
        <v>CELOG</v>
      </c>
      <c r="Q555" s="67" t="str">
        <f t="array" ref="Q555">INDEX('MTA 28-09'!Z:Z,MATCH(B555,'MTA 28-09'!A:A,0))</f>
        <v>339030</v>
      </c>
      <c r="R555" s="32" t="str">
        <f t="array" ref="R555">INDEX('MTA 28-09'!L:L,MATCH(B555,'MTA 28-09'!A:A,0))</f>
        <v>D</v>
      </c>
      <c r="S555" s="72" t="str">
        <f t="array" ref="S555">INDEX('MTA 28-09'!X:X,MATCH(B555,'MTA 28-09'!A:A,0))</f>
        <v>SOB DEMANDA</v>
      </c>
      <c r="T555" s="72" t="str">
        <f t="array" ref="T555">INDEX('MTA 28-09'!W:W,MATCH(B555,'MTA 28-09'!A:A,0))</f>
        <v>Não</v>
      </c>
      <c r="U555" s="81">
        <f t="array" ref="U555">INDEX('MTA 28-09'!AE:AE,MATCH(B555,'MTA 28-09'!A:A,0))</f>
        <v>46260</v>
      </c>
      <c r="V555" s="12"/>
      <c r="W555" s="12"/>
      <c r="X555" s="12"/>
      <c r="Y555" s="12"/>
      <c r="Z555" s="12"/>
      <c r="AA555" s="12"/>
      <c r="AB555" s="12"/>
      <c r="AC555" s="12"/>
      <c r="AD555" s="12"/>
      <c r="AE555" s="12"/>
      <c r="AF555" s="12"/>
      <c r="AG555" s="12"/>
      <c r="AH555" s="12"/>
      <c r="AI555" s="12"/>
      <c r="AJ555" s="12"/>
      <c r="AK555" s="12"/>
      <c r="AL555" s="12"/>
      <c r="AM555" s="12"/>
    </row>
    <row r="556">
      <c r="A556" s="88" t="s">
        <v>39</v>
      </c>
      <c r="B556" s="90">
        <v>18841.0</v>
      </c>
      <c r="C556" s="92" t="str">
        <f t="array" ref="C556">INDEX('MTA 28-09'!B:B,MATCH(B556,'MTA 28-09'!A:A,0))</f>
        <v>SIM</v>
      </c>
      <c r="D556" s="95" t="str">
        <f t="array" ref="D556">INDEX('MTA 28-09'!D:D,MATCH(B556,'MTA 28-09'!A:A,0))</f>
        <v>2048 PO 02</v>
      </c>
      <c r="E556" s="98" t="str">
        <f t="array" ref="E556">INDEX('MTA 28-09'!F:F,MATCH(B556,'MTA 28-09'!A:A,0))</f>
        <v>ATENDER</v>
      </c>
      <c r="F556" s="152" t="str">
        <f t="array" ref="F556">INDEX('MTA 28-09'!I:I,MATCH(B556,'MTA 28-09'!A:A,0))</f>
        <v/>
      </c>
      <c r="G556" s="100" t="str">
        <f t="array" ref="G556">INDEX('MTA 28-09'!J:J,MATCH(B556,'MTA 28-09'!A:A,0))</f>
        <v/>
      </c>
      <c r="H556" s="101">
        <v>1.0</v>
      </c>
      <c r="I556" s="90" t="s">
        <v>1614</v>
      </c>
      <c r="J556" s="102"/>
      <c r="K556" s="103"/>
      <c r="L556" s="102" t="str">
        <f t="array" ref="L556">INDEX('MTA 28-09'!S:S,MATCH(B556,'MTA 28-09'!A:A,0))</f>
        <v>A-29</v>
      </c>
      <c r="M556" s="98" t="str">
        <f t="array" ref="M556">INDEX('MTA 28-09'!T:T,MATCH(B556,'MTA 28-09'!A:A,0))</f>
        <v>CTT 102/CELOG-PAMALS/2023 – EMBRAER - PSLI</v>
      </c>
      <c r="N556" s="98" t="str">
        <f t="array" ref="N556">INDEX('MTA 28-09'!U:U,MATCH(B556,'MTA 28-09'!A:A,0))</f>
        <v>Módulo Extra - Desenvolvimento da atualização do GPS da aeronave</v>
      </c>
      <c r="O556" s="104">
        <f t="array" ref="O556">INDEX('MTA 28-09'!AC:AC,MATCH(B556,'MTA 28-09'!A:A,0))</f>
        <v>5371992.3</v>
      </c>
      <c r="P556" s="98" t="str">
        <f t="array" ref="P556">INDEX('MTA 28-09'!N:N,MATCH(B556,'MTA 28-09'!A:A,0))</f>
        <v>CELOG</v>
      </c>
      <c r="Q556" s="105" t="str">
        <f t="array" ref="Q556">INDEX('MTA 28-09'!Z:Z,MATCH(B556,'MTA 28-09'!A:A,0))</f>
        <v>339039</v>
      </c>
      <c r="R556" s="98" t="str">
        <f t="array" ref="R556">INDEX('MTA 28-09'!L:L,MATCH(B556,'MTA 28-09'!A:A,0))</f>
        <v>D</v>
      </c>
      <c r="S556" s="107" t="str">
        <f t="array" ref="S556">INDEX('MTA 28-09'!X:X,MATCH(B556,'MTA 28-09'!A:A,0))</f>
        <v>SOB DEMANDA</v>
      </c>
      <c r="T556" s="107" t="str">
        <f t="array" ref="T556">INDEX('MTA 28-09'!W:W,MATCH(B556,'MTA 28-09'!A:A,0))</f>
        <v>Não</v>
      </c>
      <c r="U556" s="109">
        <f t="array" ref="U556">INDEX('MTA 28-09'!AE:AE,MATCH(B556,'MTA 28-09'!A:A,0))</f>
        <v>46321</v>
      </c>
      <c r="V556" s="29"/>
      <c r="W556" s="29"/>
      <c r="X556" s="29"/>
      <c r="Y556" s="29"/>
      <c r="Z556" s="29"/>
      <c r="AA556" s="29"/>
      <c r="AB556" s="29"/>
      <c r="AC556" s="29"/>
      <c r="AD556" s="29"/>
      <c r="AE556" s="29"/>
      <c r="AF556" s="29"/>
      <c r="AG556" s="29"/>
      <c r="AH556" s="29"/>
      <c r="AI556" s="29"/>
      <c r="AJ556" s="29"/>
      <c r="AK556" s="29"/>
      <c r="AL556" s="29"/>
      <c r="AM556" s="29"/>
    </row>
    <row r="557">
      <c r="A557" s="31" t="s">
        <v>39</v>
      </c>
      <c r="B557" s="38">
        <v>18842.0</v>
      </c>
      <c r="C557" s="33" t="str">
        <f t="array" ref="C557">INDEX('MTA 28-09'!B:B,MATCH(B557,'MTA 28-09'!A:A,0))</f>
        <v>SIM</v>
      </c>
      <c r="D557" s="34" t="str">
        <f t="array" ref="D557">INDEX('MTA 28-09'!D:D,MATCH(B557,'MTA 28-09'!A:A,0))</f>
        <v>RAP</v>
      </c>
      <c r="E557" s="32" t="str">
        <f t="array" ref="E557">INDEX('MTA 28-09'!F:F,MATCH(B557,'MTA 28-09'!A:A,0))</f>
        <v>PROCESSADO</v>
      </c>
      <c r="F557" s="155" t="str">
        <f t="array" ref="F557">INDEX('MTA 28-09'!I:I,MATCH(B557,'MTA 28-09'!A:A,0))</f>
        <v/>
      </c>
      <c r="G557" s="36" t="str">
        <f t="array" ref="G557">INDEX('MTA 28-09'!J:J,MATCH(B557,'MTA 28-09'!A:A,0))</f>
        <v/>
      </c>
      <c r="H557" s="287">
        <v>46276.0</v>
      </c>
      <c r="I557" s="38" t="s">
        <v>1616</v>
      </c>
      <c r="J557" s="39"/>
      <c r="K557" s="40"/>
      <c r="L557" s="39"/>
      <c r="M557" s="32" t="str">
        <f t="array" ref="M557">INDEX('MTA 28-09'!T:T,MATCH(B557,'MTA 28-09'!A:A,0))</f>
        <v>CTT 102/CELOG-PAMALS/2023 – EMBRAER - PSLI</v>
      </c>
      <c r="N557" s="32" t="str">
        <f t="array" ref="N557">INDEX('MTA 28-09'!U:U,MATCH(B557,'MTA 28-09'!A:A,0))</f>
        <v>Módulo Extra - Desenvolvimento da atualização do GPS da aeronave</v>
      </c>
      <c r="O557" s="59">
        <f t="array" ref="O557">INDEX('MTA 28-09'!AC:AC,MATCH(B557,'MTA 28-09'!A:A,0))</f>
        <v>1271263.31</v>
      </c>
      <c r="P557" s="32" t="str">
        <f t="array" ref="P557">INDEX('MTA 28-09'!N:N,MATCH(B557,'MTA 28-09'!A:A,0))</f>
        <v>CELOG</v>
      </c>
      <c r="Q557" s="67" t="str">
        <f t="array" ref="Q557">INDEX('MTA 28-09'!Z:Z,MATCH(B557,'MTA 28-09'!A:A,0))</f>
        <v>339039</v>
      </c>
      <c r="R557" s="32" t="str">
        <f t="array" ref="R557">INDEX('MTA 28-09'!L:L,MATCH(B557,'MTA 28-09'!A:A,0))</f>
        <v>D</v>
      </c>
      <c r="S557" s="72" t="str">
        <f t="array" ref="S557">INDEX('MTA 28-09'!X:X,MATCH(B557,'MTA 28-09'!A:A,0))</f>
        <v>SOB DEMANDA</v>
      </c>
      <c r="T557" s="72" t="str">
        <f t="array" ref="T557">INDEX('MTA 28-09'!W:W,MATCH(B557,'MTA 28-09'!A:A,0))</f>
        <v>Não</v>
      </c>
      <c r="U557" s="81">
        <f t="array" ref="U557">INDEX('MTA 28-09'!AE:AE,MATCH(B557,'MTA 28-09'!A:A,0))</f>
        <v>46321</v>
      </c>
      <c r="V557" s="12"/>
      <c r="W557" s="12"/>
      <c r="X557" s="12"/>
      <c r="Y557" s="12"/>
      <c r="Z557" s="12"/>
      <c r="AA557" s="12"/>
      <c r="AB557" s="12"/>
      <c r="AC557" s="12"/>
      <c r="AD557" s="12"/>
      <c r="AE557" s="12"/>
      <c r="AF557" s="12"/>
      <c r="AG557" s="12"/>
      <c r="AH557" s="12"/>
      <c r="AI557" s="12"/>
      <c r="AJ557" s="12"/>
      <c r="AK557" s="12"/>
      <c r="AL557" s="12"/>
      <c r="AM557" s="12"/>
    </row>
    <row r="558">
      <c r="A558" s="88" t="s">
        <v>1610</v>
      </c>
      <c r="B558" s="98">
        <v>18860.0</v>
      </c>
      <c r="C558" s="92" t="str">
        <f t="array" ref="C558">INDEX('MTA 28-09'!B:B,MATCH(B558,'MTA 28-09'!A:A,0))</f>
        <v>NÃO</v>
      </c>
      <c r="D558" s="95" t="str">
        <f t="array" ref="D558">INDEX('MTA 28-09'!D:D,MATCH(B558,'MTA 28-09'!A:A,0))</f>
        <v/>
      </c>
      <c r="E558" s="98" t="str">
        <f t="array" ref="E558">INDEX('MTA 28-09'!F:F,MATCH(B558,'MTA 28-09'!A:A,0))</f>
        <v>BLOQUEIO</v>
      </c>
      <c r="F558" s="152" t="str">
        <f t="array" ref="F558">INDEX('MTA 28-09'!I:I,MATCH(B558,'MTA 28-09'!A:A,0))</f>
        <v/>
      </c>
      <c r="G558" s="100" t="str">
        <f t="array" ref="G558">INDEX('MTA 28-09'!J:J,MATCH(B558,'MTA 28-09'!A:A,0))</f>
        <v/>
      </c>
      <c r="H558" s="159" t="s">
        <v>157</v>
      </c>
      <c r="I558" s="296"/>
      <c r="J558" s="102"/>
      <c r="K558" s="103"/>
      <c r="L558" s="102" t="str">
        <f t="array" ref="L558">INDEX('MTA 28-09'!S:S,MATCH(B558,'MTA 28-09'!A:A,0))</f>
        <v>T-25</v>
      </c>
      <c r="M558" s="98" t="str">
        <f t="array" ref="M558">INDEX('MTA 28-09'!T:T,MATCH(B558,'MTA 28-09'!A:A,0))</f>
        <v>CTT Modernização</v>
      </c>
      <c r="N558" s="98" t="str">
        <f t="array" ref="N558">INDEX('MTA 28-09'!U:U,MATCH(B558,'MTA 28-09'!A:A,0))</f>
        <v>Modernização 2/6</v>
      </c>
      <c r="O558" s="104">
        <f t="array" ref="O558">INDEX('MTA 28-09'!AC:AC,MATCH(B558,'MTA 28-09'!A:A,0))</f>
        <v>3757957</v>
      </c>
      <c r="P558" s="98" t="str">
        <f t="array" ref="P558">INDEX('MTA 28-09'!N:N,MATCH(B558,'MTA 28-09'!A:A,0))</f>
        <v>CELOG</v>
      </c>
      <c r="Q558" s="105" t="str">
        <f t="array" ref="Q558">INDEX('MTA 28-09'!Z:Z,MATCH(B558,'MTA 28-09'!A:A,0))</f>
        <v>339030</v>
      </c>
      <c r="R558" s="98" t="str">
        <f t="array" ref="R558">INDEX('MTA 28-09'!L:L,MATCH(B558,'MTA 28-09'!A:A,0))</f>
        <v>D</v>
      </c>
      <c r="S558" s="107" t="str">
        <f t="array" ref="S558">INDEX('MTA 28-09'!X:X,MATCH(B558,'MTA 28-09'!A:A,0))</f>
        <v>PARCELA FIXA</v>
      </c>
      <c r="T558" s="107" t="str">
        <f t="array" ref="T558">INDEX('MTA 28-09'!W:W,MATCH(B558,'MTA 28-09'!A:A,0))</f>
        <v>Não</v>
      </c>
      <c r="U558" s="109">
        <f t="array" ref="U558">INDEX('MTA 28-09'!AE:AE,MATCH(B558,'MTA 28-09'!A:A,0))</f>
        <v>46321</v>
      </c>
      <c r="V558" s="29"/>
      <c r="W558" s="29"/>
      <c r="X558" s="29"/>
      <c r="Y558" s="29"/>
      <c r="Z558" s="29"/>
      <c r="AA558" s="29"/>
      <c r="AB558" s="29"/>
      <c r="AC558" s="29"/>
      <c r="AD558" s="29"/>
      <c r="AE558" s="29"/>
      <c r="AF558" s="29"/>
      <c r="AG558" s="29"/>
      <c r="AH558" s="29"/>
      <c r="AI558" s="29"/>
      <c r="AJ558" s="29"/>
      <c r="AK558" s="29"/>
      <c r="AL558" s="29"/>
      <c r="AM558" s="29"/>
    </row>
    <row r="559">
      <c r="A559" s="31" t="s">
        <v>1610</v>
      </c>
      <c r="B559" s="32">
        <v>18880.0</v>
      </c>
      <c r="C559" s="33" t="str">
        <f t="array" ref="C559">INDEX('MTA 28-09'!B:B,MATCH(B559,'MTA 28-09'!A:A,0))</f>
        <v>NÃO</v>
      </c>
      <c r="D559" s="34" t="str">
        <f t="array" ref="D559">INDEX('MTA 28-09'!D:D,MATCH(B559,'MTA 28-09'!A:A,0))</f>
        <v>20IH</v>
      </c>
      <c r="E559" s="32" t="str">
        <f t="array" ref="E559">INDEX('MTA 28-09'!F:F,MATCH(B559,'MTA 28-09'!A:A,0))</f>
        <v/>
      </c>
      <c r="F559" s="137" t="str">
        <f t="array" ref="F559">INDEX('MTA 28-09'!I:I,MATCH(B559,'MTA 28-09'!A:A,0))</f>
        <v/>
      </c>
      <c r="G559" s="36" t="str">
        <f t="array" ref="G559">INDEX('MTA 28-09'!J:J,MATCH(B559,'MTA 28-09'!A:A,0))</f>
        <v/>
      </c>
      <c r="H559" s="287" t="s">
        <v>157</v>
      </c>
      <c r="I559" s="38"/>
      <c r="J559" s="39"/>
      <c r="K559" s="40"/>
      <c r="L559" s="39" t="str">
        <f t="array" ref="L559">INDEX('MTA 28-09'!S:S,MATCH(B559,'MTA 28-09'!A:A,0))</f>
        <v>T-25</v>
      </c>
      <c r="M559" s="32" t="str">
        <f t="array" ref="M559">INDEX('MTA 28-09'!T:T,MATCH(B559,'MTA 28-09'!A:A,0))</f>
        <v>CTT Modernização</v>
      </c>
      <c r="N559" s="32" t="str">
        <f t="array" ref="N559">INDEX('MTA 28-09'!U:U,MATCH(B559,'MTA 28-09'!A:A,0))</f>
        <v>Modernização 5/6</v>
      </c>
      <c r="O559" s="59">
        <f t="array" ref="O559">INDEX('MTA 28-09'!AC:AC,MATCH(B559,'MTA 28-09'!A:A,0))</f>
        <v>3400000</v>
      </c>
      <c r="P559" s="32" t="str">
        <f t="array" ref="P559">INDEX('MTA 28-09'!N:N,MATCH(B559,'MTA 28-09'!A:A,0))</f>
        <v>CELOG</v>
      </c>
      <c r="Q559" s="67" t="str">
        <f t="array" ref="Q559">INDEX('MTA 28-09'!Z:Z,MATCH(B559,'MTA 28-09'!A:A,0))</f>
        <v>339030</v>
      </c>
      <c r="R559" s="32" t="str">
        <f t="array" ref="R559">INDEX('MTA 28-09'!L:L,MATCH(B559,'MTA 28-09'!A:A,0))</f>
        <v>D</v>
      </c>
      <c r="S559" s="72" t="str">
        <f t="array" ref="S559">INDEX('MTA 28-09'!X:X,MATCH(B559,'MTA 28-09'!A:A,0))</f>
        <v>PARCELA FIXA</v>
      </c>
      <c r="T559" s="72" t="str">
        <f t="array" ref="T559">INDEX('MTA 28-09'!W:W,MATCH(B559,'MTA 28-09'!A:A,0))</f>
        <v>Não</v>
      </c>
      <c r="U559" s="81">
        <f t="array" ref="U559">INDEX('MTA 28-09'!AE:AE,MATCH(B559,'MTA 28-09'!A:A,0))</f>
        <v>46352</v>
      </c>
      <c r="V559" s="12"/>
      <c r="W559" s="12"/>
      <c r="X559" s="12"/>
      <c r="Y559" s="12"/>
      <c r="Z559" s="12"/>
      <c r="AA559" s="12"/>
      <c r="AB559" s="12"/>
      <c r="AC559" s="12"/>
      <c r="AD559" s="12"/>
      <c r="AE559" s="12"/>
      <c r="AF559" s="12"/>
      <c r="AG559" s="12"/>
      <c r="AH559" s="12"/>
      <c r="AI559" s="12"/>
      <c r="AJ559" s="12"/>
      <c r="AK559" s="12"/>
      <c r="AL559" s="12"/>
      <c r="AM559" s="12"/>
    </row>
    <row r="560">
      <c r="A560" s="88" t="s">
        <v>1610</v>
      </c>
      <c r="B560" s="90">
        <v>18881.0</v>
      </c>
      <c r="C560" s="92" t="str">
        <f t="array" ref="C560">INDEX('MTA 28-09'!B:B,MATCH(B560,'MTA 28-09'!A:A,0))</f>
        <v>NÃO</v>
      </c>
      <c r="D560" s="95" t="str">
        <f t="array" ref="D560">INDEX('MTA 28-09'!D:D,MATCH(B560,'MTA 28-09'!A:A,0))</f>
        <v>20IH</v>
      </c>
      <c r="E560" s="98" t="str">
        <f t="array" ref="E560">INDEX('MTA 28-09'!F:F,MATCH(B560,'MTA 28-09'!A:A,0))</f>
        <v/>
      </c>
      <c r="F560" s="144" t="str">
        <f t="array" ref="F560">INDEX('MTA 28-09'!I:I,MATCH(B560,'MTA 28-09'!A:A,0))</f>
        <v/>
      </c>
      <c r="G560" s="100" t="str">
        <f t="array" ref="G560">INDEX('MTA 28-09'!J:J,MATCH(B560,'MTA 28-09'!A:A,0))</f>
        <v/>
      </c>
      <c r="H560" s="101" t="s">
        <v>1451</v>
      </c>
      <c r="I560" s="90" t="s">
        <v>1617</v>
      </c>
      <c r="J560" s="102"/>
      <c r="K560" s="103"/>
      <c r="L560" s="102" t="str">
        <f t="array" ref="L560">INDEX('MTA 28-09'!S:S,MATCH(B560,'MTA 28-09'!A:A,0))</f>
        <v>T-25</v>
      </c>
      <c r="M560" s="98" t="str">
        <f t="array" ref="M560">INDEX('MTA 28-09'!T:T,MATCH(B560,'MTA 28-09'!A:A,0))</f>
        <v>CTT Modernização</v>
      </c>
      <c r="N560" s="98" t="str">
        <f t="array" ref="N560">INDEX('MTA 28-09'!U:U,MATCH(B560,'MTA 28-09'!A:A,0))</f>
        <v>Modernização 5/6</v>
      </c>
      <c r="O560" s="104">
        <f t="array" ref="O560">INDEX('MTA 28-09'!AC:AC,MATCH(B560,'MTA 28-09'!A:A,0))</f>
        <v>2600000</v>
      </c>
      <c r="P560" s="98" t="str">
        <f t="array" ref="P560">INDEX('MTA 28-09'!N:N,MATCH(B560,'MTA 28-09'!A:A,0))</f>
        <v>CELOG</v>
      </c>
      <c r="Q560" s="105" t="str">
        <f t="array" ref="Q560">INDEX('MTA 28-09'!Z:Z,MATCH(B560,'MTA 28-09'!A:A,0))</f>
        <v>339030</v>
      </c>
      <c r="R560" s="98" t="str">
        <f t="array" ref="R560">INDEX('MTA 28-09'!L:L,MATCH(B560,'MTA 28-09'!A:A,0))</f>
        <v>D</v>
      </c>
      <c r="S560" s="107" t="str">
        <f t="array" ref="S560">INDEX('MTA 28-09'!X:X,MATCH(B560,'MTA 28-09'!A:A,0))</f>
        <v>PARCELA FIXA</v>
      </c>
      <c r="T560" s="107" t="str">
        <f t="array" ref="T560">INDEX('MTA 28-09'!W:W,MATCH(B560,'MTA 28-09'!A:A,0))</f>
        <v>Não</v>
      </c>
      <c r="U560" s="109">
        <f t="array" ref="U560">INDEX('MTA 28-09'!AE:AE,MATCH(B560,'MTA 28-09'!A:A,0))</f>
        <v>46382</v>
      </c>
      <c r="V560" s="29"/>
      <c r="W560" s="29"/>
      <c r="X560" s="29"/>
      <c r="Y560" s="29"/>
      <c r="Z560" s="29"/>
      <c r="AA560" s="29"/>
      <c r="AB560" s="29"/>
      <c r="AC560" s="29"/>
      <c r="AD560" s="29"/>
      <c r="AE560" s="29"/>
      <c r="AF560" s="29"/>
      <c r="AG560" s="29"/>
      <c r="AH560" s="29"/>
      <c r="AI560" s="29"/>
      <c r="AJ560" s="29"/>
      <c r="AK560" s="29"/>
      <c r="AL560" s="29"/>
      <c r="AM560" s="29"/>
    </row>
    <row r="561">
      <c r="A561" s="31" t="s">
        <v>39</v>
      </c>
      <c r="B561" s="32">
        <v>18900.0</v>
      </c>
      <c r="C561" s="33" t="str">
        <f t="array" ref="C561">INDEX('MTA 28-09'!B:B,MATCH(B561,'MTA 28-09'!A:A,0))</f>
        <v>SIM</v>
      </c>
      <c r="D561" s="34" t="str">
        <f t="array" ref="D561">INDEX('MTA 28-09'!D:D,MATCH(B561,'MTA 28-09'!A:A,0))</f>
        <v/>
      </c>
      <c r="E561" s="32" t="str">
        <f t="array" ref="E561">INDEX('MTA 28-09'!F:F,MATCH(B561,'MTA 28-09'!A:A,0))</f>
        <v/>
      </c>
      <c r="F561" s="137" t="str">
        <f t="array" ref="F561">INDEX('MTA 28-09'!I:I,MATCH(B561,'MTA 28-09'!A:A,0))</f>
        <v/>
      </c>
      <c r="G561" s="36" t="str">
        <f t="array" ref="G561">INDEX('MTA 28-09'!J:J,MATCH(B561,'MTA 28-09'!A:A,0))</f>
        <v/>
      </c>
      <c r="H561" s="37" t="s">
        <v>1607</v>
      </c>
      <c r="I561" s="32" t="s">
        <v>1608</v>
      </c>
      <c r="J561" s="39"/>
      <c r="K561" s="40"/>
      <c r="L561" s="39" t="str">
        <f t="array" ref="L561">INDEX('MTA 28-09'!S:S,MATCH(B561,'MTA 28-09'!A:A,0))</f>
        <v>A-29</v>
      </c>
      <c r="M561" s="32" t="str">
        <f t="array" ref="M561">INDEX('MTA 28-09'!T:T,MATCH(B561,'MTA 28-09'!A:A,0))</f>
        <v>CTT 102/CELOG-PAMALS/2023 – EMBRAER - PSLI</v>
      </c>
      <c r="N561" s="32" t="str">
        <f t="array" ref="N561">INDEX('MTA 28-09'!U:U,MATCH(B561,'MTA 28-09'!A:A,0))</f>
        <v>Módulo Extra - Atualização do GPS da aeronave 07/30</v>
      </c>
      <c r="O561" s="59">
        <f t="array" ref="O561">INDEX('MTA 28-09'!AC:AC,MATCH(B561,'MTA 28-09'!A:A,0))</f>
        <v>100000</v>
      </c>
      <c r="P561" s="32" t="str">
        <f t="array" ref="P561">INDEX('MTA 28-09'!N:N,MATCH(B561,'MTA 28-09'!A:A,0))</f>
        <v>CELOG</v>
      </c>
      <c r="Q561" s="67" t="str">
        <f t="array" ref="Q561">INDEX('MTA 28-09'!Z:Z,MATCH(B561,'MTA 28-09'!A:A,0))</f>
        <v>339030</v>
      </c>
      <c r="R561" s="32" t="str">
        <f t="array" ref="R561">INDEX('MTA 28-09'!L:L,MATCH(B561,'MTA 28-09'!A:A,0))</f>
        <v>D</v>
      </c>
      <c r="S561" s="72" t="str">
        <f t="array" ref="S561">INDEX('MTA 28-09'!X:X,MATCH(B561,'MTA 28-09'!A:A,0))</f>
        <v>SOB DEMANDA</v>
      </c>
      <c r="T561" s="72" t="str">
        <f t="array" ref="T561">INDEX('MTA 28-09'!W:W,MATCH(B561,'MTA 28-09'!A:A,0))</f>
        <v>Não</v>
      </c>
      <c r="U561" s="81">
        <f t="array" ref="U561">INDEX('MTA 28-09'!AE:AE,MATCH(B561,'MTA 28-09'!A:A,0))</f>
        <v>46383</v>
      </c>
      <c r="V561" s="12"/>
      <c r="W561" s="12"/>
      <c r="X561" s="12"/>
      <c r="Y561" s="12"/>
      <c r="Z561" s="12"/>
      <c r="AA561" s="12"/>
      <c r="AB561" s="12"/>
      <c r="AC561" s="12"/>
      <c r="AD561" s="12"/>
      <c r="AE561" s="12"/>
      <c r="AF561" s="12"/>
      <c r="AG561" s="12"/>
      <c r="AH561" s="12"/>
      <c r="AI561" s="12"/>
      <c r="AJ561" s="12"/>
      <c r="AK561" s="12"/>
      <c r="AL561" s="12"/>
      <c r="AM561" s="12"/>
    </row>
    <row r="562">
      <c r="A562" s="88" t="s">
        <v>39</v>
      </c>
      <c r="B562" s="98">
        <v>18920.0</v>
      </c>
      <c r="C562" s="92" t="str">
        <f t="array" ref="C562">INDEX('MTA 28-09'!B:B,MATCH(B562,'MTA 28-09'!A:A,0))</f>
        <v>SIM</v>
      </c>
      <c r="D562" s="95" t="str">
        <f t="array" ref="D562">INDEX('MTA 28-09'!D:D,MATCH(B562,'MTA 28-09'!A:A,0))</f>
        <v/>
      </c>
      <c r="E562" s="98" t="str">
        <f t="array" ref="E562">INDEX('MTA 28-09'!F:F,MATCH(B562,'MTA 28-09'!A:A,0))</f>
        <v/>
      </c>
      <c r="F562" s="144" t="str">
        <f t="array" ref="F562">INDEX('MTA 28-09'!I:I,MATCH(B562,'MTA 28-09'!A:A,0))</f>
        <v/>
      </c>
      <c r="G562" s="100" t="str">
        <f t="array" ref="G562">INDEX('MTA 28-09'!J:J,MATCH(B562,'MTA 28-09'!A:A,0))</f>
        <v/>
      </c>
      <c r="H562" s="101" t="s">
        <v>1607</v>
      </c>
      <c r="I562" s="98" t="s">
        <v>1608</v>
      </c>
      <c r="J562" s="102"/>
      <c r="K562" s="103"/>
      <c r="L562" s="102" t="str">
        <f t="array" ref="L562">INDEX('MTA 28-09'!S:S,MATCH(B562,'MTA 28-09'!A:A,0))</f>
        <v>A-29</v>
      </c>
      <c r="M562" s="98" t="str">
        <f t="array" ref="M562">INDEX('MTA 28-09'!T:T,MATCH(B562,'MTA 28-09'!A:A,0))</f>
        <v>CTT 102/CELOG-PAMALS/2023 – EMBRAER - PSLI</v>
      </c>
      <c r="N562" s="98" t="str">
        <f t="array" ref="N562">INDEX('MTA 28-09'!U:U,MATCH(B562,'MTA 28-09'!A:A,0))</f>
        <v>Módulo Extra - Atualização do GPS da aeronave 08/30</v>
      </c>
      <c r="O562" s="104">
        <f t="array" ref="O562">INDEX('MTA 28-09'!AC:AC,MATCH(B562,'MTA 28-09'!A:A,0))</f>
        <v>100000</v>
      </c>
      <c r="P562" s="98" t="str">
        <f t="array" ref="P562">INDEX('MTA 28-09'!N:N,MATCH(B562,'MTA 28-09'!A:A,0))</f>
        <v>CELOG</v>
      </c>
      <c r="Q562" s="105" t="str">
        <f t="array" ref="Q562">INDEX('MTA 28-09'!Z:Z,MATCH(B562,'MTA 28-09'!A:A,0))</f>
        <v>339030</v>
      </c>
      <c r="R562" s="98" t="str">
        <f t="array" ref="R562">INDEX('MTA 28-09'!L:L,MATCH(B562,'MTA 28-09'!A:A,0))</f>
        <v>D</v>
      </c>
      <c r="S562" s="107" t="str">
        <f t="array" ref="S562">INDEX('MTA 28-09'!X:X,MATCH(B562,'MTA 28-09'!A:A,0))</f>
        <v>SOB DEMANDA</v>
      </c>
      <c r="T562" s="107" t="str">
        <f t="array" ref="T562">INDEX('MTA 28-09'!W:W,MATCH(B562,'MTA 28-09'!A:A,0))</f>
        <v>Não</v>
      </c>
      <c r="U562" s="109">
        <f t="array" ref="U562">INDEX('MTA 28-09'!AE:AE,MATCH(B562,'MTA 28-09'!A:A,0))</f>
        <v>46383</v>
      </c>
      <c r="V562" s="29"/>
      <c r="W562" s="29"/>
      <c r="X562" s="29"/>
      <c r="Y562" s="29"/>
      <c r="Z562" s="29"/>
      <c r="AA562" s="29"/>
      <c r="AB562" s="29"/>
      <c r="AC562" s="29"/>
      <c r="AD562" s="29"/>
      <c r="AE562" s="29"/>
      <c r="AF562" s="29"/>
      <c r="AG562" s="29"/>
      <c r="AH562" s="29"/>
      <c r="AI562" s="29"/>
      <c r="AJ562" s="29"/>
      <c r="AK562" s="29"/>
      <c r="AL562" s="29"/>
      <c r="AM562" s="29"/>
    </row>
    <row r="563">
      <c r="A563" s="31" t="s">
        <v>39</v>
      </c>
      <c r="B563" s="32">
        <v>18940.0</v>
      </c>
      <c r="C563" s="33" t="str">
        <f t="array" ref="C563">INDEX('MTA 28-09'!B:B,MATCH(B563,'MTA 28-09'!A:A,0))</f>
        <v>SIM</v>
      </c>
      <c r="D563" s="34" t="str">
        <f t="array" ref="D563">INDEX('MTA 28-09'!D:D,MATCH(B563,'MTA 28-09'!A:A,0))</f>
        <v/>
      </c>
      <c r="E563" s="32" t="str">
        <f t="array" ref="E563">INDEX('MTA 28-09'!F:F,MATCH(B563,'MTA 28-09'!A:A,0))</f>
        <v/>
      </c>
      <c r="F563" s="35" t="str">
        <f t="array" ref="F563">INDEX('MTA 28-09'!I:I,MATCH(B563,'MTA 28-09'!A:A,0))</f>
        <v/>
      </c>
      <c r="G563" s="36" t="str">
        <f t="array" ref="G563">INDEX('MTA 28-09'!J:J,MATCH(B563,'MTA 28-09'!A:A,0))</f>
        <v/>
      </c>
      <c r="H563" s="37" t="s">
        <v>1607</v>
      </c>
      <c r="I563" s="32" t="s">
        <v>1608</v>
      </c>
      <c r="J563" s="39"/>
      <c r="K563" s="40"/>
      <c r="L563" s="39" t="str">
        <f t="array" ref="L563">INDEX('MTA 28-09'!S:S,MATCH(B563,'MTA 28-09'!A:A,0))</f>
        <v>A-29</v>
      </c>
      <c r="M563" s="32" t="str">
        <f t="array" ref="M563">INDEX('MTA 28-09'!T:T,MATCH(B563,'MTA 28-09'!A:A,0))</f>
        <v>CTT 102/CELOG-PAMALS/2023 – EMBRAER - PSLI</v>
      </c>
      <c r="N563" s="32" t="str">
        <f t="array" ref="N563">INDEX('MTA 28-09'!U:U,MATCH(B563,'MTA 28-09'!A:A,0))</f>
        <v>Módulo Extra - Atualização do GPS da aeronave 09/30</v>
      </c>
      <c r="O563" s="59">
        <f t="array" ref="O563">INDEX('MTA 28-09'!AC:AC,MATCH(B563,'MTA 28-09'!A:A,0))</f>
        <v>100000</v>
      </c>
      <c r="P563" s="32" t="str">
        <f t="array" ref="P563">INDEX('MTA 28-09'!N:N,MATCH(B563,'MTA 28-09'!A:A,0))</f>
        <v>CELOG</v>
      </c>
      <c r="Q563" s="67" t="str">
        <f t="array" ref="Q563">INDEX('MTA 28-09'!Z:Z,MATCH(B563,'MTA 28-09'!A:A,0))</f>
        <v>339030</v>
      </c>
      <c r="R563" s="32" t="str">
        <f t="array" ref="R563">INDEX('MTA 28-09'!L:L,MATCH(B563,'MTA 28-09'!A:A,0))</f>
        <v>D</v>
      </c>
      <c r="S563" s="72" t="str">
        <f t="array" ref="S563">INDEX('MTA 28-09'!X:X,MATCH(B563,'MTA 28-09'!A:A,0))</f>
        <v>SOB DEMANDA</v>
      </c>
      <c r="T563" s="72" t="str">
        <f t="array" ref="T563">INDEX('MTA 28-09'!W:W,MATCH(B563,'MTA 28-09'!A:A,0))</f>
        <v>Não</v>
      </c>
      <c r="U563" s="81">
        <f t="array" ref="U563">INDEX('MTA 28-09'!AE:AE,MATCH(B563,'MTA 28-09'!A:A,0))</f>
        <v>46383</v>
      </c>
      <c r="V563" s="12"/>
      <c r="W563" s="12"/>
      <c r="X563" s="12"/>
      <c r="Y563" s="12"/>
      <c r="Z563" s="12"/>
      <c r="AA563" s="12"/>
      <c r="AB563" s="12"/>
      <c r="AC563" s="12"/>
      <c r="AD563" s="12"/>
      <c r="AE563" s="12"/>
      <c r="AF563" s="12"/>
      <c r="AG563" s="12"/>
      <c r="AH563" s="12"/>
      <c r="AI563" s="12"/>
      <c r="AJ563" s="12"/>
      <c r="AK563" s="12"/>
      <c r="AL563" s="12"/>
      <c r="AM563" s="12"/>
    </row>
    <row r="564">
      <c r="A564" s="88" t="s">
        <v>39</v>
      </c>
      <c r="B564" s="98">
        <v>18960.0</v>
      </c>
      <c r="C564" s="92" t="str">
        <f t="array" ref="C564">INDEX('MTA 28-09'!B:B,MATCH(B564,'MTA 28-09'!A:A,0))</f>
        <v>SIM</v>
      </c>
      <c r="D564" s="95" t="str">
        <f t="array" ref="D564">INDEX('MTA 28-09'!D:D,MATCH(B564,'MTA 28-09'!A:A,0))</f>
        <v/>
      </c>
      <c r="E564" s="98" t="str">
        <f t="array" ref="E564">INDEX('MTA 28-09'!F:F,MATCH(B564,'MTA 28-09'!A:A,0))</f>
        <v/>
      </c>
      <c r="F564" s="99" t="str">
        <f t="array" ref="F564">INDEX('MTA 28-09'!I:I,MATCH(B564,'MTA 28-09'!A:A,0))</f>
        <v/>
      </c>
      <c r="G564" s="100" t="str">
        <f t="array" ref="G564">INDEX('MTA 28-09'!J:J,MATCH(B564,'MTA 28-09'!A:A,0))</f>
        <v/>
      </c>
      <c r="H564" s="101" t="s">
        <v>1607</v>
      </c>
      <c r="I564" s="98" t="s">
        <v>1608</v>
      </c>
      <c r="J564" s="102"/>
      <c r="K564" s="103"/>
      <c r="L564" s="102" t="str">
        <f t="array" ref="L564">INDEX('MTA 28-09'!S:S,MATCH(B564,'MTA 28-09'!A:A,0))</f>
        <v>A-29</v>
      </c>
      <c r="M564" s="98" t="str">
        <f t="array" ref="M564">INDEX('MTA 28-09'!T:T,MATCH(B564,'MTA 28-09'!A:A,0))</f>
        <v>CTT 102/CELOG-PAMALS/2023 – EMBRAER - PSLI</v>
      </c>
      <c r="N564" s="98" t="str">
        <f t="array" ref="N564">INDEX('MTA 28-09'!U:U,MATCH(B564,'MTA 28-09'!A:A,0))</f>
        <v>Módulo Extra - Atualização do GPS da aeronave 10/30</v>
      </c>
      <c r="O564" s="104">
        <f t="array" ref="O564">INDEX('MTA 28-09'!AC:AC,MATCH(B564,'MTA 28-09'!A:A,0))</f>
        <v>100000</v>
      </c>
      <c r="P564" s="98" t="str">
        <f t="array" ref="P564">INDEX('MTA 28-09'!N:N,MATCH(B564,'MTA 28-09'!A:A,0))</f>
        <v>CELOG</v>
      </c>
      <c r="Q564" s="105" t="str">
        <f t="array" ref="Q564">INDEX('MTA 28-09'!Z:Z,MATCH(B564,'MTA 28-09'!A:A,0))</f>
        <v>339030</v>
      </c>
      <c r="R564" s="98" t="str">
        <f t="array" ref="R564">INDEX('MTA 28-09'!L:L,MATCH(B564,'MTA 28-09'!A:A,0))</f>
        <v>D</v>
      </c>
      <c r="S564" s="107" t="str">
        <f t="array" ref="S564">INDEX('MTA 28-09'!X:X,MATCH(B564,'MTA 28-09'!A:A,0))</f>
        <v>SOB DEMANDA</v>
      </c>
      <c r="T564" s="107" t="str">
        <f t="array" ref="T564">INDEX('MTA 28-09'!W:W,MATCH(B564,'MTA 28-09'!A:A,0))</f>
        <v>Não</v>
      </c>
      <c r="U564" s="109">
        <f t="array" ref="U564">INDEX('MTA 28-09'!AE:AE,MATCH(B564,'MTA 28-09'!A:A,0))</f>
        <v>46383</v>
      </c>
      <c r="V564" s="29"/>
      <c r="W564" s="29"/>
      <c r="X564" s="29"/>
      <c r="Y564" s="29"/>
      <c r="Z564" s="29"/>
      <c r="AA564" s="29"/>
      <c r="AB564" s="29"/>
      <c r="AC564" s="29"/>
      <c r="AD564" s="29"/>
      <c r="AE564" s="29"/>
      <c r="AF564" s="29"/>
      <c r="AG564" s="29"/>
      <c r="AH564" s="29"/>
      <c r="AI564" s="29"/>
      <c r="AJ564" s="29"/>
      <c r="AK564" s="29"/>
      <c r="AL564" s="29"/>
      <c r="AM564" s="29"/>
    </row>
    <row r="565">
      <c r="A565" s="31" t="s">
        <v>39</v>
      </c>
      <c r="B565" s="32">
        <v>18980.0</v>
      </c>
      <c r="C565" s="33" t="str">
        <f t="array" ref="C565">INDEX('MTA 28-09'!B:B,MATCH(B565,'MTA 28-09'!A:A,0))</f>
        <v>SIM</v>
      </c>
      <c r="D565" s="34" t="str">
        <f t="array" ref="D565">INDEX('MTA 28-09'!D:D,MATCH(B565,'MTA 28-09'!A:A,0))</f>
        <v/>
      </c>
      <c r="E565" s="32" t="str">
        <f t="array" ref="E565">INDEX('MTA 28-09'!F:F,MATCH(B565,'MTA 28-09'!A:A,0))</f>
        <v/>
      </c>
      <c r="F565" s="35" t="str">
        <f t="array" ref="F565">INDEX('MTA 28-09'!I:I,MATCH(B565,'MTA 28-09'!A:A,0))</f>
        <v/>
      </c>
      <c r="G565" s="36" t="str">
        <f t="array" ref="G565">INDEX('MTA 28-09'!J:J,MATCH(B565,'MTA 28-09'!A:A,0))</f>
        <v/>
      </c>
      <c r="H565" s="37" t="s">
        <v>1607</v>
      </c>
      <c r="I565" s="32" t="s">
        <v>1608</v>
      </c>
      <c r="J565" s="39"/>
      <c r="K565" s="40"/>
      <c r="L565" s="39" t="str">
        <f t="array" ref="L565">INDEX('MTA 28-09'!S:S,MATCH(B565,'MTA 28-09'!A:A,0))</f>
        <v>A-29</v>
      </c>
      <c r="M565" s="32" t="str">
        <f t="array" ref="M565">INDEX('MTA 28-09'!T:T,MATCH(B565,'MTA 28-09'!A:A,0))</f>
        <v>CTT 102/CELOG-PAMALS/2023 – EMBRAER - PSLI</v>
      </c>
      <c r="N565" s="32" t="str">
        <f t="array" ref="N565">INDEX('MTA 28-09'!U:U,MATCH(B565,'MTA 28-09'!A:A,0))</f>
        <v>Módulo Extra - Atualização do GPS da aeronave 11/30</v>
      </c>
      <c r="O565" s="59">
        <f t="array" ref="O565">INDEX('MTA 28-09'!AC:AC,MATCH(B565,'MTA 28-09'!A:A,0))</f>
        <v>100000</v>
      </c>
      <c r="P565" s="32" t="str">
        <f t="array" ref="P565">INDEX('MTA 28-09'!N:N,MATCH(B565,'MTA 28-09'!A:A,0))</f>
        <v>CELOG</v>
      </c>
      <c r="Q565" s="67" t="str">
        <f t="array" ref="Q565">INDEX('MTA 28-09'!Z:Z,MATCH(B565,'MTA 28-09'!A:A,0))</f>
        <v>339030</v>
      </c>
      <c r="R565" s="32" t="str">
        <f t="array" ref="R565">INDEX('MTA 28-09'!L:L,MATCH(B565,'MTA 28-09'!A:A,0))</f>
        <v>D</v>
      </c>
      <c r="S565" s="72" t="str">
        <f t="array" ref="S565">INDEX('MTA 28-09'!X:X,MATCH(B565,'MTA 28-09'!A:A,0))</f>
        <v>SOB DEMANDA</v>
      </c>
      <c r="T565" s="72" t="str">
        <f t="array" ref="T565">INDEX('MTA 28-09'!W:W,MATCH(B565,'MTA 28-09'!A:A,0))</f>
        <v>Não</v>
      </c>
      <c r="U565" s="81">
        <f t="array" ref="U565">INDEX('MTA 28-09'!AE:AE,MATCH(B565,'MTA 28-09'!A:A,0))</f>
        <v>46383</v>
      </c>
      <c r="V565" s="12"/>
      <c r="W565" s="12"/>
      <c r="X565" s="12"/>
      <c r="Y565" s="12"/>
      <c r="Z565" s="12"/>
      <c r="AA565" s="12"/>
      <c r="AB565" s="12"/>
      <c r="AC565" s="12"/>
      <c r="AD565" s="12"/>
      <c r="AE565" s="12"/>
      <c r="AF565" s="12"/>
      <c r="AG565" s="12"/>
      <c r="AH565" s="12"/>
      <c r="AI565" s="12"/>
      <c r="AJ565" s="12"/>
      <c r="AK565" s="12"/>
      <c r="AL565" s="12"/>
      <c r="AM565" s="12"/>
    </row>
    <row r="566">
      <c r="A566" s="88" t="s">
        <v>39</v>
      </c>
      <c r="B566" s="98">
        <v>19000.0</v>
      </c>
      <c r="C566" s="92" t="str">
        <f t="array" ref="C566">INDEX('MTA 28-09'!B:B,MATCH(B566,'MTA 28-09'!A:A,0))</f>
        <v>SIM</v>
      </c>
      <c r="D566" s="95" t="str">
        <f t="array" ref="D566">INDEX('MTA 28-09'!D:D,MATCH(B566,'MTA 28-09'!A:A,0))</f>
        <v/>
      </c>
      <c r="E566" s="98" t="str">
        <f t="array" ref="E566">INDEX('MTA 28-09'!F:F,MATCH(B566,'MTA 28-09'!A:A,0))</f>
        <v/>
      </c>
      <c r="F566" s="144" t="str">
        <f t="array" ref="F566">INDEX('MTA 28-09'!I:I,MATCH(B566,'MTA 28-09'!A:A,0))</f>
        <v/>
      </c>
      <c r="G566" s="100" t="str">
        <f t="array" ref="G566">INDEX('MTA 28-09'!J:J,MATCH(B566,'MTA 28-09'!A:A,0))</f>
        <v/>
      </c>
      <c r="H566" s="101" t="s">
        <v>1607</v>
      </c>
      <c r="I566" s="98" t="s">
        <v>1608</v>
      </c>
      <c r="J566" s="102"/>
      <c r="K566" s="103"/>
      <c r="L566" s="102" t="str">
        <f t="array" ref="L566">INDEX('MTA 28-09'!S:S,MATCH(B566,'MTA 28-09'!A:A,0))</f>
        <v>A-29</v>
      </c>
      <c r="M566" s="98" t="str">
        <f t="array" ref="M566">INDEX('MTA 28-09'!T:T,MATCH(B566,'MTA 28-09'!A:A,0))</f>
        <v>CTT 102/CELOG-PAMALS/2023 – EMBRAER - PSLI</v>
      </c>
      <c r="N566" s="98" t="str">
        <f t="array" ref="N566">INDEX('MTA 28-09'!U:U,MATCH(B566,'MTA 28-09'!A:A,0))</f>
        <v>Módulo Extra - Atualização do GPS da aeronave 12/30</v>
      </c>
      <c r="O566" s="104">
        <f t="array" ref="O566">INDEX('MTA 28-09'!AC:AC,MATCH(B566,'MTA 28-09'!A:A,0))</f>
        <v>100000</v>
      </c>
      <c r="P566" s="98" t="str">
        <f t="array" ref="P566">INDEX('MTA 28-09'!N:N,MATCH(B566,'MTA 28-09'!A:A,0))</f>
        <v>CELOG</v>
      </c>
      <c r="Q566" s="105" t="str">
        <f t="array" ref="Q566">INDEX('MTA 28-09'!Z:Z,MATCH(B566,'MTA 28-09'!A:A,0))</f>
        <v>339030</v>
      </c>
      <c r="R566" s="98" t="str">
        <f t="array" ref="R566">INDEX('MTA 28-09'!L:L,MATCH(B566,'MTA 28-09'!A:A,0))</f>
        <v>D</v>
      </c>
      <c r="S566" s="107" t="str">
        <f t="array" ref="S566">INDEX('MTA 28-09'!X:X,MATCH(B566,'MTA 28-09'!A:A,0))</f>
        <v>SOB DEMANDA</v>
      </c>
      <c r="T566" s="107" t="str">
        <f t="array" ref="T566">INDEX('MTA 28-09'!W:W,MATCH(B566,'MTA 28-09'!A:A,0))</f>
        <v>Não</v>
      </c>
      <c r="U566" s="109">
        <f t="array" ref="U566">INDEX('MTA 28-09'!AE:AE,MATCH(B566,'MTA 28-09'!A:A,0))</f>
        <v>46383</v>
      </c>
      <c r="V566" s="29"/>
      <c r="W566" s="29"/>
      <c r="X566" s="29"/>
      <c r="Y566" s="29"/>
      <c r="Z566" s="29"/>
      <c r="AA566" s="29"/>
      <c r="AB566" s="29"/>
      <c r="AC566" s="29"/>
      <c r="AD566" s="29"/>
      <c r="AE566" s="29"/>
      <c r="AF566" s="29"/>
      <c r="AG566" s="29"/>
      <c r="AH566" s="29"/>
      <c r="AI566" s="29"/>
      <c r="AJ566" s="29"/>
      <c r="AK566" s="29"/>
      <c r="AL566" s="29"/>
      <c r="AM566" s="29"/>
    </row>
    <row r="567">
      <c r="A567" s="31" t="s">
        <v>1610</v>
      </c>
      <c r="B567" s="32">
        <v>19020.0</v>
      </c>
      <c r="C567" s="33" t="str">
        <f t="array" ref="C567">INDEX('MTA 28-09'!B:B,MATCH(B567,'MTA 28-09'!A:A,0))</f>
        <v>NÃO</v>
      </c>
      <c r="D567" s="34" t="str">
        <f t="array" ref="D567">INDEX('MTA 28-09'!D:D,MATCH(B567,'MTA 28-09'!A:A,0))</f>
        <v>20IH</v>
      </c>
      <c r="E567" s="32" t="str">
        <f t="array" ref="E567">INDEX('MTA 28-09'!F:F,MATCH(B567,'MTA 28-09'!A:A,0))</f>
        <v/>
      </c>
      <c r="F567" s="35" t="str">
        <f t="array" ref="F567">INDEX('MTA 28-09'!I:I,MATCH(B567,'MTA 28-09'!A:A,0))</f>
        <v/>
      </c>
      <c r="G567" s="36" t="str">
        <f t="array" ref="G567">INDEX('MTA 28-09'!J:J,MATCH(B567,'MTA 28-09'!A:A,0))</f>
        <v/>
      </c>
      <c r="H567" s="37" t="s">
        <v>1451</v>
      </c>
      <c r="I567" s="427" t="s">
        <v>1618</v>
      </c>
      <c r="J567" s="39"/>
      <c r="K567" s="40"/>
      <c r="L567" s="39" t="str">
        <f t="array" ref="L567">INDEX('MTA 28-09'!S:S,MATCH(B567,'MTA 28-09'!A:A,0))</f>
        <v>T-25</v>
      </c>
      <c r="M567" s="32" t="str">
        <f t="array" ref="M567">INDEX('MTA 28-09'!T:T,MATCH(B567,'MTA 28-09'!A:A,0))</f>
        <v>CTT Modernização</v>
      </c>
      <c r="N567" s="32" t="str">
        <f t="array" ref="N567">INDEX('MTA 28-09'!U:U,MATCH(B567,'MTA 28-09'!A:A,0))</f>
        <v>Modernização 3/6</v>
      </c>
      <c r="O567" s="59">
        <f t="array" ref="O567">INDEX('MTA 28-09'!AC:AC,MATCH(B567,'MTA 28-09'!A:A,0))</f>
        <v>6000000</v>
      </c>
      <c r="P567" s="32" t="str">
        <f t="array" ref="P567">INDEX('MTA 28-09'!N:N,MATCH(B567,'MTA 28-09'!A:A,0))</f>
        <v>CELOG</v>
      </c>
      <c r="Q567" s="67" t="str">
        <f t="array" ref="Q567">INDEX('MTA 28-09'!Z:Z,MATCH(B567,'MTA 28-09'!A:A,0))</f>
        <v>339030</v>
      </c>
      <c r="R567" s="32" t="str">
        <f t="array" ref="R567">INDEX('MTA 28-09'!L:L,MATCH(B567,'MTA 28-09'!A:A,0))</f>
        <v>D</v>
      </c>
      <c r="S567" s="72" t="str">
        <f t="array" ref="S567">INDEX('MTA 28-09'!X:X,MATCH(B567,'MTA 28-09'!A:A,0))</f>
        <v>PARCELA FIXA</v>
      </c>
      <c r="T567" s="72" t="str">
        <f t="array" ref="T567">INDEX('MTA 28-09'!W:W,MATCH(B567,'MTA 28-09'!A:A,0))</f>
        <v>Não</v>
      </c>
      <c r="U567" s="81">
        <f t="array" ref="U567">INDEX('MTA 28-09'!AE:AE,MATCH(B567,'MTA 28-09'!A:A,0))</f>
        <v>46382</v>
      </c>
      <c r="V567" s="12"/>
      <c r="W567" s="12"/>
      <c r="X567" s="12"/>
      <c r="Y567" s="12"/>
      <c r="Z567" s="12"/>
      <c r="AA567" s="12"/>
      <c r="AB567" s="12"/>
      <c r="AC567" s="12"/>
      <c r="AD567" s="12"/>
      <c r="AE567" s="12"/>
      <c r="AF567" s="12"/>
      <c r="AG567" s="12"/>
      <c r="AH567" s="12"/>
      <c r="AI567" s="12"/>
      <c r="AJ567" s="12"/>
      <c r="AK567" s="12"/>
      <c r="AL567" s="12"/>
      <c r="AM567" s="12"/>
    </row>
    <row r="568">
      <c r="A568" s="88" t="s">
        <v>1610</v>
      </c>
      <c r="B568" s="98">
        <v>19040.0</v>
      </c>
      <c r="C568" s="92" t="str">
        <f t="array" ref="C568">INDEX('MTA 28-09'!B:B,MATCH(B568,'MTA 28-09'!A:A,0))</f>
        <v>NÃO</v>
      </c>
      <c r="D568" s="95" t="str">
        <f t="array" ref="D568">INDEX('MTA 28-09'!D:D,MATCH(B568,'MTA 28-09'!A:A,0))</f>
        <v/>
      </c>
      <c r="E568" s="98" t="str">
        <f t="array" ref="E568">INDEX('MTA 28-09'!F:F,MATCH(B568,'MTA 28-09'!A:A,0))</f>
        <v>CANCELADO</v>
      </c>
      <c r="F568" s="99" t="str">
        <f t="array" ref="F568">INDEX('MTA 28-09'!I:I,MATCH(B568,'MTA 28-09'!A:A,0))</f>
        <v/>
      </c>
      <c r="G568" s="100" t="str">
        <f t="array" ref="G568">INDEX('MTA 28-09'!J:J,MATCH(B568,'MTA 28-09'!A:A,0))</f>
        <v/>
      </c>
      <c r="H568" s="159" t="s">
        <v>157</v>
      </c>
      <c r="I568" s="296"/>
      <c r="J568" s="102"/>
      <c r="K568" s="103"/>
      <c r="L568" s="102" t="str">
        <f t="array" ref="L568">INDEX('MTA 28-09'!S:S,MATCH(B568,'MTA 28-09'!A:A,0))</f>
        <v>T-25</v>
      </c>
      <c r="M568" s="98" t="str">
        <f t="array" ref="M568">INDEX('MTA 28-09'!T:T,MATCH(B568,'MTA 28-09'!A:A,0))</f>
        <v>CTT Modernização</v>
      </c>
      <c r="N568" s="98" t="str">
        <f t="array" ref="N568">INDEX('MTA 28-09'!U:U,MATCH(B568,'MTA 28-09'!A:A,0))</f>
        <v>Modernização 6/6</v>
      </c>
      <c r="O568" s="104" t="str">
        <f t="array" ref="O568">INDEX('MTA 28-09'!AC:AC,MATCH(B568,'MTA 28-09'!A:A,0))</f>
        <v> -</v>
      </c>
      <c r="P568" s="98" t="str">
        <f t="array" ref="P568">INDEX('MTA 28-09'!N:N,MATCH(B568,'MTA 28-09'!A:A,0))</f>
        <v>CELOG</v>
      </c>
      <c r="Q568" s="105" t="str">
        <f t="array" ref="Q568">INDEX('MTA 28-09'!Z:Z,MATCH(B568,'MTA 28-09'!A:A,0))</f>
        <v>339030</v>
      </c>
      <c r="R568" s="98" t="str">
        <f t="array" ref="R568">INDEX('MTA 28-09'!L:L,MATCH(B568,'MTA 28-09'!A:A,0))</f>
        <v>D</v>
      </c>
      <c r="S568" s="107" t="str">
        <f t="array" ref="S568">INDEX('MTA 28-09'!X:X,MATCH(B568,'MTA 28-09'!A:A,0))</f>
        <v>PARCELA FIXA</v>
      </c>
      <c r="T568" s="107" t="str">
        <f t="array" ref="T568">INDEX('MTA 28-09'!W:W,MATCH(B568,'MTA 28-09'!A:A,0))</f>
        <v>Não</v>
      </c>
      <c r="U568" s="109">
        <f t="array" ref="U568">INDEX('MTA 28-09'!AE:AE,MATCH(B568,'MTA 28-09'!A:A,0))</f>
        <v>46169</v>
      </c>
      <c r="V568" s="29"/>
      <c r="W568" s="29"/>
      <c r="X568" s="29"/>
      <c r="Y568" s="29"/>
      <c r="Z568" s="29"/>
      <c r="AA568" s="29"/>
      <c r="AB568" s="29"/>
      <c r="AC568" s="29"/>
      <c r="AD568" s="29"/>
      <c r="AE568" s="29"/>
      <c r="AF568" s="29"/>
      <c r="AG568" s="29"/>
      <c r="AH568" s="29"/>
      <c r="AI568" s="29"/>
      <c r="AJ568" s="29"/>
      <c r="AK568" s="29"/>
      <c r="AL568" s="29"/>
      <c r="AM568" s="29"/>
    </row>
    <row r="569">
      <c r="A569" s="31" t="s">
        <v>1609</v>
      </c>
      <c r="B569" s="32">
        <v>19060.0</v>
      </c>
      <c r="C569" s="33" t="str">
        <f t="array" ref="C569">INDEX('MTA 28-09'!B:B,MATCH(B569,'MTA 28-09'!A:A,0))</f>
        <v>SIM</v>
      </c>
      <c r="D569" s="34" t="str">
        <f t="array" ref="D569">INDEX('MTA 28-09'!D:D,MATCH(B569,'MTA 28-09'!A:A,0))</f>
        <v>20IH</v>
      </c>
      <c r="E569" s="32" t="str">
        <f t="array" ref="E569">INDEX('MTA 28-09'!F:F,MATCH(B569,'MTA 28-09'!A:A,0))</f>
        <v>ATENDIDO</v>
      </c>
      <c r="F569" s="137">
        <f t="array" ref="F569">INDEX('MTA 28-09'!I:I,MATCH(B569,'MTA 28-09'!A:A,0))</f>
        <v>46205</v>
      </c>
      <c r="G569" s="36" t="str">
        <f t="array" ref="G569">INDEX('MTA 28-09'!J:J,MATCH(B569,'MTA 28-09'!A:A,0))</f>
        <v>C26149</v>
      </c>
      <c r="H569" s="37" t="s">
        <v>1398</v>
      </c>
      <c r="I569" s="38"/>
      <c r="J569" s="39" t="s">
        <v>152</v>
      </c>
      <c r="K569" s="40"/>
      <c r="L569" s="39" t="str">
        <f t="array" ref="L569">INDEX('MTA 28-09'!S:S,MATCH(B569,'MTA 28-09'!A:A,0))</f>
        <v>C-97</v>
      </c>
      <c r="M569" s="32" t="str">
        <f t="array" ref="M569">INDEX('MTA 28-09'!T:T,MATCH(B569,'MTA 28-09'!A:A,0))</f>
        <v>CTT 039/CABW-PAMALS/2024 - Modernização</v>
      </c>
      <c r="N569" s="32" t="str">
        <f t="array" ref="N569">INDEX('MTA 28-09'!U:U,MATCH(B569,'MTA 28-09'!A:A,0))</f>
        <v>2ª ANV - etapa 3/3</v>
      </c>
      <c r="O569" s="59">
        <f t="array" ref="O569">INDEX('MTA 28-09'!AC:AC,MATCH(B569,'MTA 28-09'!A:A,0))</f>
        <v>782535.94</v>
      </c>
      <c r="P569" s="32" t="str">
        <f t="array" ref="P569">INDEX('MTA 28-09'!N:N,MATCH(B569,'MTA 28-09'!A:A,0))</f>
        <v>CABW</v>
      </c>
      <c r="Q569" s="67" t="str">
        <f t="array" ref="Q569">INDEX('MTA 28-09'!Z:Z,MATCH(B569,'MTA 28-09'!A:A,0))</f>
        <v>339039</v>
      </c>
      <c r="R569" s="32" t="str">
        <f t="array" ref="R569">INDEX('MTA 28-09'!L:L,MATCH(B569,'MTA 28-09'!A:A,0))</f>
        <v>D</v>
      </c>
      <c r="S569" s="72" t="str">
        <f t="array" ref="S569">INDEX('MTA 28-09'!X:X,MATCH(B569,'MTA 28-09'!A:A,0))</f>
        <v>PARCELA FIXA</v>
      </c>
      <c r="T569" s="72" t="str">
        <f t="array" ref="T569">INDEX('MTA 28-09'!W:W,MATCH(B569,'MTA 28-09'!A:A,0))</f>
        <v>Não</v>
      </c>
      <c r="U569" s="81">
        <f t="array" ref="U569">INDEX('MTA 28-09'!AE:AE,MATCH(B569,'MTA 28-09'!A:A,0))</f>
        <v>46260</v>
      </c>
      <c r="V569" s="12"/>
      <c r="W569" s="12"/>
      <c r="X569" s="12"/>
      <c r="Y569" s="12"/>
      <c r="Z569" s="12"/>
      <c r="AA569" s="12"/>
      <c r="AB569" s="12"/>
      <c r="AC569" s="12"/>
      <c r="AD569" s="12"/>
      <c r="AE569" s="12"/>
      <c r="AF569" s="12"/>
      <c r="AG569" s="12"/>
      <c r="AH569" s="12"/>
      <c r="AI569" s="12"/>
      <c r="AJ569" s="12"/>
      <c r="AK569" s="12"/>
      <c r="AL569" s="12"/>
      <c r="AM569" s="12"/>
    </row>
    <row r="570">
      <c r="A570" s="88" t="s">
        <v>1609</v>
      </c>
      <c r="B570" s="98">
        <v>19080.0</v>
      </c>
      <c r="C570" s="92" t="str">
        <f t="array" ref="C570">INDEX('MTA 28-09'!B:B,MATCH(B570,'MTA 28-09'!A:A,0))</f>
        <v>SIM</v>
      </c>
      <c r="D570" s="95" t="str">
        <f t="array" ref="D570">INDEX('MTA 28-09'!D:D,MATCH(B570,'MTA 28-09'!A:A,0))</f>
        <v>20IH</v>
      </c>
      <c r="E570" s="98" t="str">
        <f t="array" ref="E570">INDEX('MTA 28-09'!F:F,MATCH(B570,'MTA 28-09'!A:A,0))</f>
        <v>ATENDIDO</v>
      </c>
      <c r="F570" s="144">
        <f t="array" ref="F570">INDEX('MTA 28-09'!I:I,MATCH(B570,'MTA 28-09'!A:A,0))</f>
        <v>46121</v>
      </c>
      <c r="G570" s="100" t="str">
        <f t="array" ref="G570">INDEX('MTA 28-09'!J:J,MATCH(B570,'MTA 28-09'!A:A,0))</f>
        <v>C26023</v>
      </c>
      <c r="H570" s="159" t="s">
        <v>157</v>
      </c>
      <c r="I570" s="296"/>
      <c r="J570" s="102"/>
      <c r="K570" s="103"/>
      <c r="L570" s="102" t="str">
        <f t="array" ref="L570">INDEX('MTA 28-09'!S:S,MATCH(B570,'MTA 28-09'!A:A,0))</f>
        <v>C-97</v>
      </c>
      <c r="M570" s="98" t="str">
        <f t="array" ref="M570">INDEX('MTA 28-09'!T:T,MATCH(B570,'MTA 28-09'!A:A,0))</f>
        <v>CTT 039/CABW-PAMALS/2024 - Modernização</v>
      </c>
      <c r="N570" s="98" t="str">
        <f t="array" ref="N570">INDEX('MTA 28-09'!U:U,MATCH(B570,'MTA 28-09'!A:A,0))</f>
        <v>3ª ANV - etapa 1/3</v>
      </c>
      <c r="O570" s="104">
        <f t="array" ref="O570">INDEX('MTA 28-09'!AC:AC,MATCH(B570,'MTA 28-09'!A:A,0))</f>
        <v>142500</v>
      </c>
      <c r="P570" s="98" t="str">
        <f t="array" ref="P570">INDEX('MTA 28-09'!N:N,MATCH(B570,'MTA 28-09'!A:A,0))</f>
        <v>CABW</v>
      </c>
      <c r="Q570" s="105" t="str">
        <f t="array" ref="Q570">INDEX('MTA 28-09'!Z:Z,MATCH(B570,'MTA 28-09'!A:A,0))</f>
        <v>339039</v>
      </c>
      <c r="R570" s="98" t="str">
        <f t="array" ref="R570">INDEX('MTA 28-09'!L:L,MATCH(B570,'MTA 28-09'!A:A,0))</f>
        <v>D</v>
      </c>
      <c r="S570" s="107" t="str">
        <f t="array" ref="S570">INDEX('MTA 28-09'!X:X,MATCH(B570,'MTA 28-09'!A:A,0))</f>
        <v>PARCELA FIXA</v>
      </c>
      <c r="T570" s="107" t="str">
        <f t="array" ref="T570">INDEX('MTA 28-09'!W:W,MATCH(B570,'MTA 28-09'!A:A,0))</f>
        <v>Não</v>
      </c>
      <c r="U570" s="109">
        <f t="array" ref="U570">INDEX('MTA 28-09'!AE:AE,MATCH(B570,'MTA 28-09'!A:A,0))</f>
        <v>46199</v>
      </c>
      <c r="V570" s="29"/>
      <c r="W570" s="29"/>
      <c r="X570" s="29"/>
      <c r="Y570" s="29"/>
      <c r="Z570" s="29"/>
      <c r="AA570" s="29"/>
      <c r="AB570" s="29"/>
      <c r="AC570" s="29"/>
      <c r="AD570" s="29"/>
      <c r="AE570" s="29"/>
      <c r="AF570" s="29"/>
      <c r="AG570" s="29"/>
      <c r="AH570" s="29"/>
      <c r="AI570" s="29"/>
      <c r="AJ570" s="29"/>
      <c r="AK570" s="29"/>
      <c r="AL570" s="29"/>
      <c r="AM570" s="29"/>
    </row>
    <row r="571">
      <c r="A571" s="31" t="s">
        <v>1609</v>
      </c>
      <c r="B571" s="32">
        <v>19100.0</v>
      </c>
      <c r="C571" s="33" t="str">
        <f t="array" ref="C571">INDEX('MTA 28-09'!B:B,MATCH(B571,'MTA 28-09'!A:A,0))</f>
        <v>NÃO</v>
      </c>
      <c r="D571" s="34" t="str">
        <f t="array" ref="D571">INDEX('MTA 28-09'!D:D,MATCH(B571,'MTA 28-09'!A:A,0))</f>
        <v>20IH</v>
      </c>
      <c r="E571" s="32" t="str">
        <f t="array" ref="E571">INDEX('MTA 28-09'!F:F,MATCH(B571,'MTA 28-09'!A:A,0))</f>
        <v/>
      </c>
      <c r="F571" s="137" t="str">
        <f t="array" ref="F571">INDEX('MTA 28-09'!I:I,MATCH(B571,'MTA 28-09'!A:A,0))</f>
        <v/>
      </c>
      <c r="G571" s="36" t="str">
        <f t="array" ref="G571">INDEX('MTA 28-09'!J:J,MATCH(B571,'MTA 28-09'!A:A,0))</f>
        <v/>
      </c>
      <c r="H571" s="287" t="s">
        <v>157</v>
      </c>
      <c r="I571" s="295"/>
      <c r="J571" s="39"/>
      <c r="K571" s="40"/>
      <c r="L571" s="39" t="str">
        <f t="array" ref="L571">INDEX('MTA 28-09'!S:S,MATCH(B571,'MTA 28-09'!A:A,0))</f>
        <v>C-97</v>
      </c>
      <c r="M571" s="32" t="str">
        <f t="array" ref="M571">INDEX('MTA 28-09'!T:T,MATCH(B571,'MTA 28-09'!A:A,0))</f>
        <v>Requisição CABW</v>
      </c>
      <c r="N571" s="32" t="str">
        <f t="array" ref="N571">INDEX('MTA 28-09'!U:U,MATCH(B571,'MTA 28-09'!A:A,0))</f>
        <v>PN 2100-4043-00 - Gravador de Dados de Voo 2/4</v>
      </c>
      <c r="O571" s="59">
        <f t="array" ref="O571">INDEX('MTA 28-09'!AC:AC,MATCH(B571,'MTA 28-09'!A:A,0))</f>
        <v>575000</v>
      </c>
      <c r="P571" s="32" t="str">
        <f t="array" ref="P571">INDEX('MTA 28-09'!N:N,MATCH(B571,'MTA 28-09'!A:A,0))</f>
        <v>CABW</v>
      </c>
      <c r="Q571" s="67" t="str">
        <f t="array" ref="Q571">INDEX('MTA 28-09'!Z:Z,MATCH(B571,'MTA 28-09'!A:A,0))</f>
        <v>339030</v>
      </c>
      <c r="R571" s="32" t="str">
        <f t="array" ref="R571">INDEX('MTA 28-09'!L:L,MATCH(B571,'MTA 28-09'!A:A,0))</f>
        <v>D</v>
      </c>
      <c r="S571" s="72" t="str">
        <f t="array" ref="S571">INDEX('MTA 28-09'!X:X,MATCH(B571,'MTA 28-09'!A:A,0))</f>
        <v>REQUISIÇÃO</v>
      </c>
      <c r="T571" s="72" t="str">
        <f t="array" ref="T571">INDEX('MTA 28-09'!W:W,MATCH(B571,'MTA 28-09'!A:A,0))</f>
        <v>Não</v>
      </c>
      <c r="U571" s="81">
        <f t="array" ref="U571">INDEX('MTA 28-09'!AE:AE,MATCH(B571,'MTA 28-09'!A:A,0))</f>
        <v>46229</v>
      </c>
      <c r="V571" s="12"/>
      <c r="W571" s="12"/>
      <c r="X571" s="12"/>
      <c r="Y571" s="12"/>
      <c r="Z571" s="12"/>
      <c r="AA571" s="12"/>
      <c r="AB571" s="12"/>
      <c r="AC571" s="12"/>
      <c r="AD571" s="12"/>
      <c r="AE571" s="12"/>
      <c r="AF571" s="12"/>
      <c r="AG571" s="12"/>
      <c r="AH571" s="12"/>
      <c r="AI571" s="12"/>
      <c r="AJ571" s="12"/>
      <c r="AK571" s="12"/>
      <c r="AL571" s="12"/>
      <c r="AM571" s="12"/>
    </row>
    <row r="572">
      <c r="A572" s="88" t="s">
        <v>39</v>
      </c>
      <c r="B572" s="98">
        <v>19120.0</v>
      </c>
      <c r="C572" s="92" t="str">
        <f t="array" ref="C572">INDEX('MTA 28-09'!B:B,MATCH(B572,'MTA 28-09'!A:A,0))</f>
        <v>SIM</v>
      </c>
      <c r="D572" s="95" t="str">
        <f t="array" ref="D572">INDEX('MTA 28-09'!D:D,MATCH(B572,'MTA 28-09'!A:A,0))</f>
        <v/>
      </c>
      <c r="E572" s="98" t="str">
        <f t="array" ref="E572">INDEX('MTA 28-09'!F:F,MATCH(B572,'MTA 28-09'!A:A,0))</f>
        <v/>
      </c>
      <c r="F572" s="144" t="str">
        <f t="array" ref="F572">INDEX('MTA 28-09'!I:I,MATCH(B572,'MTA 28-09'!A:A,0))</f>
        <v/>
      </c>
      <c r="G572" s="100" t="str">
        <f t="array" ref="G572">INDEX('MTA 28-09'!J:J,MATCH(B572,'MTA 28-09'!A:A,0))</f>
        <v/>
      </c>
      <c r="H572" s="101" t="s">
        <v>1607</v>
      </c>
      <c r="I572" s="98" t="s">
        <v>1608</v>
      </c>
      <c r="J572" s="102"/>
      <c r="K572" s="103"/>
      <c r="L572" s="102" t="str">
        <f t="array" ref="L572">INDEX('MTA 28-09'!S:S,MATCH(B572,'MTA 28-09'!A:A,0))</f>
        <v>A-29</v>
      </c>
      <c r="M572" s="98" t="str">
        <f t="array" ref="M572">INDEX('MTA 28-09'!T:T,MATCH(B572,'MTA 28-09'!A:A,0))</f>
        <v>CTT 102/CELOG-PAMALS/2023 – EMBRAER - PSLI</v>
      </c>
      <c r="N572" s="98" t="str">
        <f t="array" ref="N572">INDEX('MTA 28-09'!U:U,MATCH(B572,'MTA 28-09'!A:A,0))</f>
        <v>Módulo Extra - Atualização do GPS da aeronave 13/30</v>
      </c>
      <c r="O572" s="104">
        <f t="array" ref="O572">INDEX('MTA 28-09'!AC:AC,MATCH(B572,'MTA 28-09'!A:A,0))</f>
        <v>71263.31</v>
      </c>
      <c r="P572" s="98" t="str">
        <f t="array" ref="P572">INDEX('MTA 28-09'!N:N,MATCH(B572,'MTA 28-09'!A:A,0))</f>
        <v>CELOG</v>
      </c>
      <c r="Q572" s="105" t="str">
        <f t="array" ref="Q572">INDEX('MTA 28-09'!Z:Z,MATCH(B572,'MTA 28-09'!A:A,0))</f>
        <v>339030</v>
      </c>
      <c r="R572" s="98" t="str">
        <f t="array" ref="R572">INDEX('MTA 28-09'!L:L,MATCH(B572,'MTA 28-09'!A:A,0))</f>
        <v>D</v>
      </c>
      <c r="S572" s="107" t="str">
        <f t="array" ref="S572">INDEX('MTA 28-09'!X:X,MATCH(B572,'MTA 28-09'!A:A,0))</f>
        <v>SOB DEMANDA</v>
      </c>
      <c r="T572" s="107" t="str">
        <f t="array" ref="T572">INDEX('MTA 28-09'!W:W,MATCH(B572,'MTA 28-09'!A:A,0))</f>
        <v>Não</v>
      </c>
      <c r="U572" s="109">
        <f t="array" ref="U572">INDEX('MTA 28-09'!AE:AE,MATCH(B572,'MTA 28-09'!A:A,0))</f>
        <v>46383</v>
      </c>
      <c r="V572" s="29"/>
      <c r="W572" s="29"/>
      <c r="X572" s="29"/>
      <c r="Y572" s="29"/>
      <c r="Z572" s="29"/>
      <c r="AA572" s="29"/>
      <c r="AB572" s="29"/>
      <c r="AC572" s="29"/>
      <c r="AD572" s="29"/>
      <c r="AE572" s="29"/>
      <c r="AF572" s="29"/>
      <c r="AG572" s="29"/>
      <c r="AH572" s="29"/>
      <c r="AI572" s="29"/>
      <c r="AJ572" s="29"/>
      <c r="AK572" s="29"/>
      <c r="AL572" s="29"/>
      <c r="AM572" s="29"/>
    </row>
    <row r="573">
      <c r="A573" s="31" t="s">
        <v>39</v>
      </c>
      <c r="B573" s="38">
        <v>19121.0</v>
      </c>
      <c r="C573" s="33" t="str">
        <f t="array" ref="C573">INDEX('MTA 28-09'!B:B,MATCH(B573,'MTA 28-09'!A:A,0))</f>
        <v>SIM</v>
      </c>
      <c r="D573" s="34" t="str">
        <f t="array" ref="D573">INDEX('MTA 28-09'!D:D,MATCH(B573,'MTA 28-09'!A:A,0))</f>
        <v/>
      </c>
      <c r="E573" s="32" t="str">
        <f t="array" ref="E573">INDEX('MTA 28-09'!F:F,MATCH(B573,'MTA 28-09'!A:A,0))</f>
        <v/>
      </c>
      <c r="F573" s="155" t="str">
        <f t="array" ref="F573">INDEX('MTA 28-09'!I:I,MATCH(B573,'MTA 28-09'!A:A,0))</f>
        <v/>
      </c>
      <c r="G573" s="36" t="str">
        <f t="array" ref="G573">INDEX('MTA 28-09'!J:J,MATCH(B573,'MTA 28-09'!A:A,0))</f>
        <v/>
      </c>
      <c r="H573" s="287" t="s">
        <v>157</v>
      </c>
      <c r="I573" s="32"/>
      <c r="J573" s="39"/>
      <c r="K573" s="40"/>
      <c r="L573" s="39" t="str">
        <f t="array" ref="L573">INDEX('MTA 28-09'!S:S,MATCH(B573,'MTA 28-09'!A:A,0))</f>
        <v>A-29</v>
      </c>
      <c r="M573" s="32" t="str">
        <f t="array" ref="M573">INDEX('MTA 28-09'!T:T,MATCH(B573,'MTA 28-09'!A:A,0))</f>
        <v>CTT 102/CELOG-PAMALS/2023 – EMBRAER - PSLI</v>
      </c>
      <c r="N573" s="32" t="str">
        <f t="array" ref="N573">INDEX('MTA 28-09'!U:U,MATCH(B573,'MTA 28-09'!A:A,0))</f>
        <v>Módulo Extra - Atualização do GPS da aeronave 13/30</v>
      </c>
      <c r="O573" s="59">
        <f t="array" ref="O573">INDEX('MTA 28-09'!AC:AC,MATCH(B573,'MTA 28-09'!A:A,0))</f>
        <v>28736.69</v>
      </c>
      <c r="P573" s="32" t="str">
        <f t="array" ref="P573">INDEX('MTA 28-09'!N:N,MATCH(B573,'MTA 28-09'!A:A,0))</f>
        <v>CELOG</v>
      </c>
      <c r="Q573" s="67" t="str">
        <f t="array" ref="Q573">INDEX('MTA 28-09'!Z:Z,MATCH(B573,'MTA 28-09'!A:A,0))</f>
        <v>339030</v>
      </c>
      <c r="R573" s="32" t="str">
        <f t="array" ref="R573">INDEX('MTA 28-09'!L:L,MATCH(B573,'MTA 28-09'!A:A,0))</f>
        <v>D</v>
      </c>
      <c r="S573" s="72" t="str">
        <f t="array" ref="S573">INDEX('MTA 28-09'!X:X,MATCH(B573,'MTA 28-09'!A:A,0))</f>
        <v>SOB DEMANDA</v>
      </c>
      <c r="T573" s="72" t="str">
        <f t="array" ref="T573">INDEX('MTA 28-09'!W:W,MATCH(B573,'MTA 28-09'!A:A,0))</f>
        <v>Não</v>
      </c>
      <c r="U573" s="81">
        <f t="array" ref="U573">INDEX('MTA 28-09'!AE:AE,MATCH(B573,'MTA 28-09'!A:A,0))</f>
        <v>46383</v>
      </c>
      <c r="V573" s="12"/>
      <c r="W573" s="12"/>
      <c r="X573" s="12"/>
      <c r="Y573" s="12"/>
      <c r="Z573" s="12"/>
      <c r="AA573" s="12"/>
      <c r="AB573" s="12"/>
      <c r="AC573" s="12"/>
      <c r="AD573" s="12"/>
      <c r="AE573" s="12"/>
      <c r="AF573" s="12"/>
      <c r="AG573" s="12"/>
      <c r="AH573" s="12"/>
      <c r="AI573" s="12"/>
      <c r="AJ573" s="12"/>
      <c r="AK573" s="12"/>
      <c r="AL573" s="12"/>
      <c r="AM573" s="12"/>
    </row>
    <row r="574">
      <c r="A574" s="88" t="s">
        <v>39</v>
      </c>
      <c r="B574" s="98">
        <v>19140.0</v>
      </c>
      <c r="C574" s="92" t="str">
        <f t="array" ref="C574">INDEX('MTA 28-09'!B:B,MATCH(B574,'MTA 28-09'!A:A,0))</f>
        <v>SIM</v>
      </c>
      <c r="D574" s="95" t="str">
        <f t="array" ref="D574">INDEX('MTA 28-09'!D:D,MATCH(B574,'MTA 28-09'!A:A,0))</f>
        <v/>
      </c>
      <c r="E574" s="98" t="str">
        <f t="array" ref="E574">INDEX('MTA 28-09'!F:F,MATCH(B574,'MTA 28-09'!A:A,0))</f>
        <v/>
      </c>
      <c r="F574" s="98" t="str">
        <f t="array" ref="F574">INDEX('MTA 28-09'!I:I,MATCH(B574,'MTA 28-09'!A:A,0))</f>
        <v/>
      </c>
      <c r="G574" s="100" t="str">
        <f t="array" ref="G574">INDEX('MTA 28-09'!J:J,MATCH(B574,'MTA 28-09'!A:A,0))</f>
        <v/>
      </c>
      <c r="H574" s="101" t="s">
        <v>1607</v>
      </c>
      <c r="I574" s="98" t="s">
        <v>1608</v>
      </c>
      <c r="J574" s="102"/>
      <c r="K574" s="103"/>
      <c r="L574" s="102" t="str">
        <f t="array" ref="L574">INDEX('MTA 28-09'!S:S,MATCH(B574,'MTA 28-09'!A:A,0))</f>
        <v>A-29</v>
      </c>
      <c r="M574" s="98" t="str">
        <f t="array" ref="M574">INDEX('MTA 28-09'!T:T,MATCH(B574,'MTA 28-09'!A:A,0))</f>
        <v>CTT 102/CELOG-PAMALS/2023 – EMBRAER - PSLI</v>
      </c>
      <c r="N574" s="98" t="str">
        <f t="array" ref="N574">INDEX('MTA 28-09'!U:U,MATCH(B574,'MTA 28-09'!A:A,0))</f>
        <v>Módulo Extra - Atualização do GPS da aeronave 14/30</v>
      </c>
      <c r="O574" s="104">
        <f t="array" ref="O574">INDEX('MTA 28-09'!AC:AC,MATCH(B574,'MTA 28-09'!A:A,0))</f>
        <v>100000</v>
      </c>
      <c r="P574" s="98" t="str">
        <f t="array" ref="P574">INDEX('MTA 28-09'!N:N,MATCH(B574,'MTA 28-09'!A:A,0))</f>
        <v>CELOG</v>
      </c>
      <c r="Q574" s="105" t="str">
        <f t="array" ref="Q574">INDEX('MTA 28-09'!Z:Z,MATCH(B574,'MTA 28-09'!A:A,0))</f>
        <v>339030</v>
      </c>
      <c r="R574" s="98" t="str">
        <f t="array" ref="R574">INDEX('MTA 28-09'!L:L,MATCH(B574,'MTA 28-09'!A:A,0))</f>
        <v>D</v>
      </c>
      <c r="S574" s="107" t="str">
        <f t="array" ref="S574">INDEX('MTA 28-09'!X:X,MATCH(B574,'MTA 28-09'!A:A,0))</f>
        <v>SOB DEMANDA</v>
      </c>
      <c r="T574" s="107" t="str">
        <f t="array" ref="T574">INDEX('MTA 28-09'!W:W,MATCH(B574,'MTA 28-09'!A:A,0))</f>
        <v>Não</v>
      </c>
      <c r="U574" s="109">
        <f t="array" ref="U574">INDEX('MTA 28-09'!AE:AE,MATCH(B574,'MTA 28-09'!A:A,0))</f>
        <v>46383</v>
      </c>
      <c r="V574" s="29"/>
      <c r="W574" s="29"/>
      <c r="X574" s="29"/>
      <c r="Y574" s="29"/>
      <c r="Z574" s="29"/>
      <c r="AA574" s="29"/>
      <c r="AB574" s="29"/>
      <c r="AC574" s="29"/>
      <c r="AD574" s="29"/>
      <c r="AE574" s="29"/>
      <c r="AF574" s="29"/>
      <c r="AG574" s="29"/>
      <c r="AH574" s="29"/>
      <c r="AI574" s="29"/>
      <c r="AJ574" s="29"/>
      <c r="AK574" s="29"/>
      <c r="AL574" s="29"/>
      <c r="AM574" s="29"/>
    </row>
    <row r="575">
      <c r="A575" s="31" t="s">
        <v>39</v>
      </c>
      <c r="B575" s="32">
        <v>19160.0</v>
      </c>
      <c r="C575" s="33" t="str">
        <f t="array" ref="C575">INDEX('MTA 28-09'!B:B,MATCH(B575,'MTA 28-09'!A:A,0))</f>
        <v>SIM</v>
      </c>
      <c r="D575" s="34" t="str">
        <f t="array" ref="D575">INDEX('MTA 28-09'!D:D,MATCH(B575,'MTA 28-09'!A:A,0))</f>
        <v/>
      </c>
      <c r="E575" s="32" t="str">
        <f t="array" ref="E575">INDEX('MTA 28-09'!F:F,MATCH(B575,'MTA 28-09'!A:A,0))</f>
        <v/>
      </c>
      <c r="F575" s="32" t="str">
        <f t="array" ref="F575">INDEX('MTA 28-09'!I:I,MATCH(B575,'MTA 28-09'!A:A,0))</f>
        <v/>
      </c>
      <c r="G575" s="36" t="str">
        <f t="array" ref="G575">INDEX('MTA 28-09'!J:J,MATCH(B575,'MTA 28-09'!A:A,0))</f>
        <v/>
      </c>
      <c r="H575" s="37" t="s">
        <v>1607</v>
      </c>
      <c r="I575" s="32" t="s">
        <v>1619</v>
      </c>
      <c r="J575" s="39"/>
      <c r="K575" s="40"/>
      <c r="L575" s="39" t="str">
        <f t="array" ref="L575">INDEX('MTA 28-09'!S:S,MATCH(B575,'MTA 28-09'!A:A,0))</f>
        <v>A-29</v>
      </c>
      <c r="M575" s="32" t="str">
        <f t="array" ref="M575">INDEX('MTA 28-09'!T:T,MATCH(B575,'MTA 28-09'!A:A,0))</f>
        <v>CTT 102/CELOG-PAMALS/2023 – EMBRAER - PSLI</v>
      </c>
      <c r="N575" s="32" t="str">
        <f t="array" ref="N575">INDEX('MTA 28-09'!U:U,MATCH(B575,'MTA 28-09'!A:A,0))</f>
        <v>Módulo Extra - Atualização do GPS da aeronave 15/30</v>
      </c>
      <c r="O575" s="59">
        <f t="array" ref="O575">INDEX('MTA 28-09'!AC:AC,MATCH(B575,'MTA 28-09'!A:A,0))</f>
        <v>100000</v>
      </c>
      <c r="P575" s="32" t="str">
        <f t="array" ref="P575">INDEX('MTA 28-09'!N:N,MATCH(B575,'MTA 28-09'!A:A,0))</f>
        <v>CELOG</v>
      </c>
      <c r="Q575" s="67" t="str">
        <f t="array" ref="Q575">INDEX('MTA 28-09'!Z:Z,MATCH(B575,'MTA 28-09'!A:A,0))</f>
        <v>339030</v>
      </c>
      <c r="R575" s="32" t="str">
        <f t="array" ref="R575">INDEX('MTA 28-09'!L:L,MATCH(B575,'MTA 28-09'!A:A,0))</f>
        <v>D</v>
      </c>
      <c r="S575" s="72" t="str">
        <f t="array" ref="S575">INDEX('MTA 28-09'!X:X,MATCH(B575,'MTA 28-09'!A:A,0))</f>
        <v>SOB DEMANDA</v>
      </c>
      <c r="T575" s="72" t="str">
        <f t="array" ref="T575">INDEX('MTA 28-09'!W:W,MATCH(B575,'MTA 28-09'!A:A,0))</f>
        <v>Não</v>
      </c>
      <c r="U575" s="81">
        <f t="array" ref="U575">INDEX('MTA 28-09'!AE:AE,MATCH(B575,'MTA 28-09'!A:A,0))</f>
        <v>46383</v>
      </c>
      <c r="V575" s="12"/>
      <c r="W575" s="12"/>
      <c r="X575" s="12"/>
      <c r="Y575" s="12"/>
      <c r="Z575" s="12"/>
      <c r="AA575" s="12"/>
      <c r="AB575" s="12"/>
      <c r="AC575" s="12"/>
      <c r="AD575" s="12"/>
      <c r="AE575" s="12"/>
      <c r="AF575" s="12"/>
      <c r="AG575" s="12"/>
      <c r="AH575" s="12"/>
      <c r="AI575" s="12"/>
      <c r="AJ575" s="12"/>
      <c r="AK575" s="12"/>
      <c r="AL575" s="12"/>
      <c r="AM575" s="12"/>
    </row>
    <row r="576">
      <c r="A576" s="88" t="s">
        <v>39</v>
      </c>
      <c r="B576" s="98">
        <v>19180.0</v>
      </c>
      <c r="C576" s="92" t="str">
        <f t="array" ref="C576">INDEX('MTA 28-09'!B:B,MATCH(B576,'MTA 28-09'!A:A,0))</f>
        <v>SIM</v>
      </c>
      <c r="D576" s="95" t="str">
        <f t="array" ref="D576">INDEX('MTA 28-09'!D:D,MATCH(B576,'MTA 28-09'!A:A,0))</f>
        <v/>
      </c>
      <c r="E576" s="98" t="str">
        <f t="array" ref="E576">INDEX('MTA 28-09'!F:F,MATCH(B576,'MTA 28-09'!A:A,0))</f>
        <v/>
      </c>
      <c r="F576" s="144" t="str">
        <f t="array" ref="F576">INDEX('MTA 28-09'!I:I,MATCH(B576,'MTA 28-09'!A:A,0))</f>
        <v/>
      </c>
      <c r="G576" s="100" t="str">
        <f t="array" ref="G576">INDEX('MTA 28-09'!J:J,MATCH(B576,'MTA 28-09'!A:A,0))</f>
        <v/>
      </c>
      <c r="H576" s="101" t="s">
        <v>1607</v>
      </c>
      <c r="I576" s="98" t="s">
        <v>1620</v>
      </c>
      <c r="J576" s="102"/>
      <c r="K576" s="103"/>
      <c r="L576" s="102" t="str">
        <f t="array" ref="L576">INDEX('MTA 28-09'!S:S,MATCH(B576,'MTA 28-09'!A:A,0))</f>
        <v>A-29</v>
      </c>
      <c r="M576" s="98" t="str">
        <f t="array" ref="M576">INDEX('MTA 28-09'!T:T,MATCH(B576,'MTA 28-09'!A:A,0))</f>
        <v>CTT 102/CELOG-PAMALS/2023 – EMBRAER - PSLI</v>
      </c>
      <c r="N576" s="98" t="str">
        <f t="array" ref="N576">INDEX('MTA 28-09'!U:U,MATCH(B576,'MTA 28-09'!A:A,0))</f>
        <v>Módulo Extra - Atualização do GPS da aeronave 16/30</v>
      </c>
      <c r="O576" s="104">
        <f t="array" ref="O576">INDEX('MTA 28-09'!AC:AC,MATCH(B576,'MTA 28-09'!A:A,0))</f>
        <v>100000</v>
      </c>
      <c r="P576" s="98" t="str">
        <f t="array" ref="P576">INDEX('MTA 28-09'!N:N,MATCH(B576,'MTA 28-09'!A:A,0))</f>
        <v>CELOG</v>
      </c>
      <c r="Q576" s="105" t="str">
        <f t="array" ref="Q576">INDEX('MTA 28-09'!Z:Z,MATCH(B576,'MTA 28-09'!A:A,0))</f>
        <v>339030</v>
      </c>
      <c r="R576" s="98" t="str">
        <f t="array" ref="R576">INDEX('MTA 28-09'!L:L,MATCH(B576,'MTA 28-09'!A:A,0))</f>
        <v>D</v>
      </c>
      <c r="S576" s="107" t="str">
        <f t="array" ref="S576">INDEX('MTA 28-09'!X:X,MATCH(B576,'MTA 28-09'!A:A,0))</f>
        <v>SOB DEMANDA</v>
      </c>
      <c r="T576" s="107" t="str">
        <f t="array" ref="T576">INDEX('MTA 28-09'!W:W,MATCH(B576,'MTA 28-09'!A:A,0))</f>
        <v>Não</v>
      </c>
      <c r="U576" s="109">
        <f t="array" ref="U576">INDEX('MTA 28-09'!AE:AE,MATCH(B576,'MTA 28-09'!A:A,0))</f>
        <v>46384</v>
      </c>
      <c r="V576" s="29"/>
      <c r="W576" s="29"/>
      <c r="X576" s="29"/>
      <c r="Y576" s="29"/>
      <c r="Z576" s="29"/>
      <c r="AA576" s="29"/>
      <c r="AB576" s="29"/>
      <c r="AC576" s="29"/>
      <c r="AD576" s="29"/>
      <c r="AE576" s="29"/>
      <c r="AF576" s="29"/>
      <c r="AG576" s="29"/>
      <c r="AH576" s="29"/>
      <c r="AI576" s="29"/>
      <c r="AJ576" s="29"/>
      <c r="AK576" s="29"/>
      <c r="AL576" s="29"/>
      <c r="AM576" s="29"/>
    </row>
    <row r="577">
      <c r="A577" s="31" t="s">
        <v>39</v>
      </c>
      <c r="B577" s="32">
        <v>19200.0</v>
      </c>
      <c r="C577" s="33" t="str">
        <f t="array" ref="C577">INDEX('MTA 28-09'!B:B,MATCH(B577,'MTA 28-09'!A:A,0))</f>
        <v>SIM</v>
      </c>
      <c r="D577" s="34" t="str">
        <f t="array" ref="D577">INDEX('MTA 28-09'!D:D,MATCH(B577,'MTA 28-09'!A:A,0))</f>
        <v/>
      </c>
      <c r="E577" s="32" t="str">
        <f t="array" ref="E577">INDEX('MTA 28-09'!F:F,MATCH(B577,'MTA 28-09'!A:A,0))</f>
        <v/>
      </c>
      <c r="F577" s="155" t="str">
        <f t="array" ref="F577">INDEX('MTA 28-09'!I:I,MATCH(B577,'MTA 28-09'!A:A,0))</f>
        <v/>
      </c>
      <c r="G577" s="36" t="str">
        <f t="array" ref="G577">INDEX('MTA 28-09'!J:J,MATCH(B577,'MTA 28-09'!A:A,0))</f>
        <v/>
      </c>
      <c r="H577" s="37" t="s">
        <v>1607</v>
      </c>
      <c r="I577" s="32" t="s">
        <v>1620</v>
      </c>
      <c r="J577" s="39"/>
      <c r="K577" s="40"/>
      <c r="L577" s="39" t="str">
        <f t="array" ref="L577">INDEX('MTA 28-09'!S:S,MATCH(B577,'MTA 28-09'!A:A,0))</f>
        <v>A-29</v>
      </c>
      <c r="M577" s="32" t="str">
        <f t="array" ref="M577">INDEX('MTA 28-09'!T:T,MATCH(B577,'MTA 28-09'!A:A,0))</f>
        <v>CTT 102/CELOG-PAMALS/2023 – EMBRAER - PSLI</v>
      </c>
      <c r="N577" s="32" t="str">
        <f t="array" ref="N577">INDEX('MTA 28-09'!U:U,MATCH(B577,'MTA 28-09'!A:A,0))</f>
        <v>Módulo Extra - Atualização do GPS da aeronave 17/30</v>
      </c>
      <c r="O577" s="59">
        <f t="array" ref="O577">INDEX('MTA 28-09'!AC:AC,MATCH(B577,'MTA 28-09'!A:A,0))</f>
        <v>100000</v>
      </c>
      <c r="P577" s="32" t="str">
        <f t="array" ref="P577">INDEX('MTA 28-09'!N:N,MATCH(B577,'MTA 28-09'!A:A,0))</f>
        <v>CELOG</v>
      </c>
      <c r="Q577" s="67" t="str">
        <f t="array" ref="Q577">INDEX('MTA 28-09'!Z:Z,MATCH(B577,'MTA 28-09'!A:A,0))</f>
        <v>339030</v>
      </c>
      <c r="R577" s="32" t="str">
        <f t="array" ref="R577">INDEX('MTA 28-09'!L:L,MATCH(B577,'MTA 28-09'!A:A,0))</f>
        <v>D</v>
      </c>
      <c r="S577" s="72" t="str">
        <f t="array" ref="S577">INDEX('MTA 28-09'!X:X,MATCH(B577,'MTA 28-09'!A:A,0))</f>
        <v>SOB DEMANDA</v>
      </c>
      <c r="T577" s="72" t="str">
        <f t="array" ref="T577">INDEX('MTA 28-09'!W:W,MATCH(B577,'MTA 28-09'!A:A,0))</f>
        <v>Não</v>
      </c>
      <c r="U577" s="81">
        <f t="array" ref="U577">INDEX('MTA 28-09'!AE:AE,MATCH(B577,'MTA 28-09'!A:A,0))</f>
        <v>46384</v>
      </c>
      <c r="V577" s="12"/>
      <c r="W577" s="12"/>
      <c r="X577" s="12"/>
      <c r="Y577" s="12"/>
      <c r="Z577" s="12"/>
      <c r="AA577" s="12"/>
      <c r="AB577" s="12"/>
      <c r="AC577" s="12"/>
      <c r="AD577" s="12"/>
      <c r="AE577" s="12"/>
      <c r="AF577" s="12"/>
      <c r="AG577" s="12"/>
      <c r="AH577" s="12"/>
      <c r="AI577" s="12"/>
      <c r="AJ577" s="12"/>
      <c r="AK577" s="12"/>
      <c r="AL577" s="12"/>
      <c r="AM577" s="12"/>
    </row>
    <row r="578">
      <c r="A578" s="88" t="s">
        <v>39</v>
      </c>
      <c r="B578" s="98">
        <v>19220.0</v>
      </c>
      <c r="C578" s="92" t="str">
        <f t="array" ref="C578">INDEX('MTA 28-09'!B:B,MATCH(B578,'MTA 28-09'!A:A,0))</f>
        <v>SIM</v>
      </c>
      <c r="D578" s="95" t="str">
        <f t="array" ref="D578">INDEX('MTA 28-09'!D:D,MATCH(B578,'MTA 28-09'!A:A,0))</f>
        <v/>
      </c>
      <c r="E578" s="98" t="str">
        <f t="array" ref="E578">INDEX('MTA 28-09'!F:F,MATCH(B578,'MTA 28-09'!A:A,0))</f>
        <v/>
      </c>
      <c r="F578" s="152" t="str">
        <f t="array" ref="F578">INDEX('MTA 28-09'!I:I,MATCH(B578,'MTA 28-09'!A:A,0))</f>
        <v/>
      </c>
      <c r="G578" s="100" t="str">
        <f t="array" ref="G578">INDEX('MTA 28-09'!J:J,MATCH(B578,'MTA 28-09'!A:A,0))</f>
        <v/>
      </c>
      <c r="H578" s="101" t="s">
        <v>1607</v>
      </c>
      <c r="I578" s="98" t="s">
        <v>1620</v>
      </c>
      <c r="J578" s="102"/>
      <c r="K578" s="103"/>
      <c r="L578" s="102" t="str">
        <f t="array" ref="L578">INDEX('MTA 28-09'!S:S,MATCH(B578,'MTA 28-09'!A:A,0))</f>
        <v>A-29</v>
      </c>
      <c r="M578" s="98" t="str">
        <f t="array" ref="M578">INDEX('MTA 28-09'!T:T,MATCH(B578,'MTA 28-09'!A:A,0))</f>
        <v>CTT 102/CELOG-PAMALS/2023 – EMBRAER - PSLI</v>
      </c>
      <c r="N578" s="98" t="str">
        <f t="array" ref="N578">INDEX('MTA 28-09'!U:U,MATCH(B578,'MTA 28-09'!A:A,0))</f>
        <v>Módulo Extra - Atualização do GPS da aeronave 18/30</v>
      </c>
      <c r="O578" s="104">
        <f t="array" ref="O578">INDEX('MTA 28-09'!AC:AC,MATCH(B578,'MTA 28-09'!A:A,0))</f>
        <v>100000</v>
      </c>
      <c r="P578" s="98" t="str">
        <f t="array" ref="P578">INDEX('MTA 28-09'!N:N,MATCH(B578,'MTA 28-09'!A:A,0))</f>
        <v>CELOG</v>
      </c>
      <c r="Q578" s="105" t="str">
        <f t="array" ref="Q578">INDEX('MTA 28-09'!Z:Z,MATCH(B578,'MTA 28-09'!A:A,0))</f>
        <v>339030</v>
      </c>
      <c r="R578" s="98" t="str">
        <f t="array" ref="R578">INDEX('MTA 28-09'!L:L,MATCH(B578,'MTA 28-09'!A:A,0))</f>
        <v>D</v>
      </c>
      <c r="S578" s="107" t="str">
        <f t="array" ref="S578">INDEX('MTA 28-09'!X:X,MATCH(B578,'MTA 28-09'!A:A,0))</f>
        <v>SOB DEMANDA</v>
      </c>
      <c r="T578" s="107" t="str">
        <f t="array" ref="T578">INDEX('MTA 28-09'!W:W,MATCH(B578,'MTA 28-09'!A:A,0))</f>
        <v>Não</v>
      </c>
      <c r="U578" s="109">
        <f t="array" ref="U578">INDEX('MTA 28-09'!AE:AE,MATCH(B578,'MTA 28-09'!A:A,0))</f>
        <v>46384</v>
      </c>
      <c r="V578" s="29"/>
      <c r="W578" s="29"/>
      <c r="X578" s="29"/>
      <c r="Y578" s="29"/>
      <c r="Z578" s="29"/>
      <c r="AA578" s="29"/>
      <c r="AB578" s="29"/>
      <c r="AC578" s="29"/>
      <c r="AD578" s="29"/>
      <c r="AE578" s="29"/>
      <c r="AF578" s="29"/>
      <c r="AG578" s="29"/>
      <c r="AH578" s="29"/>
      <c r="AI578" s="29"/>
      <c r="AJ578" s="29"/>
      <c r="AK578" s="29"/>
      <c r="AL578" s="29"/>
      <c r="AM578" s="29"/>
    </row>
    <row r="579">
      <c r="A579" s="31" t="s">
        <v>1621</v>
      </c>
      <c r="B579" s="32">
        <v>19240.0</v>
      </c>
      <c r="C579" s="33" t="str">
        <f t="array" ref="C579">INDEX('MTA 28-09'!B:B,MATCH(B579,'MTA 28-09'!A:A,0))</f>
        <v>SIM</v>
      </c>
      <c r="D579" s="34" t="str">
        <f t="array" ref="D579">INDEX('MTA 28-09'!D:D,MATCH(B579,'MTA 28-09'!A:A,0))</f>
        <v>20IH</v>
      </c>
      <c r="E579" s="32" t="str">
        <f t="array" ref="E579">INDEX('MTA 28-09'!F:F,MATCH(B579,'MTA 28-09'!A:A,0))</f>
        <v/>
      </c>
      <c r="F579" s="155" t="str">
        <f t="array" ref="F579">INDEX('MTA 28-09'!I:I,MATCH(B579,'MTA 28-09'!A:A,0))</f>
        <v/>
      </c>
      <c r="G579" s="36" t="str">
        <f t="array" ref="G579">INDEX('MTA 28-09'!J:J,MATCH(B579,'MTA 28-09'!A:A,0))</f>
        <v/>
      </c>
      <c r="H579" s="287">
        <v>46276.0</v>
      </c>
      <c r="I579" s="38" t="s">
        <v>1622</v>
      </c>
      <c r="J579" s="39"/>
      <c r="K579" s="40"/>
      <c r="L579" s="39" t="str">
        <f t="array" ref="L579">INDEX('MTA 28-09'!S:S,MATCH(B579,'MTA 28-09'!A:A,0))</f>
        <v>C-98</v>
      </c>
      <c r="M579" s="32" t="str">
        <f t="array" ref="M579">INDEX('MTA 28-09'!T:T,MATCH(B579,'MTA 28-09'!A:A,0))</f>
        <v>CNT XXX/CELOG-PAMALS/2026 - Modernização - C-98</v>
      </c>
      <c r="N579" s="32" t="str">
        <f t="array" ref="N579">INDEX('MTA 28-09'!U:U,MATCH(B579,'MTA 28-09'!A:A,0))</f>
        <v>Modernização 1/4</v>
      </c>
      <c r="O579" s="59">
        <f t="array" ref="O579">INDEX('MTA 28-09'!AC:AC,MATCH(B579,'MTA 28-09'!A:A,0))</f>
        <v>1962977.67</v>
      </c>
      <c r="P579" s="32" t="str">
        <f t="array" ref="P579">INDEX('MTA 28-09'!N:N,MATCH(B579,'MTA 28-09'!A:A,0))</f>
        <v>CELOG</v>
      </c>
      <c r="Q579" s="67" t="str">
        <f t="array" ref="Q579">INDEX('MTA 28-09'!Z:Z,MATCH(B579,'MTA 28-09'!A:A,0))</f>
        <v>339039</v>
      </c>
      <c r="R579" s="32" t="str">
        <f t="array" ref="R579">INDEX('MTA 28-09'!L:L,MATCH(B579,'MTA 28-09'!A:A,0))</f>
        <v>D</v>
      </c>
      <c r="S579" s="72" t="str">
        <f t="array" ref="S579">INDEX('MTA 28-09'!X:X,MATCH(B579,'MTA 28-09'!A:A,0))</f>
        <v>PARCELA FIXA</v>
      </c>
      <c r="T579" s="72" t="str">
        <f t="array" ref="T579">INDEX('MTA 28-09'!W:W,MATCH(B579,'MTA 28-09'!A:A,0))</f>
        <v>Não</v>
      </c>
      <c r="U579" s="81">
        <f t="array" ref="U579">INDEX('MTA 28-09'!AE:AE,MATCH(B579,'MTA 28-09'!A:A,0))</f>
        <v>46049</v>
      </c>
      <c r="V579" s="12"/>
      <c r="W579" s="12"/>
      <c r="X579" s="12"/>
      <c r="Y579" s="12"/>
      <c r="Z579" s="12"/>
      <c r="AA579" s="12"/>
      <c r="AB579" s="12"/>
      <c r="AC579" s="12"/>
      <c r="AD579" s="12"/>
      <c r="AE579" s="12"/>
      <c r="AF579" s="12"/>
      <c r="AG579" s="12"/>
      <c r="AH579" s="12"/>
      <c r="AI579" s="12"/>
      <c r="AJ579" s="12"/>
      <c r="AK579" s="12"/>
      <c r="AL579" s="12"/>
      <c r="AM579" s="12"/>
    </row>
    <row r="580">
      <c r="A580" s="88" t="s">
        <v>1621</v>
      </c>
      <c r="B580" s="90">
        <v>19241.0</v>
      </c>
      <c r="C580" s="92" t="str">
        <f t="array" ref="C580">INDEX('MTA 28-09'!B:B,MATCH(B580,'MTA 28-09'!A:A,0))</f>
        <v>NÃO</v>
      </c>
      <c r="D580" s="95" t="str">
        <f t="array" ref="D580">INDEX('MTA 28-09'!D:D,MATCH(B580,'MTA 28-09'!A:A,0))</f>
        <v/>
      </c>
      <c r="E580" s="98" t="str">
        <f t="array" ref="E580">INDEX('MTA 28-09'!F:F,MATCH(B580,'MTA 28-09'!A:A,0))</f>
        <v>BLOQUEIO</v>
      </c>
      <c r="F580" s="152" t="str">
        <f t="array" ref="F580">INDEX('MTA 28-09'!I:I,MATCH(B580,'MTA 28-09'!A:A,0))</f>
        <v/>
      </c>
      <c r="G580" s="100" t="str">
        <f t="array" ref="G580">INDEX('MTA 28-09'!J:J,MATCH(B580,'MTA 28-09'!A:A,0))</f>
        <v/>
      </c>
      <c r="H580" s="159" t="s">
        <v>157</v>
      </c>
      <c r="I580" s="296"/>
      <c r="J580" s="102"/>
      <c r="K580" s="103"/>
      <c r="L580" s="102" t="str">
        <f t="array" ref="L580">INDEX('MTA 28-09'!S:S,MATCH(B580,'MTA 28-09'!A:A,0))</f>
        <v>C-98</v>
      </c>
      <c r="M580" s="98" t="str">
        <f t="array" ref="M580">INDEX('MTA 28-09'!T:T,MATCH(B580,'MTA 28-09'!A:A,0))</f>
        <v>CNT XXX/CELOG-PAMALS/2026 - Modernização - C-98</v>
      </c>
      <c r="N580" s="98" t="str">
        <f t="array" ref="N580">INDEX('MTA 28-09'!U:U,MATCH(B580,'MTA 28-09'!A:A,0))</f>
        <v>Modernização 1/4</v>
      </c>
      <c r="O580" s="104">
        <f t="array" ref="O580">INDEX('MTA 28-09'!AC:AC,MATCH(B580,'MTA 28-09'!A:A,0))</f>
        <v>2497091</v>
      </c>
      <c r="P580" s="98" t="str">
        <f t="array" ref="P580">INDEX('MTA 28-09'!N:N,MATCH(B580,'MTA 28-09'!A:A,0))</f>
        <v>CELOG</v>
      </c>
      <c r="Q580" s="105" t="str">
        <f t="array" ref="Q580">INDEX('MTA 28-09'!Z:Z,MATCH(B580,'MTA 28-09'!A:A,0))</f>
        <v>339039</v>
      </c>
      <c r="R580" s="98" t="str">
        <f t="array" ref="R580">INDEX('MTA 28-09'!L:L,MATCH(B580,'MTA 28-09'!A:A,0))</f>
        <v>D</v>
      </c>
      <c r="S580" s="107" t="str">
        <f t="array" ref="S580">INDEX('MTA 28-09'!X:X,MATCH(B580,'MTA 28-09'!A:A,0))</f>
        <v>PARCELA FIXA</v>
      </c>
      <c r="T580" s="107" t="str">
        <f t="array" ref="T580">INDEX('MTA 28-09'!W:W,MATCH(B580,'MTA 28-09'!A:A,0))</f>
        <v>Não</v>
      </c>
      <c r="U580" s="109">
        <f t="array" ref="U580">INDEX('MTA 28-09'!AE:AE,MATCH(B580,'MTA 28-09'!A:A,0))</f>
        <v>46049</v>
      </c>
      <c r="V580" s="29"/>
      <c r="W580" s="29"/>
      <c r="X580" s="29"/>
      <c r="Y580" s="29"/>
      <c r="Z580" s="29"/>
      <c r="AA580" s="29"/>
      <c r="AB580" s="29"/>
      <c r="AC580" s="29"/>
      <c r="AD580" s="29"/>
      <c r="AE580" s="29"/>
      <c r="AF580" s="29"/>
      <c r="AG580" s="29"/>
      <c r="AH580" s="29"/>
      <c r="AI580" s="29"/>
      <c r="AJ580" s="29"/>
      <c r="AK580" s="29"/>
      <c r="AL580" s="29"/>
      <c r="AM580" s="29"/>
    </row>
    <row r="581">
      <c r="A581" s="31" t="s">
        <v>1621</v>
      </c>
      <c r="B581" s="38">
        <v>19242.0</v>
      </c>
      <c r="C581" s="33" t="str">
        <f t="array" ref="C581">INDEX('MTA 28-09'!B:B,MATCH(B581,'MTA 28-09'!A:A,0))</f>
        <v>SIM</v>
      </c>
      <c r="D581" s="34" t="str">
        <f t="array" ref="D581">INDEX('MTA 28-09'!D:D,MATCH(B581,'MTA 28-09'!A:A,0))</f>
        <v>20IH</v>
      </c>
      <c r="E581" s="32" t="str">
        <f t="array" ref="E581">INDEX('MTA 28-09'!F:F,MATCH(B581,'MTA 28-09'!A:A,0))</f>
        <v>EM TRÂMITE</v>
      </c>
      <c r="F581" s="35">
        <f t="array" ref="F581">INDEX('MTA 28-09'!I:I,MATCH(B581,'MTA 28-09'!A:A,0))</f>
        <v>46282</v>
      </c>
      <c r="G581" s="36" t="str">
        <f t="array" ref="G581">INDEX('MTA 28-09'!J:J,MATCH(B581,'MTA 28-09'!A:A,0))</f>
        <v>AGND DEFINIÇÃO DA NOVA LINHA DO MTA</v>
      </c>
      <c r="H581" s="287"/>
      <c r="I581" s="38" t="s">
        <v>1623</v>
      </c>
      <c r="J581" s="39"/>
      <c r="K581" s="40"/>
      <c r="L581" s="39"/>
      <c r="M581" s="32" t="str">
        <f t="array" ref="M581">INDEX('MTA 28-09'!T:T,MATCH(B581,'MTA 28-09'!A:A,0))</f>
        <v>CNT XXX/CELOG-PAMALS/2026 - Modernização - C-98</v>
      </c>
      <c r="N581" s="32" t="str">
        <f t="array" ref="N581">INDEX('MTA 28-09'!U:U,MATCH(B581,'MTA 28-09'!A:A,0))</f>
        <v>Modernização 1/4</v>
      </c>
      <c r="O581" s="59">
        <f t="array" ref="O581">INDEX('MTA 28-09'!AC:AC,MATCH(B581,'MTA 28-09'!A:A,0))</f>
        <v>1539931.33</v>
      </c>
      <c r="P581" s="32" t="str">
        <f t="array" ref="P581">INDEX('MTA 28-09'!N:N,MATCH(B581,'MTA 28-09'!A:A,0))</f>
        <v>CELOG</v>
      </c>
      <c r="Q581" s="67" t="str">
        <f t="array" ref="Q581">INDEX('MTA 28-09'!Z:Z,MATCH(B581,'MTA 28-09'!A:A,0))</f>
        <v>339039</v>
      </c>
      <c r="R581" s="32" t="str">
        <f t="array" ref="R581">INDEX('MTA 28-09'!L:L,MATCH(B581,'MTA 28-09'!A:A,0))</f>
        <v>D</v>
      </c>
      <c r="S581" s="72" t="str">
        <f t="array" ref="S581">INDEX('MTA 28-09'!X:X,MATCH(B581,'MTA 28-09'!A:A,0))</f>
        <v>PARCELA FIXA</v>
      </c>
      <c r="T581" s="72" t="str">
        <f t="array" ref="T581">INDEX('MTA 28-09'!W:W,MATCH(B581,'MTA 28-09'!A:A,0))</f>
        <v>Não</v>
      </c>
      <c r="U581" s="81">
        <f t="array" ref="U581">INDEX('MTA 28-09'!AE:AE,MATCH(B581,'MTA 28-09'!A:A,0))</f>
        <v>46049</v>
      </c>
      <c r="V581" s="12"/>
      <c r="W581" s="12"/>
      <c r="X581" s="12"/>
      <c r="Y581" s="12"/>
      <c r="Z581" s="12"/>
      <c r="AA581" s="12"/>
      <c r="AB581" s="12"/>
      <c r="AC581" s="12"/>
      <c r="AD581" s="12"/>
      <c r="AE581" s="12"/>
      <c r="AF581" s="12"/>
      <c r="AG581" s="12"/>
      <c r="AH581" s="12"/>
      <c r="AI581" s="12"/>
      <c r="AJ581" s="12"/>
      <c r="AK581" s="12"/>
      <c r="AL581" s="12"/>
      <c r="AM581" s="12"/>
    </row>
    <row r="582">
      <c r="A582" s="88" t="s">
        <v>1621</v>
      </c>
      <c r="B582" s="90">
        <v>19243.0</v>
      </c>
      <c r="C582" s="92" t="str">
        <f t="array" ref="C582">INDEX('MTA 28-09'!B:B,MATCH(B582,'MTA 28-09'!A:A,0))</f>
        <v>SIM</v>
      </c>
      <c r="D582" s="95" t="str">
        <f t="array" ref="D582">INDEX('MTA 28-09'!D:D,MATCH(B582,'MTA 28-09'!A:A,0))</f>
        <v>20IH</v>
      </c>
      <c r="E582" s="98" t="str">
        <f t="array" ref="E582">INDEX('MTA 28-09'!F:F,MATCH(B582,'MTA 28-09'!A:A,0))</f>
        <v>EM TRÂMITE</v>
      </c>
      <c r="F582" s="99">
        <f t="array" ref="F582">INDEX('MTA 28-09'!I:I,MATCH(B582,'MTA 28-09'!A:A,0))</f>
        <v>46286</v>
      </c>
      <c r="G582" s="100" t="str">
        <f t="array" ref="G582">INDEX('MTA 28-09'!J:J,MATCH(B582,'MTA 28-09'!A:A,0))</f>
        <v>AGND DEFINIÇÃO DA NOVA LINHA DO MTA</v>
      </c>
      <c r="H582" s="159"/>
      <c r="I582" s="90" t="s">
        <v>1623</v>
      </c>
      <c r="J582" s="102"/>
      <c r="K582" s="103"/>
      <c r="L582" s="102"/>
      <c r="M582" s="98" t="str">
        <f t="array" ref="M582">INDEX('MTA 28-09'!T:T,MATCH(B582,'MTA 28-09'!A:A,0))</f>
        <v>CNT XXX/CELOG-PAMALS/2026 - Modernização - C-98</v>
      </c>
      <c r="N582" s="98" t="str">
        <f t="array" ref="N582">INDEX('MTA 28-09'!U:U,MATCH(B582,'MTA 28-09'!A:A,0))</f>
        <v>Modernização 1/4</v>
      </c>
      <c r="O582" s="104">
        <f t="array" ref="O582">INDEX('MTA 28-09'!AC:AC,MATCH(B582,'MTA 28-09'!A:A,0))</f>
        <v>0.77</v>
      </c>
      <c r="P582" s="98" t="str">
        <f t="array" ref="P582">INDEX('MTA 28-09'!N:N,MATCH(B582,'MTA 28-09'!A:A,0))</f>
        <v>CELOG</v>
      </c>
      <c r="Q582" s="105" t="str">
        <f t="array" ref="Q582">INDEX('MTA 28-09'!Z:Z,MATCH(B582,'MTA 28-09'!A:A,0))</f>
        <v>339039</v>
      </c>
      <c r="R582" s="98" t="str">
        <f t="array" ref="R582">INDEX('MTA 28-09'!L:L,MATCH(B582,'MTA 28-09'!A:A,0))</f>
        <v>D</v>
      </c>
      <c r="S582" s="107" t="str">
        <f t="array" ref="S582">INDEX('MTA 28-09'!X:X,MATCH(B582,'MTA 28-09'!A:A,0))</f>
        <v>PARCELA FIXA</v>
      </c>
      <c r="T582" s="107" t="str">
        <f t="array" ref="T582">INDEX('MTA 28-09'!W:W,MATCH(B582,'MTA 28-09'!A:A,0))</f>
        <v>Não</v>
      </c>
      <c r="U582" s="109">
        <f t="array" ref="U582">INDEX('MTA 28-09'!AE:AE,MATCH(B582,'MTA 28-09'!A:A,0))</f>
        <v>46049</v>
      </c>
      <c r="V582" s="29"/>
      <c r="W582" s="29"/>
      <c r="X582" s="29"/>
      <c r="Y582" s="29"/>
      <c r="Z582" s="29"/>
      <c r="AA582" s="29"/>
      <c r="AB582" s="29"/>
      <c r="AC582" s="29"/>
      <c r="AD582" s="29"/>
      <c r="AE582" s="29"/>
      <c r="AF582" s="29"/>
      <c r="AG582" s="29"/>
      <c r="AH582" s="29"/>
      <c r="AI582" s="29"/>
      <c r="AJ582" s="29"/>
      <c r="AK582" s="29"/>
      <c r="AL582" s="29"/>
      <c r="AM582" s="29"/>
    </row>
    <row r="583">
      <c r="A583" s="31" t="s">
        <v>1621</v>
      </c>
      <c r="B583" s="32">
        <v>19260.0</v>
      </c>
      <c r="C583" s="33" t="str">
        <f t="array" ref="C583">INDEX('MTA 28-09'!B:B,MATCH(B583,'MTA 28-09'!A:A,0))</f>
        <v>NÃO</v>
      </c>
      <c r="D583" s="34" t="str">
        <f t="array" ref="D583">INDEX('MTA 28-09'!D:D,MATCH(B583,'MTA 28-09'!A:A,0))</f>
        <v/>
      </c>
      <c r="E583" s="32" t="str">
        <f t="array" ref="E583">INDEX('MTA 28-09'!F:F,MATCH(B583,'MTA 28-09'!A:A,0))</f>
        <v>CANCELADO</v>
      </c>
      <c r="F583" s="155" t="str">
        <f t="array" ref="F583">INDEX('MTA 28-09'!I:I,MATCH(B583,'MTA 28-09'!A:A,0))</f>
        <v/>
      </c>
      <c r="G583" s="36" t="str">
        <f t="array" ref="G583">INDEX('MTA 28-09'!J:J,MATCH(B583,'MTA 28-09'!A:A,0))</f>
        <v/>
      </c>
      <c r="H583" s="287" t="s">
        <v>157</v>
      </c>
      <c r="I583" s="295"/>
      <c r="J583" s="39"/>
      <c r="K583" s="40"/>
      <c r="L583" s="39" t="str">
        <f t="array" ref="L583">INDEX('MTA 28-09'!S:S,MATCH(B583,'MTA 28-09'!A:A,0))</f>
        <v>C-98</v>
      </c>
      <c r="M583" s="32" t="str">
        <f t="array" ref="M583">INDEX('MTA 28-09'!T:T,MATCH(B583,'MTA 28-09'!A:A,0))</f>
        <v>CNT XXX/CELOG-PAMALS/2026 - Modernização - C-98</v>
      </c>
      <c r="N583" s="32" t="str">
        <f t="array" ref="N583">INDEX('MTA 28-09'!U:U,MATCH(B583,'MTA 28-09'!A:A,0))</f>
        <v>Modernização 2/4</v>
      </c>
      <c r="O583" s="59" t="str">
        <f t="array" ref="O583">INDEX('MTA 28-09'!AC:AC,MATCH(B583,'MTA 28-09'!A:A,0))</f>
        <v> -</v>
      </c>
      <c r="P583" s="32" t="str">
        <f t="array" ref="P583">INDEX('MTA 28-09'!N:N,MATCH(B583,'MTA 28-09'!A:A,0))</f>
        <v>CELOG</v>
      </c>
      <c r="Q583" s="67" t="str">
        <f t="array" ref="Q583">INDEX('MTA 28-09'!Z:Z,MATCH(B583,'MTA 28-09'!A:A,0))</f>
        <v>339039</v>
      </c>
      <c r="R583" s="32" t="str">
        <f t="array" ref="R583">INDEX('MTA 28-09'!L:L,MATCH(B583,'MTA 28-09'!A:A,0))</f>
        <v>D</v>
      </c>
      <c r="S583" s="72" t="str">
        <f t="array" ref="S583">INDEX('MTA 28-09'!X:X,MATCH(B583,'MTA 28-09'!A:A,0))</f>
        <v>PARCELA FIXA</v>
      </c>
      <c r="T583" s="72" t="str">
        <f t="array" ref="T583">INDEX('MTA 28-09'!W:W,MATCH(B583,'MTA 28-09'!A:A,0))</f>
        <v>Não</v>
      </c>
      <c r="U583" s="81">
        <f t="array" ref="U583">INDEX('MTA 28-09'!AE:AE,MATCH(B583,'MTA 28-09'!A:A,0))</f>
        <v>46139</v>
      </c>
      <c r="V583" s="12"/>
      <c r="W583" s="12"/>
      <c r="X583" s="12"/>
      <c r="Y583" s="12"/>
      <c r="Z583" s="12"/>
      <c r="AA583" s="12"/>
      <c r="AB583" s="12"/>
      <c r="AC583" s="12"/>
      <c r="AD583" s="12"/>
      <c r="AE583" s="12"/>
      <c r="AF583" s="12"/>
      <c r="AG583" s="12"/>
      <c r="AH583" s="12"/>
      <c r="AI583" s="12"/>
      <c r="AJ583" s="12"/>
      <c r="AK583" s="12"/>
      <c r="AL583" s="12"/>
      <c r="AM583" s="12"/>
    </row>
    <row r="584">
      <c r="A584" s="88" t="s">
        <v>39</v>
      </c>
      <c r="B584" s="98">
        <v>19280.0</v>
      </c>
      <c r="C584" s="92" t="str">
        <f t="array" ref="C584">INDEX('MTA 28-09'!B:B,MATCH(B584,'MTA 28-09'!A:A,0))</f>
        <v>SIM</v>
      </c>
      <c r="D584" s="95" t="str">
        <f t="array" ref="D584">INDEX('MTA 28-09'!D:D,MATCH(B584,'MTA 28-09'!A:A,0))</f>
        <v/>
      </c>
      <c r="E584" s="98" t="str">
        <f t="array" ref="E584">INDEX('MTA 28-09'!F:F,MATCH(B584,'MTA 28-09'!A:A,0))</f>
        <v/>
      </c>
      <c r="F584" s="152" t="str">
        <f t="array" ref="F584">INDEX('MTA 28-09'!I:I,MATCH(B584,'MTA 28-09'!A:A,0))</f>
        <v/>
      </c>
      <c r="G584" s="100" t="str">
        <f t="array" ref="G584">INDEX('MTA 28-09'!J:J,MATCH(B584,'MTA 28-09'!A:A,0))</f>
        <v/>
      </c>
      <c r="H584" s="101" t="s">
        <v>1607</v>
      </c>
      <c r="I584" s="98" t="s">
        <v>1620</v>
      </c>
      <c r="J584" s="102"/>
      <c r="K584" s="103"/>
      <c r="L584" s="102" t="str">
        <f t="array" ref="L584">INDEX('MTA 28-09'!S:S,MATCH(B584,'MTA 28-09'!A:A,0))</f>
        <v>A-29</v>
      </c>
      <c r="M584" s="98" t="str">
        <f t="array" ref="M584">INDEX('MTA 28-09'!T:T,MATCH(B584,'MTA 28-09'!A:A,0))</f>
        <v>CTT 102/CELOG-PAMALS/2023 – EMBRAER - PSLI</v>
      </c>
      <c r="N584" s="98" t="str">
        <f t="array" ref="N584">INDEX('MTA 28-09'!U:U,MATCH(B584,'MTA 28-09'!A:A,0))</f>
        <v>Módulo Extra - Atualização do GPS da aeronave 19/30</v>
      </c>
      <c r="O584" s="104">
        <f t="array" ref="O584">INDEX('MTA 28-09'!AC:AC,MATCH(B584,'MTA 28-09'!A:A,0))</f>
        <v>100000</v>
      </c>
      <c r="P584" s="98" t="str">
        <f t="array" ref="P584">INDEX('MTA 28-09'!N:N,MATCH(B584,'MTA 28-09'!A:A,0))</f>
        <v>CELOG</v>
      </c>
      <c r="Q584" s="105" t="str">
        <f t="array" ref="Q584">INDEX('MTA 28-09'!Z:Z,MATCH(B584,'MTA 28-09'!A:A,0))</f>
        <v>339030</v>
      </c>
      <c r="R584" s="98" t="str">
        <f t="array" ref="R584">INDEX('MTA 28-09'!L:L,MATCH(B584,'MTA 28-09'!A:A,0))</f>
        <v>D</v>
      </c>
      <c r="S584" s="107" t="str">
        <f t="array" ref="S584">INDEX('MTA 28-09'!X:X,MATCH(B584,'MTA 28-09'!A:A,0))</f>
        <v>SOB DEMANDA</v>
      </c>
      <c r="T584" s="107" t="str">
        <f t="array" ref="T584">INDEX('MTA 28-09'!W:W,MATCH(B584,'MTA 28-09'!A:A,0))</f>
        <v>Não</v>
      </c>
      <c r="U584" s="109">
        <f t="array" ref="U584">INDEX('MTA 28-09'!AE:AE,MATCH(B584,'MTA 28-09'!A:A,0))</f>
        <v>46384</v>
      </c>
      <c r="V584" s="29"/>
      <c r="W584" s="29"/>
      <c r="X584" s="29"/>
      <c r="Y584" s="29"/>
      <c r="Z584" s="29"/>
      <c r="AA584" s="29"/>
      <c r="AB584" s="29"/>
      <c r="AC584" s="29"/>
      <c r="AD584" s="29"/>
      <c r="AE584" s="29"/>
      <c r="AF584" s="29"/>
      <c r="AG584" s="29"/>
      <c r="AH584" s="29"/>
      <c r="AI584" s="29"/>
      <c r="AJ584" s="29"/>
      <c r="AK584" s="29"/>
      <c r="AL584" s="29"/>
      <c r="AM584" s="29"/>
    </row>
    <row r="585">
      <c r="A585" s="31" t="s">
        <v>39</v>
      </c>
      <c r="B585" s="32">
        <v>19300.0</v>
      </c>
      <c r="C585" s="33" t="str">
        <f t="array" ref="C585">INDEX('MTA 28-09'!B:B,MATCH(B585,'MTA 28-09'!A:A,0))</f>
        <v>SIM</v>
      </c>
      <c r="D585" s="34" t="str">
        <f t="array" ref="D585">INDEX('MTA 28-09'!D:D,MATCH(B585,'MTA 28-09'!A:A,0))</f>
        <v/>
      </c>
      <c r="E585" s="32" t="str">
        <f t="array" ref="E585">INDEX('MTA 28-09'!F:F,MATCH(B585,'MTA 28-09'!A:A,0))</f>
        <v/>
      </c>
      <c r="F585" s="155" t="str">
        <f t="array" ref="F585">INDEX('MTA 28-09'!I:I,MATCH(B585,'MTA 28-09'!A:A,0))</f>
        <v/>
      </c>
      <c r="G585" s="36" t="str">
        <f t="array" ref="G585">INDEX('MTA 28-09'!J:J,MATCH(B585,'MTA 28-09'!A:A,0))</f>
        <v/>
      </c>
      <c r="H585" s="37" t="s">
        <v>1607</v>
      </c>
      <c r="I585" s="32" t="s">
        <v>1620</v>
      </c>
      <c r="J585" s="39"/>
      <c r="K585" s="40"/>
      <c r="L585" s="39" t="str">
        <f t="array" ref="L585">INDEX('MTA 28-09'!S:S,MATCH(B585,'MTA 28-09'!A:A,0))</f>
        <v>A-29</v>
      </c>
      <c r="M585" s="32" t="str">
        <f t="array" ref="M585">INDEX('MTA 28-09'!T:T,MATCH(B585,'MTA 28-09'!A:A,0))</f>
        <v>CTT 102/CELOG-PAMALS/2023 – EMBRAER - PSLI</v>
      </c>
      <c r="N585" s="32" t="str">
        <f t="array" ref="N585">INDEX('MTA 28-09'!U:U,MATCH(B585,'MTA 28-09'!A:A,0))</f>
        <v>Módulo Extra - Atualização do GPS da aeronave 20/30</v>
      </c>
      <c r="O585" s="59">
        <f t="array" ref="O585">INDEX('MTA 28-09'!AC:AC,MATCH(B585,'MTA 28-09'!A:A,0))</f>
        <v>100000</v>
      </c>
      <c r="P585" s="32" t="str">
        <f t="array" ref="P585">INDEX('MTA 28-09'!N:N,MATCH(B585,'MTA 28-09'!A:A,0))</f>
        <v>CELOG</v>
      </c>
      <c r="Q585" s="67" t="str">
        <f t="array" ref="Q585">INDEX('MTA 28-09'!Z:Z,MATCH(B585,'MTA 28-09'!A:A,0))</f>
        <v>339030</v>
      </c>
      <c r="R585" s="32" t="str">
        <f t="array" ref="R585">INDEX('MTA 28-09'!L:L,MATCH(B585,'MTA 28-09'!A:A,0))</f>
        <v>D</v>
      </c>
      <c r="S585" s="72" t="str">
        <f t="array" ref="S585">INDEX('MTA 28-09'!X:X,MATCH(B585,'MTA 28-09'!A:A,0))</f>
        <v>SOB DEMANDA</v>
      </c>
      <c r="T585" s="72" t="str">
        <f t="array" ref="T585">INDEX('MTA 28-09'!W:W,MATCH(B585,'MTA 28-09'!A:A,0))</f>
        <v>Não</v>
      </c>
      <c r="U585" s="81">
        <f t="array" ref="U585">INDEX('MTA 28-09'!AE:AE,MATCH(B585,'MTA 28-09'!A:A,0))</f>
        <v>46384</v>
      </c>
      <c r="V585" s="12"/>
      <c r="W585" s="12"/>
      <c r="X585" s="12"/>
      <c r="Y585" s="12"/>
      <c r="Z585" s="12"/>
      <c r="AA585" s="12"/>
      <c r="AB585" s="12"/>
      <c r="AC585" s="12"/>
      <c r="AD585" s="12"/>
      <c r="AE585" s="12"/>
      <c r="AF585" s="12"/>
      <c r="AG585" s="12"/>
      <c r="AH585" s="12"/>
      <c r="AI585" s="12"/>
      <c r="AJ585" s="12"/>
      <c r="AK585" s="12"/>
      <c r="AL585" s="12"/>
      <c r="AM585" s="12"/>
    </row>
    <row r="586">
      <c r="A586" s="88" t="s">
        <v>39</v>
      </c>
      <c r="B586" s="98">
        <v>19320.0</v>
      </c>
      <c r="C586" s="92" t="str">
        <f t="array" ref="C586">INDEX('MTA 28-09'!B:B,MATCH(B586,'MTA 28-09'!A:A,0))</f>
        <v>SIM</v>
      </c>
      <c r="D586" s="95" t="str">
        <f t="array" ref="D586">INDEX('MTA 28-09'!D:D,MATCH(B586,'MTA 28-09'!A:A,0))</f>
        <v/>
      </c>
      <c r="E586" s="98" t="str">
        <f t="array" ref="E586">INDEX('MTA 28-09'!F:F,MATCH(B586,'MTA 28-09'!A:A,0))</f>
        <v/>
      </c>
      <c r="F586" s="152" t="str">
        <f t="array" ref="F586">INDEX('MTA 28-09'!I:I,MATCH(B586,'MTA 28-09'!A:A,0))</f>
        <v/>
      </c>
      <c r="G586" s="100" t="str">
        <f t="array" ref="G586">INDEX('MTA 28-09'!J:J,MATCH(B586,'MTA 28-09'!A:A,0))</f>
        <v/>
      </c>
      <c r="H586" s="101" t="s">
        <v>1607</v>
      </c>
      <c r="I586" s="98" t="s">
        <v>1620</v>
      </c>
      <c r="J586" s="102"/>
      <c r="K586" s="103"/>
      <c r="L586" s="102" t="str">
        <f t="array" ref="L586">INDEX('MTA 28-09'!S:S,MATCH(B586,'MTA 28-09'!A:A,0))</f>
        <v>A-29</v>
      </c>
      <c r="M586" s="98" t="str">
        <f t="array" ref="M586">INDEX('MTA 28-09'!T:T,MATCH(B586,'MTA 28-09'!A:A,0))</f>
        <v>CTT 102/CELOG-PAMALS/2023 – EMBRAER - PSLI</v>
      </c>
      <c r="N586" s="98" t="str">
        <f t="array" ref="N586">INDEX('MTA 28-09'!U:U,MATCH(B586,'MTA 28-09'!A:A,0))</f>
        <v>Módulo Extra - Atualização do GPS da aeronave 21/30</v>
      </c>
      <c r="O586" s="104">
        <f t="array" ref="O586">INDEX('MTA 28-09'!AC:AC,MATCH(B586,'MTA 28-09'!A:A,0))</f>
        <v>100000</v>
      </c>
      <c r="P586" s="98" t="str">
        <f t="array" ref="P586">INDEX('MTA 28-09'!N:N,MATCH(B586,'MTA 28-09'!A:A,0))</f>
        <v>CELOG</v>
      </c>
      <c r="Q586" s="105" t="str">
        <f t="array" ref="Q586">INDEX('MTA 28-09'!Z:Z,MATCH(B586,'MTA 28-09'!A:A,0))</f>
        <v>339030</v>
      </c>
      <c r="R586" s="98" t="str">
        <f t="array" ref="R586">INDEX('MTA 28-09'!L:L,MATCH(B586,'MTA 28-09'!A:A,0))</f>
        <v>D</v>
      </c>
      <c r="S586" s="107" t="str">
        <f t="array" ref="S586">INDEX('MTA 28-09'!X:X,MATCH(B586,'MTA 28-09'!A:A,0))</f>
        <v>SOB DEMANDA</v>
      </c>
      <c r="T586" s="107" t="str">
        <f t="array" ref="T586">INDEX('MTA 28-09'!W:W,MATCH(B586,'MTA 28-09'!A:A,0))</f>
        <v>Não</v>
      </c>
      <c r="U586" s="109">
        <f t="array" ref="U586">INDEX('MTA 28-09'!AE:AE,MATCH(B586,'MTA 28-09'!A:A,0))</f>
        <v>46384</v>
      </c>
      <c r="V586" s="29"/>
      <c r="W586" s="29"/>
      <c r="X586" s="29"/>
      <c r="Y586" s="29"/>
      <c r="Z586" s="29"/>
      <c r="AA586" s="29"/>
      <c r="AB586" s="29"/>
      <c r="AC586" s="29"/>
      <c r="AD586" s="29"/>
      <c r="AE586" s="29"/>
      <c r="AF586" s="29"/>
      <c r="AG586" s="29"/>
      <c r="AH586" s="29"/>
      <c r="AI586" s="29"/>
      <c r="AJ586" s="29"/>
      <c r="AK586" s="29"/>
      <c r="AL586" s="29"/>
      <c r="AM586" s="29"/>
    </row>
    <row r="587">
      <c r="A587" s="31" t="s">
        <v>39</v>
      </c>
      <c r="B587" s="32">
        <v>19340.0</v>
      </c>
      <c r="C587" s="33" t="str">
        <f t="array" ref="C587">INDEX('MTA 28-09'!B:B,MATCH(B587,'MTA 28-09'!A:A,0))</f>
        <v>SIM</v>
      </c>
      <c r="D587" s="34" t="str">
        <f t="array" ref="D587">INDEX('MTA 28-09'!D:D,MATCH(B587,'MTA 28-09'!A:A,0))</f>
        <v/>
      </c>
      <c r="E587" s="32" t="str">
        <f t="array" ref="E587">INDEX('MTA 28-09'!F:F,MATCH(B587,'MTA 28-09'!A:A,0))</f>
        <v/>
      </c>
      <c r="F587" s="155" t="str">
        <f t="array" ref="F587">INDEX('MTA 28-09'!I:I,MATCH(B587,'MTA 28-09'!A:A,0))</f>
        <v/>
      </c>
      <c r="G587" s="36" t="str">
        <f t="array" ref="G587">INDEX('MTA 28-09'!J:J,MATCH(B587,'MTA 28-09'!A:A,0))</f>
        <v/>
      </c>
      <c r="H587" s="37" t="s">
        <v>1607</v>
      </c>
      <c r="I587" s="32" t="s">
        <v>1620</v>
      </c>
      <c r="J587" s="39"/>
      <c r="K587" s="40"/>
      <c r="L587" s="39" t="str">
        <f t="array" ref="L587">INDEX('MTA 28-09'!S:S,MATCH(B587,'MTA 28-09'!A:A,0))</f>
        <v>A-29</v>
      </c>
      <c r="M587" s="32" t="str">
        <f t="array" ref="M587">INDEX('MTA 28-09'!T:T,MATCH(B587,'MTA 28-09'!A:A,0))</f>
        <v>CTT 102/CELOG-PAMALS/2023 – EMBRAER - PSLI</v>
      </c>
      <c r="N587" s="32" t="str">
        <f t="array" ref="N587">INDEX('MTA 28-09'!U:U,MATCH(B587,'MTA 28-09'!A:A,0))</f>
        <v>Módulo Extra - Atualização do GPS da aeronave 22/30</v>
      </c>
      <c r="O587" s="59">
        <f t="array" ref="O587">INDEX('MTA 28-09'!AC:AC,MATCH(B587,'MTA 28-09'!A:A,0))</f>
        <v>100000</v>
      </c>
      <c r="P587" s="32" t="str">
        <f t="array" ref="P587">INDEX('MTA 28-09'!N:N,MATCH(B587,'MTA 28-09'!A:A,0))</f>
        <v>CELOG</v>
      </c>
      <c r="Q587" s="67" t="str">
        <f t="array" ref="Q587">INDEX('MTA 28-09'!Z:Z,MATCH(B587,'MTA 28-09'!A:A,0))</f>
        <v>339030</v>
      </c>
      <c r="R587" s="32" t="str">
        <f t="array" ref="R587">INDEX('MTA 28-09'!L:L,MATCH(B587,'MTA 28-09'!A:A,0))</f>
        <v>D</v>
      </c>
      <c r="S587" s="72" t="str">
        <f t="array" ref="S587">INDEX('MTA 28-09'!X:X,MATCH(B587,'MTA 28-09'!A:A,0))</f>
        <v>SOB DEMANDA</v>
      </c>
      <c r="T587" s="72" t="str">
        <f t="array" ref="T587">INDEX('MTA 28-09'!W:W,MATCH(B587,'MTA 28-09'!A:A,0))</f>
        <v>Não</v>
      </c>
      <c r="U587" s="81">
        <f t="array" ref="U587">INDEX('MTA 28-09'!AE:AE,MATCH(B587,'MTA 28-09'!A:A,0))</f>
        <v>46384</v>
      </c>
      <c r="V587" s="12"/>
      <c r="W587" s="12"/>
      <c r="X587" s="12"/>
      <c r="Y587" s="12"/>
      <c r="Z587" s="12"/>
      <c r="AA587" s="12"/>
      <c r="AB587" s="12"/>
      <c r="AC587" s="12"/>
      <c r="AD587" s="12"/>
      <c r="AE587" s="12"/>
      <c r="AF587" s="12"/>
      <c r="AG587" s="12"/>
      <c r="AH587" s="12"/>
      <c r="AI587" s="12"/>
      <c r="AJ587" s="12"/>
      <c r="AK587" s="12"/>
      <c r="AL587" s="12"/>
      <c r="AM587" s="12"/>
    </row>
    <row r="588">
      <c r="A588" s="88" t="s">
        <v>39</v>
      </c>
      <c r="B588" s="98">
        <v>19360.0</v>
      </c>
      <c r="C588" s="92" t="str">
        <f t="array" ref="C588">INDEX('MTA 28-09'!B:B,MATCH(B588,'MTA 28-09'!A:A,0))</f>
        <v>SIM</v>
      </c>
      <c r="D588" s="95" t="str">
        <f t="array" ref="D588">INDEX('MTA 28-09'!D:D,MATCH(B588,'MTA 28-09'!A:A,0))</f>
        <v/>
      </c>
      <c r="E588" s="98" t="str">
        <f t="array" ref="E588">INDEX('MTA 28-09'!F:F,MATCH(B588,'MTA 28-09'!A:A,0))</f>
        <v/>
      </c>
      <c r="F588" s="152" t="str">
        <f t="array" ref="F588">INDEX('MTA 28-09'!I:I,MATCH(B588,'MTA 28-09'!A:A,0))</f>
        <v/>
      </c>
      <c r="G588" s="100" t="str">
        <f t="array" ref="G588">INDEX('MTA 28-09'!J:J,MATCH(B588,'MTA 28-09'!A:A,0))</f>
        <v/>
      </c>
      <c r="H588" s="101" t="s">
        <v>1607</v>
      </c>
      <c r="I588" s="98" t="s">
        <v>1620</v>
      </c>
      <c r="J588" s="102"/>
      <c r="K588" s="103"/>
      <c r="L588" s="102" t="str">
        <f t="array" ref="L588">INDEX('MTA 28-09'!S:S,MATCH(B588,'MTA 28-09'!A:A,0))</f>
        <v>A-29</v>
      </c>
      <c r="M588" s="98" t="str">
        <f t="array" ref="M588">INDEX('MTA 28-09'!T:T,MATCH(B588,'MTA 28-09'!A:A,0))</f>
        <v>CTT 102/CELOG-PAMALS/2023 – EMBRAER - PSLI</v>
      </c>
      <c r="N588" s="98" t="str">
        <f t="array" ref="N588">INDEX('MTA 28-09'!U:U,MATCH(B588,'MTA 28-09'!A:A,0))</f>
        <v>Módulo Extra - Atualização do GPS da aeronave 23/30</v>
      </c>
      <c r="O588" s="104">
        <f t="array" ref="O588">INDEX('MTA 28-09'!AC:AC,MATCH(B588,'MTA 28-09'!A:A,0))</f>
        <v>100000</v>
      </c>
      <c r="P588" s="98" t="str">
        <f t="array" ref="P588">INDEX('MTA 28-09'!N:N,MATCH(B588,'MTA 28-09'!A:A,0))</f>
        <v>CELOG</v>
      </c>
      <c r="Q588" s="105" t="str">
        <f t="array" ref="Q588">INDEX('MTA 28-09'!Z:Z,MATCH(B588,'MTA 28-09'!A:A,0))</f>
        <v>339030</v>
      </c>
      <c r="R588" s="98" t="str">
        <f t="array" ref="R588">INDEX('MTA 28-09'!L:L,MATCH(B588,'MTA 28-09'!A:A,0))</f>
        <v>D</v>
      </c>
      <c r="S588" s="107" t="str">
        <f t="array" ref="S588">INDEX('MTA 28-09'!X:X,MATCH(B588,'MTA 28-09'!A:A,0))</f>
        <v>SOB DEMANDA</v>
      </c>
      <c r="T588" s="107" t="str">
        <f t="array" ref="T588">INDEX('MTA 28-09'!W:W,MATCH(B588,'MTA 28-09'!A:A,0))</f>
        <v>Não</v>
      </c>
      <c r="U588" s="109">
        <f t="array" ref="U588">INDEX('MTA 28-09'!AE:AE,MATCH(B588,'MTA 28-09'!A:A,0))</f>
        <v>46384</v>
      </c>
      <c r="V588" s="29"/>
      <c r="W588" s="29"/>
      <c r="X588" s="29"/>
      <c r="Y588" s="29"/>
      <c r="Z588" s="29"/>
      <c r="AA588" s="29"/>
      <c r="AB588" s="29"/>
      <c r="AC588" s="29"/>
      <c r="AD588" s="29"/>
      <c r="AE588" s="29"/>
      <c r="AF588" s="29"/>
      <c r="AG588" s="29"/>
      <c r="AH588" s="29"/>
      <c r="AI588" s="29"/>
      <c r="AJ588" s="29"/>
      <c r="AK588" s="29"/>
      <c r="AL588" s="29"/>
      <c r="AM588" s="29"/>
    </row>
    <row r="589">
      <c r="A589" s="31" t="s">
        <v>39</v>
      </c>
      <c r="B589" s="32">
        <v>19380.0</v>
      </c>
      <c r="C589" s="33" t="str">
        <f t="array" ref="C589">INDEX('MTA 28-09'!B:B,MATCH(B589,'MTA 28-09'!A:A,0))</f>
        <v>SIM</v>
      </c>
      <c r="D589" s="34" t="str">
        <f t="array" ref="D589">INDEX('MTA 28-09'!D:D,MATCH(B589,'MTA 28-09'!A:A,0))</f>
        <v/>
      </c>
      <c r="E589" s="32" t="str">
        <f t="array" ref="E589">INDEX('MTA 28-09'!F:F,MATCH(B589,'MTA 28-09'!A:A,0))</f>
        <v/>
      </c>
      <c r="F589" s="155" t="str">
        <f t="array" ref="F589">INDEX('MTA 28-09'!I:I,MATCH(B589,'MTA 28-09'!A:A,0))</f>
        <v/>
      </c>
      <c r="G589" s="36" t="str">
        <f t="array" ref="G589">INDEX('MTA 28-09'!J:J,MATCH(B589,'MTA 28-09'!A:A,0))</f>
        <v/>
      </c>
      <c r="H589" s="37" t="s">
        <v>1607</v>
      </c>
      <c r="I589" s="32" t="s">
        <v>1620</v>
      </c>
      <c r="J589" s="39"/>
      <c r="K589" s="40"/>
      <c r="L589" s="39" t="str">
        <f t="array" ref="L589">INDEX('MTA 28-09'!S:S,MATCH(B589,'MTA 28-09'!A:A,0))</f>
        <v>A-29</v>
      </c>
      <c r="M589" s="32" t="str">
        <f t="array" ref="M589">INDEX('MTA 28-09'!T:T,MATCH(B589,'MTA 28-09'!A:A,0))</f>
        <v>CTT 102/CELOG-PAMALS/2023 – EMBRAER - PSLI</v>
      </c>
      <c r="N589" s="32" t="str">
        <f t="array" ref="N589">INDEX('MTA 28-09'!U:U,MATCH(B589,'MTA 28-09'!A:A,0))</f>
        <v>Módulo Extra - Atualização do GPS da aeronave 24/30</v>
      </c>
      <c r="O589" s="59">
        <f t="array" ref="O589">INDEX('MTA 28-09'!AC:AC,MATCH(B589,'MTA 28-09'!A:A,0))</f>
        <v>100000</v>
      </c>
      <c r="P589" s="32" t="str">
        <f t="array" ref="P589">INDEX('MTA 28-09'!N:N,MATCH(B589,'MTA 28-09'!A:A,0))</f>
        <v>CELOG</v>
      </c>
      <c r="Q589" s="67" t="str">
        <f t="array" ref="Q589">INDEX('MTA 28-09'!Z:Z,MATCH(B589,'MTA 28-09'!A:A,0))</f>
        <v>339030</v>
      </c>
      <c r="R589" s="32" t="str">
        <f t="array" ref="R589">INDEX('MTA 28-09'!L:L,MATCH(B589,'MTA 28-09'!A:A,0))</f>
        <v>D</v>
      </c>
      <c r="S589" s="72" t="str">
        <f t="array" ref="S589">INDEX('MTA 28-09'!X:X,MATCH(B589,'MTA 28-09'!A:A,0))</f>
        <v>SOB DEMANDA</v>
      </c>
      <c r="T589" s="72" t="str">
        <f t="array" ref="T589">INDEX('MTA 28-09'!W:W,MATCH(B589,'MTA 28-09'!A:A,0))</f>
        <v>Não</v>
      </c>
      <c r="U589" s="81">
        <f t="array" ref="U589">INDEX('MTA 28-09'!AE:AE,MATCH(B589,'MTA 28-09'!A:A,0))</f>
        <v>46384</v>
      </c>
      <c r="V589" s="12"/>
      <c r="W589" s="12"/>
      <c r="X589" s="12"/>
      <c r="Y589" s="12"/>
      <c r="Z589" s="12"/>
      <c r="AA589" s="12"/>
      <c r="AB589" s="12"/>
      <c r="AC589" s="12"/>
      <c r="AD589" s="12"/>
      <c r="AE589" s="12"/>
      <c r="AF589" s="12"/>
      <c r="AG589" s="12"/>
      <c r="AH589" s="12"/>
      <c r="AI589" s="12"/>
      <c r="AJ589" s="12"/>
      <c r="AK589" s="12"/>
      <c r="AL589" s="12"/>
      <c r="AM589" s="12"/>
    </row>
    <row r="590">
      <c r="A590" s="88" t="s">
        <v>1610</v>
      </c>
      <c r="B590" s="98">
        <v>19400.0</v>
      </c>
      <c r="C590" s="92" t="str">
        <f t="array" ref="C590">INDEX('MTA 28-09'!B:B,MATCH(B590,'MTA 28-09'!A:A,0))</f>
        <v>NÃO</v>
      </c>
      <c r="D590" s="95" t="str">
        <f t="array" ref="D590">INDEX('MTA 28-09'!D:D,MATCH(B590,'MTA 28-09'!A:A,0))</f>
        <v>20IH</v>
      </c>
      <c r="E590" s="98" t="str">
        <f t="array" ref="E590">INDEX('MTA 28-09'!F:F,MATCH(B590,'MTA 28-09'!A:A,0))</f>
        <v/>
      </c>
      <c r="F590" s="152" t="str">
        <f t="array" ref="F590">INDEX('MTA 28-09'!I:I,MATCH(B590,'MTA 28-09'!A:A,0))</f>
        <v/>
      </c>
      <c r="G590" s="100" t="str">
        <f t="array" ref="G590">INDEX('MTA 28-09'!J:J,MATCH(B590,'MTA 28-09'!A:A,0))</f>
        <v/>
      </c>
      <c r="H590" s="159" t="s">
        <v>157</v>
      </c>
      <c r="I590" s="296"/>
      <c r="J590" s="102"/>
      <c r="K590" s="103"/>
      <c r="L590" s="102" t="str">
        <f t="array" ref="L590">INDEX('MTA 28-09'!S:S,MATCH(B590,'MTA 28-09'!A:A,0))</f>
        <v>T-25</v>
      </c>
      <c r="M590" s="98" t="str">
        <f t="array" ref="M590">INDEX('MTA 28-09'!T:T,MATCH(B590,'MTA 28-09'!A:A,0))</f>
        <v>Requisição CABW</v>
      </c>
      <c r="N590" s="98" t="str">
        <f t="array" ref="N590">INDEX('MTA 28-09'!U:U,MATCH(B590,'MTA 28-09'!A:A,0))</f>
        <v>Requisições Consumíveis - Modernização 2/2</v>
      </c>
      <c r="O590" s="104">
        <f t="array" ref="O590">INDEX('MTA 28-09'!AC:AC,MATCH(B590,'MTA 28-09'!A:A,0))</f>
        <v>2500000</v>
      </c>
      <c r="P590" s="98" t="str">
        <f t="array" ref="P590">INDEX('MTA 28-09'!N:N,MATCH(B590,'MTA 28-09'!A:A,0))</f>
        <v>CABW</v>
      </c>
      <c r="Q590" s="105" t="str">
        <f t="array" ref="Q590">INDEX('MTA 28-09'!Z:Z,MATCH(B590,'MTA 28-09'!A:A,0))</f>
        <v>339030</v>
      </c>
      <c r="R590" s="98" t="str">
        <f t="array" ref="R590">INDEX('MTA 28-09'!L:L,MATCH(B590,'MTA 28-09'!A:A,0))</f>
        <v>D</v>
      </c>
      <c r="S590" s="107" t="str">
        <f t="array" ref="S590">INDEX('MTA 28-09'!X:X,MATCH(B590,'MTA 28-09'!A:A,0))</f>
        <v>REQUISIÇÃO</v>
      </c>
      <c r="T590" s="107" t="str">
        <f t="array" ref="T590">INDEX('MTA 28-09'!W:W,MATCH(B590,'MTA 28-09'!A:A,0))</f>
        <v>Não</v>
      </c>
      <c r="U590" s="109">
        <f t="array" ref="U590">INDEX('MTA 28-09'!AE:AE,MATCH(B590,'MTA 28-09'!A:A,0))</f>
        <v>46291</v>
      </c>
      <c r="V590" s="29"/>
      <c r="W590" s="29"/>
      <c r="X590" s="29"/>
      <c r="Y590" s="29"/>
      <c r="Z590" s="29"/>
      <c r="AA590" s="29"/>
      <c r="AB590" s="29"/>
      <c r="AC590" s="29"/>
      <c r="AD590" s="29"/>
      <c r="AE590" s="29"/>
      <c r="AF590" s="29"/>
      <c r="AG590" s="29"/>
      <c r="AH590" s="29"/>
      <c r="AI590" s="29"/>
      <c r="AJ590" s="29"/>
      <c r="AK590" s="29"/>
      <c r="AL590" s="29"/>
      <c r="AM590" s="29"/>
    </row>
    <row r="591">
      <c r="A591" s="31" t="s">
        <v>1612</v>
      </c>
      <c r="B591" s="32">
        <v>19420.0</v>
      </c>
      <c r="C591" s="33" t="str">
        <f t="array" ref="C591">INDEX('MTA 28-09'!B:B,MATCH(B591,'MTA 28-09'!A:A,0))</f>
        <v>SIM</v>
      </c>
      <c r="D591" s="34" t="str">
        <f t="array" ref="D591">INDEX('MTA 28-09'!D:D,MATCH(B591,'MTA 28-09'!A:A,0))</f>
        <v>20IH</v>
      </c>
      <c r="E591" s="32" t="str">
        <f t="array" ref="E591">INDEX('MTA 28-09'!F:F,MATCH(B591,'MTA 28-09'!A:A,0))</f>
        <v/>
      </c>
      <c r="F591" s="155" t="str">
        <f t="array" ref="F591">INDEX('MTA 28-09'!I:I,MATCH(B591,'MTA 28-09'!A:A,0))</f>
        <v/>
      </c>
      <c r="G591" s="36" t="str">
        <f t="array" ref="G591">INDEX('MTA 28-09'!J:J,MATCH(B591,'MTA 28-09'!A:A,0))</f>
        <v/>
      </c>
      <c r="H591" s="287" t="s">
        <v>157</v>
      </c>
      <c r="I591" s="38" t="s">
        <v>1623</v>
      </c>
      <c r="J591" s="39"/>
      <c r="K591" s="40"/>
      <c r="L591" s="39" t="str">
        <f t="array" ref="L591">INDEX('MTA 28-09'!S:S,MATCH(B591,'MTA 28-09'!A:A,0))</f>
        <v>T-27</v>
      </c>
      <c r="M591" s="32" t="str">
        <f t="array" ref="M591">INDEX('MTA 28-09'!T:T,MATCH(B591,'MTA 28-09'!A:A,0))</f>
        <v>Requisição CABW</v>
      </c>
      <c r="N591" s="32" t="str">
        <f t="array" ref="N591">INDEX('MTA 28-09'!U:U,MATCH(B591,'MTA 28-09'!A:A,0))</f>
        <v>Requisições Consumíveis - Modernização 2/2</v>
      </c>
      <c r="O591" s="59">
        <f t="array" ref="O591">INDEX('MTA 28-09'!AC:AC,MATCH(B591,'MTA 28-09'!A:A,0))</f>
        <v>2373979</v>
      </c>
      <c r="P591" s="32" t="str">
        <f t="array" ref="P591">INDEX('MTA 28-09'!N:N,MATCH(B591,'MTA 28-09'!A:A,0))</f>
        <v>CABW</v>
      </c>
      <c r="Q591" s="67" t="str">
        <f t="array" ref="Q591">INDEX('MTA 28-09'!Z:Z,MATCH(B591,'MTA 28-09'!A:A,0))</f>
        <v>339030</v>
      </c>
      <c r="R591" s="32" t="str">
        <f t="array" ref="R591">INDEX('MTA 28-09'!L:L,MATCH(B591,'MTA 28-09'!A:A,0))</f>
        <v>D</v>
      </c>
      <c r="S591" s="72" t="str">
        <f t="array" ref="S591">INDEX('MTA 28-09'!X:X,MATCH(B591,'MTA 28-09'!A:A,0))</f>
        <v>REQUISIÇÃO</v>
      </c>
      <c r="T591" s="72" t="str">
        <f t="array" ref="T591">INDEX('MTA 28-09'!W:W,MATCH(B591,'MTA 28-09'!A:A,0))</f>
        <v>Não</v>
      </c>
      <c r="U591" s="81">
        <f t="array" ref="U591">INDEX('MTA 28-09'!AE:AE,MATCH(B591,'MTA 28-09'!A:A,0))</f>
        <v>46291</v>
      </c>
      <c r="V591" s="12"/>
      <c r="W591" s="12"/>
      <c r="X591" s="12"/>
      <c r="Y591" s="12"/>
      <c r="Z591" s="12"/>
      <c r="AA591" s="12"/>
      <c r="AB591" s="12"/>
      <c r="AC591" s="12"/>
      <c r="AD591" s="12"/>
      <c r="AE591" s="12"/>
      <c r="AF591" s="12"/>
      <c r="AG591" s="12"/>
      <c r="AH591" s="12"/>
      <c r="AI591" s="12"/>
      <c r="AJ591" s="12"/>
      <c r="AK591" s="12"/>
      <c r="AL591" s="12"/>
      <c r="AM591" s="12"/>
    </row>
    <row r="592">
      <c r="A592" s="88" t="s">
        <v>1612</v>
      </c>
      <c r="B592" s="90">
        <v>19421.0</v>
      </c>
      <c r="C592" s="92" t="str">
        <f t="array" ref="C592">INDEX('MTA 28-09'!B:B,MATCH(B592,'MTA 28-09'!A:A,0))</f>
        <v>NÃO</v>
      </c>
      <c r="D592" s="95" t="str">
        <f t="array" ref="D592">INDEX('MTA 28-09'!D:D,MATCH(B592,'MTA 28-09'!A:A,0))</f>
        <v/>
      </c>
      <c r="E592" s="98" t="str">
        <f t="array" ref="E592">INDEX('MTA 28-09'!F:F,MATCH(B592,'MTA 28-09'!A:A,0))</f>
        <v/>
      </c>
      <c r="F592" s="152" t="str">
        <f t="array" ref="F592">INDEX('MTA 28-09'!I:I,MATCH(B592,'MTA 28-09'!A:A,0))</f>
        <v/>
      </c>
      <c r="G592" s="100" t="str">
        <f t="array" ref="G592">INDEX('MTA 28-09'!J:J,MATCH(B592,'MTA 28-09'!A:A,0))</f>
        <v/>
      </c>
      <c r="H592" s="159"/>
      <c r="I592" s="154"/>
      <c r="J592" s="102"/>
      <c r="K592" s="103"/>
      <c r="L592" s="102"/>
      <c r="M592" s="98" t="str">
        <f t="array" ref="M592">INDEX('MTA 28-09'!T:T,MATCH(B592,'MTA 28-09'!A:A,0))</f>
        <v>Requisição CABW</v>
      </c>
      <c r="N592" s="98" t="str">
        <f t="array" ref="N592">INDEX('MTA 28-09'!U:U,MATCH(B592,'MTA 28-09'!A:A,0))</f>
        <v>Requisições Consumíveis - Modernização 2/2</v>
      </c>
      <c r="O592" s="104">
        <f t="array" ref="O592">INDEX('MTA 28-09'!AC:AC,MATCH(B592,'MTA 28-09'!A:A,0))</f>
        <v>326021</v>
      </c>
      <c r="P592" s="98" t="str">
        <f t="array" ref="P592">INDEX('MTA 28-09'!N:N,MATCH(B592,'MTA 28-09'!A:A,0))</f>
        <v>CABW</v>
      </c>
      <c r="Q592" s="105" t="str">
        <f t="array" ref="Q592">INDEX('MTA 28-09'!Z:Z,MATCH(B592,'MTA 28-09'!A:A,0))</f>
        <v>339030</v>
      </c>
      <c r="R592" s="98" t="str">
        <f t="array" ref="R592">INDEX('MTA 28-09'!L:L,MATCH(B592,'MTA 28-09'!A:A,0))</f>
        <v>D</v>
      </c>
      <c r="S592" s="107" t="str">
        <f t="array" ref="S592">INDEX('MTA 28-09'!X:X,MATCH(B592,'MTA 28-09'!A:A,0))</f>
        <v>REQUISIÇÃO</v>
      </c>
      <c r="T592" s="107" t="str">
        <f t="array" ref="T592">INDEX('MTA 28-09'!W:W,MATCH(B592,'MTA 28-09'!A:A,0))</f>
        <v>Não</v>
      </c>
      <c r="U592" s="109">
        <f t="array" ref="U592">INDEX('MTA 28-09'!AE:AE,MATCH(B592,'MTA 28-09'!A:A,0))</f>
        <v>46291</v>
      </c>
      <c r="V592" s="29"/>
      <c r="W592" s="29"/>
      <c r="X592" s="29"/>
      <c r="Y592" s="29"/>
      <c r="Z592" s="29"/>
      <c r="AA592" s="29"/>
      <c r="AB592" s="29"/>
      <c r="AC592" s="29"/>
      <c r="AD592" s="29"/>
      <c r="AE592" s="29"/>
      <c r="AF592" s="29"/>
      <c r="AG592" s="29"/>
      <c r="AH592" s="29"/>
      <c r="AI592" s="29"/>
      <c r="AJ592" s="29"/>
      <c r="AK592" s="29"/>
      <c r="AL592" s="29"/>
      <c r="AM592" s="29"/>
    </row>
    <row r="593">
      <c r="A593" s="31" t="s">
        <v>1609</v>
      </c>
      <c r="B593" s="32">
        <v>19440.0</v>
      </c>
      <c r="C593" s="33" t="str">
        <f t="array" ref="C593">INDEX('MTA 28-09'!B:B,MATCH(B593,'MTA 28-09'!A:A,0))</f>
        <v>NÃO</v>
      </c>
      <c r="D593" s="34" t="str">
        <f t="array" ref="D593">INDEX('MTA 28-09'!D:D,MATCH(B593,'MTA 28-09'!A:A,0))</f>
        <v>20IH</v>
      </c>
      <c r="E593" s="32" t="str">
        <f t="array" ref="E593">INDEX('MTA 28-09'!F:F,MATCH(B593,'MTA 28-09'!A:A,0))</f>
        <v/>
      </c>
      <c r="F593" s="137" t="str">
        <f t="array" ref="F593">INDEX('MTA 28-09'!I:I,MATCH(B593,'MTA 28-09'!A:A,0))</f>
        <v/>
      </c>
      <c r="G593" s="36" t="str">
        <f t="array" ref="G593">INDEX('MTA 28-09'!J:J,MATCH(B593,'MTA 28-09'!A:A,0))</f>
        <v/>
      </c>
      <c r="H593" s="287" t="s">
        <v>157</v>
      </c>
      <c r="I593" s="295"/>
      <c r="J593" s="39"/>
      <c r="K593" s="40"/>
      <c r="L593" s="39" t="str">
        <f t="array" ref="L593">INDEX('MTA 28-09'!S:S,MATCH(B593,'MTA 28-09'!A:A,0))</f>
        <v>C-97</v>
      </c>
      <c r="M593" s="32" t="str">
        <f t="array" ref="M593">INDEX('MTA 28-09'!T:T,MATCH(B593,'MTA 28-09'!A:A,0))</f>
        <v>Requisição CABW</v>
      </c>
      <c r="N593" s="32" t="str">
        <f t="array" ref="N593">INDEX('MTA 28-09'!U:U,MATCH(B593,'MTA 28-09'!A:A,0))</f>
        <v>PN 2100-4043-00 - Gravador de Dados de Voo 3/4</v>
      </c>
      <c r="O593" s="59">
        <f t="array" ref="O593">INDEX('MTA 28-09'!AC:AC,MATCH(B593,'MTA 28-09'!A:A,0))</f>
        <v>575000</v>
      </c>
      <c r="P593" s="32" t="str">
        <f t="array" ref="P593">INDEX('MTA 28-09'!N:N,MATCH(B593,'MTA 28-09'!A:A,0))</f>
        <v>CABW</v>
      </c>
      <c r="Q593" s="67" t="str">
        <f t="array" ref="Q593">INDEX('MTA 28-09'!Z:Z,MATCH(B593,'MTA 28-09'!A:A,0))</f>
        <v>339030</v>
      </c>
      <c r="R593" s="32" t="str">
        <f t="array" ref="R593">INDEX('MTA 28-09'!L:L,MATCH(B593,'MTA 28-09'!A:A,0))</f>
        <v>D</v>
      </c>
      <c r="S593" s="72" t="str">
        <f t="array" ref="S593">INDEX('MTA 28-09'!X:X,MATCH(B593,'MTA 28-09'!A:A,0))</f>
        <v>REQUISIÇÃO</v>
      </c>
      <c r="T593" s="72" t="str">
        <f t="array" ref="T593">INDEX('MTA 28-09'!W:W,MATCH(B593,'MTA 28-09'!A:A,0))</f>
        <v>Não</v>
      </c>
      <c r="U593" s="81">
        <f t="array" ref="U593">INDEX('MTA 28-09'!AE:AE,MATCH(B593,'MTA 28-09'!A:A,0))</f>
        <v>46291</v>
      </c>
      <c r="V593" s="12"/>
      <c r="W593" s="12"/>
      <c r="X593" s="12"/>
      <c r="Y593" s="12"/>
      <c r="Z593" s="12"/>
      <c r="AA593" s="12"/>
      <c r="AB593" s="12"/>
      <c r="AC593" s="12"/>
      <c r="AD593" s="12"/>
      <c r="AE593" s="12"/>
      <c r="AF593" s="12"/>
      <c r="AG593" s="12"/>
      <c r="AH593" s="12"/>
      <c r="AI593" s="12"/>
      <c r="AJ593" s="12"/>
      <c r="AK593" s="12"/>
      <c r="AL593" s="12"/>
      <c r="AM593" s="12"/>
    </row>
    <row r="594">
      <c r="A594" s="88" t="s">
        <v>39</v>
      </c>
      <c r="B594" s="98">
        <v>19460.0</v>
      </c>
      <c r="C594" s="92" t="str">
        <f t="array" ref="C594">INDEX('MTA 28-09'!B:B,MATCH(B594,'MTA 28-09'!A:A,0))</f>
        <v>SIM</v>
      </c>
      <c r="D594" s="95" t="str">
        <f t="array" ref="D594">INDEX('MTA 28-09'!D:D,MATCH(B594,'MTA 28-09'!A:A,0))</f>
        <v/>
      </c>
      <c r="E594" s="98" t="str">
        <f t="array" ref="E594">INDEX('MTA 28-09'!F:F,MATCH(B594,'MTA 28-09'!A:A,0))</f>
        <v/>
      </c>
      <c r="F594" s="99" t="str">
        <f t="array" ref="F594">INDEX('MTA 28-09'!I:I,MATCH(B594,'MTA 28-09'!A:A,0))</f>
        <v/>
      </c>
      <c r="G594" s="100" t="str">
        <f t="array" ref="G594">INDEX('MTA 28-09'!J:J,MATCH(B594,'MTA 28-09'!A:A,0))</f>
        <v/>
      </c>
      <c r="H594" s="101" t="s">
        <v>1607</v>
      </c>
      <c r="I594" s="98" t="s">
        <v>1620</v>
      </c>
      <c r="J594" s="102"/>
      <c r="K594" s="103"/>
      <c r="L594" s="102" t="str">
        <f t="array" ref="L594">INDEX('MTA 28-09'!S:S,MATCH(B594,'MTA 28-09'!A:A,0))</f>
        <v>A-29</v>
      </c>
      <c r="M594" s="98" t="str">
        <f t="array" ref="M594">INDEX('MTA 28-09'!T:T,MATCH(B594,'MTA 28-09'!A:A,0))</f>
        <v>CTT 102/CELOG-PAMALS/2023 – EMBRAER - PSLI</v>
      </c>
      <c r="N594" s="98" t="str">
        <f t="array" ref="N594">INDEX('MTA 28-09'!U:U,MATCH(B594,'MTA 28-09'!A:A,0))</f>
        <v>Módulo Extra - Atualização do GPS da aeronave 25/30</v>
      </c>
      <c r="O594" s="104">
        <f t="array" ref="O594">INDEX('MTA 28-09'!AC:AC,MATCH(B594,'MTA 28-09'!A:A,0))</f>
        <v>100000</v>
      </c>
      <c r="P594" s="98" t="str">
        <f t="array" ref="P594">INDEX('MTA 28-09'!N:N,MATCH(B594,'MTA 28-09'!A:A,0))</f>
        <v>CELOG</v>
      </c>
      <c r="Q594" s="105" t="str">
        <f t="array" ref="Q594">INDEX('MTA 28-09'!Z:Z,MATCH(B594,'MTA 28-09'!A:A,0))</f>
        <v>339030</v>
      </c>
      <c r="R594" s="98" t="str">
        <f t="array" ref="R594">INDEX('MTA 28-09'!L:L,MATCH(B594,'MTA 28-09'!A:A,0))</f>
        <v>D</v>
      </c>
      <c r="S594" s="107" t="str">
        <f t="array" ref="S594">INDEX('MTA 28-09'!X:X,MATCH(B594,'MTA 28-09'!A:A,0))</f>
        <v>SOB DEMANDA</v>
      </c>
      <c r="T594" s="107" t="str">
        <f t="array" ref="T594">INDEX('MTA 28-09'!W:W,MATCH(B594,'MTA 28-09'!A:A,0))</f>
        <v>Não</v>
      </c>
      <c r="U594" s="109">
        <f t="array" ref="U594">INDEX('MTA 28-09'!AE:AE,MATCH(B594,'MTA 28-09'!A:A,0))</f>
        <v>46384</v>
      </c>
      <c r="V594" s="29"/>
      <c r="W594" s="29"/>
      <c r="X594" s="29"/>
      <c r="Y594" s="29"/>
      <c r="Z594" s="29"/>
      <c r="AA594" s="29"/>
      <c r="AB594" s="29"/>
      <c r="AC594" s="29"/>
      <c r="AD594" s="29"/>
      <c r="AE594" s="29"/>
      <c r="AF594" s="29"/>
      <c r="AG594" s="29"/>
      <c r="AH594" s="29"/>
      <c r="AI594" s="29"/>
      <c r="AJ594" s="29"/>
      <c r="AK594" s="29"/>
      <c r="AL594" s="29"/>
      <c r="AM594" s="29"/>
    </row>
    <row r="595">
      <c r="A595" s="31" t="s">
        <v>39</v>
      </c>
      <c r="B595" s="32">
        <v>19480.0</v>
      </c>
      <c r="C595" s="33" t="str">
        <f t="array" ref="C595">INDEX('MTA 28-09'!B:B,MATCH(B595,'MTA 28-09'!A:A,0))</f>
        <v>SIM</v>
      </c>
      <c r="D595" s="34" t="str">
        <f t="array" ref="D595">INDEX('MTA 28-09'!D:D,MATCH(B595,'MTA 28-09'!A:A,0))</f>
        <v/>
      </c>
      <c r="E595" s="32" t="str">
        <f t="array" ref="E595">INDEX('MTA 28-09'!F:F,MATCH(B595,'MTA 28-09'!A:A,0))</f>
        <v/>
      </c>
      <c r="F595" s="137" t="str">
        <f t="array" ref="F595">INDEX('MTA 28-09'!I:I,MATCH(B595,'MTA 28-09'!A:A,0))</f>
        <v/>
      </c>
      <c r="G595" s="36" t="str">
        <f t="array" ref="G595">INDEX('MTA 28-09'!J:J,MATCH(B595,'MTA 28-09'!A:A,0))</f>
        <v/>
      </c>
      <c r="H595" s="37" t="s">
        <v>1607</v>
      </c>
      <c r="I595" s="32" t="s">
        <v>1620</v>
      </c>
      <c r="J595" s="39"/>
      <c r="K595" s="40"/>
      <c r="L595" s="39" t="str">
        <f t="array" ref="L595">INDEX('MTA 28-09'!S:S,MATCH(B595,'MTA 28-09'!A:A,0))</f>
        <v>A-29</v>
      </c>
      <c r="M595" s="32" t="str">
        <f t="array" ref="M595">INDEX('MTA 28-09'!T:T,MATCH(B595,'MTA 28-09'!A:A,0))</f>
        <v>CTT 102/CELOG-PAMALS/2023 – EMBRAER - PSLI</v>
      </c>
      <c r="N595" s="32" t="str">
        <f t="array" ref="N595">INDEX('MTA 28-09'!U:U,MATCH(B595,'MTA 28-09'!A:A,0))</f>
        <v>Módulo Extra - Atualização do GPS da aeronave 26/30</v>
      </c>
      <c r="O595" s="59">
        <f t="array" ref="O595">INDEX('MTA 28-09'!AC:AC,MATCH(B595,'MTA 28-09'!A:A,0))</f>
        <v>100000</v>
      </c>
      <c r="P595" s="32" t="str">
        <f t="array" ref="P595">INDEX('MTA 28-09'!N:N,MATCH(B595,'MTA 28-09'!A:A,0))</f>
        <v>CELOG</v>
      </c>
      <c r="Q595" s="67" t="str">
        <f t="array" ref="Q595">INDEX('MTA 28-09'!Z:Z,MATCH(B595,'MTA 28-09'!A:A,0))</f>
        <v>339030</v>
      </c>
      <c r="R595" s="32" t="str">
        <f t="array" ref="R595">INDEX('MTA 28-09'!L:L,MATCH(B595,'MTA 28-09'!A:A,0))</f>
        <v>D</v>
      </c>
      <c r="S595" s="72" t="str">
        <f t="array" ref="S595">INDEX('MTA 28-09'!X:X,MATCH(B595,'MTA 28-09'!A:A,0))</f>
        <v>SOB DEMANDA</v>
      </c>
      <c r="T595" s="72" t="str">
        <f t="array" ref="T595">INDEX('MTA 28-09'!W:W,MATCH(B595,'MTA 28-09'!A:A,0))</f>
        <v>Não</v>
      </c>
      <c r="U595" s="81">
        <f t="array" ref="U595">INDEX('MTA 28-09'!AE:AE,MATCH(B595,'MTA 28-09'!A:A,0))</f>
        <v>46384</v>
      </c>
      <c r="V595" s="12"/>
      <c r="W595" s="12"/>
      <c r="X595" s="12"/>
      <c r="Y595" s="12"/>
      <c r="Z595" s="12"/>
      <c r="AA595" s="12"/>
      <c r="AB595" s="12"/>
      <c r="AC595" s="12"/>
      <c r="AD595" s="12"/>
      <c r="AE595" s="12"/>
      <c r="AF595" s="12"/>
      <c r="AG595" s="12"/>
      <c r="AH595" s="12"/>
      <c r="AI595" s="12"/>
      <c r="AJ595" s="12"/>
      <c r="AK595" s="12"/>
      <c r="AL595" s="12"/>
      <c r="AM595" s="12"/>
    </row>
    <row r="596">
      <c r="A596" s="88" t="s">
        <v>39</v>
      </c>
      <c r="B596" s="98">
        <v>19500.0</v>
      </c>
      <c r="C596" s="92" t="str">
        <f t="array" ref="C596">INDEX('MTA 28-09'!B:B,MATCH(B596,'MTA 28-09'!A:A,0))</f>
        <v>SIM</v>
      </c>
      <c r="D596" s="95" t="str">
        <f t="array" ref="D596">INDEX('MTA 28-09'!D:D,MATCH(B596,'MTA 28-09'!A:A,0))</f>
        <v/>
      </c>
      <c r="E596" s="98" t="str">
        <f t="array" ref="E596">INDEX('MTA 28-09'!F:F,MATCH(B596,'MTA 28-09'!A:A,0))</f>
        <v/>
      </c>
      <c r="F596" s="152" t="str">
        <f t="array" ref="F596">INDEX('MTA 28-09'!I:I,MATCH(B596,'MTA 28-09'!A:A,0))</f>
        <v/>
      </c>
      <c r="G596" s="100" t="str">
        <f t="array" ref="G596">INDEX('MTA 28-09'!J:J,MATCH(B596,'MTA 28-09'!A:A,0))</f>
        <v/>
      </c>
      <c r="H596" s="101" t="s">
        <v>1607</v>
      </c>
      <c r="I596" s="98" t="s">
        <v>1620</v>
      </c>
      <c r="J596" s="102"/>
      <c r="K596" s="103"/>
      <c r="L596" s="102" t="str">
        <f t="array" ref="L596">INDEX('MTA 28-09'!S:S,MATCH(B596,'MTA 28-09'!A:A,0))</f>
        <v>A-29</v>
      </c>
      <c r="M596" s="98" t="str">
        <f t="array" ref="M596">INDEX('MTA 28-09'!T:T,MATCH(B596,'MTA 28-09'!A:A,0))</f>
        <v>CTT 102/CELOG-PAMALS/2023 – EMBRAER - PSLI</v>
      </c>
      <c r="N596" s="98" t="str">
        <f t="array" ref="N596">INDEX('MTA 28-09'!U:U,MATCH(B596,'MTA 28-09'!A:A,0))</f>
        <v>Módulo Extra - Atualização do GPS da aeronave 27/30</v>
      </c>
      <c r="O596" s="104">
        <f t="array" ref="O596">INDEX('MTA 28-09'!AC:AC,MATCH(B596,'MTA 28-09'!A:A,0))</f>
        <v>100000</v>
      </c>
      <c r="P596" s="98" t="str">
        <f t="array" ref="P596">INDEX('MTA 28-09'!N:N,MATCH(B596,'MTA 28-09'!A:A,0))</f>
        <v>CELOG</v>
      </c>
      <c r="Q596" s="105" t="str">
        <f t="array" ref="Q596">INDEX('MTA 28-09'!Z:Z,MATCH(B596,'MTA 28-09'!A:A,0))</f>
        <v>339030</v>
      </c>
      <c r="R596" s="98" t="str">
        <f t="array" ref="R596">INDEX('MTA 28-09'!L:L,MATCH(B596,'MTA 28-09'!A:A,0))</f>
        <v>D</v>
      </c>
      <c r="S596" s="107" t="str">
        <f t="array" ref="S596">INDEX('MTA 28-09'!X:X,MATCH(B596,'MTA 28-09'!A:A,0))</f>
        <v>SOB DEMANDA</v>
      </c>
      <c r="T596" s="107" t="str">
        <f t="array" ref="T596">INDEX('MTA 28-09'!W:W,MATCH(B596,'MTA 28-09'!A:A,0))</f>
        <v>Não</v>
      </c>
      <c r="U596" s="109">
        <f t="array" ref="U596">INDEX('MTA 28-09'!AE:AE,MATCH(B596,'MTA 28-09'!A:A,0))</f>
        <v>46384</v>
      </c>
      <c r="V596" s="29"/>
      <c r="W596" s="29"/>
      <c r="X596" s="29"/>
      <c r="Y596" s="29"/>
      <c r="Z596" s="29"/>
      <c r="AA596" s="29"/>
      <c r="AB596" s="29"/>
      <c r="AC596" s="29"/>
      <c r="AD596" s="29"/>
      <c r="AE596" s="29"/>
      <c r="AF596" s="29"/>
      <c r="AG596" s="29"/>
      <c r="AH596" s="29"/>
      <c r="AI596" s="29"/>
      <c r="AJ596" s="29"/>
      <c r="AK596" s="29"/>
      <c r="AL596" s="29"/>
      <c r="AM596" s="29"/>
    </row>
    <row r="597">
      <c r="A597" s="31" t="s">
        <v>39</v>
      </c>
      <c r="B597" s="32">
        <v>19520.0</v>
      </c>
      <c r="C597" s="33" t="str">
        <f t="array" ref="C597">INDEX('MTA 28-09'!B:B,MATCH(B597,'MTA 28-09'!A:A,0))</f>
        <v>SIM</v>
      </c>
      <c r="D597" s="34" t="str">
        <f t="array" ref="D597">INDEX('MTA 28-09'!D:D,MATCH(B597,'MTA 28-09'!A:A,0))</f>
        <v/>
      </c>
      <c r="E597" s="32" t="str">
        <f t="array" ref="E597">INDEX('MTA 28-09'!F:F,MATCH(B597,'MTA 28-09'!A:A,0))</f>
        <v/>
      </c>
      <c r="F597" s="155" t="str">
        <f t="array" ref="F597">INDEX('MTA 28-09'!I:I,MATCH(B597,'MTA 28-09'!A:A,0))</f>
        <v/>
      </c>
      <c r="G597" s="36" t="str">
        <f t="array" ref="G597">INDEX('MTA 28-09'!J:J,MATCH(B597,'MTA 28-09'!A:A,0))</f>
        <v/>
      </c>
      <c r="H597" s="37" t="s">
        <v>1607</v>
      </c>
      <c r="I597" s="32" t="s">
        <v>1620</v>
      </c>
      <c r="J597" s="39"/>
      <c r="K597" s="40"/>
      <c r="L597" s="39" t="str">
        <f t="array" ref="L597">INDEX('MTA 28-09'!S:S,MATCH(B597,'MTA 28-09'!A:A,0))</f>
        <v>A-29</v>
      </c>
      <c r="M597" s="32" t="str">
        <f t="array" ref="M597">INDEX('MTA 28-09'!T:T,MATCH(B597,'MTA 28-09'!A:A,0))</f>
        <v>CTT 102/CELOG-PAMALS/2023 – EMBRAER - PSLI</v>
      </c>
      <c r="N597" s="32" t="str">
        <f t="array" ref="N597">INDEX('MTA 28-09'!U:U,MATCH(B597,'MTA 28-09'!A:A,0))</f>
        <v>Módulo Extra - Atualização do GPS da aeronave 28/30</v>
      </c>
      <c r="O597" s="59">
        <f t="array" ref="O597">INDEX('MTA 28-09'!AC:AC,MATCH(B597,'MTA 28-09'!A:A,0))</f>
        <v>100000</v>
      </c>
      <c r="P597" s="32" t="str">
        <f t="array" ref="P597">INDEX('MTA 28-09'!N:N,MATCH(B597,'MTA 28-09'!A:A,0))</f>
        <v>CELOG</v>
      </c>
      <c r="Q597" s="67" t="str">
        <f t="array" ref="Q597">INDEX('MTA 28-09'!Z:Z,MATCH(B597,'MTA 28-09'!A:A,0))</f>
        <v>339030</v>
      </c>
      <c r="R597" s="32" t="str">
        <f t="array" ref="R597">INDEX('MTA 28-09'!L:L,MATCH(B597,'MTA 28-09'!A:A,0))</f>
        <v>D</v>
      </c>
      <c r="S597" s="72" t="str">
        <f t="array" ref="S597">INDEX('MTA 28-09'!X:X,MATCH(B597,'MTA 28-09'!A:A,0))</f>
        <v>SOB DEMANDA</v>
      </c>
      <c r="T597" s="72" t="str">
        <f t="array" ref="T597">INDEX('MTA 28-09'!W:W,MATCH(B597,'MTA 28-09'!A:A,0))</f>
        <v>Não</v>
      </c>
      <c r="U597" s="81">
        <f t="array" ref="U597">INDEX('MTA 28-09'!AE:AE,MATCH(B597,'MTA 28-09'!A:A,0))</f>
        <v>46384</v>
      </c>
      <c r="V597" s="12"/>
      <c r="W597" s="12"/>
      <c r="X597" s="12"/>
      <c r="Y597" s="12"/>
      <c r="Z597" s="12"/>
      <c r="AA597" s="12"/>
      <c r="AB597" s="12"/>
      <c r="AC597" s="12"/>
      <c r="AD597" s="12"/>
      <c r="AE597" s="12"/>
      <c r="AF597" s="12"/>
      <c r="AG597" s="12"/>
      <c r="AH597" s="12"/>
      <c r="AI597" s="12"/>
      <c r="AJ597" s="12"/>
      <c r="AK597" s="12"/>
      <c r="AL597" s="12"/>
      <c r="AM597" s="12"/>
    </row>
    <row r="598">
      <c r="A598" s="88" t="s">
        <v>39</v>
      </c>
      <c r="B598" s="98">
        <v>19540.0</v>
      </c>
      <c r="C598" s="92" t="str">
        <f t="array" ref="C598">INDEX('MTA 28-09'!B:B,MATCH(B598,'MTA 28-09'!A:A,0))</f>
        <v>SIM</v>
      </c>
      <c r="D598" s="95" t="str">
        <f t="array" ref="D598">INDEX('MTA 28-09'!D:D,MATCH(B598,'MTA 28-09'!A:A,0))</f>
        <v/>
      </c>
      <c r="E598" s="98" t="str">
        <f t="array" ref="E598">INDEX('MTA 28-09'!F:F,MATCH(B598,'MTA 28-09'!A:A,0))</f>
        <v/>
      </c>
      <c r="F598" s="152" t="str">
        <f t="array" ref="F598">INDEX('MTA 28-09'!I:I,MATCH(B598,'MTA 28-09'!A:A,0))</f>
        <v/>
      </c>
      <c r="G598" s="100" t="str">
        <f t="array" ref="G598">INDEX('MTA 28-09'!J:J,MATCH(B598,'MTA 28-09'!A:A,0))</f>
        <v/>
      </c>
      <c r="H598" s="101" t="s">
        <v>1607</v>
      </c>
      <c r="I598" s="98" t="s">
        <v>1620</v>
      </c>
      <c r="J598" s="102"/>
      <c r="K598" s="103"/>
      <c r="L598" s="102" t="str">
        <f t="array" ref="L598">INDEX('MTA 28-09'!S:S,MATCH(B598,'MTA 28-09'!A:A,0))</f>
        <v>A-29</v>
      </c>
      <c r="M598" s="98" t="str">
        <f t="array" ref="M598">INDEX('MTA 28-09'!T:T,MATCH(B598,'MTA 28-09'!A:A,0))</f>
        <v>CTT 102/CELOG-PAMALS/2023 – EMBRAER - PSLI</v>
      </c>
      <c r="N598" s="98" t="str">
        <f t="array" ref="N598">INDEX('MTA 28-09'!U:U,MATCH(B598,'MTA 28-09'!A:A,0))</f>
        <v>Módulo Extra - Atualização do GPS da aeronave 29/30</v>
      </c>
      <c r="O598" s="104">
        <f t="array" ref="O598">INDEX('MTA 28-09'!AC:AC,MATCH(B598,'MTA 28-09'!A:A,0))</f>
        <v>100000</v>
      </c>
      <c r="P598" s="98" t="str">
        <f t="array" ref="P598">INDEX('MTA 28-09'!N:N,MATCH(B598,'MTA 28-09'!A:A,0))</f>
        <v>CELOG</v>
      </c>
      <c r="Q598" s="105" t="str">
        <f t="array" ref="Q598">INDEX('MTA 28-09'!Z:Z,MATCH(B598,'MTA 28-09'!A:A,0))</f>
        <v>339030</v>
      </c>
      <c r="R598" s="98" t="str">
        <f t="array" ref="R598">INDEX('MTA 28-09'!L:L,MATCH(B598,'MTA 28-09'!A:A,0))</f>
        <v>D</v>
      </c>
      <c r="S598" s="107" t="str">
        <f t="array" ref="S598">INDEX('MTA 28-09'!X:X,MATCH(B598,'MTA 28-09'!A:A,0))</f>
        <v>SOB DEMANDA</v>
      </c>
      <c r="T598" s="107" t="str">
        <f t="array" ref="T598">INDEX('MTA 28-09'!W:W,MATCH(B598,'MTA 28-09'!A:A,0))</f>
        <v>Não</v>
      </c>
      <c r="U598" s="109">
        <f t="array" ref="U598">INDEX('MTA 28-09'!AE:AE,MATCH(B598,'MTA 28-09'!A:A,0))</f>
        <v>46384</v>
      </c>
      <c r="V598" s="29"/>
      <c r="W598" s="29"/>
      <c r="X598" s="29"/>
      <c r="Y598" s="29"/>
      <c r="Z598" s="29"/>
      <c r="AA598" s="29"/>
      <c r="AB598" s="29"/>
      <c r="AC598" s="29"/>
      <c r="AD598" s="29"/>
      <c r="AE598" s="29"/>
      <c r="AF598" s="29"/>
      <c r="AG598" s="29"/>
      <c r="AH598" s="29"/>
      <c r="AI598" s="29"/>
      <c r="AJ598" s="29"/>
      <c r="AK598" s="29"/>
      <c r="AL598" s="29"/>
      <c r="AM598" s="29"/>
    </row>
    <row r="599">
      <c r="A599" s="31" t="s">
        <v>39</v>
      </c>
      <c r="B599" s="32">
        <v>19560.0</v>
      </c>
      <c r="C599" s="33" t="str">
        <f t="array" ref="C599">INDEX('MTA 28-09'!B:B,MATCH(B599,'MTA 28-09'!A:A,0))</f>
        <v>SIM</v>
      </c>
      <c r="D599" s="34" t="str">
        <f t="array" ref="D599">INDEX('MTA 28-09'!D:D,MATCH(B599,'MTA 28-09'!A:A,0))</f>
        <v/>
      </c>
      <c r="E599" s="32" t="str">
        <f t="array" ref="E599">INDEX('MTA 28-09'!F:F,MATCH(B599,'MTA 28-09'!A:A,0))</f>
        <v/>
      </c>
      <c r="F599" s="155" t="str">
        <f t="array" ref="F599">INDEX('MTA 28-09'!I:I,MATCH(B599,'MTA 28-09'!A:A,0))</f>
        <v/>
      </c>
      <c r="G599" s="36" t="str">
        <f t="array" ref="G599">INDEX('MTA 28-09'!J:J,MATCH(B599,'MTA 28-09'!A:A,0))</f>
        <v/>
      </c>
      <c r="H599" s="37" t="s">
        <v>1607</v>
      </c>
      <c r="I599" s="32" t="s">
        <v>1624</v>
      </c>
      <c r="J599" s="39"/>
      <c r="K599" s="40"/>
      <c r="L599" s="39" t="str">
        <f t="array" ref="L599">INDEX('MTA 28-09'!S:S,MATCH(B599,'MTA 28-09'!A:A,0))</f>
        <v>A-29</v>
      </c>
      <c r="M599" s="32" t="str">
        <f t="array" ref="M599">INDEX('MTA 28-09'!T:T,MATCH(B599,'MTA 28-09'!A:A,0))</f>
        <v>CTT 102/CELOG-PAMALS/2023 – EMBRAER - PSLI</v>
      </c>
      <c r="N599" s="32" t="str">
        <f t="array" ref="N599">INDEX('MTA 28-09'!U:U,MATCH(B599,'MTA 28-09'!A:A,0))</f>
        <v>Módulo Extra - Atualização do GPS da aeronave 30/30</v>
      </c>
      <c r="O599" s="59">
        <f t="array" ref="O599">INDEX('MTA 28-09'!AC:AC,MATCH(B599,'MTA 28-09'!A:A,0))</f>
        <v>100000</v>
      </c>
      <c r="P599" s="32" t="str">
        <f t="array" ref="P599">INDEX('MTA 28-09'!N:N,MATCH(B599,'MTA 28-09'!A:A,0))</f>
        <v>CELOG</v>
      </c>
      <c r="Q599" s="67" t="str">
        <f t="array" ref="Q599">INDEX('MTA 28-09'!Z:Z,MATCH(B599,'MTA 28-09'!A:A,0))</f>
        <v>339030</v>
      </c>
      <c r="R599" s="32" t="str">
        <f t="array" ref="R599">INDEX('MTA 28-09'!L:L,MATCH(B599,'MTA 28-09'!A:A,0))</f>
        <v>D</v>
      </c>
      <c r="S599" s="72" t="str">
        <f t="array" ref="S599">INDEX('MTA 28-09'!X:X,MATCH(B599,'MTA 28-09'!A:A,0))</f>
        <v>SOB DEMANDA</v>
      </c>
      <c r="T599" s="72" t="str">
        <f t="array" ref="T599">INDEX('MTA 28-09'!W:W,MATCH(B599,'MTA 28-09'!A:A,0))</f>
        <v>Não</v>
      </c>
      <c r="U599" s="81">
        <f t="array" ref="U599">INDEX('MTA 28-09'!AE:AE,MATCH(B599,'MTA 28-09'!A:A,0))</f>
        <v>46384</v>
      </c>
      <c r="V599" s="12"/>
      <c r="W599" s="12"/>
      <c r="X599" s="12"/>
      <c r="Y599" s="12"/>
      <c r="Z599" s="12"/>
      <c r="AA599" s="12"/>
      <c r="AB599" s="12"/>
      <c r="AC599" s="12"/>
      <c r="AD599" s="12"/>
      <c r="AE599" s="12"/>
      <c r="AF599" s="12"/>
      <c r="AG599" s="12"/>
      <c r="AH599" s="12"/>
      <c r="AI599" s="12"/>
      <c r="AJ599" s="12"/>
      <c r="AK599" s="12"/>
      <c r="AL599" s="12"/>
      <c r="AM599" s="12"/>
    </row>
    <row r="600">
      <c r="A600" s="88" t="s">
        <v>1609</v>
      </c>
      <c r="B600" s="98">
        <v>19580.0</v>
      </c>
      <c r="C600" s="92" t="str">
        <f t="array" ref="C600">INDEX('MTA 28-09'!B:B,MATCH(B600,'MTA 28-09'!A:A,0))</f>
        <v>SIM</v>
      </c>
      <c r="D600" s="95" t="str">
        <f t="array" ref="D600">INDEX('MTA 28-09'!D:D,MATCH(B600,'MTA 28-09'!A:A,0))</f>
        <v>20IH</v>
      </c>
      <c r="E600" s="98" t="str">
        <f t="array" ref="E600">INDEX('MTA 28-09'!F:F,MATCH(B600,'MTA 28-09'!A:A,0))</f>
        <v>ATENDIDO</v>
      </c>
      <c r="F600" s="152">
        <f t="array" ref="F600">INDEX('MTA 28-09'!I:I,MATCH(B600,'MTA 28-09'!A:A,0))</f>
        <v>46122</v>
      </c>
      <c r="G600" s="100" t="str">
        <f t="array" ref="G600">INDEX('MTA 28-09'!J:J,MATCH(B600,'MTA 28-09'!A:A,0))</f>
        <v>C26080</v>
      </c>
      <c r="H600" s="159" t="s">
        <v>157</v>
      </c>
      <c r="I600" s="296"/>
      <c r="J600" s="102" t="s">
        <v>1625</v>
      </c>
      <c r="K600" s="103"/>
      <c r="L600" s="102" t="str">
        <f t="array" ref="L600">INDEX('MTA 28-09'!S:S,MATCH(B600,'MTA 28-09'!A:A,0))</f>
        <v>C-97</v>
      </c>
      <c r="M600" s="98" t="str">
        <f t="array" ref="M600">INDEX('MTA 28-09'!T:T,MATCH(B600,'MTA 28-09'!A:A,0))</f>
        <v>CTT 039/CABW-PAMALS/2024 - Modernização</v>
      </c>
      <c r="N600" s="98" t="str">
        <f t="array" ref="N600">INDEX('MTA 28-09'!U:U,MATCH(B600,'MTA 28-09'!A:A,0))</f>
        <v>3ª ANV - etapa 2/3</v>
      </c>
      <c r="O600" s="104">
        <f t="array" ref="O600">INDEX('MTA 28-09'!AC:AC,MATCH(B600,'MTA 28-09'!A:A,0))</f>
        <v>10743.83</v>
      </c>
      <c r="P600" s="98" t="str">
        <f t="array" ref="P600">INDEX('MTA 28-09'!N:N,MATCH(B600,'MTA 28-09'!A:A,0))</f>
        <v>CABW</v>
      </c>
      <c r="Q600" s="105" t="str">
        <f t="array" ref="Q600">INDEX('MTA 28-09'!Z:Z,MATCH(B600,'MTA 28-09'!A:A,0))</f>
        <v>339039</v>
      </c>
      <c r="R600" s="98" t="str">
        <f t="array" ref="R600">INDEX('MTA 28-09'!L:L,MATCH(B600,'MTA 28-09'!A:A,0))</f>
        <v>D</v>
      </c>
      <c r="S600" s="107" t="str">
        <f t="array" ref="S600">INDEX('MTA 28-09'!X:X,MATCH(B600,'MTA 28-09'!A:A,0))</f>
        <v>PARCELA FIXA</v>
      </c>
      <c r="T600" s="107" t="str">
        <f t="array" ref="T600">INDEX('MTA 28-09'!W:W,MATCH(B600,'MTA 28-09'!A:A,0))</f>
        <v>Não</v>
      </c>
      <c r="U600" s="109">
        <f t="array" ref="U600">INDEX('MTA 28-09'!AE:AE,MATCH(B600,'MTA 28-09'!A:A,0))</f>
        <v>46291</v>
      </c>
      <c r="V600" s="29"/>
      <c r="W600" s="29"/>
      <c r="X600" s="29"/>
      <c r="Y600" s="29"/>
      <c r="Z600" s="29"/>
      <c r="AA600" s="29"/>
      <c r="AB600" s="29"/>
      <c r="AC600" s="29"/>
      <c r="AD600" s="29"/>
      <c r="AE600" s="29"/>
      <c r="AF600" s="29"/>
      <c r="AG600" s="29"/>
      <c r="AH600" s="29"/>
      <c r="AI600" s="29"/>
      <c r="AJ600" s="29"/>
      <c r="AK600" s="29"/>
      <c r="AL600" s="29"/>
      <c r="AM600" s="29"/>
    </row>
    <row r="601">
      <c r="A601" s="31" t="s">
        <v>1609</v>
      </c>
      <c r="B601" s="38">
        <v>19581.0</v>
      </c>
      <c r="C601" s="33" t="str">
        <f t="array" ref="C601">INDEX('MTA 28-09'!B:B,MATCH(B601,'MTA 28-09'!A:A,0))</f>
        <v>SIM</v>
      </c>
      <c r="D601" s="34" t="str">
        <f t="array" ref="D601">INDEX('MTA 28-09'!D:D,MATCH(B601,'MTA 28-09'!A:A,0))</f>
        <v>20IH</v>
      </c>
      <c r="E601" s="32" t="str">
        <f t="array" ref="E601">INDEX('MTA 28-09'!F:F,MATCH(B601,'MTA 28-09'!A:A,0))</f>
        <v>ATENDIDO</v>
      </c>
      <c r="F601" s="155">
        <f t="array" ref="F601">INDEX('MTA 28-09'!I:I,MATCH(B601,'MTA 28-09'!A:A,0))</f>
        <v>46121</v>
      </c>
      <c r="G601" s="36" t="str">
        <f t="array" ref="G601">INDEX('MTA 28-09'!J:J,MATCH(B601,'MTA 28-09'!A:A,0))</f>
        <v>C26023</v>
      </c>
      <c r="H601" s="287" t="s">
        <v>157</v>
      </c>
      <c r="I601" s="295"/>
      <c r="J601" s="39"/>
      <c r="K601" s="40"/>
      <c r="L601" s="39" t="str">
        <f t="array" ref="L601">INDEX('MTA 28-09'!S:S,MATCH(B601,'MTA 28-09'!A:A,0))</f>
        <v>C-97</v>
      </c>
      <c r="M601" s="32" t="str">
        <f t="array" ref="M601">INDEX('MTA 28-09'!T:T,MATCH(B601,'MTA 28-09'!A:A,0))</f>
        <v>CTT 039/CABW-PAMALS/2024 - Modernização</v>
      </c>
      <c r="N601" s="32" t="str">
        <f t="array" ref="N601">INDEX('MTA 28-09'!U:U,MATCH(B601,'MTA 28-09'!A:A,0))</f>
        <v>3ª ANV - etapa 2/3</v>
      </c>
      <c r="O601" s="59">
        <f t="array" ref="O601">INDEX('MTA 28-09'!AC:AC,MATCH(B601,'MTA 28-09'!A:A,0))</f>
        <v>270000</v>
      </c>
      <c r="P601" s="32" t="str">
        <f t="array" ref="P601">INDEX('MTA 28-09'!N:N,MATCH(B601,'MTA 28-09'!A:A,0))</f>
        <v>CABW</v>
      </c>
      <c r="Q601" s="67" t="str">
        <f t="array" ref="Q601">INDEX('MTA 28-09'!Z:Z,MATCH(B601,'MTA 28-09'!A:A,0))</f>
        <v>339039</v>
      </c>
      <c r="R601" s="32" t="str">
        <f t="array" ref="R601">INDEX('MTA 28-09'!L:L,MATCH(B601,'MTA 28-09'!A:A,0))</f>
        <v>D</v>
      </c>
      <c r="S601" s="72" t="str">
        <f t="array" ref="S601">INDEX('MTA 28-09'!X:X,MATCH(B601,'MTA 28-09'!A:A,0))</f>
        <v>PARCELA FIXA</v>
      </c>
      <c r="T601" s="72" t="str">
        <f t="array" ref="T601">INDEX('MTA 28-09'!W:W,MATCH(B601,'MTA 28-09'!A:A,0))</f>
        <v>Não</v>
      </c>
      <c r="U601" s="81">
        <f t="array" ref="U601">INDEX('MTA 28-09'!AE:AE,MATCH(B601,'MTA 28-09'!A:A,0))</f>
        <v>46291</v>
      </c>
      <c r="V601" s="12"/>
      <c r="W601" s="12"/>
      <c r="X601" s="12"/>
      <c r="Y601" s="12"/>
      <c r="Z601" s="12"/>
      <c r="AA601" s="12"/>
      <c r="AB601" s="12"/>
      <c r="AC601" s="12"/>
      <c r="AD601" s="12"/>
      <c r="AE601" s="12"/>
      <c r="AF601" s="12"/>
      <c r="AG601" s="12"/>
      <c r="AH601" s="12"/>
      <c r="AI601" s="12"/>
      <c r="AJ601" s="12"/>
      <c r="AK601" s="12"/>
      <c r="AL601" s="12"/>
      <c r="AM601" s="12"/>
    </row>
    <row r="602">
      <c r="A602" s="88" t="s">
        <v>1609</v>
      </c>
      <c r="B602" s="90">
        <v>19582.0</v>
      </c>
      <c r="C602" s="92" t="str">
        <f t="array" ref="C602">INDEX('MTA 28-09'!B:B,MATCH(B602,'MTA 28-09'!A:A,0))</f>
        <v>SIM</v>
      </c>
      <c r="D602" s="95" t="str">
        <f t="array" ref="D602">INDEX('MTA 28-09'!D:D,MATCH(B602,'MTA 28-09'!A:A,0))</f>
        <v>20IH</v>
      </c>
      <c r="E602" s="98" t="str">
        <f t="array" ref="E602">INDEX('MTA 28-09'!F:F,MATCH(B602,'MTA 28-09'!A:A,0))</f>
        <v>ATENDIDO</v>
      </c>
      <c r="F602" s="152">
        <f t="array" ref="F602">INDEX('MTA 28-09'!I:I,MATCH(B602,'MTA 28-09'!A:A,0))</f>
        <v>46122</v>
      </c>
      <c r="G602" s="100" t="str">
        <f t="array" ref="G602">INDEX('MTA 28-09'!J:J,MATCH(B602,'MTA 28-09'!A:A,0))</f>
        <v>C26080</v>
      </c>
      <c r="H602" s="159" t="s">
        <v>157</v>
      </c>
      <c r="I602" s="296"/>
      <c r="J602" s="102" t="s">
        <v>1625</v>
      </c>
      <c r="K602" s="103"/>
      <c r="L602" s="102" t="str">
        <f t="array" ref="L602">INDEX('MTA 28-09'!S:S,MATCH(B602,'MTA 28-09'!A:A,0))</f>
        <v>C-97</v>
      </c>
      <c r="M602" s="98" t="str">
        <f t="array" ref="M602">INDEX('MTA 28-09'!T:T,MATCH(B602,'MTA 28-09'!A:A,0))</f>
        <v>CTT 039/CABW-PAMALS/2024 - Modernização</v>
      </c>
      <c r="N602" s="98" t="str">
        <f t="array" ref="N602">INDEX('MTA 28-09'!U:U,MATCH(B602,'MTA 28-09'!A:A,0))</f>
        <v>3ª ANV - etapa 2/3</v>
      </c>
      <c r="O602" s="104">
        <f t="array" ref="O602">INDEX('MTA 28-09'!AC:AC,MATCH(B602,'MTA 28-09'!A:A,0))</f>
        <v>297806.17</v>
      </c>
      <c r="P602" s="98" t="str">
        <f t="array" ref="P602">INDEX('MTA 28-09'!N:N,MATCH(B602,'MTA 28-09'!A:A,0))</f>
        <v>CABW</v>
      </c>
      <c r="Q602" s="105" t="str">
        <f t="array" ref="Q602">INDEX('MTA 28-09'!Z:Z,MATCH(B602,'MTA 28-09'!A:A,0))</f>
        <v>339039</v>
      </c>
      <c r="R602" s="98" t="str">
        <f t="array" ref="R602">INDEX('MTA 28-09'!L:L,MATCH(B602,'MTA 28-09'!A:A,0))</f>
        <v>D</v>
      </c>
      <c r="S602" s="107" t="str">
        <f t="array" ref="S602">INDEX('MTA 28-09'!X:X,MATCH(B602,'MTA 28-09'!A:A,0))</f>
        <v>PARCELA FIXA</v>
      </c>
      <c r="T602" s="107" t="str">
        <f t="array" ref="T602">INDEX('MTA 28-09'!W:W,MATCH(B602,'MTA 28-09'!A:A,0))</f>
        <v>Não</v>
      </c>
      <c r="U602" s="109">
        <f t="array" ref="U602">INDEX('MTA 28-09'!AE:AE,MATCH(B602,'MTA 28-09'!A:A,0))</f>
        <v>46291</v>
      </c>
      <c r="V602" s="29"/>
      <c r="W602" s="29"/>
      <c r="X602" s="29"/>
      <c r="Y602" s="29"/>
      <c r="Z602" s="29"/>
      <c r="AA602" s="29"/>
      <c r="AB602" s="29"/>
      <c r="AC602" s="29"/>
      <c r="AD602" s="29"/>
      <c r="AE602" s="29"/>
      <c r="AF602" s="29"/>
      <c r="AG602" s="29"/>
      <c r="AH602" s="29"/>
      <c r="AI602" s="29"/>
      <c r="AJ602" s="29"/>
      <c r="AK602" s="29"/>
      <c r="AL602" s="29"/>
      <c r="AM602" s="29"/>
    </row>
    <row r="603">
      <c r="A603" s="31" t="s">
        <v>1621</v>
      </c>
      <c r="B603" s="32">
        <v>19600.0</v>
      </c>
      <c r="C603" s="33" t="str">
        <f t="array" ref="C603">INDEX('MTA 28-09'!B:B,MATCH(B603,'MTA 28-09'!A:A,0))</f>
        <v>NÃO</v>
      </c>
      <c r="D603" s="34" t="str">
        <f t="array" ref="D603">INDEX('MTA 28-09'!D:D,MATCH(B603,'MTA 28-09'!A:A,0))</f>
        <v/>
      </c>
      <c r="E603" s="32" t="str">
        <f t="array" ref="E603">INDEX('MTA 28-09'!F:F,MATCH(B603,'MTA 28-09'!A:A,0))</f>
        <v>CANCELADO</v>
      </c>
      <c r="F603" s="155" t="str">
        <f t="array" ref="F603">INDEX('MTA 28-09'!I:I,MATCH(B603,'MTA 28-09'!A:A,0))</f>
        <v/>
      </c>
      <c r="G603" s="36" t="str">
        <f t="array" ref="G603">INDEX('MTA 28-09'!J:J,MATCH(B603,'MTA 28-09'!A:A,0))</f>
        <v/>
      </c>
      <c r="H603" s="287" t="s">
        <v>157</v>
      </c>
      <c r="I603" s="295"/>
      <c r="J603" s="39"/>
      <c r="K603" s="40"/>
      <c r="L603" s="39" t="str">
        <f t="array" ref="L603">INDEX('MTA 28-09'!S:S,MATCH(B603,'MTA 28-09'!A:A,0))</f>
        <v>C-98</v>
      </c>
      <c r="M603" s="32" t="str">
        <f t="array" ref="M603">INDEX('MTA 28-09'!T:T,MATCH(B603,'MTA 28-09'!A:A,0))</f>
        <v>CNT XXX/CELOG-PAMALS/2026 - Modernização - C-98</v>
      </c>
      <c r="N603" s="32" t="str">
        <f t="array" ref="N603">INDEX('MTA 28-09'!U:U,MATCH(B603,'MTA 28-09'!A:A,0))</f>
        <v>Modernização 3/4</v>
      </c>
      <c r="O603" s="59" t="str">
        <f t="array" ref="O603">INDEX('MTA 28-09'!AC:AC,MATCH(B603,'MTA 28-09'!A:A,0))</f>
        <v> -</v>
      </c>
      <c r="P603" s="32" t="str">
        <f t="array" ref="P603">INDEX('MTA 28-09'!N:N,MATCH(B603,'MTA 28-09'!A:A,0))</f>
        <v>CELOG</v>
      </c>
      <c r="Q603" s="67" t="str">
        <f t="array" ref="Q603">INDEX('MTA 28-09'!Z:Z,MATCH(B603,'MTA 28-09'!A:A,0))</f>
        <v>339039</v>
      </c>
      <c r="R603" s="32" t="str">
        <f t="array" ref="R603">INDEX('MTA 28-09'!L:L,MATCH(B603,'MTA 28-09'!A:A,0))</f>
        <v>D</v>
      </c>
      <c r="S603" s="72" t="str">
        <f t="array" ref="S603">INDEX('MTA 28-09'!X:X,MATCH(B603,'MTA 28-09'!A:A,0))</f>
        <v>PARCELA FIXA</v>
      </c>
      <c r="T603" s="72" t="str">
        <f t="array" ref="T603">INDEX('MTA 28-09'!W:W,MATCH(B603,'MTA 28-09'!A:A,0))</f>
        <v>Não</v>
      </c>
      <c r="U603" s="419" t="str">
        <f t="array" ref="U603">INDEX('MTA 28-09'!AE:AE,MATCH(B603,'MTA 28-09'!A:A,0))</f>
        <v>-</v>
      </c>
      <c r="V603" s="12"/>
      <c r="W603" s="12"/>
      <c r="X603" s="12"/>
      <c r="Y603" s="12"/>
      <c r="Z603" s="12"/>
      <c r="AA603" s="12"/>
      <c r="AB603" s="12"/>
      <c r="AC603" s="12"/>
      <c r="AD603" s="12"/>
      <c r="AE603" s="12"/>
      <c r="AF603" s="12"/>
      <c r="AG603" s="12"/>
      <c r="AH603" s="12"/>
      <c r="AI603" s="12"/>
      <c r="AJ603" s="12"/>
      <c r="AK603" s="12"/>
      <c r="AL603" s="12"/>
      <c r="AM603" s="12"/>
    </row>
    <row r="604">
      <c r="A604" s="88" t="s">
        <v>1621</v>
      </c>
      <c r="B604" s="98">
        <v>19620.0</v>
      </c>
      <c r="C604" s="92" t="str">
        <f t="array" ref="C604">INDEX('MTA 28-09'!B:B,MATCH(B604,'MTA 28-09'!A:A,0))</f>
        <v>NÃO</v>
      </c>
      <c r="D604" s="95" t="str">
        <f t="array" ref="D604">INDEX('MTA 28-09'!D:D,MATCH(B604,'MTA 28-09'!A:A,0))</f>
        <v/>
      </c>
      <c r="E604" s="98" t="str">
        <f t="array" ref="E604">INDEX('MTA 28-09'!F:F,MATCH(B604,'MTA 28-09'!A:A,0))</f>
        <v>CANCELADO</v>
      </c>
      <c r="F604" s="152" t="str">
        <f t="array" ref="F604">INDEX('MTA 28-09'!I:I,MATCH(B604,'MTA 28-09'!A:A,0))</f>
        <v/>
      </c>
      <c r="G604" s="100" t="str">
        <f t="array" ref="G604">INDEX('MTA 28-09'!J:J,MATCH(B604,'MTA 28-09'!A:A,0))</f>
        <v/>
      </c>
      <c r="H604" s="159" t="s">
        <v>157</v>
      </c>
      <c r="I604" s="428"/>
      <c r="J604" s="102"/>
      <c r="K604" s="103"/>
      <c r="L604" s="102" t="str">
        <f t="array" ref="L604">INDEX('MTA 28-09'!S:S,MATCH(B604,'MTA 28-09'!A:A,0))</f>
        <v>C-98</v>
      </c>
      <c r="M604" s="98" t="str">
        <f t="array" ref="M604">INDEX('MTA 28-09'!T:T,MATCH(B604,'MTA 28-09'!A:A,0))</f>
        <v>CNT XXX/CELOG-PAMALS/2026 - Modernização - C-98</v>
      </c>
      <c r="N604" s="98" t="str">
        <f t="array" ref="N604">INDEX('MTA 28-09'!U:U,MATCH(B604,'MTA 28-09'!A:A,0))</f>
        <v>Modernização 4/4</v>
      </c>
      <c r="O604" s="104" t="str">
        <f t="array" ref="O604">INDEX('MTA 28-09'!AC:AC,MATCH(B604,'MTA 28-09'!A:A,0))</f>
        <v> -</v>
      </c>
      <c r="P604" s="98" t="str">
        <f t="array" ref="P604">INDEX('MTA 28-09'!N:N,MATCH(B604,'MTA 28-09'!A:A,0))</f>
        <v>CELOG</v>
      </c>
      <c r="Q604" s="105" t="str">
        <f t="array" ref="Q604">INDEX('MTA 28-09'!Z:Z,MATCH(B604,'MTA 28-09'!A:A,0))</f>
        <v>339039</v>
      </c>
      <c r="R604" s="98" t="str">
        <f t="array" ref="R604">INDEX('MTA 28-09'!L:L,MATCH(B604,'MTA 28-09'!A:A,0))</f>
        <v>D</v>
      </c>
      <c r="S604" s="107" t="str">
        <f t="array" ref="S604">INDEX('MTA 28-09'!X:X,MATCH(B604,'MTA 28-09'!A:A,0))</f>
        <v>PARCELA FIXA</v>
      </c>
      <c r="T604" s="107" t="str">
        <f t="array" ref="T604">INDEX('MTA 28-09'!W:W,MATCH(B604,'MTA 28-09'!A:A,0))</f>
        <v>Não</v>
      </c>
      <c r="U604" s="418" t="str">
        <f t="array" ref="U604">INDEX('MTA 28-09'!AE:AE,MATCH(B604,'MTA 28-09'!A:A,0))</f>
        <v>-</v>
      </c>
      <c r="V604" s="29"/>
      <c r="W604" s="29"/>
      <c r="X604" s="29"/>
      <c r="Y604" s="29"/>
      <c r="Z604" s="29"/>
      <c r="AA604" s="29"/>
      <c r="AB604" s="29"/>
      <c r="AC604" s="29"/>
      <c r="AD604" s="29"/>
      <c r="AE604" s="29"/>
      <c r="AF604" s="29"/>
      <c r="AG604" s="29"/>
      <c r="AH604" s="29"/>
      <c r="AI604" s="29"/>
      <c r="AJ604" s="29"/>
      <c r="AK604" s="29"/>
      <c r="AL604" s="29"/>
      <c r="AM604" s="29"/>
    </row>
    <row r="605">
      <c r="A605" s="31" t="s">
        <v>99</v>
      </c>
      <c r="B605" s="32">
        <v>19640.0</v>
      </c>
      <c r="C605" s="33" t="str">
        <f t="array" ref="C605">INDEX('MTA 28-09'!B:B,MATCH(B605,'MTA 28-09'!A:A,0))</f>
        <v>SIM</v>
      </c>
      <c r="D605" s="34">
        <f t="array" ref="D605">INDEX('MTA 28-09'!D:D,MATCH(B605,'MTA 28-09'!A:A,0))</f>
        <v>2048</v>
      </c>
      <c r="E605" s="32" t="str">
        <f t="array" ref="E605">INDEX('MTA 28-09'!F:F,MATCH(B605,'MTA 28-09'!A:A,0))</f>
        <v/>
      </c>
      <c r="F605" s="155" t="str">
        <f t="array" ref="F605">INDEX('MTA 28-09'!I:I,MATCH(B605,'MTA 28-09'!A:A,0))</f>
        <v/>
      </c>
      <c r="G605" s="36" t="str">
        <f t="array" ref="G605">INDEX('MTA 28-09'!J:J,MATCH(B605,'MTA 28-09'!A:A,0))</f>
        <v/>
      </c>
      <c r="H605" s="287" t="s">
        <v>157</v>
      </c>
      <c r="I605" s="429" t="s">
        <v>1588</v>
      </c>
      <c r="J605" s="39"/>
      <c r="K605" s="40"/>
      <c r="L605" s="39" t="str">
        <f t="array" ref="L605">INDEX('MTA 28-09'!S:S,MATCH(B605,'MTA 28-09'!A:A,0))</f>
        <v>APOIO</v>
      </c>
      <c r="M605" s="32" t="str">
        <f t="array" ref="M605">INDEX('MTA 28-09'!T:T,MATCH(B605,'MTA 28-09'!A:A,0))</f>
        <v>Pregão XXX/CELOG-PAMALS/2026</v>
      </c>
      <c r="N605" s="32" t="str">
        <f t="array" ref="N605">INDEX('MTA 28-09'!U:U,MATCH(B605,'MTA 28-09'!A:A,0))</f>
        <v>INTERNALIZAÇÃO - Aquisição de maquinários para a TOFI</v>
      </c>
      <c r="O605" s="59">
        <f t="array" ref="O605">INDEX('MTA 28-09'!AC:AC,MATCH(B605,'MTA 28-09'!A:A,0))</f>
        <v>756764.18</v>
      </c>
      <c r="P605" s="32" t="str">
        <f t="array" ref="P605">INDEX('MTA 28-09'!N:N,MATCH(B605,'MTA 28-09'!A:A,0))</f>
        <v>CELOG</v>
      </c>
      <c r="Q605" s="67" t="str">
        <f t="array" ref="Q605">INDEX('MTA 28-09'!Z:Z,MATCH(B605,'MTA 28-09'!A:A,0))</f>
        <v>449052</v>
      </c>
      <c r="R605" s="32" t="str">
        <f t="array" ref="R605">INDEX('MTA 28-09'!L:L,MATCH(B605,'MTA 28-09'!A:A,0))</f>
        <v>A</v>
      </c>
      <c r="S605" s="72" t="str">
        <f t="array" ref="S605">INDEX('MTA 28-09'!X:X,MATCH(B605,'MTA 28-09'!A:A,0))</f>
        <v>REQUISIÇÃO</v>
      </c>
      <c r="T605" s="72" t="str">
        <f t="array" ref="T605">INDEX('MTA 28-09'!W:W,MATCH(B605,'MTA 28-09'!A:A,0))</f>
        <v>NÃO</v>
      </c>
      <c r="U605" s="81">
        <f t="array" ref="U605">INDEX('MTA 28-09'!AE:AE,MATCH(B605,'MTA 28-09'!A:A,0))</f>
        <v>46382</v>
      </c>
      <c r="V605" s="12"/>
      <c r="W605" s="12"/>
      <c r="X605" s="12"/>
      <c r="Y605" s="12"/>
      <c r="Z605" s="12"/>
      <c r="AA605" s="12"/>
      <c r="AB605" s="12"/>
      <c r="AC605" s="12"/>
      <c r="AD605" s="12"/>
      <c r="AE605" s="12"/>
      <c r="AF605" s="12"/>
      <c r="AG605" s="12"/>
      <c r="AH605" s="12"/>
      <c r="AI605" s="12"/>
      <c r="AJ605" s="12"/>
      <c r="AK605" s="12"/>
      <c r="AL605" s="12"/>
      <c r="AM605" s="12"/>
    </row>
    <row r="606">
      <c r="A606" s="88" t="s">
        <v>99</v>
      </c>
      <c r="B606" s="90">
        <v>19641.0</v>
      </c>
      <c r="C606" s="92" t="str">
        <f t="array" ref="C606">INDEX('MTA 28-09'!B:B,MATCH(B606,'MTA 28-09'!A:A,0))</f>
        <v>SIM</v>
      </c>
      <c r="D606" s="95">
        <f t="array" ref="D606">INDEX('MTA 28-09'!D:D,MATCH(B606,'MTA 28-09'!A:A,0))</f>
        <v>2048</v>
      </c>
      <c r="E606" s="98" t="str">
        <f t="array" ref="E606">INDEX('MTA 28-09'!F:F,MATCH(B606,'MTA 28-09'!A:A,0))</f>
        <v>ATENDIDO</v>
      </c>
      <c r="F606" s="152">
        <f t="array" ref="F606">INDEX('MTA 28-09'!I:I,MATCH(B606,'MTA 28-09'!A:A,0))</f>
        <v>46118</v>
      </c>
      <c r="G606" s="100" t="str">
        <f t="array" ref="G606">INDEX('MTA 28-09'!J:J,MATCH(B606,'MTA 28-09'!A:A,0))</f>
        <v>C26202</v>
      </c>
      <c r="H606" s="101" t="s">
        <v>154</v>
      </c>
      <c r="I606" s="90"/>
      <c r="J606" s="102"/>
      <c r="K606" s="103"/>
      <c r="L606" s="102" t="str">
        <f t="array" ref="L606">INDEX('MTA 28-09'!S:S,MATCH(B606,'MTA 28-09'!A:A,0))</f>
        <v>APOIO</v>
      </c>
      <c r="M606" s="98" t="str">
        <f t="array" ref="M606">INDEX('MTA 28-09'!T:T,MATCH(B606,'MTA 28-09'!A:A,0))</f>
        <v>Pregão 038/CELOG/2025</v>
      </c>
      <c r="N606" s="98" t="str">
        <f t="array" ref="N606">INDEX('MTA 28-09'!U:U,MATCH(B606,'MTA 28-09'!A:A,0))</f>
        <v>INTERNALIZAÇÃO - Aquisição de maquinários para a TOFI</v>
      </c>
      <c r="O606" s="104">
        <f t="array" ref="O606">INDEX('MTA 28-09'!AC:AC,MATCH(B606,'MTA 28-09'!A:A,0))</f>
        <v>838718.58</v>
      </c>
      <c r="P606" s="98" t="str">
        <f t="array" ref="P606">INDEX('MTA 28-09'!N:N,MATCH(B606,'MTA 28-09'!A:A,0))</f>
        <v>CELOG</v>
      </c>
      <c r="Q606" s="105" t="str">
        <f t="array" ref="Q606">INDEX('MTA 28-09'!Z:Z,MATCH(B606,'MTA 28-09'!A:A,0))</f>
        <v>449052</v>
      </c>
      <c r="R606" s="98" t="str">
        <f t="array" ref="R606">INDEX('MTA 28-09'!L:L,MATCH(B606,'MTA 28-09'!A:A,0))</f>
        <v>A</v>
      </c>
      <c r="S606" s="107" t="str">
        <f t="array" ref="S606">INDEX('MTA 28-09'!X:X,MATCH(B606,'MTA 28-09'!A:A,0))</f>
        <v>REQUISIÇÃO</v>
      </c>
      <c r="T606" s="107" t="str">
        <f t="array" ref="T606">INDEX('MTA 28-09'!W:W,MATCH(B606,'MTA 28-09'!A:A,0))</f>
        <v>NÃO</v>
      </c>
      <c r="U606" s="109">
        <f t="array" ref="U606">INDEX('MTA 28-09'!AE:AE,MATCH(B606,'MTA 28-09'!A:A,0))</f>
        <v>46352</v>
      </c>
      <c r="V606" s="29"/>
      <c r="W606" s="29"/>
      <c r="X606" s="29"/>
      <c r="Y606" s="29"/>
      <c r="Z606" s="29"/>
      <c r="AA606" s="29"/>
      <c r="AB606" s="29"/>
      <c r="AC606" s="29"/>
      <c r="AD606" s="29"/>
      <c r="AE606" s="29"/>
      <c r="AF606" s="29"/>
      <c r="AG606" s="29"/>
      <c r="AH606" s="29"/>
      <c r="AI606" s="29"/>
      <c r="AJ606" s="29"/>
      <c r="AK606" s="29"/>
      <c r="AL606" s="29"/>
      <c r="AM606" s="29"/>
    </row>
    <row r="607">
      <c r="A607" s="31" t="s">
        <v>99</v>
      </c>
      <c r="B607" s="38">
        <v>19642.0</v>
      </c>
      <c r="C607" s="33" t="str">
        <f t="array" ref="C607">INDEX('MTA 28-09'!B:B,MATCH(B607,'MTA 28-09'!A:A,0))</f>
        <v>SIM</v>
      </c>
      <c r="D607" s="34">
        <f t="array" ref="D607">INDEX('MTA 28-09'!D:D,MATCH(B607,'MTA 28-09'!A:A,0))</f>
        <v>2048</v>
      </c>
      <c r="E607" s="32" t="str">
        <f t="array" ref="E607">INDEX('MTA 28-09'!F:F,MATCH(B607,'MTA 28-09'!A:A,0))</f>
        <v>ATENDIDO</v>
      </c>
      <c r="F607" s="155">
        <f t="array" ref="F607">INDEX('MTA 28-09'!I:I,MATCH(B607,'MTA 28-09'!A:A,0))</f>
        <v>46118</v>
      </c>
      <c r="G607" s="36" t="str">
        <f t="array" ref="G607">INDEX('MTA 28-09'!J:J,MATCH(B607,'MTA 28-09'!A:A,0))</f>
        <v>C26089</v>
      </c>
      <c r="H607" s="37" t="s">
        <v>154</v>
      </c>
      <c r="I607" s="38"/>
      <c r="J607" s="39"/>
      <c r="K607" s="40"/>
      <c r="L607" s="39" t="str">
        <f t="array" ref="L607">INDEX('MTA 28-09'!S:S,MATCH(B607,'MTA 28-09'!A:A,0))</f>
        <v>APOIO</v>
      </c>
      <c r="M607" s="32" t="str">
        <f t="array" ref="M607">INDEX('MTA 28-09'!T:T,MATCH(B607,'MTA 28-09'!A:A,0))</f>
        <v>Pregão 043/GAPLS/2025</v>
      </c>
      <c r="N607" s="32" t="str">
        <f t="array" ref="N607">INDEX('MTA 28-09'!U:U,MATCH(B607,'MTA 28-09'!A:A,0))</f>
        <v>INTERNALIZAÇÃO - Aquisição de maquinários para a TOFI</v>
      </c>
      <c r="O607" s="59">
        <f t="array" ref="O607">INDEX('MTA 28-09'!AC:AC,MATCH(B607,'MTA 28-09'!A:A,0))</f>
        <v>24517.24</v>
      </c>
      <c r="P607" s="32" t="str">
        <f t="array" ref="P607">INDEX('MTA 28-09'!N:N,MATCH(B607,'MTA 28-09'!A:A,0))</f>
        <v>GAP-LS</v>
      </c>
      <c r="Q607" s="67" t="str">
        <f t="array" ref="Q607">INDEX('MTA 28-09'!Z:Z,MATCH(B607,'MTA 28-09'!A:A,0))</f>
        <v>449052</v>
      </c>
      <c r="R607" s="32" t="str">
        <f t="array" ref="R607">INDEX('MTA 28-09'!L:L,MATCH(B607,'MTA 28-09'!A:A,0))</f>
        <v>A</v>
      </c>
      <c r="S607" s="72" t="str">
        <f t="array" ref="S607">INDEX('MTA 28-09'!X:X,MATCH(B607,'MTA 28-09'!A:A,0))</f>
        <v>REQUISIÇÃO</v>
      </c>
      <c r="T607" s="72" t="str">
        <f t="array" ref="T607">INDEX('MTA 28-09'!W:W,MATCH(B607,'MTA 28-09'!A:A,0))</f>
        <v>NÃO</v>
      </c>
      <c r="U607" s="81">
        <f t="array" ref="U607">INDEX('MTA 28-09'!AE:AE,MATCH(B607,'MTA 28-09'!A:A,0))</f>
        <v>46352</v>
      </c>
      <c r="V607" s="12"/>
      <c r="W607" s="12"/>
      <c r="X607" s="12"/>
      <c r="Y607" s="12"/>
      <c r="Z607" s="12"/>
      <c r="AA607" s="12"/>
      <c r="AB607" s="12"/>
      <c r="AC607" s="12"/>
      <c r="AD607" s="12"/>
      <c r="AE607" s="12"/>
      <c r="AF607" s="12"/>
      <c r="AG607" s="12"/>
      <c r="AH607" s="12"/>
      <c r="AI607" s="12"/>
      <c r="AJ607" s="12"/>
      <c r="AK607" s="12"/>
      <c r="AL607" s="12"/>
      <c r="AM607" s="12"/>
    </row>
    <row r="608">
      <c r="A608" s="88" t="s">
        <v>99</v>
      </c>
      <c r="B608" s="98">
        <v>19660.0</v>
      </c>
      <c r="C608" s="92" t="str">
        <f t="array" ref="C608">INDEX('MTA 28-09'!B:B,MATCH(B608,'MTA 28-09'!A:A,0))</f>
        <v>NÃO</v>
      </c>
      <c r="D608" s="95" t="str">
        <f t="array" ref="D608">INDEX('MTA 28-09'!D:D,MATCH(B608,'MTA 28-09'!A:A,0))</f>
        <v/>
      </c>
      <c r="E608" s="98" t="str">
        <f t="array" ref="E608">INDEX('MTA 28-09'!F:F,MATCH(B608,'MTA 28-09'!A:A,0))</f>
        <v/>
      </c>
      <c r="F608" s="152" t="str">
        <f t="array" ref="F608">INDEX('MTA 28-09'!I:I,MATCH(B608,'MTA 28-09'!A:A,0))</f>
        <v/>
      </c>
      <c r="G608" s="100" t="str">
        <f t="array" ref="G608">INDEX('MTA 28-09'!J:J,MATCH(B608,'MTA 28-09'!A:A,0))</f>
        <v/>
      </c>
      <c r="H608" s="159" t="s">
        <v>157</v>
      </c>
      <c r="I608" s="296"/>
      <c r="J608" s="102"/>
      <c r="K608" s="103"/>
      <c r="L608" s="102" t="str">
        <f t="array" ref="L608">INDEX('MTA 28-09'!S:S,MATCH(B608,'MTA 28-09'!A:A,0))</f>
        <v>APOIO</v>
      </c>
      <c r="M608" s="98" t="str">
        <f t="array" ref="M608">INDEX('MTA 28-09'!T:T,MATCH(B608,'MTA 28-09'!A:A,0))</f>
        <v>Pregão XXX/CELOG-PAMALS/2026</v>
      </c>
      <c r="N608" s="98" t="str">
        <f t="array" ref="N608">INDEX('MTA 28-09'!U:U,MATCH(B608,'MTA 28-09'!A:A,0))</f>
        <v>INTERNALIZAÇÃO - Aquisição de Tornos para as oficinas</v>
      </c>
      <c r="O608" s="104">
        <f t="array" ref="O608">INDEX('MTA 28-09'!AC:AC,MATCH(B608,'MTA 28-09'!A:A,0))</f>
        <v>3132000</v>
      </c>
      <c r="P608" s="98" t="str">
        <f t="array" ref="P608">INDEX('MTA 28-09'!N:N,MATCH(B608,'MTA 28-09'!A:A,0))</f>
        <v>CELOG</v>
      </c>
      <c r="Q608" s="105" t="str">
        <f t="array" ref="Q608">INDEX('MTA 28-09'!Z:Z,MATCH(B608,'MTA 28-09'!A:A,0))</f>
        <v>449052</v>
      </c>
      <c r="R608" s="98" t="str">
        <f t="array" ref="R608">INDEX('MTA 28-09'!L:L,MATCH(B608,'MTA 28-09'!A:A,0))</f>
        <v>C</v>
      </c>
      <c r="S608" s="107" t="str">
        <f t="array" ref="S608">INDEX('MTA 28-09'!X:X,MATCH(B608,'MTA 28-09'!A:A,0))</f>
        <v>REQUISIÇÃO</v>
      </c>
      <c r="T608" s="107" t="str">
        <f t="array" ref="T608">INDEX('MTA 28-09'!W:W,MATCH(B608,'MTA 28-09'!A:A,0))</f>
        <v>NÃO</v>
      </c>
      <c r="U608" s="109">
        <f t="array" ref="U608">INDEX('MTA 28-09'!AE:AE,MATCH(B608,'MTA 28-09'!A:A,0))</f>
        <v>46352</v>
      </c>
      <c r="V608" s="29"/>
      <c r="W608" s="29"/>
      <c r="X608" s="29"/>
      <c r="Y608" s="29"/>
      <c r="Z608" s="29"/>
      <c r="AA608" s="29"/>
      <c r="AB608" s="29"/>
      <c r="AC608" s="29"/>
      <c r="AD608" s="29"/>
      <c r="AE608" s="29"/>
      <c r="AF608" s="29"/>
      <c r="AG608" s="29"/>
      <c r="AH608" s="29"/>
      <c r="AI608" s="29"/>
      <c r="AJ608" s="29"/>
      <c r="AK608" s="29"/>
      <c r="AL608" s="29"/>
      <c r="AM608" s="29"/>
    </row>
    <row r="609">
      <c r="A609" s="31" t="s">
        <v>1609</v>
      </c>
      <c r="B609" s="32">
        <v>19680.0</v>
      </c>
      <c r="C609" s="33" t="str">
        <f t="array" ref="C609">INDEX('MTA 28-09'!B:B,MATCH(B609,'MTA 28-09'!A:A,0))</f>
        <v>NÃO</v>
      </c>
      <c r="D609" s="34" t="str">
        <f t="array" ref="D609">INDEX('MTA 28-09'!D:D,MATCH(B609,'MTA 28-09'!A:A,0))</f>
        <v>20IH</v>
      </c>
      <c r="E609" s="32" t="str">
        <f t="array" ref="E609">INDEX('MTA 28-09'!F:F,MATCH(B609,'MTA 28-09'!A:A,0))</f>
        <v/>
      </c>
      <c r="F609" s="35" t="str">
        <f t="array" ref="F609">INDEX('MTA 28-09'!I:I,MATCH(B609,'MTA 28-09'!A:A,0))</f>
        <v/>
      </c>
      <c r="G609" s="36" t="str">
        <f t="array" ref="G609">INDEX('MTA 28-09'!J:J,MATCH(B609,'MTA 28-09'!A:A,0))</f>
        <v/>
      </c>
      <c r="H609" s="287" t="s">
        <v>157</v>
      </c>
      <c r="I609" s="295"/>
      <c r="J609" s="39"/>
      <c r="K609" s="40"/>
      <c r="L609" s="39" t="str">
        <f t="array" ref="L609">INDEX('MTA 28-09'!S:S,MATCH(B609,'MTA 28-09'!A:A,0))</f>
        <v>C-97</v>
      </c>
      <c r="M609" s="32" t="str">
        <f t="array" ref="M609">INDEX('MTA 28-09'!T:T,MATCH(B609,'MTA 28-09'!A:A,0))</f>
        <v>Requisição CABW</v>
      </c>
      <c r="N609" s="32" t="str">
        <f t="array" ref="N609">INDEX('MTA 28-09'!U:U,MATCH(B609,'MTA 28-09'!A:A,0))</f>
        <v>PN 2100-4043-00 - Gravador de Dados de Voo 4/4</v>
      </c>
      <c r="O609" s="59">
        <f t="array" ref="O609">INDEX('MTA 28-09'!AC:AC,MATCH(B609,'MTA 28-09'!A:A,0))</f>
        <v>765000</v>
      </c>
      <c r="P609" s="32" t="str">
        <f t="array" ref="P609">INDEX('MTA 28-09'!N:N,MATCH(B609,'MTA 28-09'!A:A,0))</f>
        <v>CABW</v>
      </c>
      <c r="Q609" s="67" t="str">
        <f t="array" ref="Q609">INDEX('MTA 28-09'!Z:Z,MATCH(B609,'MTA 28-09'!A:A,0))</f>
        <v>339030</v>
      </c>
      <c r="R609" s="32" t="str">
        <f t="array" ref="R609">INDEX('MTA 28-09'!L:L,MATCH(B609,'MTA 28-09'!A:A,0))</f>
        <v>D</v>
      </c>
      <c r="S609" s="72" t="str">
        <f t="array" ref="S609">INDEX('MTA 28-09'!X:X,MATCH(B609,'MTA 28-09'!A:A,0))</f>
        <v>REQUISIÇÃO</v>
      </c>
      <c r="T609" s="72" t="str">
        <f t="array" ref="T609">INDEX('MTA 28-09'!W:W,MATCH(B609,'MTA 28-09'!A:A,0))</f>
        <v>Não</v>
      </c>
      <c r="U609" s="81">
        <f t="array" ref="U609">INDEX('MTA 28-09'!AE:AE,MATCH(B609,'MTA 28-09'!A:A,0))</f>
        <v>46352</v>
      </c>
      <c r="V609" s="12"/>
      <c r="W609" s="12"/>
      <c r="X609" s="12"/>
      <c r="Y609" s="12"/>
      <c r="Z609" s="12"/>
      <c r="AA609" s="12"/>
      <c r="AB609" s="12"/>
      <c r="AC609" s="12"/>
      <c r="AD609" s="12"/>
      <c r="AE609" s="12"/>
      <c r="AF609" s="12"/>
      <c r="AG609" s="12"/>
      <c r="AH609" s="12"/>
      <c r="AI609" s="12"/>
      <c r="AJ609" s="12"/>
      <c r="AK609" s="12"/>
      <c r="AL609" s="12"/>
      <c r="AM609" s="12"/>
    </row>
    <row r="610">
      <c r="A610" s="88" t="s">
        <v>1609</v>
      </c>
      <c r="B610" s="98">
        <v>19700.0</v>
      </c>
      <c r="C610" s="92" t="str">
        <f t="array" ref="C610">INDEX('MTA 28-09'!B:B,MATCH(B610,'MTA 28-09'!A:A,0))</f>
        <v>SIM</v>
      </c>
      <c r="D610" s="95" t="str">
        <f t="array" ref="D610">INDEX('MTA 28-09'!D:D,MATCH(B610,'MTA 28-09'!A:A,0))</f>
        <v>20IH</v>
      </c>
      <c r="E610" s="98" t="str">
        <f t="array" ref="E610">INDEX('MTA 28-09'!F:F,MATCH(B610,'MTA 28-09'!A:A,0))</f>
        <v/>
      </c>
      <c r="F610" s="99" t="str">
        <f t="array" ref="F610">INDEX('MTA 28-09'!I:I,MATCH(B610,'MTA 28-09'!A:A,0))</f>
        <v/>
      </c>
      <c r="G610" s="100" t="str">
        <f t="array" ref="G610">INDEX('MTA 28-09'!J:J,MATCH(B610,'MTA 28-09'!A:A,0))</f>
        <v/>
      </c>
      <c r="H610" s="101" t="s">
        <v>1451</v>
      </c>
      <c r="I610" s="90" t="s">
        <v>293</v>
      </c>
      <c r="J610" s="102"/>
      <c r="K610" s="103"/>
      <c r="L610" s="102" t="str">
        <f t="array" ref="L610">INDEX('MTA 28-09'!S:S,MATCH(B610,'MTA 28-09'!A:A,0))</f>
        <v>C-97</v>
      </c>
      <c r="M610" s="98" t="str">
        <f t="array" ref="M610">INDEX('MTA 28-09'!T:T,MATCH(B610,'MTA 28-09'!A:A,0))</f>
        <v>Requisição CABW</v>
      </c>
      <c r="N610" s="98" t="str">
        <f t="array" ref="N610">INDEX('MTA 28-09'!U:U,MATCH(B610,'MTA 28-09'!A:A,0))</f>
        <v>Modernização PAMALS 2/4</v>
      </c>
      <c r="O610" s="104">
        <f t="array" ref="O610">INDEX('MTA 28-09'!AC:AC,MATCH(B610,'MTA 28-09'!A:A,0))</f>
        <v>110719.63</v>
      </c>
      <c r="P610" s="98" t="str">
        <f t="array" ref="P610">INDEX('MTA 28-09'!N:N,MATCH(B610,'MTA 28-09'!A:A,0))</f>
        <v>CABW</v>
      </c>
      <c r="Q610" s="105" t="str">
        <f t="array" ref="Q610">INDEX('MTA 28-09'!Z:Z,MATCH(B610,'MTA 28-09'!A:A,0))</f>
        <v>339030</v>
      </c>
      <c r="R610" s="98" t="str">
        <f t="array" ref="R610">INDEX('MTA 28-09'!L:L,MATCH(B610,'MTA 28-09'!A:A,0))</f>
        <v>D</v>
      </c>
      <c r="S610" s="107" t="str">
        <f t="array" ref="S610">INDEX('MTA 28-09'!X:X,MATCH(B610,'MTA 28-09'!A:A,0))</f>
        <v>REQUISIÇÃO</v>
      </c>
      <c r="T610" s="107" t="str">
        <f t="array" ref="T610">INDEX('MTA 28-09'!W:W,MATCH(B610,'MTA 28-09'!A:A,0))</f>
        <v>Não</v>
      </c>
      <c r="U610" s="109">
        <f t="array" ref="U610">INDEX('MTA 28-09'!AE:AE,MATCH(B610,'MTA 28-09'!A:A,0))</f>
        <v>46352</v>
      </c>
      <c r="V610" s="29"/>
      <c r="W610" s="29"/>
      <c r="X610" s="29"/>
      <c r="Y610" s="29"/>
      <c r="Z610" s="29"/>
      <c r="AA610" s="29"/>
      <c r="AB610" s="29"/>
      <c r="AC610" s="29"/>
      <c r="AD610" s="29"/>
      <c r="AE610" s="29"/>
      <c r="AF610" s="29"/>
      <c r="AG610" s="29"/>
      <c r="AH610" s="29"/>
      <c r="AI610" s="29"/>
      <c r="AJ610" s="29"/>
      <c r="AK610" s="29"/>
      <c r="AL610" s="29"/>
      <c r="AM610" s="29"/>
    </row>
    <row r="611">
      <c r="A611" s="31" t="s">
        <v>1609</v>
      </c>
      <c r="B611" s="38">
        <v>19701.0</v>
      </c>
      <c r="C611" s="33" t="str">
        <f t="array" ref="C611">INDEX('MTA 28-09'!B:B,MATCH(B611,'MTA 28-09'!A:A,0))</f>
        <v>SIM</v>
      </c>
      <c r="D611" s="34" t="str">
        <f t="array" ref="D611">INDEX('MTA 28-09'!D:D,MATCH(B611,'MTA 28-09'!A:A,0))</f>
        <v>20IH</v>
      </c>
      <c r="E611" s="32" t="str">
        <f t="array" ref="E611">INDEX('MTA 28-09'!F:F,MATCH(B611,'MTA 28-09'!A:A,0))</f>
        <v>ATENDIDO</v>
      </c>
      <c r="F611" s="155">
        <f t="array" ref="F611">INDEX('MTA 28-09'!I:I,MATCH(B611,'MTA 28-09'!A:A,0))</f>
        <v>46281</v>
      </c>
      <c r="G611" s="36" t="str">
        <f t="array" ref="G611">INDEX('MTA 28-09'!J:J,MATCH(B611,'MTA 28-09'!A:A,0))</f>
        <v>C26205</v>
      </c>
      <c r="H611" s="37"/>
      <c r="I611" s="38"/>
      <c r="J611" s="39"/>
      <c r="K611" s="40"/>
      <c r="L611" s="39"/>
      <c r="M611" s="32" t="str">
        <f t="array" ref="M611">INDEX('MTA 28-09'!T:T,MATCH(B611,'MTA 28-09'!A:A,0))</f>
        <v>Requisição CABW</v>
      </c>
      <c r="N611" s="32" t="str">
        <f t="array" ref="N611">INDEX('MTA 28-09'!U:U,MATCH(B611,'MTA 28-09'!A:A,0))</f>
        <v>Modernização PAMALS 2/4</v>
      </c>
      <c r="O611" s="59">
        <f t="array" ref="O611">INDEX('MTA 28-09'!AC:AC,MATCH(B611,'MTA 28-09'!A:A,0))</f>
        <v>528910.37</v>
      </c>
      <c r="P611" s="32" t="str">
        <f t="array" ref="P611">INDEX('MTA 28-09'!N:N,MATCH(B611,'MTA 28-09'!A:A,0))</f>
        <v>CABW</v>
      </c>
      <c r="Q611" s="67" t="str">
        <f t="array" ref="Q611">INDEX('MTA 28-09'!Z:Z,MATCH(B611,'MTA 28-09'!A:A,0))</f>
        <v>339030</v>
      </c>
      <c r="R611" s="32" t="str">
        <f t="array" ref="R611">INDEX('MTA 28-09'!L:L,MATCH(B611,'MTA 28-09'!A:A,0))</f>
        <v>D</v>
      </c>
      <c r="S611" s="72" t="str">
        <f t="array" ref="S611">INDEX('MTA 28-09'!X:X,MATCH(B611,'MTA 28-09'!A:A,0))</f>
        <v>REQUISIÇÃO</v>
      </c>
      <c r="T611" s="72" t="str">
        <f t="array" ref="T611">INDEX('MTA 28-09'!W:W,MATCH(B611,'MTA 28-09'!A:A,0))</f>
        <v>Não</v>
      </c>
      <c r="U611" s="81">
        <f t="array" ref="U611">INDEX('MTA 28-09'!AE:AE,MATCH(B611,'MTA 28-09'!A:A,0))</f>
        <v>46352</v>
      </c>
      <c r="V611" s="12"/>
      <c r="W611" s="12"/>
      <c r="X611" s="12"/>
      <c r="Y611" s="12"/>
      <c r="Z611" s="12"/>
      <c r="AA611" s="12"/>
      <c r="AB611" s="12"/>
      <c r="AC611" s="12"/>
      <c r="AD611" s="12"/>
      <c r="AE611" s="12"/>
      <c r="AF611" s="12"/>
      <c r="AG611" s="12"/>
      <c r="AH611" s="12"/>
      <c r="AI611" s="12"/>
      <c r="AJ611" s="12"/>
      <c r="AK611" s="12"/>
      <c r="AL611" s="12"/>
      <c r="AM611" s="12"/>
    </row>
    <row r="612">
      <c r="A612" s="88" t="s">
        <v>1609</v>
      </c>
      <c r="B612" s="98">
        <v>19720.0</v>
      </c>
      <c r="C612" s="92" t="str">
        <f t="array" ref="C612">INDEX('MTA 28-09'!B:B,MATCH(B612,'MTA 28-09'!A:A,0))</f>
        <v>SIM</v>
      </c>
      <c r="D612" s="95" t="str">
        <f t="array" ref="D612">INDEX('MTA 28-09'!D:D,MATCH(B612,'MTA 28-09'!A:A,0))</f>
        <v>20IH</v>
      </c>
      <c r="E612" s="98" t="str">
        <f t="array" ref="E612">INDEX('MTA 28-09'!F:F,MATCH(B612,'MTA 28-09'!A:A,0))</f>
        <v/>
      </c>
      <c r="F612" s="152" t="str">
        <f t="array" ref="F612">INDEX('MTA 28-09'!I:I,MATCH(B612,'MTA 28-09'!A:A,0))</f>
        <v/>
      </c>
      <c r="G612" s="100" t="str">
        <f t="array" ref="G612">INDEX('MTA 28-09'!J:J,MATCH(B612,'MTA 28-09'!A:A,0))</f>
        <v/>
      </c>
      <c r="H612" s="159" t="s">
        <v>157</v>
      </c>
      <c r="I612" s="296"/>
      <c r="J612" s="102"/>
      <c r="K612" s="103"/>
      <c r="L612" s="102" t="str">
        <f t="array" ref="L612">INDEX('MTA 28-09'!S:S,MATCH(B612,'MTA 28-09'!A:A,0))</f>
        <v>C-97</v>
      </c>
      <c r="M612" s="98" t="str">
        <f t="array" ref="M612">INDEX('MTA 28-09'!T:T,MATCH(B612,'MTA 28-09'!A:A,0))</f>
        <v>Requisição CABW</v>
      </c>
      <c r="N612" s="98" t="str">
        <f t="array" ref="N612">INDEX('MTA 28-09'!U:U,MATCH(B612,'MTA 28-09'!A:A,0))</f>
        <v>Modernização PAMALS 4/4</v>
      </c>
      <c r="O612" s="104">
        <f t="array" ref="O612">INDEX('MTA 28-09'!AC:AC,MATCH(B612,'MTA 28-09'!A:A,0))</f>
        <v>121775.14</v>
      </c>
      <c r="P612" s="98" t="str">
        <f t="array" ref="P612">INDEX('MTA 28-09'!N:N,MATCH(B612,'MTA 28-09'!A:A,0))</f>
        <v>CABW</v>
      </c>
      <c r="Q612" s="105" t="str">
        <f t="array" ref="Q612">INDEX('MTA 28-09'!Z:Z,MATCH(B612,'MTA 28-09'!A:A,0))</f>
        <v>339030</v>
      </c>
      <c r="R612" s="98" t="str">
        <f t="array" ref="R612">INDEX('MTA 28-09'!L:L,MATCH(B612,'MTA 28-09'!A:A,0))</f>
        <v>D</v>
      </c>
      <c r="S612" s="107" t="str">
        <f t="array" ref="S612">INDEX('MTA 28-09'!X:X,MATCH(B612,'MTA 28-09'!A:A,0))</f>
        <v>REQUISIÇÃO</v>
      </c>
      <c r="T612" s="107" t="str">
        <f t="array" ref="T612">INDEX('MTA 28-09'!W:W,MATCH(B612,'MTA 28-09'!A:A,0))</f>
        <v>Não</v>
      </c>
      <c r="U612" s="109">
        <f t="array" ref="U612">INDEX('MTA 28-09'!AE:AE,MATCH(B612,'MTA 28-09'!A:A,0))</f>
        <v>46352</v>
      </c>
      <c r="V612" s="29"/>
      <c r="W612" s="29"/>
      <c r="X612" s="29"/>
      <c r="Y612" s="29"/>
      <c r="Z612" s="29"/>
      <c r="AA612" s="29"/>
      <c r="AB612" s="29"/>
      <c r="AC612" s="29"/>
      <c r="AD612" s="29"/>
      <c r="AE612" s="29"/>
      <c r="AF612" s="29"/>
      <c r="AG612" s="29"/>
      <c r="AH612" s="29"/>
      <c r="AI612" s="29"/>
      <c r="AJ612" s="29"/>
      <c r="AK612" s="29"/>
      <c r="AL612" s="29"/>
      <c r="AM612" s="29"/>
    </row>
    <row r="613">
      <c r="A613" s="31" t="s">
        <v>1609</v>
      </c>
      <c r="B613" s="38">
        <v>19721.0</v>
      </c>
      <c r="C613" s="33" t="str">
        <f t="array" ref="C613">INDEX('MTA 28-09'!B:B,MATCH(B613,'MTA 28-09'!A:A,0))</f>
        <v>NÃO</v>
      </c>
      <c r="D613" s="34" t="str">
        <f t="array" ref="D613">INDEX('MTA 28-09'!D:D,MATCH(B613,'MTA 28-09'!A:A,0))</f>
        <v/>
      </c>
      <c r="E613" s="32" t="str">
        <f t="array" ref="E613">INDEX('MTA 28-09'!F:F,MATCH(B613,'MTA 28-09'!A:A,0))</f>
        <v/>
      </c>
      <c r="F613" s="155" t="str">
        <f t="array" ref="F613">INDEX('MTA 28-09'!I:I,MATCH(B613,'MTA 28-09'!A:A,0))</f>
        <v/>
      </c>
      <c r="G613" s="36" t="str">
        <f t="array" ref="G613">INDEX('MTA 28-09'!J:J,MATCH(B613,'MTA 28-09'!A:A,0))</f>
        <v/>
      </c>
      <c r="H613" s="287"/>
      <c r="I613" s="295"/>
      <c r="J613" s="39"/>
      <c r="K613" s="40"/>
      <c r="L613" s="39"/>
      <c r="M613" s="32" t="str">
        <f t="array" ref="M613">INDEX('MTA 28-09'!T:T,MATCH(B613,'MTA 28-09'!A:A,0))</f>
        <v>Requisição CABW</v>
      </c>
      <c r="N613" s="32" t="str">
        <f t="array" ref="N613">INDEX('MTA 28-09'!U:U,MATCH(B613,'MTA 28-09'!A:A,0))</f>
        <v>Modernização PAMALS 4/4</v>
      </c>
      <c r="O613" s="59">
        <f t="array" ref="O613">INDEX('MTA 28-09'!AC:AC,MATCH(B613,'MTA 28-09'!A:A,0))</f>
        <v>1730724.86</v>
      </c>
      <c r="P613" s="32" t="str">
        <f t="array" ref="P613">INDEX('MTA 28-09'!N:N,MATCH(B613,'MTA 28-09'!A:A,0))</f>
        <v>CABW</v>
      </c>
      <c r="Q613" s="67" t="str">
        <f t="array" ref="Q613">INDEX('MTA 28-09'!Z:Z,MATCH(B613,'MTA 28-09'!A:A,0))</f>
        <v>339030</v>
      </c>
      <c r="R613" s="32" t="str">
        <f t="array" ref="R613">INDEX('MTA 28-09'!L:L,MATCH(B613,'MTA 28-09'!A:A,0))</f>
        <v>D</v>
      </c>
      <c r="S613" s="72" t="str">
        <f t="array" ref="S613">INDEX('MTA 28-09'!X:X,MATCH(B613,'MTA 28-09'!A:A,0))</f>
        <v>REQUISIÇÃO</v>
      </c>
      <c r="T613" s="72" t="str">
        <f t="array" ref="T613">INDEX('MTA 28-09'!W:W,MATCH(B613,'MTA 28-09'!A:A,0))</f>
        <v>Não</v>
      </c>
      <c r="U613" s="81">
        <f t="array" ref="U613">INDEX('MTA 28-09'!AE:AE,MATCH(B613,'MTA 28-09'!A:A,0))</f>
        <v>46352</v>
      </c>
      <c r="V613" s="12"/>
      <c r="W613" s="12"/>
      <c r="X613" s="12"/>
      <c r="Y613" s="12"/>
      <c r="Z613" s="12"/>
      <c r="AA613" s="12"/>
      <c r="AB613" s="12"/>
      <c r="AC613" s="12"/>
      <c r="AD613" s="12"/>
      <c r="AE613" s="12"/>
      <c r="AF613" s="12"/>
      <c r="AG613" s="12"/>
      <c r="AH613" s="12"/>
      <c r="AI613" s="12"/>
      <c r="AJ613" s="12"/>
      <c r="AK613" s="12"/>
      <c r="AL613" s="12"/>
      <c r="AM613" s="12"/>
    </row>
    <row r="614">
      <c r="A614" s="88" t="s">
        <v>1609</v>
      </c>
      <c r="B614" s="98">
        <v>19740.0</v>
      </c>
      <c r="C614" s="92" t="str">
        <f t="array" ref="C614">INDEX('MTA 28-09'!B:B,MATCH(B614,'MTA 28-09'!A:A,0))</f>
        <v>SIM</v>
      </c>
      <c r="D614" s="95" t="str">
        <f t="array" ref="D614">INDEX('MTA 28-09'!D:D,MATCH(B614,'MTA 28-09'!A:A,0))</f>
        <v>20IH</v>
      </c>
      <c r="E614" s="98" t="str">
        <f t="array" ref="E614">INDEX('MTA 28-09'!F:F,MATCH(B614,'MTA 28-09'!A:A,0))</f>
        <v>ATENDIDO</v>
      </c>
      <c r="F614" s="152">
        <f t="array" ref="F614">INDEX('MTA 28-09'!I:I,MATCH(B614,'MTA 28-09'!A:A,0))</f>
        <v>46255</v>
      </c>
      <c r="G614" s="100" t="str">
        <f t="array" ref="G614">INDEX('MTA 28-09'!J:J,MATCH(B614,'MTA 28-09'!A:A,0))</f>
        <v>C26149</v>
      </c>
      <c r="H614" s="101" t="s">
        <v>421</v>
      </c>
      <c r="I614" s="90"/>
      <c r="J614" s="102" t="s">
        <v>152</v>
      </c>
      <c r="K614" s="103"/>
      <c r="L614" s="102" t="str">
        <f t="array" ref="L614">INDEX('MTA 28-09'!S:S,MATCH(B614,'MTA 28-09'!A:A,0))</f>
        <v>C-97</v>
      </c>
      <c r="M614" s="98" t="str">
        <f t="array" ref="M614">INDEX('MTA 28-09'!T:T,MATCH(B614,'MTA 28-09'!A:A,0))</f>
        <v>CTT 039/CABW-PAMALS/2024 - Modernização</v>
      </c>
      <c r="N614" s="98" t="str">
        <f t="array" ref="N614">INDEX('MTA 28-09'!U:U,MATCH(B614,'MTA 28-09'!A:A,0))</f>
        <v>3ª ANV - etapa 3/3</v>
      </c>
      <c r="O614" s="104">
        <f t="array" ref="O614">INDEX('MTA 28-09'!AC:AC,MATCH(B614,'MTA 28-09'!A:A,0))</f>
        <v>132289.63</v>
      </c>
      <c r="P614" s="98" t="str">
        <f t="array" ref="P614">INDEX('MTA 28-09'!N:N,MATCH(B614,'MTA 28-09'!A:A,0))</f>
        <v>CABW</v>
      </c>
      <c r="Q614" s="105" t="str">
        <f t="array" ref="Q614">INDEX('MTA 28-09'!Z:Z,MATCH(B614,'MTA 28-09'!A:A,0))</f>
        <v>339039</v>
      </c>
      <c r="R614" s="98" t="str">
        <f t="array" ref="R614">INDEX('MTA 28-09'!L:L,MATCH(B614,'MTA 28-09'!A:A,0))</f>
        <v>D</v>
      </c>
      <c r="S614" s="107" t="str">
        <f t="array" ref="S614">INDEX('MTA 28-09'!X:X,MATCH(B614,'MTA 28-09'!A:A,0))</f>
        <v>PARCELA FIXA</v>
      </c>
      <c r="T614" s="107" t="str">
        <f t="array" ref="T614">INDEX('MTA 28-09'!W:W,MATCH(B614,'MTA 28-09'!A:A,0))</f>
        <v>Não</v>
      </c>
      <c r="U614" s="109">
        <f t="array" ref="U614">INDEX('MTA 28-09'!AE:AE,MATCH(B614,'MTA 28-09'!A:A,0))</f>
        <v>46260</v>
      </c>
      <c r="V614" s="29"/>
      <c r="W614" s="29"/>
      <c r="X614" s="29"/>
      <c r="Y614" s="29"/>
      <c r="Z614" s="29"/>
      <c r="AA614" s="29"/>
      <c r="AB614" s="29"/>
      <c r="AC614" s="29"/>
      <c r="AD614" s="29"/>
      <c r="AE614" s="29"/>
      <c r="AF614" s="29"/>
      <c r="AG614" s="29"/>
      <c r="AH614" s="29"/>
      <c r="AI614" s="29"/>
      <c r="AJ614" s="29"/>
      <c r="AK614" s="29"/>
      <c r="AL614" s="29"/>
      <c r="AM614" s="29"/>
    </row>
    <row r="615">
      <c r="A615" s="31" t="s">
        <v>1609</v>
      </c>
      <c r="B615" s="38">
        <v>19741.0</v>
      </c>
      <c r="C615" s="33" t="str">
        <f t="array" ref="C615">INDEX('MTA 28-09'!B:B,MATCH(B615,'MTA 28-09'!A:A,0))</f>
        <v>SIM</v>
      </c>
      <c r="D615" s="34" t="str">
        <f t="array" ref="D615">INDEX('MTA 28-09'!D:D,MATCH(B615,'MTA 28-09'!A:A,0))</f>
        <v>20IH</v>
      </c>
      <c r="E615" s="32" t="str">
        <f t="array" ref="E615">INDEX('MTA 28-09'!F:F,MATCH(B615,'MTA 28-09'!A:A,0))</f>
        <v>ATENDIDO</v>
      </c>
      <c r="F615" s="155">
        <f t="array" ref="F615">INDEX('MTA 28-09'!I:I,MATCH(B615,'MTA 28-09'!A:A,0))</f>
        <v>46121</v>
      </c>
      <c r="G615" s="36" t="str">
        <f t="array" ref="G615">INDEX('MTA 28-09'!J:J,MATCH(B615,'MTA 28-09'!A:A,0))</f>
        <v>C26023</v>
      </c>
      <c r="H615" s="287" t="s">
        <v>157</v>
      </c>
      <c r="I615" s="295"/>
      <c r="J615" s="39"/>
      <c r="K615" s="40"/>
      <c r="L615" s="39" t="str">
        <f t="array" ref="L615">INDEX('MTA 28-09'!S:S,MATCH(B615,'MTA 28-09'!A:A,0))</f>
        <v>C-97</v>
      </c>
      <c r="M615" s="32" t="str">
        <f t="array" ref="M615">INDEX('MTA 28-09'!T:T,MATCH(B615,'MTA 28-09'!A:A,0))</f>
        <v>CTT 039/CABW-PAMALS/2024 - Modernização</v>
      </c>
      <c r="N615" s="32" t="str">
        <f t="array" ref="N615">INDEX('MTA 28-09'!U:U,MATCH(B615,'MTA 28-09'!A:A,0))</f>
        <v>3ª ANV - etapa 3/3</v>
      </c>
      <c r="O615" s="59">
        <f t="array" ref="O615">INDEX('MTA 28-09'!AC:AC,MATCH(B615,'MTA 28-09'!A:A,0))</f>
        <v>356876.28</v>
      </c>
      <c r="P615" s="32" t="str">
        <f t="array" ref="P615">INDEX('MTA 28-09'!N:N,MATCH(B615,'MTA 28-09'!A:A,0))</f>
        <v>CABW</v>
      </c>
      <c r="Q615" s="67" t="str">
        <f t="array" ref="Q615">INDEX('MTA 28-09'!Z:Z,MATCH(B615,'MTA 28-09'!A:A,0))</f>
        <v>339039</v>
      </c>
      <c r="R615" s="32" t="str">
        <f t="array" ref="R615">INDEX('MTA 28-09'!L:L,MATCH(B615,'MTA 28-09'!A:A,0))</f>
        <v>D</v>
      </c>
      <c r="S615" s="72" t="str">
        <f t="array" ref="S615">INDEX('MTA 28-09'!X:X,MATCH(B615,'MTA 28-09'!A:A,0))</f>
        <v>PARCELA FIXA</v>
      </c>
      <c r="T615" s="72" t="str">
        <f t="array" ref="T615">INDEX('MTA 28-09'!W:W,MATCH(B615,'MTA 28-09'!A:A,0))</f>
        <v>Não</v>
      </c>
      <c r="U615" s="81">
        <f t="array" ref="U615">INDEX('MTA 28-09'!AE:AE,MATCH(B615,'MTA 28-09'!A:A,0))</f>
        <v>46382</v>
      </c>
      <c r="V615" s="12"/>
      <c r="W615" s="12"/>
      <c r="X615" s="12"/>
      <c r="Y615" s="12"/>
      <c r="Z615" s="12"/>
      <c r="AA615" s="12"/>
      <c r="AB615" s="12"/>
      <c r="AC615" s="12"/>
      <c r="AD615" s="12"/>
      <c r="AE615" s="12"/>
      <c r="AF615" s="12"/>
      <c r="AG615" s="12"/>
      <c r="AH615" s="12"/>
      <c r="AI615" s="12"/>
      <c r="AJ615" s="12"/>
      <c r="AK615" s="12"/>
      <c r="AL615" s="12"/>
      <c r="AM615" s="12"/>
    </row>
    <row r="616">
      <c r="A616" s="88" t="s">
        <v>1609</v>
      </c>
      <c r="B616" s="90">
        <v>19742.0</v>
      </c>
      <c r="C616" s="92" t="str">
        <f t="array" ref="C616">INDEX('MTA 28-09'!B:B,MATCH(B616,'MTA 28-09'!A:A,0))</f>
        <v>SIM</v>
      </c>
      <c r="D616" s="95" t="str">
        <f t="array" ref="D616">INDEX('MTA 28-09'!D:D,MATCH(B616,'MTA 28-09'!A:A,0))</f>
        <v>20IH</v>
      </c>
      <c r="E616" s="98" t="str">
        <f t="array" ref="E616">INDEX('MTA 28-09'!F:F,MATCH(B616,'MTA 28-09'!A:A,0))</f>
        <v>ATENDIDO</v>
      </c>
      <c r="F616" s="152">
        <f t="array" ref="F616">INDEX('MTA 28-09'!I:I,MATCH(B616,'MTA 28-09'!A:A,0))</f>
        <v>46205</v>
      </c>
      <c r="G616" s="100" t="str">
        <f t="array" ref="G616">INDEX('MTA 28-09'!J:J,MATCH(B616,'MTA 28-09'!A:A,0))</f>
        <v>C26080</v>
      </c>
      <c r="H616" s="101" t="s">
        <v>421</v>
      </c>
      <c r="I616" s="90"/>
      <c r="J616" s="102"/>
      <c r="K616" s="103"/>
      <c r="L616" s="102" t="str">
        <f t="array" ref="L616">INDEX('MTA 28-09'!S:S,MATCH(B616,'MTA 28-09'!A:A,0))</f>
        <v>C-97</v>
      </c>
      <c r="M616" s="98" t="str">
        <f t="array" ref="M616">INDEX('MTA 28-09'!T:T,MATCH(B616,'MTA 28-09'!A:A,0))</f>
        <v>CTT 039/CABW-PAMALS/2024 - Modernização</v>
      </c>
      <c r="N616" s="98" t="str">
        <f t="array" ref="N616">INDEX('MTA 28-09'!U:U,MATCH(B616,'MTA 28-09'!A:A,0))</f>
        <v>3ª ANV - etapa 3/3</v>
      </c>
      <c r="O616" s="104">
        <f t="array" ref="O616">INDEX('MTA 28-09'!AC:AC,MATCH(B616,'MTA 28-09'!A:A,0))</f>
        <v>155811</v>
      </c>
      <c r="P616" s="98" t="str">
        <f t="array" ref="P616">INDEX('MTA 28-09'!N:N,MATCH(B616,'MTA 28-09'!A:A,0))</f>
        <v>CABW</v>
      </c>
      <c r="Q616" s="105" t="str">
        <f t="array" ref="Q616">INDEX('MTA 28-09'!Z:Z,MATCH(B616,'MTA 28-09'!A:A,0))</f>
        <v>339039</v>
      </c>
      <c r="R616" s="98" t="str">
        <f t="array" ref="R616">INDEX('MTA 28-09'!L:L,MATCH(B616,'MTA 28-09'!A:A,0))</f>
        <v>D</v>
      </c>
      <c r="S616" s="107" t="str">
        <f t="array" ref="S616">INDEX('MTA 28-09'!X:X,MATCH(B616,'MTA 28-09'!A:A,0))</f>
        <v>PARCELA FIXA</v>
      </c>
      <c r="T616" s="107" t="str">
        <f t="array" ref="T616">INDEX('MTA 28-09'!W:W,MATCH(B616,'MTA 28-09'!A:A,0))</f>
        <v>Não</v>
      </c>
      <c r="U616" s="109">
        <f t="array" ref="U616">INDEX('MTA 28-09'!AE:AE,MATCH(B616,'MTA 28-09'!A:A,0))</f>
        <v>46260</v>
      </c>
      <c r="V616" s="29"/>
      <c r="W616" s="29"/>
      <c r="X616" s="29"/>
      <c r="Y616" s="29"/>
      <c r="Z616" s="29"/>
      <c r="AA616" s="29"/>
      <c r="AB616" s="29"/>
      <c r="AC616" s="29"/>
      <c r="AD616" s="29"/>
      <c r="AE616" s="29"/>
      <c r="AF616" s="29"/>
      <c r="AG616" s="29"/>
      <c r="AH616" s="29"/>
      <c r="AI616" s="29"/>
      <c r="AJ616" s="29"/>
      <c r="AK616" s="29"/>
      <c r="AL616" s="29"/>
      <c r="AM616" s="29"/>
    </row>
    <row r="617">
      <c r="A617" s="31" t="s">
        <v>47</v>
      </c>
      <c r="B617" s="32">
        <v>19760.0</v>
      </c>
      <c r="C617" s="33" t="str">
        <f t="array" ref="C617">INDEX('MTA 28-09'!B:B,MATCH(B617,'MTA 28-09'!A:A,0))</f>
        <v>NÃO</v>
      </c>
      <c r="D617" s="34" t="str">
        <f t="array" ref="D617">INDEX('MTA 28-09'!D:D,MATCH(B617,'MTA 28-09'!A:A,0))</f>
        <v/>
      </c>
      <c r="E617" s="32" t="str">
        <f t="array" ref="E617">INDEX('MTA 28-09'!F:F,MATCH(B617,'MTA 28-09'!A:A,0))</f>
        <v/>
      </c>
      <c r="F617" s="155" t="str">
        <f t="array" ref="F617">INDEX('MTA 28-09'!I:I,MATCH(B617,'MTA 28-09'!A:A,0))</f>
        <v/>
      </c>
      <c r="G617" s="36" t="str">
        <f t="array" ref="G617">INDEX('MTA 28-09'!J:J,MATCH(B617,'MTA 28-09'!A:A,0))</f>
        <v/>
      </c>
      <c r="H617" s="287" t="s">
        <v>157</v>
      </c>
      <c r="I617" s="295"/>
      <c r="J617" s="39"/>
      <c r="K617" s="40"/>
      <c r="L617" s="39" t="str">
        <f t="array" ref="L617">INDEX('MTA 28-09'!S:S,MATCH(B617,'MTA 28-09'!A:A,0))</f>
        <v>T-25</v>
      </c>
      <c r="M617" s="32" t="str">
        <f t="array" ref="M617">INDEX('MTA 28-09'!T:T,MATCH(B617,'MTA 28-09'!A:A,0))</f>
        <v>Requisição CABW</v>
      </c>
      <c r="N617" s="32" t="str">
        <f t="array" ref="N617">INDEX('MTA 28-09'!U:U,MATCH(B617,'MTA 28-09'!A:A,0))</f>
        <v>Requisições FDAMP 1/2</v>
      </c>
      <c r="O617" s="59">
        <f t="array" ref="O617">INDEX('MTA 28-09'!AC:AC,MATCH(B617,'MTA 28-09'!A:A,0))</f>
        <v>20000</v>
      </c>
      <c r="P617" s="32" t="str">
        <f t="array" ref="P617">INDEX('MTA 28-09'!N:N,MATCH(B617,'MTA 28-09'!A:A,0))</f>
        <v>CABW</v>
      </c>
      <c r="Q617" s="67" t="str">
        <f t="array" ref="Q617">INDEX('MTA 28-09'!Z:Z,MATCH(B617,'MTA 28-09'!A:A,0))</f>
        <v>449052</v>
      </c>
      <c r="R617" s="32" t="str">
        <f t="array" ref="R617">INDEX('MTA 28-09'!L:L,MATCH(B617,'MTA 28-09'!A:A,0))</f>
        <v>C</v>
      </c>
      <c r="S617" s="72" t="str">
        <f t="array" ref="S617">INDEX('MTA 28-09'!X:X,MATCH(B617,'MTA 28-09'!A:A,0))</f>
        <v>REQUISIÇÃO</v>
      </c>
      <c r="T617" s="72" t="str">
        <f t="array" ref="T617">INDEX('MTA 28-09'!W:W,MATCH(B617,'MTA 28-09'!A:A,0))</f>
        <v>Não</v>
      </c>
      <c r="U617" s="81">
        <f t="array" ref="U617">INDEX('MTA 28-09'!AE:AE,MATCH(B617,'MTA 28-09'!A:A,0))</f>
        <v>46168</v>
      </c>
      <c r="V617" s="12"/>
      <c r="W617" s="12"/>
      <c r="X617" s="12"/>
      <c r="Y617" s="12"/>
      <c r="Z617" s="12"/>
      <c r="AA617" s="12"/>
      <c r="AB617" s="12"/>
      <c r="AC617" s="12"/>
      <c r="AD617" s="12"/>
      <c r="AE617" s="12"/>
      <c r="AF617" s="12"/>
      <c r="AG617" s="12"/>
      <c r="AH617" s="12"/>
      <c r="AI617" s="12"/>
      <c r="AJ617" s="12"/>
      <c r="AK617" s="12"/>
      <c r="AL617" s="12"/>
      <c r="AM617" s="12"/>
    </row>
    <row r="618">
      <c r="A618" s="88" t="s">
        <v>46</v>
      </c>
      <c r="B618" s="98">
        <v>19780.0</v>
      </c>
      <c r="C618" s="92" t="str">
        <f t="array" ref="C618">INDEX('MTA 28-09'!B:B,MATCH(B618,'MTA 28-09'!A:A,0))</f>
        <v>NÃO</v>
      </c>
      <c r="D618" s="95" t="str">
        <f t="array" ref="D618">INDEX('MTA 28-09'!D:D,MATCH(B618,'MTA 28-09'!A:A,0))</f>
        <v/>
      </c>
      <c r="E618" s="98" t="str">
        <f t="array" ref="E618">INDEX('MTA 28-09'!F:F,MATCH(B618,'MTA 28-09'!A:A,0))</f>
        <v/>
      </c>
      <c r="F618" s="152" t="str">
        <f t="array" ref="F618">INDEX('MTA 28-09'!I:I,MATCH(B618,'MTA 28-09'!A:A,0))</f>
        <v/>
      </c>
      <c r="G618" s="100" t="str">
        <f t="array" ref="G618">INDEX('MTA 28-09'!J:J,MATCH(B618,'MTA 28-09'!A:A,0))</f>
        <v/>
      </c>
      <c r="H618" s="159" t="s">
        <v>157</v>
      </c>
      <c r="I618" s="296"/>
      <c r="J618" s="102"/>
      <c r="K618" s="103"/>
      <c r="L618" s="102" t="str">
        <f t="array" ref="L618">INDEX('MTA 28-09'!S:S,MATCH(B618,'MTA 28-09'!A:A,0))</f>
        <v>T-27</v>
      </c>
      <c r="M618" s="98" t="str">
        <f t="array" ref="M618">INDEX('MTA 28-09'!T:T,MATCH(B618,'MTA 28-09'!A:A,0))</f>
        <v>2025-AFA-01</v>
      </c>
      <c r="N618" s="98" t="str">
        <f t="array" ref="N618">INDEX('MTA 28-09'!U:U,MATCH(B618,'MTA 28-09'!A:A,0))</f>
        <v>PN PRO3600 - PROTRACTOR,DIGITAL</v>
      </c>
      <c r="O618" s="104">
        <f t="array" ref="O618">INDEX('MTA 28-09'!AC:AC,MATCH(B618,'MTA 28-09'!A:A,0))</f>
        <v>4643.36</v>
      </c>
      <c r="P618" s="98" t="str">
        <f t="array" ref="P618">INDEX('MTA 28-09'!N:N,MATCH(B618,'MTA 28-09'!A:A,0))</f>
        <v>FMS</v>
      </c>
      <c r="Q618" s="105" t="str">
        <f t="array" ref="Q618">INDEX('MTA 28-09'!Z:Z,MATCH(B618,'MTA 28-09'!A:A,0))</f>
        <v>449052</v>
      </c>
      <c r="R618" s="98" t="str">
        <f t="array" ref="R618">INDEX('MTA 28-09'!L:L,MATCH(B618,'MTA 28-09'!A:A,0))</f>
        <v>C</v>
      </c>
      <c r="S618" s="107" t="str">
        <f t="array" ref="S618">INDEX('MTA 28-09'!X:X,MATCH(B618,'MTA 28-09'!A:A,0))</f>
        <v>REQUISIÇÃO</v>
      </c>
      <c r="T618" s="107" t="str">
        <f t="array" ref="T618">INDEX('MTA 28-09'!W:W,MATCH(B618,'MTA 28-09'!A:A,0))</f>
        <v>Não</v>
      </c>
      <c r="U618" s="109">
        <f t="array" ref="U618">INDEX('MTA 28-09'!AE:AE,MATCH(B618,'MTA 28-09'!A:A,0))</f>
        <v>46168</v>
      </c>
      <c r="V618" s="29"/>
      <c r="W618" s="29"/>
      <c r="X618" s="29"/>
      <c r="Y618" s="29"/>
      <c r="Z618" s="29"/>
      <c r="AA618" s="29"/>
      <c r="AB618" s="29"/>
      <c r="AC618" s="29"/>
      <c r="AD618" s="29"/>
      <c r="AE618" s="29"/>
      <c r="AF618" s="29"/>
      <c r="AG618" s="29"/>
      <c r="AH618" s="29"/>
      <c r="AI618" s="29"/>
      <c r="AJ618" s="29"/>
      <c r="AK618" s="29"/>
      <c r="AL618" s="29"/>
      <c r="AM618" s="29"/>
    </row>
    <row r="619">
      <c r="A619" s="31" t="s">
        <v>46</v>
      </c>
      <c r="B619" s="32">
        <v>19800.0</v>
      </c>
      <c r="C619" s="33" t="str">
        <f t="array" ref="C619">INDEX('MTA 28-09'!B:B,MATCH(B619,'MTA 28-09'!A:A,0))</f>
        <v>NÃO</v>
      </c>
      <c r="D619" s="34" t="str">
        <f t="array" ref="D619">INDEX('MTA 28-09'!D:D,MATCH(B619,'MTA 28-09'!A:A,0))</f>
        <v/>
      </c>
      <c r="E619" s="32" t="str">
        <f t="array" ref="E619">INDEX('MTA 28-09'!F:F,MATCH(B619,'MTA 28-09'!A:A,0))</f>
        <v/>
      </c>
      <c r="F619" s="155" t="str">
        <f t="array" ref="F619">INDEX('MTA 28-09'!I:I,MATCH(B619,'MTA 28-09'!A:A,0))</f>
        <v/>
      </c>
      <c r="G619" s="36" t="str">
        <f t="array" ref="G619">INDEX('MTA 28-09'!J:J,MATCH(B619,'MTA 28-09'!A:A,0))</f>
        <v/>
      </c>
      <c r="H619" s="287" t="s">
        <v>157</v>
      </c>
      <c r="I619" s="295"/>
      <c r="J619" s="39"/>
      <c r="K619" s="40"/>
      <c r="L619" s="39" t="str">
        <f t="array" ref="L619">INDEX('MTA 28-09'!S:S,MATCH(B619,'MTA 28-09'!A:A,0))</f>
        <v>T-27</v>
      </c>
      <c r="M619" s="32" t="str">
        <f t="array" ref="M619">INDEX('MTA 28-09'!T:T,MATCH(B619,'MTA 28-09'!A:A,0))</f>
        <v>2025-AFA-04</v>
      </c>
      <c r="N619" s="32" t="str">
        <f t="array" ref="N619">INDEX('MTA 28-09'!U:U,MATCH(B619,'MTA 28-09'!A:A,0))</f>
        <v>PN DPP-30 - TESTER,SPRING RESILIENCY</v>
      </c>
      <c r="O619" s="59">
        <f t="array" ref="O619">INDEX('MTA 28-09'!AC:AC,MATCH(B619,'MTA 28-09'!A:A,0))</f>
        <v>6266.4</v>
      </c>
      <c r="P619" s="32" t="str">
        <f t="array" ref="P619">INDEX('MTA 28-09'!N:N,MATCH(B619,'MTA 28-09'!A:A,0))</f>
        <v>CABW</v>
      </c>
      <c r="Q619" s="67" t="str">
        <f t="array" ref="Q619">INDEX('MTA 28-09'!Z:Z,MATCH(B619,'MTA 28-09'!A:A,0))</f>
        <v>449052</v>
      </c>
      <c r="R619" s="32" t="str">
        <f t="array" ref="R619">INDEX('MTA 28-09'!L:L,MATCH(B619,'MTA 28-09'!A:A,0))</f>
        <v>C</v>
      </c>
      <c r="S619" s="72" t="str">
        <f t="array" ref="S619">INDEX('MTA 28-09'!X:X,MATCH(B619,'MTA 28-09'!A:A,0))</f>
        <v>REQUISIÇÃO</v>
      </c>
      <c r="T619" s="72" t="str">
        <f t="array" ref="T619">INDEX('MTA 28-09'!W:W,MATCH(B619,'MTA 28-09'!A:A,0))</f>
        <v>Não</v>
      </c>
      <c r="U619" s="81">
        <f t="array" ref="U619">INDEX('MTA 28-09'!AE:AE,MATCH(B619,'MTA 28-09'!A:A,0))</f>
        <v>46168</v>
      </c>
      <c r="V619" s="12"/>
      <c r="W619" s="12"/>
      <c r="X619" s="12"/>
      <c r="Y619" s="12"/>
      <c r="Z619" s="12"/>
      <c r="AA619" s="12"/>
      <c r="AB619" s="12"/>
      <c r="AC619" s="12"/>
      <c r="AD619" s="12"/>
      <c r="AE619" s="12"/>
      <c r="AF619" s="12"/>
      <c r="AG619" s="12"/>
      <c r="AH619" s="12"/>
      <c r="AI619" s="12"/>
      <c r="AJ619" s="12"/>
      <c r="AK619" s="12"/>
      <c r="AL619" s="12"/>
      <c r="AM619" s="12"/>
    </row>
    <row r="620">
      <c r="A620" s="88" t="s">
        <v>46</v>
      </c>
      <c r="B620" s="98">
        <v>19820.0</v>
      </c>
      <c r="C620" s="92" t="str">
        <f t="array" ref="C620">INDEX('MTA 28-09'!B:B,MATCH(B620,'MTA 28-09'!A:A,0))</f>
        <v>NÃO</v>
      </c>
      <c r="D620" s="95" t="str">
        <f t="array" ref="D620">INDEX('MTA 28-09'!D:D,MATCH(B620,'MTA 28-09'!A:A,0))</f>
        <v/>
      </c>
      <c r="E620" s="98" t="str">
        <f t="array" ref="E620">INDEX('MTA 28-09'!F:F,MATCH(B620,'MTA 28-09'!A:A,0))</f>
        <v/>
      </c>
      <c r="F620" s="152" t="str">
        <f t="array" ref="F620">INDEX('MTA 28-09'!I:I,MATCH(B620,'MTA 28-09'!A:A,0))</f>
        <v/>
      </c>
      <c r="G620" s="100" t="str">
        <f t="array" ref="G620">INDEX('MTA 28-09'!J:J,MATCH(B620,'MTA 28-09'!A:A,0))</f>
        <v/>
      </c>
      <c r="H620" s="159" t="s">
        <v>157</v>
      </c>
      <c r="I620" s="296"/>
      <c r="J620" s="102"/>
      <c r="K620" s="103"/>
      <c r="L620" s="102" t="str">
        <f t="array" ref="L620">INDEX('MTA 28-09'!S:S,MATCH(B620,'MTA 28-09'!A:A,0))</f>
        <v>T-27</v>
      </c>
      <c r="M620" s="98" t="str">
        <f t="array" ref="M620">INDEX('MTA 28-09'!T:T,MATCH(B620,'MTA 28-09'!A:A,0))</f>
        <v>2025-AFA-14</v>
      </c>
      <c r="N620" s="98" t="str">
        <f t="array" ref="N620">INDEX('MTA 28-09'!U:U,MATCH(B620,'MTA 28-09'!A:A,0))</f>
        <v>PN PRO3600 - PROTRACTOR,DIGITAL</v>
      </c>
      <c r="O620" s="104">
        <f t="array" ref="O620">INDEX('MTA 28-09'!AC:AC,MATCH(B620,'MTA 28-09'!A:A,0))</f>
        <v>4643.36</v>
      </c>
      <c r="P620" s="98" t="str">
        <f t="array" ref="P620">INDEX('MTA 28-09'!N:N,MATCH(B620,'MTA 28-09'!A:A,0))</f>
        <v>FMS</v>
      </c>
      <c r="Q620" s="105" t="str">
        <f t="array" ref="Q620">INDEX('MTA 28-09'!Z:Z,MATCH(B620,'MTA 28-09'!A:A,0))</f>
        <v>449052</v>
      </c>
      <c r="R620" s="98" t="str">
        <f t="array" ref="R620">INDEX('MTA 28-09'!L:L,MATCH(B620,'MTA 28-09'!A:A,0))</f>
        <v>C</v>
      </c>
      <c r="S620" s="107" t="str">
        <f t="array" ref="S620">INDEX('MTA 28-09'!X:X,MATCH(B620,'MTA 28-09'!A:A,0))</f>
        <v>REQUISIÇÃO</v>
      </c>
      <c r="T620" s="107" t="str">
        <f t="array" ref="T620">INDEX('MTA 28-09'!W:W,MATCH(B620,'MTA 28-09'!A:A,0))</f>
        <v>Não</v>
      </c>
      <c r="U620" s="109">
        <f t="array" ref="U620">INDEX('MTA 28-09'!AE:AE,MATCH(B620,'MTA 28-09'!A:A,0))</f>
        <v>46168</v>
      </c>
      <c r="V620" s="29"/>
      <c r="W620" s="29"/>
      <c r="X620" s="29"/>
      <c r="Y620" s="29"/>
      <c r="Z620" s="29"/>
      <c r="AA620" s="29"/>
      <c r="AB620" s="29"/>
      <c r="AC620" s="29"/>
      <c r="AD620" s="29"/>
      <c r="AE620" s="29"/>
      <c r="AF620" s="29"/>
      <c r="AG620" s="29"/>
      <c r="AH620" s="29"/>
      <c r="AI620" s="29"/>
      <c r="AJ620" s="29"/>
      <c r="AK620" s="29"/>
      <c r="AL620" s="29"/>
      <c r="AM620" s="29"/>
    </row>
    <row r="621">
      <c r="A621" s="31" t="s">
        <v>46</v>
      </c>
      <c r="B621" s="32">
        <v>19840.0</v>
      </c>
      <c r="C621" s="33" t="str">
        <f t="array" ref="C621">INDEX('MTA 28-09'!B:B,MATCH(B621,'MTA 28-09'!A:A,0))</f>
        <v>NÃO</v>
      </c>
      <c r="D621" s="34" t="str">
        <f t="array" ref="D621">INDEX('MTA 28-09'!D:D,MATCH(B621,'MTA 28-09'!A:A,0))</f>
        <v/>
      </c>
      <c r="E621" s="32" t="str">
        <f t="array" ref="E621">INDEX('MTA 28-09'!F:F,MATCH(B621,'MTA 28-09'!A:A,0))</f>
        <v/>
      </c>
      <c r="F621" s="155" t="str">
        <f t="array" ref="F621">INDEX('MTA 28-09'!I:I,MATCH(B621,'MTA 28-09'!A:A,0))</f>
        <v/>
      </c>
      <c r="G621" s="36" t="str">
        <f t="array" ref="G621">INDEX('MTA 28-09'!J:J,MATCH(B621,'MTA 28-09'!A:A,0))</f>
        <v/>
      </c>
      <c r="H621" s="287" t="s">
        <v>157</v>
      </c>
      <c r="I621" s="295"/>
      <c r="J621" s="39"/>
      <c r="K621" s="40"/>
      <c r="L621" s="39" t="str">
        <f t="array" ref="L621">INDEX('MTA 28-09'!S:S,MATCH(B621,'MTA 28-09'!A:A,0))</f>
        <v>T-27</v>
      </c>
      <c r="M621" s="32" t="str">
        <f t="array" ref="M621">INDEX('MTA 28-09'!T:T,MATCH(B621,'MTA 28-09'!A:A,0))</f>
        <v>2025-BACO-06</v>
      </c>
      <c r="N621" s="32" t="str">
        <f t="array" ref="N621">INDEX('MTA 28-09'!U:U,MATCH(B621,'MTA 28-09'!A:A,0))</f>
        <v>PN 121630-006 - ANALYZER-CHARGER,BATTERY</v>
      </c>
      <c r="O621" s="59">
        <f t="array" ref="O621">INDEX('MTA 28-09'!AC:AC,MATCH(B621,'MTA 28-09'!A:A,0))</f>
        <v>78050</v>
      </c>
      <c r="P621" s="32" t="str">
        <f t="array" ref="P621">INDEX('MTA 28-09'!N:N,MATCH(B621,'MTA 28-09'!A:A,0))</f>
        <v>CABW</v>
      </c>
      <c r="Q621" s="67" t="str">
        <f t="array" ref="Q621">INDEX('MTA 28-09'!Z:Z,MATCH(B621,'MTA 28-09'!A:A,0))</f>
        <v>449052</v>
      </c>
      <c r="R621" s="32" t="str">
        <f t="array" ref="R621">INDEX('MTA 28-09'!L:L,MATCH(B621,'MTA 28-09'!A:A,0))</f>
        <v>C</v>
      </c>
      <c r="S621" s="72" t="str">
        <f t="array" ref="S621">INDEX('MTA 28-09'!X:X,MATCH(B621,'MTA 28-09'!A:A,0))</f>
        <v>REQUISIÇÃO</v>
      </c>
      <c r="T621" s="72" t="str">
        <f t="array" ref="T621">INDEX('MTA 28-09'!W:W,MATCH(B621,'MTA 28-09'!A:A,0))</f>
        <v>Não</v>
      </c>
      <c r="U621" s="81">
        <f t="array" ref="U621">INDEX('MTA 28-09'!AE:AE,MATCH(B621,'MTA 28-09'!A:A,0))</f>
        <v>46168</v>
      </c>
      <c r="V621" s="12"/>
      <c r="W621" s="12"/>
      <c r="X621" s="12"/>
      <c r="Y621" s="12"/>
      <c r="Z621" s="12"/>
      <c r="AA621" s="12"/>
      <c r="AB621" s="12"/>
      <c r="AC621" s="12"/>
      <c r="AD621" s="12"/>
      <c r="AE621" s="12"/>
      <c r="AF621" s="12"/>
      <c r="AG621" s="12"/>
      <c r="AH621" s="12"/>
      <c r="AI621" s="12"/>
      <c r="AJ621" s="12"/>
      <c r="AK621" s="12"/>
      <c r="AL621" s="12"/>
      <c r="AM621" s="12"/>
    </row>
    <row r="622">
      <c r="A622" s="88" t="s">
        <v>39</v>
      </c>
      <c r="B622" s="98">
        <v>19860.0</v>
      </c>
      <c r="C622" s="92" t="str">
        <f t="array" ref="C622">INDEX('MTA 28-09'!B:B,MATCH(B622,'MTA 28-09'!A:A,0))</f>
        <v>NÃO</v>
      </c>
      <c r="D622" s="95" t="str">
        <f t="array" ref="D622">INDEX('MTA 28-09'!D:D,MATCH(B622,'MTA 28-09'!A:A,0))</f>
        <v/>
      </c>
      <c r="E622" s="98" t="str">
        <f t="array" ref="E622">INDEX('MTA 28-09'!F:F,MATCH(B622,'MTA 28-09'!A:A,0))</f>
        <v/>
      </c>
      <c r="F622" s="152" t="str">
        <f t="array" ref="F622">INDEX('MTA 28-09'!I:I,MATCH(B622,'MTA 28-09'!A:A,0))</f>
        <v/>
      </c>
      <c r="G622" s="100" t="str">
        <f t="array" ref="G622">INDEX('MTA 28-09'!J:J,MATCH(B622,'MTA 28-09'!A:A,0))</f>
        <v/>
      </c>
      <c r="H622" s="159" t="s">
        <v>157</v>
      </c>
      <c r="I622" s="296"/>
      <c r="J622" s="102"/>
      <c r="K622" s="103"/>
      <c r="L622" s="102" t="str">
        <f t="array" ref="L622">INDEX('MTA 28-09'!S:S,MATCH(B622,'MTA 28-09'!A:A,0))</f>
        <v>A-29</v>
      </c>
      <c r="M622" s="98" t="str">
        <f t="array" ref="M622">INDEX('MTA 28-09'!T:T,MATCH(B622,'MTA 28-09'!A:A,0))</f>
        <v>2025-BABV-06</v>
      </c>
      <c r="N622" s="98" t="str">
        <f t="array" ref="N622">INDEX('MTA 28-09'!U:U,MATCH(B622,'MTA 28-09'!A:A,0))</f>
        <v>PN 28-01-3340 - CABO ELÉTRICO</v>
      </c>
      <c r="O622" s="104">
        <f t="array" ref="O622">INDEX('MTA 28-09'!AC:AC,MATCH(B622,'MTA 28-09'!A:A,0))</f>
        <v>6117.99</v>
      </c>
      <c r="P622" s="98" t="str">
        <f t="array" ref="P622">INDEX('MTA 28-09'!N:N,MATCH(B622,'MTA 28-09'!A:A,0))</f>
        <v>CELOG</v>
      </c>
      <c r="Q622" s="105" t="str">
        <f t="array" ref="Q622">INDEX('MTA 28-09'!Z:Z,MATCH(B622,'MTA 28-09'!A:A,0))</f>
        <v>449052</v>
      </c>
      <c r="R622" s="98" t="str">
        <f t="array" ref="R622">INDEX('MTA 28-09'!L:L,MATCH(B622,'MTA 28-09'!A:A,0))</f>
        <v>C</v>
      </c>
      <c r="S622" s="107" t="str">
        <f t="array" ref="S622">INDEX('MTA 28-09'!X:X,MATCH(B622,'MTA 28-09'!A:A,0))</f>
        <v>REQUISIÇÃO</v>
      </c>
      <c r="T622" s="107" t="str">
        <f t="array" ref="T622">INDEX('MTA 28-09'!W:W,MATCH(B622,'MTA 28-09'!A:A,0))</f>
        <v>Não</v>
      </c>
      <c r="U622" s="109">
        <f t="array" ref="U622">INDEX('MTA 28-09'!AE:AE,MATCH(B622,'MTA 28-09'!A:A,0))</f>
        <v>46168</v>
      </c>
      <c r="V622" s="29"/>
      <c r="W622" s="29"/>
      <c r="X622" s="29"/>
      <c r="Y622" s="29"/>
      <c r="Z622" s="29"/>
      <c r="AA622" s="29"/>
      <c r="AB622" s="29"/>
      <c r="AC622" s="29"/>
      <c r="AD622" s="29"/>
      <c r="AE622" s="29"/>
      <c r="AF622" s="29"/>
      <c r="AG622" s="29"/>
      <c r="AH622" s="29"/>
      <c r="AI622" s="29"/>
      <c r="AJ622" s="29"/>
      <c r="AK622" s="29"/>
      <c r="AL622" s="29"/>
      <c r="AM622" s="29"/>
    </row>
    <row r="623">
      <c r="A623" s="31" t="s">
        <v>39</v>
      </c>
      <c r="B623" s="32">
        <v>19880.0</v>
      </c>
      <c r="C623" s="33" t="str">
        <f t="array" ref="C623">INDEX('MTA 28-09'!B:B,MATCH(B623,'MTA 28-09'!A:A,0))</f>
        <v>NÃO</v>
      </c>
      <c r="D623" s="34" t="str">
        <f t="array" ref="D623">INDEX('MTA 28-09'!D:D,MATCH(B623,'MTA 28-09'!A:A,0))</f>
        <v/>
      </c>
      <c r="E623" s="32" t="str">
        <f t="array" ref="E623">INDEX('MTA 28-09'!F:F,MATCH(B623,'MTA 28-09'!A:A,0))</f>
        <v/>
      </c>
      <c r="F623" s="137" t="str">
        <f t="array" ref="F623">INDEX('MTA 28-09'!I:I,MATCH(B623,'MTA 28-09'!A:A,0))</f>
        <v/>
      </c>
      <c r="G623" s="36" t="str">
        <f t="array" ref="G623">INDEX('MTA 28-09'!J:J,MATCH(B623,'MTA 28-09'!A:A,0))</f>
        <v/>
      </c>
      <c r="H623" s="287" t="s">
        <v>157</v>
      </c>
      <c r="I623" s="295"/>
      <c r="J623" s="39"/>
      <c r="K623" s="40"/>
      <c r="L623" s="39" t="str">
        <f t="array" ref="L623">INDEX('MTA 28-09'!S:S,MATCH(B623,'MTA 28-09'!A:A,0))</f>
        <v>A-29</v>
      </c>
      <c r="M623" s="32" t="str">
        <f t="array" ref="M623">INDEX('MTA 28-09'!T:T,MATCH(B623,'MTA 28-09'!A:A,0))</f>
        <v>2025-BABV-12</v>
      </c>
      <c r="N623" s="32" t="str">
        <f t="array" ref="N623">INDEX('MTA 28-09'!U:U,MATCH(B623,'MTA 28-09'!A:A,0))</f>
        <v>PN PWC70903 - DRIFT</v>
      </c>
      <c r="O623" s="59">
        <f t="array" ref="O623">INDEX('MTA 28-09'!AC:AC,MATCH(B623,'MTA 28-09'!A:A,0))</f>
        <v>1427.99</v>
      </c>
      <c r="P623" s="32" t="str">
        <f t="array" ref="P623">INDEX('MTA 28-09'!N:N,MATCH(B623,'MTA 28-09'!A:A,0))</f>
        <v>CABW</v>
      </c>
      <c r="Q623" s="67" t="str">
        <f t="array" ref="Q623">INDEX('MTA 28-09'!Z:Z,MATCH(B623,'MTA 28-09'!A:A,0))</f>
        <v>449052</v>
      </c>
      <c r="R623" s="32" t="str">
        <f t="array" ref="R623">INDEX('MTA 28-09'!L:L,MATCH(B623,'MTA 28-09'!A:A,0))</f>
        <v>C</v>
      </c>
      <c r="S623" s="72" t="str">
        <f t="array" ref="S623">INDEX('MTA 28-09'!X:X,MATCH(B623,'MTA 28-09'!A:A,0))</f>
        <v>REQUISIÇÃO</v>
      </c>
      <c r="T623" s="72" t="str">
        <f t="array" ref="T623">INDEX('MTA 28-09'!W:W,MATCH(B623,'MTA 28-09'!A:A,0))</f>
        <v>Não</v>
      </c>
      <c r="U623" s="81">
        <f t="array" ref="U623">INDEX('MTA 28-09'!AE:AE,MATCH(B623,'MTA 28-09'!A:A,0))</f>
        <v>46168</v>
      </c>
      <c r="V623" s="12"/>
      <c r="W623" s="12"/>
      <c r="X623" s="12"/>
      <c r="Y623" s="12"/>
      <c r="Z623" s="12"/>
      <c r="AA623" s="12"/>
      <c r="AB623" s="12"/>
      <c r="AC623" s="12"/>
      <c r="AD623" s="12"/>
      <c r="AE623" s="12"/>
      <c r="AF623" s="12"/>
      <c r="AG623" s="12"/>
      <c r="AH623" s="12"/>
      <c r="AI623" s="12"/>
      <c r="AJ623" s="12"/>
      <c r="AK623" s="12"/>
      <c r="AL623" s="12"/>
      <c r="AM623" s="12"/>
    </row>
    <row r="624">
      <c r="A624" s="88" t="s">
        <v>39</v>
      </c>
      <c r="B624" s="98">
        <v>19900.0</v>
      </c>
      <c r="C624" s="92" t="str">
        <f t="array" ref="C624">INDEX('MTA 28-09'!B:B,MATCH(B624,'MTA 28-09'!A:A,0))</f>
        <v>NÃO</v>
      </c>
      <c r="D624" s="95" t="str">
        <f t="array" ref="D624">INDEX('MTA 28-09'!D:D,MATCH(B624,'MTA 28-09'!A:A,0))</f>
        <v/>
      </c>
      <c r="E624" s="98" t="str">
        <f t="array" ref="E624">INDEX('MTA 28-09'!F:F,MATCH(B624,'MTA 28-09'!A:A,0))</f>
        <v/>
      </c>
      <c r="F624" s="152" t="str">
        <f t="array" ref="F624">INDEX('MTA 28-09'!I:I,MATCH(B624,'MTA 28-09'!A:A,0))</f>
        <v/>
      </c>
      <c r="G624" s="100" t="str">
        <f t="array" ref="G624">INDEX('MTA 28-09'!J:J,MATCH(B624,'MTA 28-09'!A:A,0))</f>
        <v/>
      </c>
      <c r="H624" s="159" t="s">
        <v>157</v>
      </c>
      <c r="I624" s="296"/>
      <c r="J624" s="102"/>
      <c r="K624" s="103"/>
      <c r="L624" s="102" t="str">
        <f t="array" ref="L624">INDEX('MTA 28-09'!S:S,MATCH(B624,'MTA 28-09'!A:A,0))</f>
        <v>A-29</v>
      </c>
      <c r="M624" s="98" t="str">
        <f t="array" ref="M624">INDEX('MTA 28-09'!T:T,MATCH(B624,'MTA 28-09'!A:A,0))</f>
        <v>2025-BABV-13</v>
      </c>
      <c r="N624" s="98" t="str">
        <f t="array" ref="N624">INDEX('MTA 28-09'!U:U,MATCH(B624,'MTA 28-09'!A:A,0))</f>
        <v>PN PWC70904 - PULLER</v>
      </c>
      <c r="O624" s="104">
        <f t="array" ref="O624">INDEX('MTA 28-09'!AC:AC,MATCH(B624,'MTA 28-09'!A:A,0))</f>
        <v>1540.47</v>
      </c>
      <c r="P624" s="98" t="str">
        <f t="array" ref="P624">INDEX('MTA 28-09'!N:N,MATCH(B624,'MTA 28-09'!A:A,0))</f>
        <v>CABW</v>
      </c>
      <c r="Q624" s="105" t="str">
        <f t="array" ref="Q624">INDEX('MTA 28-09'!Z:Z,MATCH(B624,'MTA 28-09'!A:A,0))</f>
        <v>449052</v>
      </c>
      <c r="R624" s="98" t="str">
        <f t="array" ref="R624">INDEX('MTA 28-09'!L:L,MATCH(B624,'MTA 28-09'!A:A,0))</f>
        <v>C</v>
      </c>
      <c r="S624" s="107" t="str">
        <f t="array" ref="S624">INDEX('MTA 28-09'!X:X,MATCH(B624,'MTA 28-09'!A:A,0))</f>
        <v>REQUISIÇÃO</v>
      </c>
      <c r="T624" s="107" t="str">
        <f t="array" ref="T624">INDEX('MTA 28-09'!W:W,MATCH(B624,'MTA 28-09'!A:A,0))</f>
        <v>Não</v>
      </c>
      <c r="U624" s="109">
        <f t="array" ref="U624">INDEX('MTA 28-09'!AE:AE,MATCH(B624,'MTA 28-09'!A:A,0))</f>
        <v>46168</v>
      </c>
      <c r="V624" s="29"/>
      <c r="W624" s="29"/>
      <c r="X624" s="29"/>
      <c r="Y624" s="29"/>
      <c r="Z624" s="29"/>
      <c r="AA624" s="29"/>
      <c r="AB624" s="29"/>
      <c r="AC624" s="29"/>
      <c r="AD624" s="29"/>
      <c r="AE624" s="29"/>
      <c r="AF624" s="29"/>
      <c r="AG624" s="29"/>
      <c r="AH624" s="29"/>
      <c r="AI624" s="29"/>
      <c r="AJ624" s="29"/>
      <c r="AK624" s="29"/>
      <c r="AL624" s="29"/>
      <c r="AM624" s="29"/>
    </row>
    <row r="625">
      <c r="A625" s="31" t="s">
        <v>39</v>
      </c>
      <c r="B625" s="32">
        <v>19920.0</v>
      </c>
      <c r="C625" s="33" t="str">
        <f t="array" ref="C625">INDEX('MTA 28-09'!B:B,MATCH(B625,'MTA 28-09'!A:A,0))</f>
        <v>NÃO</v>
      </c>
      <c r="D625" s="34" t="str">
        <f t="array" ref="D625">INDEX('MTA 28-09'!D:D,MATCH(B625,'MTA 28-09'!A:A,0))</f>
        <v/>
      </c>
      <c r="E625" s="32" t="str">
        <f t="array" ref="E625">INDEX('MTA 28-09'!F:F,MATCH(B625,'MTA 28-09'!A:A,0))</f>
        <v/>
      </c>
      <c r="F625" s="155" t="str">
        <f t="array" ref="F625">INDEX('MTA 28-09'!I:I,MATCH(B625,'MTA 28-09'!A:A,0))</f>
        <v/>
      </c>
      <c r="G625" s="36" t="str">
        <f t="array" ref="G625">INDEX('MTA 28-09'!J:J,MATCH(B625,'MTA 28-09'!A:A,0))</f>
        <v/>
      </c>
      <c r="H625" s="287" t="s">
        <v>157</v>
      </c>
      <c r="I625" s="295"/>
      <c r="J625" s="39"/>
      <c r="K625" s="40"/>
      <c r="L625" s="39" t="str">
        <f t="array" ref="L625">INDEX('MTA 28-09'!S:S,MATCH(B625,'MTA 28-09'!A:A,0))</f>
        <v>A-29</v>
      </c>
      <c r="M625" s="32" t="str">
        <f t="array" ref="M625">INDEX('MTA 28-09'!T:T,MATCH(B625,'MTA 28-09'!A:A,0))</f>
        <v>2025-BABV-16</v>
      </c>
      <c r="N625" s="32" t="str">
        <f t="array" ref="N625">INDEX('MTA 28-09'!U:U,MATCH(B625,'MTA 28-09'!A:A,0))</f>
        <v>PN AGE-01515-401 - CAIXA DE TESTE DA UNIDADE DE EJEÇÃO</v>
      </c>
      <c r="O625" s="59">
        <f t="array" ref="O625">INDEX('MTA 28-09'!AC:AC,MATCH(B625,'MTA 28-09'!A:A,0))</f>
        <v>3564.6</v>
      </c>
      <c r="P625" s="32" t="str">
        <f t="array" ref="P625">INDEX('MTA 28-09'!N:N,MATCH(B625,'MTA 28-09'!A:A,0))</f>
        <v>FMS</v>
      </c>
      <c r="Q625" s="67" t="str">
        <f t="array" ref="Q625">INDEX('MTA 28-09'!Z:Z,MATCH(B625,'MTA 28-09'!A:A,0))</f>
        <v>449052</v>
      </c>
      <c r="R625" s="32" t="str">
        <f t="array" ref="R625">INDEX('MTA 28-09'!L:L,MATCH(B625,'MTA 28-09'!A:A,0))</f>
        <v>C</v>
      </c>
      <c r="S625" s="72" t="str">
        <f t="array" ref="S625">INDEX('MTA 28-09'!X:X,MATCH(B625,'MTA 28-09'!A:A,0))</f>
        <v>REQUISIÇÃO</v>
      </c>
      <c r="T625" s="72" t="str">
        <f t="array" ref="T625">INDEX('MTA 28-09'!W:W,MATCH(B625,'MTA 28-09'!A:A,0))</f>
        <v>Não</v>
      </c>
      <c r="U625" s="81">
        <f t="array" ref="U625">INDEX('MTA 28-09'!AE:AE,MATCH(B625,'MTA 28-09'!A:A,0))</f>
        <v>46168</v>
      </c>
      <c r="V625" s="12"/>
      <c r="W625" s="12"/>
      <c r="X625" s="12"/>
      <c r="Y625" s="12"/>
      <c r="Z625" s="12"/>
      <c r="AA625" s="12"/>
      <c r="AB625" s="12"/>
      <c r="AC625" s="12"/>
      <c r="AD625" s="12"/>
      <c r="AE625" s="12"/>
      <c r="AF625" s="12"/>
      <c r="AG625" s="12"/>
      <c r="AH625" s="12"/>
      <c r="AI625" s="12"/>
      <c r="AJ625" s="12"/>
      <c r="AK625" s="12"/>
      <c r="AL625" s="12"/>
      <c r="AM625" s="12"/>
    </row>
    <row r="626">
      <c r="A626" s="88" t="s">
        <v>39</v>
      </c>
      <c r="B626" s="98">
        <v>19940.0</v>
      </c>
      <c r="C626" s="92" t="str">
        <f t="array" ref="C626">INDEX('MTA 28-09'!B:B,MATCH(B626,'MTA 28-09'!A:A,0))</f>
        <v>NÃO</v>
      </c>
      <c r="D626" s="95" t="str">
        <f t="array" ref="D626">INDEX('MTA 28-09'!D:D,MATCH(B626,'MTA 28-09'!A:A,0))</f>
        <v/>
      </c>
      <c r="E626" s="98" t="str">
        <f t="array" ref="E626">INDEX('MTA 28-09'!F:F,MATCH(B626,'MTA 28-09'!A:A,0))</f>
        <v/>
      </c>
      <c r="F626" s="152" t="str">
        <f t="array" ref="F626">INDEX('MTA 28-09'!I:I,MATCH(B626,'MTA 28-09'!A:A,0))</f>
        <v/>
      </c>
      <c r="G626" s="100" t="str">
        <f t="array" ref="G626">INDEX('MTA 28-09'!J:J,MATCH(B626,'MTA 28-09'!A:A,0))</f>
        <v/>
      </c>
      <c r="H626" s="159" t="s">
        <v>157</v>
      </c>
      <c r="I626" s="296"/>
      <c r="J626" s="102"/>
      <c r="K626" s="103"/>
      <c r="L626" s="102" t="str">
        <f t="array" ref="L626">INDEX('MTA 28-09'!S:S,MATCH(B626,'MTA 28-09'!A:A,0))</f>
        <v>A-29</v>
      </c>
      <c r="M626" s="98" t="str">
        <f t="array" ref="M626">INDEX('MTA 28-09'!T:T,MATCH(B626,'MTA 28-09'!A:A,0))</f>
        <v>2025-BABV-18</v>
      </c>
      <c r="N626" s="98" t="str">
        <f t="array" ref="N626">INDEX('MTA 28-09'!U:U,MATCH(B626,'MTA 28-09'!A:A,0))</f>
        <v>PN Y085-008-0000A - DISPOSITIVO DE REMOÇÃO E INSTALAÇÃO DA VÁLVULA DE FLUXO</v>
      </c>
      <c r="O626" s="104">
        <f t="array" ref="O626">INDEX('MTA 28-09'!AC:AC,MATCH(B626,'MTA 28-09'!A:A,0))</f>
        <v>95498.82</v>
      </c>
      <c r="P626" s="98" t="str">
        <f t="array" ref="P626">INDEX('MTA 28-09'!N:N,MATCH(B626,'MTA 28-09'!A:A,0))</f>
        <v>CELOG</v>
      </c>
      <c r="Q626" s="105" t="str">
        <f t="array" ref="Q626">INDEX('MTA 28-09'!Z:Z,MATCH(B626,'MTA 28-09'!A:A,0))</f>
        <v>449052</v>
      </c>
      <c r="R626" s="98" t="str">
        <f t="array" ref="R626">INDEX('MTA 28-09'!L:L,MATCH(B626,'MTA 28-09'!A:A,0))</f>
        <v>C</v>
      </c>
      <c r="S626" s="107" t="str">
        <f t="array" ref="S626">INDEX('MTA 28-09'!X:X,MATCH(B626,'MTA 28-09'!A:A,0))</f>
        <v>REQUISIÇÃO</v>
      </c>
      <c r="T626" s="107" t="str">
        <f t="array" ref="T626">INDEX('MTA 28-09'!W:W,MATCH(B626,'MTA 28-09'!A:A,0))</f>
        <v>Não</v>
      </c>
      <c r="U626" s="109">
        <f t="array" ref="U626">INDEX('MTA 28-09'!AE:AE,MATCH(B626,'MTA 28-09'!A:A,0))</f>
        <v>46168</v>
      </c>
      <c r="V626" s="29"/>
      <c r="W626" s="29"/>
      <c r="X626" s="29"/>
      <c r="Y626" s="29"/>
      <c r="Z626" s="29"/>
      <c r="AA626" s="29"/>
      <c r="AB626" s="29"/>
      <c r="AC626" s="29"/>
      <c r="AD626" s="29"/>
      <c r="AE626" s="29"/>
      <c r="AF626" s="29"/>
      <c r="AG626" s="29"/>
      <c r="AH626" s="29"/>
      <c r="AI626" s="29"/>
      <c r="AJ626" s="29"/>
      <c r="AK626" s="29"/>
      <c r="AL626" s="29"/>
      <c r="AM626" s="29"/>
    </row>
    <row r="627">
      <c r="A627" s="31" t="s">
        <v>39</v>
      </c>
      <c r="B627" s="32">
        <v>19960.0</v>
      </c>
      <c r="C627" s="33" t="str">
        <f t="array" ref="C627">INDEX('MTA 28-09'!B:B,MATCH(B627,'MTA 28-09'!A:A,0))</f>
        <v>NÃO</v>
      </c>
      <c r="D627" s="34" t="str">
        <f t="array" ref="D627">INDEX('MTA 28-09'!D:D,MATCH(B627,'MTA 28-09'!A:A,0))</f>
        <v/>
      </c>
      <c r="E627" s="32" t="str">
        <f t="array" ref="E627">INDEX('MTA 28-09'!F:F,MATCH(B627,'MTA 28-09'!A:A,0))</f>
        <v/>
      </c>
      <c r="F627" s="155" t="str">
        <f t="array" ref="F627">INDEX('MTA 28-09'!I:I,MATCH(B627,'MTA 28-09'!A:A,0))</f>
        <v/>
      </c>
      <c r="G627" s="36" t="str">
        <f t="array" ref="G627">INDEX('MTA 28-09'!J:J,MATCH(B627,'MTA 28-09'!A:A,0))</f>
        <v/>
      </c>
      <c r="H627" s="287" t="s">
        <v>157</v>
      </c>
      <c r="I627" s="295"/>
      <c r="J627" s="39"/>
      <c r="K627" s="40"/>
      <c r="L627" s="39" t="str">
        <f t="array" ref="L627">INDEX('MTA 28-09'!S:S,MATCH(B627,'MTA 28-09'!A:A,0))</f>
        <v>A-29</v>
      </c>
      <c r="M627" s="32" t="str">
        <f t="array" ref="M627">INDEX('MTA 28-09'!T:T,MATCH(B627,'MTA 28-09'!A:A,0))</f>
        <v>2025-BABV-19</v>
      </c>
      <c r="N627" s="32" t="str">
        <f t="array" ref="N627">INDEX('MTA 28-09'!U:U,MATCH(B627,'MTA 28-09'!A:A,0))</f>
        <v>PN EMB-01534-002 - CARRO GUINCHO</v>
      </c>
      <c r="O627" s="59">
        <f t="array" ref="O627">INDEX('MTA 28-09'!AC:AC,MATCH(B627,'MTA 28-09'!A:A,0))</f>
        <v>30379.01</v>
      </c>
      <c r="P627" s="32" t="str">
        <f t="array" ref="P627">INDEX('MTA 28-09'!N:N,MATCH(B627,'MTA 28-09'!A:A,0))</f>
        <v>FMS</v>
      </c>
      <c r="Q627" s="67" t="str">
        <f t="array" ref="Q627">INDEX('MTA 28-09'!Z:Z,MATCH(B627,'MTA 28-09'!A:A,0))</f>
        <v>449052</v>
      </c>
      <c r="R627" s="32" t="str">
        <f t="array" ref="R627">INDEX('MTA 28-09'!L:L,MATCH(B627,'MTA 28-09'!A:A,0))</f>
        <v>C</v>
      </c>
      <c r="S627" s="72" t="str">
        <f t="array" ref="S627">INDEX('MTA 28-09'!X:X,MATCH(B627,'MTA 28-09'!A:A,0))</f>
        <v>REQUISIÇÃO</v>
      </c>
      <c r="T627" s="72" t="str">
        <f t="array" ref="T627">INDEX('MTA 28-09'!W:W,MATCH(B627,'MTA 28-09'!A:A,0))</f>
        <v>Não</v>
      </c>
      <c r="U627" s="81">
        <f t="array" ref="U627">INDEX('MTA 28-09'!AE:AE,MATCH(B627,'MTA 28-09'!A:A,0))</f>
        <v>46168</v>
      </c>
      <c r="V627" s="12"/>
      <c r="W627" s="12"/>
      <c r="X627" s="12"/>
      <c r="Y627" s="12"/>
      <c r="Z627" s="12"/>
      <c r="AA627" s="12"/>
      <c r="AB627" s="12"/>
      <c r="AC627" s="12"/>
      <c r="AD627" s="12"/>
      <c r="AE627" s="12"/>
      <c r="AF627" s="12"/>
      <c r="AG627" s="12"/>
      <c r="AH627" s="12"/>
      <c r="AI627" s="12"/>
      <c r="AJ627" s="12"/>
      <c r="AK627" s="12"/>
      <c r="AL627" s="12"/>
      <c r="AM627" s="12"/>
    </row>
    <row r="628">
      <c r="A628" s="88" t="s">
        <v>39</v>
      </c>
      <c r="B628" s="98">
        <v>19980.0</v>
      </c>
      <c r="C628" s="92" t="str">
        <f t="array" ref="C628">INDEX('MTA 28-09'!B:B,MATCH(B628,'MTA 28-09'!A:A,0))</f>
        <v>NÃO</v>
      </c>
      <c r="D628" s="95" t="str">
        <f t="array" ref="D628">INDEX('MTA 28-09'!D:D,MATCH(B628,'MTA 28-09'!A:A,0))</f>
        <v/>
      </c>
      <c r="E628" s="98" t="str">
        <f t="array" ref="E628">INDEX('MTA 28-09'!F:F,MATCH(B628,'MTA 28-09'!A:A,0))</f>
        <v/>
      </c>
      <c r="F628" s="152" t="str">
        <f t="array" ref="F628">INDEX('MTA 28-09'!I:I,MATCH(B628,'MTA 28-09'!A:A,0))</f>
        <v/>
      </c>
      <c r="G628" s="100" t="str">
        <f t="array" ref="G628">INDEX('MTA 28-09'!J:J,MATCH(B628,'MTA 28-09'!A:A,0))</f>
        <v/>
      </c>
      <c r="H628" s="159" t="s">
        <v>157</v>
      </c>
      <c r="I628" s="296"/>
      <c r="J628" s="102"/>
      <c r="K628" s="103"/>
      <c r="L628" s="102" t="str">
        <f t="array" ref="L628">INDEX('MTA 28-09'!S:S,MATCH(B628,'MTA 28-09'!A:A,0))</f>
        <v>A-29</v>
      </c>
      <c r="M628" s="98" t="str">
        <f t="array" ref="M628">INDEX('MTA 28-09'!T:T,MATCH(B628,'MTA 28-09'!A:A,0))</f>
        <v>2025-BABV-23</v>
      </c>
      <c r="N628" s="98" t="str">
        <f t="array" ref="N628">INDEX('MTA 28-09'!U:U,MATCH(B628,'MTA 28-09'!A:A,0))</f>
        <v>PN 2306-T003-401 - CONJUNTO PARA MONTAGEM DE MOLA</v>
      </c>
      <c r="O628" s="104">
        <f t="array" ref="O628">INDEX('MTA 28-09'!AC:AC,MATCH(B628,'MTA 28-09'!A:A,0))</f>
        <v>5599</v>
      </c>
      <c r="P628" s="98" t="str">
        <f t="array" ref="P628">INDEX('MTA 28-09'!N:N,MATCH(B628,'MTA 28-09'!A:A,0))</f>
        <v>CELOG</v>
      </c>
      <c r="Q628" s="105" t="str">
        <f t="array" ref="Q628">INDEX('MTA 28-09'!Z:Z,MATCH(B628,'MTA 28-09'!A:A,0))</f>
        <v>449052</v>
      </c>
      <c r="R628" s="98" t="str">
        <f t="array" ref="R628">INDEX('MTA 28-09'!L:L,MATCH(B628,'MTA 28-09'!A:A,0))</f>
        <v>C</v>
      </c>
      <c r="S628" s="107" t="str">
        <f t="array" ref="S628">INDEX('MTA 28-09'!X:X,MATCH(B628,'MTA 28-09'!A:A,0))</f>
        <v>REQUISIÇÃO</v>
      </c>
      <c r="T628" s="107" t="str">
        <f t="array" ref="T628">INDEX('MTA 28-09'!W:W,MATCH(B628,'MTA 28-09'!A:A,0))</f>
        <v>Não</v>
      </c>
      <c r="U628" s="109">
        <f t="array" ref="U628">INDEX('MTA 28-09'!AE:AE,MATCH(B628,'MTA 28-09'!A:A,0))</f>
        <v>46168</v>
      </c>
      <c r="V628" s="29"/>
      <c r="W628" s="29"/>
      <c r="X628" s="29"/>
      <c r="Y628" s="29"/>
      <c r="Z628" s="29"/>
      <c r="AA628" s="29"/>
      <c r="AB628" s="29"/>
      <c r="AC628" s="29"/>
      <c r="AD628" s="29"/>
      <c r="AE628" s="29"/>
      <c r="AF628" s="29"/>
      <c r="AG628" s="29"/>
      <c r="AH628" s="29"/>
      <c r="AI628" s="29"/>
      <c r="AJ628" s="29"/>
      <c r="AK628" s="29"/>
      <c r="AL628" s="29"/>
      <c r="AM628" s="29"/>
    </row>
    <row r="629">
      <c r="A629" s="31" t="s">
        <v>39</v>
      </c>
      <c r="B629" s="32">
        <v>20000.0</v>
      </c>
      <c r="C629" s="33" t="str">
        <f t="array" ref="C629">INDEX('MTA 28-09'!B:B,MATCH(B629,'MTA 28-09'!A:A,0))</f>
        <v>NÃO</v>
      </c>
      <c r="D629" s="34" t="str">
        <f t="array" ref="D629">INDEX('MTA 28-09'!D:D,MATCH(B629,'MTA 28-09'!A:A,0))</f>
        <v/>
      </c>
      <c r="E629" s="32" t="str">
        <f t="array" ref="E629">INDEX('MTA 28-09'!F:F,MATCH(B629,'MTA 28-09'!A:A,0))</f>
        <v/>
      </c>
      <c r="F629" s="155" t="str">
        <f t="array" ref="F629">INDEX('MTA 28-09'!I:I,MATCH(B629,'MTA 28-09'!A:A,0))</f>
        <v/>
      </c>
      <c r="G629" s="36" t="str">
        <f t="array" ref="G629">INDEX('MTA 28-09'!J:J,MATCH(B629,'MTA 28-09'!A:A,0))</f>
        <v/>
      </c>
      <c r="H629" s="287" t="s">
        <v>157</v>
      </c>
      <c r="I629" s="295"/>
      <c r="J629" s="39"/>
      <c r="K629" s="40"/>
      <c r="L629" s="39" t="str">
        <f t="array" ref="L629">INDEX('MTA 28-09'!S:S,MATCH(B629,'MTA 28-09'!A:A,0))</f>
        <v>A-29</v>
      </c>
      <c r="M629" s="32" t="str">
        <f t="array" ref="M629">INDEX('MTA 28-09'!T:T,MATCH(B629,'MTA 28-09'!A:A,0))</f>
        <v>2025-BABV-24</v>
      </c>
      <c r="N629" s="32" t="str">
        <f t="array" ref="N629">INDEX('MTA 28-09'!U:U,MATCH(B629,'MTA 28-09'!A:A,0))</f>
        <v>PN 14-6807-6011 - GAGE,TIRE PRESSURE,SELF-CONTAINED, 300 PSI MAXIMUM OPERATING PRESSURE; USED ON AN AIRCRAFT</v>
      </c>
      <c r="O629" s="59">
        <f t="array" ref="O629">INDEX('MTA 28-09'!AC:AC,MATCH(B629,'MTA 28-09'!A:A,0))</f>
        <v>3907.5</v>
      </c>
      <c r="P629" s="32" t="str">
        <f t="array" ref="P629">INDEX('MTA 28-09'!N:N,MATCH(B629,'MTA 28-09'!A:A,0))</f>
        <v>CABW</v>
      </c>
      <c r="Q629" s="67" t="str">
        <f t="array" ref="Q629">INDEX('MTA 28-09'!Z:Z,MATCH(B629,'MTA 28-09'!A:A,0))</f>
        <v>449052</v>
      </c>
      <c r="R629" s="32" t="str">
        <f t="array" ref="R629">INDEX('MTA 28-09'!L:L,MATCH(B629,'MTA 28-09'!A:A,0))</f>
        <v>C</v>
      </c>
      <c r="S629" s="72" t="str">
        <f t="array" ref="S629">INDEX('MTA 28-09'!X:X,MATCH(B629,'MTA 28-09'!A:A,0))</f>
        <v>REQUISIÇÃO</v>
      </c>
      <c r="T629" s="72" t="str">
        <f t="array" ref="T629">INDEX('MTA 28-09'!W:W,MATCH(B629,'MTA 28-09'!A:A,0))</f>
        <v>Não</v>
      </c>
      <c r="U629" s="81">
        <f t="array" ref="U629">INDEX('MTA 28-09'!AE:AE,MATCH(B629,'MTA 28-09'!A:A,0))</f>
        <v>46168</v>
      </c>
      <c r="V629" s="12"/>
      <c r="W629" s="12"/>
      <c r="X629" s="12"/>
      <c r="Y629" s="12"/>
      <c r="Z629" s="12"/>
      <c r="AA629" s="12"/>
      <c r="AB629" s="12"/>
      <c r="AC629" s="12"/>
      <c r="AD629" s="12"/>
      <c r="AE629" s="12"/>
      <c r="AF629" s="12"/>
      <c r="AG629" s="12"/>
      <c r="AH629" s="12"/>
      <c r="AI629" s="12"/>
      <c r="AJ629" s="12"/>
      <c r="AK629" s="12"/>
      <c r="AL629" s="12"/>
      <c r="AM629" s="12"/>
    </row>
    <row r="630">
      <c r="A630" s="88" t="s">
        <v>39</v>
      </c>
      <c r="B630" s="98">
        <v>20020.0</v>
      </c>
      <c r="C630" s="92" t="str">
        <f t="array" ref="C630">INDEX('MTA 28-09'!B:B,MATCH(B630,'MTA 28-09'!A:A,0))</f>
        <v>NÃO</v>
      </c>
      <c r="D630" s="95" t="str">
        <f t="array" ref="D630">INDEX('MTA 28-09'!D:D,MATCH(B630,'MTA 28-09'!A:A,0))</f>
        <v/>
      </c>
      <c r="E630" s="98" t="str">
        <f t="array" ref="E630">INDEX('MTA 28-09'!F:F,MATCH(B630,'MTA 28-09'!A:A,0))</f>
        <v/>
      </c>
      <c r="F630" s="144" t="str">
        <f t="array" ref="F630">INDEX('MTA 28-09'!I:I,MATCH(B630,'MTA 28-09'!A:A,0))</f>
        <v/>
      </c>
      <c r="G630" s="100" t="str">
        <f t="array" ref="G630">INDEX('MTA 28-09'!J:J,MATCH(B630,'MTA 28-09'!A:A,0))</f>
        <v/>
      </c>
      <c r="H630" s="159" t="s">
        <v>157</v>
      </c>
      <c r="I630" s="296"/>
      <c r="J630" s="102"/>
      <c r="K630" s="103"/>
      <c r="L630" s="102" t="str">
        <f t="array" ref="L630">INDEX('MTA 28-09'!S:S,MATCH(B630,'MTA 28-09'!A:A,0))</f>
        <v>A-29</v>
      </c>
      <c r="M630" s="98" t="str">
        <f t="array" ref="M630">INDEX('MTA 28-09'!T:T,MATCH(B630,'MTA 28-09'!A:A,0))</f>
        <v>2025-BABV-27</v>
      </c>
      <c r="N630" s="98" t="str">
        <f t="array" ref="N630">INDEX('MTA 28-09'!U:U,MATCH(B630,'MTA 28-09'!A:A,0))</f>
        <v>PN AGE-01830-401 - DISPOSITIVO APOIO CAUDA</v>
      </c>
      <c r="O630" s="104">
        <f t="array" ref="O630">INDEX('MTA 28-09'!AC:AC,MATCH(B630,'MTA 28-09'!A:A,0))</f>
        <v>70385.24</v>
      </c>
      <c r="P630" s="98" t="str">
        <f t="array" ref="P630">INDEX('MTA 28-09'!N:N,MATCH(B630,'MTA 28-09'!A:A,0))</f>
        <v>FMS</v>
      </c>
      <c r="Q630" s="105" t="str">
        <f t="array" ref="Q630">INDEX('MTA 28-09'!Z:Z,MATCH(B630,'MTA 28-09'!A:A,0))</f>
        <v>449052</v>
      </c>
      <c r="R630" s="98" t="str">
        <f t="array" ref="R630">INDEX('MTA 28-09'!L:L,MATCH(B630,'MTA 28-09'!A:A,0))</f>
        <v>C</v>
      </c>
      <c r="S630" s="107" t="str">
        <f t="array" ref="S630">INDEX('MTA 28-09'!X:X,MATCH(B630,'MTA 28-09'!A:A,0))</f>
        <v>REQUISIÇÃO</v>
      </c>
      <c r="T630" s="107" t="str">
        <f t="array" ref="T630">INDEX('MTA 28-09'!W:W,MATCH(B630,'MTA 28-09'!A:A,0))</f>
        <v>Não</v>
      </c>
      <c r="U630" s="109">
        <f t="array" ref="U630">INDEX('MTA 28-09'!AE:AE,MATCH(B630,'MTA 28-09'!A:A,0))</f>
        <v>46168</v>
      </c>
      <c r="V630" s="29"/>
      <c r="W630" s="29"/>
      <c r="X630" s="29"/>
      <c r="Y630" s="29"/>
      <c r="Z630" s="29"/>
      <c r="AA630" s="29"/>
      <c r="AB630" s="29"/>
      <c r="AC630" s="29"/>
      <c r="AD630" s="29"/>
      <c r="AE630" s="29"/>
      <c r="AF630" s="29"/>
      <c r="AG630" s="29"/>
      <c r="AH630" s="29"/>
      <c r="AI630" s="29"/>
      <c r="AJ630" s="29"/>
      <c r="AK630" s="29"/>
      <c r="AL630" s="29"/>
      <c r="AM630" s="29"/>
    </row>
    <row r="631">
      <c r="A631" s="31" t="s">
        <v>39</v>
      </c>
      <c r="B631" s="32">
        <v>20040.0</v>
      </c>
      <c r="C631" s="33" t="str">
        <f t="array" ref="C631">INDEX('MTA 28-09'!B:B,MATCH(B631,'MTA 28-09'!A:A,0))</f>
        <v>NÃO</v>
      </c>
      <c r="D631" s="34" t="str">
        <f t="array" ref="D631">INDEX('MTA 28-09'!D:D,MATCH(B631,'MTA 28-09'!A:A,0))</f>
        <v/>
      </c>
      <c r="E631" s="32" t="str">
        <f t="array" ref="E631">INDEX('MTA 28-09'!F:F,MATCH(B631,'MTA 28-09'!A:A,0))</f>
        <v/>
      </c>
      <c r="F631" s="155" t="str">
        <f t="array" ref="F631">INDEX('MTA 28-09'!I:I,MATCH(B631,'MTA 28-09'!A:A,0))</f>
        <v/>
      </c>
      <c r="G631" s="36" t="str">
        <f t="array" ref="G631">INDEX('MTA 28-09'!J:J,MATCH(B631,'MTA 28-09'!A:A,0))</f>
        <v/>
      </c>
      <c r="H631" s="287" t="s">
        <v>157</v>
      </c>
      <c r="I631" s="295"/>
      <c r="J631" s="39"/>
      <c r="K631" s="40"/>
      <c r="L631" s="39" t="str">
        <f t="array" ref="L631">INDEX('MTA 28-09'!S:S,MATCH(B631,'MTA 28-09'!A:A,0))</f>
        <v>A-29</v>
      </c>
      <c r="M631" s="32" t="str">
        <f t="array" ref="M631">INDEX('MTA 28-09'!T:T,MATCH(B631,'MTA 28-09'!A:A,0))</f>
        <v>2025-BABV-29</v>
      </c>
      <c r="N631" s="32" t="str">
        <f t="array" ref="N631">INDEX('MTA 28-09'!U:U,MATCH(B631,'MTA 28-09'!A:A,0))</f>
        <v>PN 06-5022-6500 - UNIDADE DE ABASTECIMENTO HIDRÁULICO</v>
      </c>
      <c r="O631" s="59">
        <f t="array" ref="O631">INDEX('MTA 28-09'!AC:AC,MATCH(B631,'MTA 28-09'!A:A,0))</f>
        <v>6184.49</v>
      </c>
      <c r="P631" s="32" t="str">
        <f t="array" ref="P631">INDEX('MTA 28-09'!N:N,MATCH(B631,'MTA 28-09'!A:A,0))</f>
        <v>FMS</v>
      </c>
      <c r="Q631" s="67" t="str">
        <f t="array" ref="Q631">INDEX('MTA 28-09'!Z:Z,MATCH(B631,'MTA 28-09'!A:A,0))</f>
        <v>449052</v>
      </c>
      <c r="R631" s="32" t="str">
        <f t="array" ref="R631">INDEX('MTA 28-09'!L:L,MATCH(B631,'MTA 28-09'!A:A,0))</f>
        <v>C</v>
      </c>
      <c r="S631" s="72" t="str">
        <f t="array" ref="S631">INDEX('MTA 28-09'!X:X,MATCH(B631,'MTA 28-09'!A:A,0))</f>
        <v>REQUISIÇÃO</v>
      </c>
      <c r="T631" s="72" t="str">
        <f t="array" ref="T631">INDEX('MTA 28-09'!W:W,MATCH(B631,'MTA 28-09'!A:A,0))</f>
        <v>Não</v>
      </c>
      <c r="U631" s="81">
        <f t="array" ref="U631">INDEX('MTA 28-09'!AE:AE,MATCH(B631,'MTA 28-09'!A:A,0))</f>
        <v>46168</v>
      </c>
      <c r="V631" s="12"/>
      <c r="W631" s="12"/>
      <c r="X631" s="12"/>
      <c r="Y631" s="12"/>
      <c r="Z631" s="12"/>
      <c r="AA631" s="12"/>
      <c r="AB631" s="12"/>
      <c r="AC631" s="12"/>
      <c r="AD631" s="12"/>
      <c r="AE631" s="12"/>
      <c r="AF631" s="12"/>
      <c r="AG631" s="12"/>
      <c r="AH631" s="12"/>
      <c r="AI631" s="12"/>
      <c r="AJ631" s="12"/>
      <c r="AK631" s="12"/>
      <c r="AL631" s="12"/>
      <c r="AM631" s="12"/>
    </row>
    <row r="632">
      <c r="A632" s="88" t="s">
        <v>39</v>
      </c>
      <c r="B632" s="98">
        <v>20060.0</v>
      </c>
      <c r="C632" s="92" t="str">
        <f t="array" ref="C632">INDEX('MTA 28-09'!B:B,MATCH(B632,'MTA 28-09'!A:A,0))</f>
        <v>NÃO</v>
      </c>
      <c r="D632" s="95" t="str">
        <f t="array" ref="D632">INDEX('MTA 28-09'!D:D,MATCH(B632,'MTA 28-09'!A:A,0))</f>
        <v/>
      </c>
      <c r="E632" s="98" t="str">
        <f t="array" ref="E632">INDEX('MTA 28-09'!F:F,MATCH(B632,'MTA 28-09'!A:A,0))</f>
        <v/>
      </c>
      <c r="F632" s="152" t="str">
        <f t="array" ref="F632">INDEX('MTA 28-09'!I:I,MATCH(B632,'MTA 28-09'!A:A,0))</f>
        <v/>
      </c>
      <c r="G632" s="100" t="str">
        <f t="array" ref="G632">INDEX('MTA 28-09'!J:J,MATCH(B632,'MTA 28-09'!A:A,0))</f>
        <v/>
      </c>
      <c r="H632" s="159" t="s">
        <v>157</v>
      </c>
      <c r="I632" s="296"/>
      <c r="J632" s="102"/>
      <c r="K632" s="103"/>
      <c r="L632" s="102" t="str">
        <f t="array" ref="L632">INDEX('MTA 28-09'!S:S,MATCH(B632,'MTA 28-09'!A:A,0))</f>
        <v>A-29</v>
      </c>
      <c r="M632" s="98" t="str">
        <f t="array" ref="M632">INDEX('MTA 28-09'!T:T,MATCH(B632,'MTA 28-09'!A:A,0))</f>
        <v>2025-BABV-30</v>
      </c>
      <c r="N632" s="98" t="str">
        <f t="array" ref="N632">INDEX('MTA 28-09'!U:U,MATCH(B632,'MTA 28-09'!A:A,0))</f>
        <v>PN 14-6808-6000 - VALVULA REGULADORA DE NITROGENIO</v>
      </c>
      <c r="O632" s="104">
        <f t="array" ref="O632">INDEX('MTA 28-09'!AC:AC,MATCH(B632,'MTA 28-09'!A:A,0))</f>
        <v>6900</v>
      </c>
      <c r="P632" s="98" t="str">
        <f t="array" ref="P632">INDEX('MTA 28-09'!N:N,MATCH(B632,'MTA 28-09'!A:A,0))</f>
        <v>CABW</v>
      </c>
      <c r="Q632" s="105" t="str">
        <f t="array" ref="Q632">INDEX('MTA 28-09'!Z:Z,MATCH(B632,'MTA 28-09'!A:A,0))</f>
        <v>449052</v>
      </c>
      <c r="R632" s="98" t="str">
        <f t="array" ref="R632">INDEX('MTA 28-09'!L:L,MATCH(B632,'MTA 28-09'!A:A,0))</f>
        <v>C</v>
      </c>
      <c r="S632" s="107" t="str">
        <f t="array" ref="S632">INDEX('MTA 28-09'!X:X,MATCH(B632,'MTA 28-09'!A:A,0))</f>
        <v>REQUISIÇÃO</v>
      </c>
      <c r="T632" s="107" t="str">
        <f t="array" ref="T632">INDEX('MTA 28-09'!W:W,MATCH(B632,'MTA 28-09'!A:A,0))</f>
        <v>Não</v>
      </c>
      <c r="U632" s="109">
        <f t="array" ref="U632">INDEX('MTA 28-09'!AE:AE,MATCH(B632,'MTA 28-09'!A:A,0))</f>
        <v>46168</v>
      </c>
      <c r="V632" s="29"/>
      <c r="W632" s="29"/>
      <c r="X632" s="29"/>
      <c r="Y632" s="29"/>
      <c r="Z632" s="29"/>
      <c r="AA632" s="29"/>
      <c r="AB632" s="29"/>
      <c r="AC632" s="29"/>
      <c r="AD632" s="29"/>
      <c r="AE632" s="29"/>
      <c r="AF632" s="29"/>
      <c r="AG632" s="29"/>
      <c r="AH632" s="29"/>
      <c r="AI632" s="29"/>
      <c r="AJ632" s="29"/>
      <c r="AK632" s="29"/>
      <c r="AL632" s="29"/>
      <c r="AM632" s="29"/>
    </row>
    <row r="633">
      <c r="A633" s="31" t="s">
        <v>39</v>
      </c>
      <c r="B633" s="32">
        <v>20080.0</v>
      </c>
      <c r="C633" s="33" t="str">
        <f t="array" ref="C633">INDEX('MTA 28-09'!B:B,MATCH(B633,'MTA 28-09'!A:A,0))</f>
        <v>NÃO</v>
      </c>
      <c r="D633" s="34" t="str">
        <f t="array" ref="D633">INDEX('MTA 28-09'!D:D,MATCH(B633,'MTA 28-09'!A:A,0))</f>
        <v/>
      </c>
      <c r="E633" s="32" t="str">
        <f t="array" ref="E633">INDEX('MTA 28-09'!F:F,MATCH(B633,'MTA 28-09'!A:A,0))</f>
        <v/>
      </c>
      <c r="F633" s="155" t="str">
        <f t="array" ref="F633">INDEX('MTA 28-09'!I:I,MATCH(B633,'MTA 28-09'!A:A,0))</f>
        <v/>
      </c>
      <c r="G633" s="36" t="str">
        <f t="array" ref="G633">INDEX('MTA 28-09'!J:J,MATCH(B633,'MTA 28-09'!A:A,0))</f>
        <v/>
      </c>
      <c r="H633" s="287" t="s">
        <v>157</v>
      </c>
      <c r="I633" s="295"/>
      <c r="J633" s="39"/>
      <c r="K633" s="40"/>
      <c r="L633" s="39" t="str">
        <f t="array" ref="L633">INDEX('MTA 28-09'!S:S,MATCH(B633,'MTA 28-09'!A:A,0))</f>
        <v>A-29</v>
      </c>
      <c r="M633" s="32" t="str">
        <f t="array" ref="M633">INDEX('MTA 28-09'!T:T,MATCH(B633,'MTA 28-09'!A:A,0))</f>
        <v>2025-BABV-31</v>
      </c>
      <c r="N633" s="32" t="str">
        <f t="array" ref="N633">INDEX('MTA 28-09'!U:U,MATCH(B633,'MTA 28-09'!A:A,0))</f>
        <v>PN AGE-02554-401 - ADAPTADOR PARA SANGRIA E TESTE DA PRESSÃO DOS FREIOS</v>
      </c>
      <c r="O633" s="59">
        <f t="array" ref="O633">INDEX('MTA 28-09'!AC:AC,MATCH(B633,'MTA 28-09'!A:A,0))</f>
        <v>9659.52</v>
      </c>
      <c r="P633" s="32" t="str">
        <f t="array" ref="P633">INDEX('MTA 28-09'!N:N,MATCH(B633,'MTA 28-09'!A:A,0))</f>
        <v>FMS</v>
      </c>
      <c r="Q633" s="67" t="str">
        <f t="array" ref="Q633">INDEX('MTA 28-09'!Z:Z,MATCH(B633,'MTA 28-09'!A:A,0))</f>
        <v>449052</v>
      </c>
      <c r="R633" s="32" t="str">
        <f t="array" ref="R633">INDEX('MTA 28-09'!L:L,MATCH(B633,'MTA 28-09'!A:A,0))</f>
        <v>C</v>
      </c>
      <c r="S633" s="72" t="str">
        <f t="array" ref="S633">INDEX('MTA 28-09'!X:X,MATCH(B633,'MTA 28-09'!A:A,0))</f>
        <v>REQUISIÇÃO</v>
      </c>
      <c r="T633" s="72" t="str">
        <f t="array" ref="T633">INDEX('MTA 28-09'!W:W,MATCH(B633,'MTA 28-09'!A:A,0))</f>
        <v>Não</v>
      </c>
      <c r="U633" s="81">
        <f t="array" ref="U633">INDEX('MTA 28-09'!AE:AE,MATCH(B633,'MTA 28-09'!A:A,0))</f>
        <v>46168</v>
      </c>
      <c r="V633" s="12"/>
      <c r="W633" s="12"/>
      <c r="X633" s="12"/>
      <c r="Y633" s="12"/>
      <c r="Z633" s="12"/>
      <c r="AA633" s="12"/>
      <c r="AB633" s="12"/>
      <c r="AC633" s="12"/>
      <c r="AD633" s="12"/>
      <c r="AE633" s="12"/>
      <c r="AF633" s="12"/>
      <c r="AG633" s="12"/>
      <c r="AH633" s="12"/>
      <c r="AI633" s="12"/>
      <c r="AJ633" s="12"/>
      <c r="AK633" s="12"/>
      <c r="AL633" s="12"/>
      <c r="AM633" s="12"/>
    </row>
    <row r="634">
      <c r="A634" s="88" t="s">
        <v>39</v>
      </c>
      <c r="B634" s="98">
        <v>20100.0</v>
      </c>
      <c r="C634" s="92" t="str">
        <f t="array" ref="C634">INDEX('MTA 28-09'!B:B,MATCH(B634,'MTA 28-09'!A:A,0))</f>
        <v>NÃO</v>
      </c>
      <c r="D634" s="95" t="str">
        <f t="array" ref="D634">INDEX('MTA 28-09'!D:D,MATCH(B634,'MTA 28-09'!A:A,0))</f>
        <v/>
      </c>
      <c r="E634" s="98" t="str">
        <f t="array" ref="E634">INDEX('MTA 28-09'!F:F,MATCH(B634,'MTA 28-09'!A:A,0))</f>
        <v/>
      </c>
      <c r="F634" s="144" t="str">
        <f t="array" ref="F634">INDEX('MTA 28-09'!I:I,MATCH(B634,'MTA 28-09'!A:A,0))</f>
        <v/>
      </c>
      <c r="G634" s="100" t="str">
        <f t="array" ref="G634">INDEX('MTA 28-09'!J:J,MATCH(B634,'MTA 28-09'!A:A,0))</f>
        <v/>
      </c>
      <c r="H634" s="159" t="s">
        <v>157</v>
      </c>
      <c r="I634" s="296"/>
      <c r="J634" s="102"/>
      <c r="K634" s="103"/>
      <c r="L634" s="102" t="str">
        <f t="array" ref="L634">INDEX('MTA 28-09'!S:S,MATCH(B634,'MTA 28-09'!A:A,0))</f>
        <v>A-29</v>
      </c>
      <c r="M634" s="98" t="str">
        <f t="array" ref="M634">INDEX('MTA 28-09'!T:T,MATCH(B634,'MTA 28-09'!A:A,0))</f>
        <v>2025-BABV-33</v>
      </c>
      <c r="N634" s="98" t="str">
        <f t="array" ref="N634">INDEX('MTA 28-09'!U:U,MATCH(B634,'MTA 28-09'!A:A,0))</f>
        <v>PN FG-5100 - DIGITAL FORCE GAUGE, RANGE: 100KG, UNITS: KG/LB/NEWTON</v>
      </c>
      <c r="O634" s="104">
        <f t="array" ref="O634">INDEX('MTA 28-09'!AC:AC,MATCH(B634,'MTA 28-09'!A:A,0))</f>
        <v>1700.33</v>
      </c>
      <c r="P634" s="98" t="str">
        <f t="array" ref="P634">INDEX('MTA 28-09'!N:N,MATCH(B634,'MTA 28-09'!A:A,0))</f>
        <v>CABW</v>
      </c>
      <c r="Q634" s="105" t="str">
        <f t="array" ref="Q634">INDEX('MTA 28-09'!Z:Z,MATCH(B634,'MTA 28-09'!A:A,0))</f>
        <v>449052</v>
      </c>
      <c r="R634" s="98" t="str">
        <f t="array" ref="R634">INDEX('MTA 28-09'!L:L,MATCH(B634,'MTA 28-09'!A:A,0))</f>
        <v>C</v>
      </c>
      <c r="S634" s="107" t="str">
        <f t="array" ref="S634">INDEX('MTA 28-09'!X:X,MATCH(B634,'MTA 28-09'!A:A,0))</f>
        <v>REQUISIÇÃO</v>
      </c>
      <c r="T634" s="107" t="str">
        <f t="array" ref="T634">INDEX('MTA 28-09'!W:W,MATCH(B634,'MTA 28-09'!A:A,0))</f>
        <v>Não</v>
      </c>
      <c r="U634" s="109">
        <f t="array" ref="U634">INDEX('MTA 28-09'!AE:AE,MATCH(B634,'MTA 28-09'!A:A,0))</f>
        <v>46168</v>
      </c>
      <c r="V634" s="29"/>
      <c r="W634" s="29"/>
      <c r="X634" s="29"/>
      <c r="Y634" s="29"/>
      <c r="Z634" s="29"/>
      <c r="AA634" s="29"/>
      <c r="AB634" s="29"/>
      <c r="AC634" s="29"/>
      <c r="AD634" s="29"/>
      <c r="AE634" s="29"/>
      <c r="AF634" s="29"/>
      <c r="AG634" s="29"/>
      <c r="AH634" s="29"/>
      <c r="AI634" s="29"/>
      <c r="AJ634" s="29"/>
      <c r="AK634" s="29"/>
      <c r="AL634" s="29"/>
      <c r="AM634" s="29"/>
    </row>
    <row r="635">
      <c r="A635" s="31" t="s">
        <v>39</v>
      </c>
      <c r="B635" s="32">
        <v>20120.0</v>
      </c>
      <c r="C635" s="33" t="str">
        <f t="array" ref="C635">INDEX('MTA 28-09'!B:B,MATCH(B635,'MTA 28-09'!A:A,0))</f>
        <v>NÃO</v>
      </c>
      <c r="D635" s="34" t="str">
        <f t="array" ref="D635">INDEX('MTA 28-09'!D:D,MATCH(B635,'MTA 28-09'!A:A,0))</f>
        <v/>
      </c>
      <c r="E635" s="32" t="str">
        <f t="array" ref="E635">INDEX('MTA 28-09'!F:F,MATCH(B635,'MTA 28-09'!A:A,0))</f>
        <v/>
      </c>
      <c r="F635" s="155" t="str">
        <f t="array" ref="F635">INDEX('MTA 28-09'!I:I,MATCH(B635,'MTA 28-09'!A:A,0))</f>
        <v/>
      </c>
      <c r="G635" s="36" t="str">
        <f t="array" ref="G635">INDEX('MTA 28-09'!J:J,MATCH(B635,'MTA 28-09'!A:A,0))</f>
        <v/>
      </c>
      <c r="H635" s="287" t="s">
        <v>157</v>
      </c>
      <c r="I635" s="295"/>
      <c r="J635" s="39"/>
      <c r="K635" s="40"/>
      <c r="L635" s="39" t="str">
        <f t="array" ref="L635">INDEX('MTA 28-09'!S:S,MATCH(B635,'MTA 28-09'!A:A,0))</f>
        <v>A-29</v>
      </c>
      <c r="M635" s="32" t="str">
        <f t="array" ref="M635">INDEX('MTA 28-09'!T:T,MATCH(B635,'MTA 28-09'!A:A,0))</f>
        <v>2025-BABV-34</v>
      </c>
      <c r="N635" s="32" t="str">
        <f t="array" ref="N635">INDEX('MTA 28-09'!U:U,MATCH(B635,'MTA 28-09'!A:A,0))</f>
        <v>PN 133-224 - MICRÔMETRO TUBULAR IINTERNO (3-4")</v>
      </c>
      <c r="O635" s="59">
        <f t="array" ref="O635">INDEX('MTA 28-09'!AC:AC,MATCH(B635,'MTA 28-09'!A:A,0))</f>
        <v>2618.18</v>
      </c>
      <c r="P635" s="32" t="str">
        <f t="array" ref="P635">INDEX('MTA 28-09'!N:N,MATCH(B635,'MTA 28-09'!A:A,0))</f>
        <v>CABE</v>
      </c>
      <c r="Q635" s="67" t="str">
        <f t="array" ref="Q635">INDEX('MTA 28-09'!Z:Z,MATCH(B635,'MTA 28-09'!A:A,0))</f>
        <v>449052</v>
      </c>
      <c r="R635" s="32" t="str">
        <f t="array" ref="R635">INDEX('MTA 28-09'!L:L,MATCH(B635,'MTA 28-09'!A:A,0))</f>
        <v>C</v>
      </c>
      <c r="S635" s="72" t="str">
        <f t="array" ref="S635">INDEX('MTA 28-09'!X:X,MATCH(B635,'MTA 28-09'!A:A,0))</f>
        <v>REQUISIÇÃO</v>
      </c>
      <c r="T635" s="72" t="str">
        <f t="array" ref="T635">INDEX('MTA 28-09'!W:W,MATCH(B635,'MTA 28-09'!A:A,0))</f>
        <v>Não</v>
      </c>
      <c r="U635" s="81">
        <f t="array" ref="U635">INDEX('MTA 28-09'!AE:AE,MATCH(B635,'MTA 28-09'!A:A,0))</f>
        <v>46168</v>
      </c>
      <c r="V635" s="12"/>
      <c r="W635" s="12"/>
      <c r="X635" s="12"/>
      <c r="Y635" s="12"/>
      <c r="Z635" s="12"/>
      <c r="AA635" s="12"/>
      <c r="AB635" s="12"/>
      <c r="AC635" s="12"/>
      <c r="AD635" s="12"/>
      <c r="AE635" s="12"/>
      <c r="AF635" s="12"/>
      <c r="AG635" s="12"/>
      <c r="AH635" s="12"/>
      <c r="AI635" s="12"/>
      <c r="AJ635" s="12"/>
      <c r="AK635" s="12"/>
      <c r="AL635" s="12"/>
      <c r="AM635" s="12"/>
    </row>
    <row r="636">
      <c r="A636" s="88" t="s">
        <v>39</v>
      </c>
      <c r="B636" s="98">
        <v>20140.0</v>
      </c>
      <c r="C636" s="92" t="str">
        <f t="array" ref="C636">INDEX('MTA 28-09'!B:B,MATCH(B636,'MTA 28-09'!A:A,0))</f>
        <v>NÃO</v>
      </c>
      <c r="D636" s="95" t="str">
        <f t="array" ref="D636">INDEX('MTA 28-09'!D:D,MATCH(B636,'MTA 28-09'!A:A,0))</f>
        <v/>
      </c>
      <c r="E636" s="98" t="str">
        <f t="array" ref="E636">INDEX('MTA 28-09'!F:F,MATCH(B636,'MTA 28-09'!A:A,0))</f>
        <v/>
      </c>
      <c r="F636" s="152" t="str">
        <f t="array" ref="F636">INDEX('MTA 28-09'!I:I,MATCH(B636,'MTA 28-09'!A:A,0))</f>
        <v/>
      </c>
      <c r="G636" s="100" t="str">
        <f t="array" ref="G636">INDEX('MTA 28-09'!J:J,MATCH(B636,'MTA 28-09'!A:A,0))</f>
        <v/>
      </c>
      <c r="H636" s="159" t="s">
        <v>157</v>
      </c>
      <c r="I636" s="296"/>
      <c r="J636" s="102"/>
      <c r="K636" s="103"/>
      <c r="L636" s="102" t="str">
        <f t="array" ref="L636">INDEX('MTA 28-09'!S:S,MATCH(B636,'MTA 28-09'!A:A,0))</f>
        <v>A-29</v>
      </c>
      <c r="M636" s="98" t="str">
        <f t="array" ref="M636">INDEX('MTA 28-09'!T:T,MATCH(B636,'MTA 28-09'!A:A,0))</f>
        <v>2025-BABV-38</v>
      </c>
      <c r="N636" s="98" t="str">
        <f t="array" ref="N636">INDEX('MTA 28-09'!U:U,MATCH(B636,'MTA 28-09'!A:A,0))</f>
        <v>PN 15-7605-6000 - CABIN PRESSURE TEST UNIT</v>
      </c>
      <c r="O636" s="104">
        <f t="array" ref="O636">INDEX('MTA 28-09'!AC:AC,MATCH(B636,'MTA 28-09'!A:A,0))</f>
        <v>35209.77</v>
      </c>
      <c r="P636" s="98" t="str">
        <f t="array" ref="P636">INDEX('MTA 28-09'!N:N,MATCH(B636,'MTA 28-09'!A:A,0))</f>
        <v>CABW</v>
      </c>
      <c r="Q636" s="105" t="str">
        <f t="array" ref="Q636">INDEX('MTA 28-09'!Z:Z,MATCH(B636,'MTA 28-09'!A:A,0))</f>
        <v>449052</v>
      </c>
      <c r="R636" s="98" t="str">
        <f t="array" ref="R636">INDEX('MTA 28-09'!L:L,MATCH(B636,'MTA 28-09'!A:A,0))</f>
        <v>C</v>
      </c>
      <c r="S636" s="107" t="str">
        <f t="array" ref="S636">INDEX('MTA 28-09'!X:X,MATCH(B636,'MTA 28-09'!A:A,0))</f>
        <v>REQUISIÇÃO</v>
      </c>
      <c r="T636" s="107" t="str">
        <f t="array" ref="T636">INDEX('MTA 28-09'!W:W,MATCH(B636,'MTA 28-09'!A:A,0))</f>
        <v>Não</v>
      </c>
      <c r="U636" s="109">
        <f t="array" ref="U636">INDEX('MTA 28-09'!AE:AE,MATCH(B636,'MTA 28-09'!A:A,0))</f>
        <v>46168</v>
      </c>
      <c r="V636" s="29"/>
      <c r="W636" s="29"/>
      <c r="X636" s="29"/>
      <c r="Y636" s="29"/>
      <c r="Z636" s="29"/>
      <c r="AA636" s="29"/>
      <c r="AB636" s="29"/>
      <c r="AC636" s="29"/>
      <c r="AD636" s="29"/>
      <c r="AE636" s="29"/>
      <c r="AF636" s="29"/>
      <c r="AG636" s="29"/>
      <c r="AH636" s="29"/>
      <c r="AI636" s="29"/>
      <c r="AJ636" s="29"/>
      <c r="AK636" s="29"/>
      <c r="AL636" s="29"/>
      <c r="AM636" s="29"/>
    </row>
    <row r="637">
      <c r="A637" s="31" t="s">
        <v>39</v>
      </c>
      <c r="B637" s="32">
        <v>20160.0</v>
      </c>
      <c r="C637" s="33" t="str">
        <f t="array" ref="C637">INDEX('MTA 28-09'!B:B,MATCH(B637,'MTA 28-09'!A:A,0))</f>
        <v>NÃO</v>
      </c>
      <c r="D637" s="34" t="str">
        <f t="array" ref="D637">INDEX('MTA 28-09'!D:D,MATCH(B637,'MTA 28-09'!A:A,0))</f>
        <v/>
      </c>
      <c r="E637" s="32" t="str">
        <f t="array" ref="E637">INDEX('MTA 28-09'!F:F,MATCH(B637,'MTA 28-09'!A:A,0))</f>
        <v/>
      </c>
      <c r="F637" s="155" t="str">
        <f t="array" ref="F637">INDEX('MTA 28-09'!I:I,MATCH(B637,'MTA 28-09'!A:A,0))</f>
        <v/>
      </c>
      <c r="G637" s="36" t="str">
        <f t="array" ref="G637">INDEX('MTA 28-09'!J:J,MATCH(B637,'MTA 28-09'!A:A,0))</f>
        <v/>
      </c>
      <c r="H637" s="287" t="s">
        <v>157</v>
      </c>
      <c r="I637" s="295"/>
      <c r="J637" s="39"/>
      <c r="K637" s="40"/>
      <c r="L637" s="39" t="str">
        <f t="array" ref="L637">INDEX('MTA 28-09'!S:S,MATCH(B637,'MTA 28-09'!A:A,0))</f>
        <v>A-29</v>
      </c>
      <c r="M637" s="32" t="str">
        <f t="array" ref="M637">INDEX('MTA 28-09'!T:T,MATCH(B637,'MTA 28-09'!A:A,0))</f>
        <v>2025-BACG-01</v>
      </c>
      <c r="N637" s="32" t="str">
        <f t="array" ref="N637">INDEX('MTA 28-09'!U:U,MATCH(B637,'MTA 28-09'!A:A,0))</f>
        <v>PN 06-4035-0500 - TEST SET,HYDRAULICSYSTEM COMPONENTS</v>
      </c>
      <c r="O637" s="59">
        <f t="array" ref="O637">INDEX('MTA 28-09'!AC:AC,MATCH(B637,'MTA 28-09'!A:A,0))</f>
        <v>9382.03</v>
      </c>
      <c r="P637" s="32" t="str">
        <f t="array" ref="P637">INDEX('MTA 28-09'!N:N,MATCH(B637,'MTA 28-09'!A:A,0))</f>
        <v>CABW</v>
      </c>
      <c r="Q637" s="67" t="str">
        <f t="array" ref="Q637">INDEX('MTA 28-09'!Z:Z,MATCH(B637,'MTA 28-09'!A:A,0))</f>
        <v>449052</v>
      </c>
      <c r="R637" s="32" t="str">
        <f t="array" ref="R637">INDEX('MTA 28-09'!L:L,MATCH(B637,'MTA 28-09'!A:A,0))</f>
        <v>C</v>
      </c>
      <c r="S637" s="72" t="str">
        <f t="array" ref="S637">INDEX('MTA 28-09'!X:X,MATCH(B637,'MTA 28-09'!A:A,0))</f>
        <v>REQUISIÇÃO</v>
      </c>
      <c r="T637" s="72" t="str">
        <f t="array" ref="T637">INDEX('MTA 28-09'!W:W,MATCH(B637,'MTA 28-09'!A:A,0))</f>
        <v>Não</v>
      </c>
      <c r="U637" s="81">
        <f t="array" ref="U637">INDEX('MTA 28-09'!AE:AE,MATCH(B637,'MTA 28-09'!A:A,0))</f>
        <v>46168</v>
      </c>
      <c r="V637" s="12"/>
      <c r="W637" s="12"/>
      <c r="X637" s="12"/>
      <c r="Y637" s="12"/>
      <c r="Z637" s="12"/>
      <c r="AA637" s="12"/>
      <c r="AB637" s="12"/>
      <c r="AC637" s="12"/>
      <c r="AD637" s="12"/>
      <c r="AE637" s="12"/>
      <c r="AF637" s="12"/>
      <c r="AG637" s="12"/>
      <c r="AH637" s="12"/>
      <c r="AI637" s="12"/>
      <c r="AJ637" s="12"/>
      <c r="AK637" s="12"/>
      <c r="AL637" s="12"/>
      <c r="AM637" s="12"/>
    </row>
    <row r="638">
      <c r="A638" s="88" t="s">
        <v>39</v>
      </c>
      <c r="B638" s="98">
        <v>20180.0</v>
      </c>
      <c r="C638" s="92" t="str">
        <f t="array" ref="C638">INDEX('MTA 28-09'!B:B,MATCH(B638,'MTA 28-09'!A:A,0))</f>
        <v>NÃO</v>
      </c>
      <c r="D638" s="95" t="str">
        <f t="array" ref="D638">INDEX('MTA 28-09'!D:D,MATCH(B638,'MTA 28-09'!A:A,0))</f>
        <v/>
      </c>
      <c r="E638" s="98" t="str">
        <f t="array" ref="E638">INDEX('MTA 28-09'!F:F,MATCH(B638,'MTA 28-09'!A:A,0))</f>
        <v/>
      </c>
      <c r="F638" s="152" t="str">
        <f t="array" ref="F638">INDEX('MTA 28-09'!I:I,MATCH(B638,'MTA 28-09'!A:A,0))</f>
        <v/>
      </c>
      <c r="G638" s="100" t="str">
        <f t="array" ref="G638">INDEX('MTA 28-09'!J:J,MATCH(B638,'MTA 28-09'!A:A,0))</f>
        <v/>
      </c>
      <c r="H638" s="159" t="s">
        <v>157</v>
      </c>
      <c r="I638" s="296"/>
      <c r="J638" s="102"/>
      <c r="K638" s="103"/>
      <c r="L638" s="102" t="str">
        <f t="array" ref="L638">INDEX('MTA 28-09'!S:S,MATCH(B638,'MTA 28-09'!A:A,0))</f>
        <v>A-29</v>
      </c>
      <c r="M638" s="98" t="str">
        <f t="array" ref="M638">INDEX('MTA 28-09'!T:T,MATCH(B638,'MTA 28-09'!A:A,0))</f>
        <v>2025-BACG-02</v>
      </c>
      <c r="N638" s="98" t="str">
        <f t="array" ref="N638">INDEX('MTA 28-09'!U:U,MATCH(B638,'MTA 28-09'!A:A,0))</f>
        <v>PN 14-6807-6011 - GAGE,TIRE PRESSURE,SELF-CONTAINED, 300 PSI MAXIMUM OPERATING PRESSURE; USED ON AN AIRCRAFT</v>
      </c>
      <c r="O638" s="104">
        <f t="array" ref="O638">INDEX('MTA 28-09'!AC:AC,MATCH(B638,'MTA 28-09'!A:A,0))</f>
        <v>1640.74</v>
      </c>
      <c r="P638" s="98" t="str">
        <f t="array" ref="P638">INDEX('MTA 28-09'!N:N,MATCH(B638,'MTA 28-09'!A:A,0))</f>
        <v>CABW</v>
      </c>
      <c r="Q638" s="105" t="str">
        <f t="array" ref="Q638">INDEX('MTA 28-09'!Z:Z,MATCH(B638,'MTA 28-09'!A:A,0))</f>
        <v>449052</v>
      </c>
      <c r="R638" s="98" t="str">
        <f t="array" ref="R638">INDEX('MTA 28-09'!L:L,MATCH(B638,'MTA 28-09'!A:A,0))</f>
        <v>C</v>
      </c>
      <c r="S638" s="107" t="str">
        <f t="array" ref="S638">INDEX('MTA 28-09'!X:X,MATCH(B638,'MTA 28-09'!A:A,0))</f>
        <v>REQUISIÇÃO</v>
      </c>
      <c r="T638" s="107" t="str">
        <f t="array" ref="T638">INDEX('MTA 28-09'!W:W,MATCH(B638,'MTA 28-09'!A:A,0))</f>
        <v>Não</v>
      </c>
      <c r="U638" s="109">
        <f t="array" ref="U638">INDEX('MTA 28-09'!AE:AE,MATCH(B638,'MTA 28-09'!A:A,0))</f>
        <v>46168</v>
      </c>
      <c r="V638" s="29"/>
      <c r="W638" s="29"/>
      <c r="X638" s="29"/>
      <c r="Y638" s="29"/>
      <c r="Z638" s="29"/>
      <c r="AA638" s="29"/>
      <c r="AB638" s="29"/>
      <c r="AC638" s="29"/>
      <c r="AD638" s="29"/>
      <c r="AE638" s="29"/>
      <c r="AF638" s="29"/>
      <c r="AG638" s="29"/>
      <c r="AH638" s="29"/>
      <c r="AI638" s="29"/>
      <c r="AJ638" s="29"/>
      <c r="AK638" s="29"/>
      <c r="AL638" s="29"/>
      <c r="AM638" s="29"/>
    </row>
    <row r="639">
      <c r="A639" s="31" t="s">
        <v>39</v>
      </c>
      <c r="B639" s="32">
        <v>20200.0</v>
      </c>
      <c r="C639" s="33" t="str">
        <f t="array" ref="C639">INDEX('MTA 28-09'!B:B,MATCH(B639,'MTA 28-09'!A:A,0))</f>
        <v>NÃO</v>
      </c>
      <c r="D639" s="34" t="str">
        <f t="array" ref="D639">INDEX('MTA 28-09'!D:D,MATCH(B639,'MTA 28-09'!A:A,0))</f>
        <v/>
      </c>
      <c r="E639" s="32" t="str">
        <f t="array" ref="E639">INDEX('MTA 28-09'!F:F,MATCH(B639,'MTA 28-09'!A:A,0))</f>
        <v/>
      </c>
      <c r="F639" s="155" t="str">
        <f t="array" ref="F639">INDEX('MTA 28-09'!I:I,MATCH(B639,'MTA 28-09'!A:A,0))</f>
        <v/>
      </c>
      <c r="G639" s="36" t="str">
        <f t="array" ref="G639">INDEX('MTA 28-09'!J:J,MATCH(B639,'MTA 28-09'!A:A,0))</f>
        <v/>
      </c>
      <c r="H639" s="287" t="s">
        <v>157</v>
      </c>
      <c r="I639" s="295"/>
      <c r="J639" s="39"/>
      <c r="K639" s="40"/>
      <c r="L639" s="39" t="str">
        <f t="array" ref="L639">INDEX('MTA 28-09'!S:S,MATCH(B639,'MTA 28-09'!A:A,0))</f>
        <v>A-29</v>
      </c>
      <c r="M639" s="32" t="str">
        <f t="array" ref="M639">INDEX('MTA 28-09'!T:T,MATCH(B639,'MTA 28-09'!A:A,0))</f>
        <v>2025-BACG-03</v>
      </c>
      <c r="N639" s="32" t="str">
        <f t="array" ref="N639">INDEX('MTA 28-09'!U:U,MATCH(B639,'MTA 28-09'!A:A,0))</f>
        <v>PN 14-6804-6000 - SERVICE REGULATOR</v>
      </c>
      <c r="O639" s="59">
        <f t="array" ref="O639">INDEX('MTA 28-09'!AC:AC,MATCH(B639,'MTA 28-09'!A:A,0))</f>
        <v>5523.84</v>
      </c>
      <c r="P639" s="32" t="str">
        <f t="array" ref="P639">INDEX('MTA 28-09'!N:N,MATCH(B639,'MTA 28-09'!A:A,0))</f>
        <v>CABW</v>
      </c>
      <c r="Q639" s="67" t="str">
        <f t="array" ref="Q639">INDEX('MTA 28-09'!Z:Z,MATCH(B639,'MTA 28-09'!A:A,0))</f>
        <v>449052</v>
      </c>
      <c r="R639" s="32" t="str">
        <f t="array" ref="R639">INDEX('MTA 28-09'!L:L,MATCH(B639,'MTA 28-09'!A:A,0))</f>
        <v>C</v>
      </c>
      <c r="S639" s="72" t="str">
        <f t="array" ref="S639">INDEX('MTA 28-09'!X:X,MATCH(B639,'MTA 28-09'!A:A,0))</f>
        <v>REQUISIÇÃO</v>
      </c>
      <c r="T639" s="72" t="str">
        <f t="array" ref="T639">INDEX('MTA 28-09'!W:W,MATCH(B639,'MTA 28-09'!A:A,0))</f>
        <v>Não</v>
      </c>
      <c r="U639" s="81">
        <f t="array" ref="U639">INDEX('MTA 28-09'!AE:AE,MATCH(B639,'MTA 28-09'!A:A,0))</f>
        <v>46168</v>
      </c>
      <c r="V639" s="12"/>
      <c r="W639" s="12"/>
      <c r="X639" s="12"/>
      <c r="Y639" s="12"/>
      <c r="Z639" s="12"/>
      <c r="AA639" s="12"/>
      <c r="AB639" s="12"/>
      <c r="AC639" s="12"/>
      <c r="AD639" s="12"/>
      <c r="AE639" s="12"/>
      <c r="AF639" s="12"/>
      <c r="AG639" s="12"/>
      <c r="AH639" s="12"/>
      <c r="AI639" s="12"/>
      <c r="AJ639" s="12"/>
      <c r="AK639" s="12"/>
      <c r="AL639" s="12"/>
      <c r="AM639" s="12"/>
    </row>
    <row r="640">
      <c r="A640" s="88" t="s">
        <v>39</v>
      </c>
      <c r="B640" s="98">
        <v>20220.0</v>
      </c>
      <c r="C640" s="92" t="str">
        <f t="array" ref="C640">INDEX('MTA 28-09'!B:B,MATCH(B640,'MTA 28-09'!A:A,0))</f>
        <v>NÃO</v>
      </c>
      <c r="D640" s="95" t="str">
        <f t="array" ref="D640">INDEX('MTA 28-09'!D:D,MATCH(B640,'MTA 28-09'!A:A,0))</f>
        <v/>
      </c>
      <c r="E640" s="98" t="str">
        <f t="array" ref="E640">INDEX('MTA 28-09'!F:F,MATCH(B640,'MTA 28-09'!A:A,0))</f>
        <v/>
      </c>
      <c r="F640" s="152" t="str">
        <f t="array" ref="F640">INDEX('MTA 28-09'!I:I,MATCH(B640,'MTA 28-09'!A:A,0))</f>
        <v/>
      </c>
      <c r="G640" s="100" t="str">
        <f t="array" ref="G640">INDEX('MTA 28-09'!J:J,MATCH(B640,'MTA 28-09'!A:A,0))</f>
        <v/>
      </c>
      <c r="H640" s="159" t="s">
        <v>157</v>
      </c>
      <c r="I640" s="296"/>
      <c r="J640" s="102"/>
      <c r="K640" s="103"/>
      <c r="L640" s="102" t="str">
        <f t="array" ref="L640">INDEX('MTA 28-09'!S:S,MATCH(B640,'MTA 28-09'!A:A,0))</f>
        <v>A-29</v>
      </c>
      <c r="M640" s="98" t="str">
        <f t="array" ref="M640">INDEX('MTA 28-09'!T:T,MATCH(B640,'MTA 28-09'!A:A,0))</f>
        <v>2025-BACG-04</v>
      </c>
      <c r="N640" s="98" t="str">
        <f t="array" ref="N640">INDEX('MTA 28-09'!U:U,MATCH(B640,'MTA 28-09'!A:A,0))</f>
        <v>PN 14-6806-6011 - TIRE PRESSURE GAGE</v>
      </c>
      <c r="O640" s="104">
        <f t="array" ref="O640">INDEX('MTA 28-09'!AC:AC,MATCH(B640,'MTA 28-09'!A:A,0))</f>
        <v>1728</v>
      </c>
      <c r="P640" s="98" t="str">
        <f t="array" ref="P640">INDEX('MTA 28-09'!N:N,MATCH(B640,'MTA 28-09'!A:A,0))</f>
        <v>FMS</v>
      </c>
      <c r="Q640" s="105" t="str">
        <f t="array" ref="Q640">INDEX('MTA 28-09'!Z:Z,MATCH(B640,'MTA 28-09'!A:A,0))</f>
        <v>449052</v>
      </c>
      <c r="R640" s="98" t="str">
        <f t="array" ref="R640">INDEX('MTA 28-09'!L:L,MATCH(B640,'MTA 28-09'!A:A,0))</f>
        <v>C</v>
      </c>
      <c r="S640" s="107" t="str">
        <f t="array" ref="S640">INDEX('MTA 28-09'!X:X,MATCH(B640,'MTA 28-09'!A:A,0))</f>
        <v>REQUISIÇÃO</v>
      </c>
      <c r="T640" s="107" t="str">
        <f t="array" ref="T640">INDEX('MTA 28-09'!W:W,MATCH(B640,'MTA 28-09'!A:A,0))</f>
        <v>Não</v>
      </c>
      <c r="U640" s="109">
        <f t="array" ref="U640">INDEX('MTA 28-09'!AE:AE,MATCH(B640,'MTA 28-09'!A:A,0))</f>
        <v>46168</v>
      </c>
      <c r="V640" s="29"/>
      <c r="W640" s="29"/>
      <c r="X640" s="29"/>
      <c r="Y640" s="29"/>
      <c r="Z640" s="29"/>
      <c r="AA640" s="29"/>
      <c r="AB640" s="29"/>
      <c r="AC640" s="29"/>
      <c r="AD640" s="29"/>
      <c r="AE640" s="29"/>
      <c r="AF640" s="29"/>
      <c r="AG640" s="29"/>
      <c r="AH640" s="29"/>
      <c r="AI640" s="29"/>
      <c r="AJ640" s="29"/>
      <c r="AK640" s="29"/>
      <c r="AL640" s="29"/>
      <c r="AM640" s="29"/>
    </row>
    <row r="641">
      <c r="A641" s="31" t="s">
        <v>39</v>
      </c>
      <c r="B641" s="32">
        <v>20240.0</v>
      </c>
      <c r="C641" s="33" t="str">
        <f t="array" ref="C641">INDEX('MTA 28-09'!B:B,MATCH(B641,'MTA 28-09'!A:A,0))</f>
        <v>NÃO</v>
      </c>
      <c r="D641" s="34" t="str">
        <f t="array" ref="D641">INDEX('MTA 28-09'!D:D,MATCH(B641,'MTA 28-09'!A:A,0))</f>
        <v/>
      </c>
      <c r="E641" s="32" t="str">
        <f t="array" ref="E641">INDEX('MTA 28-09'!F:F,MATCH(B641,'MTA 28-09'!A:A,0))</f>
        <v/>
      </c>
      <c r="F641" s="137" t="str">
        <f t="array" ref="F641">INDEX('MTA 28-09'!I:I,MATCH(B641,'MTA 28-09'!A:A,0))</f>
        <v/>
      </c>
      <c r="G641" s="36" t="str">
        <f t="array" ref="G641">INDEX('MTA 28-09'!J:J,MATCH(B641,'MTA 28-09'!A:A,0))</f>
        <v/>
      </c>
      <c r="H641" s="287" t="s">
        <v>157</v>
      </c>
      <c r="I641" s="295"/>
      <c r="J641" s="39"/>
      <c r="K641" s="40"/>
      <c r="L641" s="39" t="str">
        <f t="array" ref="L641">INDEX('MTA 28-09'!S:S,MATCH(B641,'MTA 28-09'!A:A,0))</f>
        <v>A-29</v>
      </c>
      <c r="M641" s="32" t="str">
        <f t="array" ref="M641">INDEX('MTA 28-09'!T:T,MATCH(B641,'MTA 28-09'!A:A,0))</f>
        <v>2025-BACG-05</v>
      </c>
      <c r="N641" s="32" t="str">
        <f t="array" ref="N641">INDEX('MTA 28-09'!U:U,MATCH(B641,'MTA 28-09'!A:A,0))</f>
        <v>PN AGE-01979-401 - CAPA PROTETORA DE PNEU DO TREM DE POUSO PRINCIPAL</v>
      </c>
      <c r="O641" s="59">
        <f t="array" ref="O641">INDEX('MTA 28-09'!AC:AC,MATCH(B641,'MTA 28-09'!A:A,0))</f>
        <v>16259.16</v>
      </c>
      <c r="P641" s="32" t="str">
        <f t="array" ref="P641">INDEX('MTA 28-09'!N:N,MATCH(B641,'MTA 28-09'!A:A,0))</f>
        <v>CELOG</v>
      </c>
      <c r="Q641" s="67" t="str">
        <f t="array" ref="Q641">INDEX('MTA 28-09'!Z:Z,MATCH(B641,'MTA 28-09'!A:A,0))</f>
        <v>449052</v>
      </c>
      <c r="R641" s="32" t="str">
        <f t="array" ref="R641">INDEX('MTA 28-09'!L:L,MATCH(B641,'MTA 28-09'!A:A,0))</f>
        <v>C</v>
      </c>
      <c r="S641" s="72" t="str">
        <f t="array" ref="S641">INDEX('MTA 28-09'!X:X,MATCH(B641,'MTA 28-09'!A:A,0))</f>
        <v>REQUISIÇÃO</v>
      </c>
      <c r="T641" s="72" t="str">
        <f t="array" ref="T641">INDEX('MTA 28-09'!W:W,MATCH(B641,'MTA 28-09'!A:A,0))</f>
        <v>Não</v>
      </c>
      <c r="U641" s="81">
        <f t="array" ref="U641">INDEX('MTA 28-09'!AE:AE,MATCH(B641,'MTA 28-09'!A:A,0))</f>
        <v>46168</v>
      </c>
      <c r="V641" s="12"/>
      <c r="W641" s="12"/>
      <c r="X641" s="12"/>
      <c r="Y641" s="12"/>
      <c r="Z641" s="12"/>
      <c r="AA641" s="12"/>
      <c r="AB641" s="12"/>
      <c r="AC641" s="12"/>
      <c r="AD641" s="12"/>
      <c r="AE641" s="12"/>
      <c r="AF641" s="12"/>
      <c r="AG641" s="12"/>
      <c r="AH641" s="12"/>
      <c r="AI641" s="12"/>
      <c r="AJ641" s="12"/>
      <c r="AK641" s="12"/>
      <c r="AL641" s="12"/>
      <c r="AM641" s="12"/>
    </row>
    <row r="642">
      <c r="A642" s="88" t="s">
        <v>39</v>
      </c>
      <c r="B642" s="98">
        <v>20260.0</v>
      </c>
      <c r="C642" s="92" t="str">
        <f t="array" ref="C642">INDEX('MTA 28-09'!B:B,MATCH(B642,'MTA 28-09'!A:A,0))</f>
        <v>NÃO</v>
      </c>
      <c r="D642" s="95" t="str">
        <f t="array" ref="D642">INDEX('MTA 28-09'!D:D,MATCH(B642,'MTA 28-09'!A:A,0))</f>
        <v/>
      </c>
      <c r="E642" s="98" t="str">
        <f t="array" ref="E642">INDEX('MTA 28-09'!F:F,MATCH(B642,'MTA 28-09'!A:A,0))</f>
        <v/>
      </c>
      <c r="F642" s="144" t="str">
        <f t="array" ref="F642">INDEX('MTA 28-09'!I:I,MATCH(B642,'MTA 28-09'!A:A,0))</f>
        <v/>
      </c>
      <c r="G642" s="100" t="str">
        <f t="array" ref="G642">INDEX('MTA 28-09'!J:J,MATCH(B642,'MTA 28-09'!A:A,0))</f>
        <v/>
      </c>
      <c r="H642" s="159" t="s">
        <v>157</v>
      </c>
      <c r="I642" s="296"/>
      <c r="J642" s="102"/>
      <c r="K642" s="103"/>
      <c r="L642" s="102" t="str">
        <f t="array" ref="L642">INDEX('MTA 28-09'!S:S,MATCH(B642,'MTA 28-09'!A:A,0))</f>
        <v>A-29</v>
      </c>
      <c r="M642" s="98" t="str">
        <f t="array" ref="M642">INDEX('MTA 28-09'!T:T,MATCH(B642,'MTA 28-09'!A:A,0))</f>
        <v>2025-BACG-06</v>
      </c>
      <c r="N642" s="98" t="str">
        <f t="array" ref="N642">INDEX('MTA 28-09'!U:U,MATCH(B642,'MTA 28-09'!A:A,0))</f>
        <v>PN AGE-01954-401 - CAPA PROTETORA DE PNEU DO TREM DE POUSO AUXILIAR</v>
      </c>
      <c r="O642" s="104">
        <f t="array" ref="O642">INDEX('MTA 28-09'!AC:AC,MATCH(B642,'MTA 28-09'!A:A,0))</f>
        <v>3953.73</v>
      </c>
      <c r="P642" s="98" t="str">
        <f t="array" ref="P642">INDEX('MTA 28-09'!N:N,MATCH(B642,'MTA 28-09'!A:A,0))</f>
        <v>CELOG</v>
      </c>
      <c r="Q642" s="105" t="str">
        <f t="array" ref="Q642">INDEX('MTA 28-09'!Z:Z,MATCH(B642,'MTA 28-09'!A:A,0))</f>
        <v>449052</v>
      </c>
      <c r="R642" s="98" t="str">
        <f t="array" ref="R642">INDEX('MTA 28-09'!L:L,MATCH(B642,'MTA 28-09'!A:A,0))</f>
        <v>C</v>
      </c>
      <c r="S642" s="107" t="str">
        <f t="array" ref="S642">INDEX('MTA 28-09'!X:X,MATCH(B642,'MTA 28-09'!A:A,0))</f>
        <v>REQUISIÇÃO</v>
      </c>
      <c r="T642" s="107" t="str">
        <f t="array" ref="T642">INDEX('MTA 28-09'!W:W,MATCH(B642,'MTA 28-09'!A:A,0))</f>
        <v>Não</v>
      </c>
      <c r="U642" s="109">
        <f t="array" ref="U642">INDEX('MTA 28-09'!AE:AE,MATCH(B642,'MTA 28-09'!A:A,0))</f>
        <v>46168</v>
      </c>
      <c r="V642" s="29"/>
      <c r="W642" s="29"/>
      <c r="X642" s="29"/>
      <c r="Y642" s="29"/>
      <c r="Z642" s="29"/>
      <c r="AA642" s="29"/>
      <c r="AB642" s="29"/>
      <c r="AC642" s="29"/>
      <c r="AD642" s="29"/>
      <c r="AE642" s="29"/>
      <c r="AF642" s="29"/>
      <c r="AG642" s="29"/>
      <c r="AH642" s="29"/>
      <c r="AI642" s="29"/>
      <c r="AJ642" s="29"/>
      <c r="AK642" s="29"/>
      <c r="AL642" s="29"/>
      <c r="AM642" s="29"/>
    </row>
    <row r="643">
      <c r="A643" s="31" t="s">
        <v>39</v>
      </c>
      <c r="B643" s="32">
        <v>20280.0</v>
      </c>
      <c r="C643" s="33" t="str">
        <f t="array" ref="C643">INDEX('MTA 28-09'!B:B,MATCH(B643,'MTA 28-09'!A:A,0))</f>
        <v>NÃO</v>
      </c>
      <c r="D643" s="34" t="str">
        <f t="array" ref="D643">INDEX('MTA 28-09'!D:D,MATCH(B643,'MTA 28-09'!A:A,0))</f>
        <v/>
      </c>
      <c r="E643" s="32" t="str">
        <f t="array" ref="E643">INDEX('MTA 28-09'!F:F,MATCH(B643,'MTA 28-09'!A:A,0))</f>
        <v/>
      </c>
      <c r="F643" s="137" t="str">
        <f t="array" ref="F643">INDEX('MTA 28-09'!I:I,MATCH(B643,'MTA 28-09'!A:A,0))</f>
        <v/>
      </c>
      <c r="G643" s="36" t="str">
        <f t="array" ref="G643">INDEX('MTA 28-09'!J:J,MATCH(B643,'MTA 28-09'!A:A,0))</f>
        <v/>
      </c>
      <c r="H643" s="287" t="s">
        <v>157</v>
      </c>
      <c r="I643" s="295"/>
      <c r="J643" s="39"/>
      <c r="K643" s="40"/>
      <c r="L643" s="39" t="str">
        <f t="array" ref="L643">INDEX('MTA 28-09'!S:S,MATCH(B643,'MTA 28-09'!A:A,0))</f>
        <v>A-29</v>
      </c>
      <c r="M643" s="32" t="str">
        <f t="array" ref="M643">INDEX('MTA 28-09'!T:T,MATCH(B643,'MTA 28-09'!A:A,0))</f>
        <v>2025-BACG-13</v>
      </c>
      <c r="N643" s="32" t="str">
        <f t="array" ref="N643">INDEX('MTA 28-09'!U:U,MATCH(B643,'MTA 28-09'!A:A,0))</f>
        <v>PN PMB3950-0EAS-1519 - GUINDASTE HIDRÁULICO M128</v>
      </c>
      <c r="O643" s="59">
        <f t="array" ref="O643">INDEX('MTA 28-09'!AC:AC,MATCH(B643,'MTA 28-09'!A:A,0))</f>
        <v>1635.84</v>
      </c>
      <c r="P643" s="32" t="str">
        <f t="array" ref="P643">INDEX('MTA 28-09'!N:N,MATCH(B643,'MTA 28-09'!A:A,0))</f>
        <v>FMS</v>
      </c>
      <c r="Q643" s="67" t="str">
        <f t="array" ref="Q643">INDEX('MTA 28-09'!Z:Z,MATCH(B643,'MTA 28-09'!A:A,0))</f>
        <v>449052</v>
      </c>
      <c r="R643" s="32" t="str">
        <f t="array" ref="R643">INDEX('MTA 28-09'!L:L,MATCH(B643,'MTA 28-09'!A:A,0))</f>
        <v>C</v>
      </c>
      <c r="S643" s="72" t="str">
        <f t="array" ref="S643">INDEX('MTA 28-09'!X:X,MATCH(B643,'MTA 28-09'!A:A,0))</f>
        <v>REQUISIÇÃO</v>
      </c>
      <c r="T643" s="72" t="str">
        <f t="array" ref="T643">INDEX('MTA 28-09'!W:W,MATCH(B643,'MTA 28-09'!A:A,0))</f>
        <v>Não</v>
      </c>
      <c r="U643" s="81">
        <f t="array" ref="U643">INDEX('MTA 28-09'!AE:AE,MATCH(B643,'MTA 28-09'!A:A,0))</f>
        <v>46168</v>
      </c>
      <c r="V643" s="12"/>
      <c r="W643" s="12"/>
      <c r="X643" s="12"/>
      <c r="Y643" s="12"/>
      <c r="Z643" s="12"/>
      <c r="AA643" s="12"/>
      <c r="AB643" s="12"/>
      <c r="AC643" s="12"/>
      <c r="AD643" s="12"/>
      <c r="AE643" s="12"/>
      <c r="AF643" s="12"/>
      <c r="AG643" s="12"/>
      <c r="AH643" s="12"/>
      <c r="AI643" s="12"/>
      <c r="AJ643" s="12"/>
      <c r="AK643" s="12"/>
      <c r="AL643" s="12"/>
      <c r="AM643" s="12"/>
    </row>
    <row r="644">
      <c r="A644" s="88" t="s">
        <v>39</v>
      </c>
      <c r="B644" s="98">
        <v>20300.0</v>
      </c>
      <c r="C644" s="92" t="str">
        <f t="array" ref="C644">INDEX('MTA 28-09'!B:B,MATCH(B644,'MTA 28-09'!A:A,0))</f>
        <v>NÃO</v>
      </c>
      <c r="D644" s="95" t="str">
        <f t="array" ref="D644">INDEX('MTA 28-09'!D:D,MATCH(B644,'MTA 28-09'!A:A,0))</f>
        <v/>
      </c>
      <c r="E644" s="98" t="str">
        <f t="array" ref="E644">INDEX('MTA 28-09'!F:F,MATCH(B644,'MTA 28-09'!A:A,0))</f>
        <v/>
      </c>
      <c r="F644" s="152" t="str">
        <f t="array" ref="F644">INDEX('MTA 28-09'!I:I,MATCH(B644,'MTA 28-09'!A:A,0))</f>
        <v/>
      </c>
      <c r="G644" s="100" t="str">
        <f t="array" ref="G644">INDEX('MTA 28-09'!J:J,MATCH(B644,'MTA 28-09'!A:A,0))</f>
        <v/>
      </c>
      <c r="H644" s="159" t="s">
        <v>157</v>
      </c>
      <c r="I644" s="296"/>
      <c r="J644" s="102"/>
      <c r="K644" s="103"/>
      <c r="L644" s="102" t="str">
        <f t="array" ref="L644">INDEX('MTA 28-09'!S:S,MATCH(B644,'MTA 28-09'!A:A,0))</f>
        <v>A-29</v>
      </c>
      <c r="M644" s="98" t="str">
        <f t="array" ref="M644">INDEX('MTA 28-09'!T:T,MATCH(B644,'MTA 28-09'!A:A,0))</f>
        <v>2025-BACG-14</v>
      </c>
      <c r="N644" s="98" t="str">
        <f t="array" ref="N644">INDEX('MTA 28-09'!U:U,MATCH(B644,'MTA 28-09'!A:A,0))</f>
        <v>PN 4A-670-21-W26H2 - CHAVE ESPECIAL</v>
      </c>
      <c r="O644" s="104">
        <f t="array" ref="O644">INDEX('MTA 28-09'!AC:AC,MATCH(B644,'MTA 28-09'!A:A,0))</f>
        <v>4526.66</v>
      </c>
      <c r="P644" s="98" t="str">
        <f t="array" ref="P644">INDEX('MTA 28-09'!N:N,MATCH(B644,'MTA 28-09'!A:A,0))</f>
        <v>CELOG</v>
      </c>
      <c r="Q644" s="105" t="str">
        <f t="array" ref="Q644">INDEX('MTA 28-09'!Z:Z,MATCH(B644,'MTA 28-09'!A:A,0))</f>
        <v>449052</v>
      </c>
      <c r="R644" s="98" t="str">
        <f t="array" ref="R644">INDEX('MTA 28-09'!L:L,MATCH(B644,'MTA 28-09'!A:A,0))</f>
        <v>C</v>
      </c>
      <c r="S644" s="107" t="str">
        <f t="array" ref="S644">INDEX('MTA 28-09'!X:X,MATCH(B644,'MTA 28-09'!A:A,0))</f>
        <v>REQUISIÇÃO</v>
      </c>
      <c r="T644" s="107" t="str">
        <f t="array" ref="T644">INDEX('MTA 28-09'!W:W,MATCH(B644,'MTA 28-09'!A:A,0))</f>
        <v>Não</v>
      </c>
      <c r="U644" s="109">
        <f t="array" ref="U644">INDEX('MTA 28-09'!AE:AE,MATCH(B644,'MTA 28-09'!A:A,0))</f>
        <v>46168</v>
      </c>
      <c r="V644" s="29"/>
      <c r="W644" s="29"/>
      <c r="X644" s="29"/>
      <c r="Y644" s="29"/>
      <c r="Z644" s="29"/>
      <c r="AA644" s="29"/>
      <c r="AB644" s="29"/>
      <c r="AC644" s="29"/>
      <c r="AD644" s="29"/>
      <c r="AE644" s="29"/>
      <c r="AF644" s="29"/>
      <c r="AG644" s="29"/>
      <c r="AH644" s="29"/>
      <c r="AI644" s="29"/>
      <c r="AJ644" s="29"/>
      <c r="AK644" s="29"/>
      <c r="AL644" s="29"/>
      <c r="AM644" s="29"/>
    </row>
    <row r="645">
      <c r="A645" s="31" t="s">
        <v>39</v>
      </c>
      <c r="B645" s="32">
        <v>20320.0</v>
      </c>
      <c r="C645" s="33" t="str">
        <f t="array" ref="C645">INDEX('MTA 28-09'!B:B,MATCH(B645,'MTA 28-09'!A:A,0))</f>
        <v>NÃO</v>
      </c>
      <c r="D645" s="34" t="str">
        <f t="array" ref="D645">INDEX('MTA 28-09'!D:D,MATCH(B645,'MTA 28-09'!A:A,0))</f>
        <v/>
      </c>
      <c r="E645" s="32" t="str">
        <f t="array" ref="E645">INDEX('MTA 28-09'!F:F,MATCH(B645,'MTA 28-09'!A:A,0))</f>
        <v/>
      </c>
      <c r="F645" s="137" t="str">
        <f t="array" ref="F645">INDEX('MTA 28-09'!I:I,MATCH(B645,'MTA 28-09'!A:A,0))</f>
        <v/>
      </c>
      <c r="G645" s="36" t="str">
        <f t="array" ref="G645">INDEX('MTA 28-09'!J:J,MATCH(B645,'MTA 28-09'!A:A,0))</f>
        <v/>
      </c>
      <c r="H645" s="287" t="s">
        <v>157</v>
      </c>
      <c r="I645" s="295"/>
      <c r="J645" s="39"/>
      <c r="K645" s="40"/>
      <c r="L645" s="39" t="str">
        <f t="array" ref="L645">INDEX('MTA 28-09'!S:S,MATCH(B645,'MTA 28-09'!A:A,0))</f>
        <v>A-29</v>
      </c>
      <c r="M645" s="32" t="str">
        <f t="array" ref="M645">INDEX('MTA 28-09'!T:T,MATCH(B645,'MTA 28-09'!A:A,0))</f>
        <v>2025-BACG-15</v>
      </c>
      <c r="N645" s="32" t="str">
        <f t="array" ref="N645">INDEX('MTA 28-09'!U:U,MATCH(B645,'MTA 28-09'!A:A,0))</f>
        <v>PN PWC65422 - DCU T-HARNESS</v>
      </c>
      <c r="O645" s="59">
        <f t="array" ref="O645">INDEX('MTA 28-09'!AC:AC,MATCH(B645,'MTA 28-09'!A:A,0))</f>
        <v>8640</v>
      </c>
      <c r="P645" s="32" t="str">
        <f t="array" ref="P645">INDEX('MTA 28-09'!N:N,MATCH(B645,'MTA 28-09'!A:A,0))</f>
        <v>CABW</v>
      </c>
      <c r="Q645" s="67" t="str">
        <f t="array" ref="Q645">INDEX('MTA 28-09'!Z:Z,MATCH(B645,'MTA 28-09'!A:A,0))</f>
        <v>449052</v>
      </c>
      <c r="R645" s="32" t="str">
        <f t="array" ref="R645">INDEX('MTA 28-09'!L:L,MATCH(B645,'MTA 28-09'!A:A,0))</f>
        <v>C</v>
      </c>
      <c r="S645" s="72" t="str">
        <f t="array" ref="S645">INDEX('MTA 28-09'!X:X,MATCH(B645,'MTA 28-09'!A:A,0))</f>
        <v>REQUISIÇÃO</v>
      </c>
      <c r="T645" s="72" t="str">
        <f t="array" ref="T645">INDEX('MTA 28-09'!W:W,MATCH(B645,'MTA 28-09'!A:A,0))</f>
        <v>Não</v>
      </c>
      <c r="U645" s="81">
        <f t="array" ref="U645">INDEX('MTA 28-09'!AE:AE,MATCH(B645,'MTA 28-09'!A:A,0))</f>
        <v>46168</v>
      </c>
      <c r="V645" s="12"/>
      <c r="W645" s="12"/>
      <c r="X645" s="12"/>
      <c r="Y645" s="12"/>
      <c r="Z645" s="12"/>
      <c r="AA645" s="12"/>
      <c r="AB645" s="12"/>
      <c r="AC645" s="12"/>
      <c r="AD645" s="12"/>
      <c r="AE645" s="12"/>
      <c r="AF645" s="12"/>
      <c r="AG645" s="12"/>
      <c r="AH645" s="12"/>
      <c r="AI645" s="12"/>
      <c r="AJ645" s="12"/>
      <c r="AK645" s="12"/>
      <c r="AL645" s="12"/>
      <c r="AM645" s="12"/>
    </row>
    <row r="646">
      <c r="A646" s="88" t="s">
        <v>39</v>
      </c>
      <c r="B646" s="98">
        <v>20340.0</v>
      </c>
      <c r="C646" s="92" t="str">
        <f t="array" ref="C646">INDEX('MTA 28-09'!B:B,MATCH(B646,'MTA 28-09'!A:A,0))</f>
        <v>NÃO</v>
      </c>
      <c r="D646" s="95" t="str">
        <f t="array" ref="D646">INDEX('MTA 28-09'!D:D,MATCH(B646,'MTA 28-09'!A:A,0))</f>
        <v/>
      </c>
      <c r="E646" s="98" t="str">
        <f t="array" ref="E646">INDEX('MTA 28-09'!F:F,MATCH(B646,'MTA 28-09'!A:A,0))</f>
        <v/>
      </c>
      <c r="F646" s="152" t="str">
        <f t="array" ref="F646">INDEX('MTA 28-09'!I:I,MATCH(B646,'MTA 28-09'!A:A,0))</f>
        <v/>
      </c>
      <c r="G646" s="100" t="str">
        <f t="array" ref="G646">INDEX('MTA 28-09'!J:J,MATCH(B646,'MTA 28-09'!A:A,0))</f>
        <v/>
      </c>
      <c r="H646" s="159" t="s">
        <v>157</v>
      </c>
      <c r="I646" s="296"/>
      <c r="J646" s="102"/>
      <c r="K646" s="103"/>
      <c r="L646" s="102" t="str">
        <f t="array" ref="L646">INDEX('MTA 28-09'!S:S,MATCH(B646,'MTA 28-09'!A:A,0))</f>
        <v>A-29</v>
      </c>
      <c r="M646" s="98" t="str">
        <f t="array" ref="M646">INDEX('MTA 28-09'!T:T,MATCH(B646,'MTA 28-09'!A:A,0))</f>
        <v>2025-BACG-16</v>
      </c>
      <c r="N646" s="98" t="str">
        <f t="array" ref="N646">INDEX('MTA 28-09'!U:U,MATCH(B646,'MTA 28-09'!A:A,0))</f>
        <v>PN BREMEN-9123 - BOMBA MANUAL PARA GRAXA DE 4KG</v>
      </c>
      <c r="O646" s="104">
        <f t="array" ref="O646">INDEX('MTA 28-09'!AC:AC,MATCH(B646,'MTA 28-09'!A:A,0))</f>
        <v>539.56</v>
      </c>
      <c r="P646" s="98" t="str">
        <f t="array" ref="P646">INDEX('MTA 28-09'!N:N,MATCH(B646,'MTA 28-09'!A:A,0))</f>
        <v>FMS</v>
      </c>
      <c r="Q646" s="105" t="str">
        <f t="array" ref="Q646">INDEX('MTA 28-09'!Z:Z,MATCH(B646,'MTA 28-09'!A:A,0))</f>
        <v>449052</v>
      </c>
      <c r="R646" s="98" t="str">
        <f t="array" ref="R646">INDEX('MTA 28-09'!L:L,MATCH(B646,'MTA 28-09'!A:A,0))</f>
        <v>C</v>
      </c>
      <c r="S646" s="107" t="str">
        <f t="array" ref="S646">INDEX('MTA 28-09'!X:X,MATCH(B646,'MTA 28-09'!A:A,0))</f>
        <v>REQUISIÇÃO</v>
      </c>
      <c r="T646" s="107" t="str">
        <f t="array" ref="T646">INDEX('MTA 28-09'!W:W,MATCH(B646,'MTA 28-09'!A:A,0))</f>
        <v>Não</v>
      </c>
      <c r="U646" s="109">
        <f t="array" ref="U646">INDEX('MTA 28-09'!AE:AE,MATCH(B646,'MTA 28-09'!A:A,0))</f>
        <v>46168</v>
      </c>
      <c r="V646" s="29"/>
      <c r="W646" s="29"/>
      <c r="X646" s="29"/>
      <c r="Y646" s="29"/>
      <c r="Z646" s="29"/>
      <c r="AA646" s="29"/>
      <c r="AB646" s="29"/>
      <c r="AC646" s="29"/>
      <c r="AD646" s="29"/>
      <c r="AE646" s="29"/>
      <c r="AF646" s="29"/>
      <c r="AG646" s="29"/>
      <c r="AH646" s="29"/>
      <c r="AI646" s="29"/>
      <c r="AJ646" s="29"/>
      <c r="AK646" s="29"/>
      <c r="AL646" s="29"/>
      <c r="AM646" s="29"/>
    </row>
    <row r="647">
      <c r="A647" s="31" t="s">
        <v>39</v>
      </c>
      <c r="B647" s="32">
        <v>20360.0</v>
      </c>
      <c r="C647" s="33" t="str">
        <f t="array" ref="C647">INDEX('MTA 28-09'!B:B,MATCH(B647,'MTA 28-09'!A:A,0))</f>
        <v>NÃO</v>
      </c>
      <c r="D647" s="34" t="str">
        <f t="array" ref="D647">INDEX('MTA 28-09'!D:D,MATCH(B647,'MTA 28-09'!A:A,0))</f>
        <v/>
      </c>
      <c r="E647" s="32" t="str">
        <f t="array" ref="E647">INDEX('MTA 28-09'!F:F,MATCH(B647,'MTA 28-09'!A:A,0))</f>
        <v/>
      </c>
      <c r="F647" s="155" t="str">
        <f t="array" ref="F647">INDEX('MTA 28-09'!I:I,MATCH(B647,'MTA 28-09'!A:A,0))</f>
        <v/>
      </c>
      <c r="G647" s="36" t="str">
        <f t="array" ref="G647">INDEX('MTA 28-09'!J:J,MATCH(B647,'MTA 28-09'!A:A,0))</f>
        <v/>
      </c>
      <c r="H647" s="287" t="s">
        <v>157</v>
      </c>
      <c r="I647" s="295"/>
      <c r="J647" s="39"/>
      <c r="K647" s="40"/>
      <c r="L647" s="39" t="str">
        <f t="array" ref="L647">INDEX('MTA 28-09'!S:S,MATCH(B647,'MTA 28-09'!A:A,0))</f>
        <v>A-29</v>
      </c>
      <c r="M647" s="32" t="str">
        <f t="array" ref="M647">INDEX('MTA 28-09'!T:T,MATCH(B647,'MTA 28-09'!A:A,0))</f>
        <v>2025-BACG-19</v>
      </c>
      <c r="N647" s="32" t="str">
        <f t="array" ref="N647">INDEX('MTA 28-09'!U:U,MATCH(B647,'MTA 28-09'!A:A,0))</f>
        <v>PN EMB-00444-001 - CARRO TRANSPORTE TANQUE SUBALAR</v>
      </c>
      <c r="O647" s="59">
        <f t="array" ref="O647">INDEX('MTA 28-09'!AC:AC,MATCH(B647,'MTA 28-09'!A:A,0))</f>
        <v>42369.84</v>
      </c>
      <c r="P647" s="32" t="str">
        <f t="array" ref="P647">INDEX('MTA 28-09'!N:N,MATCH(B647,'MTA 28-09'!A:A,0))</f>
        <v>FMS</v>
      </c>
      <c r="Q647" s="67" t="str">
        <f t="array" ref="Q647">INDEX('MTA 28-09'!Z:Z,MATCH(B647,'MTA 28-09'!A:A,0))</f>
        <v>449052</v>
      </c>
      <c r="R647" s="32" t="str">
        <f t="array" ref="R647">INDEX('MTA 28-09'!L:L,MATCH(B647,'MTA 28-09'!A:A,0))</f>
        <v>C</v>
      </c>
      <c r="S647" s="72" t="str">
        <f t="array" ref="S647">INDEX('MTA 28-09'!X:X,MATCH(B647,'MTA 28-09'!A:A,0))</f>
        <v>REQUISIÇÃO</v>
      </c>
      <c r="T647" s="72" t="str">
        <f t="array" ref="T647">INDEX('MTA 28-09'!W:W,MATCH(B647,'MTA 28-09'!A:A,0))</f>
        <v>Não</v>
      </c>
      <c r="U647" s="81">
        <f t="array" ref="U647">INDEX('MTA 28-09'!AE:AE,MATCH(B647,'MTA 28-09'!A:A,0))</f>
        <v>46168</v>
      </c>
      <c r="V647" s="12"/>
      <c r="W647" s="12"/>
      <c r="X647" s="12"/>
      <c r="Y647" s="12"/>
      <c r="Z647" s="12"/>
      <c r="AA647" s="12"/>
      <c r="AB647" s="12"/>
      <c r="AC647" s="12"/>
      <c r="AD647" s="12"/>
      <c r="AE647" s="12"/>
      <c r="AF647" s="12"/>
      <c r="AG647" s="12"/>
      <c r="AH647" s="12"/>
      <c r="AI647" s="12"/>
      <c r="AJ647" s="12"/>
      <c r="AK647" s="12"/>
      <c r="AL647" s="12"/>
      <c r="AM647" s="12"/>
    </row>
    <row r="648">
      <c r="A648" s="88" t="s">
        <v>39</v>
      </c>
      <c r="B648" s="98">
        <v>20380.0</v>
      </c>
      <c r="C648" s="92" t="str">
        <f t="array" ref="C648">INDEX('MTA 28-09'!B:B,MATCH(B648,'MTA 28-09'!A:A,0))</f>
        <v>NÃO</v>
      </c>
      <c r="D648" s="95" t="str">
        <f t="array" ref="D648">INDEX('MTA 28-09'!D:D,MATCH(B648,'MTA 28-09'!A:A,0))</f>
        <v/>
      </c>
      <c r="E648" s="98" t="str">
        <f t="array" ref="E648">INDEX('MTA 28-09'!F:F,MATCH(B648,'MTA 28-09'!A:A,0))</f>
        <v/>
      </c>
      <c r="F648" s="144" t="str">
        <f t="array" ref="F648">INDEX('MTA 28-09'!I:I,MATCH(B648,'MTA 28-09'!A:A,0))</f>
        <v/>
      </c>
      <c r="G648" s="100" t="str">
        <f t="array" ref="G648">INDEX('MTA 28-09'!J:J,MATCH(B648,'MTA 28-09'!A:A,0))</f>
        <v/>
      </c>
      <c r="H648" s="159" t="s">
        <v>157</v>
      </c>
      <c r="I648" s="296"/>
      <c r="J648" s="102"/>
      <c r="K648" s="103"/>
      <c r="L648" s="102" t="str">
        <f t="array" ref="L648">INDEX('MTA 28-09'!S:S,MATCH(B648,'MTA 28-09'!A:A,0))</f>
        <v>A-29</v>
      </c>
      <c r="M648" s="98" t="str">
        <f t="array" ref="M648">INDEX('MTA 28-09'!T:T,MATCH(B648,'MTA 28-09'!A:A,0))</f>
        <v>2025-BANT-02</v>
      </c>
      <c r="N648" s="98" t="str">
        <f t="array" ref="N648">INDEX('MTA 28-09'!U:U,MATCH(B648,'MTA 28-09'!A:A,0))</f>
        <v>PN DPT90-002 - PROBE 90º DEGREE ZETEC -DPT90-002</v>
      </c>
      <c r="O648" s="104">
        <f t="array" ref="O648">INDEX('MTA 28-09'!AC:AC,MATCH(B648,'MTA 28-09'!A:A,0))</f>
        <v>11500</v>
      </c>
      <c r="P648" s="98" t="str">
        <f t="array" ref="P648">INDEX('MTA 28-09'!N:N,MATCH(B648,'MTA 28-09'!A:A,0))</f>
        <v>CABW</v>
      </c>
      <c r="Q648" s="105" t="str">
        <f t="array" ref="Q648">INDEX('MTA 28-09'!Z:Z,MATCH(B648,'MTA 28-09'!A:A,0))</f>
        <v>449052</v>
      </c>
      <c r="R648" s="98" t="str">
        <f t="array" ref="R648">INDEX('MTA 28-09'!L:L,MATCH(B648,'MTA 28-09'!A:A,0))</f>
        <v>C</v>
      </c>
      <c r="S648" s="107" t="str">
        <f t="array" ref="S648">INDEX('MTA 28-09'!X:X,MATCH(B648,'MTA 28-09'!A:A,0))</f>
        <v>REQUISIÇÃO</v>
      </c>
      <c r="T648" s="107" t="str">
        <f t="array" ref="T648">INDEX('MTA 28-09'!W:W,MATCH(B648,'MTA 28-09'!A:A,0))</f>
        <v>Não</v>
      </c>
      <c r="U648" s="109">
        <f t="array" ref="U648">INDEX('MTA 28-09'!AE:AE,MATCH(B648,'MTA 28-09'!A:A,0))</f>
        <v>46168</v>
      </c>
      <c r="V648" s="29"/>
      <c r="W648" s="29"/>
      <c r="X648" s="29"/>
      <c r="Y648" s="29"/>
      <c r="Z648" s="29"/>
      <c r="AA648" s="29"/>
      <c r="AB648" s="29"/>
      <c r="AC648" s="29"/>
      <c r="AD648" s="29"/>
      <c r="AE648" s="29"/>
      <c r="AF648" s="29"/>
      <c r="AG648" s="29"/>
      <c r="AH648" s="29"/>
      <c r="AI648" s="29"/>
      <c r="AJ648" s="29"/>
      <c r="AK648" s="29"/>
      <c r="AL648" s="29"/>
      <c r="AM648" s="29"/>
    </row>
    <row r="649">
      <c r="A649" s="31" t="s">
        <v>39</v>
      </c>
      <c r="B649" s="32">
        <v>20400.0</v>
      </c>
      <c r="C649" s="33" t="str">
        <f t="array" ref="C649">INDEX('MTA 28-09'!B:B,MATCH(B649,'MTA 28-09'!A:A,0))</f>
        <v>NÃO</v>
      </c>
      <c r="D649" s="34" t="str">
        <f t="array" ref="D649">INDEX('MTA 28-09'!D:D,MATCH(B649,'MTA 28-09'!A:A,0))</f>
        <v/>
      </c>
      <c r="E649" s="32" t="str">
        <f t="array" ref="E649">INDEX('MTA 28-09'!F:F,MATCH(B649,'MTA 28-09'!A:A,0))</f>
        <v/>
      </c>
      <c r="F649" s="155" t="str">
        <f t="array" ref="F649">INDEX('MTA 28-09'!I:I,MATCH(B649,'MTA 28-09'!A:A,0))</f>
        <v/>
      </c>
      <c r="G649" s="36" t="str">
        <f t="array" ref="G649">INDEX('MTA 28-09'!J:J,MATCH(B649,'MTA 28-09'!A:A,0))</f>
        <v/>
      </c>
      <c r="H649" s="287" t="s">
        <v>157</v>
      </c>
      <c r="I649" s="295"/>
      <c r="J649" s="39"/>
      <c r="K649" s="40"/>
      <c r="L649" s="39" t="str">
        <f t="array" ref="L649">INDEX('MTA 28-09'!S:S,MATCH(B649,'MTA 28-09'!A:A,0))</f>
        <v>A-29</v>
      </c>
      <c r="M649" s="32" t="str">
        <f t="array" ref="M649">INDEX('MTA 28-09'!T:T,MATCH(B649,'MTA 28-09'!A:A,0))</f>
        <v>2025-BANT-21</v>
      </c>
      <c r="N649" s="32" t="str">
        <f t="array" ref="N649">INDEX('MTA 28-09'!U:U,MATCH(B649,'MTA 28-09'!A:A,0))</f>
        <v>PN HK-701X - ESTAÇÃO CONJUGADA DIGITAL</v>
      </c>
      <c r="O649" s="59">
        <f t="array" ref="O649">INDEX('MTA 28-09'!AC:AC,MATCH(B649,'MTA 28-09'!A:A,0))</f>
        <v>1440</v>
      </c>
      <c r="P649" s="32" t="str">
        <f t="array" ref="P649">INDEX('MTA 28-09'!N:N,MATCH(B649,'MTA 28-09'!A:A,0))</f>
        <v>CELOG</v>
      </c>
      <c r="Q649" s="67" t="str">
        <f t="array" ref="Q649">INDEX('MTA 28-09'!Z:Z,MATCH(B649,'MTA 28-09'!A:A,0))</f>
        <v>449052</v>
      </c>
      <c r="R649" s="32" t="str">
        <f t="array" ref="R649">INDEX('MTA 28-09'!L:L,MATCH(B649,'MTA 28-09'!A:A,0))</f>
        <v>C</v>
      </c>
      <c r="S649" s="72" t="str">
        <f t="array" ref="S649">INDEX('MTA 28-09'!X:X,MATCH(B649,'MTA 28-09'!A:A,0))</f>
        <v>REQUISIÇÃO</v>
      </c>
      <c r="T649" s="72" t="str">
        <f t="array" ref="T649">INDEX('MTA 28-09'!W:W,MATCH(B649,'MTA 28-09'!A:A,0))</f>
        <v>Não</v>
      </c>
      <c r="U649" s="81">
        <f t="array" ref="U649">INDEX('MTA 28-09'!AE:AE,MATCH(B649,'MTA 28-09'!A:A,0))</f>
        <v>46168</v>
      </c>
      <c r="V649" s="12"/>
      <c r="W649" s="12"/>
      <c r="X649" s="12"/>
      <c r="Y649" s="12"/>
      <c r="Z649" s="12"/>
      <c r="AA649" s="12"/>
      <c r="AB649" s="12"/>
      <c r="AC649" s="12"/>
      <c r="AD649" s="12"/>
      <c r="AE649" s="12"/>
      <c r="AF649" s="12"/>
      <c r="AG649" s="12"/>
      <c r="AH649" s="12"/>
      <c r="AI649" s="12"/>
      <c r="AJ649" s="12"/>
      <c r="AK649" s="12"/>
      <c r="AL649" s="12"/>
      <c r="AM649" s="12"/>
    </row>
    <row r="650">
      <c r="A650" s="88" t="s">
        <v>39</v>
      </c>
      <c r="B650" s="98">
        <v>20420.0</v>
      </c>
      <c r="C650" s="92" t="str">
        <f t="array" ref="C650">INDEX('MTA 28-09'!B:B,MATCH(B650,'MTA 28-09'!A:A,0))</f>
        <v>NÃO</v>
      </c>
      <c r="D650" s="95" t="str">
        <f t="array" ref="D650">INDEX('MTA 28-09'!D:D,MATCH(B650,'MTA 28-09'!A:A,0))</f>
        <v/>
      </c>
      <c r="E650" s="98" t="str">
        <f t="array" ref="E650">INDEX('MTA 28-09'!F:F,MATCH(B650,'MTA 28-09'!A:A,0))</f>
        <v/>
      </c>
      <c r="F650" s="98" t="str">
        <f t="array" ref="F650">INDEX('MTA 28-09'!I:I,MATCH(B650,'MTA 28-09'!A:A,0))</f>
        <v/>
      </c>
      <c r="G650" s="100" t="str">
        <f t="array" ref="G650">INDEX('MTA 28-09'!J:J,MATCH(B650,'MTA 28-09'!A:A,0))</f>
        <v/>
      </c>
      <c r="H650" s="159" t="s">
        <v>157</v>
      </c>
      <c r="I650" s="296"/>
      <c r="J650" s="102"/>
      <c r="K650" s="103"/>
      <c r="L650" s="102" t="str">
        <f t="array" ref="L650">INDEX('MTA 28-09'!S:S,MATCH(B650,'MTA 28-09'!A:A,0))</f>
        <v>A-29</v>
      </c>
      <c r="M650" s="98" t="str">
        <f t="array" ref="M650">INDEX('MTA 28-09'!T:T,MATCH(B650,'MTA 28-09'!A:A,0))</f>
        <v>2025-BANT-24</v>
      </c>
      <c r="N650" s="98" t="str">
        <f t="array" ref="N650">INDEX('MTA 28-09'!U:U,MATCH(B650,'MTA 28-09'!A:A,0))</f>
        <v>PN 14-6804-6000 - SERVICE REGULATOR</v>
      </c>
      <c r="O650" s="104">
        <f t="array" ref="O650">INDEX('MTA 28-09'!AC:AC,MATCH(B650,'MTA 28-09'!A:A,0))</f>
        <v>7346.42</v>
      </c>
      <c r="P650" s="98" t="str">
        <f t="array" ref="P650">INDEX('MTA 28-09'!N:N,MATCH(B650,'MTA 28-09'!A:A,0))</f>
        <v>CABW</v>
      </c>
      <c r="Q650" s="105" t="str">
        <f t="array" ref="Q650">INDEX('MTA 28-09'!Z:Z,MATCH(B650,'MTA 28-09'!A:A,0))</f>
        <v>449052</v>
      </c>
      <c r="R650" s="98" t="str">
        <f t="array" ref="R650">INDEX('MTA 28-09'!L:L,MATCH(B650,'MTA 28-09'!A:A,0))</f>
        <v>C</v>
      </c>
      <c r="S650" s="107" t="str">
        <f t="array" ref="S650">INDEX('MTA 28-09'!X:X,MATCH(B650,'MTA 28-09'!A:A,0))</f>
        <v>REQUISIÇÃO</v>
      </c>
      <c r="T650" s="107" t="str">
        <f t="array" ref="T650">INDEX('MTA 28-09'!W:W,MATCH(B650,'MTA 28-09'!A:A,0))</f>
        <v>Não</v>
      </c>
      <c r="U650" s="109">
        <f t="array" ref="U650">INDEX('MTA 28-09'!AE:AE,MATCH(B650,'MTA 28-09'!A:A,0))</f>
        <v>46168</v>
      </c>
      <c r="V650" s="29"/>
      <c r="W650" s="29"/>
      <c r="X650" s="29"/>
      <c r="Y650" s="29"/>
      <c r="Z650" s="29"/>
      <c r="AA650" s="29"/>
      <c r="AB650" s="29"/>
      <c r="AC650" s="29"/>
      <c r="AD650" s="29"/>
      <c r="AE650" s="29"/>
      <c r="AF650" s="29"/>
      <c r="AG650" s="29"/>
      <c r="AH650" s="29"/>
      <c r="AI650" s="29"/>
      <c r="AJ650" s="29"/>
      <c r="AK650" s="29"/>
      <c r="AL650" s="29"/>
      <c r="AM650" s="29"/>
    </row>
    <row r="651">
      <c r="A651" s="31" t="s">
        <v>39</v>
      </c>
      <c r="B651" s="32">
        <v>20440.0</v>
      </c>
      <c r="C651" s="33" t="str">
        <f t="array" ref="C651">INDEX('MTA 28-09'!B:B,MATCH(B651,'MTA 28-09'!A:A,0))</f>
        <v>NÃO</v>
      </c>
      <c r="D651" s="34" t="str">
        <f t="array" ref="D651">INDEX('MTA 28-09'!D:D,MATCH(B651,'MTA 28-09'!A:A,0))</f>
        <v/>
      </c>
      <c r="E651" s="32" t="str">
        <f t="array" ref="E651">INDEX('MTA 28-09'!F:F,MATCH(B651,'MTA 28-09'!A:A,0))</f>
        <v/>
      </c>
      <c r="F651" s="155" t="str">
        <f t="array" ref="F651">INDEX('MTA 28-09'!I:I,MATCH(B651,'MTA 28-09'!A:A,0))</f>
        <v/>
      </c>
      <c r="G651" s="36" t="str">
        <f t="array" ref="G651">INDEX('MTA 28-09'!J:J,MATCH(B651,'MTA 28-09'!A:A,0))</f>
        <v/>
      </c>
      <c r="H651" s="287" t="s">
        <v>157</v>
      </c>
      <c r="I651" s="295"/>
      <c r="J651" s="39"/>
      <c r="K651" s="40"/>
      <c r="L651" s="39" t="str">
        <f t="array" ref="L651">INDEX('MTA 28-09'!S:S,MATCH(B651,'MTA 28-09'!A:A,0))</f>
        <v>A-29</v>
      </c>
      <c r="M651" s="32" t="str">
        <f t="array" ref="M651">INDEX('MTA 28-09'!T:T,MATCH(B651,'MTA 28-09'!A:A,0))</f>
        <v>2025-BANT-25</v>
      </c>
      <c r="N651" s="32" t="str">
        <f t="array" ref="N651">INDEX('MTA 28-09'!U:U,MATCH(B651,'MTA 28-09'!A:A,0))</f>
        <v>PN 1730-0062 - MACACO JACARE</v>
      </c>
      <c r="O651" s="59">
        <f t="array" ref="O651">INDEX('MTA 28-09'!AC:AC,MATCH(B651,'MTA 28-09'!A:A,0))</f>
        <v>1100</v>
      </c>
      <c r="P651" s="32" t="str">
        <f t="array" ref="P651">INDEX('MTA 28-09'!N:N,MATCH(B651,'MTA 28-09'!A:A,0))</f>
        <v>CABE</v>
      </c>
      <c r="Q651" s="67" t="str">
        <f t="array" ref="Q651">INDEX('MTA 28-09'!Z:Z,MATCH(B651,'MTA 28-09'!A:A,0))</f>
        <v>449052</v>
      </c>
      <c r="R651" s="32" t="str">
        <f t="array" ref="R651">INDEX('MTA 28-09'!L:L,MATCH(B651,'MTA 28-09'!A:A,0))</f>
        <v>C</v>
      </c>
      <c r="S651" s="72" t="str">
        <f t="array" ref="S651">INDEX('MTA 28-09'!X:X,MATCH(B651,'MTA 28-09'!A:A,0))</f>
        <v>REQUISIÇÃO</v>
      </c>
      <c r="T651" s="72" t="str">
        <f t="array" ref="T651">INDEX('MTA 28-09'!W:W,MATCH(B651,'MTA 28-09'!A:A,0))</f>
        <v>Não</v>
      </c>
      <c r="U651" s="81">
        <f t="array" ref="U651">INDEX('MTA 28-09'!AE:AE,MATCH(B651,'MTA 28-09'!A:A,0))</f>
        <v>46168</v>
      </c>
      <c r="V651" s="12"/>
      <c r="W651" s="12"/>
      <c r="X651" s="12"/>
      <c r="Y651" s="12"/>
      <c r="Z651" s="12"/>
      <c r="AA651" s="12"/>
      <c r="AB651" s="12"/>
      <c r="AC651" s="12"/>
      <c r="AD651" s="12"/>
      <c r="AE651" s="12"/>
      <c r="AF651" s="12"/>
      <c r="AG651" s="12"/>
      <c r="AH651" s="12"/>
      <c r="AI651" s="12"/>
      <c r="AJ651" s="12"/>
      <c r="AK651" s="12"/>
      <c r="AL651" s="12"/>
      <c r="AM651" s="12"/>
    </row>
    <row r="652">
      <c r="A652" s="88" t="s">
        <v>39</v>
      </c>
      <c r="B652" s="98">
        <v>20460.0</v>
      </c>
      <c r="C652" s="92" t="str">
        <f t="array" ref="C652">INDEX('MTA 28-09'!B:B,MATCH(B652,'MTA 28-09'!A:A,0))</f>
        <v>NÃO</v>
      </c>
      <c r="D652" s="95" t="str">
        <f t="array" ref="D652">INDEX('MTA 28-09'!D:D,MATCH(B652,'MTA 28-09'!A:A,0))</f>
        <v/>
      </c>
      <c r="E652" s="98" t="str">
        <f t="array" ref="E652">INDEX('MTA 28-09'!F:F,MATCH(B652,'MTA 28-09'!A:A,0))</f>
        <v/>
      </c>
      <c r="F652" s="98" t="str">
        <f t="array" ref="F652">INDEX('MTA 28-09'!I:I,MATCH(B652,'MTA 28-09'!A:A,0))</f>
        <v/>
      </c>
      <c r="G652" s="100" t="str">
        <f t="array" ref="G652">INDEX('MTA 28-09'!J:J,MATCH(B652,'MTA 28-09'!A:A,0))</f>
        <v/>
      </c>
      <c r="H652" s="159" t="s">
        <v>157</v>
      </c>
      <c r="I652" s="296"/>
      <c r="J652" s="102"/>
      <c r="K652" s="103"/>
      <c r="L652" s="102" t="str">
        <f t="array" ref="L652">INDEX('MTA 28-09'!S:S,MATCH(B652,'MTA 28-09'!A:A,0))</f>
        <v>A-29</v>
      </c>
      <c r="M652" s="98" t="str">
        <f t="array" ref="M652">INDEX('MTA 28-09'!T:T,MATCH(B652,'MTA 28-09'!A:A,0))</f>
        <v>2025-BAPV-03</v>
      </c>
      <c r="N652" s="98" t="str">
        <f t="array" ref="N652">INDEX('MTA 28-09'!U:U,MATCH(B652,'MTA 28-09'!A:A,0))</f>
        <v>PN AGE-00506-401 - DISPOSITIVO PARA VERIFICAÇÃO DO NIVELAMENTO E ALINHAMENTO DO MOTOR</v>
      </c>
      <c r="O652" s="104">
        <f t="array" ref="O652">INDEX('MTA 28-09'!AC:AC,MATCH(B652,'MTA 28-09'!A:A,0))</f>
        <v>29841.25</v>
      </c>
      <c r="P652" s="98" t="str">
        <f t="array" ref="P652">INDEX('MTA 28-09'!N:N,MATCH(B652,'MTA 28-09'!A:A,0))</f>
        <v>FMS</v>
      </c>
      <c r="Q652" s="105" t="str">
        <f t="array" ref="Q652">INDEX('MTA 28-09'!Z:Z,MATCH(B652,'MTA 28-09'!A:A,0))</f>
        <v>449052</v>
      </c>
      <c r="R652" s="98" t="str">
        <f t="array" ref="R652">INDEX('MTA 28-09'!L:L,MATCH(B652,'MTA 28-09'!A:A,0))</f>
        <v>C</v>
      </c>
      <c r="S652" s="107" t="str">
        <f t="array" ref="S652">INDEX('MTA 28-09'!X:X,MATCH(B652,'MTA 28-09'!A:A,0))</f>
        <v>REQUISIÇÃO</v>
      </c>
      <c r="T652" s="107" t="str">
        <f t="array" ref="T652">INDEX('MTA 28-09'!W:W,MATCH(B652,'MTA 28-09'!A:A,0))</f>
        <v>Não</v>
      </c>
      <c r="U652" s="109">
        <f t="array" ref="U652">INDEX('MTA 28-09'!AE:AE,MATCH(B652,'MTA 28-09'!A:A,0))</f>
        <v>46168</v>
      </c>
      <c r="V652" s="29"/>
      <c r="W652" s="29"/>
      <c r="X652" s="29"/>
      <c r="Y652" s="29"/>
      <c r="Z652" s="29"/>
      <c r="AA652" s="29"/>
      <c r="AB652" s="29"/>
      <c r="AC652" s="29"/>
      <c r="AD652" s="29"/>
      <c r="AE652" s="29"/>
      <c r="AF652" s="29"/>
      <c r="AG652" s="29"/>
      <c r="AH652" s="29"/>
      <c r="AI652" s="29"/>
      <c r="AJ652" s="29"/>
      <c r="AK652" s="29"/>
      <c r="AL652" s="29"/>
      <c r="AM652" s="29"/>
    </row>
    <row r="653">
      <c r="A653" s="31" t="s">
        <v>39</v>
      </c>
      <c r="B653" s="32">
        <v>20480.0</v>
      </c>
      <c r="C653" s="33" t="str">
        <f t="array" ref="C653">INDEX('MTA 28-09'!B:B,MATCH(B653,'MTA 28-09'!A:A,0))</f>
        <v>NÃO</v>
      </c>
      <c r="D653" s="34" t="str">
        <f t="array" ref="D653">INDEX('MTA 28-09'!D:D,MATCH(B653,'MTA 28-09'!A:A,0))</f>
        <v/>
      </c>
      <c r="E653" s="32" t="str">
        <f t="array" ref="E653">INDEX('MTA 28-09'!F:F,MATCH(B653,'MTA 28-09'!A:A,0))</f>
        <v/>
      </c>
      <c r="F653" s="137" t="str">
        <f t="array" ref="F653">INDEX('MTA 28-09'!I:I,MATCH(B653,'MTA 28-09'!A:A,0))</f>
        <v/>
      </c>
      <c r="G653" s="36" t="str">
        <f t="array" ref="G653">INDEX('MTA 28-09'!J:J,MATCH(B653,'MTA 28-09'!A:A,0))</f>
        <v/>
      </c>
      <c r="H653" s="287" t="s">
        <v>157</v>
      </c>
      <c r="I653" s="295"/>
      <c r="J653" s="39"/>
      <c r="K653" s="40"/>
      <c r="L653" s="39" t="str">
        <f t="array" ref="L653">INDEX('MTA 28-09'!S:S,MATCH(B653,'MTA 28-09'!A:A,0))</f>
        <v>A-29</v>
      </c>
      <c r="M653" s="32" t="str">
        <f t="array" ref="M653">INDEX('MTA 28-09'!T:T,MATCH(B653,'MTA 28-09'!A:A,0))</f>
        <v>2025-BAPV-04</v>
      </c>
      <c r="N653" s="32" t="str">
        <f t="array" ref="N653">INDEX('MTA 28-09'!U:U,MATCH(B653,'MTA 28-09'!A:A,0))</f>
        <v>PN PWC71135 - CONJUNTO PARA DIAGNÓSTICO, PROGNÓSTICO E GERENCIAMENTO DO PT6A-68C</v>
      </c>
      <c r="O653" s="59">
        <f t="array" ref="O653">INDEX('MTA 28-09'!AC:AC,MATCH(B653,'MTA 28-09'!A:A,0))</f>
        <v>14544.52</v>
      </c>
      <c r="P653" s="32" t="str">
        <f t="array" ref="P653">INDEX('MTA 28-09'!N:N,MATCH(B653,'MTA 28-09'!A:A,0))</f>
        <v>CABW</v>
      </c>
      <c r="Q653" s="67" t="str">
        <f t="array" ref="Q653">INDEX('MTA 28-09'!Z:Z,MATCH(B653,'MTA 28-09'!A:A,0))</f>
        <v>449052</v>
      </c>
      <c r="R653" s="32" t="str">
        <f t="array" ref="R653">INDEX('MTA 28-09'!L:L,MATCH(B653,'MTA 28-09'!A:A,0))</f>
        <v>C</v>
      </c>
      <c r="S653" s="72" t="str">
        <f t="array" ref="S653">INDEX('MTA 28-09'!X:X,MATCH(B653,'MTA 28-09'!A:A,0))</f>
        <v>REQUISIÇÃO</v>
      </c>
      <c r="T653" s="72" t="str">
        <f t="array" ref="T653">INDEX('MTA 28-09'!W:W,MATCH(B653,'MTA 28-09'!A:A,0))</f>
        <v>Não</v>
      </c>
      <c r="U653" s="81">
        <f t="array" ref="U653">INDEX('MTA 28-09'!AE:AE,MATCH(B653,'MTA 28-09'!A:A,0))</f>
        <v>46168</v>
      </c>
      <c r="V653" s="12"/>
      <c r="W653" s="12"/>
      <c r="X653" s="12"/>
      <c r="Y653" s="12"/>
      <c r="Z653" s="12"/>
      <c r="AA653" s="12"/>
      <c r="AB653" s="12"/>
      <c r="AC653" s="12"/>
      <c r="AD653" s="12"/>
      <c r="AE653" s="12"/>
      <c r="AF653" s="12"/>
      <c r="AG653" s="12"/>
      <c r="AH653" s="12"/>
      <c r="AI653" s="12"/>
      <c r="AJ653" s="12"/>
      <c r="AK653" s="12"/>
      <c r="AL653" s="12"/>
      <c r="AM653" s="12"/>
    </row>
    <row r="654">
      <c r="A654" s="88" t="s">
        <v>39</v>
      </c>
      <c r="B654" s="98">
        <v>20500.0</v>
      </c>
      <c r="C654" s="92" t="str">
        <f t="array" ref="C654">INDEX('MTA 28-09'!B:B,MATCH(B654,'MTA 28-09'!A:A,0))</f>
        <v>NÃO</v>
      </c>
      <c r="D654" s="95" t="str">
        <f t="array" ref="D654">INDEX('MTA 28-09'!D:D,MATCH(B654,'MTA 28-09'!A:A,0))</f>
        <v/>
      </c>
      <c r="E654" s="98" t="str">
        <f t="array" ref="E654">INDEX('MTA 28-09'!F:F,MATCH(B654,'MTA 28-09'!A:A,0))</f>
        <v/>
      </c>
      <c r="F654" s="144" t="str">
        <f t="array" ref="F654">INDEX('MTA 28-09'!I:I,MATCH(B654,'MTA 28-09'!A:A,0))</f>
        <v/>
      </c>
      <c r="G654" s="100" t="str">
        <f t="array" ref="G654">INDEX('MTA 28-09'!J:J,MATCH(B654,'MTA 28-09'!A:A,0))</f>
        <v/>
      </c>
      <c r="H654" s="159" t="s">
        <v>157</v>
      </c>
      <c r="I654" s="296"/>
      <c r="J654" s="102"/>
      <c r="K654" s="103"/>
      <c r="L654" s="102" t="str">
        <f t="array" ref="L654">INDEX('MTA 28-09'!S:S,MATCH(B654,'MTA 28-09'!A:A,0))</f>
        <v>A-29</v>
      </c>
      <c r="M654" s="98" t="str">
        <f t="array" ref="M654">INDEX('MTA 28-09'!T:T,MATCH(B654,'MTA 28-09'!A:A,0))</f>
        <v>2025-BAPV-05</v>
      </c>
      <c r="N654" s="98" t="str">
        <f t="array" ref="N654">INDEX('MTA 28-09'!U:U,MATCH(B654,'MTA 28-09'!A:A,0))</f>
        <v>PN AGE-02540-401 - CARRO PARA TRANSPORTE E E MANUTENÇÃO DO MOTOR</v>
      </c>
      <c r="O654" s="104">
        <f t="array" ref="O654">INDEX('MTA 28-09'!AC:AC,MATCH(B654,'MTA 28-09'!A:A,0))</f>
        <v>127233.1</v>
      </c>
      <c r="P654" s="98" t="str">
        <f t="array" ref="P654">INDEX('MTA 28-09'!N:N,MATCH(B654,'MTA 28-09'!A:A,0))</f>
        <v>FMS</v>
      </c>
      <c r="Q654" s="105" t="str">
        <f t="array" ref="Q654">INDEX('MTA 28-09'!Z:Z,MATCH(B654,'MTA 28-09'!A:A,0))</f>
        <v>449052</v>
      </c>
      <c r="R654" s="98" t="str">
        <f t="array" ref="R654">INDEX('MTA 28-09'!L:L,MATCH(B654,'MTA 28-09'!A:A,0))</f>
        <v>C</v>
      </c>
      <c r="S654" s="107" t="str">
        <f t="array" ref="S654">INDEX('MTA 28-09'!X:X,MATCH(B654,'MTA 28-09'!A:A,0))</f>
        <v>REQUISIÇÃO</v>
      </c>
      <c r="T654" s="107" t="str">
        <f t="array" ref="T654">INDEX('MTA 28-09'!W:W,MATCH(B654,'MTA 28-09'!A:A,0))</f>
        <v>Não</v>
      </c>
      <c r="U654" s="109">
        <f t="array" ref="U654">INDEX('MTA 28-09'!AE:AE,MATCH(B654,'MTA 28-09'!A:A,0))</f>
        <v>46168</v>
      </c>
      <c r="V654" s="29"/>
      <c r="W654" s="29"/>
      <c r="X654" s="29"/>
      <c r="Y654" s="29"/>
      <c r="Z654" s="29"/>
      <c r="AA654" s="29"/>
      <c r="AB654" s="29"/>
      <c r="AC654" s="29"/>
      <c r="AD654" s="29"/>
      <c r="AE654" s="29"/>
      <c r="AF654" s="29"/>
      <c r="AG654" s="29"/>
      <c r="AH654" s="29"/>
      <c r="AI654" s="29"/>
      <c r="AJ654" s="29"/>
      <c r="AK654" s="29"/>
      <c r="AL654" s="29"/>
      <c r="AM654" s="29"/>
    </row>
    <row r="655">
      <c r="A655" s="31" t="s">
        <v>39</v>
      </c>
      <c r="B655" s="32">
        <v>20520.0</v>
      </c>
      <c r="C655" s="33" t="str">
        <f t="array" ref="C655">INDEX('MTA 28-09'!B:B,MATCH(B655,'MTA 28-09'!A:A,0))</f>
        <v>NÃO</v>
      </c>
      <c r="D655" s="34" t="str">
        <f t="array" ref="D655">INDEX('MTA 28-09'!D:D,MATCH(B655,'MTA 28-09'!A:A,0))</f>
        <v/>
      </c>
      <c r="E655" s="32" t="str">
        <f t="array" ref="E655">INDEX('MTA 28-09'!F:F,MATCH(B655,'MTA 28-09'!A:A,0))</f>
        <v/>
      </c>
      <c r="F655" s="155" t="str">
        <f t="array" ref="F655">INDEX('MTA 28-09'!I:I,MATCH(B655,'MTA 28-09'!A:A,0))</f>
        <v/>
      </c>
      <c r="G655" s="36" t="str">
        <f t="array" ref="G655">INDEX('MTA 28-09'!J:J,MATCH(B655,'MTA 28-09'!A:A,0))</f>
        <v/>
      </c>
      <c r="H655" s="287" t="s">
        <v>157</v>
      </c>
      <c r="I655" s="295"/>
      <c r="J655" s="39"/>
      <c r="K655" s="40"/>
      <c r="L655" s="39" t="str">
        <f t="array" ref="L655">INDEX('MTA 28-09'!S:S,MATCH(B655,'MTA 28-09'!A:A,0))</f>
        <v>A-29</v>
      </c>
      <c r="M655" s="32" t="str">
        <f t="array" ref="M655">INDEX('MTA 28-09'!T:T,MATCH(B655,'MTA 28-09'!A:A,0))</f>
        <v>2025-BAPV-06</v>
      </c>
      <c r="N655" s="32" t="str">
        <f t="array" ref="N655">INDEX('MTA 28-09'!U:U,MATCH(B655,'MTA 28-09'!A:A,0))</f>
        <v>PN AGE-02700-401 - DISPOS. VERIF. NÍVEL COMB. COLETOR TQ FUS</v>
      </c>
      <c r="O655" s="59">
        <f t="array" ref="O655">INDEX('MTA 28-09'!AC:AC,MATCH(B655,'MTA 28-09'!A:A,0))</f>
        <v>7920</v>
      </c>
      <c r="P655" s="32" t="str">
        <f t="array" ref="P655">INDEX('MTA 28-09'!N:N,MATCH(B655,'MTA 28-09'!A:A,0))</f>
        <v>FMS</v>
      </c>
      <c r="Q655" s="67" t="str">
        <f t="array" ref="Q655">INDEX('MTA 28-09'!Z:Z,MATCH(B655,'MTA 28-09'!A:A,0))</f>
        <v>449052</v>
      </c>
      <c r="R655" s="32" t="str">
        <f t="array" ref="R655">INDEX('MTA 28-09'!L:L,MATCH(B655,'MTA 28-09'!A:A,0))</f>
        <v>C</v>
      </c>
      <c r="S655" s="72" t="str">
        <f t="array" ref="S655">INDEX('MTA 28-09'!X:X,MATCH(B655,'MTA 28-09'!A:A,0))</f>
        <v>REQUISIÇÃO</v>
      </c>
      <c r="T655" s="72" t="str">
        <f t="array" ref="T655">INDEX('MTA 28-09'!W:W,MATCH(B655,'MTA 28-09'!A:A,0))</f>
        <v>Não</v>
      </c>
      <c r="U655" s="81">
        <f t="array" ref="U655">INDEX('MTA 28-09'!AE:AE,MATCH(B655,'MTA 28-09'!A:A,0))</f>
        <v>46168</v>
      </c>
      <c r="V655" s="12"/>
      <c r="W655" s="12"/>
      <c r="X655" s="12"/>
      <c r="Y655" s="12"/>
      <c r="Z655" s="12"/>
      <c r="AA655" s="12"/>
      <c r="AB655" s="12"/>
      <c r="AC655" s="12"/>
      <c r="AD655" s="12"/>
      <c r="AE655" s="12"/>
      <c r="AF655" s="12"/>
      <c r="AG655" s="12"/>
      <c r="AH655" s="12"/>
      <c r="AI655" s="12"/>
      <c r="AJ655" s="12"/>
      <c r="AK655" s="12"/>
      <c r="AL655" s="12"/>
      <c r="AM655" s="12"/>
    </row>
    <row r="656">
      <c r="A656" s="88" t="s">
        <v>39</v>
      </c>
      <c r="B656" s="98">
        <v>20540.0</v>
      </c>
      <c r="C656" s="92" t="str">
        <f t="array" ref="C656">INDEX('MTA 28-09'!B:B,MATCH(B656,'MTA 28-09'!A:A,0))</f>
        <v>NÃO</v>
      </c>
      <c r="D656" s="95" t="str">
        <f t="array" ref="D656">INDEX('MTA 28-09'!D:D,MATCH(B656,'MTA 28-09'!A:A,0))</f>
        <v/>
      </c>
      <c r="E656" s="98" t="str">
        <f t="array" ref="E656">INDEX('MTA 28-09'!F:F,MATCH(B656,'MTA 28-09'!A:A,0))</f>
        <v/>
      </c>
      <c r="F656" s="144" t="str">
        <f t="array" ref="F656">INDEX('MTA 28-09'!I:I,MATCH(B656,'MTA 28-09'!A:A,0))</f>
        <v/>
      </c>
      <c r="G656" s="100" t="str">
        <f t="array" ref="G656">INDEX('MTA 28-09'!J:J,MATCH(B656,'MTA 28-09'!A:A,0))</f>
        <v/>
      </c>
      <c r="H656" s="159" t="s">
        <v>157</v>
      </c>
      <c r="I656" s="296"/>
      <c r="J656" s="102"/>
      <c r="K656" s="103"/>
      <c r="L656" s="102" t="str">
        <f t="array" ref="L656">INDEX('MTA 28-09'!S:S,MATCH(B656,'MTA 28-09'!A:A,0))</f>
        <v>A-29</v>
      </c>
      <c r="M656" s="98" t="str">
        <f t="array" ref="M656">INDEX('MTA 28-09'!T:T,MATCH(B656,'MTA 28-09'!A:A,0))</f>
        <v>2025-BAPV-07</v>
      </c>
      <c r="N656" s="98" t="str">
        <f t="array" ref="N656">INDEX('MTA 28-09'!U:U,MATCH(B656,'MTA 28-09'!A:A,0))</f>
        <v>PN EMB-00444-001 - CARRO TRANSPORTE TANQUE SUBALAR</v>
      </c>
      <c r="O656" s="104">
        <f t="array" ref="O656">INDEX('MTA 28-09'!AC:AC,MATCH(B656,'MTA 28-09'!A:A,0))</f>
        <v>21184.83</v>
      </c>
      <c r="P656" s="98" t="str">
        <f t="array" ref="P656">INDEX('MTA 28-09'!N:N,MATCH(B656,'MTA 28-09'!A:A,0))</f>
        <v>FMS</v>
      </c>
      <c r="Q656" s="105" t="str">
        <f t="array" ref="Q656">INDEX('MTA 28-09'!Z:Z,MATCH(B656,'MTA 28-09'!A:A,0))</f>
        <v>449052</v>
      </c>
      <c r="R656" s="98" t="str">
        <f t="array" ref="R656">INDEX('MTA 28-09'!L:L,MATCH(B656,'MTA 28-09'!A:A,0))</f>
        <v>C</v>
      </c>
      <c r="S656" s="107" t="str">
        <f t="array" ref="S656">INDEX('MTA 28-09'!X:X,MATCH(B656,'MTA 28-09'!A:A,0))</f>
        <v>REQUISIÇÃO</v>
      </c>
      <c r="T656" s="107" t="str">
        <f t="array" ref="T656">INDEX('MTA 28-09'!W:W,MATCH(B656,'MTA 28-09'!A:A,0))</f>
        <v>Não</v>
      </c>
      <c r="U656" s="109">
        <f t="array" ref="U656">INDEX('MTA 28-09'!AE:AE,MATCH(B656,'MTA 28-09'!A:A,0))</f>
        <v>46168</v>
      </c>
      <c r="V656" s="29"/>
      <c r="W656" s="29"/>
      <c r="X656" s="29"/>
      <c r="Y656" s="29"/>
      <c r="Z656" s="29"/>
      <c r="AA656" s="29"/>
      <c r="AB656" s="29"/>
      <c r="AC656" s="29"/>
      <c r="AD656" s="29"/>
      <c r="AE656" s="29"/>
      <c r="AF656" s="29"/>
      <c r="AG656" s="29"/>
      <c r="AH656" s="29"/>
      <c r="AI656" s="29"/>
      <c r="AJ656" s="29"/>
      <c r="AK656" s="29"/>
      <c r="AL656" s="29"/>
      <c r="AM656" s="29"/>
    </row>
    <row r="657">
      <c r="A657" s="31" t="s">
        <v>39</v>
      </c>
      <c r="B657" s="32">
        <v>20560.0</v>
      </c>
      <c r="C657" s="33" t="str">
        <f t="array" ref="C657">INDEX('MTA 28-09'!B:B,MATCH(B657,'MTA 28-09'!A:A,0))</f>
        <v>NÃO</v>
      </c>
      <c r="D657" s="34" t="str">
        <f t="array" ref="D657">INDEX('MTA 28-09'!D:D,MATCH(B657,'MTA 28-09'!A:A,0))</f>
        <v/>
      </c>
      <c r="E657" s="32" t="str">
        <f t="array" ref="E657">INDEX('MTA 28-09'!F:F,MATCH(B657,'MTA 28-09'!A:A,0))</f>
        <v/>
      </c>
      <c r="F657" s="155" t="str">
        <f t="array" ref="F657">INDEX('MTA 28-09'!I:I,MATCH(B657,'MTA 28-09'!A:A,0))</f>
        <v/>
      </c>
      <c r="G657" s="36" t="str">
        <f t="array" ref="G657">INDEX('MTA 28-09'!J:J,MATCH(B657,'MTA 28-09'!A:A,0))</f>
        <v/>
      </c>
      <c r="H657" s="287" t="s">
        <v>157</v>
      </c>
      <c r="I657" s="295"/>
      <c r="J657" s="39"/>
      <c r="K657" s="40"/>
      <c r="L657" s="39" t="str">
        <f t="array" ref="L657">INDEX('MTA 28-09'!S:S,MATCH(B657,'MTA 28-09'!A:A,0))</f>
        <v>A-29</v>
      </c>
      <c r="M657" s="32" t="str">
        <f t="array" ref="M657">INDEX('MTA 28-09'!T:T,MATCH(B657,'MTA 28-09'!A:A,0))</f>
        <v>2025-BAPV-08</v>
      </c>
      <c r="N657" s="32" t="str">
        <f t="array" ref="N657">INDEX('MTA 28-09'!U:U,MATCH(B657,'MTA 28-09'!A:A,0))</f>
        <v>PN AGE 02055-401 - CARRO PARA ARMAZENAMENTO DO PÁRA-BRISA</v>
      </c>
      <c r="O657" s="59">
        <f t="array" ref="O657">INDEX('MTA 28-09'!AC:AC,MATCH(B657,'MTA 28-09'!A:A,0))</f>
        <v>45695.26</v>
      </c>
      <c r="P657" s="32" t="str">
        <f t="array" ref="P657">INDEX('MTA 28-09'!N:N,MATCH(B657,'MTA 28-09'!A:A,0))</f>
        <v>FMS</v>
      </c>
      <c r="Q657" s="67" t="str">
        <f t="array" ref="Q657">INDEX('MTA 28-09'!Z:Z,MATCH(B657,'MTA 28-09'!A:A,0))</f>
        <v>449052</v>
      </c>
      <c r="R657" s="32" t="str">
        <f t="array" ref="R657">INDEX('MTA 28-09'!L:L,MATCH(B657,'MTA 28-09'!A:A,0))</f>
        <v>C</v>
      </c>
      <c r="S657" s="72" t="str">
        <f t="array" ref="S657">INDEX('MTA 28-09'!X:X,MATCH(B657,'MTA 28-09'!A:A,0))</f>
        <v>REQUISIÇÃO</v>
      </c>
      <c r="T657" s="72" t="str">
        <f t="array" ref="T657">INDEX('MTA 28-09'!W:W,MATCH(B657,'MTA 28-09'!A:A,0))</f>
        <v>Não</v>
      </c>
      <c r="U657" s="81">
        <f t="array" ref="U657">INDEX('MTA 28-09'!AE:AE,MATCH(B657,'MTA 28-09'!A:A,0))</f>
        <v>46168</v>
      </c>
      <c r="V657" s="12"/>
      <c r="W657" s="12"/>
      <c r="X657" s="12"/>
      <c r="Y657" s="12"/>
      <c r="Z657" s="12"/>
      <c r="AA657" s="12"/>
      <c r="AB657" s="12"/>
      <c r="AC657" s="12"/>
      <c r="AD657" s="12"/>
      <c r="AE657" s="12"/>
      <c r="AF657" s="12"/>
      <c r="AG657" s="12"/>
      <c r="AH657" s="12"/>
      <c r="AI657" s="12"/>
      <c r="AJ657" s="12"/>
      <c r="AK657" s="12"/>
      <c r="AL657" s="12"/>
      <c r="AM657" s="12"/>
    </row>
    <row r="658">
      <c r="A658" s="88" t="s">
        <v>39</v>
      </c>
      <c r="B658" s="98">
        <v>20580.0</v>
      </c>
      <c r="C658" s="92" t="str">
        <f t="array" ref="C658">INDEX('MTA 28-09'!B:B,MATCH(B658,'MTA 28-09'!A:A,0))</f>
        <v>NÃO</v>
      </c>
      <c r="D658" s="95" t="str">
        <f t="array" ref="D658">INDEX('MTA 28-09'!D:D,MATCH(B658,'MTA 28-09'!A:A,0))</f>
        <v/>
      </c>
      <c r="E658" s="98" t="str">
        <f t="array" ref="E658">INDEX('MTA 28-09'!F:F,MATCH(B658,'MTA 28-09'!A:A,0))</f>
        <v/>
      </c>
      <c r="F658" s="152" t="str">
        <f t="array" ref="F658">INDEX('MTA 28-09'!I:I,MATCH(B658,'MTA 28-09'!A:A,0))</f>
        <v/>
      </c>
      <c r="G658" s="100" t="str">
        <f t="array" ref="G658">INDEX('MTA 28-09'!J:J,MATCH(B658,'MTA 28-09'!A:A,0))</f>
        <v/>
      </c>
      <c r="H658" s="159" t="s">
        <v>157</v>
      </c>
      <c r="I658" s="296"/>
      <c r="J658" s="102"/>
      <c r="K658" s="103"/>
      <c r="L658" s="102" t="str">
        <f t="array" ref="L658">INDEX('MTA 28-09'!S:S,MATCH(B658,'MTA 28-09'!A:A,0))</f>
        <v>A-29</v>
      </c>
      <c r="M658" s="98" t="str">
        <f t="array" ref="M658">INDEX('MTA 28-09'!T:T,MATCH(B658,'MTA 28-09'!A:A,0))</f>
        <v>2025-BAPV-09</v>
      </c>
      <c r="N658" s="98" t="str">
        <f t="array" ref="N658">INDEX('MTA 28-09'!U:U,MATCH(B658,'MTA 28-09'!A:A,0))</f>
        <v>PN AGE-01830-401 - DISPOSITIVO APOIO CAUDA</v>
      </c>
      <c r="O658" s="104">
        <f t="array" ref="O658">INDEX('MTA 28-09'!AC:AC,MATCH(B658,'MTA 28-09'!A:A,0))</f>
        <v>281540.88</v>
      </c>
      <c r="P658" s="98" t="str">
        <f t="array" ref="P658">INDEX('MTA 28-09'!N:N,MATCH(B658,'MTA 28-09'!A:A,0))</f>
        <v>FMS</v>
      </c>
      <c r="Q658" s="105" t="str">
        <f t="array" ref="Q658">INDEX('MTA 28-09'!Z:Z,MATCH(B658,'MTA 28-09'!A:A,0))</f>
        <v>449052</v>
      </c>
      <c r="R658" s="98" t="str">
        <f t="array" ref="R658">INDEX('MTA 28-09'!L:L,MATCH(B658,'MTA 28-09'!A:A,0))</f>
        <v>C</v>
      </c>
      <c r="S658" s="107" t="str">
        <f t="array" ref="S658">INDEX('MTA 28-09'!X:X,MATCH(B658,'MTA 28-09'!A:A,0))</f>
        <v>REQUISIÇÃO</v>
      </c>
      <c r="T658" s="107" t="str">
        <f t="array" ref="T658">INDEX('MTA 28-09'!W:W,MATCH(B658,'MTA 28-09'!A:A,0))</f>
        <v>Não</v>
      </c>
      <c r="U658" s="109">
        <f t="array" ref="U658">INDEX('MTA 28-09'!AE:AE,MATCH(B658,'MTA 28-09'!A:A,0))</f>
        <v>46168</v>
      </c>
      <c r="V658" s="29"/>
      <c r="W658" s="29"/>
      <c r="X658" s="29"/>
      <c r="Y658" s="29"/>
      <c r="Z658" s="29"/>
      <c r="AA658" s="29"/>
      <c r="AB658" s="29"/>
      <c r="AC658" s="29"/>
      <c r="AD658" s="29"/>
      <c r="AE658" s="29"/>
      <c r="AF658" s="29"/>
      <c r="AG658" s="29"/>
      <c r="AH658" s="29"/>
      <c r="AI658" s="29"/>
      <c r="AJ658" s="29"/>
      <c r="AK658" s="29"/>
      <c r="AL658" s="29"/>
      <c r="AM658" s="29"/>
    </row>
    <row r="659">
      <c r="A659" s="31" t="s">
        <v>39</v>
      </c>
      <c r="B659" s="32">
        <v>20600.0</v>
      </c>
      <c r="C659" s="33" t="str">
        <f t="array" ref="C659">INDEX('MTA 28-09'!B:B,MATCH(B659,'MTA 28-09'!A:A,0))</f>
        <v>NÃO</v>
      </c>
      <c r="D659" s="34" t="str">
        <f t="array" ref="D659">INDEX('MTA 28-09'!D:D,MATCH(B659,'MTA 28-09'!A:A,0))</f>
        <v/>
      </c>
      <c r="E659" s="32" t="str">
        <f t="array" ref="E659">INDEX('MTA 28-09'!F:F,MATCH(B659,'MTA 28-09'!A:A,0))</f>
        <v/>
      </c>
      <c r="F659" s="155" t="str">
        <f t="array" ref="F659">INDEX('MTA 28-09'!I:I,MATCH(B659,'MTA 28-09'!A:A,0))</f>
        <v/>
      </c>
      <c r="G659" s="36" t="str">
        <f t="array" ref="G659">INDEX('MTA 28-09'!J:J,MATCH(B659,'MTA 28-09'!A:A,0))</f>
        <v/>
      </c>
      <c r="H659" s="287" t="s">
        <v>157</v>
      </c>
      <c r="I659" s="295"/>
      <c r="J659" s="39"/>
      <c r="K659" s="40"/>
      <c r="L659" s="39" t="str">
        <f t="array" ref="L659">INDEX('MTA 28-09'!S:S,MATCH(B659,'MTA 28-09'!A:A,0))</f>
        <v>A-29</v>
      </c>
      <c r="M659" s="32" t="str">
        <f t="array" ref="M659">INDEX('MTA 28-09'!T:T,MATCH(B659,'MTA 28-09'!A:A,0))</f>
        <v>2025-BAPV-10</v>
      </c>
      <c r="N659" s="32" t="str">
        <f t="array" ref="N659">INDEX('MTA 28-09'!U:U,MATCH(B659,'MTA 28-09'!A:A,0))</f>
        <v>PN 14-6807-6011 - GAGE,TIRE PRESSURE,SELF-CONTAINED, 300 PSI MAXIMUM OPERATING PRESSURE; USED ON AN AIRCRAFT</v>
      </c>
      <c r="O659" s="59">
        <f t="array" ref="O659">INDEX('MTA 28-09'!AC:AC,MATCH(B659,'MTA 28-09'!A:A,0))</f>
        <v>3281.48</v>
      </c>
      <c r="P659" s="32" t="str">
        <f t="array" ref="P659">INDEX('MTA 28-09'!N:N,MATCH(B659,'MTA 28-09'!A:A,0))</f>
        <v>CABW</v>
      </c>
      <c r="Q659" s="67" t="str">
        <f t="array" ref="Q659">INDEX('MTA 28-09'!Z:Z,MATCH(B659,'MTA 28-09'!A:A,0))</f>
        <v>449052</v>
      </c>
      <c r="R659" s="32" t="str">
        <f t="array" ref="R659">INDEX('MTA 28-09'!L:L,MATCH(B659,'MTA 28-09'!A:A,0))</f>
        <v>C</v>
      </c>
      <c r="S659" s="72" t="str">
        <f t="array" ref="S659">INDEX('MTA 28-09'!X:X,MATCH(B659,'MTA 28-09'!A:A,0))</f>
        <v>REQUISIÇÃO</v>
      </c>
      <c r="T659" s="72" t="str">
        <f t="array" ref="T659">INDEX('MTA 28-09'!W:W,MATCH(B659,'MTA 28-09'!A:A,0))</f>
        <v>Não</v>
      </c>
      <c r="U659" s="81">
        <f t="array" ref="U659">INDEX('MTA 28-09'!AE:AE,MATCH(B659,'MTA 28-09'!A:A,0))</f>
        <v>46168</v>
      </c>
      <c r="V659" s="12"/>
      <c r="W659" s="12"/>
      <c r="X659" s="12"/>
      <c r="Y659" s="12"/>
      <c r="Z659" s="12"/>
      <c r="AA659" s="12"/>
      <c r="AB659" s="12"/>
      <c r="AC659" s="12"/>
      <c r="AD659" s="12"/>
      <c r="AE659" s="12"/>
      <c r="AF659" s="12"/>
      <c r="AG659" s="12"/>
      <c r="AH659" s="12"/>
      <c r="AI659" s="12"/>
      <c r="AJ659" s="12"/>
      <c r="AK659" s="12"/>
      <c r="AL659" s="12"/>
      <c r="AM659" s="12"/>
    </row>
    <row r="660">
      <c r="A660" s="88" t="s">
        <v>39</v>
      </c>
      <c r="B660" s="98">
        <v>20620.0</v>
      </c>
      <c r="C660" s="92" t="str">
        <f t="array" ref="C660">INDEX('MTA 28-09'!B:B,MATCH(B660,'MTA 28-09'!A:A,0))</f>
        <v>NÃO</v>
      </c>
      <c r="D660" s="95" t="str">
        <f t="array" ref="D660">INDEX('MTA 28-09'!D:D,MATCH(B660,'MTA 28-09'!A:A,0))</f>
        <v/>
      </c>
      <c r="E660" s="98" t="str">
        <f t="array" ref="E660">INDEX('MTA 28-09'!F:F,MATCH(B660,'MTA 28-09'!A:A,0))</f>
        <v/>
      </c>
      <c r="F660" s="152" t="str">
        <f t="array" ref="F660">INDEX('MTA 28-09'!I:I,MATCH(B660,'MTA 28-09'!A:A,0))</f>
        <v/>
      </c>
      <c r="G660" s="100" t="str">
        <f t="array" ref="G660">INDEX('MTA 28-09'!J:J,MATCH(B660,'MTA 28-09'!A:A,0))</f>
        <v/>
      </c>
      <c r="H660" s="159" t="s">
        <v>157</v>
      </c>
      <c r="I660" s="296"/>
      <c r="J660" s="102"/>
      <c r="K660" s="103"/>
      <c r="L660" s="102" t="str">
        <f t="array" ref="L660">INDEX('MTA 28-09'!S:S,MATCH(B660,'MTA 28-09'!A:A,0))</f>
        <v>A-29</v>
      </c>
      <c r="M660" s="98" t="str">
        <f t="array" ref="M660">INDEX('MTA 28-09'!T:T,MATCH(B660,'MTA 28-09'!A:A,0))</f>
        <v>2025-BAPV-11</v>
      </c>
      <c r="N660" s="98" t="str">
        <f t="array" ref="N660">INDEX('MTA 28-09'!U:U,MATCH(B660,'MTA 28-09'!A:A,0))</f>
        <v>PN AGE-02374-401 - CAIXA DE TESTE SENSOR ATUADOR COMPENSADOR</v>
      </c>
      <c r="O660" s="104">
        <f t="array" ref="O660">INDEX('MTA 28-09'!AC:AC,MATCH(B660,'MTA 28-09'!A:A,0))</f>
        <v>17226.02</v>
      </c>
      <c r="P660" s="98" t="str">
        <f t="array" ref="P660">INDEX('MTA 28-09'!N:N,MATCH(B660,'MTA 28-09'!A:A,0))</f>
        <v>FMS</v>
      </c>
      <c r="Q660" s="105" t="str">
        <f t="array" ref="Q660">INDEX('MTA 28-09'!Z:Z,MATCH(B660,'MTA 28-09'!A:A,0))</f>
        <v>449052</v>
      </c>
      <c r="R660" s="98" t="str">
        <f t="array" ref="R660">INDEX('MTA 28-09'!L:L,MATCH(B660,'MTA 28-09'!A:A,0))</f>
        <v>C</v>
      </c>
      <c r="S660" s="107" t="str">
        <f t="array" ref="S660">INDEX('MTA 28-09'!X:X,MATCH(B660,'MTA 28-09'!A:A,0))</f>
        <v>REQUISIÇÃO</v>
      </c>
      <c r="T660" s="107" t="str">
        <f t="array" ref="T660">INDEX('MTA 28-09'!W:W,MATCH(B660,'MTA 28-09'!A:A,0))</f>
        <v>Não</v>
      </c>
      <c r="U660" s="109">
        <f t="array" ref="U660">INDEX('MTA 28-09'!AE:AE,MATCH(B660,'MTA 28-09'!A:A,0))</f>
        <v>46168</v>
      </c>
      <c r="V660" s="29"/>
      <c r="W660" s="29"/>
      <c r="X660" s="29"/>
      <c r="Y660" s="29"/>
      <c r="Z660" s="29"/>
      <c r="AA660" s="29"/>
      <c r="AB660" s="29"/>
      <c r="AC660" s="29"/>
      <c r="AD660" s="29"/>
      <c r="AE660" s="29"/>
      <c r="AF660" s="29"/>
      <c r="AG660" s="29"/>
      <c r="AH660" s="29"/>
      <c r="AI660" s="29"/>
      <c r="AJ660" s="29"/>
      <c r="AK660" s="29"/>
      <c r="AL660" s="29"/>
      <c r="AM660" s="29"/>
    </row>
    <row r="661">
      <c r="A661" s="31" t="s">
        <v>39</v>
      </c>
      <c r="B661" s="32">
        <v>20640.0</v>
      </c>
      <c r="C661" s="33" t="str">
        <f t="array" ref="C661">INDEX('MTA 28-09'!B:B,MATCH(B661,'MTA 28-09'!A:A,0))</f>
        <v>NÃO</v>
      </c>
      <c r="D661" s="34" t="str">
        <f t="array" ref="D661">INDEX('MTA 28-09'!D:D,MATCH(B661,'MTA 28-09'!A:A,0))</f>
        <v/>
      </c>
      <c r="E661" s="32" t="str">
        <f t="array" ref="E661">INDEX('MTA 28-09'!F:F,MATCH(B661,'MTA 28-09'!A:A,0))</f>
        <v/>
      </c>
      <c r="F661" s="155" t="str">
        <f t="array" ref="F661">INDEX('MTA 28-09'!I:I,MATCH(B661,'MTA 28-09'!A:A,0))</f>
        <v/>
      </c>
      <c r="G661" s="36" t="str">
        <f t="array" ref="G661">INDEX('MTA 28-09'!J:J,MATCH(B661,'MTA 28-09'!A:A,0))</f>
        <v/>
      </c>
      <c r="H661" s="287" t="s">
        <v>157</v>
      </c>
      <c r="I661" s="295"/>
      <c r="J661" s="39"/>
      <c r="K661" s="40"/>
      <c r="L661" s="39" t="str">
        <f t="array" ref="L661">INDEX('MTA 28-09'!S:S,MATCH(B661,'MTA 28-09'!A:A,0))</f>
        <v>A-29</v>
      </c>
      <c r="M661" s="32" t="str">
        <f t="array" ref="M661">INDEX('MTA 28-09'!T:T,MATCH(B661,'MTA 28-09'!A:A,0))</f>
        <v>2025-BAPV-12</v>
      </c>
      <c r="N661" s="32" t="str">
        <f t="array" ref="N661">INDEX('MTA 28-09'!U:U,MATCH(B661,'MTA 28-09'!A:A,0))</f>
        <v>PN AGE-02559-401 - CONJUNTO TESTE ANEMOMÉTRICO DA TOMADA ESTÁTICA</v>
      </c>
      <c r="O661" s="59">
        <f t="array" ref="O661">INDEX('MTA 28-09'!AC:AC,MATCH(B661,'MTA 28-09'!A:A,0))</f>
        <v>5614.08</v>
      </c>
      <c r="P661" s="32" t="str">
        <f t="array" ref="P661">INDEX('MTA 28-09'!N:N,MATCH(B661,'MTA 28-09'!A:A,0))</f>
        <v>FMS</v>
      </c>
      <c r="Q661" s="67" t="str">
        <f t="array" ref="Q661">INDEX('MTA 28-09'!Z:Z,MATCH(B661,'MTA 28-09'!A:A,0))</f>
        <v>449052</v>
      </c>
      <c r="R661" s="32" t="str">
        <f t="array" ref="R661">INDEX('MTA 28-09'!L:L,MATCH(B661,'MTA 28-09'!A:A,0))</f>
        <v>C</v>
      </c>
      <c r="S661" s="72" t="str">
        <f t="array" ref="S661">INDEX('MTA 28-09'!X:X,MATCH(B661,'MTA 28-09'!A:A,0))</f>
        <v>REQUISIÇÃO</v>
      </c>
      <c r="T661" s="72" t="str">
        <f t="array" ref="T661">INDEX('MTA 28-09'!W:W,MATCH(B661,'MTA 28-09'!A:A,0))</f>
        <v>Não</v>
      </c>
      <c r="U661" s="81">
        <f t="array" ref="U661">INDEX('MTA 28-09'!AE:AE,MATCH(B661,'MTA 28-09'!A:A,0))</f>
        <v>46168</v>
      </c>
      <c r="V661" s="12"/>
      <c r="W661" s="12"/>
      <c r="X661" s="12"/>
      <c r="Y661" s="12"/>
      <c r="Z661" s="12"/>
      <c r="AA661" s="12"/>
      <c r="AB661" s="12"/>
      <c r="AC661" s="12"/>
      <c r="AD661" s="12"/>
      <c r="AE661" s="12"/>
      <c r="AF661" s="12"/>
      <c r="AG661" s="12"/>
      <c r="AH661" s="12"/>
      <c r="AI661" s="12"/>
      <c r="AJ661" s="12"/>
      <c r="AK661" s="12"/>
      <c r="AL661" s="12"/>
      <c r="AM661" s="12"/>
    </row>
    <row r="662">
      <c r="A662" s="88" t="s">
        <v>39</v>
      </c>
      <c r="B662" s="98">
        <v>20660.0</v>
      </c>
      <c r="C662" s="92" t="str">
        <f t="array" ref="C662">INDEX('MTA 28-09'!B:B,MATCH(B662,'MTA 28-09'!A:A,0))</f>
        <v>NÃO</v>
      </c>
      <c r="D662" s="95" t="str">
        <f t="array" ref="D662">INDEX('MTA 28-09'!D:D,MATCH(B662,'MTA 28-09'!A:A,0))</f>
        <v/>
      </c>
      <c r="E662" s="98" t="str">
        <f t="array" ref="E662">INDEX('MTA 28-09'!F:F,MATCH(B662,'MTA 28-09'!A:A,0))</f>
        <v/>
      </c>
      <c r="F662" s="144" t="str">
        <f t="array" ref="F662">INDEX('MTA 28-09'!I:I,MATCH(B662,'MTA 28-09'!A:A,0))</f>
        <v/>
      </c>
      <c r="G662" s="100" t="str">
        <f t="array" ref="G662">INDEX('MTA 28-09'!J:J,MATCH(B662,'MTA 28-09'!A:A,0))</f>
        <v/>
      </c>
      <c r="H662" s="159" t="s">
        <v>157</v>
      </c>
      <c r="I662" s="296"/>
      <c r="J662" s="102"/>
      <c r="K662" s="103"/>
      <c r="L662" s="102" t="str">
        <f t="array" ref="L662">INDEX('MTA 28-09'!S:S,MATCH(B662,'MTA 28-09'!A:A,0))</f>
        <v>A-29</v>
      </c>
      <c r="M662" s="98" t="str">
        <f t="array" ref="M662">INDEX('MTA 28-09'!T:T,MATCH(B662,'MTA 28-09'!A:A,0))</f>
        <v>2025-BAPV-14</v>
      </c>
      <c r="N662" s="98" t="str">
        <f t="array" ref="N662">INDEX('MTA 28-09'!U:U,MATCH(B662,'MTA 28-09'!A:A,0))</f>
        <v>PN EMB-00168-001 - CAIXA TESTE VAZAMENTO TANQUE COMBUSTÍVEL</v>
      </c>
      <c r="O662" s="104">
        <f t="array" ref="O662">INDEX('MTA 28-09'!AC:AC,MATCH(B662,'MTA 28-09'!A:A,0))</f>
        <v>41310.1</v>
      </c>
      <c r="P662" s="98" t="str">
        <f t="array" ref="P662">INDEX('MTA 28-09'!N:N,MATCH(B662,'MTA 28-09'!A:A,0))</f>
        <v>FMS</v>
      </c>
      <c r="Q662" s="105" t="str">
        <f t="array" ref="Q662">INDEX('MTA 28-09'!Z:Z,MATCH(B662,'MTA 28-09'!A:A,0))</f>
        <v>449052</v>
      </c>
      <c r="R662" s="98" t="str">
        <f t="array" ref="R662">INDEX('MTA 28-09'!L:L,MATCH(B662,'MTA 28-09'!A:A,0))</f>
        <v>C</v>
      </c>
      <c r="S662" s="107" t="str">
        <f t="array" ref="S662">INDEX('MTA 28-09'!X:X,MATCH(B662,'MTA 28-09'!A:A,0))</f>
        <v>REQUISIÇÃO</v>
      </c>
      <c r="T662" s="107" t="str">
        <f t="array" ref="T662">INDEX('MTA 28-09'!W:W,MATCH(B662,'MTA 28-09'!A:A,0))</f>
        <v>Não</v>
      </c>
      <c r="U662" s="109">
        <f t="array" ref="U662">INDEX('MTA 28-09'!AE:AE,MATCH(B662,'MTA 28-09'!A:A,0))</f>
        <v>46168</v>
      </c>
      <c r="V662" s="29"/>
      <c r="W662" s="29"/>
      <c r="X662" s="29"/>
      <c r="Y662" s="29"/>
      <c r="Z662" s="29"/>
      <c r="AA662" s="29"/>
      <c r="AB662" s="29"/>
      <c r="AC662" s="29"/>
      <c r="AD662" s="29"/>
      <c r="AE662" s="29"/>
      <c r="AF662" s="29"/>
      <c r="AG662" s="29"/>
      <c r="AH662" s="29"/>
      <c r="AI662" s="29"/>
      <c r="AJ662" s="29"/>
      <c r="AK662" s="29"/>
      <c r="AL662" s="29"/>
      <c r="AM662" s="29"/>
    </row>
    <row r="663">
      <c r="A663" s="31" t="s">
        <v>39</v>
      </c>
      <c r="B663" s="32">
        <v>20680.0</v>
      </c>
      <c r="C663" s="33" t="str">
        <f t="array" ref="C663">INDEX('MTA 28-09'!B:B,MATCH(B663,'MTA 28-09'!A:A,0))</f>
        <v>NÃO</v>
      </c>
      <c r="D663" s="34" t="str">
        <f t="array" ref="D663">INDEX('MTA 28-09'!D:D,MATCH(B663,'MTA 28-09'!A:A,0))</f>
        <v/>
      </c>
      <c r="E663" s="32" t="str">
        <f t="array" ref="E663">INDEX('MTA 28-09'!F:F,MATCH(B663,'MTA 28-09'!A:A,0))</f>
        <v/>
      </c>
      <c r="F663" s="155" t="str">
        <f t="array" ref="F663">INDEX('MTA 28-09'!I:I,MATCH(B663,'MTA 28-09'!A:A,0))</f>
        <v/>
      </c>
      <c r="G663" s="36" t="str">
        <f t="array" ref="G663">INDEX('MTA 28-09'!J:J,MATCH(B663,'MTA 28-09'!A:A,0))</f>
        <v/>
      </c>
      <c r="H663" s="287" t="s">
        <v>157</v>
      </c>
      <c r="I663" s="295"/>
      <c r="J663" s="39"/>
      <c r="K663" s="40"/>
      <c r="L663" s="39" t="str">
        <f t="array" ref="L663">INDEX('MTA 28-09'!S:S,MATCH(B663,'MTA 28-09'!A:A,0))</f>
        <v>A-29</v>
      </c>
      <c r="M663" s="32" t="str">
        <f t="array" ref="M663">INDEX('MTA 28-09'!T:T,MATCH(B663,'MTA 28-09'!A:A,0))</f>
        <v>2025-BAPV-15</v>
      </c>
      <c r="N663" s="32" t="str">
        <f t="array" ref="N663">INDEX('MTA 28-09'!U:U,MATCH(B663,'MTA 28-09'!A:A,0))</f>
        <v>PN EMB-00168-003 - TESTE VAZAMENTO LINHA COMBUSTÍVEL</v>
      </c>
      <c r="O663" s="59">
        <f t="array" ref="O663">INDEX('MTA 28-09'!AC:AC,MATCH(B663,'MTA 28-09'!A:A,0))</f>
        <v>71840.16</v>
      </c>
      <c r="P663" s="32" t="str">
        <f t="array" ref="P663">INDEX('MTA 28-09'!N:N,MATCH(B663,'MTA 28-09'!A:A,0))</f>
        <v>FMS</v>
      </c>
      <c r="Q663" s="67" t="str">
        <f t="array" ref="Q663">INDEX('MTA 28-09'!Z:Z,MATCH(B663,'MTA 28-09'!A:A,0))</f>
        <v>449052</v>
      </c>
      <c r="R663" s="32" t="str">
        <f t="array" ref="R663">INDEX('MTA 28-09'!L:L,MATCH(B663,'MTA 28-09'!A:A,0))</f>
        <v>C</v>
      </c>
      <c r="S663" s="72" t="str">
        <f t="array" ref="S663">INDEX('MTA 28-09'!X:X,MATCH(B663,'MTA 28-09'!A:A,0))</f>
        <v>REQUISIÇÃO</v>
      </c>
      <c r="T663" s="72" t="str">
        <f t="array" ref="T663">INDEX('MTA 28-09'!W:W,MATCH(B663,'MTA 28-09'!A:A,0))</f>
        <v>Não</v>
      </c>
      <c r="U663" s="81">
        <f t="array" ref="U663">INDEX('MTA 28-09'!AE:AE,MATCH(B663,'MTA 28-09'!A:A,0))</f>
        <v>46168</v>
      </c>
      <c r="V663" s="12"/>
      <c r="W663" s="12"/>
      <c r="X663" s="12"/>
      <c r="Y663" s="12"/>
      <c r="Z663" s="12"/>
      <c r="AA663" s="12"/>
      <c r="AB663" s="12"/>
      <c r="AC663" s="12"/>
      <c r="AD663" s="12"/>
      <c r="AE663" s="12"/>
      <c r="AF663" s="12"/>
      <c r="AG663" s="12"/>
      <c r="AH663" s="12"/>
      <c r="AI663" s="12"/>
      <c r="AJ663" s="12"/>
      <c r="AK663" s="12"/>
      <c r="AL663" s="12"/>
      <c r="AM663" s="12"/>
    </row>
    <row r="664">
      <c r="A664" s="88" t="s">
        <v>39</v>
      </c>
      <c r="B664" s="98">
        <v>20700.0</v>
      </c>
      <c r="C664" s="92" t="str">
        <f t="array" ref="C664">INDEX('MTA 28-09'!B:B,MATCH(B664,'MTA 28-09'!A:A,0))</f>
        <v>NÃO</v>
      </c>
      <c r="D664" s="95" t="str">
        <f t="array" ref="D664">INDEX('MTA 28-09'!D:D,MATCH(B664,'MTA 28-09'!A:A,0))</f>
        <v/>
      </c>
      <c r="E664" s="98" t="str">
        <f t="array" ref="E664">INDEX('MTA 28-09'!F:F,MATCH(B664,'MTA 28-09'!A:A,0))</f>
        <v/>
      </c>
      <c r="F664" s="152" t="str">
        <f t="array" ref="F664">INDEX('MTA 28-09'!I:I,MATCH(B664,'MTA 28-09'!A:A,0))</f>
        <v/>
      </c>
      <c r="G664" s="100" t="str">
        <f t="array" ref="G664">INDEX('MTA 28-09'!J:J,MATCH(B664,'MTA 28-09'!A:A,0))</f>
        <v/>
      </c>
      <c r="H664" s="159" t="s">
        <v>157</v>
      </c>
      <c r="I664" s="296"/>
      <c r="J664" s="102"/>
      <c r="K664" s="103"/>
      <c r="L664" s="102" t="str">
        <f t="array" ref="L664">INDEX('MTA 28-09'!S:S,MATCH(B664,'MTA 28-09'!A:A,0))</f>
        <v>A-29</v>
      </c>
      <c r="M664" s="98" t="str">
        <f t="array" ref="M664">INDEX('MTA 28-09'!T:T,MATCH(B664,'MTA 28-09'!A:A,0))</f>
        <v>2025-BAPV-17</v>
      </c>
      <c r="N664" s="98" t="str">
        <f t="array" ref="N664">INDEX('MTA 28-09'!U:U,MATCH(B664,'MTA 28-09'!A:A,0))</f>
        <v>PN PE95086-1 - CABO ELÉTRICO(KIT)</v>
      </c>
      <c r="O664" s="104">
        <f t="array" ref="O664">INDEX('MTA 28-09'!AC:AC,MATCH(B664,'MTA 28-09'!A:A,0))</f>
        <v>49691.71</v>
      </c>
      <c r="P664" s="98" t="str">
        <f t="array" ref="P664">INDEX('MTA 28-09'!N:N,MATCH(B664,'MTA 28-09'!A:A,0))</f>
        <v>FMS</v>
      </c>
      <c r="Q664" s="105" t="str">
        <f t="array" ref="Q664">INDEX('MTA 28-09'!Z:Z,MATCH(B664,'MTA 28-09'!A:A,0))</f>
        <v>449052</v>
      </c>
      <c r="R664" s="98" t="str">
        <f t="array" ref="R664">INDEX('MTA 28-09'!L:L,MATCH(B664,'MTA 28-09'!A:A,0))</f>
        <v>C</v>
      </c>
      <c r="S664" s="107" t="str">
        <f t="array" ref="S664">INDEX('MTA 28-09'!X:X,MATCH(B664,'MTA 28-09'!A:A,0))</f>
        <v>REQUISIÇÃO</v>
      </c>
      <c r="T664" s="107" t="str">
        <f t="array" ref="T664">INDEX('MTA 28-09'!W:W,MATCH(B664,'MTA 28-09'!A:A,0))</f>
        <v>Não</v>
      </c>
      <c r="U664" s="109">
        <f t="array" ref="U664">INDEX('MTA 28-09'!AE:AE,MATCH(B664,'MTA 28-09'!A:A,0))</f>
        <v>46168</v>
      </c>
      <c r="V664" s="29"/>
      <c r="W664" s="29"/>
      <c r="X664" s="29"/>
      <c r="Y664" s="29"/>
      <c r="Z664" s="29"/>
      <c r="AA664" s="29"/>
      <c r="AB664" s="29"/>
      <c r="AC664" s="29"/>
      <c r="AD664" s="29"/>
      <c r="AE664" s="29"/>
      <c r="AF664" s="29"/>
      <c r="AG664" s="29"/>
      <c r="AH664" s="29"/>
      <c r="AI664" s="29"/>
      <c r="AJ664" s="29"/>
      <c r="AK664" s="29"/>
      <c r="AL664" s="29"/>
      <c r="AM664" s="29"/>
    </row>
    <row r="665">
      <c r="A665" s="31" t="s">
        <v>39</v>
      </c>
      <c r="B665" s="32">
        <v>20720.0</v>
      </c>
      <c r="C665" s="33" t="str">
        <f t="array" ref="C665">INDEX('MTA 28-09'!B:B,MATCH(B665,'MTA 28-09'!A:A,0))</f>
        <v>NÃO</v>
      </c>
      <c r="D665" s="34" t="str">
        <f t="array" ref="D665">INDEX('MTA 28-09'!D:D,MATCH(B665,'MTA 28-09'!A:A,0))</f>
        <v/>
      </c>
      <c r="E665" s="32" t="str">
        <f t="array" ref="E665">INDEX('MTA 28-09'!F:F,MATCH(B665,'MTA 28-09'!A:A,0))</f>
        <v/>
      </c>
      <c r="F665" s="420" t="str">
        <f t="array" ref="F665">INDEX('MTA 28-09'!I:I,MATCH(B665,'MTA 28-09'!A:A,0))</f>
        <v/>
      </c>
      <c r="G665" s="36" t="str">
        <f t="array" ref="G665">INDEX('MTA 28-09'!J:J,MATCH(B665,'MTA 28-09'!A:A,0))</f>
        <v/>
      </c>
      <c r="H665" s="287" t="s">
        <v>157</v>
      </c>
      <c r="I665" s="295"/>
      <c r="J665" s="39"/>
      <c r="K665" s="40"/>
      <c r="L665" s="39" t="str">
        <f t="array" ref="L665">INDEX('MTA 28-09'!S:S,MATCH(B665,'MTA 28-09'!A:A,0))</f>
        <v>A-29</v>
      </c>
      <c r="M665" s="32" t="str">
        <f t="array" ref="M665">INDEX('MTA 28-09'!T:T,MATCH(B665,'MTA 28-09'!A:A,0))</f>
        <v>2025-BAPV-18</v>
      </c>
      <c r="N665" s="32" t="str">
        <f t="array" ref="N665">INDEX('MTA 28-09'!U:U,MATCH(B665,'MTA 28-09'!A:A,0))</f>
        <v>PN AGE-02070-401 - CARRO PARA FONTE DE TENSÃO VARIÁVEL</v>
      </c>
      <c r="O665" s="59">
        <f t="array" ref="O665">INDEX('MTA 28-09'!AC:AC,MATCH(B665,'MTA 28-09'!A:A,0))</f>
        <v>10170.63</v>
      </c>
      <c r="P665" s="32" t="str">
        <f t="array" ref="P665">INDEX('MTA 28-09'!N:N,MATCH(B665,'MTA 28-09'!A:A,0))</f>
        <v>FMS</v>
      </c>
      <c r="Q665" s="67" t="str">
        <f t="array" ref="Q665">INDEX('MTA 28-09'!Z:Z,MATCH(B665,'MTA 28-09'!A:A,0))</f>
        <v>449052</v>
      </c>
      <c r="R665" s="32" t="str">
        <f t="array" ref="R665">INDEX('MTA 28-09'!L:L,MATCH(B665,'MTA 28-09'!A:A,0))</f>
        <v>C</v>
      </c>
      <c r="S665" s="72" t="str">
        <f t="array" ref="S665">INDEX('MTA 28-09'!X:X,MATCH(B665,'MTA 28-09'!A:A,0))</f>
        <v>REQUISIÇÃO</v>
      </c>
      <c r="T665" s="72" t="str">
        <f t="array" ref="T665">INDEX('MTA 28-09'!W:W,MATCH(B665,'MTA 28-09'!A:A,0))</f>
        <v>Não</v>
      </c>
      <c r="U665" s="81">
        <f t="array" ref="U665">INDEX('MTA 28-09'!AE:AE,MATCH(B665,'MTA 28-09'!A:A,0))</f>
        <v>46168</v>
      </c>
      <c r="V665" s="12"/>
      <c r="W665" s="12"/>
      <c r="X665" s="12"/>
      <c r="Y665" s="12"/>
      <c r="Z665" s="12"/>
      <c r="AA665" s="12"/>
      <c r="AB665" s="12"/>
      <c r="AC665" s="12"/>
      <c r="AD665" s="12"/>
      <c r="AE665" s="12"/>
      <c r="AF665" s="12"/>
      <c r="AG665" s="12"/>
      <c r="AH665" s="12"/>
      <c r="AI665" s="12"/>
      <c r="AJ665" s="12"/>
      <c r="AK665" s="12"/>
      <c r="AL665" s="12"/>
      <c r="AM665" s="12"/>
    </row>
    <row r="666">
      <c r="A666" s="88" t="s">
        <v>39</v>
      </c>
      <c r="B666" s="98">
        <v>20740.0</v>
      </c>
      <c r="C666" s="92" t="str">
        <f t="array" ref="C666">INDEX('MTA 28-09'!B:B,MATCH(B666,'MTA 28-09'!A:A,0))</f>
        <v>NÃO</v>
      </c>
      <c r="D666" s="95" t="str">
        <f t="array" ref="D666">INDEX('MTA 28-09'!D:D,MATCH(B666,'MTA 28-09'!A:A,0))</f>
        <v/>
      </c>
      <c r="E666" s="98" t="str">
        <f t="array" ref="E666">INDEX('MTA 28-09'!F:F,MATCH(B666,'MTA 28-09'!A:A,0))</f>
        <v/>
      </c>
      <c r="F666" s="423" t="str">
        <f t="array" ref="F666">INDEX('MTA 28-09'!I:I,MATCH(B666,'MTA 28-09'!A:A,0))</f>
        <v/>
      </c>
      <c r="G666" s="100" t="str">
        <f t="array" ref="G666">INDEX('MTA 28-09'!J:J,MATCH(B666,'MTA 28-09'!A:A,0))</f>
        <v/>
      </c>
      <c r="H666" s="159" t="s">
        <v>157</v>
      </c>
      <c r="I666" s="296"/>
      <c r="J666" s="102"/>
      <c r="K666" s="103"/>
      <c r="L666" s="102" t="str">
        <f t="array" ref="L666">INDEX('MTA 28-09'!S:S,MATCH(B666,'MTA 28-09'!A:A,0))</f>
        <v>A-29</v>
      </c>
      <c r="M666" s="98" t="str">
        <f t="array" ref="M666">INDEX('MTA 28-09'!T:T,MATCH(B666,'MTA 28-09'!A:A,0))</f>
        <v>2025-BAPV-19</v>
      </c>
      <c r="N666" s="98" t="str">
        <f t="array" ref="N666">INDEX('MTA 28-09'!U:U,MATCH(B666,'MTA 28-09'!A:A,0))</f>
        <v>PN AGE-02465-401 - DISPOSITIVO PARA VERIFICAÇÃO DO NÍVEL DO TANQUE COLETOR DA ASA</v>
      </c>
      <c r="O666" s="104">
        <f t="array" ref="O666">INDEX('MTA 28-09'!AC:AC,MATCH(B666,'MTA 28-09'!A:A,0))</f>
        <v>10390.56</v>
      </c>
      <c r="P666" s="98" t="str">
        <f t="array" ref="P666">INDEX('MTA 28-09'!N:N,MATCH(B666,'MTA 28-09'!A:A,0))</f>
        <v>FMS</v>
      </c>
      <c r="Q666" s="105" t="str">
        <f t="array" ref="Q666">INDEX('MTA 28-09'!Z:Z,MATCH(B666,'MTA 28-09'!A:A,0))</f>
        <v>449052</v>
      </c>
      <c r="R666" s="98" t="str">
        <f t="array" ref="R666">INDEX('MTA 28-09'!L:L,MATCH(B666,'MTA 28-09'!A:A,0))</f>
        <v>C</v>
      </c>
      <c r="S666" s="107" t="str">
        <f t="array" ref="S666">INDEX('MTA 28-09'!X:X,MATCH(B666,'MTA 28-09'!A:A,0))</f>
        <v>REQUISIÇÃO</v>
      </c>
      <c r="T666" s="107" t="str">
        <f t="array" ref="T666">INDEX('MTA 28-09'!W:W,MATCH(B666,'MTA 28-09'!A:A,0))</f>
        <v>Não</v>
      </c>
      <c r="U666" s="109">
        <f t="array" ref="U666">INDEX('MTA 28-09'!AE:AE,MATCH(B666,'MTA 28-09'!A:A,0))</f>
        <v>46168</v>
      </c>
      <c r="V666" s="29"/>
      <c r="W666" s="29"/>
      <c r="X666" s="29"/>
      <c r="Y666" s="29"/>
      <c r="Z666" s="29"/>
      <c r="AA666" s="29"/>
      <c r="AB666" s="29"/>
      <c r="AC666" s="29"/>
      <c r="AD666" s="29"/>
      <c r="AE666" s="29"/>
      <c r="AF666" s="29"/>
      <c r="AG666" s="29"/>
      <c r="AH666" s="29"/>
      <c r="AI666" s="29"/>
      <c r="AJ666" s="29"/>
      <c r="AK666" s="29"/>
      <c r="AL666" s="29"/>
      <c r="AM666" s="29"/>
    </row>
    <row r="667">
      <c r="A667" s="31" t="s">
        <v>39</v>
      </c>
      <c r="B667" s="32">
        <v>20760.0</v>
      </c>
      <c r="C667" s="33" t="str">
        <f t="array" ref="C667">INDEX('MTA 28-09'!B:B,MATCH(B667,'MTA 28-09'!A:A,0))</f>
        <v>NÃO</v>
      </c>
      <c r="D667" s="34" t="str">
        <f t="array" ref="D667">INDEX('MTA 28-09'!D:D,MATCH(B667,'MTA 28-09'!A:A,0))</f>
        <v/>
      </c>
      <c r="E667" s="32" t="str">
        <f t="array" ref="E667">INDEX('MTA 28-09'!F:F,MATCH(B667,'MTA 28-09'!A:A,0))</f>
        <v/>
      </c>
      <c r="F667" s="420" t="str">
        <f t="array" ref="F667">INDEX('MTA 28-09'!I:I,MATCH(B667,'MTA 28-09'!A:A,0))</f>
        <v/>
      </c>
      <c r="G667" s="36" t="str">
        <f t="array" ref="G667">INDEX('MTA 28-09'!J:J,MATCH(B667,'MTA 28-09'!A:A,0))</f>
        <v/>
      </c>
      <c r="H667" s="287" t="s">
        <v>157</v>
      </c>
      <c r="I667" s="295"/>
      <c r="J667" s="39"/>
      <c r="K667" s="40"/>
      <c r="L667" s="39" t="str">
        <f t="array" ref="L667">INDEX('MTA 28-09'!S:S,MATCH(B667,'MTA 28-09'!A:A,0))</f>
        <v>A-29</v>
      </c>
      <c r="M667" s="32" t="str">
        <f t="array" ref="M667">INDEX('MTA 28-09'!T:T,MATCH(B667,'MTA 28-09'!A:A,0))</f>
        <v>2025-BAPV-20</v>
      </c>
      <c r="N667" s="32" t="str">
        <f t="array" ref="N667">INDEX('MTA 28-09'!U:U,MATCH(B667,'MTA 28-09'!A:A,0))</f>
        <v>PN 3203771 - CONJUNTO PARA MANUTENÇÃO DA CARGA DE NITROGÊNIO DO FLIR</v>
      </c>
      <c r="O667" s="59">
        <f t="array" ref="O667">INDEX('MTA 28-09'!AC:AC,MATCH(B667,'MTA 28-09'!A:A,0))</f>
        <v>16649.76</v>
      </c>
      <c r="P667" s="32" t="str">
        <f t="array" ref="P667">INDEX('MTA 28-09'!N:N,MATCH(B667,'MTA 28-09'!A:A,0))</f>
        <v>FMS</v>
      </c>
      <c r="Q667" s="67" t="str">
        <f t="array" ref="Q667">INDEX('MTA 28-09'!Z:Z,MATCH(B667,'MTA 28-09'!A:A,0))</f>
        <v>449052</v>
      </c>
      <c r="R667" s="32" t="str">
        <f t="array" ref="R667">INDEX('MTA 28-09'!L:L,MATCH(B667,'MTA 28-09'!A:A,0))</f>
        <v>C</v>
      </c>
      <c r="S667" s="72" t="str">
        <f t="array" ref="S667">INDEX('MTA 28-09'!X:X,MATCH(B667,'MTA 28-09'!A:A,0))</f>
        <v>REQUISIÇÃO</v>
      </c>
      <c r="T667" s="72" t="str">
        <f t="array" ref="T667">INDEX('MTA 28-09'!W:W,MATCH(B667,'MTA 28-09'!A:A,0))</f>
        <v>Não</v>
      </c>
      <c r="U667" s="81">
        <f t="array" ref="U667">INDEX('MTA 28-09'!AE:AE,MATCH(B667,'MTA 28-09'!A:A,0))</f>
        <v>46168</v>
      </c>
      <c r="V667" s="12"/>
      <c r="W667" s="12"/>
      <c r="X667" s="12"/>
      <c r="Y667" s="12"/>
      <c r="Z667" s="12"/>
      <c r="AA667" s="12"/>
      <c r="AB667" s="12"/>
      <c r="AC667" s="12"/>
      <c r="AD667" s="12"/>
      <c r="AE667" s="12"/>
      <c r="AF667" s="12"/>
      <c r="AG667" s="12"/>
      <c r="AH667" s="12"/>
      <c r="AI667" s="12"/>
      <c r="AJ667" s="12"/>
      <c r="AK667" s="12"/>
      <c r="AL667" s="12"/>
      <c r="AM667" s="12"/>
    </row>
    <row r="668">
      <c r="A668" s="88" t="s">
        <v>39</v>
      </c>
      <c r="B668" s="98">
        <v>20780.0</v>
      </c>
      <c r="C668" s="92" t="str">
        <f t="array" ref="C668">INDEX('MTA 28-09'!B:B,MATCH(B668,'MTA 28-09'!A:A,0))</f>
        <v>NÃO</v>
      </c>
      <c r="D668" s="95" t="str">
        <f t="array" ref="D668">INDEX('MTA 28-09'!D:D,MATCH(B668,'MTA 28-09'!A:A,0))</f>
        <v/>
      </c>
      <c r="E668" s="98" t="str">
        <f t="array" ref="E668">INDEX('MTA 28-09'!F:F,MATCH(B668,'MTA 28-09'!A:A,0))</f>
        <v/>
      </c>
      <c r="F668" s="152" t="str">
        <f t="array" ref="F668">INDEX('MTA 28-09'!I:I,MATCH(B668,'MTA 28-09'!A:A,0))</f>
        <v/>
      </c>
      <c r="G668" s="100" t="str">
        <f t="array" ref="G668">INDEX('MTA 28-09'!J:J,MATCH(B668,'MTA 28-09'!A:A,0))</f>
        <v/>
      </c>
      <c r="H668" s="159" t="s">
        <v>157</v>
      </c>
      <c r="I668" s="296"/>
      <c r="J668" s="102"/>
      <c r="K668" s="103"/>
      <c r="L668" s="102" t="str">
        <f t="array" ref="L668">INDEX('MTA 28-09'!S:S,MATCH(B668,'MTA 28-09'!A:A,0))</f>
        <v>A-29</v>
      </c>
      <c r="M668" s="98" t="str">
        <f t="array" ref="M668">INDEX('MTA 28-09'!T:T,MATCH(B668,'MTA 28-09'!A:A,0))</f>
        <v>2025-BAPV-21</v>
      </c>
      <c r="N668" s="98" t="str">
        <f t="array" ref="N668">INDEX('MTA 28-09'!U:U,MATCH(B668,'MTA 28-09'!A:A,0))</f>
        <v>PN AGE-01575-401 - ADAPTADOR PARA TROCA DE RODA DO TREM DE POUSO PRINCIPAL</v>
      </c>
      <c r="O668" s="104">
        <f t="array" ref="O668">INDEX('MTA 28-09'!AC:AC,MATCH(B668,'MTA 28-09'!A:A,0))</f>
        <v>16761.31</v>
      </c>
      <c r="P668" s="98" t="str">
        <f t="array" ref="P668">INDEX('MTA 28-09'!N:N,MATCH(B668,'MTA 28-09'!A:A,0))</f>
        <v>FMS</v>
      </c>
      <c r="Q668" s="105" t="str">
        <f t="array" ref="Q668">INDEX('MTA 28-09'!Z:Z,MATCH(B668,'MTA 28-09'!A:A,0))</f>
        <v>449052</v>
      </c>
      <c r="R668" s="98" t="str">
        <f t="array" ref="R668">INDEX('MTA 28-09'!L:L,MATCH(B668,'MTA 28-09'!A:A,0))</f>
        <v>C</v>
      </c>
      <c r="S668" s="107" t="str">
        <f t="array" ref="S668">INDEX('MTA 28-09'!X:X,MATCH(B668,'MTA 28-09'!A:A,0))</f>
        <v>REQUISIÇÃO</v>
      </c>
      <c r="T668" s="107" t="str">
        <f t="array" ref="T668">INDEX('MTA 28-09'!W:W,MATCH(B668,'MTA 28-09'!A:A,0))</f>
        <v>Não</v>
      </c>
      <c r="U668" s="109">
        <f t="array" ref="U668">INDEX('MTA 28-09'!AE:AE,MATCH(B668,'MTA 28-09'!A:A,0))</f>
        <v>46168</v>
      </c>
      <c r="V668" s="29"/>
      <c r="W668" s="29"/>
      <c r="X668" s="29"/>
      <c r="Y668" s="29"/>
      <c r="Z668" s="29"/>
      <c r="AA668" s="29"/>
      <c r="AB668" s="29"/>
      <c r="AC668" s="29"/>
      <c r="AD668" s="29"/>
      <c r="AE668" s="29"/>
      <c r="AF668" s="29"/>
      <c r="AG668" s="29"/>
      <c r="AH668" s="29"/>
      <c r="AI668" s="29"/>
      <c r="AJ668" s="29"/>
      <c r="AK668" s="29"/>
      <c r="AL668" s="29"/>
      <c r="AM668" s="29"/>
    </row>
    <row r="669">
      <c r="A669" s="31" t="s">
        <v>39</v>
      </c>
      <c r="B669" s="32">
        <v>20800.0</v>
      </c>
      <c r="C669" s="33" t="str">
        <f t="array" ref="C669">INDEX('MTA 28-09'!B:B,MATCH(B669,'MTA 28-09'!A:A,0))</f>
        <v>NÃO</v>
      </c>
      <c r="D669" s="34" t="str">
        <f t="array" ref="D669">INDEX('MTA 28-09'!D:D,MATCH(B669,'MTA 28-09'!A:A,0))</f>
        <v/>
      </c>
      <c r="E669" s="32" t="str">
        <f t="array" ref="E669">INDEX('MTA 28-09'!F:F,MATCH(B669,'MTA 28-09'!A:A,0))</f>
        <v/>
      </c>
      <c r="F669" s="155" t="str">
        <f t="array" ref="F669">INDEX('MTA 28-09'!I:I,MATCH(B669,'MTA 28-09'!A:A,0))</f>
        <v/>
      </c>
      <c r="G669" s="36" t="str">
        <f t="array" ref="G669">INDEX('MTA 28-09'!J:J,MATCH(B669,'MTA 28-09'!A:A,0))</f>
        <v/>
      </c>
      <c r="H669" s="287" t="s">
        <v>157</v>
      </c>
      <c r="I669" s="295"/>
      <c r="J669" s="39"/>
      <c r="K669" s="40"/>
      <c r="L669" s="39" t="str">
        <f t="array" ref="L669">INDEX('MTA 28-09'!S:S,MATCH(B669,'MTA 28-09'!A:A,0))</f>
        <v>A-29</v>
      </c>
      <c r="M669" s="32" t="str">
        <f t="array" ref="M669">INDEX('MTA 28-09'!T:T,MATCH(B669,'MTA 28-09'!A:A,0))</f>
        <v>2025-BAPV-23</v>
      </c>
      <c r="N669" s="32" t="str">
        <f t="array" ref="N669">INDEX('MTA 28-09'!U:U,MATCH(B669,'MTA 28-09'!A:A,0))</f>
        <v>PN 314-01712-407-14H2 - GARFO DE REBOQUE</v>
      </c>
      <c r="O669" s="59">
        <f t="array" ref="O669">INDEX('MTA 28-09'!AC:AC,MATCH(B669,'MTA 28-09'!A:A,0))</f>
        <v>78663.08</v>
      </c>
      <c r="P669" s="32" t="str">
        <f t="array" ref="P669">INDEX('MTA 28-09'!N:N,MATCH(B669,'MTA 28-09'!A:A,0))</f>
        <v>CABW</v>
      </c>
      <c r="Q669" s="67" t="str">
        <f t="array" ref="Q669">INDEX('MTA 28-09'!Z:Z,MATCH(B669,'MTA 28-09'!A:A,0))</f>
        <v>449052</v>
      </c>
      <c r="R669" s="32" t="str">
        <f t="array" ref="R669">INDEX('MTA 28-09'!L:L,MATCH(B669,'MTA 28-09'!A:A,0))</f>
        <v>C</v>
      </c>
      <c r="S669" s="72" t="str">
        <f t="array" ref="S669">INDEX('MTA 28-09'!X:X,MATCH(B669,'MTA 28-09'!A:A,0))</f>
        <v>REQUISIÇÃO</v>
      </c>
      <c r="T669" s="72" t="str">
        <f t="array" ref="T669">INDEX('MTA 28-09'!W:W,MATCH(B669,'MTA 28-09'!A:A,0))</f>
        <v>Não</v>
      </c>
      <c r="U669" s="81">
        <f t="array" ref="U669">INDEX('MTA 28-09'!AE:AE,MATCH(B669,'MTA 28-09'!A:A,0))</f>
        <v>46168</v>
      </c>
      <c r="V669" s="12"/>
      <c r="W669" s="12"/>
      <c r="X669" s="12"/>
      <c r="Y669" s="12"/>
      <c r="Z669" s="12"/>
      <c r="AA669" s="12"/>
      <c r="AB669" s="12"/>
      <c r="AC669" s="12"/>
      <c r="AD669" s="12"/>
      <c r="AE669" s="12"/>
      <c r="AF669" s="12"/>
      <c r="AG669" s="12"/>
      <c r="AH669" s="12"/>
      <c r="AI669" s="12"/>
      <c r="AJ669" s="12"/>
      <c r="AK669" s="12"/>
      <c r="AL669" s="12"/>
      <c r="AM669" s="12"/>
    </row>
    <row r="670">
      <c r="A670" s="88" t="s">
        <v>39</v>
      </c>
      <c r="B670" s="98">
        <v>20820.0</v>
      </c>
      <c r="C670" s="92" t="str">
        <f t="array" ref="C670">INDEX('MTA 28-09'!B:B,MATCH(B670,'MTA 28-09'!A:A,0))</f>
        <v>NÃO</v>
      </c>
      <c r="D670" s="95" t="str">
        <f t="array" ref="D670">INDEX('MTA 28-09'!D:D,MATCH(B670,'MTA 28-09'!A:A,0))</f>
        <v/>
      </c>
      <c r="E670" s="98" t="str">
        <f t="array" ref="E670">INDEX('MTA 28-09'!F:F,MATCH(B670,'MTA 28-09'!A:A,0))</f>
        <v/>
      </c>
      <c r="F670" s="144" t="str">
        <f t="array" ref="F670">INDEX('MTA 28-09'!I:I,MATCH(B670,'MTA 28-09'!A:A,0))</f>
        <v/>
      </c>
      <c r="G670" s="100" t="str">
        <f t="array" ref="G670">INDEX('MTA 28-09'!J:J,MATCH(B670,'MTA 28-09'!A:A,0))</f>
        <v/>
      </c>
      <c r="H670" s="159" t="s">
        <v>157</v>
      </c>
      <c r="I670" s="296"/>
      <c r="J670" s="102"/>
      <c r="K670" s="103"/>
      <c r="L670" s="102" t="str">
        <f t="array" ref="L670">INDEX('MTA 28-09'!S:S,MATCH(B670,'MTA 28-09'!A:A,0))</f>
        <v>A-29</v>
      </c>
      <c r="M670" s="98" t="str">
        <f t="array" ref="M670">INDEX('MTA 28-09'!T:T,MATCH(B670,'MTA 28-09'!A:A,0))</f>
        <v>2025-BAPV-25</v>
      </c>
      <c r="N670" s="98" t="str">
        <f t="array" ref="N670">INDEX('MTA 28-09'!U:U,MATCH(B670,'MTA 28-09'!A:A,0))</f>
        <v>PN AGE-04960-401 - CAIXA DE TESTES DA MANETE DE POTÊNCIA E ALAVANCA DO FLAPE</v>
      </c>
      <c r="O670" s="104">
        <f t="array" ref="O670">INDEX('MTA 28-09'!AC:AC,MATCH(B670,'MTA 28-09'!A:A,0))</f>
        <v>16148.16</v>
      </c>
      <c r="P670" s="98" t="str">
        <f t="array" ref="P670">INDEX('MTA 28-09'!N:N,MATCH(B670,'MTA 28-09'!A:A,0))</f>
        <v>FMS</v>
      </c>
      <c r="Q670" s="105" t="str">
        <f t="array" ref="Q670">INDEX('MTA 28-09'!Z:Z,MATCH(B670,'MTA 28-09'!A:A,0))</f>
        <v>449052</v>
      </c>
      <c r="R670" s="98" t="str">
        <f t="array" ref="R670">INDEX('MTA 28-09'!L:L,MATCH(B670,'MTA 28-09'!A:A,0))</f>
        <v>C</v>
      </c>
      <c r="S670" s="107" t="str">
        <f t="array" ref="S670">INDEX('MTA 28-09'!X:X,MATCH(B670,'MTA 28-09'!A:A,0))</f>
        <v>REQUISIÇÃO</v>
      </c>
      <c r="T670" s="107" t="str">
        <f t="array" ref="T670">INDEX('MTA 28-09'!W:W,MATCH(B670,'MTA 28-09'!A:A,0))</f>
        <v>Não</v>
      </c>
      <c r="U670" s="109">
        <f t="array" ref="U670">INDEX('MTA 28-09'!AE:AE,MATCH(B670,'MTA 28-09'!A:A,0))</f>
        <v>46168</v>
      </c>
      <c r="V670" s="29"/>
      <c r="W670" s="29"/>
      <c r="X670" s="29"/>
      <c r="Y670" s="29"/>
      <c r="Z670" s="29"/>
      <c r="AA670" s="29"/>
      <c r="AB670" s="29"/>
      <c r="AC670" s="29"/>
      <c r="AD670" s="29"/>
      <c r="AE670" s="29"/>
      <c r="AF670" s="29"/>
      <c r="AG670" s="29"/>
      <c r="AH670" s="29"/>
      <c r="AI670" s="29"/>
      <c r="AJ670" s="29"/>
      <c r="AK670" s="29"/>
      <c r="AL670" s="29"/>
      <c r="AM670" s="29"/>
    </row>
    <row r="671">
      <c r="A671" s="31" t="s">
        <v>39</v>
      </c>
      <c r="B671" s="32">
        <v>20840.0</v>
      </c>
      <c r="C671" s="33" t="str">
        <f t="array" ref="C671">INDEX('MTA 28-09'!B:B,MATCH(B671,'MTA 28-09'!A:A,0))</f>
        <v>NÃO</v>
      </c>
      <c r="D671" s="34" t="str">
        <f t="array" ref="D671">INDEX('MTA 28-09'!D:D,MATCH(B671,'MTA 28-09'!A:A,0))</f>
        <v/>
      </c>
      <c r="E671" s="32" t="str">
        <f t="array" ref="E671">INDEX('MTA 28-09'!F:F,MATCH(B671,'MTA 28-09'!A:A,0))</f>
        <v/>
      </c>
      <c r="F671" s="155" t="str">
        <f t="array" ref="F671">INDEX('MTA 28-09'!I:I,MATCH(B671,'MTA 28-09'!A:A,0))</f>
        <v/>
      </c>
      <c r="G671" s="36" t="str">
        <f t="array" ref="G671">INDEX('MTA 28-09'!J:J,MATCH(B671,'MTA 28-09'!A:A,0))</f>
        <v/>
      </c>
      <c r="H671" s="287" t="s">
        <v>157</v>
      </c>
      <c r="I671" s="295"/>
      <c r="J671" s="39"/>
      <c r="K671" s="40"/>
      <c r="L671" s="39" t="str">
        <f t="array" ref="L671">INDEX('MTA 28-09'!S:S,MATCH(B671,'MTA 28-09'!A:A,0))</f>
        <v>A-29</v>
      </c>
      <c r="M671" s="32" t="str">
        <f t="array" ref="M671">INDEX('MTA 28-09'!T:T,MATCH(B671,'MTA 28-09'!A:A,0))</f>
        <v>2025-BAPV-26</v>
      </c>
      <c r="N671" s="32" t="str">
        <f t="array" ref="N671">INDEX('MTA 28-09'!U:U,MATCH(B671,'MTA 28-09'!A:A,0))</f>
        <v>PN PWC34405 - TEST FIXTURE</v>
      </c>
      <c r="O671" s="59">
        <f t="array" ref="O671">INDEX('MTA 28-09'!AC:AC,MATCH(B671,'MTA 28-09'!A:A,0))</f>
        <v>3528.8</v>
      </c>
      <c r="P671" s="32" t="str">
        <f t="array" ref="P671">INDEX('MTA 28-09'!N:N,MATCH(B671,'MTA 28-09'!A:A,0))</f>
        <v>CABW</v>
      </c>
      <c r="Q671" s="67" t="str">
        <f t="array" ref="Q671">INDEX('MTA 28-09'!Z:Z,MATCH(B671,'MTA 28-09'!A:A,0))</f>
        <v>449052</v>
      </c>
      <c r="R671" s="32" t="str">
        <f t="array" ref="R671">INDEX('MTA 28-09'!L:L,MATCH(B671,'MTA 28-09'!A:A,0))</f>
        <v>C</v>
      </c>
      <c r="S671" s="72" t="str">
        <f t="array" ref="S671">INDEX('MTA 28-09'!X:X,MATCH(B671,'MTA 28-09'!A:A,0))</f>
        <v>REQUISIÇÃO</v>
      </c>
      <c r="T671" s="72" t="str">
        <f t="array" ref="T671">INDEX('MTA 28-09'!W:W,MATCH(B671,'MTA 28-09'!A:A,0))</f>
        <v>Não</v>
      </c>
      <c r="U671" s="81">
        <f t="array" ref="U671">INDEX('MTA 28-09'!AE:AE,MATCH(B671,'MTA 28-09'!A:A,0))</f>
        <v>46168</v>
      </c>
      <c r="V671" s="12"/>
      <c r="W671" s="12"/>
      <c r="X671" s="12"/>
      <c r="Y671" s="12"/>
      <c r="Z671" s="12"/>
      <c r="AA671" s="12"/>
      <c r="AB671" s="12"/>
      <c r="AC671" s="12"/>
      <c r="AD671" s="12"/>
      <c r="AE671" s="12"/>
      <c r="AF671" s="12"/>
      <c r="AG671" s="12"/>
      <c r="AH671" s="12"/>
      <c r="AI671" s="12"/>
      <c r="AJ671" s="12"/>
      <c r="AK671" s="12"/>
      <c r="AL671" s="12"/>
      <c r="AM671" s="12"/>
    </row>
    <row r="672">
      <c r="A672" s="88" t="s">
        <v>39</v>
      </c>
      <c r="B672" s="98">
        <v>20860.0</v>
      </c>
      <c r="C672" s="92" t="str">
        <f t="array" ref="C672">INDEX('MTA 28-09'!B:B,MATCH(B672,'MTA 28-09'!A:A,0))</f>
        <v>NÃO</v>
      </c>
      <c r="D672" s="95" t="str">
        <f t="array" ref="D672">INDEX('MTA 28-09'!D:D,MATCH(B672,'MTA 28-09'!A:A,0))</f>
        <v/>
      </c>
      <c r="E672" s="98" t="str">
        <f t="array" ref="E672">INDEX('MTA 28-09'!F:F,MATCH(B672,'MTA 28-09'!A:A,0))</f>
        <v/>
      </c>
      <c r="F672" s="152" t="str">
        <f t="array" ref="F672">INDEX('MTA 28-09'!I:I,MATCH(B672,'MTA 28-09'!A:A,0))</f>
        <v/>
      </c>
      <c r="G672" s="100" t="str">
        <f t="array" ref="G672">INDEX('MTA 28-09'!J:J,MATCH(B672,'MTA 28-09'!A:A,0))</f>
        <v/>
      </c>
      <c r="H672" s="159" t="s">
        <v>157</v>
      </c>
      <c r="I672" s="296"/>
      <c r="J672" s="102"/>
      <c r="K672" s="103"/>
      <c r="L672" s="102" t="str">
        <f t="array" ref="L672">INDEX('MTA 28-09'!S:S,MATCH(B672,'MTA 28-09'!A:A,0))</f>
        <v>A-29</v>
      </c>
      <c r="M672" s="98" t="str">
        <f t="array" ref="M672">INDEX('MTA 28-09'!T:T,MATCH(B672,'MTA 28-09'!A:A,0))</f>
        <v>2025-BAPV-29</v>
      </c>
      <c r="N672" s="98" t="str">
        <f t="array" ref="N672">INDEX('MTA 28-09'!U:U,MATCH(B672,'MTA 28-09'!A:A,0))</f>
        <v>PN AGE-01840-401 - GRAMPO ESPECIAL</v>
      </c>
      <c r="O672" s="104">
        <f t="array" ref="O672">INDEX('MTA 28-09'!AC:AC,MATCH(B672,'MTA 28-09'!A:A,0))</f>
        <v>11510.24</v>
      </c>
      <c r="P672" s="98" t="str">
        <f t="array" ref="P672">INDEX('MTA 28-09'!N:N,MATCH(B672,'MTA 28-09'!A:A,0))</f>
        <v>FMS</v>
      </c>
      <c r="Q672" s="105" t="str">
        <f t="array" ref="Q672">INDEX('MTA 28-09'!Z:Z,MATCH(B672,'MTA 28-09'!A:A,0))</f>
        <v>449052</v>
      </c>
      <c r="R672" s="98" t="str">
        <f t="array" ref="R672">INDEX('MTA 28-09'!L:L,MATCH(B672,'MTA 28-09'!A:A,0))</f>
        <v>C</v>
      </c>
      <c r="S672" s="107" t="str">
        <f t="array" ref="S672">INDEX('MTA 28-09'!X:X,MATCH(B672,'MTA 28-09'!A:A,0))</f>
        <v>REQUISIÇÃO</v>
      </c>
      <c r="T672" s="107" t="str">
        <f t="array" ref="T672">INDEX('MTA 28-09'!W:W,MATCH(B672,'MTA 28-09'!A:A,0))</f>
        <v>Não</v>
      </c>
      <c r="U672" s="109">
        <f t="array" ref="U672">INDEX('MTA 28-09'!AE:AE,MATCH(B672,'MTA 28-09'!A:A,0))</f>
        <v>46168</v>
      </c>
      <c r="V672" s="29"/>
      <c r="W672" s="29"/>
      <c r="X672" s="29"/>
      <c r="Y672" s="29"/>
      <c r="Z672" s="29"/>
      <c r="AA672" s="29"/>
      <c r="AB672" s="29"/>
      <c r="AC672" s="29"/>
      <c r="AD672" s="29"/>
      <c r="AE672" s="29"/>
      <c r="AF672" s="29"/>
      <c r="AG672" s="29"/>
      <c r="AH672" s="29"/>
      <c r="AI672" s="29"/>
      <c r="AJ672" s="29"/>
      <c r="AK672" s="29"/>
      <c r="AL672" s="29"/>
      <c r="AM672" s="29"/>
    </row>
    <row r="673">
      <c r="A673" s="31" t="s">
        <v>39</v>
      </c>
      <c r="B673" s="32">
        <v>20880.0</v>
      </c>
      <c r="C673" s="33" t="str">
        <f t="array" ref="C673">INDEX('MTA 28-09'!B:B,MATCH(B673,'MTA 28-09'!A:A,0))</f>
        <v>NÃO</v>
      </c>
      <c r="D673" s="34" t="str">
        <f t="array" ref="D673">INDEX('MTA 28-09'!D:D,MATCH(B673,'MTA 28-09'!A:A,0))</f>
        <v/>
      </c>
      <c r="E673" s="32" t="str">
        <f t="array" ref="E673">INDEX('MTA 28-09'!F:F,MATCH(B673,'MTA 28-09'!A:A,0))</f>
        <v/>
      </c>
      <c r="F673" s="137" t="str">
        <f t="array" ref="F673">INDEX('MTA 28-09'!I:I,MATCH(B673,'MTA 28-09'!A:A,0))</f>
        <v/>
      </c>
      <c r="G673" s="36" t="str">
        <f t="array" ref="G673">INDEX('MTA 28-09'!J:J,MATCH(B673,'MTA 28-09'!A:A,0))</f>
        <v/>
      </c>
      <c r="H673" s="287" t="s">
        <v>157</v>
      </c>
      <c r="I673" s="295"/>
      <c r="J673" s="39"/>
      <c r="K673" s="40"/>
      <c r="L673" s="39" t="str">
        <f t="array" ref="L673">INDEX('MTA 28-09'!S:S,MATCH(B673,'MTA 28-09'!A:A,0))</f>
        <v>A-29</v>
      </c>
      <c r="M673" s="32" t="str">
        <f t="array" ref="M673">INDEX('MTA 28-09'!T:T,MATCH(B673,'MTA 28-09'!A:A,0))</f>
        <v>2025-BAPV-30</v>
      </c>
      <c r="N673" s="32" t="str">
        <f t="array" ref="N673">INDEX('MTA 28-09'!U:U,MATCH(B673,'MTA 28-09'!A:A,0))</f>
        <v>PN AGE-01515-401 - CAIXA DE TESTE DA UNIDADE DE EJEÇÃO</v>
      </c>
      <c r="O673" s="59">
        <f t="array" ref="O673">INDEX('MTA 28-09'!AC:AC,MATCH(B673,'MTA 28-09'!A:A,0))</f>
        <v>6448.5</v>
      </c>
      <c r="P673" s="32" t="str">
        <f t="array" ref="P673">INDEX('MTA 28-09'!N:N,MATCH(B673,'MTA 28-09'!A:A,0))</f>
        <v>FMS</v>
      </c>
      <c r="Q673" s="67" t="str">
        <f t="array" ref="Q673">INDEX('MTA 28-09'!Z:Z,MATCH(B673,'MTA 28-09'!A:A,0))</f>
        <v>449052</v>
      </c>
      <c r="R673" s="32" t="str">
        <f t="array" ref="R673">INDEX('MTA 28-09'!L:L,MATCH(B673,'MTA 28-09'!A:A,0))</f>
        <v>C</v>
      </c>
      <c r="S673" s="72" t="str">
        <f t="array" ref="S673">INDEX('MTA 28-09'!X:X,MATCH(B673,'MTA 28-09'!A:A,0))</f>
        <v>REQUISIÇÃO</v>
      </c>
      <c r="T673" s="72" t="str">
        <f t="array" ref="T673">INDEX('MTA 28-09'!W:W,MATCH(B673,'MTA 28-09'!A:A,0))</f>
        <v>Não</v>
      </c>
      <c r="U673" s="81">
        <f t="array" ref="U673">INDEX('MTA 28-09'!AE:AE,MATCH(B673,'MTA 28-09'!A:A,0))</f>
        <v>46168</v>
      </c>
      <c r="V673" s="12"/>
      <c r="W673" s="12"/>
      <c r="X673" s="12"/>
      <c r="Y673" s="12"/>
      <c r="Z673" s="12"/>
      <c r="AA673" s="12"/>
      <c r="AB673" s="12"/>
      <c r="AC673" s="12"/>
      <c r="AD673" s="12"/>
      <c r="AE673" s="12"/>
      <c r="AF673" s="12"/>
      <c r="AG673" s="12"/>
      <c r="AH673" s="12"/>
      <c r="AI673" s="12"/>
      <c r="AJ673" s="12"/>
      <c r="AK673" s="12"/>
      <c r="AL673" s="12"/>
      <c r="AM673" s="12"/>
    </row>
    <row r="674">
      <c r="A674" s="88" t="s">
        <v>39</v>
      </c>
      <c r="B674" s="98">
        <v>20900.0</v>
      </c>
      <c r="C674" s="92" t="str">
        <f t="array" ref="C674">INDEX('MTA 28-09'!B:B,MATCH(B674,'MTA 28-09'!A:A,0))</f>
        <v>NÃO</v>
      </c>
      <c r="D674" s="95" t="str">
        <f t="array" ref="D674">INDEX('MTA 28-09'!D:D,MATCH(B674,'MTA 28-09'!A:A,0))</f>
        <v/>
      </c>
      <c r="E674" s="98" t="str">
        <f t="array" ref="E674">INDEX('MTA 28-09'!F:F,MATCH(B674,'MTA 28-09'!A:A,0))</f>
        <v/>
      </c>
      <c r="F674" s="152" t="str">
        <f t="array" ref="F674">INDEX('MTA 28-09'!I:I,MATCH(B674,'MTA 28-09'!A:A,0))</f>
        <v/>
      </c>
      <c r="G674" s="100" t="str">
        <f t="array" ref="G674">INDEX('MTA 28-09'!J:J,MATCH(B674,'MTA 28-09'!A:A,0))</f>
        <v/>
      </c>
      <c r="H674" s="159" t="s">
        <v>157</v>
      </c>
      <c r="I674" s="296"/>
      <c r="J674" s="102"/>
      <c r="K674" s="103"/>
      <c r="L674" s="102" t="str">
        <f t="array" ref="L674">INDEX('MTA 28-09'!S:S,MATCH(B674,'MTA 28-09'!A:A,0))</f>
        <v>A-29</v>
      </c>
      <c r="M674" s="98" t="str">
        <f t="array" ref="M674">INDEX('MTA 28-09'!T:T,MATCH(B674,'MTA 28-09'!A:A,0))</f>
        <v>2025-BAPV-36</v>
      </c>
      <c r="N674" s="98" t="str">
        <f t="array" ref="N674">INDEX('MTA 28-09'!U:U,MATCH(B674,'MTA 28-09'!A:A,0))</f>
        <v>PN AGE-04320-401 - TRANSFERIDOR</v>
      </c>
      <c r="O674" s="104">
        <f t="array" ref="O674">INDEX('MTA 28-09'!AC:AC,MATCH(B674,'MTA 28-09'!A:A,0))</f>
        <v>1621.61</v>
      </c>
      <c r="P674" s="98" t="str">
        <f t="array" ref="P674">INDEX('MTA 28-09'!N:N,MATCH(B674,'MTA 28-09'!A:A,0))</f>
        <v>FMS</v>
      </c>
      <c r="Q674" s="105" t="str">
        <f t="array" ref="Q674">INDEX('MTA 28-09'!Z:Z,MATCH(B674,'MTA 28-09'!A:A,0))</f>
        <v>449052</v>
      </c>
      <c r="R674" s="98" t="str">
        <f t="array" ref="R674">INDEX('MTA 28-09'!L:L,MATCH(B674,'MTA 28-09'!A:A,0))</f>
        <v>C</v>
      </c>
      <c r="S674" s="107" t="str">
        <f t="array" ref="S674">INDEX('MTA 28-09'!X:X,MATCH(B674,'MTA 28-09'!A:A,0))</f>
        <v>REQUISIÇÃO</v>
      </c>
      <c r="T674" s="107" t="str">
        <f t="array" ref="T674">INDEX('MTA 28-09'!W:W,MATCH(B674,'MTA 28-09'!A:A,0))</f>
        <v>Não</v>
      </c>
      <c r="U674" s="109">
        <f t="array" ref="U674">INDEX('MTA 28-09'!AE:AE,MATCH(B674,'MTA 28-09'!A:A,0))</f>
        <v>46168</v>
      </c>
      <c r="V674" s="29"/>
      <c r="W674" s="29"/>
      <c r="X674" s="29"/>
      <c r="Y674" s="29"/>
      <c r="Z674" s="29"/>
      <c r="AA674" s="29"/>
      <c r="AB674" s="29"/>
      <c r="AC674" s="29"/>
      <c r="AD674" s="29"/>
      <c r="AE674" s="29"/>
      <c r="AF674" s="29"/>
      <c r="AG674" s="29"/>
      <c r="AH674" s="29"/>
      <c r="AI674" s="29"/>
      <c r="AJ674" s="29"/>
      <c r="AK674" s="29"/>
      <c r="AL674" s="29"/>
      <c r="AM674" s="29"/>
    </row>
    <row r="675">
      <c r="A675" s="31" t="s">
        <v>39</v>
      </c>
      <c r="B675" s="32">
        <v>20920.0</v>
      </c>
      <c r="C675" s="33" t="str">
        <f t="array" ref="C675">INDEX('MTA 28-09'!B:B,MATCH(B675,'MTA 28-09'!A:A,0))</f>
        <v>NÃO</v>
      </c>
      <c r="D675" s="34" t="str">
        <f t="array" ref="D675">INDEX('MTA 28-09'!D:D,MATCH(B675,'MTA 28-09'!A:A,0))</f>
        <v/>
      </c>
      <c r="E675" s="32" t="str">
        <f t="array" ref="E675">INDEX('MTA 28-09'!F:F,MATCH(B675,'MTA 28-09'!A:A,0))</f>
        <v/>
      </c>
      <c r="F675" s="155" t="str">
        <f t="array" ref="F675">INDEX('MTA 28-09'!I:I,MATCH(B675,'MTA 28-09'!A:A,0))</f>
        <v/>
      </c>
      <c r="G675" s="36" t="str">
        <f t="array" ref="G675">INDEX('MTA 28-09'!J:J,MATCH(B675,'MTA 28-09'!A:A,0))</f>
        <v/>
      </c>
      <c r="H675" s="287" t="s">
        <v>157</v>
      </c>
      <c r="I675" s="295"/>
      <c r="J675" s="39"/>
      <c r="K675" s="40"/>
      <c r="L675" s="39" t="str">
        <f t="array" ref="L675">INDEX('MTA 28-09'!S:S,MATCH(B675,'MTA 28-09'!A:A,0))</f>
        <v>A-29</v>
      </c>
      <c r="M675" s="32" t="str">
        <f t="array" ref="M675">INDEX('MTA 28-09'!T:T,MATCH(B675,'MTA 28-09'!A:A,0))</f>
        <v>2025-BAPV-37</v>
      </c>
      <c r="N675" s="32" t="str">
        <f t="array" ref="N675">INDEX('MTA 28-09'!U:U,MATCH(B675,'MTA 28-09'!A:A,0))</f>
        <v>PN 40K513 - FHASEC 3D KIT</v>
      </c>
      <c r="O675" s="59">
        <f t="array" ref="O675">INDEX('MTA 28-09'!AC:AC,MATCH(B675,'MTA 28-09'!A:A,0))</f>
        <v>193536</v>
      </c>
      <c r="P675" s="32" t="str">
        <f t="array" ref="P675">INDEX('MTA 28-09'!N:N,MATCH(B675,'MTA 28-09'!A:A,0))</f>
        <v>FMS</v>
      </c>
      <c r="Q675" s="67" t="str">
        <f t="array" ref="Q675">INDEX('MTA 28-09'!Z:Z,MATCH(B675,'MTA 28-09'!A:A,0))</f>
        <v>449052</v>
      </c>
      <c r="R675" s="32" t="str">
        <f t="array" ref="R675">INDEX('MTA 28-09'!L:L,MATCH(B675,'MTA 28-09'!A:A,0))</f>
        <v>C</v>
      </c>
      <c r="S675" s="72" t="str">
        <f t="array" ref="S675">INDEX('MTA 28-09'!X:X,MATCH(B675,'MTA 28-09'!A:A,0))</f>
        <v>REQUISIÇÃO</v>
      </c>
      <c r="T675" s="72" t="str">
        <f t="array" ref="T675">INDEX('MTA 28-09'!W:W,MATCH(B675,'MTA 28-09'!A:A,0))</f>
        <v>Não</v>
      </c>
      <c r="U675" s="81">
        <f t="array" ref="U675">INDEX('MTA 28-09'!AE:AE,MATCH(B675,'MTA 28-09'!A:A,0))</f>
        <v>46168</v>
      </c>
      <c r="V675" s="12"/>
      <c r="W675" s="12"/>
      <c r="X675" s="12"/>
      <c r="Y675" s="12"/>
      <c r="Z675" s="12"/>
      <c r="AA675" s="12"/>
      <c r="AB675" s="12"/>
      <c r="AC675" s="12"/>
      <c r="AD675" s="12"/>
      <c r="AE675" s="12"/>
      <c r="AF675" s="12"/>
      <c r="AG675" s="12"/>
      <c r="AH675" s="12"/>
      <c r="AI675" s="12"/>
      <c r="AJ675" s="12"/>
      <c r="AK675" s="12"/>
      <c r="AL675" s="12"/>
      <c r="AM675" s="12"/>
    </row>
    <row r="676">
      <c r="A676" s="88" t="s">
        <v>39</v>
      </c>
      <c r="B676" s="98">
        <v>20940.0</v>
      </c>
      <c r="C676" s="92" t="str">
        <f t="array" ref="C676">INDEX('MTA 28-09'!B:B,MATCH(B676,'MTA 28-09'!A:A,0))</f>
        <v>NÃO</v>
      </c>
      <c r="D676" s="95" t="str">
        <f t="array" ref="D676">INDEX('MTA 28-09'!D:D,MATCH(B676,'MTA 28-09'!A:A,0))</f>
        <v/>
      </c>
      <c r="E676" s="98" t="str">
        <f t="array" ref="E676">INDEX('MTA 28-09'!F:F,MATCH(B676,'MTA 28-09'!A:A,0))</f>
        <v/>
      </c>
      <c r="F676" s="423" t="str">
        <f t="array" ref="F676">INDEX('MTA 28-09'!I:I,MATCH(B676,'MTA 28-09'!A:A,0))</f>
        <v/>
      </c>
      <c r="G676" s="100" t="str">
        <f t="array" ref="G676">INDEX('MTA 28-09'!J:J,MATCH(B676,'MTA 28-09'!A:A,0))</f>
        <v/>
      </c>
      <c r="H676" s="159" t="s">
        <v>157</v>
      </c>
      <c r="I676" s="296"/>
      <c r="J676" s="102"/>
      <c r="K676" s="103"/>
      <c r="L676" s="102" t="str">
        <f t="array" ref="L676">INDEX('MTA 28-09'!S:S,MATCH(B676,'MTA 28-09'!A:A,0))</f>
        <v>A-29</v>
      </c>
      <c r="M676" s="98" t="str">
        <f t="array" ref="M676">INDEX('MTA 28-09'!T:T,MATCH(B676,'MTA 28-09'!A:A,0))</f>
        <v>2022-EDA-01</v>
      </c>
      <c r="N676" s="98" t="str">
        <f t="array" ref="N676">INDEX('MTA 28-09'!U:U,MATCH(B676,'MTA 28-09'!A:A,0))</f>
        <v>PN AGE-02700-401 - DISPOS. VERIF. NÍVEL COMB. COLETOR TQ FUS</v>
      </c>
      <c r="O676" s="104">
        <f t="array" ref="O676">INDEX('MTA 28-09'!AC:AC,MATCH(B676,'MTA 28-09'!A:A,0))</f>
        <v>7920</v>
      </c>
      <c r="P676" s="98" t="str">
        <f t="array" ref="P676">INDEX('MTA 28-09'!N:N,MATCH(B676,'MTA 28-09'!A:A,0))</f>
        <v>FMS</v>
      </c>
      <c r="Q676" s="105" t="str">
        <f t="array" ref="Q676">INDEX('MTA 28-09'!Z:Z,MATCH(B676,'MTA 28-09'!A:A,0))</f>
        <v>449052</v>
      </c>
      <c r="R676" s="98" t="str">
        <f t="array" ref="R676">INDEX('MTA 28-09'!L:L,MATCH(B676,'MTA 28-09'!A:A,0))</f>
        <v>C</v>
      </c>
      <c r="S676" s="107" t="str">
        <f t="array" ref="S676">INDEX('MTA 28-09'!X:X,MATCH(B676,'MTA 28-09'!A:A,0))</f>
        <v>REQUISIÇÃO</v>
      </c>
      <c r="T676" s="107" t="str">
        <f t="array" ref="T676">INDEX('MTA 28-09'!W:W,MATCH(B676,'MTA 28-09'!A:A,0))</f>
        <v>Não</v>
      </c>
      <c r="U676" s="109">
        <f t="array" ref="U676">INDEX('MTA 28-09'!AE:AE,MATCH(B676,'MTA 28-09'!A:A,0))</f>
        <v>46168</v>
      </c>
      <c r="V676" s="29"/>
      <c r="W676" s="29"/>
      <c r="X676" s="29"/>
      <c r="Y676" s="29"/>
      <c r="Z676" s="29"/>
      <c r="AA676" s="29"/>
      <c r="AB676" s="29"/>
      <c r="AC676" s="29"/>
      <c r="AD676" s="29"/>
      <c r="AE676" s="29"/>
      <c r="AF676" s="29"/>
      <c r="AG676" s="29"/>
      <c r="AH676" s="29"/>
      <c r="AI676" s="29"/>
      <c r="AJ676" s="29"/>
      <c r="AK676" s="29"/>
      <c r="AL676" s="29"/>
      <c r="AM676" s="29"/>
    </row>
    <row r="677">
      <c r="A677" s="31" t="s">
        <v>39</v>
      </c>
      <c r="B677" s="32">
        <v>20960.0</v>
      </c>
      <c r="C677" s="33" t="str">
        <f t="array" ref="C677">INDEX('MTA 28-09'!B:B,MATCH(B677,'MTA 28-09'!A:A,0))</f>
        <v>NÃO</v>
      </c>
      <c r="D677" s="34" t="str">
        <f t="array" ref="D677">INDEX('MTA 28-09'!D:D,MATCH(B677,'MTA 28-09'!A:A,0))</f>
        <v/>
      </c>
      <c r="E677" s="32" t="str">
        <f t="array" ref="E677">INDEX('MTA 28-09'!F:F,MATCH(B677,'MTA 28-09'!A:A,0))</f>
        <v/>
      </c>
      <c r="F677" s="420" t="str">
        <f t="array" ref="F677">INDEX('MTA 28-09'!I:I,MATCH(B677,'MTA 28-09'!A:A,0))</f>
        <v/>
      </c>
      <c r="G677" s="36" t="str">
        <f t="array" ref="G677">INDEX('MTA 28-09'!J:J,MATCH(B677,'MTA 28-09'!A:A,0))</f>
        <v/>
      </c>
      <c r="H677" s="287" t="s">
        <v>157</v>
      </c>
      <c r="I677" s="295"/>
      <c r="J677" s="39"/>
      <c r="K677" s="40"/>
      <c r="L677" s="39" t="str">
        <f t="array" ref="L677">INDEX('MTA 28-09'!S:S,MATCH(B677,'MTA 28-09'!A:A,0))</f>
        <v>A-29</v>
      </c>
      <c r="M677" s="32" t="str">
        <f t="array" ref="M677">INDEX('MTA 28-09'!T:T,MATCH(B677,'MTA 28-09'!A:A,0))</f>
        <v>2022-EDA-02</v>
      </c>
      <c r="N677" s="32" t="str">
        <f t="array" ref="N677">INDEX('MTA 28-09'!U:U,MATCH(B677,'MTA 28-09'!A:A,0))</f>
        <v>PN AGE-04701-401 - TEST STATION,FUEL C</v>
      </c>
      <c r="O677" s="59">
        <f t="array" ref="O677">INDEX('MTA 28-09'!AC:AC,MATCH(B677,'MTA 28-09'!A:A,0))</f>
        <v>6912</v>
      </c>
      <c r="P677" s="32" t="str">
        <f t="array" ref="P677">INDEX('MTA 28-09'!N:N,MATCH(B677,'MTA 28-09'!A:A,0))</f>
        <v>CELOG</v>
      </c>
      <c r="Q677" s="67" t="str">
        <f t="array" ref="Q677">INDEX('MTA 28-09'!Z:Z,MATCH(B677,'MTA 28-09'!A:A,0))</f>
        <v>449052</v>
      </c>
      <c r="R677" s="32" t="str">
        <f t="array" ref="R677">INDEX('MTA 28-09'!L:L,MATCH(B677,'MTA 28-09'!A:A,0))</f>
        <v>C</v>
      </c>
      <c r="S677" s="72" t="str">
        <f t="array" ref="S677">INDEX('MTA 28-09'!X:X,MATCH(B677,'MTA 28-09'!A:A,0))</f>
        <v>REQUISIÇÃO</v>
      </c>
      <c r="T677" s="72" t="str">
        <f t="array" ref="T677">INDEX('MTA 28-09'!W:W,MATCH(B677,'MTA 28-09'!A:A,0))</f>
        <v>Não</v>
      </c>
      <c r="U677" s="81">
        <f t="array" ref="U677">INDEX('MTA 28-09'!AE:AE,MATCH(B677,'MTA 28-09'!A:A,0))</f>
        <v>46168</v>
      </c>
      <c r="V677" s="12"/>
      <c r="W677" s="12"/>
      <c r="X677" s="12"/>
      <c r="Y677" s="12"/>
      <c r="Z677" s="12"/>
      <c r="AA677" s="12"/>
      <c r="AB677" s="12"/>
      <c r="AC677" s="12"/>
      <c r="AD677" s="12"/>
      <c r="AE677" s="12"/>
      <c r="AF677" s="12"/>
      <c r="AG677" s="12"/>
      <c r="AH677" s="12"/>
      <c r="AI677" s="12"/>
      <c r="AJ677" s="12"/>
      <c r="AK677" s="12"/>
      <c r="AL677" s="12"/>
      <c r="AM677" s="12"/>
    </row>
    <row r="678">
      <c r="A678" s="88" t="s">
        <v>39</v>
      </c>
      <c r="B678" s="98">
        <v>20980.0</v>
      </c>
      <c r="C678" s="92" t="str">
        <f t="array" ref="C678">INDEX('MTA 28-09'!B:B,MATCH(B678,'MTA 28-09'!A:A,0))</f>
        <v>NÃO</v>
      </c>
      <c r="D678" s="95" t="str">
        <f t="array" ref="D678">INDEX('MTA 28-09'!D:D,MATCH(B678,'MTA 28-09'!A:A,0))</f>
        <v/>
      </c>
      <c r="E678" s="98" t="str">
        <f t="array" ref="E678">INDEX('MTA 28-09'!F:F,MATCH(B678,'MTA 28-09'!A:A,0))</f>
        <v/>
      </c>
      <c r="F678" s="144" t="str">
        <f t="array" ref="F678">INDEX('MTA 28-09'!I:I,MATCH(B678,'MTA 28-09'!A:A,0))</f>
        <v/>
      </c>
      <c r="G678" s="100" t="str">
        <f t="array" ref="G678">INDEX('MTA 28-09'!J:J,MATCH(B678,'MTA 28-09'!A:A,0))</f>
        <v/>
      </c>
      <c r="H678" s="159" t="s">
        <v>157</v>
      </c>
      <c r="I678" s="296"/>
      <c r="J678" s="102"/>
      <c r="K678" s="103"/>
      <c r="L678" s="102" t="str">
        <f t="array" ref="L678">INDEX('MTA 28-09'!S:S,MATCH(B678,'MTA 28-09'!A:A,0))</f>
        <v>A-29</v>
      </c>
      <c r="M678" s="98" t="str">
        <f t="array" ref="M678">INDEX('MTA 28-09'!T:T,MATCH(B678,'MTA 28-09'!A:A,0))</f>
        <v>2022-EDA-03</v>
      </c>
      <c r="N678" s="98" t="str">
        <f t="array" ref="N678">INDEX('MTA 28-09'!U:U,MATCH(B678,'MTA 28-09'!A:A,0))</f>
        <v>PN 314T06840-401 - DISPOSITIVO - TESTE CONTROLE DE VOO, CAIXA DO MANCHE</v>
      </c>
      <c r="O678" s="104">
        <f t="array" ref="O678">INDEX('MTA 28-09'!AC:AC,MATCH(B678,'MTA 28-09'!A:A,0))</f>
        <v>14346.09</v>
      </c>
      <c r="P678" s="98" t="str">
        <f t="array" ref="P678">INDEX('MTA 28-09'!N:N,MATCH(B678,'MTA 28-09'!A:A,0))</f>
        <v>FMS</v>
      </c>
      <c r="Q678" s="105" t="str">
        <f t="array" ref="Q678">INDEX('MTA 28-09'!Z:Z,MATCH(B678,'MTA 28-09'!A:A,0))</f>
        <v>449052</v>
      </c>
      <c r="R678" s="98" t="str">
        <f t="array" ref="R678">INDEX('MTA 28-09'!L:L,MATCH(B678,'MTA 28-09'!A:A,0))</f>
        <v>C</v>
      </c>
      <c r="S678" s="107" t="str">
        <f t="array" ref="S678">INDEX('MTA 28-09'!X:X,MATCH(B678,'MTA 28-09'!A:A,0))</f>
        <v>REQUISIÇÃO</v>
      </c>
      <c r="T678" s="107" t="str">
        <f t="array" ref="T678">INDEX('MTA 28-09'!W:W,MATCH(B678,'MTA 28-09'!A:A,0))</f>
        <v>Não</v>
      </c>
      <c r="U678" s="109">
        <f t="array" ref="U678">INDEX('MTA 28-09'!AE:AE,MATCH(B678,'MTA 28-09'!A:A,0))</f>
        <v>46168</v>
      </c>
      <c r="V678" s="29"/>
      <c r="W678" s="29"/>
      <c r="X678" s="29"/>
      <c r="Y678" s="29"/>
      <c r="Z678" s="29"/>
      <c r="AA678" s="29"/>
      <c r="AB678" s="29"/>
      <c r="AC678" s="29"/>
      <c r="AD678" s="29"/>
      <c r="AE678" s="29"/>
      <c r="AF678" s="29"/>
      <c r="AG678" s="29"/>
      <c r="AH678" s="29"/>
      <c r="AI678" s="29"/>
      <c r="AJ678" s="29"/>
      <c r="AK678" s="29"/>
      <c r="AL678" s="29"/>
      <c r="AM678" s="29"/>
    </row>
    <row r="679">
      <c r="A679" s="31" t="s">
        <v>39</v>
      </c>
      <c r="B679" s="32">
        <v>21000.0</v>
      </c>
      <c r="C679" s="33" t="str">
        <f t="array" ref="C679">INDEX('MTA 28-09'!B:B,MATCH(B679,'MTA 28-09'!A:A,0))</f>
        <v>NÃO</v>
      </c>
      <c r="D679" s="34" t="str">
        <f t="array" ref="D679">INDEX('MTA 28-09'!D:D,MATCH(B679,'MTA 28-09'!A:A,0))</f>
        <v/>
      </c>
      <c r="E679" s="32" t="str">
        <f t="array" ref="E679">INDEX('MTA 28-09'!F:F,MATCH(B679,'MTA 28-09'!A:A,0))</f>
        <v/>
      </c>
      <c r="F679" s="155" t="str">
        <f t="array" ref="F679">INDEX('MTA 28-09'!I:I,MATCH(B679,'MTA 28-09'!A:A,0))</f>
        <v/>
      </c>
      <c r="G679" s="36" t="str">
        <f t="array" ref="G679">INDEX('MTA 28-09'!J:J,MATCH(B679,'MTA 28-09'!A:A,0))</f>
        <v/>
      </c>
      <c r="H679" s="287" t="s">
        <v>157</v>
      </c>
      <c r="I679" s="295"/>
      <c r="J679" s="39"/>
      <c r="K679" s="40"/>
      <c r="L679" s="39" t="str">
        <f t="array" ref="L679">INDEX('MTA 28-09'!S:S,MATCH(B679,'MTA 28-09'!A:A,0))</f>
        <v>A-29</v>
      </c>
      <c r="M679" s="32" t="str">
        <f t="array" ref="M679">INDEX('MTA 28-09'!T:T,MATCH(B679,'MTA 28-09'!A:A,0))</f>
        <v>2022-EDA-05</v>
      </c>
      <c r="N679" s="32" t="str">
        <f t="array" ref="N679">INDEX('MTA 28-09'!U:U,MATCH(B679,'MTA 28-09'!A:A,0))</f>
        <v>PN AGE-02465-401 - DISPOSITIVO PARA VERIFICAÇÃO DO NÍVEL DO TANQUE COLETOR DA ASA</v>
      </c>
      <c r="O679" s="59">
        <f t="array" ref="O679">INDEX('MTA 28-09'!AC:AC,MATCH(B679,'MTA 28-09'!A:A,0))</f>
        <v>11443.52</v>
      </c>
      <c r="P679" s="32" t="str">
        <f t="array" ref="P679">INDEX('MTA 28-09'!N:N,MATCH(B679,'MTA 28-09'!A:A,0))</f>
        <v>FMS</v>
      </c>
      <c r="Q679" s="67" t="str">
        <f t="array" ref="Q679">INDEX('MTA 28-09'!Z:Z,MATCH(B679,'MTA 28-09'!A:A,0))</f>
        <v>449052</v>
      </c>
      <c r="R679" s="32" t="str">
        <f t="array" ref="R679">INDEX('MTA 28-09'!L:L,MATCH(B679,'MTA 28-09'!A:A,0))</f>
        <v>C</v>
      </c>
      <c r="S679" s="72" t="str">
        <f t="array" ref="S679">INDEX('MTA 28-09'!X:X,MATCH(B679,'MTA 28-09'!A:A,0))</f>
        <v>REQUISIÇÃO</v>
      </c>
      <c r="T679" s="72" t="str">
        <f t="array" ref="T679">INDEX('MTA 28-09'!W:W,MATCH(B679,'MTA 28-09'!A:A,0))</f>
        <v>Não</v>
      </c>
      <c r="U679" s="81">
        <f t="array" ref="U679">INDEX('MTA 28-09'!AE:AE,MATCH(B679,'MTA 28-09'!A:A,0))</f>
        <v>46168</v>
      </c>
      <c r="V679" s="12"/>
      <c r="W679" s="12"/>
      <c r="X679" s="12"/>
      <c r="Y679" s="12"/>
      <c r="Z679" s="12"/>
      <c r="AA679" s="12"/>
      <c r="AB679" s="12"/>
      <c r="AC679" s="12"/>
      <c r="AD679" s="12"/>
      <c r="AE679" s="12"/>
      <c r="AF679" s="12"/>
      <c r="AG679" s="12"/>
      <c r="AH679" s="12"/>
      <c r="AI679" s="12"/>
      <c r="AJ679" s="12"/>
      <c r="AK679" s="12"/>
      <c r="AL679" s="12"/>
      <c r="AM679" s="12"/>
    </row>
    <row r="680">
      <c r="A680" s="88" t="s">
        <v>39</v>
      </c>
      <c r="B680" s="98">
        <v>21020.0</v>
      </c>
      <c r="C680" s="92" t="str">
        <f t="array" ref="C680">INDEX('MTA 28-09'!B:B,MATCH(B680,'MTA 28-09'!A:A,0))</f>
        <v>NÃO</v>
      </c>
      <c r="D680" s="95" t="str">
        <f t="array" ref="D680">INDEX('MTA 28-09'!D:D,MATCH(B680,'MTA 28-09'!A:A,0))</f>
        <v/>
      </c>
      <c r="E680" s="98" t="str">
        <f t="array" ref="E680">INDEX('MTA 28-09'!F:F,MATCH(B680,'MTA 28-09'!A:A,0))</f>
        <v/>
      </c>
      <c r="F680" s="152" t="str">
        <f t="array" ref="F680">INDEX('MTA 28-09'!I:I,MATCH(B680,'MTA 28-09'!A:A,0))</f>
        <v/>
      </c>
      <c r="G680" s="100" t="str">
        <f t="array" ref="G680">INDEX('MTA 28-09'!J:J,MATCH(B680,'MTA 28-09'!A:A,0))</f>
        <v/>
      </c>
      <c r="H680" s="159" t="s">
        <v>157</v>
      </c>
      <c r="I680" s="296"/>
      <c r="J680" s="102"/>
      <c r="K680" s="103"/>
      <c r="L680" s="102" t="str">
        <f t="array" ref="L680">INDEX('MTA 28-09'!S:S,MATCH(B680,'MTA 28-09'!A:A,0))</f>
        <v>A-29</v>
      </c>
      <c r="M680" s="98" t="str">
        <f t="array" ref="M680">INDEX('MTA 28-09'!T:T,MATCH(B680,'MTA 28-09'!A:A,0))</f>
        <v>2022-EDA-07</v>
      </c>
      <c r="N680" s="98" t="str">
        <f t="array" ref="N680">INDEX('MTA 28-09'!U:U,MATCH(B680,'MTA 28-09'!A:A,0))</f>
        <v>PN AGE-04320-401 - TRANSFERIDOR</v>
      </c>
      <c r="O680" s="104">
        <f t="array" ref="O680">INDEX('MTA 28-09'!AC:AC,MATCH(B680,'MTA 28-09'!A:A,0))</f>
        <v>9057.02</v>
      </c>
      <c r="P680" s="98" t="str">
        <f t="array" ref="P680">INDEX('MTA 28-09'!N:N,MATCH(B680,'MTA 28-09'!A:A,0))</f>
        <v>FMS</v>
      </c>
      <c r="Q680" s="105" t="str">
        <f t="array" ref="Q680">INDEX('MTA 28-09'!Z:Z,MATCH(B680,'MTA 28-09'!A:A,0))</f>
        <v>449052</v>
      </c>
      <c r="R680" s="98" t="str">
        <f t="array" ref="R680">INDEX('MTA 28-09'!L:L,MATCH(B680,'MTA 28-09'!A:A,0))</f>
        <v>C</v>
      </c>
      <c r="S680" s="107" t="str">
        <f t="array" ref="S680">INDEX('MTA 28-09'!X:X,MATCH(B680,'MTA 28-09'!A:A,0))</f>
        <v>REQUISIÇÃO</v>
      </c>
      <c r="T680" s="107" t="str">
        <f t="array" ref="T680">INDEX('MTA 28-09'!W:W,MATCH(B680,'MTA 28-09'!A:A,0))</f>
        <v>Não</v>
      </c>
      <c r="U680" s="109">
        <f t="array" ref="U680">INDEX('MTA 28-09'!AE:AE,MATCH(B680,'MTA 28-09'!A:A,0))</f>
        <v>46168</v>
      </c>
      <c r="V680" s="29"/>
      <c r="W680" s="29"/>
      <c r="X680" s="29"/>
      <c r="Y680" s="29"/>
      <c r="Z680" s="29"/>
      <c r="AA680" s="29"/>
      <c r="AB680" s="29"/>
      <c r="AC680" s="29"/>
      <c r="AD680" s="29"/>
      <c r="AE680" s="29"/>
      <c r="AF680" s="29"/>
      <c r="AG680" s="29"/>
      <c r="AH680" s="29"/>
      <c r="AI680" s="29"/>
      <c r="AJ680" s="29"/>
      <c r="AK680" s="29"/>
      <c r="AL680" s="29"/>
      <c r="AM680" s="29"/>
    </row>
    <row r="681">
      <c r="A681" s="31" t="s">
        <v>39</v>
      </c>
      <c r="B681" s="32">
        <v>21040.0</v>
      </c>
      <c r="C681" s="33" t="str">
        <f t="array" ref="C681">INDEX('MTA 28-09'!B:B,MATCH(B681,'MTA 28-09'!A:A,0))</f>
        <v>NÃO</v>
      </c>
      <c r="D681" s="34" t="str">
        <f t="array" ref="D681">INDEX('MTA 28-09'!D:D,MATCH(B681,'MTA 28-09'!A:A,0))</f>
        <v/>
      </c>
      <c r="E681" s="32" t="str">
        <f t="array" ref="E681">INDEX('MTA 28-09'!F:F,MATCH(B681,'MTA 28-09'!A:A,0))</f>
        <v/>
      </c>
      <c r="F681" s="155" t="str">
        <f t="array" ref="F681">INDEX('MTA 28-09'!I:I,MATCH(B681,'MTA 28-09'!A:A,0))</f>
        <v/>
      </c>
      <c r="G681" s="36" t="str">
        <f t="array" ref="G681">INDEX('MTA 28-09'!J:J,MATCH(B681,'MTA 28-09'!A:A,0))</f>
        <v/>
      </c>
      <c r="H681" s="287" t="s">
        <v>157</v>
      </c>
      <c r="I681" s="295"/>
      <c r="J681" s="39"/>
      <c r="K681" s="40"/>
      <c r="L681" s="39" t="str">
        <f t="array" ref="L681">INDEX('MTA 28-09'!S:S,MATCH(B681,'MTA 28-09'!A:A,0))</f>
        <v>A-29</v>
      </c>
      <c r="M681" s="32" t="str">
        <f t="array" ref="M681">INDEX('MTA 28-09'!T:T,MATCH(B681,'MTA 28-09'!A:A,0))</f>
        <v>2022-EDA-08</v>
      </c>
      <c r="N681" s="32" t="str">
        <f t="array" ref="N681">INDEX('MTA 28-09'!U:U,MATCH(B681,'MTA 28-09'!A:A,0))</f>
        <v>PN AGE-01575-401 - ADAPTADOR PARA TROCA DE RODA DO TREM DE POUSO PRINCIPAL</v>
      </c>
      <c r="O681" s="59">
        <f t="array" ref="O681">INDEX('MTA 28-09'!AC:AC,MATCH(B681,'MTA 28-09'!A:A,0))</f>
        <v>18459.87</v>
      </c>
      <c r="P681" s="32" t="str">
        <f t="array" ref="P681">INDEX('MTA 28-09'!N:N,MATCH(B681,'MTA 28-09'!A:A,0))</f>
        <v>FMS</v>
      </c>
      <c r="Q681" s="67" t="str">
        <f t="array" ref="Q681">INDEX('MTA 28-09'!Z:Z,MATCH(B681,'MTA 28-09'!A:A,0))</f>
        <v>449052</v>
      </c>
      <c r="R681" s="32" t="str">
        <f t="array" ref="R681">INDEX('MTA 28-09'!L:L,MATCH(B681,'MTA 28-09'!A:A,0))</f>
        <v>C</v>
      </c>
      <c r="S681" s="72" t="str">
        <f t="array" ref="S681">INDEX('MTA 28-09'!X:X,MATCH(B681,'MTA 28-09'!A:A,0))</f>
        <v>REQUISIÇÃO</v>
      </c>
      <c r="T681" s="72" t="str">
        <f t="array" ref="T681">INDEX('MTA 28-09'!W:W,MATCH(B681,'MTA 28-09'!A:A,0))</f>
        <v>Não</v>
      </c>
      <c r="U681" s="81">
        <f t="array" ref="U681">INDEX('MTA 28-09'!AE:AE,MATCH(B681,'MTA 28-09'!A:A,0))</f>
        <v>46168</v>
      </c>
      <c r="V681" s="12"/>
      <c r="W681" s="12"/>
      <c r="X681" s="12"/>
      <c r="Y681" s="12"/>
      <c r="Z681" s="12"/>
      <c r="AA681" s="12"/>
      <c r="AB681" s="12"/>
      <c r="AC681" s="12"/>
      <c r="AD681" s="12"/>
      <c r="AE681" s="12"/>
      <c r="AF681" s="12"/>
      <c r="AG681" s="12"/>
      <c r="AH681" s="12"/>
      <c r="AI681" s="12"/>
      <c r="AJ681" s="12"/>
      <c r="AK681" s="12"/>
      <c r="AL681" s="12"/>
      <c r="AM681" s="12"/>
    </row>
    <row r="682">
      <c r="A682" s="88" t="s">
        <v>39</v>
      </c>
      <c r="B682" s="98">
        <v>21060.0</v>
      </c>
      <c r="C682" s="92" t="str">
        <f t="array" ref="C682">INDEX('MTA 28-09'!B:B,MATCH(B682,'MTA 28-09'!A:A,0))</f>
        <v>NÃO</v>
      </c>
      <c r="D682" s="95" t="str">
        <f t="array" ref="D682">INDEX('MTA 28-09'!D:D,MATCH(B682,'MTA 28-09'!A:A,0))</f>
        <v/>
      </c>
      <c r="E682" s="98" t="str">
        <f t="array" ref="E682">INDEX('MTA 28-09'!F:F,MATCH(B682,'MTA 28-09'!A:A,0))</f>
        <v/>
      </c>
      <c r="F682" s="152" t="str">
        <f t="array" ref="F682">INDEX('MTA 28-09'!I:I,MATCH(B682,'MTA 28-09'!A:A,0))</f>
        <v/>
      </c>
      <c r="G682" s="100" t="str">
        <f t="array" ref="G682">INDEX('MTA 28-09'!J:J,MATCH(B682,'MTA 28-09'!A:A,0))</f>
        <v/>
      </c>
      <c r="H682" s="159" t="s">
        <v>157</v>
      </c>
      <c r="I682" s="296"/>
      <c r="J682" s="102"/>
      <c r="K682" s="103"/>
      <c r="L682" s="102" t="str">
        <f t="array" ref="L682">INDEX('MTA 28-09'!S:S,MATCH(B682,'MTA 28-09'!A:A,0))</f>
        <v>A-29</v>
      </c>
      <c r="M682" s="98" t="str">
        <f t="array" ref="M682">INDEX('MTA 28-09'!T:T,MATCH(B682,'MTA 28-09'!A:A,0))</f>
        <v>2022-EDA-10</v>
      </c>
      <c r="N682" s="98" t="str">
        <f t="array" ref="N682">INDEX('MTA 28-09'!U:U,MATCH(B682,'MTA 28-09'!A:A,0))</f>
        <v>PN AGE-01588-401 - ADAPTADOR TROCA DE RODA - NLG</v>
      </c>
      <c r="O682" s="104">
        <f t="array" ref="O682">INDEX('MTA 28-09'!AC:AC,MATCH(B682,'MTA 28-09'!A:A,0))</f>
        <v>14649.85</v>
      </c>
      <c r="P682" s="98" t="str">
        <f t="array" ref="P682">INDEX('MTA 28-09'!N:N,MATCH(B682,'MTA 28-09'!A:A,0))</f>
        <v>FMS</v>
      </c>
      <c r="Q682" s="105" t="str">
        <f t="array" ref="Q682">INDEX('MTA 28-09'!Z:Z,MATCH(B682,'MTA 28-09'!A:A,0))</f>
        <v>449052</v>
      </c>
      <c r="R682" s="98" t="str">
        <f t="array" ref="R682">INDEX('MTA 28-09'!L:L,MATCH(B682,'MTA 28-09'!A:A,0))</f>
        <v>C</v>
      </c>
      <c r="S682" s="107" t="str">
        <f t="array" ref="S682">INDEX('MTA 28-09'!X:X,MATCH(B682,'MTA 28-09'!A:A,0))</f>
        <v>REQUISIÇÃO</v>
      </c>
      <c r="T682" s="107" t="str">
        <f t="array" ref="T682">INDEX('MTA 28-09'!W:W,MATCH(B682,'MTA 28-09'!A:A,0))</f>
        <v>Não</v>
      </c>
      <c r="U682" s="109">
        <f t="array" ref="U682">INDEX('MTA 28-09'!AE:AE,MATCH(B682,'MTA 28-09'!A:A,0))</f>
        <v>46168</v>
      </c>
      <c r="V682" s="29"/>
      <c r="W682" s="29"/>
      <c r="X682" s="29"/>
      <c r="Y682" s="29"/>
      <c r="Z682" s="29"/>
      <c r="AA682" s="29"/>
      <c r="AB682" s="29"/>
      <c r="AC682" s="29"/>
      <c r="AD682" s="29"/>
      <c r="AE682" s="29"/>
      <c r="AF682" s="29"/>
      <c r="AG682" s="29"/>
      <c r="AH682" s="29"/>
      <c r="AI682" s="29"/>
      <c r="AJ682" s="29"/>
      <c r="AK682" s="29"/>
      <c r="AL682" s="29"/>
      <c r="AM682" s="29"/>
    </row>
    <row r="683">
      <c r="A683" s="31" t="s">
        <v>39</v>
      </c>
      <c r="B683" s="32">
        <v>21080.0</v>
      </c>
      <c r="C683" s="33" t="str">
        <f t="array" ref="C683">INDEX('MTA 28-09'!B:B,MATCH(B683,'MTA 28-09'!A:A,0))</f>
        <v>NÃO</v>
      </c>
      <c r="D683" s="34" t="str">
        <f t="array" ref="D683">INDEX('MTA 28-09'!D:D,MATCH(B683,'MTA 28-09'!A:A,0))</f>
        <v/>
      </c>
      <c r="E683" s="32" t="str">
        <f t="array" ref="E683">INDEX('MTA 28-09'!F:F,MATCH(B683,'MTA 28-09'!A:A,0))</f>
        <v/>
      </c>
      <c r="F683" s="137" t="str">
        <f t="array" ref="F683">INDEX('MTA 28-09'!I:I,MATCH(B683,'MTA 28-09'!A:A,0))</f>
        <v/>
      </c>
      <c r="G683" s="36" t="str">
        <f t="array" ref="G683">INDEX('MTA 28-09'!J:J,MATCH(B683,'MTA 28-09'!A:A,0))</f>
        <v/>
      </c>
      <c r="H683" s="287" t="s">
        <v>157</v>
      </c>
      <c r="I683" s="295"/>
      <c r="J683" s="39"/>
      <c r="K683" s="40"/>
      <c r="L683" s="39" t="str">
        <f t="array" ref="L683">INDEX('MTA 28-09'!S:S,MATCH(B683,'MTA 28-09'!A:A,0))</f>
        <v>A-29</v>
      </c>
      <c r="M683" s="32" t="str">
        <f t="array" ref="M683">INDEX('MTA 28-09'!T:T,MATCH(B683,'MTA 28-09'!A:A,0))</f>
        <v>2025-PAMALS-31</v>
      </c>
      <c r="N683" s="32" t="str">
        <f t="array" ref="N683">INDEX('MTA 28-09'!U:U,MATCH(B683,'MTA 28-09'!A:A,0))</f>
        <v>PN 40K513 - FHASEC 3D KIT</v>
      </c>
      <c r="O683" s="59">
        <f t="array" ref="O683">INDEX('MTA 28-09'!AC:AC,MATCH(B683,'MTA 28-09'!A:A,0))</f>
        <v>193536</v>
      </c>
      <c r="P683" s="32" t="str">
        <f t="array" ref="P683">INDEX('MTA 28-09'!N:N,MATCH(B683,'MTA 28-09'!A:A,0))</f>
        <v>FMS</v>
      </c>
      <c r="Q683" s="67" t="str">
        <f t="array" ref="Q683">INDEX('MTA 28-09'!Z:Z,MATCH(B683,'MTA 28-09'!A:A,0))</f>
        <v>449052</v>
      </c>
      <c r="R683" s="32" t="str">
        <f t="array" ref="R683">INDEX('MTA 28-09'!L:L,MATCH(B683,'MTA 28-09'!A:A,0))</f>
        <v>C</v>
      </c>
      <c r="S683" s="72" t="str">
        <f t="array" ref="S683">INDEX('MTA 28-09'!X:X,MATCH(B683,'MTA 28-09'!A:A,0))</f>
        <v>REQUISIÇÃO</v>
      </c>
      <c r="T683" s="72" t="str">
        <f t="array" ref="T683">INDEX('MTA 28-09'!W:W,MATCH(B683,'MTA 28-09'!A:A,0))</f>
        <v>Não</v>
      </c>
      <c r="U683" s="81">
        <f t="array" ref="U683">INDEX('MTA 28-09'!AE:AE,MATCH(B683,'MTA 28-09'!A:A,0))</f>
        <v>46168</v>
      </c>
      <c r="V683" s="12"/>
      <c r="W683" s="12"/>
      <c r="X683" s="12"/>
      <c r="Y683" s="12"/>
      <c r="Z683" s="12"/>
      <c r="AA683" s="12"/>
      <c r="AB683" s="12"/>
      <c r="AC683" s="12"/>
      <c r="AD683" s="12"/>
      <c r="AE683" s="12"/>
      <c r="AF683" s="12"/>
      <c r="AG683" s="12"/>
      <c r="AH683" s="12"/>
      <c r="AI683" s="12"/>
      <c r="AJ683" s="12"/>
      <c r="AK683" s="12"/>
      <c r="AL683" s="12"/>
      <c r="AM683" s="12"/>
    </row>
    <row r="684">
      <c r="A684" s="88" t="s">
        <v>43</v>
      </c>
      <c r="B684" s="98">
        <v>21100.0</v>
      </c>
      <c r="C684" s="92" t="str">
        <f t="array" ref="C684">INDEX('MTA 28-09'!B:B,MATCH(B684,'MTA 28-09'!A:A,0))</f>
        <v>NÃO</v>
      </c>
      <c r="D684" s="95" t="str">
        <f t="array" ref="D684">INDEX('MTA 28-09'!D:D,MATCH(B684,'MTA 28-09'!A:A,0))</f>
        <v/>
      </c>
      <c r="E684" s="98" t="str">
        <f t="array" ref="E684">INDEX('MTA 28-09'!F:F,MATCH(B684,'MTA 28-09'!A:A,0))</f>
        <v/>
      </c>
      <c r="F684" s="152" t="str">
        <f t="array" ref="F684">INDEX('MTA 28-09'!I:I,MATCH(B684,'MTA 28-09'!A:A,0))</f>
        <v/>
      </c>
      <c r="G684" s="100" t="str">
        <f t="array" ref="G684">INDEX('MTA 28-09'!J:J,MATCH(B684,'MTA 28-09'!A:A,0))</f>
        <v/>
      </c>
      <c r="H684" s="159" t="s">
        <v>157</v>
      </c>
      <c r="I684" s="296"/>
      <c r="J684" s="102"/>
      <c r="K684" s="103"/>
      <c r="L684" s="102" t="str">
        <f t="array" ref="L684">INDEX('MTA 28-09'!S:S,MATCH(B684,'MTA 28-09'!A:A,0))</f>
        <v>C-95M</v>
      </c>
      <c r="M684" s="98" t="str">
        <f t="array" ref="M684">INDEX('MTA 28-09'!T:T,MATCH(B684,'MTA 28-09'!A:A,0))</f>
        <v>2025-BABE-02</v>
      </c>
      <c r="N684" s="98" t="str">
        <f t="array" ref="N684">INDEX('MTA 28-09'!U:U,MATCH(B684,'MTA 28-09'!A:A,0))</f>
        <v>PN 4A-9830-W13H - QTU CARRO LIMPEZA DE TOALET</v>
      </c>
      <c r="O684" s="104">
        <f t="array" ref="O684">INDEX('MTA 28-09'!AC:AC,MATCH(B684,'MTA 28-09'!A:A,0))</f>
        <v>13100</v>
      </c>
      <c r="P684" s="98" t="str">
        <f t="array" ref="P684">INDEX('MTA 28-09'!N:N,MATCH(B684,'MTA 28-09'!A:A,0))</f>
        <v>FMS</v>
      </c>
      <c r="Q684" s="105" t="str">
        <f t="array" ref="Q684">INDEX('MTA 28-09'!Z:Z,MATCH(B684,'MTA 28-09'!A:A,0))</f>
        <v>449052</v>
      </c>
      <c r="R684" s="98" t="str">
        <f t="array" ref="R684">INDEX('MTA 28-09'!L:L,MATCH(B684,'MTA 28-09'!A:A,0))</f>
        <v>C</v>
      </c>
      <c r="S684" s="107" t="str">
        <f t="array" ref="S684">INDEX('MTA 28-09'!X:X,MATCH(B684,'MTA 28-09'!A:A,0))</f>
        <v>REQUISIÇÃO</v>
      </c>
      <c r="T684" s="107" t="str">
        <f t="array" ref="T684">INDEX('MTA 28-09'!W:W,MATCH(B684,'MTA 28-09'!A:A,0))</f>
        <v>Não</v>
      </c>
      <c r="U684" s="109">
        <f t="array" ref="U684">INDEX('MTA 28-09'!AE:AE,MATCH(B684,'MTA 28-09'!A:A,0))</f>
        <v>46168</v>
      </c>
      <c r="V684" s="29"/>
      <c r="W684" s="29"/>
      <c r="X684" s="29"/>
      <c r="Y684" s="29"/>
      <c r="Z684" s="29"/>
      <c r="AA684" s="29"/>
      <c r="AB684" s="29"/>
      <c r="AC684" s="29"/>
      <c r="AD684" s="29"/>
      <c r="AE684" s="29"/>
      <c r="AF684" s="29"/>
      <c r="AG684" s="29"/>
      <c r="AH684" s="29"/>
      <c r="AI684" s="29"/>
      <c r="AJ684" s="29"/>
      <c r="AK684" s="29"/>
      <c r="AL684" s="29"/>
      <c r="AM684" s="29"/>
    </row>
    <row r="685">
      <c r="A685" s="31" t="s">
        <v>43</v>
      </c>
      <c r="B685" s="32">
        <v>21120.0</v>
      </c>
      <c r="C685" s="33" t="str">
        <f t="array" ref="C685">INDEX('MTA 28-09'!B:B,MATCH(B685,'MTA 28-09'!A:A,0))</f>
        <v>NÃO</v>
      </c>
      <c r="D685" s="34" t="str">
        <f t="array" ref="D685">INDEX('MTA 28-09'!D:D,MATCH(B685,'MTA 28-09'!A:A,0))</f>
        <v/>
      </c>
      <c r="E685" s="32" t="str">
        <f t="array" ref="E685">INDEX('MTA 28-09'!F:F,MATCH(B685,'MTA 28-09'!A:A,0))</f>
        <v/>
      </c>
      <c r="F685" s="155" t="str">
        <f t="array" ref="F685">INDEX('MTA 28-09'!I:I,MATCH(B685,'MTA 28-09'!A:A,0))</f>
        <v/>
      </c>
      <c r="G685" s="36" t="str">
        <f t="array" ref="G685">INDEX('MTA 28-09'!J:J,MATCH(B685,'MTA 28-09'!A:A,0))</f>
        <v/>
      </c>
      <c r="H685" s="287" t="s">
        <v>157</v>
      </c>
      <c r="I685" s="295"/>
      <c r="J685" s="39"/>
      <c r="K685" s="40"/>
      <c r="L685" s="39" t="str">
        <f t="array" ref="L685">INDEX('MTA 28-09'!S:S,MATCH(B685,'MTA 28-09'!A:A,0))</f>
        <v>C-95M</v>
      </c>
      <c r="M685" s="32" t="str">
        <f t="array" ref="M685">INDEX('MTA 28-09'!T:T,MATCH(B685,'MTA 28-09'!A:A,0))</f>
        <v>2025-BABE-03</v>
      </c>
      <c r="N685" s="32" t="str">
        <f t="array" ref="N685">INDEX('MTA 28-09'!U:U,MATCH(B685,'MTA 28-09'!A:A,0))</f>
        <v>PN PWC32677-300 - EQUIPAMENTO PARA LAVAGEM DE COMPRESSOR</v>
      </c>
      <c r="O685" s="59">
        <f t="array" ref="O685">INDEX('MTA 28-09'!AC:AC,MATCH(B685,'MTA 28-09'!A:A,0))</f>
        <v>146224.32</v>
      </c>
      <c r="P685" s="32" t="str">
        <f t="array" ref="P685">INDEX('MTA 28-09'!N:N,MATCH(B685,'MTA 28-09'!A:A,0))</f>
        <v>FMS</v>
      </c>
      <c r="Q685" s="67" t="str">
        <f t="array" ref="Q685">INDEX('MTA 28-09'!Z:Z,MATCH(B685,'MTA 28-09'!A:A,0))</f>
        <v>449052</v>
      </c>
      <c r="R685" s="32" t="str">
        <f t="array" ref="R685">INDEX('MTA 28-09'!L:L,MATCH(B685,'MTA 28-09'!A:A,0))</f>
        <v>C</v>
      </c>
      <c r="S685" s="72" t="str">
        <f t="array" ref="S685">INDEX('MTA 28-09'!X:X,MATCH(B685,'MTA 28-09'!A:A,0))</f>
        <v>REQUISIÇÃO</v>
      </c>
      <c r="T685" s="72" t="str">
        <f t="array" ref="T685">INDEX('MTA 28-09'!W:W,MATCH(B685,'MTA 28-09'!A:A,0))</f>
        <v>Não</v>
      </c>
      <c r="U685" s="81">
        <f t="array" ref="U685">INDEX('MTA 28-09'!AE:AE,MATCH(B685,'MTA 28-09'!A:A,0))</f>
        <v>46168</v>
      </c>
      <c r="V685" s="12"/>
      <c r="W685" s="12"/>
      <c r="X685" s="12"/>
      <c r="Y685" s="12"/>
      <c r="Z685" s="12"/>
      <c r="AA685" s="12"/>
      <c r="AB685" s="12"/>
      <c r="AC685" s="12"/>
      <c r="AD685" s="12"/>
      <c r="AE685" s="12"/>
      <c r="AF685" s="12"/>
      <c r="AG685" s="12"/>
      <c r="AH685" s="12"/>
      <c r="AI685" s="12"/>
      <c r="AJ685" s="12"/>
      <c r="AK685" s="12"/>
      <c r="AL685" s="12"/>
      <c r="AM685" s="12"/>
    </row>
    <row r="686">
      <c r="A686" s="88" t="s">
        <v>43</v>
      </c>
      <c r="B686" s="98">
        <v>21140.0</v>
      </c>
      <c r="C686" s="92" t="str">
        <f t="array" ref="C686">INDEX('MTA 28-09'!B:B,MATCH(B686,'MTA 28-09'!A:A,0))</f>
        <v>NÃO</v>
      </c>
      <c r="D686" s="95" t="str">
        <f t="array" ref="D686">INDEX('MTA 28-09'!D:D,MATCH(B686,'MTA 28-09'!A:A,0))</f>
        <v/>
      </c>
      <c r="E686" s="98" t="str">
        <f t="array" ref="E686">INDEX('MTA 28-09'!F:F,MATCH(B686,'MTA 28-09'!A:A,0))</f>
        <v/>
      </c>
      <c r="F686" s="152" t="str">
        <f t="array" ref="F686">INDEX('MTA 28-09'!I:I,MATCH(B686,'MTA 28-09'!A:A,0))</f>
        <v/>
      </c>
      <c r="G686" s="100" t="str">
        <f t="array" ref="G686">INDEX('MTA 28-09'!J:J,MATCH(B686,'MTA 28-09'!A:A,0))</f>
        <v/>
      </c>
      <c r="H686" s="159" t="s">
        <v>157</v>
      </c>
      <c r="I686" s="296"/>
      <c r="J686" s="102"/>
      <c r="K686" s="103"/>
      <c r="L686" s="102" t="str">
        <f t="array" ref="L686">INDEX('MTA 28-09'!S:S,MATCH(B686,'MTA 28-09'!A:A,0))</f>
        <v>C-95M</v>
      </c>
      <c r="M686" s="98" t="str">
        <f t="array" ref="M686">INDEX('MTA 28-09'!T:T,MATCH(B686,'MTA 28-09'!A:A,0))</f>
        <v>2025-BABE-04</v>
      </c>
      <c r="N686" s="98" t="str">
        <f t="array" ref="N686">INDEX('MTA 28-09'!U:U,MATCH(B686,'MTA 28-09'!A:A,0))</f>
        <v>PN EMB-00188-001 - GARFO DE REBOQUE</v>
      </c>
      <c r="O686" s="104">
        <f t="array" ref="O686">INDEX('MTA 28-09'!AC:AC,MATCH(B686,'MTA 28-09'!A:A,0))</f>
        <v>8059</v>
      </c>
      <c r="P686" s="98" t="str">
        <f t="array" ref="P686">INDEX('MTA 28-09'!N:N,MATCH(B686,'MTA 28-09'!A:A,0))</f>
        <v>FMS</v>
      </c>
      <c r="Q686" s="105" t="str">
        <f t="array" ref="Q686">INDEX('MTA 28-09'!Z:Z,MATCH(B686,'MTA 28-09'!A:A,0))</f>
        <v>449052</v>
      </c>
      <c r="R686" s="98" t="str">
        <f t="array" ref="R686">INDEX('MTA 28-09'!L:L,MATCH(B686,'MTA 28-09'!A:A,0))</f>
        <v>C</v>
      </c>
      <c r="S686" s="107" t="str">
        <f t="array" ref="S686">INDEX('MTA 28-09'!X:X,MATCH(B686,'MTA 28-09'!A:A,0))</f>
        <v>REQUISIÇÃO</v>
      </c>
      <c r="T686" s="107" t="str">
        <f t="array" ref="T686">INDEX('MTA 28-09'!W:W,MATCH(B686,'MTA 28-09'!A:A,0))</f>
        <v>Não</v>
      </c>
      <c r="U686" s="109">
        <f t="array" ref="U686">INDEX('MTA 28-09'!AE:AE,MATCH(B686,'MTA 28-09'!A:A,0))</f>
        <v>46168</v>
      </c>
      <c r="V686" s="29"/>
      <c r="W686" s="29"/>
      <c r="X686" s="29"/>
      <c r="Y686" s="29"/>
      <c r="Z686" s="29"/>
      <c r="AA686" s="29"/>
      <c r="AB686" s="29"/>
      <c r="AC686" s="29"/>
      <c r="AD686" s="29"/>
      <c r="AE686" s="29"/>
      <c r="AF686" s="29"/>
      <c r="AG686" s="29"/>
      <c r="AH686" s="29"/>
      <c r="AI686" s="29"/>
      <c r="AJ686" s="29"/>
      <c r="AK686" s="29"/>
      <c r="AL686" s="29"/>
      <c r="AM686" s="29"/>
    </row>
    <row r="687">
      <c r="A687" s="31" t="s">
        <v>43</v>
      </c>
      <c r="B687" s="32">
        <v>21160.0</v>
      </c>
      <c r="C687" s="33" t="str">
        <f t="array" ref="C687">INDEX('MTA 28-09'!B:B,MATCH(B687,'MTA 28-09'!A:A,0))</f>
        <v>NÃO</v>
      </c>
      <c r="D687" s="34" t="str">
        <f t="array" ref="D687">INDEX('MTA 28-09'!D:D,MATCH(B687,'MTA 28-09'!A:A,0))</f>
        <v/>
      </c>
      <c r="E687" s="32" t="str">
        <f t="array" ref="E687">INDEX('MTA 28-09'!F:F,MATCH(B687,'MTA 28-09'!A:A,0))</f>
        <v/>
      </c>
      <c r="F687" s="155" t="str">
        <f t="array" ref="F687">INDEX('MTA 28-09'!I:I,MATCH(B687,'MTA 28-09'!A:A,0))</f>
        <v/>
      </c>
      <c r="G687" s="36" t="str">
        <f t="array" ref="G687">INDEX('MTA 28-09'!J:J,MATCH(B687,'MTA 28-09'!A:A,0))</f>
        <v/>
      </c>
      <c r="H687" s="287" t="s">
        <v>157</v>
      </c>
      <c r="I687" s="295"/>
      <c r="J687" s="39"/>
      <c r="K687" s="40"/>
      <c r="L687" s="39" t="str">
        <f t="array" ref="L687">INDEX('MTA 28-09'!S:S,MATCH(B687,'MTA 28-09'!A:A,0))</f>
        <v>C-95M</v>
      </c>
      <c r="M687" s="32" t="str">
        <f t="array" ref="M687">INDEX('MTA 28-09'!T:T,MATCH(B687,'MTA 28-09'!A:A,0))</f>
        <v>2025-BABE-05</v>
      </c>
      <c r="N687" s="32" t="str">
        <f t="array" ref="N687">INDEX('MTA 28-09'!U:U,MATCH(B687,'MTA 28-09'!A:A,0))</f>
        <v>PN 4A-9810-W26H - GARFO DE REBOQUE</v>
      </c>
      <c r="O687" s="59">
        <f t="array" ref="O687">INDEX('MTA 28-09'!AC:AC,MATCH(B687,'MTA 28-09'!A:A,0))</f>
        <v>16118</v>
      </c>
      <c r="P687" s="32" t="str">
        <f t="array" ref="P687">INDEX('MTA 28-09'!N:N,MATCH(B687,'MTA 28-09'!A:A,0))</f>
        <v>FMS</v>
      </c>
      <c r="Q687" s="67" t="str">
        <f t="array" ref="Q687">INDEX('MTA 28-09'!Z:Z,MATCH(B687,'MTA 28-09'!A:A,0))</f>
        <v>449052</v>
      </c>
      <c r="R687" s="32" t="str">
        <f t="array" ref="R687">INDEX('MTA 28-09'!L:L,MATCH(B687,'MTA 28-09'!A:A,0))</f>
        <v>C</v>
      </c>
      <c r="S687" s="72" t="str">
        <f t="array" ref="S687">INDEX('MTA 28-09'!X:X,MATCH(B687,'MTA 28-09'!A:A,0))</f>
        <v>REQUISIÇÃO</v>
      </c>
      <c r="T687" s="72" t="str">
        <f t="array" ref="T687">INDEX('MTA 28-09'!W:W,MATCH(B687,'MTA 28-09'!A:A,0))</f>
        <v>Não</v>
      </c>
      <c r="U687" s="81">
        <f t="array" ref="U687">INDEX('MTA 28-09'!AE:AE,MATCH(B687,'MTA 28-09'!A:A,0))</f>
        <v>46168</v>
      </c>
      <c r="V687" s="12"/>
      <c r="W687" s="12"/>
      <c r="X687" s="12"/>
      <c r="Y687" s="12"/>
      <c r="Z687" s="12"/>
      <c r="AA687" s="12"/>
      <c r="AB687" s="12"/>
      <c r="AC687" s="12"/>
      <c r="AD687" s="12"/>
      <c r="AE687" s="12"/>
      <c r="AF687" s="12"/>
      <c r="AG687" s="12"/>
      <c r="AH687" s="12"/>
      <c r="AI687" s="12"/>
      <c r="AJ687" s="12"/>
      <c r="AK687" s="12"/>
      <c r="AL687" s="12"/>
      <c r="AM687" s="12"/>
    </row>
    <row r="688">
      <c r="A688" s="88" t="s">
        <v>43</v>
      </c>
      <c r="B688" s="98">
        <v>21180.0</v>
      </c>
      <c r="C688" s="92" t="str">
        <f t="array" ref="C688">INDEX('MTA 28-09'!B:B,MATCH(B688,'MTA 28-09'!A:A,0))</f>
        <v>NÃO</v>
      </c>
      <c r="D688" s="95" t="str">
        <f t="array" ref="D688">INDEX('MTA 28-09'!D:D,MATCH(B688,'MTA 28-09'!A:A,0))</f>
        <v/>
      </c>
      <c r="E688" s="98" t="str">
        <f t="array" ref="E688">INDEX('MTA 28-09'!F:F,MATCH(B688,'MTA 28-09'!A:A,0))</f>
        <v/>
      </c>
      <c r="F688" s="152" t="str">
        <f t="array" ref="F688">INDEX('MTA 28-09'!I:I,MATCH(B688,'MTA 28-09'!A:A,0))</f>
        <v/>
      </c>
      <c r="G688" s="100" t="str">
        <f t="array" ref="G688">INDEX('MTA 28-09'!J:J,MATCH(B688,'MTA 28-09'!A:A,0))</f>
        <v/>
      </c>
      <c r="H688" s="159" t="s">
        <v>157</v>
      </c>
      <c r="I688" s="296"/>
      <c r="J688" s="102"/>
      <c r="K688" s="103"/>
      <c r="L688" s="102" t="str">
        <f t="array" ref="L688">INDEX('MTA 28-09'!S:S,MATCH(B688,'MTA 28-09'!A:A,0))</f>
        <v>C-95M</v>
      </c>
      <c r="M688" s="98" t="str">
        <f t="array" ref="M688">INDEX('MTA 28-09'!T:T,MATCH(B688,'MTA 28-09'!A:A,0))</f>
        <v>2025-BABE-08</v>
      </c>
      <c r="N688" s="98" t="str">
        <f t="array" ref="N688">INDEX('MTA 28-09'!U:U,MATCH(B688,'MTA 28-09'!A:A,0))</f>
        <v>PN 4A-0031-PC113H - SUPORTE DE SUPERFÍCIE</v>
      </c>
      <c r="O688" s="104">
        <f t="array" ref="O688">INDEX('MTA 28-09'!AC:AC,MATCH(B688,'MTA 28-09'!A:A,0))</f>
        <v>4820.38</v>
      </c>
      <c r="P688" s="98" t="str">
        <f t="array" ref="P688">INDEX('MTA 28-09'!N:N,MATCH(B688,'MTA 28-09'!A:A,0))</f>
        <v>CELOG</v>
      </c>
      <c r="Q688" s="105" t="str">
        <f t="array" ref="Q688">INDEX('MTA 28-09'!Z:Z,MATCH(B688,'MTA 28-09'!A:A,0))</f>
        <v>449052</v>
      </c>
      <c r="R688" s="98" t="str">
        <f t="array" ref="R688">INDEX('MTA 28-09'!L:L,MATCH(B688,'MTA 28-09'!A:A,0))</f>
        <v>C</v>
      </c>
      <c r="S688" s="107" t="str">
        <f t="array" ref="S688">INDEX('MTA 28-09'!X:X,MATCH(B688,'MTA 28-09'!A:A,0))</f>
        <v>REQUISIÇÃO</v>
      </c>
      <c r="T688" s="107" t="str">
        <f t="array" ref="T688">INDEX('MTA 28-09'!W:W,MATCH(B688,'MTA 28-09'!A:A,0))</f>
        <v>Não</v>
      </c>
      <c r="U688" s="109">
        <f t="array" ref="U688">INDEX('MTA 28-09'!AE:AE,MATCH(B688,'MTA 28-09'!A:A,0))</f>
        <v>46168</v>
      </c>
      <c r="V688" s="29"/>
      <c r="W688" s="29"/>
      <c r="X688" s="29"/>
      <c r="Y688" s="29"/>
      <c r="Z688" s="29"/>
      <c r="AA688" s="29"/>
      <c r="AB688" s="29"/>
      <c r="AC688" s="29"/>
      <c r="AD688" s="29"/>
      <c r="AE688" s="29"/>
      <c r="AF688" s="29"/>
      <c r="AG688" s="29"/>
      <c r="AH688" s="29"/>
      <c r="AI688" s="29"/>
      <c r="AJ688" s="29"/>
      <c r="AK688" s="29"/>
      <c r="AL688" s="29"/>
      <c r="AM688" s="29"/>
    </row>
    <row r="689">
      <c r="A689" s="31" t="s">
        <v>43</v>
      </c>
      <c r="B689" s="32">
        <v>21200.0</v>
      </c>
      <c r="C689" s="33" t="str">
        <f t="array" ref="C689">INDEX('MTA 28-09'!B:B,MATCH(B689,'MTA 28-09'!A:A,0))</f>
        <v>NÃO</v>
      </c>
      <c r="D689" s="34" t="str">
        <f t="array" ref="D689">INDEX('MTA 28-09'!D:D,MATCH(B689,'MTA 28-09'!A:A,0))</f>
        <v/>
      </c>
      <c r="E689" s="32" t="str">
        <f t="array" ref="E689">INDEX('MTA 28-09'!F:F,MATCH(B689,'MTA 28-09'!A:A,0))</f>
        <v/>
      </c>
      <c r="F689" s="155" t="str">
        <f t="array" ref="F689">INDEX('MTA 28-09'!I:I,MATCH(B689,'MTA 28-09'!A:A,0))</f>
        <v/>
      </c>
      <c r="G689" s="36" t="str">
        <f t="array" ref="G689">INDEX('MTA 28-09'!J:J,MATCH(B689,'MTA 28-09'!A:A,0))</f>
        <v/>
      </c>
      <c r="H689" s="287" t="s">
        <v>157</v>
      </c>
      <c r="I689" s="295"/>
      <c r="J689" s="39"/>
      <c r="K689" s="40"/>
      <c r="L689" s="39" t="str">
        <f t="array" ref="L689">INDEX('MTA 28-09'!S:S,MATCH(B689,'MTA 28-09'!A:A,0))</f>
        <v>C-95M</v>
      </c>
      <c r="M689" s="32" t="str">
        <f t="array" ref="M689">INDEX('MTA 28-09'!T:T,MATCH(B689,'MTA 28-09'!A:A,0))</f>
        <v>2025-BABE-09</v>
      </c>
      <c r="N689" s="32" t="str">
        <f t="array" ref="N689">INDEX('MTA 28-09'!U:U,MATCH(B689,'MTA 28-09'!A:A,0))</f>
        <v>PN 4A-6000-W25H - TALHA PARA REMOÇÃO DE TURBINA DE AERONAVE</v>
      </c>
      <c r="O689" s="59">
        <f t="array" ref="O689">INDEX('MTA 28-09'!AC:AC,MATCH(B689,'MTA 28-09'!A:A,0))</f>
        <v>89740.8</v>
      </c>
      <c r="P689" s="32" t="str">
        <f t="array" ref="P689">INDEX('MTA 28-09'!N:N,MATCH(B689,'MTA 28-09'!A:A,0))</f>
        <v>FMS</v>
      </c>
      <c r="Q689" s="67" t="str">
        <f t="array" ref="Q689">INDEX('MTA 28-09'!Z:Z,MATCH(B689,'MTA 28-09'!A:A,0))</f>
        <v>449052</v>
      </c>
      <c r="R689" s="32" t="str">
        <f t="array" ref="R689">INDEX('MTA 28-09'!L:L,MATCH(B689,'MTA 28-09'!A:A,0))</f>
        <v>C</v>
      </c>
      <c r="S689" s="72" t="str">
        <f t="array" ref="S689">INDEX('MTA 28-09'!X:X,MATCH(B689,'MTA 28-09'!A:A,0))</f>
        <v>REQUISIÇÃO</v>
      </c>
      <c r="T689" s="72" t="str">
        <f t="array" ref="T689">INDEX('MTA 28-09'!W:W,MATCH(B689,'MTA 28-09'!A:A,0))</f>
        <v>Não</v>
      </c>
      <c r="U689" s="81">
        <f t="array" ref="U689">INDEX('MTA 28-09'!AE:AE,MATCH(B689,'MTA 28-09'!A:A,0))</f>
        <v>46168</v>
      </c>
      <c r="V689" s="12"/>
      <c r="W689" s="12"/>
      <c r="X689" s="12"/>
      <c r="Y689" s="12"/>
      <c r="Z689" s="12"/>
      <c r="AA689" s="12"/>
      <c r="AB689" s="12"/>
      <c r="AC689" s="12"/>
      <c r="AD689" s="12"/>
      <c r="AE689" s="12"/>
      <c r="AF689" s="12"/>
      <c r="AG689" s="12"/>
      <c r="AH689" s="12"/>
      <c r="AI689" s="12"/>
      <c r="AJ689" s="12"/>
      <c r="AK689" s="12"/>
      <c r="AL689" s="12"/>
      <c r="AM689" s="12"/>
    </row>
    <row r="690">
      <c r="A690" s="88" t="s">
        <v>43</v>
      </c>
      <c r="B690" s="98">
        <v>21220.0</v>
      </c>
      <c r="C690" s="92" t="str">
        <f t="array" ref="C690">INDEX('MTA 28-09'!B:B,MATCH(B690,'MTA 28-09'!A:A,0))</f>
        <v>NÃO</v>
      </c>
      <c r="D690" s="95" t="str">
        <f t="array" ref="D690">INDEX('MTA 28-09'!D:D,MATCH(B690,'MTA 28-09'!A:A,0))</f>
        <v/>
      </c>
      <c r="E690" s="98" t="str">
        <f t="array" ref="E690">INDEX('MTA 28-09'!F:F,MATCH(B690,'MTA 28-09'!A:A,0))</f>
        <v/>
      </c>
      <c r="F690" s="423" t="str">
        <f t="array" ref="F690">INDEX('MTA 28-09'!I:I,MATCH(B690,'MTA 28-09'!A:A,0))</f>
        <v/>
      </c>
      <c r="G690" s="100" t="str">
        <f t="array" ref="G690">INDEX('MTA 28-09'!J:J,MATCH(B690,'MTA 28-09'!A:A,0))</f>
        <v/>
      </c>
      <c r="H690" s="159" t="s">
        <v>157</v>
      </c>
      <c r="I690" s="296"/>
      <c r="J690" s="102"/>
      <c r="K690" s="103"/>
      <c r="L690" s="102" t="str">
        <f t="array" ref="L690">INDEX('MTA 28-09'!S:S,MATCH(B690,'MTA 28-09'!A:A,0))</f>
        <v>C-95M</v>
      </c>
      <c r="M690" s="98" t="str">
        <f t="array" ref="M690">INDEX('MTA 28-09'!T:T,MATCH(B690,'MTA 28-09'!A:A,0))</f>
        <v>2025-BABE-12</v>
      </c>
      <c r="N690" s="98" t="str">
        <f t="array" ref="N690">INDEX('MTA 28-09'!U:U,MATCH(B690,'MTA 28-09'!A:A,0))</f>
        <v>PN 110-6000-00W26H - ESTROPO PARA MOTOR DE AERONAVE</v>
      </c>
      <c r="O690" s="104">
        <f t="array" ref="O690">INDEX('MTA 28-09'!AC:AC,MATCH(B690,'MTA 28-09'!A:A,0))</f>
        <v>6679.56</v>
      </c>
      <c r="P690" s="98" t="str">
        <f t="array" ref="P690">INDEX('MTA 28-09'!N:N,MATCH(B690,'MTA 28-09'!A:A,0))</f>
        <v>FMS</v>
      </c>
      <c r="Q690" s="105" t="str">
        <f t="array" ref="Q690">INDEX('MTA 28-09'!Z:Z,MATCH(B690,'MTA 28-09'!A:A,0))</f>
        <v>449052</v>
      </c>
      <c r="R690" s="98" t="str">
        <f t="array" ref="R690">INDEX('MTA 28-09'!L:L,MATCH(B690,'MTA 28-09'!A:A,0))</f>
        <v>C</v>
      </c>
      <c r="S690" s="107" t="str">
        <f t="array" ref="S690">INDEX('MTA 28-09'!X:X,MATCH(B690,'MTA 28-09'!A:A,0))</f>
        <v>REQUISIÇÃO</v>
      </c>
      <c r="T690" s="107" t="str">
        <f t="array" ref="T690">INDEX('MTA 28-09'!W:W,MATCH(B690,'MTA 28-09'!A:A,0))</f>
        <v>Não</v>
      </c>
      <c r="U690" s="109">
        <f t="array" ref="U690">INDEX('MTA 28-09'!AE:AE,MATCH(B690,'MTA 28-09'!A:A,0))</f>
        <v>46168</v>
      </c>
      <c r="V690" s="29"/>
      <c r="W690" s="29"/>
      <c r="X690" s="29"/>
      <c r="Y690" s="29"/>
      <c r="Z690" s="29"/>
      <c r="AA690" s="29"/>
      <c r="AB690" s="29"/>
      <c r="AC690" s="29"/>
      <c r="AD690" s="29"/>
      <c r="AE690" s="29"/>
      <c r="AF690" s="29"/>
      <c r="AG690" s="29"/>
      <c r="AH690" s="29"/>
      <c r="AI690" s="29"/>
      <c r="AJ690" s="29"/>
      <c r="AK690" s="29"/>
      <c r="AL690" s="29"/>
      <c r="AM690" s="29"/>
    </row>
    <row r="691">
      <c r="A691" s="31" t="s">
        <v>43</v>
      </c>
      <c r="B691" s="32">
        <v>21240.0</v>
      </c>
      <c r="C691" s="33" t="str">
        <f t="array" ref="C691">INDEX('MTA 28-09'!B:B,MATCH(B691,'MTA 28-09'!A:A,0))</f>
        <v>NÃO</v>
      </c>
      <c r="D691" s="34" t="str">
        <f t="array" ref="D691">INDEX('MTA 28-09'!D:D,MATCH(B691,'MTA 28-09'!A:A,0))</f>
        <v/>
      </c>
      <c r="E691" s="32" t="str">
        <f t="array" ref="E691">INDEX('MTA 28-09'!F:F,MATCH(B691,'MTA 28-09'!A:A,0))</f>
        <v/>
      </c>
      <c r="F691" s="155" t="str">
        <f t="array" ref="F691">INDEX('MTA 28-09'!I:I,MATCH(B691,'MTA 28-09'!A:A,0))</f>
        <v/>
      </c>
      <c r="G691" s="36" t="str">
        <f t="array" ref="G691">INDEX('MTA 28-09'!J:J,MATCH(B691,'MTA 28-09'!A:A,0))</f>
        <v/>
      </c>
      <c r="H691" s="287" t="s">
        <v>157</v>
      </c>
      <c r="I691" s="295"/>
      <c r="J691" s="39"/>
      <c r="K691" s="40"/>
      <c r="L691" s="39" t="str">
        <f t="array" ref="L691">INDEX('MTA 28-09'!S:S,MATCH(B691,'MTA 28-09'!A:A,0))</f>
        <v>C-95M</v>
      </c>
      <c r="M691" s="32" t="str">
        <f t="array" ref="M691">INDEX('MTA 28-09'!T:T,MATCH(B691,'MTA 28-09'!A:A,0))</f>
        <v>2025-BABR-28</v>
      </c>
      <c r="N691" s="32" t="str">
        <f t="array" ref="N691">INDEX('MTA 28-09'!U:U,MATCH(B691,'MTA 28-09'!A:A,0))</f>
        <v>PN MCAL6 - CALIPER,DIGITAL DISPLAY</v>
      </c>
      <c r="O691" s="59">
        <f t="array" ref="O691">INDEX('MTA 28-09'!AC:AC,MATCH(B691,'MTA 28-09'!A:A,0))</f>
        <v>3321.8</v>
      </c>
      <c r="P691" s="32" t="str">
        <f t="array" ref="P691">INDEX('MTA 28-09'!N:N,MATCH(B691,'MTA 28-09'!A:A,0))</f>
        <v>FMS</v>
      </c>
      <c r="Q691" s="67" t="str">
        <f t="array" ref="Q691">INDEX('MTA 28-09'!Z:Z,MATCH(B691,'MTA 28-09'!A:A,0))</f>
        <v>449052</v>
      </c>
      <c r="R691" s="32" t="str">
        <f t="array" ref="R691">INDEX('MTA 28-09'!L:L,MATCH(B691,'MTA 28-09'!A:A,0))</f>
        <v>C</v>
      </c>
      <c r="S691" s="72" t="str">
        <f t="array" ref="S691">INDEX('MTA 28-09'!X:X,MATCH(B691,'MTA 28-09'!A:A,0))</f>
        <v>REQUISIÇÃO</v>
      </c>
      <c r="T691" s="72" t="str">
        <f t="array" ref="T691">INDEX('MTA 28-09'!W:W,MATCH(B691,'MTA 28-09'!A:A,0))</f>
        <v>Não</v>
      </c>
      <c r="U691" s="81">
        <f t="array" ref="U691">INDEX('MTA 28-09'!AE:AE,MATCH(B691,'MTA 28-09'!A:A,0))</f>
        <v>46168</v>
      </c>
      <c r="V691" s="12"/>
      <c r="W691" s="12"/>
      <c r="X691" s="12"/>
      <c r="Y691" s="12"/>
      <c r="Z691" s="12"/>
      <c r="AA691" s="12"/>
      <c r="AB691" s="12"/>
      <c r="AC691" s="12"/>
      <c r="AD691" s="12"/>
      <c r="AE691" s="12"/>
      <c r="AF691" s="12"/>
      <c r="AG691" s="12"/>
      <c r="AH691" s="12"/>
      <c r="AI691" s="12"/>
      <c r="AJ691" s="12"/>
      <c r="AK691" s="12"/>
      <c r="AL691" s="12"/>
      <c r="AM691" s="12"/>
    </row>
    <row r="692">
      <c r="A692" s="88" t="s">
        <v>43</v>
      </c>
      <c r="B692" s="98">
        <v>21260.0</v>
      </c>
      <c r="C692" s="92" t="str">
        <f t="array" ref="C692">INDEX('MTA 28-09'!B:B,MATCH(B692,'MTA 28-09'!A:A,0))</f>
        <v>NÃO</v>
      </c>
      <c r="D692" s="95" t="str">
        <f t="array" ref="D692">INDEX('MTA 28-09'!D:D,MATCH(B692,'MTA 28-09'!A:A,0))</f>
        <v/>
      </c>
      <c r="E692" s="98" t="str">
        <f t="array" ref="E692">INDEX('MTA 28-09'!F:F,MATCH(B692,'MTA 28-09'!A:A,0))</f>
        <v/>
      </c>
      <c r="F692" s="152" t="str">
        <f t="array" ref="F692">INDEX('MTA 28-09'!I:I,MATCH(B692,'MTA 28-09'!A:A,0))</f>
        <v/>
      </c>
      <c r="G692" s="100" t="str">
        <f t="array" ref="G692">INDEX('MTA 28-09'!J:J,MATCH(B692,'MTA 28-09'!A:A,0))</f>
        <v/>
      </c>
      <c r="H692" s="159" t="s">
        <v>157</v>
      </c>
      <c r="I692" s="296"/>
      <c r="J692" s="102"/>
      <c r="K692" s="103"/>
      <c r="L692" s="102" t="str">
        <f t="array" ref="L692">INDEX('MTA 28-09'!S:S,MATCH(B692,'MTA 28-09'!A:A,0))</f>
        <v>C-95M</v>
      </c>
      <c r="M692" s="98" t="str">
        <f t="array" ref="M692">INDEX('MTA 28-09'!T:T,MATCH(B692,'MTA 28-09'!A:A,0))</f>
        <v>2025-BACO-10</v>
      </c>
      <c r="N692" s="98" t="str">
        <f t="array" ref="N692">INDEX('MTA 28-09'!U:U,MATCH(B692,'MTA 28-09'!A:A,0))</f>
        <v>PN 101-00100 - ADAPTADOR TUBO DE PITOT C-95</v>
      </c>
      <c r="O692" s="104">
        <f t="array" ref="O692">INDEX('MTA 28-09'!AC:AC,MATCH(B692,'MTA 28-09'!A:A,0))</f>
        <v>935</v>
      </c>
      <c r="P692" s="98" t="str">
        <f t="array" ref="P692">INDEX('MTA 28-09'!N:N,MATCH(B692,'MTA 28-09'!A:A,0))</f>
        <v>CABW</v>
      </c>
      <c r="Q692" s="105" t="str">
        <f t="array" ref="Q692">INDEX('MTA 28-09'!Z:Z,MATCH(B692,'MTA 28-09'!A:A,0))</f>
        <v>449052</v>
      </c>
      <c r="R692" s="98" t="str">
        <f t="array" ref="R692">INDEX('MTA 28-09'!L:L,MATCH(B692,'MTA 28-09'!A:A,0))</f>
        <v>C</v>
      </c>
      <c r="S692" s="107" t="str">
        <f t="array" ref="S692">INDEX('MTA 28-09'!X:X,MATCH(B692,'MTA 28-09'!A:A,0))</f>
        <v>REQUISIÇÃO</v>
      </c>
      <c r="T692" s="107" t="str">
        <f t="array" ref="T692">INDEX('MTA 28-09'!W:W,MATCH(B692,'MTA 28-09'!A:A,0))</f>
        <v>Não</v>
      </c>
      <c r="U692" s="109">
        <f t="array" ref="U692">INDEX('MTA 28-09'!AE:AE,MATCH(B692,'MTA 28-09'!A:A,0))</f>
        <v>46168</v>
      </c>
      <c r="V692" s="29"/>
      <c r="W692" s="29"/>
      <c r="X692" s="29"/>
      <c r="Y692" s="29"/>
      <c r="Z692" s="29"/>
      <c r="AA692" s="29"/>
      <c r="AB692" s="29"/>
      <c r="AC692" s="29"/>
      <c r="AD692" s="29"/>
      <c r="AE692" s="29"/>
      <c r="AF692" s="29"/>
      <c r="AG692" s="29"/>
      <c r="AH692" s="29"/>
      <c r="AI692" s="29"/>
      <c r="AJ692" s="29"/>
      <c r="AK692" s="29"/>
      <c r="AL692" s="29"/>
      <c r="AM692" s="29"/>
    </row>
    <row r="693">
      <c r="A693" s="31" t="s">
        <v>43</v>
      </c>
      <c r="B693" s="32">
        <v>21280.0</v>
      </c>
      <c r="C693" s="33" t="str">
        <f t="array" ref="C693">INDEX('MTA 28-09'!B:B,MATCH(B693,'MTA 28-09'!A:A,0))</f>
        <v>NÃO</v>
      </c>
      <c r="D693" s="34" t="str">
        <f t="array" ref="D693">INDEX('MTA 28-09'!D:D,MATCH(B693,'MTA 28-09'!A:A,0))</f>
        <v/>
      </c>
      <c r="E693" s="32" t="str">
        <f t="array" ref="E693">INDEX('MTA 28-09'!F:F,MATCH(B693,'MTA 28-09'!A:A,0))</f>
        <v/>
      </c>
      <c r="F693" s="137" t="str">
        <f t="array" ref="F693">INDEX('MTA 28-09'!I:I,MATCH(B693,'MTA 28-09'!A:A,0))</f>
        <v/>
      </c>
      <c r="G693" s="36" t="str">
        <f t="array" ref="G693">INDEX('MTA 28-09'!J:J,MATCH(B693,'MTA 28-09'!A:A,0))</f>
        <v/>
      </c>
      <c r="H693" s="287" t="s">
        <v>157</v>
      </c>
      <c r="I693" s="295"/>
      <c r="J693" s="39"/>
      <c r="K693" s="40"/>
      <c r="L693" s="39" t="str">
        <f t="array" ref="L693">INDEX('MTA 28-09'!S:S,MATCH(B693,'MTA 28-09'!A:A,0))</f>
        <v>C-95M</v>
      </c>
      <c r="M693" s="32" t="str">
        <f t="array" ref="M693">INDEX('MTA 28-09'!T:T,MATCH(B693,'MTA 28-09'!A:A,0))</f>
        <v>2025-BACO-12</v>
      </c>
      <c r="N693" s="32" t="str">
        <f t="array" ref="N693">INDEX('MTA 28-09'!U:U,MATCH(B693,'MTA 28-09'!A:A,0))</f>
        <v>PN 4A-3400-W26H2 - GAB REG L DIR</v>
      </c>
      <c r="O693" s="59">
        <f t="array" ref="O693">INDEX('MTA 28-09'!AC:AC,MATCH(B693,'MTA 28-09'!A:A,0))</f>
        <v>4835.3</v>
      </c>
      <c r="P693" s="32" t="str">
        <f t="array" ref="P693">INDEX('MTA 28-09'!N:N,MATCH(B693,'MTA 28-09'!A:A,0))</f>
        <v>FMS</v>
      </c>
      <c r="Q693" s="67" t="str">
        <f t="array" ref="Q693">INDEX('MTA 28-09'!Z:Z,MATCH(B693,'MTA 28-09'!A:A,0))</f>
        <v>449052</v>
      </c>
      <c r="R693" s="32" t="str">
        <f t="array" ref="R693">INDEX('MTA 28-09'!L:L,MATCH(B693,'MTA 28-09'!A:A,0))</f>
        <v>C</v>
      </c>
      <c r="S693" s="72" t="str">
        <f t="array" ref="S693">INDEX('MTA 28-09'!X:X,MATCH(B693,'MTA 28-09'!A:A,0))</f>
        <v>REQUISIÇÃO</v>
      </c>
      <c r="T693" s="72" t="str">
        <f t="array" ref="T693">INDEX('MTA 28-09'!W:W,MATCH(B693,'MTA 28-09'!A:A,0))</f>
        <v>Não</v>
      </c>
      <c r="U693" s="81">
        <f t="array" ref="U693">INDEX('MTA 28-09'!AE:AE,MATCH(B693,'MTA 28-09'!A:A,0))</f>
        <v>46168</v>
      </c>
      <c r="V693" s="12"/>
      <c r="W693" s="12"/>
      <c r="X693" s="12"/>
      <c r="Y693" s="12"/>
      <c r="Z693" s="12"/>
      <c r="AA693" s="12"/>
      <c r="AB693" s="12"/>
      <c r="AC693" s="12"/>
      <c r="AD693" s="12"/>
      <c r="AE693" s="12"/>
      <c r="AF693" s="12"/>
      <c r="AG693" s="12"/>
      <c r="AH693" s="12"/>
      <c r="AI693" s="12"/>
      <c r="AJ693" s="12"/>
      <c r="AK693" s="12"/>
      <c r="AL693" s="12"/>
      <c r="AM693" s="12"/>
    </row>
    <row r="694">
      <c r="A694" s="88" t="s">
        <v>43</v>
      </c>
      <c r="B694" s="98">
        <v>21300.0</v>
      </c>
      <c r="C694" s="92" t="str">
        <f t="array" ref="C694">INDEX('MTA 28-09'!B:B,MATCH(B694,'MTA 28-09'!A:A,0))</f>
        <v>NÃO</v>
      </c>
      <c r="D694" s="95" t="str">
        <f t="array" ref="D694">INDEX('MTA 28-09'!D:D,MATCH(B694,'MTA 28-09'!A:A,0))</f>
        <v/>
      </c>
      <c r="E694" s="98" t="str">
        <f t="array" ref="E694">INDEX('MTA 28-09'!F:F,MATCH(B694,'MTA 28-09'!A:A,0))</f>
        <v/>
      </c>
      <c r="F694" s="144" t="str">
        <f t="array" ref="F694">INDEX('MTA 28-09'!I:I,MATCH(B694,'MTA 28-09'!A:A,0))</f>
        <v/>
      </c>
      <c r="G694" s="100" t="str">
        <f t="array" ref="G694">INDEX('MTA 28-09'!J:J,MATCH(B694,'MTA 28-09'!A:A,0))</f>
        <v/>
      </c>
      <c r="H694" s="159" t="s">
        <v>157</v>
      </c>
      <c r="I694" s="296"/>
      <c r="J694" s="102"/>
      <c r="K694" s="103"/>
      <c r="L694" s="102" t="str">
        <f t="array" ref="L694">INDEX('MTA 28-09'!S:S,MATCH(B694,'MTA 28-09'!A:A,0))</f>
        <v>C-95M</v>
      </c>
      <c r="M694" s="98" t="str">
        <f t="array" ref="M694">INDEX('MTA 28-09'!T:T,MATCH(B694,'MTA 28-09'!A:A,0))</f>
        <v>2025-PAMASP-01</v>
      </c>
      <c r="N694" s="98" t="str">
        <f t="array" ref="N694">INDEX('MTA 28-09'!U:U,MATCH(B694,'MTA 28-09'!A:A,0))</f>
        <v>PN U-600 - BANCADA DE TESTE, SISTEMA HIDRÁULICO, FONTE EXTERNA</v>
      </c>
      <c r="O694" s="104">
        <f t="array" ref="O694">INDEX('MTA 28-09'!AC:AC,MATCH(B694,'MTA 28-09'!A:A,0))</f>
        <v>241920</v>
      </c>
      <c r="P694" s="98" t="str">
        <f t="array" ref="P694">INDEX('MTA 28-09'!N:N,MATCH(B694,'MTA 28-09'!A:A,0))</f>
        <v>CABE</v>
      </c>
      <c r="Q694" s="105" t="str">
        <f t="array" ref="Q694">INDEX('MTA 28-09'!Z:Z,MATCH(B694,'MTA 28-09'!A:A,0))</f>
        <v>449052</v>
      </c>
      <c r="R694" s="98" t="str">
        <f t="array" ref="R694">INDEX('MTA 28-09'!L:L,MATCH(B694,'MTA 28-09'!A:A,0))</f>
        <v>C</v>
      </c>
      <c r="S694" s="107" t="str">
        <f t="array" ref="S694">INDEX('MTA 28-09'!X:X,MATCH(B694,'MTA 28-09'!A:A,0))</f>
        <v>REQUISIÇÃO</v>
      </c>
      <c r="T694" s="107" t="str">
        <f t="array" ref="T694">INDEX('MTA 28-09'!W:W,MATCH(B694,'MTA 28-09'!A:A,0))</f>
        <v>Não</v>
      </c>
      <c r="U694" s="109">
        <f t="array" ref="U694">INDEX('MTA 28-09'!AE:AE,MATCH(B694,'MTA 28-09'!A:A,0))</f>
        <v>46168</v>
      </c>
      <c r="V694" s="29"/>
      <c r="W694" s="29"/>
      <c r="X694" s="29"/>
      <c r="Y694" s="29"/>
      <c r="Z694" s="29"/>
      <c r="AA694" s="29"/>
      <c r="AB694" s="29"/>
      <c r="AC694" s="29"/>
      <c r="AD694" s="29"/>
      <c r="AE694" s="29"/>
      <c r="AF694" s="29"/>
      <c r="AG694" s="29"/>
      <c r="AH694" s="29"/>
      <c r="AI694" s="29"/>
      <c r="AJ694" s="29"/>
      <c r="AK694" s="29"/>
      <c r="AL694" s="29"/>
      <c r="AM694" s="29"/>
    </row>
    <row r="695">
      <c r="A695" s="31" t="s">
        <v>99</v>
      </c>
      <c r="B695" s="32">
        <v>21320.0</v>
      </c>
      <c r="C695" s="33" t="str">
        <f t="array" ref="C695">INDEX('MTA 28-09'!B:B,MATCH(B695,'MTA 28-09'!A:A,0))</f>
        <v>NÃO</v>
      </c>
      <c r="D695" s="34" t="str">
        <f t="array" ref="D695">INDEX('MTA 28-09'!D:D,MATCH(B695,'MTA 28-09'!A:A,0))</f>
        <v/>
      </c>
      <c r="E695" s="32" t="str">
        <f t="array" ref="E695">INDEX('MTA 28-09'!F:F,MATCH(B695,'MTA 28-09'!A:A,0))</f>
        <v/>
      </c>
      <c r="F695" s="155" t="str">
        <f t="array" ref="F695">INDEX('MTA 28-09'!I:I,MATCH(B695,'MTA 28-09'!A:A,0))</f>
        <v/>
      </c>
      <c r="G695" s="36" t="str">
        <f t="array" ref="G695">INDEX('MTA 28-09'!J:J,MATCH(B695,'MTA 28-09'!A:A,0))</f>
        <v/>
      </c>
      <c r="H695" s="287" t="s">
        <v>157</v>
      </c>
      <c r="I695" s="295"/>
      <c r="J695" s="39"/>
      <c r="K695" s="40"/>
      <c r="L695" s="39" t="str">
        <f t="array" ref="L695">INDEX('MTA 28-09'!S:S,MATCH(B695,'MTA 28-09'!A:A,0))</f>
        <v>APOIO</v>
      </c>
      <c r="M695" s="32" t="str">
        <f t="array" ref="M695">INDEX('MTA 28-09'!T:T,MATCH(B695,'MTA 28-09'!A:A,0))</f>
        <v>2025-AFA-03</v>
      </c>
      <c r="N695" s="32" t="str">
        <f t="array" ref="N695">INDEX('MTA 28-09'!U:U,MATCH(B695,'MTA 28-09'!A:A,0))</f>
        <v>PN 133-144 - CALIPER,MICROMETER,INSIDE</v>
      </c>
      <c r="O695" s="59">
        <f t="array" ref="O695">INDEX('MTA 28-09'!AC:AC,MATCH(B695,'MTA 28-09'!A:A,0))</f>
        <v>1753.8</v>
      </c>
      <c r="P695" s="32" t="str">
        <f t="array" ref="P695">INDEX('MTA 28-09'!N:N,MATCH(B695,'MTA 28-09'!A:A,0))</f>
        <v>CABE</v>
      </c>
      <c r="Q695" s="67" t="str">
        <f t="array" ref="Q695">INDEX('MTA 28-09'!Z:Z,MATCH(B695,'MTA 28-09'!A:A,0))</f>
        <v>449052</v>
      </c>
      <c r="R695" s="32" t="str">
        <f t="array" ref="R695">INDEX('MTA 28-09'!L:L,MATCH(B695,'MTA 28-09'!A:A,0))</f>
        <v>C</v>
      </c>
      <c r="S695" s="72" t="str">
        <f t="array" ref="S695">INDEX('MTA 28-09'!X:X,MATCH(B695,'MTA 28-09'!A:A,0))</f>
        <v>REQUISIÇÃO</v>
      </c>
      <c r="T695" s="72" t="str">
        <f t="array" ref="T695">INDEX('MTA 28-09'!W:W,MATCH(B695,'MTA 28-09'!A:A,0))</f>
        <v>Não</v>
      </c>
      <c r="U695" s="81">
        <f t="array" ref="U695">INDEX('MTA 28-09'!AE:AE,MATCH(B695,'MTA 28-09'!A:A,0))</f>
        <v>46168</v>
      </c>
      <c r="V695" s="12"/>
      <c r="W695" s="12"/>
      <c r="X695" s="12"/>
      <c r="Y695" s="12"/>
      <c r="Z695" s="12"/>
      <c r="AA695" s="12"/>
      <c r="AB695" s="12"/>
      <c r="AC695" s="12"/>
      <c r="AD695" s="12"/>
      <c r="AE695" s="12"/>
      <c r="AF695" s="12"/>
      <c r="AG695" s="12"/>
      <c r="AH695" s="12"/>
      <c r="AI695" s="12"/>
      <c r="AJ695" s="12"/>
      <c r="AK695" s="12"/>
      <c r="AL695" s="12"/>
      <c r="AM695" s="12"/>
    </row>
    <row r="696">
      <c r="A696" s="88" t="s">
        <v>99</v>
      </c>
      <c r="B696" s="98">
        <v>21340.0</v>
      </c>
      <c r="C696" s="92" t="str">
        <f t="array" ref="C696">INDEX('MTA 28-09'!B:B,MATCH(B696,'MTA 28-09'!A:A,0))</f>
        <v>NÃO</v>
      </c>
      <c r="D696" s="95" t="str">
        <f t="array" ref="D696">INDEX('MTA 28-09'!D:D,MATCH(B696,'MTA 28-09'!A:A,0))</f>
        <v/>
      </c>
      <c r="E696" s="98" t="str">
        <f t="array" ref="E696">INDEX('MTA 28-09'!F:F,MATCH(B696,'MTA 28-09'!A:A,0))</f>
        <v/>
      </c>
      <c r="F696" s="144" t="str">
        <f t="array" ref="F696">INDEX('MTA 28-09'!I:I,MATCH(B696,'MTA 28-09'!A:A,0))</f>
        <v/>
      </c>
      <c r="G696" s="100" t="str">
        <f t="array" ref="G696">INDEX('MTA 28-09'!J:J,MATCH(B696,'MTA 28-09'!A:A,0))</f>
        <v/>
      </c>
      <c r="H696" s="159" t="s">
        <v>157</v>
      </c>
      <c r="I696" s="296"/>
      <c r="J696" s="102"/>
      <c r="K696" s="103"/>
      <c r="L696" s="102" t="str">
        <f t="array" ref="L696">INDEX('MTA 28-09'!S:S,MATCH(B696,'MTA 28-09'!A:A,0))</f>
        <v>APOIO</v>
      </c>
      <c r="M696" s="98" t="str">
        <f t="array" ref="M696">INDEX('MTA 28-09'!T:T,MATCH(B696,'MTA 28-09'!A:A,0))</f>
        <v>2025-AFA-08</v>
      </c>
      <c r="N696" s="98" t="str">
        <f t="array" ref="N696">INDEX('MTA 28-09'!U:U,MATCH(B696,'MTA 28-09'!A:A,0))</f>
        <v>PN 9094 - BALANÇA ELETRÔNICA DIGITAL 15KGX2G</v>
      </c>
      <c r="O696" s="104">
        <f t="array" ref="O696">INDEX('MTA 28-09'!AC:AC,MATCH(B696,'MTA 28-09'!A:A,0))</f>
        <v>3968.9</v>
      </c>
      <c r="P696" s="98" t="str">
        <f t="array" ref="P696">INDEX('MTA 28-09'!N:N,MATCH(B696,'MTA 28-09'!A:A,0))</f>
        <v>CELOG</v>
      </c>
      <c r="Q696" s="105" t="str">
        <f t="array" ref="Q696">INDEX('MTA 28-09'!Z:Z,MATCH(B696,'MTA 28-09'!A:A,0))</f>
        <v>449052</v>
      </c>
      <c r="R696" s="98" t="str">
        <f t="array" ref="R696">INDEX('MTA 28-09'!L:L,MATCH(B696,'MTA 28-09'!A:A,0))</f>
        <v>C</v>
      </c>
      <c r="S696" s="107" t="str">
        <f t="array" ref="S696">INDEX('MTA 28-09'!X:X,MATCH(B696,'MTA 28-09'!A:A,0))</f>
        <v>REQUISIÇÃO</v>
      </c>
      <c r="T696" s="107" t="str">
        <f t="array" ref="T696">INDEX('MTA 28-09'!W:W,MATCH(B696,'MTA 28-09'!A:A,0))</f>
        <v>Não</v>
      </c>
      <c r="U696" s="109">
        <f t="array" ref="U696">INDEX('MTA 28-09'!AE:AE,MATCH(B696,'MTA 28-09'!A:A,0))</f>
        <v>46168</v>
      </c>
      <c r="V696" s="29"/>
      <c r="W696" s="29"/>
      <c r="X696" s="29"/>
      <c r="Y696" s="29"/>
      <c r="Z696" s="29"/>
      <c r="AA696" s="29"/>
      <c r="AB696" s="29"/>
      <c r="AC696" s="29"/>
      <c r="AD696" s="29"/>
      <c r="AE696" s="29"/>
      <c r="AF696" s="29"/>
      <c r="AG696" s="29"/>
      <c r="AH696" s="29"/>
      <c r="AI696" s="29"/>
      <c r="AJ696" s="29"/>
      <c r="AK696" s="29"/>
      <c r="AL696" s="29"/>
      <c r="AM696" s="29"/>
    </row>
    <row r="697">
      <c r="A697" s="31" t="s">
        <v>99</v>
      </c>
      <c r="B697" s="32">
        <v>21360.0</v>
      </c>
      <c r="C697" s="33" t="str">
        <f t="array" ref="C697">INDEX('MTA 28-09'!B:B,MATCH(B697,'MTA 28-09'!A:A,0))</f>
        <v>NÃO</v>
      </c>
      <c r="D697" s="34" t="str">
        <f t="array" ref="D697">INDEX('MTA 28-09'!D:D,MATCH(B697,'MTA 28-09'!A:A,0))</f>
        <v/>
      </c>
      <c r="E697" s="32" t="str">
        <f t="array" ref="E697">INDEX('MTA 28-09'!F:F,MATCH(B697,'MTA 28-09'!A:A,0))</f>
        <v/>
      </c>
      <c r="F697" s="155" t="str">
        <f t="array" ref="F697">INDEX('MTA 28-09'!I:I,MATCH(B697,'MTA 28-09'!A:A,0))</f>
        <v/>
      </c>
      <c r="G697" s="36" t="str">
        <f t="array" ref="G697">INDEX('MTA 28-09'!J:J,MATCH(B697,'MTA 28-09'!A:A,0))</f>
        <v/>
      </c>
      <c r="H697" s="287" t="s">
        <v>157</v>
      </c>
      <c r="I697" s="295"/>
      <c r="J697" s="39"/>
      <c r="K697" s="40"/>
      <c r="L697" s="39" t="str">
        <f t="array" ref="L697">INDEX('MTA 28-09'!S:S,MATCH(B697,'MTA 28-09'!A:A,0))</f>
        <v>APOIO</v>
      </c>
      <c r="M697" s="32" t="str">
        <f t="array" ref="M697">INDEX('MTA 28-09'!T:T,MATCH(B697,'MTA 28-09'!A:A,0))</f>
        <v>2025-AFA-12</v>
      </c>
      <c r="N697" s="32" t="str">
        <f t="array" ref="N697">INDEX('MTA 28-09'!U:U,MATCH(B697,'MTA 28-09'!A:A,0))</f>
        <v>PN RRN11P-02 - HAMMER,PNEUMATIC,PORTABLE</v>
      </c>
      <c r="O697" s="59">
        <f t="array" ref="O697">INDEX('MTA 28-09'!AC:AC,MATCH(B697,'MTA 28-09'!A:A,0))</f>
        <v>3255.91</v>
      </c>
      <c r="P697" s="32" t="str">
        <f t="array" ref="P697">INDEX('MTA 28-09'!N:N,MATCH(B697,'MTA 28-09'!A:A,0))</f>
        <v>CABW</v>
      </c>
      <c r="Q697" s="67" t="str">
        <f t="array" ref="Q697">INDEX('MTA 28-09'!Z:Z,MATCH(B697,'MTA 28-09'!A:A,0))</f>
        <v>449052</v>
      </c>
      <c r="R697" s="32" t="str">
        <f t="array" ref="R697">INDEX('MTA 28-09'!L:L,MATCH(B697,'MTA 28-09'!A:A,0))</f>
        <v>C</v>
      </c>
      <c r="S697" s="72" t="str">
        <f t="array" ref="S697">INDEX('MTA 28-09'!X:X,MATCH(B697,'MTA 28-09'!A:A,0))</f>
        <v>REQUISIÇÃO</v>
      </c>
      <c r="T697" s="72" t="str">
        <f t="array" ref="T697">INDEX('MTA 28-09'!W:W,MATCH(B697,'MTA 28-09'!A:A,0))</f>
        <v>Não</v>
      </c>
      <c r="U697" s="81">
        <f t="array" ref="U697">INDEX('MTA 28-09'!AE:AE,MATCH(B697,'MTA 28-09'!A:A,0))</f>
        <v>46168</v>
      </c>
      <c r="V697" s="12"/>
      <c r="W697" s="12"/>
      <c r="X697" s="12"/>
      <c r="Y697" s="12"/>
      <c r="Z697" s="12"/>
      <c r="AA697" s="12"/>
      <c r="AB697" s="12"/>
      <c r="AC697" s="12"/>
      <c r="AD697" s="12"/>
      <c r="AE697" s="12"/>
      <c r="AF697" s="12"/>
      <c r="AG697" s="12"/>
      <c r="AH697" s="12"/>
      <c r="AI697" s="12"/>
      <c r="AJ697" s="12"/>
      <c r="AK697" s="12"/>
      <c r="AL697" s="12"/>
      <c r="AM697" s="12"/>
    </row>
    <row r="698">
      <c r="A698" s="88" t="s">
        <v>99</v>
      </c>
      <c r="B698" s="98">
        <v>21380.0</v>
      </c>
      <c r="C698" s="92" t="str">
        <f t="array" ref="C698">INDEX('MTA 28-09'!B:B,MATCH(B698,'MTA 28-09'!A:A,0))</f>
        <v>NÃO</v>
      </c>
      <c r="D698" s="95" t="str">
        <f t="array" ref="D698">INDEX('MTA 28-09'!D:D,MATCH(B698,'MTA 28-09'!A:A,0))</f>
        <v/>
      </c>
      <c r="E698" s="98" t="str">
        <f t="array" ref="E698">INDEX('MTA 28-09'!F:F,MATCH(B698,'MTA 28-09'!A:A,0))</f>
        <v/>
      </c>
      <c r="F698" s="152" t="str">
        <f t="array" ref="F698">INDEX('MTA 28-09'!I:I,MATCH(B698,'MTA 28-09'!A:A,0))</f>
        <v/>
      </c>
      <c r="G698" s="100" t="str">
        <f t="array" ref="G698">INDEX('MTA 28-09'!J:J,MATCH(B698,'MTA 28-09'!A:A,0))</f>
        <v/>
      </c>
      <c r="H698" s="159" t="s">
        <v>157</v>
      </c>
      <c r="I698" s="296"/>
      <c r="J698" s="102"/>
      <c r="K698" s="103"/>
      <c r="L698" s="102" t="str">
        <f t="array" ref="L698">INDEX('MTA 28-09'!S:S,MATCH(B698,'MTA 28-09'!A:A,0))</f>
        <v>APOIO</v>
      </c>
      <c r="M698" s="98" t="str">
        <f t="array" ref="M698">INDEX('MTA 28-09'!T:T,MATCH(B698,'MTA 28-09'!A:A,0))</f>
        <v>2025-AFA-15</v>
      </c>
      <c r="N698" s="98" t="str">
        <f t="array" ref="N698">INDEX('MTA 28-09'!U:U,MATCH(B698,'MTA 28-09'!A:A,0))</f>
        <v>PN T60-1001-C8-1A - TENSIOMETER,DIAL INDICATING</v>
      </c>
      <c r="O698" s="104">
        <f t="array" ref="O698">INDEX('MTA 28-09'!AC:AC,MATCH(B698,'MTA 28-09'!A:A,0))</f>
        <v>711.38</v>
      </c>
      <c r="P698" s="98" t="str">
        <f t="array" ref="P698">INDEX('MTA 28-09'!N:N,MATCH(B698,'MTA 28-09'!A:A,0))</f>
        <v>CABW</v>
      </c>
      <c r="Q698" s="105" t="str">
        <f t="array" ref="Q698">INDEX('MTA 28-09'!Z:Z,MATCH(B698,'MTA 28-09'!A:A,0))</f>
        <v>449052</v>
      </c>
      <c r="R698" s="98" t="str">
        <f t="array" ref="R698">INDEX('MTA 28-09'!L:L,MATCH(B698,'MTA 28-09'!A:A,0))</f>
        <v>C</v>
      </c>
      <c r="S698" s="107" t="str">
        <f t="array" ref="S698">INDEX('MTA 28-09'!X:X,MATCH(B698,'MTA 28-09'!A:A,0))</f>
        <v>REQUISIÇÃO</v>
      </c>
      <c r="T698" s="107" t="str">
        <f t="array" ref="T698">INDEX('MTA 28-09'!W:W,MATCH(B698,'MTA 28-09'!A:A,0))</f>
        <v>Não</v>
      </c>
      <c r="U698" s="109">
        <f t="array" ref="U698">INDEX('MTA 28-09'!AE:AE,MATCH(B698,'MTA 28-09'!A:A,0))</f>
        <v>46168</v>
      </c>
      <c r="V698" s="29"/>
      <c r="W698" s="29"/>
      <c r="X698" s="29"/>
      <c r="Y698" s="29"/>
      <c r="Z698" s="29"/>
      <c r="AA698" s="29"/>
      <c r="AB698" s="29"/>
      <c r="AC698" s="29"/>
      <c r="AD698" s="29"/>
      <c r="AE698" s="29"/>
      <c r="AF698" s="29"/>
      <c r="AG698" s="29"/>
      <c r="AH698" s="29"/>
      <c r="AI698" s="29"/>
      <c r="AJ698" s="29"/>
      <c r="AK698" s="29"/>
      <c r="AL698" s="29"/>
      <c r="AM698" s="29"/>
    </row>
    <row r="699">
      <c r="A699" s="31" t="s">
        <v>99</v>
      </c>
      <c r="B699" s="32">
        <v>21400.0</v>
      </c>
      <c r="C699" s="33" t="str">
        <f t="array" ref="C699">INDEX('MTA 28-09'!B:B,MATCH(B699,'MTA 28-09'!A:A,0))</f>
        <v>NÃO</v>
      </c>
      <c r="D699" s="34" t="str">
        <f t="array" ref="D699">INDEX('MTA 28-09'!D:D,MATCH(B699,'MTA 28-09'!A:A,0))</f>
        <v/>
      </c>
      <c r="E699" s="32" t="str">
        <f t="array" ref="E699">INDEX('MTA 28-09'!F:F,MATCH(B699,'MTA 28-09'!A:A,0))</f>
        <v/>
      </c>
      <c r="F699" s="155" t="str">
        <f t="array" ref="F699">INDEX('MTA 28-09'!I:I,MATCH(B699,'MTA 28-09'!A:A,0))</f>
        <v/>
      </c>
      <c r="G699" s="36" t="str">
        <f t="array" ref="G699">INDEX('MTA 28-09'!J:J,MATCH(B699,'MTA 28-09'!A:A,0))</f>
        <v/>
      </c>
      <c r="H699" s="287" t="s">
        <v>157</v>
      </c>
      <c r="I699" s="295"/>
      <c r="J699" s="39"/>
      <c r="K699" s="40"/>
      <c r="L699" s="39" t="str">
        <f t="array" ref="L699">INDEX('MTA 28-09'!S:S,MATCH(B699,'MTA 28-09'!A:A,0))</f>
        <v>APOIO</v>
      </c>
      <c r="M699" s="32" t="str">
        <f t="array" ref="M699">INDEX('MTA 28-09'!T:T,MATCH(B699,'MTA 28-09'!A:A,0))</f>
        <v>2025-AFA-17</v>
      </c>
      <c r="N699" s="32" t="str">
        <f t="array" ref="N699">INDEX('MTA 28-09'!U:U,MATCH(B699,'MTA 28-09'!A:A,0))</f>
        <v>PN 14-6807-6011 - GAGE,TIRE PRESSURE,SELF-CONTAINED, 300 PSI MAXIMUM OPERATING PRESSURE; USED ON AN AIRCRAFT</v>
      </c>
      <c r="O699" s="59">
        <f t="array" ref="O699">INDEX('MTA 28-09'!AC:AC,MATCH(B699,'MTA 28-09'!A:A,0))</f>
        <v>1580.92</v>
      </c>
      <c r="P699" s="32" t="str">
        <f t="array" ref="P699">INDEX('MTA 28-09'!N:N,MATCH(B699,'MTA 28-09'!A:A,0))</f>
        <v>CABW</v>
      </c>
      <c r="Q699" s="67" t="str">
        <f t="array" ref="Q699">INDEX('MTA 28-09'!Z:Z,MATCH(B699,'MTA 28-09'!A:A,0))</f>
        <v>449052</v>
      </c>
      <c r="R699" s="32" t="str">
        <f t="array" ref="R699">INDEX('MTA 28-09'!L:L,MATCH(B699,'MTA 28-09'!A:A,0))</f>
        <v>C</v>
      </c>
      <c r="S699" s="72" t="str">
        <f t="array" ref="S699">INDEX('MTA 28-09'!X:X,MATCH(B699,'MTA 28-09'!A:A,0))</f>
        <v>REQUISIÇÃO</v>
      </c>
      <c r="T699" s="72" t="str">
        <f t="array" ref="T699">INDEX('MTA 28-09'!W:W,MATCH(B699,'MTA 28-09'!A:A,0))</f>
        <v>Não</v>
      </c>
      <c r="U699" s="81">
        <f t="array" ref="U699">INDEX('MTA 28-09'!AE:AE,MATCH(B699,'MTA 28-09'!A:A,0))</f>
        <v>46168</v>
      </c>
      <c r="V699" s="12"/>
      <c r="W699" s="12"/>
      <c r="X699" s="12"/>
      <c r="Y699" s="12"/>
      <c r="Z699" s="12"/>
      <c r="AA699" s="12"/>
      <c r="AB699" s="12"/>
      <c r="AC699" s="12"/>
      <c r="AD699" s="12"/>
      <c r="AE699" s="12"/>
      <c r="AF699" s="12"/>
      <c r="AG699" s="12"/>
      <c r="AH699" s="12"/>
      <c r="AI699" s="12"/>
      <c r="AJ699" s="12"/>
      <c r="AK699" s="12"/>
      <c r="AL699" s="12"/>
      <c r="AM699" s="12"/>
    </row>
    <row r="700">
      <c r="A700" s="88" t="s">
        <v>99</v>
      </c>
      <c r="B700" s="98">
        <v>21420.0</v>
      </c>
      <c r="C700" s="92" t="str">
        <f t="array" ref="C700">INDEX('MTA 28-09'!B:B,MATCH(B700,'MTA 28-09'!A:A,0))</f>
        <v>NÃO</v>
      </c>
      <c r="D700" s="95" t="str">
        <f t="array" ref="D700">INDEX('MTA 28-09'!D:D,MATCH(B700,'MTA 28-09'!A:A,0))</f>
        <v/>
      </c>
      <c r="E700" s="98" t="str">
        <f t="array" ref="E700">INDEX('MTA 28-09'!F:F,MATCH(B700,'MTA 28-09'!A:A,0))</f>
        <v/>
      </c>
      <c r="F700" s="152" t="str">
        <f t="array" ref="F700">INDEX('MTA 28-09'!I:I,MATCH(B700,'MTA 28-09'!A:A,0))</f>
        <v/>
      </c>
      <c r="G700" s="100" t="str">
        <f t="array" ref="G700">INDEX('MTA 28-09'!J:J,MATCH(B700,'MTA 28-09'!A:A,0))</f>
        <v/>
      </c>
      <c r="H700" s="159" t="s">
        <v>157</v>
      </c>
      <c r="I700" s="428"/>
      <c r="J700" s="102"/>
      <c r="K700" s="103"/>
      <c r="L700" s="102" t="str">
        <f t="array" ref="L700">INDEX('MTA 28-09'!S:S,MATCH(B700,'MTA 28-09'!A:A,0))</f>
        <v>APOIO</v>
      </c>
      <c r="M700" s="98" t="str">
        <f t="array" ref="M700">INDEX('MTA 28-09'!T:T,MATCH(B700,'MTA 28-09'!A:A,0))</f>
        <v>2025-AFA-19</v>
      </c>
      <c r="N700" s="98" t="str">
        <f t="array" ref="N700">INDEX('MTA 28-09'!U:U,MATCH(B700,'MTA 28-09'!A:A,0))</f>
        <v>PN SFP-500CC - ENGRAXADEIRA PNEUMÁTICA</v>
      </c>
      <c r="O700" s="104">
        <f t="array" ref="O700">INDEX('MTA 28-09'!AC:AC,MATCH(B700,'MTA 28-09'!A:A,0))</f>
        <v>615.48</v>
      </c>
      <c r="P700" s="98" t="str">
        <f t="array" ref="P700">INDEX('MTA 28-09'!N:N,MATCH(B700,'MTA 28-09'!A:A,0))</f>
        <v>CELOG</v>
      </c>
      <c r="Q700" s="105" t="str">
        <f t="array" ref="Q700">INDEX('MTA 28-09'!Z:Z,MATCH(B700,'MTA 28-09'!A:A,0))</f>
        <v>449052</v>
      </c>
      <c r="R700" s="98" t="str">
        <f t="array" ref="R700">INDEX('MTA 28-09'!L:L,MATCH(B700,'MTA 28-09'!A:A,0))</f>
        <v>C</v>
      </c>
      <c r="S700" s="107" t="str">
        <f t="array" ref="S700">INDEX('MTA 28-09'!X:X,MATCH(B700,'MTA 28-09'!A:A,0))</f>
        <v>REQUISIÇÃO</v>
      </c>
      <c r="T700" s="107" t="str">
        <f t="array" ref="T700">INDEX('MTA 28-09'!W:W,MATCH(B700,'MTA 28-09'!A:A,0))</f>
        <v>Não</v>
      </c>
      <c r="U700" s="109">
        <f t="array" ref="U700">INDEX('MTA 28-09'!AE:AE,MATCH(B700,'MTA 28-09'!A:A,0))</f>
        <v>46168</v>
      </c>
      <c r="V700" s="29"/>
      <c r="W700" s="29"/>
      <c r="X700" s="29"/>
      <c r="Y700" s="29"/>
      <c r="Z700" s="29"/>
      <c r="AA700" s="29"/>
      <c r="AB700" s="29"/>
      <c r="AC700" s="29"/>
      <c r="AD700" s="29"/>
      <c r="AE700" s="29"/>
      <c r="AF700" s="29"/>
      <c r="AG700" s="29"/>
      <c r="AH700" s="29"/>
      <c r="AI700" s="29"/>
      <c r="AJ700" s="29"/>
      <c r="AK700" s="29"/>
      <c r="AL700" s="29"/>
      <c r="AM700" s="29"/>
    </row>
    <row r="701">
      <c r="A701" s="31" t="s">
        <v>99</v>
      </c>
      <c r="B701" s="32">
        <v>21440.0</v>
      </c>
      <c r="C701" s="33" t="str">
        <f t="array" ref="C701">INDEX('MTA 28-09'!B:B,MATCH(B701,'MTA 28-09'!A:A,0))</f>
        <v>NÃO</v>
      </c>
      <c r="D701" s="34" t="str">
        <f t="array" ref="D701">INDEX('MTA 28-09'!D:D,MATCH(B701,'MTA 28-09'!A:A,0))</f>
        <v/>
      </c>
      <c r="E701" s="32" t="str">
        <f t="array" ref="E701">INDEX('MTA 28-09'!F:F,MATCH(B701,'MTA 28-09'!A:A,0))</f>
        <v/>
      </c>
      <c r="F701" s="155" t="str">
        <f t="array" ref="F701">INDEX('MTA 28-09'!I:I,MATCH(B701,'MTA 28-09'!A:A,0))</f>
        <v/>
      </c>
      <c r="G701" s="36" t="str">
        <f t="array" ref="G701">INDEX('MTA 28-09'!J:J,MATCH(B701,'MTA 28-09'!A:A,0))</f>
        <v/>
      </c>
      <c r="H701" s="287" t="s">
        <v>157</v>
      </c>
      <c r="I701" s="295"/>
      <c r="J701" s="39"/>
      <c r="K701" s="40"/>
      <c r="L701" s="39" t="str">
        <f t="array" ref="L701">INDEX('MTA 28-09'!S:S,MATCH(B701,'MTA 28-09'!A:A,0))</f>
        <v>APOIO</v>
      </c>
      <c r="M701" s="32" t="str">
        <f t="array" ref="M701">INDEX('MTA 28-09'!T:T,MATCH(B701,'MTA 28-09'!A:A,0))</f>
        <v>2025-AFA-20</v>
      </c>
      <c r="N701" s="32" t="str">
        <f t="array" ref="N701">INDEX('MTA 28-09'!U:U,MATCH(B701,'MTA 28-09'!A:A,0))</f>
        <v>PN TORQUIMETRO QUICKSET 10-50LBIN - QUICKSET</v>
      </c>
      <c r="O701" s="59">
        <f t="array" ref="O701">INDEX('MTA 28-09'!AC:AC,MATCH(B701,'MTA 28-09'!A:A,0))</f>
        <v>3761.62</v>
      </c>
      <c r="P701" s="32" t="str">
        <f t="array" ref="P701">INDEX('MTA 28-09'!N:N,MATCH(B701,'MTA 28-09'!A:A,0))</f>
        <v>CELOG</v>
      </c>
      <c r="Q701" s="67" t="str">
        <f t="array" ref="Q701">INDEX('MTA 28-09'!Z:Z,MATCH(B701,'MTA 28-09'!A:A,0))</f>
        <v>449052</v>
      </c>
      <c r="R701" s="32" t="str">
        <f t="array" ref="R701">INDEX('MTA 28-09'!L:L,MATCH(B701,'MTA 28-09'!A:A,0))</f>
        <v>C</v>
      </c>
      <c r="S701" s="72" t="str">
        <f t="array" ref="S701">INDEX('MTA 28-09'!X:X,MATCH(B701,'MTA 28-09'!A:A,0))</f>
        <v>REQUISIÇÃO</v>
      </c>
      <c r="T701" s="72" t="str">
        <f t="array" ref="T701">INDEX('MTA 28-09'!W:W,MATCH(B701,'MTA 28-09'!A:A,0))</f>
        <v>Não</v>
      </c>
      <c r="U701" s="81">
        <f t="array" ref="U701">INDEX('MTA 28-09'!AE:AE,MATCH(B701,'MTA 28-09'!A:A,0))</f>
        <v>46168</v>
      </c>
      <c r="V701" s="12"/>
      <c r="W701" s="12"/>
      <c r="X701" s="12"/>
      <c r="Y701" s="12"/>
      <c r="Z701" s="12"/>
      <c r="AA701" s="12"/>
      <c r="AB701" s="12"/>
      <c r="AC701" s="12"/>
      <c r="AD701" s="12"/>
      <c r="AE701" s="12"/>
      <c r="AF701" s="12"/>
      <c r="AG701" s="12"/>
      <c r="AH701" s="12"/>
      <c r="AI701" s="12"/>
      <c r="AJ701" s="12"/>
      <c r="AK701" s="12"/>
      <c r="AL701" s="12"/>
      <c r="AM701" s="12"/>
    </row>
    <row r="702">
      <c r="A702" s="88" t="s">
        <v>99</v>
      </c>
      <c r="B702" s="98">
        <v>21460.0</v>
      </c>
      <c r="C702" s="92" t="str">
        <f t="array" ref="C702">INDEX('MTA 28-09'!B:B,MATCH(B702,'MTA 28-09'!A:A,0))</f>
        <v>NÃO</v>
      </c>
      <c r="D702" s="95" t="str">
        <f t="array" ref="D702">INDEX('MTA 28-09'!D:D,MATCH(B702,'MTA 28-09'!A:A,0))</f>
        <v/>
      </c>
      <c r="E702" s="98" t="str">
        <f t="array" ref="E702">INDEX('MTA 28-09'!F:F,MATCH(B702,'MTA 28-09'!A:A,0))</f>
        <v/>
      </c>
      <c r="F702" s="152" t="str">
        <f t="array" ref="F702">INDEX('MTA 28-09'!I:I,MATCH(B702,'MTA 28-09'!A:A,0))</f>
        <v/>
      </c>
      <c r="G702" s="100" t="str">
        <f t="array" ref="G702">INDEX('MTA 28-09'!J:J,MATCH(B702,'MTA 28-09'!A:A,0))</f>
        <v/>
      </c>
      <c r="H702" s="159" t="s">
        <v>157</v>
      </c>
      <c r="I702" s="296"/>
      <c r="J702" s="102"/>
      <c r="K702" s="103"/>
      <c r="L702" s="102" t="str">
        <f t="array" ref="L702">INDEX('MTA 28-09'!S:S,MATCH(B702,'MTA 28-09'!A:A,0))</f>
        <v>APOIO</v>
      </c>
      <c r="M702" s="98" t="str">
        <f t="array" ref="M702">INDEX('MTA 28-09'!T:T,MATCH(B702,'MTA 28-09'!A:A,0))</f>
        <v>2025-BAAN-05</v>
      </c>
      <c r="N702" s="98" t="str">
        <f t="array" ref="N702">INDEX('MTA 28-09'!U:U,MATCH(B702,'MTA 28-09'!A:A,0))</f>
        <v>PN TIFHD160 - DUAL TIRE INFLATOR</v>
      </c>
      <c r="O702" s="104">
        <f t="array" ref="O702">INDEX('MTA 28-09'!AC:AC,MATCH(B702,'MTA 28-09'!A:A,0))</f>
        <v>3456</v>
      </c>
      <c r="P702" s="98" t="str">
        <f t="array" ref="P702">INDEX('MTA 28-09'!N:N,MATCH(B702,'MTA 28-09'!A:A,0))</f>
        <v>CABW</v>
      </c>
      <c r="Q702" s="105" t="str">
        <f t="array" ref="Q702">INDEX('MTA 28-09'!Z:Z,MATCH(B702,'MTA 28-09'!A:A,0))</f>
        <v>449052</v>
      </c>
      <c r="R702" s="98" t="str">
        <f t="array" ref="R702">INDEX('MTA 28-09'!L:L,MATCH(B702,'MTA 28-09'!A:A,0))</f>
        <v>C</v>
      </c>
      <c r="S702" s="107" t="str">
        <f t="array" ref="S702">INDEX('MTA 28-09'!X:X,MATCH(B702,'MTA 28-09'!A:A,0))</f>
        <v>REQUISIÇÃO</v>
      </c>
      <c r="T702" s="107" t="str">
        <f t="array" ref="T702">INDEX('MTA 28-09'!W:W,MATCH(B702,'MTA 28-09'!A:A,0))</f>
        <v>Não</v>
      </c>
      <c r="U702" s="109">
        <f t="array" ref="U702">INDEX('MTA 28-09'!AE:AE,MATCH(B702,'MTA 28-09'!A:A,0))</f>
        <v>46168</v>
      </c>
      <c r="V702" s="29"/>
      <c r="W702" s="29"/>
      <c r="X702" s="29"/>
      <c r="Y702" s="29"/>
      <c r="Z702" s="29"/>
      <c r="AA702" s="29"/>
      <c r="AB702" s="29"/>
      <c r="AC702" s="29"/>
      <c r="AD702" s="29"/>
      <c r="AE702" s="29"/>
      <c r="AF702" s="29"/>
      <c r="AG702" s="29"/>
      <c r="AH702" s="29"/>
      <c r="AI702" s="29"/>
      <c r="AJ702" s="29"/>
      <c r="AK702" s="29"/>
      <c r="AL702" s="29"/>
      <c r="AM702" s="29"/>
    </row>
    <row r="703">
      <c r="A703" s="31" t="s">
        <v>99</v>
      </c>
      <c r="B703" s="32">
        <v>21480.0</v>
      </c>
      <c r="C703" s="33" t="str">
        <f t="array" ref="C703">INDEX('MTA 28-09'!B:B,MATCH(B703,'MTA 28-09'!A:A,0))</f>
        <v>NÃO</v>
      </c>
      <c r="D703" s="34" t="str">
        <f t="array" ref="D703">INDEX('MTA 28-09'!D:D,MATCH(B703,'MTA 28-09'!A:A,0))</f>
        <v/>
      </c>
      <c r="E703" s="32" t="str">
        <f t="array" ref="E703">INDEX('MTA 28-09'!F:F,MATCH(B703,'MTA 28-09'!A:A,0))</f>
        <v/>
      </c>
      <c r="F703" s="155" t="str">
        <f t="array" ref="F703">INDEX('MTA 28-09'!I:I,MATCH(B703,'MTA 28-09'!A:A,0))</f>
        <v/>
      </c>
      <c r="G703" s="36" t="str">
        <f t="array" ref="G703">INDEX('MTA 28-09'!J:J,MATCH(B703,'MTA 28-09'!A:A,0))</f>
        <v/>
      </c>
      <c r="H703" s="287" t="s">
        <v>157</v>
      </c>
      <c r="I703" s="295"/>
      <c r="J703" s="39"/>
      <c r="K703" s="40"/>
      <c r="L703" s="39" t="str">
        <f t="array" ref="L703">INDEX('MTA 28-09'!S:S,MATCH(B703,'MTA 28-09'!A:A,0))</f>
        <v>APOIO</v>
      </c>
      <c r="M703" s="32" t="str">
        <f t="array" ref="M703">INDEX('MTA 28-09'!T:T,MATCH(B703,'MTA 28-09'!A:A,0))</f>
        <v>2025-BABR-12</v>
      </c>
      <c r="N703" s="32" t="str">
        <f t="array" ref="N703">INDEX('MTA 28-09'!U:U,MATCH(B703,'MTA 28-09'!A:A,0))</f>
        <v>PN 2724001 - THERMO-HYGROMETER</v>
      </c>
      <c r="O703" s="59">
        <f t="array" ref="O703">INDEX('MTA 28-09'!AC:AC,MATCH(B703,'MTA 28-09'!A:A,0))</f>
        <v>23396.98</v>
      </c>
      <c r="P703" s="32" t="str">
        <f t="array" ref="P703">INDEX('MTA 28-09'!N:N,MATCH(B703,'MTA 28-09'!A:A,0))</f>
        <v>CABW</v>
      </c>
      <c r="Q703" s="67" t="str">
        <f t="array" ref="Q703">INDEX('MTA 28-09'!Z:Z,MATCH(B703,'MTA 28-09'!A:A,0))</f>
        <v>449052</v>
      </c>
      <c r="R703" s="32" t="str">
        <f t="array" ref="R703">INDEX('MTA 28-09'!L:L,MATCH(B703,'MTA 28-09'!A:A,0))</f>
        <v>C</v>
      </c>
      <c r="S703" s="72" t="str">
        <f t="array" ref="S703">INDEX('MTA 28-09'!X:X,MATCH(B703,'MTA 28-09'!A:A,0))</f>
        <v>REQUISIÇÃO</v>
      </c>
      <c r="T703" s="72" t="str">
        <f t="array" ref="T703">INDEX('MTA 28-09'!W:W,MATCH(B703,'MTA 28-09'!A:A,0))</f>
        <v>Não</v>
      </c>
      <c r="U703" s="81">
        <f t="array" ref="U703">INDEX('MTA 28-09'!AE:AE,MATCH(B703,'MTA 28-09'!A:A,0))</f>
        <v>46168</v>
      </c>
      <c r="V703" s="12"/>
      <c r="W703" s="12"/>
      <c r="X703" s="12"/>
      <c r="Y703" s="12"/>
      <c r="Z703" s="12"/>
      <c r="AA703" s="12"/>
      <c r="AB703" s="12"/>
      <c r="AC703" s="12"/>
      <c r="AD703" s="12"/>
      <c r="AE703" s="12"/>
      <c r="AF703" s="12"/>
      <c r="AG703" s="12"/>
      <c r="AH703" s="12"/>
      <c r="AI703" s="12"/>
      <c r="AJ703" s="12"/>
      <c r="AK703" s="12"/>
      <c r="AL703" s="12"/>
      <c r="AM703" s="12"/>
    </row>
    <row r="704">
      <c r="A704" s="88" t="s">
        <v>99</v>
      </c>
      <c r="B704" s="98">
        <v>21500.0</v>
      </c>
      <c r="C704" s="92" t="str">
        <f t="array" ref="C704">INDEX('MTA 28-09'!B:B,MATCH(B704,'MTA 28-09'!A:A,0))</f>
        <v>NÃO</v>
      </c>
      <c r="D704" s="95" t="str">
        <f t="array" ref="D704">INDEX('MTA 28-09'!D:D,MATCH(B704,'MTA 28-09'!A:A,0))</f>
        <v/>
      </c>
      <c r="E704" s="98" t="str">
        <f t="array" ref="E704">INDEX('MTA 28-09'!F:F,MATCH(B704,'MTA 28-09'!A:A,0))</f>
        <v/>
      </c>
      <c r="F704" s="423" t="str">
        <f t="array" ref="F704">INDEX('MTA 28-09'!I:I,MATCH(B704,'MTA 28-09'!A:A,0))</f>
        <v/>
      </c>
      <c r="G704" s="100" t="str">
        <f t="array" ref="G704">INDEX('MTA 28-09'!J:J,MATCH(B704,'MTA 28-09'!A:A,0))</f>
        <v/>
      </c>
      <c r="H704" s="159" t="s">
        <v>157</v>
      </c>
      <c r="I704" s="296"/>
      <c r="J704" s="102"/>
      <c r="K704" s="103"/>
      <c r="L704" s="102" t="str">
        <f t="array" ref="L704">INDEX('MTA 28-09'!S:S,MATCH(B704,'MTA 28-09'!A:A,0))</f>
        <v>APOIO</v>
      </c>
      <c r="M704" s="98" t="str">
        <f t="array" ref="M704">INDEX('MTA 28-09'!T:T,MATCH(B704,'MTA 28-09'!A:A,0))</f>
        <v>2025-BABR-22</v>
      </c>
      <c r="N704" s="98" t="str">
        <f t="array" ref="N704">INDEX('MTA 28-09'!U:U,MATCH(B704,'MTA 28-09'!A:A,0))</f>
        <v>PN KS5518E - CLEANER, ULTRASONIC</v>
      </c>
      <c r="O704" s="104">
        <f t="array" ref="O704">INDEX('MTA 28-09'!AC:AC,MATCH(B704,'MTA 28-09'!A:A,0))</f>
        <v>4510.08</v>
      </c>
      <c r="P704" s="98" t="str">
        <f t="array" ref="P704">INDEX('MTA 28-09'!N:N,MATCH(B704,'MTA 28-09'!A:A,0))</f>
        <v>CABW</v>
      </c>
      <c r="Q704" s="105" t="str">
        <f t="array" ref="Q704">INDEX('MTA 28-09'!Z:Z,MATCH(B704,'MTA 28-09'!A:A,0))</f>
        <v>449052</v>
      </c>
      <c r="R704" s="98" t="str">
        <f t="array" ref="R704">INDEX('MTA 28-09'!L:L,MATCH(B704,'MTA 28-09'!A:A,0))</f>
        <v>C</v>
      </c>
      <c r="S704" s="107" t="str">
        <f t="array" ref="S704">INDEX('MTA 28-09'!X:X,MATCH(B704,'MTA 28-09'!A:A,0))</f>
        <v>REQUISIÇÃO</v>
      </c>
      <c r="T704" s="107" t="str">
        <f t="array" ref="T704">INDEX('MTA 28-09'!W:W,MATCH(B704,'MTA 28-09'!A:A,0))</f>
        <v>Não</v>
      </c>
      <c r="U704" s="109">
        <f t="array" ref="U704">INDEX('MTA 28-09'!AE:AE,MATCH(B704,'MTA 28-09'!A:A,0))</f>
        <v>46168</v>
      </c>
      <c r="V704" s="29"/>
      <c r="W704" s="29"/>
      <c r="X704" s="29"/>
      <c r="Y704" s="29"/>
      <c r="Z704" s="29"/>
      <c r="AA704" s="29"/>
      <c r="AB704" s="29"/>
      <c r="AC704" s="29"/>
      <c r="AD704" s="29"/>
      <c r="AE704" s="29"/>
      <c r="AF704" s="29"/>
      <c r="AG704" s="29"/>
      <c r="AH704" s="29"/>
      <c r="AI704" s="29"/>
      <c r="AJ704" s="29"/>
      <c r="AK704" s="29"/>
      <c r="AL704" s="29"/>
      <c r="AM704" s="29"/>
    </row>
    <row r="705">
      <c r="A705" s="31" t="s">
        <v>99</v>
      </c>
      <c r="B705" s="32">
        <v>21520.0</v>
      </c>
      <c r="C705" s="33" t="str">
        <f t="array" ref="C705">INDEX('MTA 28-09'!B:B,MATCH(B705,'MTA 28-09'!A:A,0))</f>
        <v>NÃO</v>
      </c>
      <c r="D705" s="34" t="str">
        <f t="array" ref="D705">INDEX('MTA 28-09'!D:D,MATCH(B705,'MTA 28-09'!A:A,0))</f>
        <v/>
      </c>
      <c r="E705" s="32" t="str">
        <f t="array" ref="E705">INDEX('MTA 28-09'!F:F,MATCH(B705,'MTA 28-09'!A:A,0))</f>
        <v/>
      </c>
      <c r="F705" s="420" t="str">
        <f t="array" ref="F705">INDEX('MTA 28-09'!I:I,MATCH(B705,'MTA 28-09'!A:A,0))</f>
        <v/>
      </c>
      <c r="G705" s="36" t="str">
        <f t="array" ref="G705">INDEX('MTA 28-09'!J:J,MATCH(B705,'MTA 28-09'!A:A,0))</f>
        <v/>
      </c>
      <c r="H705" s="287" t="s">
        <v>157</v>
      </c>
      <c r="I705" s="295"/>
      <c r="J705" s="39"/>
      <c r="K705" s="40"/>
      <c r="L705" s="39" t="str">
        <f t="array" ref="L705">INDEX('MTA 28-09'!S:S,MATCH(B705,'MTA 28-09'!A:A,0))</f>
        <v>APOIO</v>
      </c>
      <c r="M705" s="32" t="str">
        <f t="array" ref="M705">INDEX('MTA 28-09'!T:T,MATCH(B705,'MTA 28-09'!A:A,0))</f>
        <v>2025-BABV-32</v>
      </c>
      <c r="N705" s="32" t="str">
        <f t="array" ref="N705">INDEX('MTA 28-09'!U:U,MATCH(B705,'MTA 28-09'!A:A,0))</f>
        <v>PN 40K513 - FHASEC 3D KIT</v>
      </c>
      <c r="O705" s="59">
        <f t="array" ref="O705">INDEX('MTA 28-09'!AC:AC,MATCH(B705,'MTA 28-09'!A:A,0))</f>
        <v>96768</v>
      </c>
      <c r="P705" s="32" t="str">
        <f t="array" ref="P705">INDEX('MTA 28-09'!N:N,MATCH(B705,'MTA 28-09'!A:A,0))</f>
        <v>CABW</v>
      </c>
      <c r="Q705" s="67" t="str">
        <f t="array" ref="Q705">INDEX('MTA 28-09'!Z:Z,MATCH(B705,'MTA 28-09'!A:A,0))</f>
        <v>449052</v>
      </c>
      <c r="R705" s="32" t="str">
        <f t="array" ref="R705">INDEX('MTA 28-09'!L:L,MATCH(B705,'MTA 28-09'!A:A,0))</f>
        <v>C</v>
      </c>
      <c r="S705" s="72" t="str">
        <f t="array" ref="S705">INDEX('MTA 28-09'!X:X,MATCH(B705,'MTA 28-09'!A:A,0))</f>
        <v>REQUISIÇÃO</v>
      </c>
      <c r="T705" s="72" t="str">
        <f t="array" ref="T705">INDEX('MTA 28-09'!W:W,MATCH(B705,'MTA 28-09'!A:A,0))</f>
        <v>Não</v>
      </c>
      <c r="U705" s="81">
        <f t="array" ref="U705">INDEX('MTA 28-09'!AE:AE,MATCH(B705,'MTA 28-09'!A:A,0))</f>
        <v>46168</v>
      </c>
      <c r="V705" s="12"/>
      <c r="W705" s="12"/>
      <c r="X705" s="12"/>
      <c r="Y705" s="12"/>
      <c r="Z705" s="12"/>
      <c r="AA705" s="12"/>
      <c r="AB705" s="12"/>
      <c r="AC705" s="12"/>
      <c r="AD705" s="12"/>
      <c r="AE705" s="12"/>
      <c r="AF705" s="12"/>
      <c r="AG705" s="12"/>
      <c r="AH705" s="12"/>
      <c r="AI705" s="12"/>
      <c r="AJ705" s="12"/>
      <c r="AK705" s="12"/>
      <c r="AL705" s="12"/>
      <c r="AM705" s="12"/>
    </row>
    <row r="706">
      <c r="A706" s="88" t="s">
        <v>99</v>
      </c>
      <c r="B706" s="98">
        <v>21540.0</v>
      </c>
      <c r="C706" s="92" t="str">
        <f t="array" ref="C706">INDEX('MTA 28-09'!B:B,MATCH(B706,'MTA 28-09'!A:A,0))</f>
        <v>NÃO</v>
      </c>
      <c r="D706" s="95" t="str">
        <f t="array" ref="D706">INDEX('MTA 28-09'!D:D,MATCH(B706,'MTA 28-09'!A:A,0))</f>
        <v/>
      </c>
      <c r="E706" s="98" t="str">
        <f t="array" ref="E706">INDEX('MTA 28-09'!F:F,MATCH(B706,'MTA 28-09'!A:A,0))</f>
        <v/>
      </c>
      <c r="F706" s="152" t="str">
        <f t="array" ref="F706">INDEX('MTA 28-09'!I:I,MATCH(B706,'MTA 28-09'!A:A,0))</f>
        <v/>
      </c>
      <c r="G706" s="100" t="str">
        <f t="array" ref="G706">INDEX('MTA 28-09'!J:J,MATCH(B706,'MTA 28-09'!A:A,0))</f>
        <v/>
      </c>
      <c r="H706" s="159" t="s">
        <v>157</v>
      </c>
      <c r="I706" s="296"/>
      <c r="J706" s="102"/>
      <c r="K706" s="103"/>
      <c r="L706" s="102" t="str">
        <f t="array" ref="L706">INDEX('MTA 28-09'!S:S,MATCH(B706,'MTA 28-09'!A:A,0))</f>
        <v>APOIO</v>
      </c>
      <c r="M706" s="98" t="str">
        <f t="array" ref="M706">INDEX('MTA 28-09'!T:T,MATCH(B706,'MTA 28-09'!A:A,0))</f>
        <v>2025-BACO-07</v>
      </c>
      <c r="N706" s="98" t="str">
        <f t="array" ref="N706">INDEX('MTA 28-09'!U:U,MATCH(B706,'MTA 28-09'!A:A,0))</f>
        <v>PN KRA2007K-CH - ARMÁRIO SNAP-ON 7 GAVETAS</v>
      </c>
      <c r="O706" s="104">
        <f t="array" ref="O706">INDEX('MTA 28-09'!AC:AC,MATCH(B706,'MTA 28-09'!A:A,0))</f>
        <v>8470</v>
      </c>
      <c r="P706" s="98" t="str">
        <f t="array" ref="P706">INDEX('MTA 28-09'!N:N,MATCH(B706,'MTA 28-09'!A:A,0))</f>
        <v>CABW</v>
      </c>
      <c r="Q706" s="105" t="str">
        <f t="array" ref="Q706">INDEX('MTA 28-09'!Z:Z,MATCH(B706,'MTA 28-09'!A:A,0))</f>
        <v>449052</v>
      </c>
      <c r="R706" s="98" t="str">
        <f t="array" ref="R706">INDEX('MTA 28-09'!L:L,MATCH(B706,'MTA 28-09'!A:A,0))</f>
        <v>C</v>
      </c>
      <c r="S706" s="107" t="str">
        <f t="array" ref="S706">INDEX('MTA 28-09'!X:X,MATCH(B706,'MTA 28-09'!A:A,0))</f>
        <v>REQUISIÇÃO</v>
      </c>
      <c r="T706" s="107" t="str">
        <f t="array" ref="T706">INDEX('MTA 28-09'!W:W,MATCH(B706,'MTA 28-09'!A:A,0))</f>
        <v>Não</v>
      </c>
      <c r="U706" s="109">
        <f t="array" ref="U706">INDEX('MTA 28-09'!AE:AE,MATCH(B706,'MTA 28-09'!A:A,0))</f>
        <v>46168</v>
      </c>
      <c r="V706" s="29"/>
      <c r="W706" s="29"/>
      <c r="X706" s="29"/>
      <c r="Y706" s="29"/>
      <c r="Z706" s="29"/>
      <c r="AA706" s="29"/>
      <c r="AB706" s="29"/>
      <c r="AC706" s="29"/>
      <c r="AD706" s="29"/>
      <c r="AE706" s="29"/>
      <c r="AF706" s="29"/>
      <c r="AG706" s="29"/>
      <c r="AH706" s="29"/>
      <c r="AI706" s="29"/>
      <c r="AJ706" s="29"/>
      <c r="AK706" s="29"/>
      <c r="AL706" s="29"/>
      <c r="AM706" s="29"/>
    </row>
    <row r="707">
      <c r="A707" s="31" t="s">
        <v>99</v>
      </c>
      <c r="B707" s="32">
        <v>21560.0</v>
      </c>
      <c r="C707" s="33" t="str">
        <f t="array" ref="C707">INDEX('MTA 28-09'!B:B,MATCH(B707,'MTA 28-09'!A:A,0))</f>
        <v>NÃO</v>
      </c>
      <c r="D707" s="34" t="str">
        <f t="array" ref="D707">INDEX('MTA 28-09'!D:D,MATCH(B707,'MTA 28-09'!A:A,0))</f>
        <v/>
      </c>
      <c r="E707" s="32" t="str">
        <f t="array" ref="E707">INDEX('MTA 28-09'!F:F,MATCH(B707,'MTA 28-09'!A:A,0))</f>
        <v/>
      </c>
      <c r="F707" s="155" t="str">
        <f t="array" ref="F707">INDEX('MTA 28-09'!I:I,MATCH(B707,'MTA 28-09'!A:A,0))</f>
        <v/>
      </c>
      <c r="G707" s="36" t="str">
        <f t="array" ref="G707">INDEX('MTA 28-09'!J:J,MATCH(B707,'MTA 28-09'!A:A,0))</f>
        <v/>
      </c>
      <c r="H707" s="287" t="s">
        <v>157</v>
      </c>
      <c r="I707" s="295"/>
      <c r="J707" s="39"/>
      <c r="K707" s="40"/>
      <c r="L707" s="39" t="str">
        <f t="array" ref="L707">INDEX('MTA 28-09'!S:S,MATCH(B707,'MTA 28-09'!A:A,0))</f>
        <v>APOIO</v>
      </c>
      <c r="M707" s="32" t="str">
        <f t="array" ref="M707">INDEX('MTA 28-09'!T:T,MATCH(B707,'MTA 28-09'!A:A,0))</f>
        <v>2025-BACO-08</v>
      </c>
      <c r="N707" s="32" t="str">
        <f t="array" ref="N707">INDEX('MTA 28-09'!U:U,MATCH(B707,'MTA 28-09'!A:A,0))</f>
        <v>PN ST-70E - SOLDERING STATION</v>
      </c>
      <c r="O707" s="59">
        <f t="array" ref="O707">INDEX('MTA 28-09'!AC:AC,MATCH(B707,'MTA 28-09'!A:A,0))</f>
        <v>1791.36</v>
      </c>
      <c r="P707" s="32" t="str">
        <f t="array" ref="P707">INDEX('MTA 28-09'!N:N,MATCH(B707,'MTA 28-09'!A:A,0))</f>
        <v>CABW</v>
      </c>
      <c r="Q707" s="67" t="str">
        <f t="array" ref="Q707">INDEX('MTA 28-09'!Z:Z,MATCH(B707,'MTA 28-09'!A:A,0))</f>
        <v>449052</v>
      </c>
      <c r="R707" s="32" t="str">
        <f t="array" ref="R707">INDEX('MTA 28-09'!L:L,MATCH(B707,'MTA 28-09'!A:A,0))</f>
        <v>C</v>
      </c>
      <c r="S707" s="72" t="str">
        <f t="array" ref="S707">INDEX('MTA 28-09'!X:X,MATCH(B707,'MTA 28-09'!A:A,0))</f>
        <v>REQUISIÇÃO</v>
      </c>
      <c r="T707" s="72" t="str">
        <f t="array" ref="T707">INDEX('MTA 28-09'!W:W,MATCH(B707,'MTA 28-09'!A:A,0))</f>
        <v>Não</v>
      </c>
      <c r="U707" s="81">
        <f t="array" ref="U707">INDEX('MTA 28-09'!AE:AE,MATCH(B707,'MTA 28-09'!A:A,0))</f>
        <v>46168</v>
      </c>
      <c r="V707" s="12"/>
      <c r="W707" s="12"/>
      <c r="X707" s="12"/>
      <c r="Y707" s="12"/>
      <c r="Z707" s="12"/>
      <c r="AA707" s="12"/>
      <c r="AB707" s="12"/>
      <c r="AC707" s="12"/>
      <c r="AD707" s="12"/>
      <c r="AE707" s="12"/>
      <c r="AF707" s="12"/>
      <c r="AG707" s="12"/>
      <c r="AH707" s="12"/>
      <c r="AI707" s="12"/>
      <c r="AJ707" s="12"/>
      <c r="AK707" s="12"/>
      <c r="AL707" s="12"/>
      <c r="AM707" s="12"/>
    </row>
    <row r="708">
      <c r="A708" s="88" t="s">
        <v>99</v>
      </c>
      <c r="B708" s="98">
        <v>21580.0</v>
      </c>
      <c r="C708" s="92" t="str">
        <f t="array" ref="C708">INDEX('MTA 28-09'!B:B,MATCH(B708,'MTA 28-09'!A:A,0))</f>
        <v>NÃO</v>
      </c>
      <c r="D708" s="95" t="str">
        <f t="array" ref="D708">INDEX('MTA 28-09'!D:D,MATCH(B708,'MTA 28-09'!A:A,0))</f>
        <v/>
      </c>
      <c r="E708" s="98" t="str">
        <f t="array" ref="E708">INDEX('MTA 28-09'!F:F,MATCH(B708,'MTA 28-09'!A:A,0))</f>
        <v/>
      </c>
      <c r="F708" s="98" t="str">
        <f t="array" ref="F708">INDEX('MTA 28-09'!I:I,MATCH(B708,'MTA 28-09'!A:A,0))</f>
        <v/>
      </c>
      <c r="G708" s="100" t="str">
        <f t="array" ref="G708">INDEX('MTA 28-09'!J:J,MATCH(B708,'MTA 28-09'!A:A,0))</f>
        <v/>
      </c>
      <c r="H708" s="159" t="s">
        <v>157</v>
      </c>
      <c r="I708" s="296"/>
      <c r="J708" s="102"/>
      <c r="K708" s="103"/>
      <c r="L708" s="102" t="str">
        <f t="array" ref="L708">INDEX('MTA 28-09'!S:S,MATCH(B708,'MTA 28-09'!A:A,0))</f>
        <v>APOIO</v>
      </c>
      <c r="M708" s="98" t="str">
        <f t="array" ref="M708">INDEX('MTA 28-09'!T:T,MATCH(B708,'MTA 28-09'!A:A,0))</f>
        <v>2025-BAMN-01</v>
      </c>
      <c r="N708" s="98" t="str">
        <f t="array" ref="N708">INDEX('MTA 28-09'!U:U,MATCH(B708,'MTA 28-09'!A:A,0))</f>
        <v>PN MIZ-21A - DETECTOR METAL FLAW ELECTRONIC</v>
      </c>
      <c r="O708" s="104">
        <f t="array" ref="O708">INDEX('MTA 28-09'!AC:AC,MATCH(B708,'MTA 28-09'!A:A,0))</f>
        <v>40383.58</v>
      </c>
      <c r="P708" s="98" t="str">
        <f t="array" ref="P708">INDEX('MTA 28-09'!N:N,MATCH(B708,'MTA 28-09'!A:A,0))</f>
        <v>CABW</v>
      </c>
      <c r="Q708" s="105" t="str">
        <f t="array" ref="Q708">INDEX('MTA 28-09'!Z:Z,MATCH(B708,'MTA 28-09'!A:A,0))</f>
        <v>449052</v>
      </c>
      <c r="R708" s="98" t="str">
        <f t="array" ref="R708">INDEX('MTA 28-09'!L:L,MATCH(B708,'MTA 28-09'!A:A,0))</f>
        <v>C</v>
      </c>
      <c r="S708" s="107" t="str">
        <f t="array" ref="S708">INDEX('MTA 28-09'!X:X,MATCH(B708,'MTA 28-09'!A:A,0))</f>
        <v>REQUISIÇÃO</v>
      </c>
      <c r="T708" s="107" t="str">
        <f t="array" ref="T708">INDEX('MTA 28-09'!W:W,MATCH(B708,'MTA 28-09'!A:A,0))</f>
        <v>Não</v>
      </c>
      <c r="U708" s="109">
        <f t="array" ref="U708">INDEX('MTA 28-09'!AE:AE,MATCH(B708,'MTA 28-09'!A:A,0))</f>
        <v>46168</v>
      </c>
      <c r="V708" s="29"/>
      <c r="W708" s="29"/>
      <c r="X708" s="29"/>
      <c r="Y708" s="29"/>
      <c r="Z708" s="29"/>
      <c r="AA708" s="29"/>
      <c r="AB708" s="29"/>
      <c r="AC708" s="29"/>
      <c r="AD708" s="29"/>
      <c r="AE708" s="29"/>
      <c r="AF708" s="29"/>
      <c r="AG708" s="29"/>
      <c r="AH708" s="29"/>
      <c r="AI708" s="29"/>
      <c r="AJ708" s="29"/>
      <c r="AK708" s="29"/>
      <c r="AL708" s="29"/>
      <c r="AM708" s="29"/>
    </row>
    <row r="709">
      <c r="A709" s="31" t="s">
        <v>99</v>
      </c>
      <c r="B709" s="32">
        <v>21600.0</v>
      </c>
      <c r="C709" s="33" t="str">
        <f t="array" ref="C709">INDEX('MTA 28-09'!B:B,MATCH(B709,'MTA 28-09'!A:A,0))</f>
        <v>NÃO</v>
      </c>
      <c r="D709" s="34" t="str">
        <f t="array" ref="D709">INDEX('MTA 28-09'!D:D,MATCH(B709,'MTA 28-09'!A:A,0))</f>
        <v/>
      </c>
      <c r="E709" s="32" t="str">
        <f t="array" ref="E709">INDEX('MTA 28-09'!F:F,MATCH(B709,'MTA 28-09'!A:A,0))</f>
        <v/>
      </c>
      <c r="F709" s="420" t="str">
        <f t="array" ref="F709">INDEX('MTA 28-09'!I:I,MATCH(B709,'MTA 28-09'!A:A,0))</f>
        <v/>
      </c>
      <c r="G709" s="36" t="str">
        <f t="array" ref="G709">INDEX('MTA 28-09'!J:J,MATCH(B709,'MTA 28-09'!A:A,0))</f>
        <v/>
      </c>
      <c r="H709" s="287" t="s">
        <v>157</v>
      </c>
      <c r="I709" s="295"/>
      <c r="J709" s="39"/>
      <c r="K709" s="40"/>
      <c r="L709" s="39" t="str">
        <f t="array" ref="L709">INDEX('MTA 28-09'!S:S,MATCH(B709,'MTA 28-09'!A:A,0))</f>
        <v>APOIO</v>
      </c>
      <c r="M709" s="32" t="str">
        <f t="array" ref="M709">INDEX('MTA 28-09'!T:T,MATCH(B709,'MTA 28-09'!A:A,0))</f>
        <v>2025-BAMN-03</v>
      </c>
      <c r="N709" s="32" t="str">
        <f t="array" ref="N709">INDEX('MTA 28-09'!U:U,MATCH(B709,'MTA 28-09'!A:A,0))</f>
        <v>PN RF80-K - ANALISADOR DE CARREGADOR DE BATERIA</v>
      </c>
      <c r="O709" s="59">
        <f t="array" ref="O709">INDEX('MTA 28-09'!AC:AC,MATCH(B709,'MTA 28-09'!A:A,0))</f>
        <v>50770.48</v>
      </c>
      <c r="P709" s="32" t="str">
        <f t="array" ref="P709">INDEX('MTA 28-09'!N:N,MATCH(B709,'MTA 28-09'!A:A,0))</f>
        <v>FMS</v>
      </c>
      <c r="Q709" s="67" t="str">
        <f t="array" ref="Q709">INDEX('MTA 28-09'!Z:Z,MATCH(B709,'MTA 28-09'!A:A,0))</f>
        <v>449052</v>
      </c>
      <c r="R709" s="32" t="str">
        <f t="array" ref="R709">INDEX('MTA 28-09'!L:L,MATCH(B709,'MTA 28-09'!A:A,0))</f>
        <v>C</v>
      </c>
      <c r="S709" s="72" t="str">
        <f t="array" ref="S709">INDEX('MTA 28-09'!X:X,MATCH(B709,'MTA 28-09'!A:A,0))</f>
        <v>REQUISIÇÃO</v>
      </c>
      <c r="T709" s="72" t="str">
        <f t="array" ref="T709">INDEX('MTA 28-09'!W:W,MATCH(B709,'MTA 28-09'!A:A,0))</f>
        <v>Não</v>
      </c>
      <c r="U709" s="81">
        <f t="array" ref="U709">INDEX('MTA 28-09'!AE:AE,MATCH(B709,'MTA 28-09'!A:A,0))</f>
        <v>46168</v>
      </c>
      <c r="V709" s="12"/>
      <c r="W709" s="12"/>
      <c r="X709" s="12"/>
      <c r="Y709" s="12"/>
      <c r="Z709" s="12"/>
      <c r="AA709" s="12"/>
      <c r="AB709" s="12"/>
      <c r="AC709" s="12"/>
      <c r="AD709" s="12"/>
      <c r="AE709" s="12"/>
      <c r="AF709" s="12"/>
      <c r="AG709" s="12"/>
      <c r="AH709" s="12"/>
      <c r="AI709" s="12"/>
      <c r="AJ709" s="12"/>
      <c r="AK709" s="12"/>
      <c r="AL709" s="12"/>
      <c r="AM709" s="12"/>
    </row>
    <row r="710">
      <c r="A710" s="88" t="s">
        <v>99</v>
      </c>
      <c r="B710" s="98">
        <v>21620.0</v>
      </c>
      <c r="C710" s="92" t="str">
        <f t="array" ref="C710">INDEX('MTA 28-09'!B:B,MATCH(B710,'MTA 28-09'!A:A,0))</f>
        <v>NÃO</v>
      </c>
      <c r="D710" s="95" t="str">
        <f t="array" ref="D710">INDEX('MTA 28-09'!D:D,MATCH(B710,'MTA 28-09'!A:A,0))</f>
        <v/>
      </c>
      <c r="E710" s="98" t="str">
        <f t="array" ref="E710">INDEX('MTA 28-09'!F:F,MATCH(B710,'MTA 28-09'!A:A,0))</f>
        <v/>
      </c>
      <c r="F710" s="144" t="str">
        <f t="array" ref="F710">INDEX('MTA 28-09'!I:I,MATCH(B710,'MTA 28-09'!A:A,0))</f>
        <v/>
      </c>
      <c r="G710" s="100" t="str">
        <f t="array" ref="G710">INDEX('MTA 28-09'!J:J,MATCH(B710,'MTA 28-09'!A:A,0))</f>
        <v/>
      </c>
      <c r="H710" s="159" t="s">
        <v>157</v>
      </c>
      <c r="I710" s="296"/>
      <c r="J710" s="102"/>
      <c r="K710" s="103"/>
      <c r="L710" s="102" t="str">
        <f t="array" ref="L710">INDEX('MTA 28-09'!S:S,MATCH(B710,'MTA 28-09'!A:A,0))</f>
        <v>APOIO</v>
      </c>
      <c r="M710" s="98" t="str">
        <f t="array" ref="M710">INDEX('MTA 28-09'!T:T,MATCH(B710,'MTA 28-09'!A:A,0))</f>
        <v>2025-BANT-06</v>
      </c>
      <c r="N710" s="98" t="str">
        <f t="array" ref="N710">INDEX('MTA 28-09'!U:U,MATCH(B710,'MTA 28-09'!A:A,0))</f>
        <v>PN MESA ELEVATORIA HIDRAULICA MÓVEL - Mesa Pantográfica 500 Kg Elevatória Hidráulica Móvel – Nagano</v>
      </c>
      <c r="O710" s="104">
        <f t="array" ref="O710">INDEX('MTA 28-09'!AC:AC,MATCH(B710,'MTA 28-09'!A:A,0))</f>
        <v>13599.8</v>
      </c>
      <c r="P710" s="98" t="str">
        <f t="array" ref="P710">INDEX('MTA 28-09'!N:N,MATCH(B710,'MTA 28-09'!A:A,0))</f>
        <v>CELOG</v>
      </c>
      <c r="Q710" s="105" t="str">
        <f t="array" ref="Q710">INDEX('MTA 28-09'!Z:Z,MATCH(B710,'MTA 28-09'!A:A,0))</f>
        <v>449052</v>
      </c>
      <c r="R710" s="98" t="str">
        <f t="array" ref="R710">INDEX('MTA 28-09'!L:L,MATCH(B710,'MTA 28-09'!A:A,0))</f>
        <v>C</v>
      </c>
      <c r="S710" s="107" t="str">
        <f t="array" ref="S710">INDEX('MTA 28-09'!X:X,MATCH(B710,'MTA 28-09'!A:A,0))</f>
        <v>REQUISIÇÃO</v>
      </c>
      <c r="T710" s="107" t="str">
        <f t="array" ref="T710">INDEX('MTA 28-09'!W:W,MATCH(B710,'MTA 28-09'!A:A,0))</f>
        <v>Não</v>
      </c>
      <c r="U710" s="109">
        <f t="array" ref="U710">INDEX('MTA 28-09'!AE:AE,MATCH(B710,'MTA 28-09'!A:A,0))</f>
        <v>46168</v>
      </c>
      <c r="V710" s="29"/>
      <c r="W710" s="29"/>
      <c r="X710" s="29"/>
      <c r="Y710" s="29"/>
      <c r="Z710" s="29"/>
      <c r="AA710" s="29"/>
      <c r="AB710" s="29"/>
      <c r="AC710" s="29"/>
      <c r="AD710" s="29"/>
      <c r="AE710" s="29"/>
      <c r="AF710" s="29"/>
      <c r="AG710" s="29"/>
      <c r="AH710" s="29"/>
      <c r="AI710" s="29"/>
      <c r="AJ710" s="29"/>
      <c r="AK710" s="29"/>
      <c r="AL710" s="29"/>
      <c r="AM710" s="29"/>
    </row>
    <row r="711">
      <c r="A711" s="31" t="s">
        <v>99</v>
      </c>
      <c r="B711" s="32">
        <v>21640.0</v>
      </c>
      <c r="C711" s="33" t="str">
        <f t="array" ref="C711">INDEX('MTA 28-09'!B:B,MATCH(B711,'MTA 28-09'!A:A,0))</f>
        <v>NÃO</v>
      </c>
      <c r="D711" s="34" t="str">
        <f t="array" ref="D711">INDEX('MTA 28-09'!D:D,MATCH(B711,'MTA 28-09'!A:A,0))</f>
        <v/>
      </c>
      <c r="E711" s="32" t="str">
        <f t="array" ref="E711">INDEX('MTA 28-09'!F:F,MATCH(B711,'MTA 28-09'!A:A,0))</f>
        <v/>
      </c>
      <c r="F711" s="32" t="str">
        <f t="array" ref="F711">INDEX('MTA 28-09'!I:I,MATCH(B711,'MTA 28-09'!A:A,0))</f>
        <v/>
      </c>
      <c r="G711" s="36" t="str">
        <f t="array" ref="G711">INDEX('MTA 28-09'!J:J,MATCH(B711,'MTA 28-09'!A:A,0))</f>
        <v/>
      </c>
      <c r="H711" s="287" t="s">
        <v>157</v>
      </c>
      <c r="I711" s="295"/>
      <c r="J711" s="39"/>
      <c r="K711" s="40"/>
      <c r="L711" s="39" t="str">
        <f t="array" ref="L711">INDEX('MTA 28-09'!S:S,MATCH(B711,'MTA 28-09'!A:A,0))</f>
        <v>APOIO</v>
      </c>
      <c r="M711" s="32" t="str">
        <f t="array" ref="M711">INDEX('MTA 28-09'!T:T,MATCH(B711,'MTA 28-09'!A:A,0))</f>
        <v>2025-BASM-06</v>
      </c>
      <c r="N711" s="32" t="str">
        <f t="array" ref="N711">INDEX('MTA 28-09'!U:U,MATCH(B711,'MTA 28-09'!A:A,0))</f>
        <v>PN UVM3059 - DIGITAL UV LIGHT METER</v>
      </c>
      <c r="O711" s="59">
        <f t="array" ref="O711">INDEX('MTA 28-09'!AC:AC,MATCH(B711,'MTA 28-09'!A:A,0))</f>
        <v>8289</v>
      </c>
      <c r="P711" s="32" t="str">
        <f t="array" ref="P711">INDEX('MTA 28-09'!N:N,MATCH(B711,'MTA 28-09'!A:A,0))</f>
        <v>CABW</v>
      </c>
      <c r="Q711" s="67" t="str">
        <f t="array" ref="Q711">INDEX('MTA 28-09'!Z:Z,MATCH(B711,'MTA 28-09'!A:A,0))</f>
        <v>449052</v>
      </c>
      <c r="R711" s="32" t="str">
        <f t="array" ref="R711">INDEX('MTA 28-09'!L:L,MATCH(B711,'MTA 28-09'!A:A,0))</f>
        <v>C</v>
      </c>
      <c r="S711" s="72" t="str">
        <f t="array" ref="S711">INDEX('MTA 28-09'!X:X,MATCH(B711,'MTA 28-09'!A:A,0))</f>
        <v>REQUISIÇÃO</v>
      </c>
      <c r="T711" s="72" t="str">
        <f t="array" ref="T711">INDEX('MTA 28-09'!W:W,MATCH(B711,'MTA 28-09'!A:A,0))</f>
        <v>Não</v>
      </c>
      <c r="U711" s="81">
        <f t="array" ref="U711">INDEX('MTA 28-09'!AE:AE,MATCH(B711,'MTA 28-09'!A:A,0))</f>
        <v>46168</v>
      </c>
      <c r="V711" s="12"/>
      <c r="W711" s="12"/>
      <c r="X711" s="12"/>
      <c r="Y711" s="12"/>
      <c r="Z711" s="12"/>
      <c r="AA711" s="12"/>
      <c r="AB711" s="12"/>
      <c r="AC711" s="12"/>
      <c r="AD711" s="12"/>
      <c r="AE711" s="12"/>
      <c r="AF711" s="12"/>
      <c r="AG711" s="12"/>
      <c r="AH711" s="12"/>
      <c r="AI711" s="12"/>
      <c r="AJ711" s="12"/>
      <c r="AK711" s="12"/>
      <c r="AL711" s="12"/>
      <c r="AM711" s="12"/>
    </row>
    <row r="712">
      <c r="A712" s="88" t="s">
        <v>99</v>
      </c>
      <c r="B712" s="98">
        <v>21660.0</v>
      </c>
      <c r="C712" s="92" t="str">
        <f t="array" ref="C712">INDEX('MTA 28-09'!B:B,MATCH(B712,'MTA 28-09'!A:A,0))</f>
        <v>NÃO</v>
      </c>
      <c r="D712" s="95" t="str">
        <f t="array" ref="D712">INDEX('MTA 28-09'!D:D,MATCH(B712,'MTA 28-09'!A:A,0))</f>
        <v/>
      </c>
      <c r="E712" s="98" t="str">
        <f t="array" ref="E712">INDEX('MTA 28-09'!F:F,MATCH(B712,'MTA 28-09'!A:A,0))</f>
        <v/>
      </c>
      <c r="F712" s="144" t="str">
        <f t="array" ref="F712">INDEX('MTA 28-09'!I:I,MATCH(B712,'MTA 28-09'!A:A,0))</f>
        <v/>
      </c>
      <c r="G712" s="100" t="str">
        <f t="array" ref="G712">INDEX('MTA 28-09'!J:J,MATCH(B712,'MTA 28-09'!A:A,0))</f>
        <v/>
      </c>
      <c r="H712" s="159" t="s">
        <v>157</v>
      </c>
      <c r="I712" s="296"/>
      <c r="J712" s="102"/>
      <c r="K712" s="103"/>
      <c r="L712" s="102" t="str">
        <f t="array" ref="L712">INDEX('MTA 28-09'!S:S,MATCH(B712,'MTA 28-09'!A:A,0))</f>
        <v>APOIO</v>
      </c>
      <c r="M712" s="98" t="str">
        <f t="array" ref="M712">INDEX('MTA 28-09'!T:T,MATCH(B712,'MTA 28-09'!A:A,0))</f>
        <v>2025-BASM-07</v>
      </c>
      <c r="N712" s="98" t="str">
        <f t="array" ref="N712">INDEX('MTA 28-09'!U:U,MATCH(B712,'MTA 28-09'!A:A,0))</f>
        <v>PN HDS 801 B - HIGH PRESSURE WASHER</v>
      </c>
      <c r="O712" s="104">
        <f t="array" ref="O712">INDEX('MTA 28-09'!AC:AC,MATCH(B712,'MTA 28-09'!A:A,0))</f>
        <v>32000</v>
      </c>
      <c r="P712" s="98" t="str">
        <f t="array" ref="P712">INDEX('MTA 28-09'!N:N,MATCH(B712,'MTA 28-09'!A:A,0))</f>
        <v>CABE</v>
      </c>
      <c r="Q712" s="105" t="str">
        <f t="array" ref="Q712">INDEX('MTA 28-09'!Z:Z,MATCH(B712,'MTA 28-09'!A:A,0))</f>
        <v>449052</v>
      </c>
      <c r="R712" s="98" t="str">
        <f t="array" ref="R712">INDEX('MTA 28-09'!L:L,MATCH(B712,'MTA 28-09'!A:A,0))</f>
        <v>C</v>
      </c>
      <c r="S712" s="107" t="str">
        <f t="array" ref="S712">INDEX('MTA 28-09'!X:X,MATCH(B712,'MTA 28-09'!A:A,0))</f>
        <v>REQUISIÇÃO</v>
      </c>
      <c r="T712" s="107" t="str">
        <f t="array" ref="T712">INDEX('MTA 28-09'!W:W,MATCH(B712,'MTA 28-09'!A:A,0))</f>
        <v>Não</v>
      </c>
      <c r="U712" s="109">
        <f t="array" ref="U712">INDEX('MTA 28-09'!AE:AE,MATCH(B712,'MTA 28-09'!A:A,0))</f>
        <v>46168</v>
      </c>
      <c r="V712" s="29"/>
      <c r="W712" s="29"/>
      <c r="X712" s="29"/>
      <c r="Y712" s="29"/>
      <c r="Z712" s="29"/>
      <c r="AA712" s="29"/>
      <c r="AB712" s="29"/>
      <c r="AC712" s="29"/>
      <c r="AD712" s="29"/>
      <c r="AE712" s="29"/>
      <c r="AF712" s="29"/>
      <c r="AG712" s="29"/>
      <c r="AH712" s="29"/>
      <c r="AI712" s="29"/>
      <c r="AJ712" s="29"/>
      <c r="AK712" s="29"/>
      <c r="AL712" s="29"/>
      <c r="AM712" s="29"/>
    </row>
    <row r="713">
      <c r="A713" s="31" t="s">
        <v>99</v>
      </c>
      <c r="B713" s="32">
        <v>21680.0</v>
      </c>
      <c r="C713" s="33" t="str">
        <f t="array" ref="C713">INDEX('MTA 28-09'!B:B,MATCH(B713,'MTA 28-09'!A:A,0))</f>
        <v>NÃO</v>
      </c>
      <c r="D713" s="34" t="str">
        <f t="array" ref="D713">INDEX('MTA 28-09'!D:D,MATCH(B713,'MTA 28-09'!A:A,0))</f>
        <v/>
      </c>
      <c r="E713" s="32" t="str">
        <f t="array" ref="E713">INDEX('MTA 28-09'!F:F,MATCH(B713,'MTA 28-09'!A:A,0))</f>
        <v/>
      </c>
      <c r="F713" s="32" t="str">
        <f t="array" ref="F713">INDEX('MTA 28-09'!I:I,MATCH(B713,'MTA 28-09'!A:A,0))</f>
        <v/>
      </c>
      <c r="G713" s="36" t="str">
        <f t="array" ref="G713">INDEX('MTA 28-09'!J:J,MATCH(B713,'MTA 28-09'!A:A,0))</f>
        <v/>
      </c>
      <c r="H713" s="287" t="s">
        <v>157</v>
      </c>
      <c r="I713" s="295"/>
      <c r="J713" s="39"/>
      <c r="K713" s="40"/>
      <c r="L713" s="39" t="str">
        <f t="array" ref="L713">INDEX('MTA 28-09'!S:S,MATCH(B713,'MTA 28-09'!A:A,0))</f>
        <v>APOIO</v>
      </c>
      <c r="M713" s="32" t="str">
        <f t="array" ref="M713">INDEX('MTA 28-09'!T:T,MATCH(B713,'MTA 28-09'!A:A,0))</f>
        <v>2022-EDA-11</v>
      </c>
      <c r="N713" s="32" t="str">
        <f t="array" ref="N713">INDEX('MTA 28-09'!U:U,MATCH(B713,'MTA 28-09'!A:A,0))</f>
        <v>PN 14-6808-6000 - VALVULA REGULADORA DE NITROGENIO</v>
      </c>
      <c r="O713" s="59">
        <f t="array" ref="O713">INDEX('MTA 28-09'!AC:AC,MATCH(B713,'MTA 28-09'!A:A,0))</f>
        <v>4083.84</v>
      </c>
      <c r="P713" s="32" t="str">
        <f t="array" ref="P713">INDEX('MTA 28-09'!N:N,MATCH(B713,'MTA 28-09'!A:A,0))</f>
        <v>CABW</v>
      </c>
      <c r="Q713" s="67" t="str">
        <f t="array" ref="Q713">INDEX('MTA 28-09'!Z:Z,MATCH(B713,'MTA 28-09'!A:A,0))</f>
        <v>449052</v>
      </c>
      <c r="R713" s="32" t="str">
        <f t="array" ref="R713">INDEX('MTA 28-09'!L:L,MATCH(B713,'MTA 28-09'!A:A,0))</f>
        <v>C</v>
      </c>
      <c r="S713" s="72" t="str">
        <f t="array" ref="S713">INDEX('MTA 28-09'!X:X,MATCH(B713,'MTA 28-09'!A:A,0))</f>
        <v>REQUISIÇÃO</v>
      </c>
      <c r="T713" s="72" t="str">
        <f t="array" ref="T713">INDEX('MTA 28-09'!W:W,MATCH(B713,'MTA 28-09'!A:A,0))</f>
        <v>Não</v>
      </c>
      <c r="U713" s="81">
        <f t="array" ref="U713">INDEX('MTA 28-09'!AE:AE,MATCH(B713,'MTA 28-09'!A:A,0))</f>
        <v>46168</v>
      </c>
      <c r="V713" s="12"/>
      <c r="W713" s="12"/>
      <c r="X713" s="12"/>
      <c r="Y713" s="12"/>
      <c r="Z713" s="12"/>
      <c r="AA713" s="12"/>
      <c r="AB713" s="12"/>
      <c r="AC713" s="12"/>
      <c r="AD713" s="12"/>
      <c r="AE713" s="12"/>
      <c r="AF713" s="12"/>
      <c r="AG713" s="12"/>
      <c r="AH713" s="12"/>
      <c r="AI713" s="12"/>
      <c r="AJ713" s="12"/>
      <c r="AK713" s="12"/>
      <c r="AL713" s="12"/>
      <c r="AM713" s="12"/>
    </row>
    <row r="714">
      <c r="A714" s="88" t="s">
        <v>99</v>
      </c>
      <c r="B714" s="98">
        <v>21700.0</v>
      </c>
      <c r="C714" s="92" t="str">
        <f t="array" ref="C714">INDEX('MTA 28-09'!B:B,MATCH(B714,'MTA 28-09'!A:A,0))</f>
        <v>NÃO</v>
      </c>
      <c r="D714" s="95" t="str">
        <f t="array" ref="D714">INDEX('MTA 28-09'!D:D,MATCH(B714,'MTA 28-09'!A:A,0))</f>
        <v/>
      </c>
      <c r="E714" s="98" t="str">
        <f t="array" ref="E714">INDEX('MTA 28-09'!F:F,MATCH(B714,'MTA 28-09'!A:A,0))</f>
        <v/>
      </c>
      <c r="F714" s="98" t="str">
        <f t="array" ref="F714">INDEX('MTA 28-09'!I:I,MATCH(B714,'MTA 28-09'!A:A,0))</f>
        <v/>
      </c>
      <c r="G714" s="100" t="str">
        <f t="array" ref="G714">INDEX('MTA 28-09'!J:J,MATCH(B714,'MTA 28-09'!A:A,0))</f>
        <v/>
      </c>
      <c r="H714" s="159" t="s">
        <v>157</v>
      </c>
      <c r="I714" s="296"/>
      <c r="J714" s="102"/>
      <c r="K714" s="103"/>
      <c r="L714" s="102" t="str">
        <f t="array" ref="L714">INDEX('MTA 28-09'!S:S,MATCH(B714,'MTA 28-09'!A:A,0))</f>
        <v>APOIO</v>
      </c>
      <c r="M714" s="98" t="str">
        <f t="array" ref="M714">INDEX('MTA 28-09'!T:T,MATCH(B714,'MTA 28-09'!A:A,0))</f>
        <v>2025-EEAR-01</v>
      </c>
      <c r="N714" s="98" t="str">
        <f t="array" ref="N714">INDEX('MTA 28-09'!U:U,MATCH(B714,'MTA 28-09'!A:A,0))</f>
        <v>PN YA258 - GAGE,PRESSURE,DIAL INDICATING</v>
      </c>
      <c r="O714" s="104">
        <f t="array" ref="O714">INDEX('MTA 28-09'!AC:AC,MATCH(B714,'MTA 28-09'!A:A,0))</f>
        <v>356.16</v>
      </c>
      <c r="P714" s="98" t="str">
        <f t="array" ref="P714">INDEX('MTA 28-09'!N:N,MATCH(B714,'MTA 28-09'!A:A,0))</f>
        <v>CABW</v>
      </c>
      <c r="Q714" s="105" t="str">
        <f t="array" ref="Q714">INDEX('MTA 28-09'!Z:Z,MATCH(B714,'MTA 28-09'!A:A,0))</f>
        <v>449052</v>
      </c>
      <c r="R714" s="98" t="str">
        <f t="array" ref="R714">INDEX('MTA 28-09'!L:L,MATCH(B714,'MTA 28-09'!A:A,0))</f>
        <v>C</v>
      </c>
      <c r="S714" s="107" t="str">
        <f t="array" ref="S714">INDEX('MTA 28-09'!X:X,MATCH(B714,'MTA 28-09'!A:A,0))</f>
        <v>REQUISIÇÃO</v>
      </c>
      <c r="T714" s="107" t="str">
        <f t="array" ref="T714">INDEX('MTA 28-09'!W:W,MATCH(B714,'MTA 28-09'!A:A,0))</f>
        <v>Não</v>
      </c>
      <c r="U714" s="109">
        <f t="array" ref="U714">INDEX('MTA 28-09'!AE:AE,MATCH(B714,'MTA 28-09'!A:A,0))</f>
        <v>46168</v>
      </c>
      <c r="V714" s="29"/>
      <c r="W714" s="29"/>
      <c r="X714" s="29"/>
      <c r="Y714" s="29"/>
      <c r="Z714" s="29"/>
      <c r="AA714" s="29"/>
      <c r="AB714" s="29"/>
      <c r="AC714" s="29"/>
      <c r="AD714" s="29"/>
      <c r="AE714" s="29"/>
      <c r="AF714" s="29"/>
      <c r="AG714" s="29"/>
      <c r="AH714" s="29"/>
      <c r="AI714" s="29"/>
      <c r="AJ714" s="29"/>
      <c r="AK714" s="29"/>
      <c r="AL714" s="29"/>
      <c r="AM714" s="29"/>
    </row>
    <row r="715">
      <c r="A715" s="31" t="s">
        <v>99</v>
      </c>
      <c r="B715" s="32">
        <v>21720.0</v>
      </c>
      <c r="C715" s="33" t="str">
        <f t="array" ref="C715">INDEX('MTA 28-09'!B:B,MATCH(B715,'MTA 28-09'!A:A,0))</f>
        <v>NÃO</v>
      </c>
      <c r="D715" s="34" t="str">
        <f t="array" ref="D715">INDEX('MTA 28-09'!D:D,MATCH(B715,'MTA 28-09'!A:A,0))</f>
        <v/>
      </c>
      <c r="E715" s="32" t="str">
        <f t="array" ref="E715">INDEX('MTA 28-09'!F:F,MATCH(B715,'MTA 28-09'!A:A,0))</f>
        <v/>
      </c>
      <c r="F715" s="35" t="str">
        <f t="array" ref="F715">INDEX('MTA 28-09'!I:I,MATCH(B715,'MTA 28-09'!A:A,0))</f>
        <v/>
      </c>
      <c r="G715" s="36" t="str">
        <f t="array" ref="G715">INDEX('MTA 28-09'!J:J,MATCH(B715,'MTA 28-09'!A:A,0))</f>
        <v/>
      </c>
      <c r="H715" s="287" t="s">
        <v>157</v>
      </c>
      <c r="I715" s="295"/>
      <c r="J715" s="39"/>
      <c r="K715" s="40"/>
      <c r="L715" s="39" t="str">
        <f t="array" ref="L715">INDEX('MTA 28-09'!S:S,MATCH(B715,'MTA 28-09'!A:A,0))</f>
        <v>APOIO</v>
      </c>
      <c r="M715" s="32" t="str">
        <f t="array" ref="M715">INDEX('MTA 28-09'!T:T,MATCH(B715,'MTA 28-09'!A:A,0))</f>
        <v>2025-EPCAR-01</v>
      </c>
      <c r="N715" s="32" t="str">
        <f t="array" ref="N715">INDEX('MTA 28-09'!U:U,MATCH(B715,'MTA 28-09'!A:A,0))</f>
        <v>PN 177 - STANDARD TEST FIXTURE</v>
      </c>
      <c r="O715" s="59">
        <f t="array" ref="O715">INDEX('MTA 28-09'!AC:AC,MATCH(B715,'MTA 28-09'!A:A,0))</f>
        <v>9901.44</v>
      </c>
      <c r="P715" s="32" t="str">
        <f t="array" ref="P715">INDEX('MTA 28-09'!N:N,MATCH(B715,'MTA 28-09'!A:A,0))</f>
        <v>CABW</v>
      </c>
      <c r="Q715" s="67" t="str">
        <f t="array" ref="Q715">INDEX('MTA 28-09'!Z:Z,MATCH(B715,'MTA 28-09'!A:A,0))</f>
        <v>449052</v>
      </c>
      <c r="R715" s="32" t="str">
        <f t="array" ref="R715">INDEX('MTA 28-09'!L:L,MATCH(B715,'MTA 28-09'!A:A,0))</f>
        <v>C</v>
      </c>
      <c r="S715" s="72" t="str">
        <f t="array" ref="S715">INDEX('MTA 28-09'!X:X,MATCH(B715,'MTA 28-09'!A:A,0))</f>
        <v>REQUISIÇÃO</v>
      </c>
      <c r="T715" s="72" t="str">
        <f t="array" ref="T715">INDEX('MTA 28-09'!W:W,MATCH(B715,'MTA 28-09'!A:A,0))</f>
        <v>Não</v>
      </c>
      <c r="U715" s="81">
        <f t="array" ref="U715">INDEX('MTA 28-09'!AE:AE,MATCH(B715,'MTA 28-09'!A:A,0))</f>
        <v>46168</v>
      </c>
      <c r="V715" s="12"/>
      <c r="W715" s="12"/>
      <c r="X715" s="12"/>
      <c r="Y715" s="12"/>
      <c r="Z715" s="12"/>
      <c r="AA715" s="12"/>
      <c r="AB715" s="12"/>
      <c r="AC715" s="12"/>
      <c r="AD715" s="12"/>
      <c r="AE715" s="12"/>
      <c r="AF715" s="12"/>
      <c r="AG715" s="12"/>
      <c r="AH715" s="12"/>
      <c r="AI715" s="12"/>
      <c r="AJ715" s="12"/>
      <c r="AK715" s="12"/>
      <c r="AL715" s="12"/>
      <c r="AM715" s="12"/>
    </row>
    <row r="716">
      <c r="A716" s="88" t="s">
        <v>99</v>
      </c>
      <c r="B716" s="98">
        <v>21740.0</v>
      </c>
      <c r="C716" s="92" t="str">
        <f t="array" ref="C716">INDEX('MTA 28-09'!B:B,MATCH(B716,'MTA 28-09'!A:A,0))</f>
        <v>NÃO</v>
      </c>
      <c r="D716" s="95" t="str">
        <f t="array" ref="D716">INDEX('MTA 28-09'!D:D,MATCH(B716,'MTA 28-09'!A:A,0))</f>
        <v/>
      </c>
      <c r="E716" s="98" t="str">
        <f t="array" ref="E716">INDEX('MTA 28-09'!F:F,MATCH(B716,'MTA 28-09'!A:A,0))</f>
        <v/>
      </c>
      <c r="F716" s="423" t="str">
        <f t="array" ref="F716">INDEX('MTA 28-09'!I:I,MATCH(B716,'MTA 28-09'!A:A,0))</f>
        <v/>
      </c>
      <c r="G716" s="100" t="str">
        <f t="array" ref="G716">INDEX('MTA 28-09'!J:J,MATCH(B716,'MTA 28-09'!A:A,0))</f>
        <v/>
      </c>
      <c r="H716" s="159" t="s">
        <v>157</v>
      </c>
      <c r="I716" s="296"/>
      <c r="J716" s="102"/>
      <c r="K716" s="103"/>
      <c r="L716" s="102" t="str">
        <f t="array" ref="L716">INDEX('MTA 28-09'!S:S,MATCH(B716,'MTA 28-09'!A:A,0))</f>
        <v>APOIO</v>
      </c>
      <c r="M716" s="98" t="str">
        <f t="array" ref="M716">INDEX('MTA 28-09'!T:T,MATCH(B716,'MTA 28-09'!A:A,0))</f>
        <v>2025-EPCAR-02</v>
      </c>
      <c r="N716" s="98" t="str">
        <f t="array" ref="N716">INDEX('MTA 28-09'!U:U,MATCH(B716,'MTA 28-09'!A:A,0))</f>
        <v>PN T60-1001-C8-1A - TENSIOMETER,DIAL INDICATING</v>
      </c>
      <c r="O716" s="104">
        <f t="array" ref="O716">INDEX('MTA 28-09'!AC:AC,MATCH(B716,'MTA 28-09'!A:A,0))</f>
        <v>3943.47</v>
      </c>
      <c r="P716" s="98" t="str">
        <f t="array" ref="P716">INDEX('MTA 28-09'!N:N,MATCH(B716,'MTA 28-09'!A:A,0))</f>
        <v>FMS</v>
      </c>
      <c r="Q716" s="105" t="str">
        <f t="array" ref="Q716">INDEX('MTA 28-09'!Z:Z,MATCH(B716,'MTA 28-09'!A:A,0))</f>
        <v>449052</v>
      </c>
      <c r="R716" s="98" t="str">
        <f t="array" ref="R716">INDEX('MTA 28-09'!L:L,MATCH(B716,'MTA 28-09'!A:A,0))</f>
        <v>C</v>
      </c>
      <c r="S716" s="107" t="str">
        <f t="array" ref="S716">INDEX('MTA 28-09'!X:X,MATCH(B716,'MTA 28-09'!A:A,0))</f>
        <v>REQUISIÇÃO</v>
      </c>
      <c r="T716" s="107" t="str">
        <f t="array" ref="T716">INDEX('MTA 28-09'!W:W,MATCH(B716,'MTA 28-09'!A:A,0))</f>
        <v>Não</v>
      </c>
      <c r="U716" s="109">
        <f t="array" ref="U716">INDEX('MTA 28-09'!AE:AE,MATCH(B716,'MTA 28-09'!A:A,0))</f>
        <v>46168</v>
      </c>
      <c r="V716" s="29"/>
      <c r="W716" s="29"/>
      <c r="X716" s="29"/>
      <c r="Y716" s="29"/>
      <c r="Z716" s="29"/>
      <c r="AA716" s="29"/>
      <c r="AB716" s="29"/>
      <c r="AC716" s="29"/>
      <c r="AD716" s="29"/>
      <c r="AE716" s="29"/>
      <c r="AF716" s="29"/>
      <c r="AG716" s="29"/>
      <c r="AH716" s="29"/>
      <c r="AI716" s="29"/>
      <c r="AJ716" s="29"/>
      <c r="AK716" s="29"/>
      <c r="AL716" s="29"/>
      <c r="AM716" s="29"/>
    </row>
    <row r="717">
      <c r="A717" s="31" t="s">
        <v>99</v>
      </c>
      <c r="B717" s="32">
        <v>21760.0</v>
      </c>
      <c r="C717" s="33" t="str">
        <f t="array" ref="C717">INDEX('MTA 28-09'!B:B,MATCH(B717,'MTA 28-09'!A:A,0))</f>
        <v>NÃO</v>
      </c>
      <c r="D717" s="34" t="str">
        <f t="array" ref="D717">INDEX('MTA 28-09'!D:D,MATCH(B717,'MTA 28-09'!A:A,0))</f>
        <v/>
      </c>
      <c r="E717" s="32" t="str">
        <f t="array" ref="E717">INDEX('MTA 28-09'!F:F,MATCH(B717,'MTA 28-09'!A:A,0))</f>
        <v/>
      </c>
      <c r="F717" s="32" t="str">
        <f t="array" ref="F717">INDEX('MTA 28-09'!I:I,MATCH(B717,'MTA 28-09'!A:A,0))</f>
        <v/>
      </c>
      <c r="G717" s="36" t="str">
        <f t="array" ref="G717">INDEX('MTA 28-09'!J:J,MATCH(B717,'MTA 28-09'!A:A,0))</f>
        <v/>
      </c>
      <c r="H717" s="287" t="s">
        <v>157</v>
      </c>
      <c r="I717" s="295"/>
      <c r="J717" s="39"/>
      <c r="K717" s="40"/>
      <c r="L717" s="39" t="str">
        <f t="array" ref="L717">INDEX('MTA 28-09'!S:S,MATCH(B717,'MTA 28-09'!A:A,0))</f>
        <v>APOIO</v>
      </c>
      <c r="M717" s="32" t="str">
        <f t="array" ref="M717">INDEX('MTA 28-09'!T:T,MATCH(B717,'MTA 28-09'!A:A,0))</f>
        <v>2025-EPCAR-03</v>
      </c>
      <c r="N717" s="32" t="str">
        <f t="array" ref="N717">INDEX('MTA 28-09'!U:U,MATCH(B717,'MTA 28-09'!A:A,0))</f>
        <v>PN FSIG62-1-1/4NPT-100PSI - MANÔMETRO</v>
      </c>
      <c r="O717" s="59">
        <f t="array" ref="O717">INDEX('MTA 28-09'!AC:AC,MATCH(B717,'MTA 28-09'!A:A,0))</f>
        <v>211.52</v>
      </c>
      <c r="P717" s="32" t="str">
        <f t="array" ref="P717">INDEX('MTA 28-09'!N:N,MATCH(B717,'MTA 28-09'!A:A,0))</f>
        <v>CELOG</v>
      </c>
      <c r="Q717" s="67" t="str">
        <f t="array" ref="Q717">INDEX('MTA 28-09'!Z:Z,MATCH(B717,'MTA 28-09'!A:A,0))</f>
        <v>449052</v>
      </c>
      <c r="R717" s="32" t="str">
        <f t="array" ref="R717">INDEX('MTA 28-09'!L:L,MATCH(B717,'MTA 28-09'!A:A,0))</f>
        <v>C</v>
      </c>
      <c r="S717" s="72" t="str">
        <f t="array" ref="S717">INDEX('MTA 28-09'!X:X,MATCH(B717,'MTA 28-09'!A:A,0))</f>
        <v>REQUISIÇÃO</v>
      </c>
      <c r="T717" s="72" t="str">
        <f t="array" ref="T717">INDEX('MTA 28-09'!W:W,MATCH(B717,'MTA 28-09'!A:A,0))</f>
        <v>Não</v>
      </c>
      <c r="U717" s="81">
        <f t="array" ref="U717">INDEX('MTA 28-09'!AE:AE,MATCH(B717,'MTA 28-09'!A:A,0))</f>
        <v>46168</v>
      </c>
      <c r="V717" s="12"/>
      <c r="W717" s="12"/>
      <c r="X717" s="12"/>
      <c r="Y717" s="12"/>
      <c r="Z717" s="12"/>
      <c r="AA717" s="12"/>
      <c r="AB717" s="12"/>
      <c r="AC717" s="12"/>
      <c r="AD717" s="12"/>
      <c r="AE717" s="12"/>
      <c r="AF717" s="12"/>
      <c r="AG717" s="12"/>
      <c r="AH717" s="12"/>
      <c r="AI717" s="12"/>
      <c r="AJ717" s="12"/>
      <c r="AK717" s="12"/>
      <c r="AL717" s="12"/>
      <c r="AM717" s="12"/>
    </row>
    <row r="718">
      <c r="A718" s="88" t="s">
        <v>99</v>
      </c>
      <c r="B718" s="98">
        <v>21780.0</v>
      </c>
      <c r="C718" s="92" t="str">
        <f t="array" ref="C718">INDEX('MTA 28-09'!B:B,MATCH(B718,'MTA 28-09'!A:A,0))</f>
        <v>NÃO</v>
      </c>
      <c r="D718" s="95" t="str">
        <f t="array" ref="D718">INDEX('MTA 28-09'!D:D,MATCH(B718,'MTA 28-09'!A:A,0))</f>
        <v/>
      </c>
      <c r="E718" s="98" t="str">
        <f t="array" ref="E718">INDEX('MTA 28-09'!F:F,MATCH(B718,'MTA 28-09'!A:A,0))</f>
        <v/>
      </c>
      <c r="F718" s="144" t="str">
        <f t="array" ref="F718">INDEX('MTA 28-09'!I:I,MATCH(B718,'MTA 28-09'!A:A,0))</f>
        <v/>
      </c>
      <c r="G718" s="100" t="str">
        <f t="array" ref="G718">INDEX('MTA 28-09'!J:J,MATCH(B718,'MTA 28-09'!A:A,0))</f>
        <v/>
      </c>
      <c r="H718" s="159" t="s">
        <v>157</v>
      </c>
      <c r="I718" s="296"/>
      <c r="J718" s="102"/>
      <c r="K718" s="103"/>
      <c r="L718" s="102" t="str">
        <f t="array" ref="L718">INDEX('MTA 28-09'!S:S,MATCH(B718,'MTA 28-09'!A:A,0))</f>
        <v>APOIO</v>
      </c>
      <c r="M718" s="98" t="str">
        <f t="array" ref="M718">INDEX('MTA 28-09'!T:T,MATCH(B718,'MTA 28-09'!A:A,0))</f>
        <v>2025-EPCAR-04</v>
      </c>
      <c r="N718" s="98" t="str">
        <f t="array" ref="N718">INDEX('MTA 28-09'!U:U,MATCH(B718,'MTA 28-09'!A:A,0))</f>
        <v>PN FSIG62-1-1/4NPT-500PSI - MANÔMETRO</v>
      </c>
      <c r="O718" s="104">
        <f t="array" ref="O718">INDEX('MTA 28-09'!AC:AC,MATCH(B718,'MTA 28-09'!A:A,0))</f>
        <v>211.52</v>
      </c>
      <c r="P718" s="98" t="str">
        <f t="array" ref="P718">INDEX('MTA 28-09'!N:N,MATCH(B718,'MTA 28-09'!A:A,0))</f>
        <v>CELOG</v>
      </c>
      <c r="Q718" s="105" t="str">
        <f t="array" ref="Q718">INDEX('MTA 28-09'!Z:Z,MATCH(B718,'MTA 28-09'!A:A,0))</f>
        <v>449052</v>
      </c>
      <c r="R718" s="98" t="str">
        <f t="array" ref="R718">INDEX('MTA 28-09'!L:L,MATCH(B718,'MTA 28-09'!A:A,0))</f>
        <v>C</v>
      </c>
      <c r="S718" s="107" t="str">
        <f t="array" ref="S718">INDEX('MTA 28-09'!X:X,MATCH(B718,'MTA 28-09'!A:A,0))</f>
        <v>REQUISIÇÃO</v>
      </c>
      <c r="T718" s="107" t="str">
        <f t="array" ref="T718">INDEX('MTA 28-09'!W:W,MATCH(B718,'MTA 28-09'!A:A,0))</f>
        <v>Não</v>
      </c>
      <c r="U718" s="109">
        <f t="array" ref="U718">INDEX('MTA 28-09'!AE:AE,MATCH(B718,'MTA 28-09'!A:A,0))</f>
        <v>46168</v>
      </c>
      <c r="V718" s="29"/>
      <c r="W718" s="29"/>
      <c r="X718" s="29"/>
      <c r="Y718" s="29"/>
      <c r="Z718" s="29"/>
      <c r="AA718" s="29"/>
      <c r="AB718" s="29"/>
      <c r="AC718" s="29"/>
      <c r="AD718" s="29"/>
      <c r="AE718" s="29"/>
      <c r="AF718" s="29"/>
      <c r="AG718" s="29"/>
      <c r="AH718" s="29"/>
      <c r="AI718" s="29"/>
      <c r="AJ718" s="29"/>
      <c r="AK718" s="29"/>
      <c r="AL718" s="29"/>
      <c r="AM718" s="29"/>
    </row>
    <row r="719">
      <c r="A719" s="31" t="s">
        <v>99</v>
      </c>
      <c r="B719" s="32">
        <v>21800.0</v>
      </c>
      <c r="C719" s="33" t="str">
        <f t="array" ref="C719">INDEX('MTA 28-09'!B:B,MATCH(B719,'MTA 28-09'!A:A,0))</f>
        <v>NÃO</v>
      </c>
      <c r="D719" s="34" t="str">
        <f t="array" ref="D719">INDEX('MTA 28-09'!D:D,MATCH(B719,'MTA 28-09'!A:A,0))</f>
        <v/>
      </c>
      <c r="E719" s="32" t="str">
        <f t="array" ref="E719">INDEX('MTA 28-09'!F:F,MATCH(B719,'MTA 28-09'!A:A,0))</f>
        <v/>
      </c>
      <c r="F719" s="137" t="str">
        <f t="array" ref="F719">INDEX('MTA 28-09'!I:I,MATCH(B719,'MTA 28-09'!A:A,0))</f>
        <v/>
      </c>
      <c r="G719" s="36" t="str">
        <f t="array" ref="G719">INDEX('MTA 28-09'!J:J,MATCH(B719,'MTA 28-09'!A:A,0))</f>
        <v/>
      </c>
      <c r="H719" s="287" t="s">
        <v>157</v>
      </c>
      <c r="I719" s="295"/>
      <c r="J719" s="39"/>
      <c r="K719" s="40"/>
      <c r="L719" s="39" t="str">
        <f t="array" ref="L719">INDEX('MTA 28-09'!S:S,MATCH(B719,'MTA 28-09'!A:A,0))</f>
        <v>APOIO</v>
      </c>
      <c r="M719" s="32" t="str">
        <f t="array" ref="M719">INDEX('MTA 28-09'!T:T,MATCH(B719,'MTA 28-09'!A:A,0))</f>
        <v>2025-EPCAR-05</v>
      </c>
      <c r="N719" s="32" t="str">
        <f t="array" ref="N719">INDEX('MTA 28-09'!U:U,MATCH(B719,'MTA 28-09'!A:A,0))</f>
        <v>PN FSIG62-1-1/4NPT-500PSI - MANÔMETRO</v>
      </c>
      <c r="O719" s="59">
        <f t="array" ref="O719">INDEX('MTA 28-09'!AC:AC,MATCH(B719,'MTA 28-09'!A:A,0))</f>
        <v>303.03</v>
      </c>
      <c r="P719" s="32" t="str">
        <f t="array" ref="P719">INDEX('MTA 28-09'!N:N,MATCH(B719,'MTA 28-09'!A:A,0))</f>
        <v>FMS</v>
      </c>
      <c r="Q719" s="67" t="str">
        <f t="array" ref="Q719">INDEX('MTA 28-09'!Z:Z,MATCH(B719,'MTA 28-09'!A:A,0))</f>
        <v>449052</v>
      </c>
      <c r="R719" s="32" t="str">
        <f t="array" ref="R719">INDEX('MTA 28-09'!L:L,MATCH(B719,'MTA 28-09'!A:A,0))</f>
        <v>C</v>
      </c>
      <c r="S719" s="72" t="str">
        <f t="array" ref="S719">INDEX('MTA 28-09'!X:X,MATCH(B719,'MTA 28-09'!A:A,0))</f>
        <v>REQUISIÇÃO</v>
      </c>
      <c r="T719" s="72" t="str">
        <f t="array" ref="T719">INDEX('MTA 28-09'!W:W,MATCH(B719,'MTA 28-09'!A:A,0))</f>
        <v>Não</v>
      </c>
      <c r="U719" s="81">
        <f t="array" ref="U719">INDEX('MTA 28-09'!AE:AE,MATCH(B719,'MTA 28-09'!A:A,0))</f>
        <v>46168</v>
      </c>
      <c r="V719" s="12"/>
      <c r="W719" s="12"/>
      <c r="X719" s="12"/>
      <c r="Y719" s="12"/>
      <c r="Z719" s="12"/>
      <c r="AA719" s="12"/>
      <c r="AB719" s="12"/>
      <c r="AC719" s="12"/>
      <c r="AD719" s="12"/>
      <c r="AE719" s="12"/>
      <c r="AF719" s="12"/>
      <c r="AG719" s="12"/>
      <c r="AH719" s="12"/>
      <c r="AI719" s="12"/>
      <c r="AJ719" s="12"/>
      <c r="AK719" s="12"/>
      <c r="AL719" s="12"/>
      <c r="AM719" s="12"/>
    </row>
    <row r="720">
      <c r="A720" s="88" t="s">
        <v>99</v>
      </c>
      <c r="B720" s="98">
        <v>21820.0</v>
      </c>
      <c r="C720" s="92" t="str">
        <f t="array" ref="C720">INDEX('MTA 28-09'!B:B,MATCH(B720,'MTA 28-09'!A:A,0))</f>
        <v>NÃO</v>
      </c>
      <c r="D720" s="95" t="str">
        <f t="array" ref="D720">INDEX('MTA 28-09'!D:D,MATCH(B720,'MTA 28-09'!A:A,0))</f>
        <v/>
      </c>
      <c r="E720" s="98" t="str">
        <f t="array" ref="E720">INDEX('MTA 28-09'!F:F,MATCH(B720,'MTA 28-09'!A:A,0))</f>
        <v/>
      </c>
      <c r="F720" s="152" t="str">
        <f t="array" ref="F720">INDEX('MTA 28-09'!I:I,MATCH(B720,'MTA 28-09'!A:A,0))</f>
        <v/>
      </c>
      <c r="G720" s="100" t="str">
        <f t="array" ref="G720">INDEX('MTA 28-09'!J:J,MATCH(B720,'MTA 28-09'!A:A,0))</f>
        <v/>
      </c>
      <c r="H720" s="159" t="s">
        <v>157</v>
      </c>
      <c r="I720" s="296"/>
      <c r="J720" s="102"/>
      <c r="K720" s="103"/>
      <c r="L720" s="102" t="str">
        <f t="array" ref="L720">INDEX('MTA 28-09'!S:S,MATCH(B720,'MTA 28-09'!A:A,0))</f>
        <v>APOIO</v>
      </c>
      <c r="M720" s="98" t="str">
        <f t="array" ref="M720">INDEX('MTA 28-09'!T:T,MATCH(B720,'MTA 28-09'!A:A,0))</f>
        <v>2025-EPCAR-06</v>
      </c>
      <c r="N720" s="98" t="str">
        <f t="array" ref="N720">INDEX('MTA 28-09'!U:U,MATCH(B720,'MTA 28-09'!A:A,0))</f>
        <v>PN TE50A - TORQUÍMETRO</v>
      </c>
      <c r="O720" s="104">
        <f t="array" ref="O720">INDEX('MTA 28-09'!AC:AC,MATCH(B720,'MTA 28-09'!A:A,0))</f>
        <v>1084.15</v>
      </c>
      <c r="P720" s="98" t="str">
        <f t="array" ref="P720">INDEX('MTA 28-09'!N:N,MATCH(B720,'MTA 28-09'!A:A,0))</f>
        <v>FMS</v>
      </c>
      <c r="Q720" s="105" t="str">
        <f t="array" ref="Q720">INDEX('MTA 28-09'!Z:Z,MATCH(B720,'MTA 28-09'!A:A,0))</f>
        <v>449052</v>
      </c>
      <c r="R720" s="98" t="str">
        <f t="array" ref="R720">INDEX('MTA 28-09'!L:L,MATCH(B720,'MTA 28-09'!A:A,0))</f>
        <v>C</v>
      </c>
      <c r="S720" s="107" t="str">
        <f t="array" ref="S720">INDEX('MTA 28-09'!X:X,MATCH(B720,'MTA 28-09'!A:A,0))</f>
        <v>REQUISIÇÃO</v>
      </c>
      <c r="T720" s="107" t="str">
        <f t="array" ref="T720">INDEX('MTA 28-09'!W:W,MATCH(B720,'MTA 28-09'!A:A,0))</f>
        <v>Não</v>
      </c>
      <c r="U720" s="109">
        <f t="array" ref="U720">INDEX('MTA 28-09'!AE:AE,MATCH(B720,'MTA 28-09'!A:A,0))</f>
        <v>46168</v>
      </c>
      <c r="V720" s="29"/>
      <c r="W720" s="29"/>
      <c r="X720" s="29"/>
      <c r="Y720" s="29"/>
      <c r="Z720" s="29"/>
      <c r="AA720" s="29"/>
      <c r="AB720" s="29"/>
      <c r="AC720" s="29"/>
      <c r="AD720" s="29"/>
      <c r="AE720" s="29"/>
      <c r="AF720" s="29"/>
      <c r="AG720" s="29"/>
      <c r="AH720" s="29"/>
      <c r="AI720" s="29"/>
      <c r="AJ720" s="29"/>
      <c r="AK720" s="29"/>
      <c r="AL720" s="29"/>
      <c r="AM720" s="29"/>
    </row>
    <row r="721">
      <c r="A721" s="31" t="s">
        <v>99</v>
      </c>
      <c r="B721" s="32">
        <v>21840.0</v>
      </c>
      <c r="C721" s="33" t="str">
        <f t="array" ref="C721">INDEX('MTA 28-09'!B:B,MATCH(B721,'MTA 28-09'!A:A,0))</f>
        <v>NÃO</v>
      </c>
      <c r="D721" s="34" t="str">
        <f t="array" ref="D721">INDEX('MTA 28-09'!D:D,MATCH(B721,'MTA 28-09'!A:A,0))</f>
        <v/>
      </c>
      <c r="E721" s="32" t="str">
        <f t="array" ref="E721">INDEX('MTA 28-09'!F:F,MATCH(B721,'MTA 28-09'!A:A,0))</f>
        <v/>
      </c>
      <c r="F721" s="420" t="str">
        <f t="array" ref="F721">INDEX('MTA 28-09'!I:I,MATCH(B721,'MTA 28-09'!A:A,0))</f>
        <v/>
      </c>
      <c r="G721" s="36" t="str">
        <f t="array" ref="G721">INDEX('MTA 28-09'!J:J,MATCH(B721,'MTA 28-09'!A:A,0))</f>
        <v/>
      </c>
      <c r="H721" s="287" t="s">
        <v>157</v>
      </c>
      <c r="I721" s="295"/>
      <c r="J721" s="39"/>
      <c r="K721" s="40"/>
      <c r="L721" s="39" t="str">
        <f t="array" ref="L721">INDEX('MTA 28-09'!S:S,MATCH(B721,'MTA 28-09'!A:A,0))</f>
        <v>APOIO</v>
      </c>
      <c r="M721" s="32" t="str">
        <f t="array" ref="M721">INDEX('MTA 28-09'!T:T,MATCH(B721,'MTA 28-09'!A:A,0))</f>
        <v>2025-IPEV-02</v>
      </c>
      <c r="N721" s="32" t="str">
        <f t="array" ref="N721">INDEX('MTA 28-09'!U:U,MATCH(B721,'MTA 28-09'!A:A,0))</f>
        <v>PN EEBC100A - BATTERY CHARGER</v>
      </c>
      <c r="O721" s="59">
        <f t="array" ref="O721">INDEX('MTA 28-09'!AC:AC,MATCH(B721,'MTA 28-09'!A:A,0))</f>
        <v>1088.88</v>
      </c>
      <c r="P721" s="32" t="str">
        <f t="array" ref="P721">INDEX('MTA 28-09'!N:N,MATCH(B721,'MTA 28-09'!A:A,0))</f>
        <v>CABW</v>
      </c>
      <c r="Q721" s="67" t="str">
        <f t="array" ref="Q721">INDEX('MTA 28-09'!Z:Z,MATCH(B721,'MTA 28-09'!A:A,0))</f>
        <v>449052</v>
      </c>
      <c r="R721" s="32" t="str">
        <f t="array" ref="R721">INDEX('MTA 28-09'!L:L,MATCH(B721,'MTA 28-09'!A:A,0))</f>
        <v>C</v>
      </c>
      <c r="S721" s="72" t="str">
        <f t="array" ref="S721">INDEX('MTA 28-09'!X:X,MATCH(B721,'MTA 28-09'!A:A,0))</f>
        <v>REQUISIÇÃO</v>
      </c>
      <c r="T721" s="72" t="str">
        <f t="array" ref="T721">INDEX('MTA 28-09'!W:W,MATCH(B721,'MTA 28-09'!A:A,0))</f>
        <v>Não</v>
      </c>
      <c r="U721" s="81">
        <f t="array" ref="U721">INDEX('MTA 28-09'!AE:AE,MATCH(B721,'MTA 28-09'!A:A,0))</f>
        <v>46168</v>
      </c>
      <c r="V721" s="12"/>
      <c r="W721" s="12"/>
      <c r="X721" s="12"/>
      <c r="Y721" s="12"/>
      <c r="Z721" s="12"/>
      <c r="AA721" s="12"/>
      <c r="AB721" s="12"/>
      <c r="AC721" s="12"/>
      <c r="AD721" s="12"/>
      <c r="AE721" s="12"/>
      <c r="AF721" s="12"/>
      <c r="AG721" s="12"/>
      <c r="AH721" s="12"/>
      <c r="AI721" s="12"/>
      <c r="AJ721" s="12"/>
      <c r="AK721" s="12"/>
      <c r="AL721" s="12"/>
      <c r="AM721" s="12"/>
    </row>
    <row r="722">
      <c r="A722" s="88" t="s">
        <v>99</v>
      </c>
      <c r="B722" s="98">
        <v>21860.0</v>
      </c>
      <c r="C722" s="92" t="str">
        <f t="array" ref="C722">INDEX('MTA 28-09'!B:B,MATCH(B722,'MTA 28-09'!A:A,0))</f>
        <v>NÃO</v>
      </c>
      <c r="D722" s="95" t="str">
        <f t="array" ref="D722">INDEX('MTA 28-09'!D:D,MATCH(B722,'MTA 28-09'!A:A,0))</f>
        <v/>
      </c>
      <c r="E722" s="98" t="str">
        <f t="array" ref="E722">INDEX('MTA 28-09'!F:F,MATCH(B722,'MTA 28-09'!A:A,0))</f>
        <v/>
      </c>
      <c r="F722" s="152" t="str">
        <f t="array" ref="F722">INDEX('MTA 28-09'!I:I,MATCH(B722,'MTA 28-09'!A:A,0))</f>
        <v/>
      </c>
      <c r="G722" s="100" t="str">
        <f t="array" ref="G722">INDEX('MTA 28-09'!J:J,MATCH(B722,'MTA 28-09'!A:A,0))</f>
        <v/>
      </c>
      <c r="H722" s="159" t="s">
        <v>157</v>
      </c>
      <c r="I722" s="296"/>
      <c r="J722" s="102"/>
      <c r="K722" s="103"/>
      <c r="L722" s="102" t="str">
        <f t="array" ref="L722">INDEX('MTA 28-09'!S:S,MATCH(B722,'MTA 28-09'!A:A,0))</f>
        <v>APOIO</v>
      </c>
      <c r="M722" s="98" t="str">
        <f t="array" ref="M722">INDEX('MTA 28-09'!T:T,MATCH(B722,'MTA 28-09'!A:A,0))</f>
        <v>2025-IPEV-04</v>
      </c>
      <c r="N722" s="98" t="str">
        <f t="array" ref="N722">INDEX('MTA 28-09'!U:U,MATCH(B722,'MTA 28-09'!A:A,0))</f>
        <v>PN MANO 0-300PSI - MANÔMETRO</v>
      </c>
      <c r="O722" s="104">
        <f t="array" ref="O722">INDEX('MTA 28-09'!AC:AC,MATCH(B722,'MTA 28-09'!A:A,0))</f>
        <v>1174.89</v>
      </c>
      <c r="P722" s="98" t="str">
        <f t="array" ref="P722">INDEX('MTA 28-09'!N:N,MATCH(B722,'MTA 28-09'!A:A,0))</f>
        <v>CABW</v>
      </c>
      <c r="Q722" s="105" t="str">
        <f t="array" ref="Q722">INDEX('MTA 28-09'!Z:Z,MATCH(B722,'MTA 28-09'!A:A,0))</f>
        <v>449052</v>
      </c>
      <c r="R722" s="98" t="str">
        <f t="array" ref="R722">INDEX('MTA 28-09'!L:L,MATCH(B722,'MTA 28-09'!A:A,0))</f>
        <v>C</v>
      </c>
      <c r="S722" s="107" t="str">
        <f t="array" ref="S722">INDEX('MTA 28-09'!X:X,MATCH(B722,'MTA 28-09'!A:A,0))</f>
        <v>REQUISIÇÃO</v>
      </c>
      <c r="T722" s="107" t="str">
        <f t="array" ref="T722">INDEX('MTA 28-09'!W:W,MATCH(B722,'MTA 28-09'!A:A,0))</f>
        <v>Não</v>
      </c>
      <c r="U722" s="109">
        <f t="array" ref="U722">INDEX('MTA 28-09'!AE:AE,MATCH(B722,'MTA 28-09'!A:A,0))</f>
        <v>46168</v>
      </c>
      <c r="V722" s="29"/>
      <c r="W722" s="29"/>
      <c r="X722" s="29"/>
      <c r="Y722" s="29"/>
      <c r="Z722" s="29"/>
      <c r="AA722" s="29"/>
      <c r="AB722" s="29"/>
      <c r="AC722" s="29"/>
      <c r="AD722" s="29"/>
      <c r="AE722" s="29"/>
      <c r="AF722" s="29"/>
      <c r="AG722" s="29"/>
      <c r="AH722" s="29"/>
      <c r="AI722" s="29"/>
      <c r="AJ722" s="29"/>
      <c r="AK722" s="29"/>
      <c r="AL722" s="29"/>
      <c r="AM722" s="29"/>
    </row>
    <row r="723">
      <c r="A723" s="31" t="s">
        <v>99</v>
      </c>
      <c r="B723" s="32">
        <v>21880.0</v>
      </c>
      <c r="C723" s="33" t="str">
        <f t="array" ref="C723">INDEX('MTA 28-09'!B:B,MATCH(B723,'MTA 28-09'!A:A,0))</f>
        <v>NÃO</v>
      </c>
      <c r="D723" s="34" t="str">
        <f t="array" ref="D723">INDEX('MTA 28-09'!D:D,MATCH(B723,'MTA 28-09'!A:A,0))</f>
        <v/>
      </c>
      <c r="E723" s="32" t="str">
        <f t="array" ref="E723">INDEX('MTA 28-09'!F:F,MATCH(B723,'MTA 28-09'!A:A,0))</f>
        <v/>
      </c>
      <c r="F723" s="155" t="str">
        <f t="array" ref="F723">INDEX('MTA 28-09'!I:I,MATCH(B723,'MTA 28-09'!A:A,0))</f>
        <v/>
      </c>
      <c r="G723" s="36" t="str">
        <f t="array" ref="G723">INDEX('MTA 28-09'!J:J,MATCH(B723,'MTA 28-09'!A:A,0))</f>
        <v/>
      </c>
      <c r="H723" s="287" t="s">
        <v>157</v>
      </c>
      <c r="I723" s="295"/>
      <c r="J723" s="39"/>
      <c r="K723" s="40"/>
      <c r="L723" s="39" t="str">
        <f t="array" ref="L723">INDEX('MTA 28-09'!S:S,MATCH(B723,'MTA 28-09'!A:A,0))</f>
        <v>APOIO</v>
      </c>
      <c r="M723" s="32" t="str">
        <f t="array" ref="M723">INDEX('MTA 28-09'!T:T,MATCH(B723,'MTA 28-09'!A:A,0))</f>
        <v>2025-PAMALS-01</v>
      </c>
      <c r="N723" s="32" t="str">
        <f t="array" ref="N723">INDEX('MTA 28-09'!U:U,MATCH(B723,'MTA 28-09'!A:A,0))</f>
        <v>PN 1623A-H-156 - HYGROTHERMOMETER,DIGITAL</v>
      </c>
      <c r="O723" s="59">
        <f t="array" ref="O723">INDEX('MTA 28-09'!AC:AC,MATCH(B723,'MTA 28-09'!A:A,0))</f>
        <v>59097.6</v>
      </c>
      <c r="P723" s="32" t="str">
        <f t="array" ref="P723">INDEX('MTA 28-09'!N:N,MATCH(B723,'MTA 28-09'!A:A,0))</f>
        <v>FMS</v>
      </c>
      <c r="Q723" s="67" t="str">
        <f t="array" ref="Q723">INDEX('MTA 28-09'!Z:Z,MATCH(B723,'MTA 28-09'!A:A,0))</f>
        <v>449052</v>
      </c>
      <c r="R723" s="32" t="str">
        <f t="array" ref="R723">INDEX('MTA 28-09'!L:L,MATCH(B723,'MTA 28-09'!A:A,0))</f>
        <v>C</v>
      </c>
      <c r="S723" s="72" t="str">
        <f t="array" ref="S723">INDEX('MTA 28-09'!X:X,MATCH(B723,'MTA 28-09'!A:A,0))</f>
        <v>REQUISIÇÃO</v>
      </c>
      <c r="T723" s="72" t="str">
        <f t="array" ref="T723">INDEX('MTA 28-09'!W:W,MATCH(B723,'MTA 28-09'!A:A,0))</f>
        <v>Não</v>
      </c>
      <c r="U723" s="81">
        <f t="array" ref="U723">INDEX('MTA 28-09'!AE:AE,MATCH(B723,'MTA 28-09'!A:A,0))</f>
        <v>46168</v>
      </c>
      <c r="V723" s="12"/>
      <c r="W723" s="12"/>
      <c r="X723" s="12"/>
      <c r="Y723" s="12"/>
      <c r="Z723" s="12"/>
      <c r="AA723" s="12"/>
      <c r="AB723" s="12"/>
      <c r="AC723" s="12"/>
      <c r="AD723" s="12"/>
      <c r="AE723" s="12"/>
      <c r="AF723" s="12"/>
      <c r="AG723" s="12"/>
      <c r="AH723" s="12"/>
      <c r="AI723" s="12"/>
      <c r="AJ723" s="12"/>
      <c r="AK723" s="12"/>
      <c r="AL723" s="12"/>
      <c r="AM723" s="12"/>
    </row>
    <row r="724">
      <c r="A724" s="88" t="s">
        <v>99</v>
      </c>
      <c r="B724" s="98">
        <v>21900.0</v>
      </c>
      <c r="C724" s="92" t="str">
        <f t="array" ref="C724">INDEX('MTA 28-09'!B:B,MATCH(B724,'MTA 28-09'!A:A,0))</f>
        <v>NÃO</v>
      </c>
      <c r="D724" s="95" t="str">
        <f t="array" ref="D724">INDEX('MTA 28-09'!D:D,MATCH(B724,'MTA 28-09'!A:A,0))</f>
        <v/>
      </c>
      <c r="E724" s="98" t="str">
        <f t="array" ref="E724">INDEX('MTA 28-09'!F:F,MATCH(B724,'MTA 28-09'!A:A,0))</f>
        <v/>
      </c>
      <c r="F724" s="99" t="str">
        <f t="array" ref="F724">INDEX('MTA 28-09'!I:I,MATCH(B724,'MTA 28-09'!A:A,0))</f>
        <v/>
      </c>
      <c r="G724" s="100" t="str">
        <f t="array" ref="G724">INDEX('MTA 28-09'!J:J,MATCH(B724,'MTA 28-09'!A:A,0))</f>
        <v/>
      </c>
      <c r="H724" s="159" t="s">
        <v>157</v>
      </c>
      <c r="I724" s="296"/>
      <c r="J724" s="102"/>
      <c r="K724" s="103"/>
      <c r="L724" s="102" t="str">
        <f t="array" ref="L724">INDEX('MTA 28-09'!S:S,MATCH(B724,'MTA 28-09'!A:A,0))</f>
        <v>APOIO</v>
      </c>
      <c r="M724" s="98" t="str">
        <f t="array" ref="M724">INDEX('MTA 28-09'!T:T,MATCH(B724,'MTA 28-09'!A:A,0))</f>
        <v>2025-PAMALS-02</v>
      </c>
      <c r="N724" s="98" t="str">
        <f t="array" ref="N724">INDEX('MTA 28-09'!U:U,MATCH(B724,'MTA 28-09'!A:A,0))</f>
        <v>PN SK-L754 -TEMPERATURE AND HUMIDITY DATA RECORDER</v>
      </c>
      <c r="O724" s="104">
        <f t="array" ref="O724">INDEX('MTA 28-09'!AC:AC,MATCH(B724,'MTA 28-09'!A:A,0))</f>
        <v>21634.38</v>
      </c>
      <c r="P724" s="98" t="str">
        <f t="array" ref="P724">INDEX('MTA 28-09'!N:N,MATCH(B724,'MTA 28-09'!A:A,0))</f>
        <v>CABE</v>
      </c>
      <c r="Q724" s="105" t="str">
        <f t="array" ref="Q724">INDEX('MTA 28-09'!Z:Z,MATCH(B724,'MTA 28-09'!A:A,0))</f>
        <v>449052</v>
      </c>
      <c r="R724" s="98" t="str">
        <f t="array" ref="R724">INDEX('MTA 28-09'!L:L,MATCH(B724,'MTA 28-09'!A:A,0))</f>
        <v>C</v>
      </c>
      <c r="S724" s="107" t="str">
        <f t="array" ref="S724">INDEX('MTA 28-09'!X:X,MATCH(B724,'MTA 28-09'!A:A,0))</f>
        <v>REQUISIÇÃO</v>
      </c>
      <c r="T724" s="107" t="str">
        <f t="array" ref="T724">INDEX('MTA 28-09'!W:W,MATCH(B724,'MTA 28-09'!A:A,0))</f>
        <v>Não</v>
      </c>
      <c r="U724" s="109">
        <f t="array" ref="U724">INDEX('MTA 28-09'!AE:AE,MATCH(B724,'MTA 28-09'!A:A,0))</f>
        <v>46168</v>
      </c>
      <c r="V724" s="29"/>
      <c r="W724" s="29"/>
      <c r="X724" s="29"/>
      <c r="Y724" s="29"/>
      <c r="Z724" s="29"/>
      <c r="AA724" s="29"/>
      <c r="AB724" s="29"/>
      <c r="AC724" s="29"/>
      <c r="AD724" s="29"/>
      <c r="AE724" s="29"/>
      <c r="AF724" s="29"/>
      <c r="AG724" s="29"/>
      <c r="AH724" s="29"/>
      <c r="AI724" s="29"/>
      <c r="AJ724" s="29"/>
      <c r="AK724" s="29"/>
      <c r="AL724" s="29"/>
      <c r="AM724" s="29"/>
    </row>
    <row r="725">
      <c r="A725" s="31" t="s">
        <v>99</v>
      </c>
      <c r="B725" s="32">
        <v>21920.0</v>
      </c>
      <c r="C725" s="33" t="str">
        <f t="array" ref="C725">INDEX('MTA 28-09'!B:B,MATCH(B725,'MTA 28-09'!A:A,0))</f>
        <v>NÃO</v>
      </c>
      <c r="D725" s="34" t="str">
        <f t="array" ref="D725">INDEX('MTA 28-09'!D:D,MATCH(B725,'MTA 28-09'!A:A,0))</f>
        <v/>
      </c>
      <c r="E725" s="32" t="str">
        <f t="array" ref="E725">INDEX('MTA 28-09'!F:F,MATCH(B725,'MTA 28-09'!A:A,0))</f>
        <v/>
      </c>
      <c r="F725" s="35" t="str">
        <f t="array" ref="F725">INDEX('MTA 28-09'!I:I,MATCH(B725,'MTA 28-09'!A:A,0))</f>
        <v/>
      </c>
      <c r="G725" s="36" t="str">
        <f t="array" ref="G725">INDEX('MTA 28-09'!J:J,MATCH(B725,'MTA 28-09'!A:A,0))</f>
        <v/>
      </c>
      <c r="H725" s="287" t="s">
        <v>157</v>
      </c>
      <c r="I725" s="295"/>
      <c r="J725" s="39"/>
      <c r="K725" s="40"/>
      <c r="L725" s="39" t="str">
        <f t="array" ref="L725">INDEX('MTA 28-09'!S:S,MATCH(B725,'MTA 28-09'!A:A,0))</f>
        <v>APOIO</v>
      </c>
      <c r="M725" s="32" t="str">
        <f t="array" ref="M725">INDEX('MTA 28-09'!T:T,MATCH(B725,'MTA 28-09'!A:A,0))</f>
        <v>2025-PAMALS-03</v>
      </c>
      <c r="N725" s="32" t="str">
        <f t="array" ref="N725">INDEX('MTA 28-09'!U:U,MATCH(B725,'MTA 28-09'!A:A,0))</f>
        <v>PN MODEL 3800 -TACHOMETER TESTER</v>
      </c>
      <c r="O725" s="59">
        <f t="array" ref="O725">INDEX('MTA 28-09'!AC:AC,MATCH(B725,'MTA 28-09'!A:A,0))</f>
        <v>51.26</v>
      </c>
      <c r="P725" s="32" t="str">
        <f t="array" ref="P725">INDEX('MTA 28-09'!N:N,MATCH(B725,'MTA 28-09'!A:A,0))</f>
        <v>CABW</v>
      </c>
      <c r="Q725" s="67" t="str">
        <f t="array" ref="Q725">INDEX('MTA 28-09'!Z:Z,MATCH(B725,'MTA 28-09'!A:A,0))</f>
        <v>449052</v>
      </c>
      <c r="R725" s="32" t="str">
        <f t="array" ref="R725">INDEX('MTA 28-09'!L:L,MATCH(B725,'MTA 28-09'!A:A,0))</f>
        <v>C</v>
      </c>
      <c r="S725" s="72" t="str">
        <f t="array" ref="S725">INDEX('MTA 28-09'!X:X,MATCH(B725,'MTA 28-09'!A:A,0))</f>
        <v>REQUISIÇÃO</v>
      </c>
      <c r="T725" s="72" t="str">
        <f t="array" ref="T725">INDEX('MTA 28-09'!W:W,MATCH(B725,'MTA 28-09'!A:A,0))</f>
        <v>Não</v>
      </c>
      <c r="U725" s="81">
        <f t="array" ref="U725">INDEX('MTA 28-09'!AE:AE,MATCH(B725,'MTA 28-09'!A:A,0))</f>
        <v>46168</v>
      </c>
      <c r="V725" s="12"/>
      <c r="W725" s="12"/>
      <c r="X725" s="12"/>
      <c r="Y725" s="12"/>
      <c r="Z725" s="12"/>
      <c r="AA725" s="12"/>
      <c r="AB725" s="12"/>
      <c r="AC725" s="12"/>
      <c r="AD725" s="12"/>
      <c r="AE725" s="12"/>
      <c r="AF725" s="12"/>
      <c r="AG725" s="12"/>
      <c r="AH725" s="12"/>
      <c r="AI725" s="12"/>
      <c r="AJ725" s="12"/>
      <c r="AK725" s="12"/>
      <c r="AL725" s="12"/>
      <c r="AM725" s="12"/>
    </row>
    <row r="726">
      <c r="A726" s="88" t="s">
        <v>99</v>
      </c>
      <c r="B726" s="98">
        <v>21940.0</v>
      </c>
      <c r="C726" s="92" t="str">
        <f t="array" ref="C726">INDEX('MTA 28-09'!B:B,MATCH(B726,'MTA 28-09'!A:A,0))</f>
        <v>NÃO</v>
      </c>
      <c r="D726" s="95" t="str">
        <f t="array" ref="D726">INDEX('MTA 28-09'!D:D,MATCH(B726,'MTA 28-09'!A:A,0))</f>
        <v/>
      </c>
      <c r="E726" s="98" t="str">
        <f t="array" ref="E726">INDEX('MTA 28-09'!F:F,MATCH(B726,'MTA 28-09'!A:A,0))</f>
        <v/>
      </c>
      <c r="F726" s="152" t="str">
        <f t="array" ref="F726">INDEX('MTA 28-09'!I:I,MATCH(B726,'MTA 28-09'!A:A,0))</f>
        <v/>
      </c>
      <c r="G726" s="100" t="str">
        <f t="array" ref="G726">INDEX('MTA 28-09'!J:J,MATCH(B726,'MTA 28-09'!A:A,0))</f>
        <v/>
      </c>
      <c r="H726" s="159" t="s">
        <v>157</v>
      </c>
      <c r="I726" s="296"/>
      <c r="J726" s="102"/>
      <c r="K726" s="103"/>
      <c r="L726" s="102" t="str">
        <f t="array" ref="L726">INDEX('MTA 28-09'!S:S,MATCH(B726,'MTA 28-09'!A:A,0))</f>
        <v>APOIO</v>
      </c>
      <c r="M726" s="98" t="str">
        <f t="array" ref="M726">INDEX('MTA 28-09'!T:T,MATCH(B726,'MTA 28-09'!A:A,0))</f>
        <v>2025-PAMALS-04</v>
      </c>
      <c r="N726" s="98" t="str">
        <f t="array" ref="N726">INDEX('MTA 28-09'!U:U,MATCH(B726,'MTA 28-09'!A:A,0))</f>
        <v>PN VERSATEST600 - TESTER,TORQUE WRENCH</v>
      </c>
      <c r="O726" s="104">
        <f t="array" ref="O726">INDEX('MTA 28-09'!AC:AC,MATCH(B726,'MTA 28-09'!A:A,0))</f>
        <v>211356.18</v>
      </c>
      <c r="P726" s="98" t="str">
        <f t="array" ref="P726">INDEX('MTA 28-09'!N:N,MATCH(B726,'MTA 28-09'!A:A,0))</f>
        <v>FMS</v>
      </c>
      <c r="Q726" s="105" t="str">
        <f t="array" ref="Q726">INDEX('MTA 28-09'!Z:Z,MATCH(B726,'MTA 28-09'!A:A,0))</f>
        <v>449052</v>
      </c>
      <c r="R726" s="98" t="str">
        <f t="array" ref="R726">INDEX('MTA 28-09'!L:L,MATCH(B726,'MTA 28-09'!A:A,0))</f>
        <v>C</v>
      </c>
      <c r="S726" s="107" t="str">
        <f t="array" ref="S726">INDEX('MTA 28-09'!X:X,MATCH(B726,'MTA 28-09'!A:A,0))</f>
        <v>REQUISIÇÃO</v>
      </c>
      <c r="T726" s="107" t="str">
        <f t="array" ref="T726">INDEX('MTA 28-09'!W:W,MATCH(B726,'MTA 28-09'!A:A,0))</f>
        <v>Não</v>
      </c>
      <c r="U726" s="109">
        <f t="array" ref="U726">INDEX('MTA 28-09'!AE:AE,MATCH(B726,'MTA 28-09'!A:A,0))</f>
        <v>46168</v>
      </c>
      <c r="V726" s="29"/>
      <c r="W726" s="29"/>
      <c r="X726" s="29"/>
      <c r="Y726" s="29"/>
      <c r="Z726" s="29"/>
      <c r="AA726" s="29"/>
      <c r="AB726" s="29"/>
      <c r="AC726" s="29"/>
      <c r="AD726" s="29"/>
      <c r="AE726" s="29"/>
      <c r="AF726" s="29"/>
      <c r="AG726" s="29"/>
      <c r="AH726" s="29"/>
      <c r="AI726" s="29"/>
      <c r="AJ726" s="29"/>
      <c r="AK726" s="29"/>
      <c r="AL726" s="29"/>
      <c r="AM726" s="29"/>
    </row>
    <row r="727">
      <c r="A727" s="31" t="s">
        <v>99</v>
      </c>
      <c r="B727" s="32">
        <v>21960.0</v>
      </c>
      <c r="C727" s="33" t="str">
        <f t="array" ref="C727">INDEX('MTA 28-09'!B:B,MATCH(B727,'MTA 28-09'!A:A,0))</f>
        <v>NÃO</v>
      </c>
      <c r="D727" s="34" t="str">
        <f t="array" ref="D727">INDEX('MTA 28-09'!D:D,MATCH(B727,'MTA 28-09'!A:A,0))</f>
        <v/>
      </c>
      <c r="E727" s="32" t="str">
        <f t="array" ref="E727">INDEX('MTA 28-09'!F:F,MATCH(B727,'MTA 28-09'!A:A,0))</f>
        <v/>
      </c>
      <c r="F727" s="420" t="str">
        <f t="array" ref="F727">INDEX('MTA 28-09'!I:I,MATCH(B727,'MTA 28-09'!A:A,0))</f>
        <v/>
      </c>
      <c r="G727" s="36" t="str">
        <f t="array" ref="G727">INDEX('MTA 28-09'!J:J,MATCH(B727,'MTA 28-09'!A:A,0))</f>
        <v/>
      </c>
      <c r="H727" s="287" t="s">
        <v>157</v>
      </c>
      <c r="I727" s="295"/>
      <c r="J727" s="39"/>
      <c r="K727" s="40"/>
      <c r="L727" s="39" t="str">
        <f t="array" ref="L727">INDEX('MTA 28-09'!S:S,MATCH(B727,'MTA 28-09'!A:A,0))</f>
        <v>APOIO</v>
      </c>
      <c r="M727" s="32" t="str">
        <f t="array" ref="M727">INDEX('MTA 28-09'!T:T,MATCH(B727,'MTA 28-09'!A:A,0))</f>
        <v>2025-PAMALS-05</v>
      </c>
      <c r="N727" s="32" t="str">
        <f t="array" ref="N727">INDEX('MTA 28-09'!U:U,MATCH(B727,'MTA 28-09'!A:A,0))</f>
        <v>PN MODEL 3615 -CABLE TENSIOMETER CALIBRATOR</v>
      </c>
      <c r="O727" s="59">
        <f t="array" ref="O727">INDEX('MTA 28-09'!AC:AC,MATCH(B727,'MTA 28-09'!A:A,0))</f>
        <v>113207.04</v>
      </c>
      <c r="P727" s="32" t="str">
        <f t="array" ref="P727">INDEX('MTA 28-09'!N:N,MATCH(B727,'MTA 28-09'!A:A,0))</f>
        <v>CABW</v>
      </c>
      <c r="Q727" s="67" t="str">
        <f t="array" ref="Q727">INDEX('MTA 28-09'!Z:Z,MATCH(B727,'MTA 28-09'!A:A,0))</f>
        <v>449052</v>
      </c>
      <c r="R727" s="32" t="str">
        <f t="array" ref="R727">INDEX('MTA 28-09'!L:L,MATCH(B727,'MTA 28-09'!A:A,0))</f>
        <v>C</v>
      </c>
      <c r="S727" s="72" t="str">
        <f t="array" ref="S727">INDEX('MTA 28-09'!X:X,MATCH(B727,'MTA 28-09'!A:A,0))</f>
        <v>REQUISIÇÃO</v>
      </c>
      <c r="T727" s="72" t="str">
        <f t="array" ref="T727">INDEX('MTA 28-09'!W:W,MATCH(B727,'MTA 28-09'!A:A,0))</f>
        <v>Não</v>
      </c>
      <c r="U727" s="81">
        <f t="array" ref="U727">INDEX('MTA 28-09'!AE:AE,MATCH(B727,'MTA 28-09'!A:A,0))</f>
        <v>46168</v>
      </c>
      <c r="V727" s="12"/>
      <c r="W727" s="12"/>
      <c r="X727" s="12"/>
      <c r="Y727" s="12"/>
      <c r="Z727" s="12"/>
      <c r="AA727" s="12"/>
      <c r="AB727" s="12"/>
      <c r="AC727" s="12"/>
      <c r="AD727" s="12"/>
      <c r="AE727" s="12"/>
      <c r="AF727" s="12"/>
      <c r="AG727" s="12"/>
      <c r="AH727" s="12"/>
      <c r="AI727" s="12"/>
      <c r="AJ727" s="12"/>
      <c r="AK727" s="12"/>
      <c r="AL727" s="12"/>
      <c r="AM727" s="12"/>
    </row>
    <row r="728">
      <c r="A728" s="88" t="s">
        <v>99</v>
      </c>
      <c r="B728" s="98">
        <v>21980.0</v>
      </c>
      <c r="C728" s="92" t="str">
        <f t="array" ref="C728">INDEX('MTA 28-09'!B:B,MATCH(B728,'MTA 28-09'!A:A,0))</f>
        <v>NÃO</v>
      </c>
      <c r="D728" s="95" t="str">
        <f t="array" ref="D728">INDEX('MTA 28-09'!D:D,MATCH(B728,'MTA 28-09'!A:A,0))</f>
        <v/>
      </c>
      <c r="E728" s="98" t="str">
        <f t="array" ref="E728">INDEX('MTA 28-09'!F:F,MATCH(B728,'MTA 28-09'!A:A,0))</f>
        <v/>
      </c>
      <c r="F728" s="98" t="str">
        <f t="array" ref="F728">INDEX('MTA 28-09'!I:I,MATCH(B728,'MTA 28-09'!A:A,0))</f>
        <v/>
      </c>
      <c r="G728" s="100" t="str">
        <f t="array" ref="G728">INDEX('MTA 28-09'!J:J,MATCH(B728,'MTA 28-09'!A:A,0))</f>
        <v/>
      </c>
      <c r="H728" s="159" t="s">
        <v>157</v>
      </c>
      <c r="I728" s="296"/>
      <c r="J728" s="102"/>
      <c r="K728" s="103"/>
      <c r="L728" s="102" t="str">
        <f t="array" ref="L728">INDEX('MTA 28-09'!S:S,MATCH(B728,'MTA 28-09'!A:A,0))</f>
        <v>APOIO</v>
      </c>
      <c r="M728" s="98" t="str">
        <f t="array" ref="M728">INDEX('MTA 28-09'!T:T,MATCH(B728,'MTA 28-09'!A:A,0))</f>
        <v>2025-PAMALS-06</v>
      </c>
      <c r="N728" s="98" t="str">
        <f t="array" ref="N728">INDEX('MTA 28-09'!U:U,MATCH(B728,'MTA 28-09'!A:A,0))</f>
        <v>PN 8588A - REFERENCE MULTIMETER</v>
      </c>
      <c r="O728" s="104">
        <f t="array" ref="O728">INDEX('MTA 28-09'!AC:AC,MATCH(B728,'MTA 28-09'!A:A,0))</f>
        <v>101568.52</v>
      </c>
      <c r="P728" s="98" t="str">
        <f t="array" ref="P728">INDEX('MTA 28-09'!N:N,MATCH(B728,'MTA 28-09'!A:A,0))</f>
        <v>CABW</v>
      </c>
      <c r="Q728" s="105" t="str">
        <f t="array" ref="Q728">INDEX('MTA 28-09'!Z:Z,MATCH(B728,'MTA 28-09'!A:A,0))</f>
        <v>449052</v>
      </c>
      <c r="R728" s="98" t="str">
        <f t="array" ref="R728">INDEX('MTA 28-09'!L:L,MATCH(B728,'MTA 28-09'!A:A,0))</f>
        <v>C</v>
      </c>
      <c r="S728" s="107" t="str">
        <f t="array" ref="S728">INDEX('MTA 28-09'!X:X,MATCH(B728,'MTA 28-09'!A:A,0))</f>
        <v>REQUISIÇÃO</v>
      </c>
      <c r="T728" s="107" t="str">
        <f t="array" ref="T728">INDEX('MTA 28-09'!W:W,MATCH(B728,'MTA 28-09'!A:A,0))</f>
        <v>Não</v>
      </c>
      <c r="U728" s="109">
        <f t="array" ref="U728">INDEX('MTA 28-09'!AE:AE,MATCH(B728,'MTA 28-09'!A:A,0))</f>
        <v>46168</v>
      </c>
      <c r="V728" s="29"/>
      <c r="W728" s="29"/>
      <c r="X728" s="29"/>
      <c r="Y728" s="29"/>
      <c r="Z728" s="29"/>
      <c r="AA728" s="29"/>
      <c r="AB728" s="29"/>
      <c r="AC728" s="29"/>
      <c r="AD728" s="29"/>
      <c r="AE728" s="29"/>
      <c r="AF728" s="29"/>
      <c r="AG728" s="29"/>
      <c r="AH728" s="29"/>
      <c r="AI728" s="29"/>
      <c r="AJ728" s="29"/>
      <c r="AK728" s="29"/>
      <c r="AL728" s="29"/>
      <c r="AM728" s="29"/>
    </row>
    <row r="729">
      <c r="A729" s="31" t="s">
        <v>99</v>
      </c>
      <c r="B729" s="32">
        <v>22000.0</v>
      </c>
      <c r="C729" s="33" t="str">
        <f t="array" ref="C729">INDEX('MTA 28-09'!B:B,MATCH(B729,'MTA 28-09'!A:A,0))</f>
        <v>NÃO</v>
      </c>
      <c r="D729" s="34" t="str">
        <f t="array" ref="D729">INDEX('MTA 28-09'!D:D,MATCH(B729,'MTA 28-09'!A:A,0))</f>
        <v/>
      </c>
      <c r="E729" s="32" t="str">
        <f t="array" ref="E729">INDEX('MTA 28-09'!F:F,MATCH(B729,'MTA 28-09'!A:A,0))</f>
        <v/>
      </c>
      <c r="F729" s="155" t="str">
        <f t="array" ref="F729">INDEX('MTA 28-09'!I:I,MATCH(B729,'MTA 28-09'!A:A,0))</f>
        <v/>
      </c>
      <c r="G729" s="36" t="str">
        <f t="array" ref="G729">INDEX('MTA 28-09'!J:J,MATCH(B729,'MTA 28-09'!A:A,0))</f>
        <v/>
      </c>
      <c r="H729" s="287" t="s">
        <v>157</v>
      </c>
      <c r="I729" s="295"/>
      <c r="J729" s="39"/>
      <c r="K729" s="40"/>
      <c r="L729" s="39" t="str">
        <f t="array" ref="L729">INDEX('MTA 28-09'!S:S,MATCH(B729,'MTA 28-09'!A:A,0))</f>
        <v>APOIO</v>
      </c>
      <c r="M729" s="32" t="str">
        <f t="array" ref="M729">INDEX('MTA 28-09'!T:T,MATCH(B729,'MTA 28-09'!A:A,0))</f>
        <v>2025-PAMALS-07</v>
      </c>
      <c r="N729" s="32" t="str">
        <f t="array" ref="N729">INDEX('MTA 28-09'!U:U,MATCH(B729,'MTA 28-09'!A:A,0))</f>
        <v>PN EVSG1000 - VOR/ILS ANALAYZER EVSG 1000</v>
      </c>
      <c r="O729" s="59">
        <f t="array" ref="O729">INDEX('MTA 28-09'!AC:AC,MATCH(B729,'MTA 28-09'!A:A,0))</f>
        <v>174107.89</v>
      </c>
      <c r="P729" s="32" t="str">
        <f t="array" ref="P729">INDEX('MTA 28-09'!N:N,MATCH(B729,'MTA 28-09'!A:A,0))</f>
        <v>CABE</v>
      </c>
      <c r="Q729" s="67" t="str">
        <f t="array" ref="Q729">INDEX('MTA 28-09'!Z:Z,MATCH(B729,'MTA 28-09'!A:A,0))</f>
        <v>449052</v>
      </c>
      <c r="R729" s="32" t="str">
        <f t="array" ref="R729">INDEX('MTA 28-09'!L:L,MATCH(B729,'MTA 28-09'!A:A,0))</f>
        <v>C</v>
      </c>
      <c r="S729" s="72" t="str">
        <f t="array" ref="S729">INDEX('MTA 28-09'!X:X,MATCH(B729,'MTA 28-09'!A:A,0))</f>
        <v>REQUISIÇÃO</v>
      </c>
      <c r="T729" s="72" t="str">
        <f t="array" ref="T729">INDEX('MTA 28-09'!W:W,MATCH(B729,'MTA 28-09'!A:A,0))</f>
        <v>Não</v>
      </c>
      <c r="U729" s="81">
        <f t="array" ref="U729">INDEX('MTA 28-09'!AE:AE,MATCH(B729,'MTA 28-09'!A:A,0))</f>
        <v>46168</v>
      </c>
      <c r="V729" s="12"/>
      <c r="W729" s="12"/>
      <c r="X729" s="12"/>
      <c r="Y729" s="12"/>
      <c r="Z729" s="12"/>
      <c r="AA729" s="12"/>
      <c r="AB729" s="12"/>
      <c r="AC729" s="12"/>
      <c r="AD729" s="12"/>
      <c r="AE729" s="12"/>
      <c r="AF729" s="12"/>
      <c r="AG729" s="12"/>
      <c r="AH729" s="12"/>
      <c r="AI729" s="12"/>
      <c r="AJ729" s="12"/>
      <c r="AK729" s="12"/>
      <c r="AL729" s="12"/>
      <c r="AM729" s="12"/>
    </row>
    <row r="730">
      <c r="A730" s="88" t="s">
        <v>99</v>
      </c>
      <c r="B730" s="98">
        <v>22020.0</v>
      </c>
      <c r="C730" s="92" t="str">
        <f t="array" ref="C730">INDEX('MTA 28-09'!B:B,MATCH(B730,'MTA 28-09'!A:A,0))</f>
        <v>NÃO</v>
      </c>
      <c r="D730" s="95" t="str">
        <f t="array" ref="D730">INDEX('MTA 28-09'!D:D,MATCH(B730,'MTA 28-09'!A:A,0))</f>
        <v/>
      </c>
      <c r="E730" s="98" t="str">
        <f t="array" ref="E730">INDEX('MTA 28-09'!F:F,MATCH(B730,'MTA 28-09'!A:A,0))</f>
        <v/>
      </c>
      <c r="F730" s="144" t="str">
        <f t="array" ref="F730">INDEX('MTA 28-09'!I:I,MATCH(B730,'MTA 28-09'!A:A,0))</f>
        <v/>
      </c>
      <c r="G730" s="100" t="str">
        <f t="array" ref="G730">INDEX('MTA 28-09'!J:J,MATCH(B730,'MTA 28-09'!A:A,0))</f>
        <v/>
      </c>
      <c r="H730" s="159" t="s">
        <v>157</v>
      </c>
      <c r="I730" s="296"/>
      <c r="J730" s="102"/>
      <c r="K730" s="103"/>
      <c r="L730" s="102" t="str">
        <f t="array" ref="L730">INDEX('MTA 28-09'!S:S,MATCH(B730,'MTA 28-09'!A:A,0))</f>
        <v>APOIO</v>
      </c>
      <c r="M730" s="98" t="str">
        <f t="array" ref="M730">INDEX('MTA 28-09'!T:T,MATCH(B730,'MTA 28-09'!A:A,0))</f>
        <v>2025-PAMALS-08</v>
      </c>
      <c r="N730" s="98" t="str">
        <f t="array" ref="N730">INDEX('MTA 28-09'!U:U,MATCH(B730,'MTA 28-09'!A:A,0))</f>
        <v>PN E8267D - PSG VECTOR SIGNAL GENERATOR</v>
      </c>
      <c r="O730" s="104">
        <f t="array" ref="O730">INDEX('MTA 28-09'!AC:AC,MATCH(B730,'MTA 28-09'!A:A,0))</f>
        <v>623589.71</v>
      </c>
      <c r="P730" s="98" t="str">
        <f t="array" ref="P730">INDEX('MTA 28-09'!N:N,MATCH(B730,'MTA 28-09'!A:A,0))</f>
        <v>FMS</v>
      </c>
      <c r="Q730" s="105" t="str">
        <f t="array" ref="Q730">INDEX('MTA 28-09'!Z:Z,MATCH(B730,'MTA 28-09'!A:A,0))</f>
        <v>449052</v>
      </c>
      <c r="R730" s="98" t="str">
        <f t="array" ref="R730">INDEX('MTA 28-09'!L:L,MATCH(B730,'MTA 28-09'!A:A,0))</f>
        <v>C</v>
      </c>
      <c r="S730" s="107" t="str">
        <f t="array" ref="S730">INDEX('MTA 28-09'!X:X,MATCH(B730,'MTA 28-09'!A:A,0))</f>
        <v>REQUISIÇÃO</v>
      </c>
      <c r="T730" s="107" t="str">
        <f t="array" ref="T730">INDEX('MTA 28-09'!W:W,MATCH(B730,'MTA 28-09'!A:A,0))</f>
        <v>Não</v>
      </c>
      <c r="U730" s="109">
        <f t="array" ref="U730">INDEX('MTA 28-09'!AE:AE,MATCH(B730,'MTA 28-09'!A:A,0))</f>
        <v>46168</v>
      </c>
      <c r="V730" s="29"/>
      <c r="W730" s="29"/>
      <c r="X730" s="29"/>
      <c r="Y730" s="29"/>
      <c r="Z730" s="29"/>
      <c r="AA730" s="29"/>
      <c r="AB730" s="29"/>
      <c r="AC730" s="29"/>
      <c r="AD730" s="29"/>
      <c r="AE730" s="29"/>
      <c r="AF730" s="29"/>
      <c r="AG730" s="29"/>
      <c r="AH730" s="29"/>
      <c r="AI730" s="29"/>
      <c r="AJ730" s="29"/>
      <c r="AK730" s="29"/>
      <c r="AL730" s="29"/>
      <c r="AM730" s="29"/>
    </row>
    <row r="731">
      <c r="A731" s="31" t="s">
        <v>99</v>
      </c>
      <c r="B731" s="32">
        <v>22040.0</v>
      </c>
      <c r="C731" s="33" t="str">
        <f t="array" ref="C731">INDEX('MTA 28-09'!B:B,MATCH(B731,'MTA 28-09'!A:A,0))</f>
        <v>NÃO</v>
      </c>
      <c r="D731" s="34" t="str">
        <f t="array" ref="D731">INDEX('MTA 28-09'!D:D,MATCH(B731,'MTA 28-09'!A:A,0))</f>
        <v/>
      </c>
      <c r="E731" s="32" t="str">
        <f t="array" ref="E731">INDEX('MTA 28-09'!F:F,MATCH(B731,'MTA 28-09'!A:A,0))</f>
        <v/>
      </c>
      <c r="F731" s="32" t="str">
        <f t="array" ref="F731">INDEX('MTA 28-09'!I:I,MATCH(B731,'MTA 28-09'!A:A,0))</f>
        <v/>
      </c>
      <c r="G731" s="36" t="str">
        <f t="array" ref="G731">INDEX('MTA 28-09'!J:J,MATCH(B731,'MTA 28-09'!A:A,0))</f>
        <v/>
      </c>
      <c r="H731" s="287" t="s">
        <v>157</v>
      </c>
      <c r="I731" s="295"/>
      <c r="J731" s="39"/>
      <c r="K731" s="40"/>
      <c r="L731" s="39" t="str">
        <f t="array" ref="L731">INDEX('MTA 28-09'!S:S,MATCH(B731,'MTA 28-09'!A:A,0))</f>
        <v>APOIO</v>
      </c>
      <c r="M731" s="32" t="str">
        <f t="array" ref="M731">INDEX('MTA 28-09'!T:T,MATCH(B731,'MTA 28-09'!A:A,0))</f>
        <v>2025-PAMALS-10</v>
      </c>
      <c r="N731" s="32" t="str">
        <f t="array" ref="N731">INDEX('MTA 28-09'!U:U,MATCH(B731,'MTA 28-09'!A:A,0))</f>
        <v>PN 700900-1 - TRANSDUCER,PRESSURE,FLUID-HYDRAULIC</v>
      </c>
      <c r="O731" s="59">
        <f t="array" ref="O731">INDEX('MTA 28-09'!AC:AC,MATCH(B731,'MTA 28-09'!A:A,0))</f>
        <v>3562</v>
      </c>
      <c r="P731" s="32" t="str">
        <f t="array" ref="P731">INDEX('MTA 28-09'!N:N,MATCH(B731,'MTA 28-09'!A:A,0))</f>
        <v>CABW</v>
      </c>
      <c r="Q731" s="67" t="str">
        <f t="array" ref="Q731">INDEX('MTA 28-09'!Z:Z,MATCH(B731,'MTA 28-09'!A:A,0))</f>
        <v>449052</v>
      </c>
      <c r="R731" s="32" t="str">
        <f t="array" ref="R731">INDEX('MTA 28-09'!L:L,MATCH(B731,'MTA 28-09'!A:A,0))</f>
        <v>C</v>
      </c>
      <c r="S731" s="72" t="str">
        <f t="array" ref="S731">INDEX('MTA 28-09'!X:X,MATCH(B731,'MTA 28-09'!A:A,0))</f>
        <v>REQUISIÇÃO</v>
      </c>
      <c r="T731" s="72" t="str">
        <f t="array" ref="T731">INDEX('MTA 28-09'!W:W,MATCH(B731,'MTA 28-09'!A:A,0))</f>
        <v>Não</v>
      </c>
      <c r="U731" s="81">
        <f t="array" ref="U731">INDEX('MTA 28-09'!AE:AE,MATCH(B731,'MTA 28-09'!A:A,0))</f>
        <v>46168</v>
      </c>
      <c r="V731" s="12"/>
      <c r="W731" s="12"/>
      <c r="X731" s="12"/>
      <c r="Y731" s="12"/>
      <c r="Z731" s="12"/>
      <c r="AA731" s="12"/>
      <c r="AB731" s="12"/>
      <c r="AC731" s="12"/>
      <c r="AD731" s="12"/>
      <c r="AE731" s="12"/>
      <c r="AF731" s="12"/>
      <c r="AG731" s="12"/>
      <c r="AH731" s="12"/>
      <c r="AI731" s="12"/>
      <c r="AJ731" s="12"/>
      <c r="AK731" s="12"/>
      <c r="AL731" s="12"/>
      <c r="AM731" s="12"/>
    </row>
    <row r="732">
      <c r="A732" s="88" t="s">
        <v>99</v>
      </c>
      <c r="B732" s="98">
        <v>22060.0</v>
      </c>
      <c r="C732" s="92" t="str">
        <f t="array" ref="C732">INDEX('MTA 28-09'!B:B,MATCH(B732,'MTA 28-09'!A:A,0))</f>
        <v>NÃO</v>
      </c>
      <c r="D732" s="95" t="str">
        <f t="array" ref="D732">INDEX('MTA 28-09'!D:D,MATCH(B732,'MTA 28-09'!A:A,0))</f>
        <v/>
      </c>
      <c r="E732" s="98" t="str">
        <f t="array" ref="E732">INDEX('MTA 28-09'!F:F,MATCH(B732,'MTA 28-09'!A:A,0))</f>
        <v/>
      </c>
      <c r="F732" s="152" t="str">
        <f t="array" ref="F732">INDEX('MTA 28-09'!I:I,MATCH(B732,'MTA 28-09'!A:A,0))</f>
        <v/>
      </c>
      <c r="G732" s="100" t="str">
        <f t="array" ref="G732">INDEX('MTA 28-09'!J:J,MATCH(B732,'MTA 28-09'!A:A,0))</f>
        <v/>
      </c>
      <c r="H732" s="159" t="s">
        <v>157</v>
      </c>
      <c r="I732" s="296"/>
      <c r="J732" s="102"/>
      <c r="K732" s="103"/>
      <c r="L732" s="102" t="str">
        <f t="array" ref="L732">INDEX('MTA 28-09'!S:S,MATCH(B732,'MTA 28-09'!A:A,0))</f>
        <v>APOIO</v>
      </c>
      <c r="M732" s="98" t="str">
        <f t="array" ref="M732">INDEX('MTA 28-09'!T:T,MATCH(B732,'MTA 28-09'!A:A,0))</f>
        <v>2025-PAMALS-11</v>
      </c>
      <c r="N732" s="98" t="str">
        <f t="array" ref="N732">INDEX('MTA 28-09'!U:U,MATCH(B732,'MTA 28-09'!A:A,0))</f>
        <v>PN 420815-1 - TRANSDUCER,MOTIONALPICKUP</v>
      </c>
      <c r="O732" s="104">
        <f t="array" ref="O732">INDEX('MTA 28-09'!AC:AC,MATCH(B732,'MTA 28-09'!A:A,0))</f>
        <v>1638.52</v>
      </c>
      <c r="P732" s="98" t="str">
        <f t="array" ref="P732">INDEX('MTA 28-09'!N:N,MATCH(B732,'MTA 28-09'!A:A,0))</f>
        <v>CABW</v>
      </c>
      <c r="Q732" s="105" t="str">
        <f t="array" ref="Q732">INDEX('MTA 28-09'!Z:Z,MATCH(B732,'MTA 28-09'!A:A,0))</f>
        <v>449052</v>
      </c>
      <c r="R732" s="98" t="str">
        <f t="array" ref="R732">INDEX('MTA 28-09'!L:L,MATCH(B732,'MTA 28-09'!A:A,0))</f>
        <v>C</v>
      </c>
      <c r="S732" s="107" t="str">
        <f t="array" ref="S732">INDEX('MTA 28-09'!X:X,MATCH(B732,'MTA 28-09'!A:A,0))</f>
        <v>REQUISIÇÃO</v>
      </c>
      <c r="T732" s="107" t="str">
        <f t="array" ref="T732">INDEX('MTA 28-09'!W:W,MATCH(B732,'MTA 28-09'!A:A,0))</f>
        <v>Não</v>
      </c>
      <c r="U732" s="109">
        <f t="array" ref="U732">INDEX('MTA 28-09'!AE:AE,MATCH(B732,'MTA 28-09'!A:A,0))</f>
        <v>46168</v>
      </c>
      <c r="V732" s="29"/>
      <c r="W732" s="29"/>
      <c r="X732" s="29"/>
      <c r="Y732" s="29"/>
      <c r="Z732" s="29"/>
      <c r="AA732" s="29"/>
      <c r="AB732" s="29"/>
      <c r="AC732" s="29"/>
      <c r="AD732" s="29"/>
      <c r="AE732" s="29"/>
      <c r="AF732" s="29"/>
      <c r="AG732" s="29"/>
      <c r="AH732" s="29"/>
      <c r="AI732" s="29"/>
      <c r="AJ732" s="29"/>
      <c r="AK732" s="29"/>
      <c r="AL732" s="29"/>
      <c r="AM732" s="29"/>
    </row>
    <row r="733">
      <c r="A733" s="31" t="s">
        <v>99</v>
      </c>
      <c r="B733" s="32">
        <v>22080.0</v>
      </c>
      <c r="C733" s="33" t="str">
        <f t="array" ref="C733">INDEX('MTA 28-09'!B:B,MATCH(B733,'MTA 28-09'!A:A,0))</f>
        <v>NÃO</v>
      </c>
      <c r="D733" s="34" t="str">
        <f t="array" ref="D733">INDEX('MTA 28-09'!D:D,MATCH(B733,'MTA 28-09'!A:A,0))</f>
        <v/>
      </c>
      <c r="E733" s="32" t="str">
        <f t="array" ref="E733">INDEX('MTA 28-09'!F:F,MATCH(B733,'MTA 28-09'!A:A,0))</f>
        <v/>
      </c>
      <c r="F733" s="137" t="str">
        <f t="array" ref="F733">INDEX('MTA 28-09'!I:I,MATCH(B733,'MTA 28-09'!A:A,0))</f>
        <v/>
      </c>
      <c r="G733" s="36" t="str">
        <f t="array" ref="G733">INDEX('MTA 28-09'!J:J,MATCH(B733,'MTA 28-09'!A:A,0))</f>
        <v/>
      </c>
      <c r="H733" s="287" t="s">
        <v>157</v>
      </c>
      <c r="I733" s="295"/>
      <c r="J733" s="39"/>
      <c r="K733" s="40"/>
      <c r="L733" s="39" t="str">
        <f t="array" ref="L733">INDEX('MTA 28-09'!S:S,MATCH(B733,'MTA 28-09'!A:A,0))</f>
        <v>APOIO</v>
      </c>
      <c r="M733" s="32" t="str">
        <f t="array" ref="M733">INDEX('MTA 28-09'!T:T,MATCH(B733,'MTA 28-09'!A:A,0))</f>
        <v>2025-PAMALS-12</v>
      </c>
      <c r="N733" s="32" t="str">
        <f t="array" ref="N733">INDEX('MTA 28-09'!U:U,MATCH(B733,'MTA 28-09'!A:A,0))</f>
        <v>PN 6910230 - RUGOSÍMETRO PORTÁTIL</v>
      </c>
      <c r="O733" s="59">
        <f t="array" ref="O733">INDEX('MTA 28-09'!AC:AC,MATCH(B733,'MTA 28-09'!A:A,0))</f>
        <v>37520.5</v>
      </c>
      <c r="P733" s="32" t="str">
        <f t="array" ref="P733">INDEX('MTA 28-09'!N:N,MATCH(B733,'MTA 28-09'!A:A,0))</f>
        <v>FMS</v>
      </c>
      <c r="Q733" s="67" t="str">
        <f t="array" ref="Q733">INDEX('MTA 28-09'!Z:Z,MATCH(B733,'MTA 28-09'!A:A,0))</f>
        <v>449052</v>
      </c>
      <c r="R733" s="32" t="str">
        <f t="array" ref="R733">INDEX('MTA 28-09'!L:L,MATCH(B733,'MTA 28-09'!A:A,0))</f>
        <v>C</v>
      </c>
      <c r="S733" s="72" t="str">
        <f t="array" ref="S733">INDEX('MTA 28-09'!X:X,MATCH(B733,'MTA 28-09'!A:A,0))</f>
        <v>REQUISIÇÃO</v>
      </c>
      <c r="T733" s="72" t="str">
        <f t="array" ref="T733">INDEX('MTA 28-09'!W:W,MATCH(B733,'MTA 28-09'!A:A,0))</f>
        <v>Não</v>
      </c>
      <c r="U733" s="81">
        <f t="array" ref="U733">INDEX('MTA 28-09'!AE:AE,MATCH(B733,'MTA 28-09'!A:A,0))</f>
        <v>46168</v>
      </c>
      <c r="V733" s="12"/>
      <c r="W733" s="12"/>
      <c r="X733" s="12"/>
      <c r="Y733" s="12"/>
      <c r="Z733" s="12"/>
      <c r="AA733" s="12"/>
      <c r="AB733" s="12"/>
      <c r="AC733" s="12"/>
      <c r="AD733" s="12"/>
      <c r="AE733" s="12"/>
      <c r="AF733" s="12"/>
      <c r="AG733" s="12"/>
      <c r="AH733" s="12"/>
      <c r="AI733" s="12"/>
      <c r="AJ733" s="12"/>
      <c r="AK733" s="12"/>
      <c r="AL733" s="12"/>
      <c r="AM733" s="12"/>
    </row>
    <row r="734">
      <c r="A734" s="88" t="s">
        <v>99</v>
      </c>
      <c r="B734" s="98">
        <v>22100.0</v>
      </c>
      <c r="C734" s="92" t="str">
        <f t="array" ref="C734">INDEX('MTA 28-09'!B:B,MATCH(B734,'MTA 28-09'!A:A,0))</f>
        <v>NÃO</v>
      </c>
      <c r="D734" s="95" t="str">
        <f t="array" ref="D734">INDEX('MTA 28-09'!D:D,MATCH(B734,'MTA 28-09'!A:A,0))</f>
        <v/>
      </c>
      <c r="E734" s="98" t="str">
        <f t="array" ref="E734">INDEX('MTA 28-09'!F:F,MATCH(B734,'MTA 28-09'!A:A,0))</f>
        <v/>
      </c>
      <c r="F734" s="98" t="str">
        <f t="array" ref="F734">INDEX('MTA 28-09'!I:I,MATCH(B734,'MTA 28-09'!A:A,0))</f>
        <v/>
      </c>
      <c r="G734" s="100" t="str">
        <f t="array" ref="G734">INDEX('MTA 28-09'!J:J,MATCH(B734,'MTA 28-09'!A:A,0))</f>
        <v/>
      </c>
      <c r="H734" s="159" t="s">
        <v>157</v>
      </c>
      <c r="I734" s="296"/>
      <c r="J734" s="102"/>
      <c r="K734" s="103"/>
      <c r="L734" s="102" t="str">
        <f t="array" ref="L734">INDEX('MTA 28-09'!S:S,MATCH(B734,'MTA 28-09'!A:A,0))</f>
        <v>APOIO</v>
      </c>
      <c r="M734" s="98" t="str">
        <f t="array" ref="M734">INDEX('MTA 28-09'!T:T,MATCH(B734,'MTA 28-09'!A:A,0))</f>
        <v>2025-PAMALS-13</v>
      </c>
      <c r="N734" s="98" t="str">
        <f t="array" ref="N734">INDEX('MTA 28-09'!U:U,MATCH(B734,'MTA 28-09'!A:A,0))</f>
        <v>PN LM516 - EMPILHADEIRA HIDRÁULICA MANUAL</v>
      </c>
      <c r="O734" s="104">
        <f t="array" ref="O734">INDEX('MTA 28-09'!AC:AC,MATCH(B734,'MTA 28-09'!A:A,0))</f>
        <v>4836</v>
      </c>
      <c r="P734" s="98" t="str">
        <f t="array" ref="P734">INDEX('MTA 28-09'!N:N,MATCH(B734,'MTA 28-09'!A:A,0))</f>
        <v>FMS</v>
      </c>
      <c r="Q734" s="105" t="str">
        <f t="array" ref="Q734">INDEX('MTA 28-09'!Z:Z,MATCH(B734,'MTA 28-09'!A:A,0))</f>
        <v>449052</v>
      </c>
      <c r="R734" s="98" t="str">
        <f t="array" ref="R734">INDEX('MTA 28-09'!L:L,MATCH(B734,'MTA 28-09'!A:A,0))</f>
        <v>C</v>
      </c>
      <c r="S734" s="107" t="str">
        <f t="array" ref="S734">INDEX('MTA 28-09'!X:X,MATCH(B734,'MTA 28-09'!A:A,0))</f>
        <v>REQUISIÇÃO</v>
      </c>
      <c r="T734" s="107" t="str">
        <f t="array" ref="T734">INDEX('MTA 28-09'!W:W,MATCH(B734,'MTA 28-09'!A:A,0))</f>
        <v>Não</v>
      </c>
      <c r="U734" s="109">
        <f t="array" ref="U734">INDEX('MTA 28-09'!AE:AE,MATCH(B734,'MTA 28-09'!A:A,0))</f>
        <v>46168</v>
      </c>
      <c r="V734" s="29"/>
      <c r="W734" s="29"/>
      <c r="X734" s="29"/>
      <c r="Y734" s="29"/>
      <c r="Z734" s="29"/>
      <c r="AA734" s="29"/>
      <c r="AB734" s="29"/>
      <c r="AC734" s="29"/>
      <c r="AD734" s="29"/>
      <c r="AE734" s="29"/>
      <c r="AF734" s="29"/>
      <c r="AG734" s="29"/>
      <c r="AH734" s="29"/>
      <c r="AI734" s="29"/>
      <c r="AJ734" s="29"/>
      <c r="AK734" s="29"/>
      <c r="AL734" s="29"/>
      <c r="AM734" s="29"/>
    </row>
    <row r="735">
      <c r="A735" s="31" t="s">
        <v>99</v>
      </c>
      <c r="B735" s="32">
        <v>22120.0</v>
      </c>
      <c r="C735" s="33" t="str">
        <f t="array" ref="C735">INDEX('MTA 28-09'!B:B,MATCH(B735,'MTA 28-09'!A:A,0))</f>
        <v>NÃO</v>
      </c>
      <c r="D735" s="34" t="str">
        <f t="array" ref="D735">INDEX('MTA 28-09'!D:D,MATCH(B735,'MTA 28-09'!A:A,0))</f>
        <v/>
      </c>
      <c r="E735" s="32" t="str">
        <f t="array" ref="E735">INDEX('MTA 28-09'!F:F,MATCH(B735,'MTA 28-09'!A:A,0))</f>
        <v/>
      </c>
      <c r="F735" s="155" t="str">
        <f t="array" ref="F735">INDEX('MTA 28-09'!I:I,MATCH(B735,'MTA 28-09'!A:A,0))</f>
        <v/>
      </c>
      <c r="G735" s="36" t="str">
        <f t="array" ref="G735">INDEX('MTA 28-09'!J:J,MATCH(B735,'MTA 28-09'!A:A,0))</f>
        <v/>
      </c>
      <c r="H735" s="287" t="s">
        <v>157</v>
      </c>
      <c r="I735" s="295"/>
      <c r="J735" s="39"/>
      <c r="K735" s="40"/>
      <c r="L735" s="39" t="str">
        <f t="array" ref="L735">INDEX('MTA 28-09'!S:S,MATCH(B735,'MTA 28-09'!A:A,0))</f>
        <v>APOIO</v>
      </c>
      <c r="M735" s="32" t="str">
        <f t="array" ref="M735">INDEX('MTA 28-09'!T:T,MATCH(B735,'MTA 28-09'!A:A,0))</f>
        <v>2025-PAMALS-14</v>
      </c>
      <c r="N735" s="32" t="str">
        <f t="array" ref="N735">INDEX('MTA 28-09'!U:U,MATCH(B735,'MTA 28-09'!A:A,0))</f>
        <v>PN DCD997P2BT - TOOL CONNECT HAMMERDRILL KIT</v>
      </c>
      <c r="O735" s="59">
        <f t="array" ref="O735">INDEX('MTA 28-09'!AC:AC,MATCH(B735,'MTA 28-09'!A:A,0))</f>
        <v>3698.04</v>
      </c>
      <c r="P735" s="32" t="str">
        <f t="array" ref="P735">INDEX('MTA 28-09'!N:N,MATCH(B735,'MTA 28-09'!A:A,0))</f>
        <v>CABW</v>
      </c>
      <c r="Q735" s="67" t="str">
        <f t="array" ref="Q735">INDEX('MTA 28-09'!Z:Z,MATCH(B735,'MTA 28-09'!A:A,0))</f>
        <v>449052</v>
      </c>
      <c r="R735" s="32" t="str">
        <f t="array" ref="R735">INDEX('MTA 28-09'!L:L,MATCH(B735,'MTA 28-09'!A:A,0))</f>
        <v>C</v>
      </c>
      <c r="S735" s="72" t="str">
        <f t="array" ref="S735">INDEX('MTA 28-09'!X:X,MATCH(B735,'MTA 28-09'!A:A,0))</f>
        <v>REQUISIÇÃO</v>
      </c>
      <c r="T735" s="72" t="str">
        <f t="array" ref="T735">INDEX('MTA 28-09'!W:W,MATCH(B735,'MTA 28-09'!A:A,0))</f>
        <v>Não</v>
      </c>
      <c r="U735" s="81">
        <f t="array" ref="U735">INDEX('MTA 28-09'!AE:AE,MATCH(B735,'MTA 28-09'!A:A,0))</f>
        <v>46168</v>
      </c>
      <c r="V735" s="12"/>
      <c r="W735" s="12"/>
      <c r="X735" s="12"/>
      <c r="Y735" s="12"/>
      <c r="Z735" s="12"/>
      <c r="AA735" s="12"/>
      <c r="AB735" s="12"/>
      <c r="AC735" s="12"/>
      <c r="AD735" s="12"/>
      <c r="AE735" s="12"/>
      <c r="AF735" s="12"/>
      <c r="AG735" s="12"/>
      <c r="AH735" s="12"/>
      <c r="AI735" s="12"/>
      <c r="AJ735" s="12"/>
      <c r="AK735" s="12"/>
      <c r="AL735" s="12"/>
      <c r="AM735" s="12"/>
    </row>
    <row r="736">
      <c r="A736" s="88" t="s">
        <v>99</v>
      </c>
      <c r="B736" s="98">
        <v>22140.0</v>
      </c>
      <c r="C736" s="92" t="str">
        <f t="array" ref="C736">INDEX('MTA 28-09'!B:B,MATCH(B736,'MTA 28-09'!A:A,0))</f>
        <v>NÃO</v>
      </c>
      <c r="D736" s="95" t="str">
        <f t="array" ref="D736">INDEX('MTA 28-09'!D:D,MATCH(B736,'MTA 28-09'!A:A,0))</f>
        <v/>
      </c>
      <c r="E736" s="98" t="str">
        <f t="array" ref="E736">INDEX('MTA 28-09'!F:F,MATCH(B736,'MTA 28-09'!A:A,0))</f>
        <v/>
      </c>
      <c r="F736" s="144" t="str">
        <f t="array" ref="F736">INDEX('MTA 28-09'!I:I,MATCH(B736,'MTA 28-09'!A:A,0))</f>
        <v/>
      </c>
      <c r="G736" s="100" t="str">
        <f t="array" ref="G736">INDEX('MTA 28-09'!J:J,MATCH(B736,'MTA 28-09'!A:A,0))</f>
        <v/>
      </c>
      <c r="H736" s="159" t="s">
        <v>157</v>
      </c>
      <c r="I736" s="296"/>
      <c r="J736" s="102"/>
      <c r="K736" s="103"/>
      <c r="L736" s="102" t="str">
        <f t="array" ref="L736">INDEX('MTA 28-09'!S:S,MATCH(B736,'MTA 28-09'!A:A,0))</f>
        <v>APOIO</v>
      </c>
      <c r="M736" s="98" t="str">
        <f t="array" ref="M736">INDEX('MTA 28-09'!T:T,MATCH(B736,'MTA 28-09'!A:A,0))</f>
        <v>2025-PAMALS-15</v>
      </c>
      <c r="N736" s="98" t="str">
        <f t="array" ref="N736">INDEX('MTA 28-09'!U:U,MATCH(B736,'MTA 28-09'!A:A,0))</f>
        <v>PN 1015B-6/67655 - PORTABLE DIAL THICKNESS GAGE</v>
      </c>
      <c r="O736" s="104">
        <f t="array" ref="O736">INDEX('MTA 28-09'!AC:AC,MATCH(B736,'MTA 28-09'!A:A,0))</f>
        <v>7290.92</v>
      </c>
      <c r="P736" s="98" t="str">
        <f t="array" ref="P736">INDEX('MTA 28-09'!N:N,MATCH(B736,'MTA 28-09'!A:A,0))</f>
        <v>CABW</v>
      </c>
      <c r="Q736" s="105" t="str">
        <f t="array" ref="Q736">INDEX('MTA 28-09'!Z:Z,MATCH(B736,'MTA 28-09'!A:A,0))</f>
        <v>449052</v>
      </c>
      <c r="R736" s="98" t="str">
        <f t="array" ref="R736">INDEX('MTA 28-09'!L:L,MATCH(B736,'MTA 28-09'!A:A,0))</f>
        <v>C</v>
      </c>
      <c r="S736" s="107" t="str">
        <f t="array" ref="S736">INDEX('MTA 28-09'!X:X,MATCH(B736,'MTA 28-09'!A:A,0))</f>
        <v>REQUISIÇÃO</v>
      </c>
      <c r="T736" s="107" t="str">
        <f t="array" ref="T736">INDEX('MTA 28-09'!W:W,MATCH(B736,'MTA 28-09'!A:A,0))</f>
        <v>Não</v>
      </c>
      <c r="U736" s="109">
        <f t="array" ref="U736">INDEX('MTA 28-09'!AE:AE,MATCH(B736,'MTA 28-09'!A:A,0))</f>
        <v>46168</v>
      </c>
      <c r="V736" s="29"/>
      <c r="W736" s="29"/>
      <c r="X736" s="29"/>
      <c r="Y736" s="29"/>
      <c r="Z736" s="29"/>
      <c r="AA736" s="29"/>
      <c r="AB736" s="29"/>
      <c r="AC736" s="29"/>
      <c r="AD736" s="29"/>
      <c r="AE736" s="29"/>
      <c r="AF736" s="29"/>
      <c r="AG736" s="29"/>
      <c r="AH736" s="29"/>
      <c r="AI736" s="29"/>
      <c r="AJ736" s="29"/>
      <c r="AK736" s="29"/>
      <c r="AL736" s="29"/>
      <c r="AM736" s="29"/>
    </row>
    <row r="737">
      <c r="A737" s="31" t="s">
        <v>99</v>
      </c>
      <c r="B737" s="32">
        <v>22160.0</v>
      </c>
      <c r="C737" s="33" t="str">
        <f t="array" ref="C737">INDEX('MTA 28-09'!B:B,MATCH(B737,'MTA 28-09'!A:A,0))</f>
        <v>NÃO</v>
      </c>
      <c r="D737" s="34" t="str">
        <f t="array" ref="D737">INDEX('MTA 28-09'!D:D,MATCH(B737,'MTA 28-09'!A:A,0))</f>
        <v/>
      </c>
      <c r="E737" s="32" t="str">
        <f t="array" ref="E737">INDEX('MTA 28-09'!F:F,MATCH(B737,'MTA 28-09'!A:A,0))</f>
        <v/>
      </c>
      <c r="F737" s="35" t="str">
        <f t="array" ref="F737">INDEX('MTA 28-09'!I:I,MATCH(B737,'MTA 28-09'!A:A,0))</f>
        <v/>
      </c>
      <c r="G737" s="36" t="str">
        <f t="array" ref="G737">INDEX('MTA 28-09'!J:J,MATCH(B737,'MTA 28-09'!A:A,0))</f>
        <v/>
      </c>
      <c r="H737" s="287" t="s">
        <v>157</v>
      </c>
      <c r="I737" s="295"/>
      <c r="J737" s="39"/>
      <c r="K737" s="40"/>
      <c r="L737" s="39" t="str">
        <f t="array" ref="L737">INDEX('MTA 28-09'!S:S,MATCH(B737,'MTA 28-09'!A:A,0))</f>
        <v>APOIO</v>
      </c>
      <c r="M737" s="32" t="str">
        <f t="array" ref="M737">INDEX('MTA 28-09'!T:T,MATCH(B737,'MTA 28-09'!A:A,0))</f>
        <v>2025-PAMALS-16</v>
      </c>
      <c r="N737" s="32" t="str">
        <f t="array" ref="N737">INDEX('MTA 28-09'!U:U,MATCH(B737,'MTA 28-09'!A:A,0))</f>
        <v>PN 643JZ/52714 - DIAL DEPTH GAGE WITH KNIFE EDGE</v>
      </c>
      <c r="O737" s="59">
        <f t="array" ref="O737">INDEX('MTA 28-09'!AC:AC,MATCH(B737,'MTA 28-09'!A:A,0))</f>
        <v>6123.7</v>
      </c>
      <c r="P737" s="32" t="str">
        <f t="array" ref="P737">INDEX('MTA 28-09'!N:N,MATCH(B737,'MTA 28-09'!A:A,0))</f>
        <v>CABW</v>
      </c>
      <c r="Q737" s="67" t="str">
        <f t="array" ref="Q737">INDEX('MTA 28-09'!Z:Z,MATCH(B737,'MTA 28-09'!A:A,0))</f>
        <v>449052</v>
      </c>
      <c r="R737" s="32" t="str">
        <f t="array" ref="R737">INDEX('MTA 28-09'!L:L,MATCH(B737,'MTA 28-09'!A:A,0))</f>
        <v>C</v>
      </c>
      <c r="S737" s="72" t="str">
        <f t="array" ref="S737">INDEX('MTA 28-09'!X:X,MATCH(B737,'MTA 28-09'!A:A,0))</f>
        <v>REQUISIÇÃO</v>
      </c>
      <c r="T737" s="72" t="str">
        <f t="array" ref="T737">INDEX('MTA 28-09'!W:W,MATCH(B737,'MTA 28-09'!A:A,0))</f>
        <v>Não</v>
      </c>
      <c r="U737" s="81">
        <f t="array" ref="U737">INDEX('MTA 28-09'!AE:AE,MATCH(B737,'MTA 28-09'!A:A,0))</f>
        <v>46168</v>
      </c>
      <c r="V737" s="12"/>
      <c r="W737" s="12"/>
      <c r="X737" s="12"/>
      <c r="Y737" s="12"/>
      <c r="Z737" s="12"/>
      <c r="AA737" s="12"/>
      <c r="AB737" s="12"/>
      <c r="AC737" s="12"/>
      <c r="AD737" s="12"/>
      <c r="AE737" s="12"/>
      <c r="AF737" s="12"/>
      <c r="AG737" s="12"/>
      <c r="AH737" s="12"/>
      <c r="AI737" s="12"/>
      <c r="AJ737" s="12"/>
      <c r="AK737" s="12"/>
      <c r="AL737" s="12"/>
      <c r="AM737" s="12"/>
    </row>
    <row r="738">
      <c r="A738" s="88" t="s">
        <v>99</v>
      </c>
      <c r="B738" s="98">
        <v>22180.0</v>
      </c>
      <c r="C738" s="92" t="str">
        <f t="array" ref="C738">INDEX('MTA 28-09'!B:B,MATCH(B738,'MTA 28-09'!A:A,0))</f>
        <v>NÃO</v>
      </c>
      <c r="D738" s="95" t="str">
        <f t="array" ref="D738">INDEX('MTA 28-09'!D:D,MATCH(B738,'MTA 28-09'!A:A,0))</f>
        <v/>
      </c>
      <c r="E738" s="98" t="str">
        <f t="array" ref="E738">INDEX('MTA 28-09'!F:F,MATCH(B738,'MTA 28-09'!A:A,0))</f>
        <v/>
      </c>
      <c r="F738" s="152" t="str">
        <f t="array" ref="F738">INDEX('MTA 28-09'!I:I,MATCH(B738,'MTA 28-09'!A:A,0))</f>
        <v/>
      </c>
      <c r="G738" s="100" t="str">
        <f t="array" ref="G738">INDEX('MTA 28-09'!J:J,MATCH(B738,'MTA 28-09'!A:A,0))</f>
        <v/>
      </c>
      <c r="H738" s="159" t="s">
        <v>157</v>
      </c>
      <c r="I738" s="296"/>
      <c r="J738" s="102"/>
      <c r="K738" s="103"/>
      <c r="L738" s="102" t="str">
        <f t="array" ref="L738">INDEX('MTA 28-09'!S:S,MATCH(B738,'MTA 28-09'!A:A,0))</f>
        <v>APOIO</v>
      </c>
      <c r="M738" s="98" t="str">
        <f t="array" ref="M738">INDEX('MTA 28-09'!T:T,MATCH(B738,'MTA 28-09'!A:A,0))</f>
        <v>2025-PAMALS-17</v>
      </c>
      <c r="N738" s="98" t="str">
        <f t="array" ref="N738">INDEX('MTA 28-09'!U:U,MATCH(B738,'MTA 28-09'!A:A,0))</f>
        <v>PN BST2950 - BEARING PULLER</v>
      </c>
      <c r="O738" s="104">
        <f t="array" ref="O738">INDEX('MTA 28-09'!AC:AC,MATCH(B738,'MTA 28-09'!A:A,0))</f>
        <v>11165</v>
      </c>
      <c r="P738" s="98" t="str">
        <f t="array" ref="P738">INDEX('MTA 28-09'!N:N,MATCH(B738,'MTA 28-09'!A:A,0))</f>
        <v>CABW</v>
      </c>
      <c r="Q738" s="105" t="str">
        <f t="array" ref="Q738">INDEX('MTA 28-09'!Z:Z,MATCH(B738,'MTA 28-09'!A:A,0))</f>
        <v>449052</v>
      </c>
      <c r="R738" s="98" t="str">
        <f t="array" ref="R738">INDEX('MTA 28-09'!L:L,MATCH(B738,'MTA 28-09'!A:A,0))</f>
        <v>C</v>
      </c>
      <c r="S738" s="107" t="str">
        <f t="array" ref="S738">INDEX('MTA 28-09'!X:X,MATCH(B738,'MTA 28-09'!A:A,0))</f>
        <v>REQUISIÇÃO</v>
      </c>
      <c r="T738" s="107" t="str">
        <f t="array" ref="T738">INDEX('MTA 28-09'!W:W,MATCH(B738,'MTA 28-09'!A:A,0))</f>
        <v>Não</v>
      </c>
      <c r="U738" s="109">
        <f t="array" ref="U738">INDEX('MTA 28-09'!AE:AE,MATCH(B738,'MTA 28-09'!A:A,0))</f>
        <v>46168</v>
      </c>
      <c r="V738" s="29"/>
      <c r="W738" s="29"/>
      <c r="X738" s="29"/>
      <c r="Y738" s="29"/>
      <c r="Z738" s="29"/>
      <c r="AA738" s="29"/>
      <c r="AB738" s="29"/>
      <c r="AC738" s="29"/>
      <c r="AD738" s="29"/>
      <c r="AE738" s="29"/>
      <c r="AF738" s="29"/>
      <c r="AG738" s="29"/>
      <c r="AH738" s="29"/>
      <c r="AI738" s="29"/>
      <c r="AJ738" s="29"/>
      <c r="AK738" s="29"/>
      <c r="AL738" s="29"/>
      <c r="AM738" s="29"/>
    </row>
    <row r="739">
      <c r="A739" s="31" t="s">
        <v>99</v>
      </c>
      <c r="B739" s="32">
        <v>22200.0</v>
      </c>
      <c r="C739" s="33" t="str">
        <f t="array" ref="C739">INDEX('MTA 28-09'!B:B,MATCH(B739,'MTA 28-09'!A:A,0))</f>
        <v>NÃO</v>
      </c>
      <c r="D739" s="34" t="str">
        <f t="array" ref="D739">INDEX('MTA 28-09'!D:D,MATCH(B739,'MTA 28-09'!A:A,0))</f>
        <v/>
      </c>
      <c r="E739" s="32" t="str">
        <f t="array" ref="E739">INDEX('MTA 28-09'!F:F,MATCH(B739,'MTA 28-09'!A:A,0))</f>
        <v/>
      </c>
      <c r="F739" s="155" t="str">
        <f t="array" ref="F739">INDEX('MTA 28-09'!I:I,MATCH(B739,'MTA 28-09'!A:A,0))</f>
        <v/>
      </c>
      <c r="G739" s="36" t="str">
        <f t="array" ref="G739">INDEX('MTA 28-09'!J:J,MATCH(B739,'MTA 28-09'!A:A,0))</f>
        <v/>
      </c>
      <c r="H739" s="287" t="s">
        <v>157</v>
      </c>
      <c r="I739" s="295"/>
      <c r="J739" s="39"/>
      <c r="K739" s="40"/>
      <c r="L739" s="39" t="str">
        <f t="array" ref="L739">INDEX('MTA 28-09'!S:S,MATCH(B739,'MTA 28-09'!A:A,0))</f>
        <v>APOIO</v>
      </c>
      <c r="M739" s="32" t="str">
        <f t="array" ref="M739">INDEX('MTA 28-09'!T:T,MATCH(B739,'MTA 28-09'!A:A,0))</f>
        <v>2025-PAMALS-18</v>
      </c>
      <c r="N739" s="32" t="str">
        <f t="array" ref="N739">INDEX('MTA 28-09'!U:U,MATCH(B739,'MTA 28-09'!A:A,0))</f>
        <v>PN BST2952 - BEARING PULLER</v>
      </c>
      <c r="O739" s="59">
        <f t="array" ref="O739">INDEX('MTA 28-09'!AC:AC,MATCH(B739,'MTA 28-09'!A:A,0))</f>
        <v>8965</v>
      </c>
      <c r="P739" s="32" t="str">
        <f t="array" ref="P739">INDEX('MTA 28-09'!N:N,MATCH(B739,'MTA 28-09'!A:A,0))</f>
        <v>CABW</v>
      </c>
      <c r="Q739" s="67" t="str">
        <f t="array" ref="Q739">INDEX('MTA 28-09'!Z:Z,MATCH(B739,'MTA 28-09'!A:A,0))</f>
        <v>449052</v>
      </c>
      <c r="R739" s="32" t="str">
        <f t="array" ref="R739">INDEX('MTA 28-09'!L:L,MATCH(B739,'MTA 28-09'!A:A,0))</f>
        <v>C</v>
      </c>
      <c r="S739" s="72" t="str">
        <f t="array" ref="S739">INDEX('MTA 28-09'!X:X,MATCH(B739,'MTA 28-09'!A:A,0))</f>
        <v>REQUISIÇÃO</v>
      </c>
      <c r="T739" s="72" t="str">
        <f t="array" ref="T739">INDEX('MTA 28-09'!W:W,MATCH(B739,'MTA 28-09'!A:A,0))</f>
        <v>Não</v>
      </c>
      <c r="U739" s="81">
        <f t="array" ref="U739">INDEX('MTA 28-09'!AE:AE,MATCH(B739,'MTA 28-09'!A:A,0))</f>
        <v>46168</v>
      </c>
      <c r="V739" s="12"/>
      <c r="W739" s="12"/>
      <c r="X739" s="12"/>
      <c r="Y739" s="12"/>
      <c r="Z739" s="12"/>
      <c r="AA739" s="12"/>
      <c r="AB739" s="12"/>
      <c r="AC739" s="12"/>
      <c r="AD739" s="12"/>
      <c r="AE739" s="12"/>
      <c r="AF739" s="12"/>
      <c r="AG739" s="12"/>
      <c r="AH739" s="12"/>
      <c r="AI739" s="12"/>
      <c r="AJ739" s="12"/>
      <c r="AK739" s="12"/>
      <c r="AL739" s="12"/>
      <c r="AM739" s="12"/>
    </row>
    <row r="740">
      <c r="A740" s="88" t="s">
        <v>99</v>
      </c>
      <c r="B740" s="98">
        <v>22220.0</v>
      </c>
      <c r="C740" s="92" t="str">
        <f t="array" ref="C740">INDEX('MTA 28-09'!B:B,MATCH(B740,'MTA 28-09'!A:A,0))</f>
        <v>NÃO</v>
      </c>
      <c r="D740" s="95" t="str">
        <f t="array" ref="D740">INDEX('MTA 28-09'!D:D,MATCH(B740,'MTA 28-09'!A:A,0))</f>
        <v/>
      </c>
      <c r="E740" s="98" t="str">
        <f t="array" ref="E740">INDEX('MTA 28-09'!F:F,MATCH(B740,'MTA 28-09'!A:A,0))</f>
        <v/>
      </c>
      <c r="F740" s="152" t="str">
        <f t="array" ref="F740">INDEX('MTA 28-09'!I:I,MATCH(B740,'MTA 28-09'!A:A,0))</f>
        <v/>
      </c>
      <c r="G740" s="100" t="str">
        <f t="array" ref="G740">INDEX('MTA 28-09'!J:J,MATCH(B740,'MTA 28-09'!A:A,0))</f>
        <v/>
      </c>
      <c r="H740" s="159" t="s">
        <v>157</v>
      </c>
      <c r="I740" s="296"/>
      <c r="J740" s="102"/>
      <c r="K740" s="103"/>
      <c r="L740" s="102" t="str">
        <f t="array" ref="L740">INDEX('MTA 28-09'!S:S,MATCH(B740,'MTA 28-09'!A:A,0))</f>
        <v>APOIO</v>
      </c>
      <c r="M740" s="98" t="str">
        <f t="array" ref="M740">INDEX('MTA 28-09'!T:T,MATCH(B740,'MTA 28-09'!A:A,0))</f>
        <v>2025-PAMALS-19</v>
      </c>
      <c r="N740" s="98" t="str">
        <f t="array" ref="N740">INDEX('MTA 28-09'!U:U,MATCH(B740,'MTA 28-09'!A:A,0))</f>
        <v>PN AT406C - ORBITAL PALM SANDER</v>
      </c>
      <c r="O740" s="104">
        <f t="array" ref="O740">INDEX('MTA 28-09'!AC:AC,MATCH(B740,'MTA 28-09'!A:A,0))</f>
        <v>2535.5</v>
      </c>
      <c r="P740" s="98" t="str">
        <f t="array" ref="P740">INDEX('MTA 28-09'!N:N,MATCH(B740,'MTA 28-09'!A:A,0))</f>
        <v>CABW</v>
      </c>
      <c r="Q740" s="105" t="str">
        <f t="array" ref="Q740">INDEX('MTA 28-09'!Z:Z,MATCH(B740,'MTA 28-09'!A:A,0))</f>
        <v>449052</v>
      </c>
      <c r="R740" s="98" t="str">
        <f t="array" ref="R740">INDEX('MTA 28-09'!L:L,MATCH(B740,'MTA 28-09'!A:A,0))</f>
        <v>C</v>
      </c>
      <c r="S740" s="107" t="str">
        <f t="array" ref="S740">INDEX('MTA 28-09'!X:X,MATCH(B740,'MTA 28-09'!A:A,0))</f>
        <v>REQUISIÇÃO</v>
      </c>
      <c r="T740" s="107" t="str">
        <f t="array" ref="T740">INDEX('MTA 28-09'!W:W,MATCH(B740,'MTA 28-09'!A:A,0))</f>
        <v>Não</v>
      </c>
      <c r="U740" s="109">
        <f t="array" ref="U740">INDEX('MTA 28-09'!AE:AE,MATCH(B740,'MTA 28-09'!A:A,0))</f>
        <v>46168</v>
      </c>
      <c r="V740" s="29"/>
      <c r="W740" s="29"/>
      <c r="X740" s="29"/>
      <c r="Y740" s="29"/>
      <c r="Z740" s="29"/>
      <c r="AA740" s="29"/>
      <c r="AB740" s="29"/>
      <c r="AC740" s="29"/>
      <c r="AD740" s="29"/>
      <c r="AE740" s="29"/>
      <c r="AF740" s="29"/>
      <c r="AG740" s="29"/>
      <c r="AH740" s="29"/>
      <c r="AI740" s="29"/>
      <c r="AJ740" s="29"/>
      <c r="AK740" s="29"/>
      <c r="AL740" s="29"/>
      <c r="AM740" s="29"/>
    </row>
    <row r="741">
      <c r="A741" s="31" t="s">
        <v>99</v>
      </c>
      <c r="B741" s="32">
        <v>22240.0</v>
      </c>
      <c r="C741" s="33" t="str">
        <f t="array" ref="C741">INDEX('MTA 28-09'!B:B,MATCH(B741,'MTA 28-09'!A:A,0))</f>
        <v>NÃO</v>
      </c>
      <c r="D741" s="34" t="str">
        <f t="array" ref="D741">INDEX('MTA 28-09'!D:D,MATCH(B741,'MTA 28-09'!A:A,0))</f>
        <v/>
      </c>
      <c r="E741" s="32" t="str">
        <f t="array" ref="E741">INDEX('MTA 28-09'!F:F,MATCH(B741,'MTA 28-09'!A:A,0))</f>
        <v/>
      </c>
      <c r="F741" s="155" t="str">
        <f t="array" ref="F741">INDEX('MTA 28-09'!I:I,MATCH(B741,'MTA 28-09'!A:A,0))</f>
        <v/>
      </c>
      <c r="G741" s="36" t="str">
        <f t="array" ref="G741">INDEX('MTA 28-09'!J:J,MATCH(B741,'MTA 28-09'!A:A,0))</f>
        <v/>
      </c>
      <c r="H741" s="287" t="s">
        <v>157</v>
      </c>
      <c r="I741" s="295"/>
      <c r="J741" s="39"/>
      <c r="K741" s="40"/>
      <c r="L741" s="39" t="str">
        <f t="array" ref="L741">INDEX('MTA 28-09'!S:S,MATCH(B741,'MTA 28-09'!A:A,0))</f>
        <v>APOIO</v>
      </c>
      <c r="M741" s="32" t="str">
        <f t="array" ref="M741">INDEX('MTA 28-09'!T:T,MATCH(B741,'MTA 28-09'!A:A,0))</f>
        <v>2025-PAMALS-20</v>
      </c>
      <c r="N741" s="32" t="str">
        <f t="array" ref="N741">INDEX('MTA 28-09'!U:U,MATCH(B741,'MTA 28-09'!A:A,0))</f>
        <v>PN H-1115 - COUNTING SCALE - 15 LBS. X .001 LB</v>
      </c>
      <c r="O741" s="59">
        <f t="array" ref="O741">INDEX('MTA 28-09'!AC:AC,MATCH(B741,'MTA 28-09'!A:A,0))</f>
        <v>3146.84</v>
      </c>
      <c r="P741" s="32" t="str">
        <f t="array" ref="P741">INDEX('MTA 28-09'!N:N,MATCH(B741,'MTA 28-09'!A:A,0))</f>
        <v>FMS</v>
      </c>
      <c r="Q741" s="67" t="str">
        <f t="array" ref="Q741">INDEX('MTA 28-09'!Z:Z,MATCH(B741,'MTA 28-09'!A:A,0))</f>
        <v>449052</v>
      </c>
      <c r="R741" s="32" t="str">
        <f t="array" ref="R741">INDEX('MTA 28-09'!L:L,MATCH(B741,'MTA 28-09'!A:A,0))</f>
        <v>C</v>
      </c>
      <c r="S741" s="72" t="str">
        <f t="array" ref="S741">INDEX('MTA 28-09'!X:X,MATCH(B741,'MTA 28-09'!A:A,0))</f>
        <v>REQUISIÇÃO</v>
      </c>
      <c r="T741" s="72" t="str">
        <f t="array" ref="T741">INDEX('MTA 28-09'!W:W,MATCH(B741,'MTA 28-09'!A:A,0))</f>
        <v>Não</v>
      </c>
      <c r="U741" s="81">
        <f t="array" ref="U741">INDEX('MTA 28-09'!AE:AE,MATCH(B741,'MTA 28-09'!A:A,0))</f>
        <v>46168</v>
      </c>
      <c r="V741" s="12"/>
      <c r="W741" s="12"/>
      <c r="X741" s="12"/>
      <c r="Y741" s="12"/>
      <c r="Z741" s="12"/>
      <c r="AA741" s="12"/>
      <c r="AB741" s="12"/>
      <c r="AC741" s="12"/>
      <c r="AD741" s="12"/>
      <c r="AE741" s="12"/>
      <c r="AF741" s="12"/>
      <c r="AG741" s="12"/>
      <c r="AH741" s="12"/>
      <c r="AI741" s="12"/>
      <c r="AJ741" s="12"/>
      <c r="AK741" s="12"/>
      <c r="AL741" s="12"/>
      <c r="AM741" s="12"/>
    </row>
    <row r="742">
      <c r="A742" s="88" t="s">
        <v>99</v>
      </c>
      <c r="B742" s="98">
        <v>22260.0</v>
      </c>
      <c r="C742" s="92" t="str">
        <f t="array" ref="C742">INDEX('MTA 28-09'!B:B,MATCH(B742,'MTA 28-09'!A:A,0))</f>
        <v>NÃO</v>
      </c>
      <c r="D742" s="95" t="str">
        <f t="array" ref="D742">INDEX('MTA 28-09'!D:D,MATCH(B742,'MTA 28-09'!A:A,0))</f>
        <v/>
      </c>
      <c r="E742" s="98" t="str">
        <f t="array" ref="E742">INDEX('MTA 28-09'!F:F,MATCH(B742,'MTA 28-09'!A:A,0))</f>
        <v/>
      </c>
      <c r="F742" s="152" t="str">
        <f t="array" ref="F742">INDEX('MTA 28-09'!I:I,MATCH(B742,'MTA 28-09'!A:A,0))</f>
        <v/>
      </c>
      <c r="G742" s="100" t="str">
        <f t="array" ref="G742">INDEX('MTA 28-09'!J:J,MATCH(B742,'MTA 28-09'!A:A,0))</f>
        <v/>
      </c>
      <c r="H742" s="159" t="s">
        <v>157</v>
      </c>
      <c r="I742" s="296"/>
      <c r="J742" s="102"/>
      <c r="K742" s="103"/>
      <c r="L742" s="102" t="str">
        <f t="array" ref="L742">INDEX('MTA 28-09'!S:S,MATCH(B742,'MTA 28-09'!A:A,0))</f>
        <v>APOIO</v>
      </c>
      <c r="M742" s="98" t="str">
        <f t="array" ref="M742">INDEX('MTA 28-09'!T:T,MATCH(B742,'MTA 28-09'!A:A,0))</f>
        <v>2025-PAMALS-21</v>
      </c>
      <c r="N742" s="98" t="str">
        <f t="array" ref="N742">INDEX('MTA 28-09'!U:U,MATCH(B742,'MTA 28-09'!A:A,0))</f>
        <v>PN CARRO PLATAFORMA 522 - CARRINHO PLATAFORMA FECHADO 800KG EM TELA 522</v>
      </c>
      <c r="O742" s="104">
        <f t="array" ref="O742">INDEX('MTA 28-09'!AC:AC,MATCH(B742,'MTA 28-09'!A:A,0))</f>
        <v>2200</v>
      </c>
      <c r="P742" s="98" t="str">
        <f t="array" ref="P742">INDEX('MTA 28-09'!N:N,MATCH(B742,'MTA 28-09'!A:A,0))</f>
        <v>FMS</v>
      </c>
      <c r="Q742" s="105" t="str">
        <f t="array" ref="Q742">INDEX('MTA 28-09'!Z:Z,MATCH(B742,'MTA 28-09'!A:A,0))</f>
        <v>449052</v>
      </c>
      <c r="R742" s="98" t="str">
        <f t="array" ref="R742">INDEX('MTA 28-09'!L:L,MATCH(B742,'MTA 28-09'!A:A,0))</f>
        <v>C</v>
      </c>
      <c r="S742" s="107" t="str">
        <f t="array" ref="S742">INDEX('MTA 28-09'!X:X,MATCH(B742,'MTA 28-09'!A:A,0))</f>
        <v>REQUISIÇÃO</v>
      </c>
      <c r="T742" s="107" t="str">
        <f t="array" ref="T742">INDEX('MTA 28-09'!W:W,MATCH(B742,'MTA 28-09'!A:A,0))</f>
        <v>Não</v>
      </c>
      <c r="U742" s="109">
        <f t="array" ref="U742">INDEX('MTA 28-09'!AE:AE,MATCH(B742,'MTA 28-09'!A:A,0))</f>
        <v>46168</v>
      </c>
      <c r="V742" s="29"/>
      <c r="W742" s="29"/>
      <c r="X742" s="29"/>
      <c r="Y742" s="29"/>
      <c r="Z742" s="29"/>
      <c r="AA742" s="29"/>
      <c r="AB742" s="29"/>
      <c r="AC742" s="29"/>
      <c r="AD742" s="29"/>
      <c r="AE742" s="29"/>
      <c r="AF742" s="29"/>
      <c r="AG742" s="29"/>
      <c r="AH742" s="29"/>
      <c r="AI742" s="29"/>
      <c r="AJ742" s="29"/>
      <c r="AK742" s="29"/>
      <c r="AL742" s="29"/>
      <c r="AM742" s="29"/>
    </row>
    <row r="743">
      <c r="A743" s="31" t="s">
        <v>99</v>
      </c>
      <c r="B743" s="32">
        <v>22280.0</v>
      </c>
      <c r="C743" s="33" t="str">
        <f t="array" ref="C743">INDEX('MTA 28-09'!B:B,MATCH(B743,'MTA 28-09'!A:A,0))</f>
        <v>NÃO</v>
      </c>
      <c r="D743" s="34" t="str">
        <f t="array" ref="D743">INDEX('MTA 28-09'!D:D,MATCH(B743,'MTA 28-09'!A:A,0))</f>
        <v/>
      </c>
      <c r="E743" s="32" t="str">
        <f t="array" ref="E743">INDEX('MTA 28-09'!F:F,MATCH(B743,'MTA 28-09'!A:A,0))</f>
        <v/>
      </c>
      <c r="F743" s="137" t="str">
        <f t="array" ref="F743">INDEX('MTA 28-09'!I:I,MATCH(B743,'MTA 28-09'!A:A,0))</f>
        <v/>
      </c>
      <c r="G743" s="36" t="str">
        <f t="array" ref="G743">INDEX('MTA 28-09'!J:J,MATCH(B743,'MTA 28-09'!A:A,0))</f>
        <v/>
      </c>
      <c r="H743" s="287" t="s">
        <v>157</v>
      </c>
      <c r="I743" s="295"/>
      <c r="J743" s="39"/>
      <c r="K743" s="40"/>
      <c r="L743" s="39" t="str">
        <f t="array" ref="L743">INDEX('MTA 28-09'!S:S,MATCH(B743,'MTA 28-09'!A:A,0))</f>
        <v>APOIO</v>
      </c>
      <c r="M743" s="32" t="str">
        <f t="array" ref="M743">INDEX('MTA 28-09'!T:T,MATCH(B743,'MTA 28-09'!A:A,0))</f>
        <v>2025-PAMALS-22</v>
      </c>
      <c r="N743" s="32" t="str">
        <f t="array" ref="N743">INDEX('MTA 28-09'!U:U,MATCH(B743,'MTA 28-09'!A:A,0))</f>
        <v>PN PM1516 - EMPILHADEIRA MANUAL 1500KG 1600MM</v>
      </c>
      <c r="O743" s="59">
        <f t="array" ref="O743">INDEX('MTA 28-09'!AC:AC,MATCH(B743,'MTA 28-09'!A:A,0))</f>
        <v>12000</v>
      </c>
      <c r="P743" s="32" t="str">
        <f t="array" ref="P743">INDEX('MTA 28-09'!N:N,MATCH(B743,'MTA 28-09'!A:A,0))</f>
        <v>FMS</v>
      </c>
      <c r="Q743" s="67" t="str">
        <f t="array" ref="Q743">INDEX('MTA 28-09'!Z:Z,MATCH(B743,'MTA 28-09'!A:A,0))</f>
        <v>449052</v>
      </c>
      <c r="R743" s="32" t="str">
        <f t="array" ref="R743">INDEX('MTA 28-09'!L:L,MATCH(B743,'MTA 28-09'!A:A,0))</f>
        <v>C</v>
      </c>
      <c r="S743" s="72" t="str">
        <f t="array" ref="S743">INDEX('MTA 28-09'!X:X,MATCH(B743,'MTA 28-09'!A:A,0))</f>
        <v>REQUISIÇÃO</v>
      </c>
      <c r="T743" s="72" t="str">
        <f t="array" ref="T743">INDEX('MTA 28-09'!W:W,MATCH(B743,'MTA 28-09'!A:A,0))</f>
        <v>Não</v>
      </c>
      <c r="U743" s="81">
        <f t="array" ref="U743">INDEX('MTA 28-09'!AE:AE,MATCH(B743,'MTA 28-09'!A:A,0))</f>
        <v>46168</v>
      </c>
      <c r="V743" s="12"/>
      <c r="W743" s="12"/>
      <c r="X743" s="12"/>
      <c r="Y743" s="12"/>
      <c r="Z743" s="12"/>
      <c r="AA743" s="12"/>
      <c r="AB743" s="12"/>
      <c r="AC743" s="12"/>
      <c r="AD743" s="12"/>
      <c r="AE743" s="12"/>
      <c r="AF743" s="12"/>
      <c r="AG743" s="12"/>
      <c r="AH743" s="12"/>
      <c r="AI743" s="12"/>
      <c r="AJ743" s="12"/>
      <c r="AK743" s="12"/>
      <c r="AL743" s="12"/>
      <c r="AM743" s="12"/>
    </row>
    <row r="744">
      <c r="A744" s="88" t="s">
        <v>99</v>
      </c>
      <c r="B744" s="98">
        <v>22300.0</v>
      </c>
      <c r="C744" s="92" t="str">
        <f t="array" ref="C744">INDEX('MTA 28-09'!B:B,MATCH(B744,'MTA 28-09'!A:A,0))</f>
        <v>NÃO</v>
      </c>
      <c r="D744" s="95" t="str">
        <f t="array" ref="D744">INDEX('MTA 28-09'!D:D,MATCH(B744,'MTA 28-09'!A:A,0))</f>
        <v/>
      </c>
      <c r="E744" s="98" t="str">
        <f t="array" ref="E744">INDEX('MTA 28-09'!F:F,MATCH(B744,'MTA 28-09'!A:A,0))</f>
        <v/>
      </c>
      <c r="F744" s="144" t="str">
        <f t="array" ref="F744">INDEX('MTA 28-09'!I:I,MATCH(B744,'MTA 28-09'!A:A,0))</f>
        <v/>
      </c>
      <c r="G744" s="100" t="str">
        <f t="array" ref="G744">INDEX('MTA 28-09'!J:J,MATCH(B744,'MTA 28-09'!A:A,0))</f>
        <v/>
      </c>
      <c r="H744" s="159" t="s">
        <v>157</v>
      </c>
      <c r="I744" s="296"/>
      <c r="J744" s="102"/>
      <c r="K744" s="103"/>
      <c r="L744" s="102" t="str">
        <f t="array" ref="L744">INDEX('MTA 28-09'!S:S,MATCH(B744,'MTA 28-09'!A:A,0))</f>
        <v>APOIO</v>
      </c>
      <c r="M744" s="98" t="str">
        <f t="array" ref="M744">INDEX('MTA 28-09'!T:T,MATCH(B744,'MTA 28-09'!A:A,0))</f>
        <v>2025-PAMALS-23</v>
      </c>
      <c r="N744" s="98" t="str">
        <f t="array" ref="N744">INDEX('MTA 28-09'!U:U,MATCH(B744,'MTA 28-09'!A:A,0))</f>
        <v>PN PM516 - EMPILHADEIRA MANUAL 500KG 1600MM</v>
      </c>
      <c r="O744" s="104">
        <f t="array" ref="O744">INDEX('MTA 28-09'!AC:AC,MATCH(B744,'MTA 28-09'!A:A,0))</f>
        <v>4800</v>
      </c>
      <c r="P744" s="98" t="str">
        <f t="array" ref="P744">INDEX('MTA 28-09'!N:N,MATCH(B744,'MTA 28-09'!A:A,0))</f>
        <v>FMS</v>
      </c>
      <c r="Q744" s="105" t="str">
        <f t="array" ref="Q744">INDEX('MTA 28-09'!Z:Z,MATCH(B744,'MTA 28-09'!A:A,0))</f>
        <v>449052</v>
      </c>
      <c r="R744" s="98" t="str">
        <f t="array" ref="R744">INDEX('MTA 28-09'!L:L,MATCH(B744,'MTA 28-09'!A:A,0))</f>
        <v>C</v>
      </c>
      <c r="S744" s="107" t="str">
        <f t="array" ref="S744">INDEX('MTA 28-09'!X:X,MATCH(B744,'MTA 28-09'!A:A,0))</f>
        <v>REQUISIÇÃO</v>
      </c>
      <c r="T744" s="107" t="str">
        <f t="array" ref="T744">INDEX('MTA 28-09'!W:W,MATCH(B744,'MTA 28-09'!A:A,0))</f>
        <v>Não</v>
      </c>
      <c r="U744" s="109">
        <f t="array" ref="U744">INDEX('MTA 28-09'!AE:AE,MATCH(B744,'MTA 28-09'!A:A,0))</f>
        <v>46168</v>
      </c>
      <c r="V744" s="29"/>
      <c r="W744" s="29"/>
      <c r="X744" s="29"/>
      <c r="Y744" s="29"/>
      <c r="Z744" s="29"/>
      <c r="AA744" s="29"/>
      <c r="AB744" s="29"/>
      <c r="AC744" s="29"/>
      <c r="AD744" s="29"/>
      <c r="AE744" s="29"/>
      <c r="AF744" s="29"/>
      <c r="AG744" s="29"/>
      <c r="AH744" s="29"/>
      <c r="AI744" s="29"/>
      <c r="AJ744" s="29"/>
      <c r="AK744" s="29"/>
      <c r="AL744" s="29"/>
      <c r="AM744" s="29"/>
    </row>
    <row r="745">
      <c r="A745" s="31" t="s">
        <v>99</v>
      </c>
      <c r="B745" s="32">
        <v>22320.0</v>
      </c>
      <c r="C745" s="33" t="str">
        <f t="array" ref="C745">INDEX('MTA 28-09'!B:B,MATCH(B745,'MTA 28-09'!A:A,0))</f>
        <v>NÃO</v>
      </c>
      <c r="D745" s="34" t="str">
        <f t="array" ref="D745">INDEX('MTA 28-09'!D:D,MATCH(B745,'MTA 28-09'!A:A,0))</f>
        <v/>
      </c>
      <c r="E745" s="32" t="str">
        <f t="array" ref="E745">INDEX('MTA 28-09'!F:F,MATCH(B745,'MTA 28-09'!A:A,0))</f>
        <v/>
      </c>
      <c r="F745" s="35" t="str">
        <f t="array" ref="F745">INDEX('MTA 28-09'!I:I,MATCH(B745,'MTA 28-09'!A:A,0))</f>
        <v/>
      </c>
      <c r="G745" s="36" t="str">
        <f t="array" ref="G745">INDEX('MTA 28-09'!J:J,MATCH(B745,'MTA 28-09'!A:A,0))</f>
        <v/>
      </c>
      <c r="H745" s="287" t="s">
        <v>157</v>
      </c>
      <c r="I745" s="295"/>
      <c r="J745" s="39"/>
      <c r="K745" s="40"/>
      <c r="L745" s="39" t="str">
        <f t="array" ref="L745">INDEX('MTA 28-09'!S:S,MATCH(B745,'MTA 28-09'!A:A,0))</f>
        <v>APOIO</v>
      </c>
      <c r="M745" s="32" t="str">
        <f t="array" ref="M745">INDEX('MTA 28-09'!T:T,MATCH(B745,'MTA 28-09'!A:A,0))</f>
        <v>2025-PAMALS-24</v>
      </c>
      <c r="N745" s="32" t="str">
        <f t="array" ref="N745">INDEX('MTA 28-09'!U:U,MATCH(B745,'MTA 28-09'!A:A,0))</f>
        <v>PN NR12-3 - ESCADA PLATAFORMA TREPADEIRA 3 DEGRAUS 1M</v>
      </c>
      <c r="O745" s="59">
        <f t="array" ref="O745">INDEX('MTA 28-09'!AC:AC,MATCH(B745,'MTA 28-09'!A:A,0))</f>
        <v>6000</v>
      </c>
      <c r="P745" s="32" t="str">
        <f t="array" ref="P745">INDEX('MTA 28-09'!N:N,MATCH(B745,'MTA 28-09'!A:A,0))</f>
        <v>FMS</v>
      </c>
      <c r="Q745" s="67" t="str">
        <f t="array" ref="Q745">INDEX('MTA 28-09'!Z:Z,MATCH(B745,'MTA 28-09'!A:A,0))</f>
        <v>449052</v>
      </c>
      <c r="R745" s="32" t="str">
        <f t="array" ref="R745">INDEX('MTA 28-09'!L:L,MATCH(B745,'MTA 28-09'!A:A,0))</f>
        <v>C</v>
      </c>
      <c r="S745" s="72" t="str">
        <f t="array" ref="S745">INDEX('MTA 28-09'!X:X,MATCH(B745,'MTA 28-09'!A:A,0))</f>
        <v>REQUISIÇÃO</v>
      </c>
      <c r="T745" s="72" t="str">
        <f t="array" ref="T745">INDEX('MTA 28-09'!W:W,MATCH(B745,'MTA 28-09'!A:A,0))</f>
        <v>Não</v>
      </c>
      <c r="U745" s="81">
        <f t="array" ref="U745">INDEX('MTA 28-09'!AE:AE,MATCH(B745,'MTA 28-09'!A:A,0))</f>
        <v>46168</v>
      </c>
      <c r="V745" s="12"/>
      <c r="W745" s="12"/>
      <c r="X745" s="12"/>
      <c r="Y745" s="12"/>
      <c r="Z745" s="12"/>
      <c r="AA745" s="12"/>
      <c r="AB745" s="12"/>
      <c r="AC745" s="12"/>
      <c r="AD745" s="12"/>
      <c r="AE745" s="12"/>
      <c r="AF745" s="12"/>
      <c r="AG745" s="12"/>
      <c r="AH745" s="12"/>
      <c r="AI745" s="12"/>
      <c r="AJ745" s="12"/>
      <c r="AK745" s="12"/>
      <c r="AL745" s="12"/>
      <c r="AM745" s="12"/>
    </row>
    <row r="746">
      <c r="A746" s="88" t="s">
        <v>99</v>
      </c>
      <c r="B746" s="98">
        <v>22340.0</v>
      </c>
      <c r="C746" s="92" t="str">
        <f t="array" ref="C746">INDEX('MTA 28-09'!B:B,MATCH(B746,'MTA 28-09'!A:A,0))</f>
        <v>NÃO</v>
      </c>
      <c r="D746" s="95" t="str">
        <f t="array" ref="D746">INDEX('MTA 28-09'!D:D,MATCH(B746,'MTA 28-09'!A:A,0))</f>
        <v/>
      </c>
      <c r="E746" s="98" t="str">
        <f t="array" ref="E746">INDEX('MTA 28-09'!F:F,MATCH(B746,'MTA 28-09'!A:A,0))</f>
        <v/>
      </c>
      <c r="F746" s="144" t="str">
        <f t="array" ref="F746">INDEX('MTA 28-09'!I:I,MATCH(B746,'MTA 28-09'!A:A,0))</f>
        <v/>
      </c>
      <c r="G746" s="100" t="str">
        <f t="array" ref="G746">INDEX('MTA 28-09'!J:J,MATCH(B746,'MTA 28-09'!A:A,0))</f>
        <v/>
      </c>
      <c r="H746" s="159" t="s">
        <v>157</v>
      </c>
      <c r="I746" s="296"/>
      <c r="J746" s="102"/>
      <c r="K746" s="103"/>
      <c r="L746" s="102" t="str">
        <f t="array" ref="L746">INDEX('MTA 28-09'!S:S,MATCH(B746,'MTA 28-09'!A:A,0))</f>
        <v>APOIO</v>
      </c>
      <c r="M746" s="98" t="str">
        <f t="array" ref="M746">INDEX('MTA 28-09'!T:T,MATCH(B746,'MTA 28-09'!A:A,0))</f>
        <v>2025-PAMALS-25</v>
      </c>
      <c r="N746" s="98" t="str">
        <f t="array" ref="N746">INDEX('MTA 28-09'!U:U,MATCH(B746,'MTA 28-09'!A:A,0))</f>
        <v>PN NR12-7 - ESCADA PLATAFORMA TREPADEIRA 7 DEGRAUS 2M</v>
      </c>
      <c r="O746" s="104">
        <f t="array" ref="O746">INDEX('MTA 28-09'!AC:AC,MATCH(B746,'MTA 28-09'!A:A,0))</f>
        <v>8000</v>
      </c>
      <c r="P746" s="98" t="str">
        <f t="array" ref="P746">INDEX('MTA 28-09'!N:N,MATCH(B746,'MTA 28-09'!A:A,0))</f>
        <v>FMS</v>
      </c>
      <c r="Q746" s="105" t="str">
        <f t="array" ref="Q746">INDEX('MTA 28-09'!Z:Z,MATCH(B746,'MTA 28-09'!A:A,0))</f>
        <v>449052</v>
      </c>
      <c r="R746" s="98" t="str">
        <f t="array" ref="R746">INDEX('MTA 28-09'!L:L,MATCH(B746,'MTA 28-09'!A:A,0))</f>
        <v>C</v>
      </c>
      <c r="S746" s="107" t="str">
        <f t="array" ref="S746">INDEX('MTA 28-09'!X:X,MATCH(B746,'MTA 28-09'!A:A,0))</f>
        <v>REQUISIÇÃO</v>
      </c>
      <c r="T746" s="107" t="str">
        <f t="array" ref="T746">INDEX('MTA 28-09'!W:W,MATCH(B746,'MTA 28-09'!A:A,0))</f>
        <v>Não</v>
      </c>
      <c r="U746" s="109">
        <f t="array" ref="U746">INDEX('MTA 28-09'!AE:AE,MATCH(B746,'MTA 28-09'!A:A,0))</f>
        <v>46168</v>
      </c>
      <c r="V746" s="29"/>
      <c r="W746" s="29"/>
      <c r="X746" s="29"/>
      <c r="Y746" s="29"/>
      <c r="Z746" s="29"/>
      <c r="AA746" s="29"/>
      <c r="AB746" s="29"/>
      <c r="AC746" s="29"/>
      <c r="AD746" s="29"/>
      <c r="AE746" s="29"/>
      <c r="AF746" s="29"/>
      <c r="AG746" s="29"/>
      <c r="AH746" s="29"/>
      <c r="AI746" s="29"/>
      <c r="AJ746" s="29"/>
      <c r="AK746" s="29"/>
      <c r="AL746" s="29"/>
      <c r="AM746" s="29"/>
    </row>
    <row r="747">
      <c r="A747" s="31" t="s">
        <v>99</v>
      </c>
      <c r="B747" s="32">
        <v>22360.0</v>
      </c>
      <c r="C747" s="33" t="str">
        <f t="array" ref="C747">INDEX('MTA 28-09'!B:B,MATCH(B747,'MTA 28-09'!A:A,0))</f>
        <v>NÃO</v>
      </c>
      <c r="D747" s="34" t="str">
        <f t="array" ref="D747">INDEX('MTA 28-09'!D:D,MATCH(B747,'MTA 28-09'!A:A,0))</f>
        <v/>
      </c>
      <c r="E747" s="32" t="str">
        <f t="array" ref="E747">INDEX('MTA 28-09'!F:F,MATCH(B747,'MTA 28-09'!A:A,0))</f>
        <v/>
      </c>
      <c r="F747" s="137" t="str">
        <f t="array" ref="F747">INDEX('MTA 28-09'!I:I,MATCH(B747,'MTA 28-09'!A:A,0))</f>
        <v/>
      </c>
      <c r="G747" s="36" t="str">
        <f t="array" ref="G747">INDEX('MTA 28-09'!J:J,MATCH(B747,'MTA 28-09'!A:A,0))</f>
        <v/>
      </c>
      <c r="H747" s="287" t="s">
        <v>157</v>
      </c>
      <c r="I747" s="295"/>
      <c r="J747" s="39"/>
      <c r="K747" s="40"/>
      <c r="L747" s="39" t="str">
        <f t="array" ref="L747">INDEX('MTA 28-09'!S:S,MATCH(B747,'MTA 28-09'!A:A,0))</f>
        <v>APOIO</v>
      </c>
      <c r="M747" s="32" t="str">
        <f t="array" ref="M747">INDEX('MTA 28-09'!T:T,MATCH(B747,'MTA 28-09'!A:A,0))</f>
        <v>2025-PAMALS-26</v>
      </c>
      <c r="N747" s="32" t="str">
        <f t="array" ref="N747">INDEX('MTA 28-09'!U:U,MATCH(B747,'MTA 28-09'!A:A,0))</f>
        <v>PN NR12-11 - ESCADA PLATAFORMA TREPADEIRA 11 DEGRAUS 3M</v>
      </c>
      <c r="O747" s="59">
        <f t="array" ref="O747">INDEX('MTA 28-09'!AC:AC,MATCH(B747,'MTA 28-09'!A:A,0))</f>
        <v>500</v>
      </c>
      <c r="P747" s="32" t="str">
        <f t="array" ref="P747">INDEX('MTA 28-09'!N:N,MATCH(B747,'MTA 28-09'!A:A,0))</f>
        <v>FMS</v>
      </c>
      <c r="Q747" s="67" t="str">
        <f t="array" ref="Q747">INDEX('MTA 28-09'!Z:Z,MATCH(B747,'MTA 28-09'!A:A,0))</f>
        <v>449052</v>
      </c>
      <c r="R747" s="32" t="str">
        <f t="array" ref="R747">INDEX('MTA 28-09'!L:L,MATCH(B747,'MTA 28-09'!A:A,0))</f>
        <v>C</v>
      </c>
      <c r="S747" s="72" t="str">
        <f t="array" ref="S747">INDEX('MTA 28-09'!X:X,MATCH(B747,'MTA 28-09'!A:A,0))</f>
        <v>REQUISIÇÃO</v>
      </c>
      <c r="T747" s="72" t="str">
        <f t="array" ref="T747">INDEX('MTA 28-09'!W:W,MATCH(B747,'MTA 28-09'!A:A,0))</f>
        <v>Não</v>
      </c>
      <c r="U747" s="81">
        <f t="array" ref="U747">INDEX('MTA 28-09'!AE:AE,MATCH(B747,'MTA 28-09'!A:A,0))</f>
        <v>46168</v>
      </c>
      <c r="V747" s="12"/>
      <c r="W747" s="12"/>
      <c r="X747" s="12"/>
      <c r="Y747" s="12"/>
      <c r="Z747" s="12"/>
      <c r="AA747" s="12"/>
      <c r="AB747" s="12"/>
      <c r="AC747" s="12"/>
      <c r="AD747" s="12"/>
      <c r="AE747" s="12"/>
      <c r="AF747" s="12"/>
      <c r="AG747" s="12"/>
      <c r="AH747" s="12"/>
      <c r="AI747" s="12"/>
      <c r="AJ747" s="12"/>
      <c r="AK747" s="12"/>
      <c r="AL747" s="12"/>
      <c r="AM747" s="12"/>
    </row>
    <row r="748">
      <c r="A748" s="88" t="s">
        <v>99</v>
      </c>
      <c r="B748" s="98">
        <v>22380.0</v>
      </c>
      <c r="C748" s="92" t="str">
        <f t="array" ref="C748">INDEX('MTA 28-09'!B:B,MATCH(B748,'MTA 28-09'!A:A,0))</f>
        <v>NÃO</v>
      </c>
      <c r="D748" s="95" t="str">
        <f t="array" ref="D748">INDEX('MTA 28-09'!D:D,MATCH(B748,'MTA 28-09'!A:A,0))</f>
        <v/>
      </c>
      <c r="E748" s="98" t="str">
        <f t="array" ref="E748">INDEX('MTA 28-09'!F:F,MATCH(B748,'MTA 28-09'!A:A,0))</f>
        <v/>
      </c>
      <c r="F748" s="144" t="str">
        <f t="array" ref="F748">INDEX('MTA 28-09'!I:I,MATCH(B748,'MTA 28-09'!A:A,0))</f>
        <v/>
      </c>
      <c r="G748" s="100" t="str">
        <f t="array" ref="G748">INDEX('MTA 28-09'!J:J,MATCH(B748,'MTA 28-09'!A:A,0))</f>
        <v/>
      </c>
      <c r="H748" s="159" t="s">
        <v>157</v>
      </c>
      <c r="I748" s="296"/>
      <c r="J748" s="102"/>
      <c r="K748" s="103"/>
      <c r="L748" s="102" t="str">
        <f t="array" ref="L748">INDEX('MTA 28-09'!S:S,MATCH(B748,'MTA 28-09'!A:A,0))</f>
        <v>APOIO</v>
      </c>
      <c r="M748" s="98" t="str">
        <f t="array" ref="M748">INDEX('MTA 28-09'!T:T,MATCH(B748,'MTA 28-09'!A:A,0))</f>
        <v>2025-PAMALS-27</v>
      </c>
      <c r="N748" s="98" t="str">
        <f t="array" ref="N748">INDEX('MTA 28-09'!U:U,MATCH(B748,'MTA 28-09'!A:A,0))</f>
        <v>PN CDAIR MAX - MAQUISNA PARA ALMOFADA DE AR E MANTA PLACTICO BOLHA</v>
      </c>
      <c r="O748" s="104">
        <f t="array" ref="O748">INDEX('MTA 28-09'!AC:AC,MATCH(B748,'MTA 28-09'!A:A,0))</f>
        <v>2800</v>
      </c>
      <c r="P748" s="98" t="str">
        <f t="array" ref="P748">INDEX('MTA 28-09'!N:N,MATCH(B748,'MTA 28-09'!A:A,0))</f>
        <v>FMS</v>
      </c>
      <c r="Q748" s="105" t="str">
        <f t="array" ref="Q748">INDEX('MTA 28-09'!Z:Z,MATCH(B748,'MTA 28-09'!A:A,0))</f>
        <v>449052</v>
      </c>
      <c r="R748" s="98" t="str">
        <f t="array" ref="R748">INDEX('MTA 28-09'!L:L,MATCH(B748,'MTA 28-09'!A:A,0))</f>
        <v>C</v>
      </c>
      <c r="S748" s="107" t="str">
        <f t="array" ref="S748">INDEX('MTA 28-09'!X:X,MATCH(B748,'MTA 28-09'!A:A,0))</f>
        <v>REQUISIÇÃO</v>
      </c>
      <c r="T748" s="107" t="str">
        <f t="array" ref="T748">INDEX('MTA 28-09'!W:W,MATCH(B748,'MTA 28-09'!A:A,0))</f>
        <v>Não</v>
      </c>
      <c r="U748" s="109">
        <f t="array" ref="U748">INDEX('MTA 28-09'!AE:AE,MATCH(B748,'MTA 28-09'!A:A,0))</f>
        <v>46168</v>
      </c>
      <c r="V748" s="29"/>
      <c r="W748" s="29"/>
      <c r="X748" s="29"/>
      <c r="Y748" s="29"/>
      <c r="Z748" s="29"/>
      <c r="AA748" s="29"/>
      <c r="AB748" s="29"/>
      <c r="AC748" s="29"/>
      <c r="AD748" s="29"/>
      <c r="AE748" s="29"/>
      <c r="AF748" s="29"/>
      <c r="AG748" s="29"/>
      <c r="AH748" s="29"/>
      <c r="AI748" s="29"/>
      <c r="AJ748" s="29"/>
      <c r="AK748" s="29"/>
      <c r="AL748" s="29"/>
      <c r="AM748" s="29"/>
    </row>
    <row r="749">
      <c r="A749" s="31" t="s">
        <v>99</v>
      </c>
      <c r="B749" s="32">
        <v>22400.0</v>
      </c>
      <c r="C749" s="33" t="str">
        <f t="array" ref="C749">INDEX('MTA 28-09'!B:B,MATCH(B749,'MTA 28-09'!A:A,0))</f>
        <v>NÃO</v>
      </c>
      <c r="D749" s="34" t="str">
        <f t="array" ref="D749">INDEX('MTA 28-09'!D:D,MATCH(B749,'MTA 28-09'!A:A,0))</f>
        <v/>
      </c>
      <c r="E749" s="32" t="str">
        <f t="array" ref="E749">INDEX('MTA 28-09'!F:F,MATCH(B749,'MTA 28-09'!A:A,0))</f>
        <v/>
      </c>
      <c r="F749" s="155" t="str">
        <f t="array" ref="F749">INDEX('MTA 28-09'!I:I,MATCH(B749,'MTA 28-09'!A:A,0))</f>
        <v/>
      </c>
      <c r="G749" s="36" t="str">
        <f t="array" ref="G749">INDEX('MTA 28-09'!J:J,MATCH(B749,'MTA 28-09'!A:A,0))</f>
        <v/>
      </c>
      <c r="H749" s="287" t="s">
        <v>157</v>
      </c>
      <c r="I749" s="295"/>
      <c r="J749" s="39"/>
      <c r="K749" s="40"/>
      <c r="L749" s="39" t="str">
        <f t="array" ref="L749">INDEX('MTA 28-09'!S:S,MATCH(B749,'MTA 28-09'!A:A,0))</f>
        <v>APOIO</v>
      </c>
      <c r="M749" s="32" t="str">
        <f t="array" ref="M749">INDEX('MTA 28-09'!T:T,MATCH(B749,'MTA 28-09'!A:A,0))</f>
        <v>2025-PAMALS-28</v>
      </c>
      <c r="N749" s="32" t="str">
        <f t="array" ref="N749">INDEX('MTA 28-09'!U:U,MATCH(B749,'MTA 28-09'!A:A,0))</f>
        <v>PN TM2000-545 - TRANSPALETE MANUAL COM BALAÇA DIGITAL SEM IMPRESSORA</v>
      </c>
      <c r="O749" s="59">
        <f t="array" ref="O749">INDEX('MTA 28-09'!AC:AC,MATCH(B749,'MTA 28-09'!A:A,0))</f>
        <v>9000</v>
      </c>
      <c r="P749" s="32" t="str">
        <f t="array" ref="P749">INDEX('MTA 28-09'!N:N,MATCH(B749,'MTA 28-09'!A:A,0))</f>
        <v>FMS</v>
      </c>
      <c r="Q749" s="67" t="str">
        <f t="array" ref="Q749">INDEX('MTA 28-09'!Z:Z,MATCH(B749,'MTA 28-09'!A:A,0))</f>
        <v>449052</v>
      </c>
      <c r="R749" s="32" t="str">
        <f t="array" ref="R749">INDEX('MTA 28-09'!L:L,MATCH(B749,'MTA 28-09'!A:A,0))</f>
        <v>C</v>
      </c>
      <c r="S749" s="72" t="str">
        <f t="array" ref="S749">INDEX('MTA 28-09'!X:X,MATCH(B749,'MTA 28-09'!A:A,0))</f>
        <v>REQUISIÇÃO</v>
      </c>
      <c r="T749" s="72" t="str">
        <f t="array" ref="T749">INDEX('MTA 28-09'!W:W,MATCH(B749,'MTA 28-09'!A:A,0))</f>
        <v>Não</v>
      </c>
      <c r="U749" s="81">
        <f t="array" ref="U749">INDEX('MTA 28-09'!AE:AE,MATCH(B749,'MTA 28-09'!A:A,0))</f>
        <v>46168</v>
      </c>
      <c r="V749" s="12"/>
      <c r="W749" s="12"/>
      <c r="X749" s="12"/>
      <c r="Y749" s="12"/>
      <c r="Z749" s="12"/>
      <c r="AA749" s="12"/>
      <c r="AB749" s="12"/>
      <c r="AC749" s="12"/>
      <c r="AD749" s="12"/>
      <c r="AE749" s="12"/>
      <c r="AF749" s="12"/>
      <c r="AG749" s="12"/>
      <c r="AH749" s="12"/>
      <c r="AI749" s="12"/>
      <c r="AJ749" s="12"/>
      <c r="AK749" s="12"/>
      <c r="AL749" s="12"/>
      <c r="AM749" s="12"/>
    </row>
    <row r="750">
      <c r="A750" s="88" t="s">
        <v>99</v>
      </c>
      <c r="B750" s="98">
        <v>22420.0</v>
      </c>
      <c r="C750" s="92" t="str">
        <f t="array" ref="C750">INDEX('MTA 28-09'!B:B,MATCH(B750,'MTA 28-09'!A:A,0))</f>
        <v>NÃO</v>
      </c>
      <c r="D750" s="95" t="str">
        <f t="array" ref="D750">INDEX('MTA 28-09'!D:D,MATCH(B750,'MTA 28-09'!A:A,0))</f>
        <v/>
      </c>
      <c r="E750" s="98" t="str">
        <f t="array" ref="E750">INDEX('MTA 28-09'!F:F,MATCH(B750,'MTA 28-09'!A:A,0))</f>
        <v/>
      </c>
      <c r="F750" s="98" t="str">
        <f t="array" ref="F750">INDEX('MTA 28-09'!I:I,MATCH(B750,'MTA 28-09'!A:A,0))</f>
        <v/>
      </c>
      <c r="G750" s="100" t="str">
        <f t="array" ref="G750">INDEX('MTA 28-09'!J:J,MATCH(B750,'MTA 28-09'!A:A,0))</f>
        <v/>
      </c>
      <c r="H750" s="159" t="s">
        <v>157</v>
      </c>
      <c r="I750" s="296"/>
      <c r="J750" s="102"/>
      <c r="K750" s="103"/>
      <c r="L750" s="102" t="str">
        <f t="array" ref="L750">INDEX('MTA 28-09'!S:S,MATCH(B750,'MTA 28-09'!A:A,0))</f>
        <v>APOIO</v>
      </c>
      <c r="M750" s="98" t="str">
        <f t="array" ref="M750">INDEX('MTA 28-09'!T:T,MATCH(B750,'MTA 28-09'!A:A,0))</f>
        <v>2025-PAMALS-29</v>
      </c>
      <c r="N750" s="98" t="str">
        <f t="array" ref="N750">INDEX('MTA 28-09'!U:U,MATCH(B750,'MTA 28-09'!A:A,0))</f>
        <v>PN TM3020 - TRANSPALETE MANUAL COM RODA DUPLA 3000KG</v>
      </c>
      <c r="O750" s="104">
        <f t="array" ref="O750">INDEX('MTA 28-09'!AC:AC,MATCH(B750,'MTA 28-09'!A:A,0))</f>
        <v>2500</v>
      </c>
      <c r="P750" s="98" t="str">
        <f t="array" ref="P750">INDEX('MTA 28-09'!N:N,MATCH(B750,'MTA 28-09'!A:A,0))</f>
        <v>FMS</v>
      </c>
      <c r="Q750" s="105" t="str">
        <f t="array" ref="Q750">INDEX('MTA 28-09'!Z:Z,MATCH(B750,'MTA 28-09'!A:A,0))</f>
        <v>449052</v>
      </c>
      <c r="R750" s="98" t="str">
        <f t="array" ref="R750">INDEX('MTA 28-09'!L:L,MATCH(B750,'MTA 28-09'!A:A,0))</f>
        <v>C</v>
      </c>
      <c r="S750" s="107" t="str">
        <f t="array" ref="S750">INDEX('MTA 28-09'!X:X,MATCH(B750,'MTA 28-09'!A:A,0))</f>
        <v>REQUISIÇÃO</v>
      </c>
      <c r="T750" s="107" t="str">
        <f t="array" ref="T750">INDEX('MTA 28-09'!W:W,MATCH(B750,'MTA 28-09'!A:A,0))</f>
        <v>Não</v>
      </c>
      <c r="U750" s="109">
        <f t="array" ref="U750">INDEX('MTA 28-09'!AE:AE,MATCH(B750,'MTA 28-09'!A:A,0))</f>
        <v>46168</v>
      </c>
      <c r="V750" s="29"/>
      <c r="W750" s="29"/>
      <c r="X750" s="29"/>
      <c r="Y750" s="29"/>
      <c r="Z750" s="29"/>
      <c r="AA750" s="29"/>
      <c r="AB750" s="29"/>
      <c r="AC750" s="29"/>
      <c r="AD750" s="29"/>
      <c r="AE750" s="29"/>
      <c r="AF750" s="29"/>
      <c r="AG750" s="29"/>
      <c r="AH750" s="29"/>
      <c r="AI750" s="29"/>
      <c r="AJ750" s="29"/>
      <c r="AK750" s="29"/>
      <c r="AL750" s="29"/>
      <c r="AM750" s="29"/>
    </row>
    <row r="751">
      <c r="A751" s="31" t="s">
        <v>99</v>
      </c>
      <c r="B751" s="32">
        <v>22440.0</v>
      </c>
      <c r="C751" s="33" t="str">
        <f t="array" ref="C751">INDEX('MTA 28-09'!B:B,MATCH(B751,'MTA 28-09'!A:A,0))</f>
        <v>NÃO</v>
      </c>
      <c r="D751" s="34" t="str">
        <f t="array" ref="D751">INDEX('MTA 28-09'!D:D,MATCH(B751,'MTA 28-09'!A:A,0))</f>
        <v/>
      </c>
      <c r="E751" s="32" t="str">
        <f t="array" ref="E751">INDEX('MTA 28-09'!F:F,MATCH(B751,'MTA 28-09'!A:A,0))</f>
        <v/>
      </c>
      <c r="F751" s="155" t="str">
        <f t="array" ref="F751">INDEX('MTA 28-09'!I:I,MATCH(B751,'MTA 28-09'!A:A,0))</f>
        <v/>
      </c>
      <c r="G751" s="36" t="str">
        <f t="array" ref="G751">INDEX('MTA 28-09'!J:J,MATCH(B751,'MTA 28-09'!A:A,0))</f>
        <v/>
      </c>
      <c r="H751" s="287" t="s">
        <v>157</v>
      </c>
      <c r="I751" s="425"/>
      <c r="J751" s="39"/>
      <c r="K751" s="40"/>
      <c r="L751" s="39" t="str">
        <f t="array" ref="L751">INDEX('MTA 28-09'!S:S,MATCH(B751,'MTA 28-09'!A:A,0))</f>
        <v>APOIO</v>
      </c>
      <c r="M751" s="32" t="str">
        <f t="array" ref="M751">INDEX('MTA 28-09'!T:T,MATCH(B751,'MTA 28-09'!A:A,0))</f>
        <v>2025-PAMALS-30</v>
      </c>
      <c r="N751" s="32" t="str">
        <f t="array" ref="N751">INDEX('MTA 28-09'!U:U,MATCH(B751,'MTA 28-09'!A:A,0))</f>
        <v>PN TR-800 - TRITURADO SHREDDER INDUSTRIAL</v>
      </c>
      <c r="O751" s="59">
        <f t="array" ref="O751">INDEX('MTA 28-09'!AC:AC,MATCH(B751,'MTA 28-09'!A:A,0))</f>
        <v>100000</v>
      </c>
      <c r="P751" s="32" t="str">
        <f t="array" ref="P751">INDEX('MTA 28-09'!N:N,MATCH(B751,'MTA 28-09'!A:A,0))</f>
        <v>FMS</v>
      </c>
      <c r="Q751" s="67" t="str">
        <f t="array" ref="Q751">INDEX('MTA 28-09'!Z:Z,MATCH(B751,'MTA 28-09'!A:A,0))</f>
        <v>449052</v>
      </c>
      <c r="R751" s="32" t="str">
        <f t="array" ref="R751">INDEX('MTA 28-09'!L:L,MATCH(B751,'MTA 28-09'!A:A,0))</f>
        <v>C</v>
      </c>
      <c r="S751" s="72" t="str">
        <f t="array" ref="S751">INDEX('MTA 28-09'!X:X,MATCH(B751,'MTA 28-09'!A:A,0))</f>
        <v>REQUISIÇÃO</v>
      </c>
      <c r="T751" s="72" t="str">
        <f t="array" ref="T751">INDEX('MTA 28-09'!W:W,MATCH(B751,'MTA 28-09'!A:A,0))</f>
        <v>Não</v>
      </c>
      <c r="U751" s="81">
        <f t="array" ref="U751">INDEX('MTA 28-09'!AE:AE,MATCH(B751,'MTA 28-09'!A:A,0))</f>
        <v>46168</v>
      </c>
      <c r="V751" s="12"/>
      <c r="W751" s="12"/>
      <c r="X751" s="12"/>
      <c r="Y751" s="12"/>
      <c r="Z751" s="12"/>
      <c r="AA751" s="12"/>
      <c r="AB751" s="12"/>
      <c r="AC751" s="12"/>
      <c r="AD751" s="12"/>
      <c r="AE751" s="12"/>
      <c r="AF751" s="12"/>
      <c r="AG751" s="12"/>
      <c r="AH751" s="12"/>
      <c r="AI751" s="12"/>
      <c r="AJ751" s="12"/>
      <c r="AK751" s="12"/>
      <c r="AL751" s="12"/>
      <c r="AM751" s="12"/>
    </row>
    <row r="752">
      <c r="A752" s="88" t="s">
        <v>44</v>
      </c>
      <c r="B752" s="98">
        <v>22460.0</v>
      </c>
      <c r="C752" s="92" t="str">
        <f t="array" ref="C752">INDEX('MTA 28-09'!B:B,MATCH(B752,'MTA 28-09'!A:A,0))</f>
        <v>NÃO</v>
      </c>
      <c r="D752" s="95" t="str">
        <f t="array" ref="D752">INDEX('MTA 28-09'!D:D,MATCH(B752,'MTA 28-09'!A:A,0))</f>
        <v/>
      </c>
      <c r="E752" s="98" t="str">
        <f t="array" ref="E752">INDEX('MTA 28-09'!F:F,MATCH(B752,'MTA 28-09'!A:A,0))</f>
        <v/>
      </c>
      <c r="F752" s="152" t="str">
        <f t="array" ref="F752">INDEX('MTA 28-09'!I:I,MATCH(B752,'MTA 28-09'!A:A,0))</f>
        <v/>
      </c>
      <c r="G752" s="100" t="str">
        <f t="array" ref="G752">INDEX('MTA 28-09'!J:J,MATCH(B752,'MTA 28-09'!A:A,0))</f>
        <v/>
      </c>
      <c r="H752" s="159" t="s">
        <v>157</v>
      </c>
      <c r="I752" s="296"/>
      <c r="J752" s="102"/>
      <c r="K752" s="103"/>
      <c r="L752" s="102" t="str">
        <f t="array" ref="L752">INDEX('MTA 28-09'!S:S,MATCH(B752,'MTA 28-09'!A:A,0))</f>
        <v>C-97</v>
      </c>
      <c r="M752" s="98" t="str">
        <f t="array" ref="M752">INDEX('MTA 28-09'!T:T,MATCH(B752,'MTA 28-09'!A:A,0))</f>
        <v>Requisição FMS</v>
      </c>
      <c r="N752" s="98" t="str">
        <f t="array" ref="N752">INDEX('MTA 28-09'!U:U,MATCH(B752,'MTA 28-09'!A:A,0))</f>
        <v>Requisições Consumíveis 1/4</v>
      </c>
      <c r="O752" s="104">
        <f t="array" ref="O752">INDEX('MTA 28-09'!AC:AC,MATCH(B752,'MTA 28-09'!A:A,0))</f>
        <v>150000</v>
      </c>
      <c r="P752" s="98" t="str">
        <f t="array" ref="P752">INDEX('MTA 28-09'!N:N,MATCH(B752,'MTA 28-09'!A:A,0))</f>
        <v>FMS</v>
      </c>
      <c r="Q752" s="105" t="str">
        <f t="array" ref="Q752">INDEX('MTA 28-09'!Z:Z,MATCH(B752,'MTA 28-09'!A:A,0))</f>
        <v>339030</v>
      </c>
      <c r="R752" s="98" t="str">
        <f t="array" ref="R752">INDEX('MTA 28-09'!L:L,MATCH(B752,'MTA 28-09'!A:A,0))</f>
        <v>C</v>
      </c>
      <c r="S752" s="107" t="str">
        <f t="array" ref="S752">INDEX('MTA 28-09'!X:X,MATCH(B752,'MTA 28-09'!A:A,0))</f>
        <v>REQUISIÇÃO</v>
      </c>
      <c r="T752" s="107" t="str">
        <f t="array" ref="T752">INDEX('MTA 28-09'!W:W,MATCH(B752,'MTA 28-09'!A:A,0))</f>
        <v>Não</v>
      </c>
      <c r="U752" s="109">
        <f t="array" ref="U752">INDEX('MTA 28-09'!AE:AE,MATCH(B752,'MTA 28-09'!A:A,0))</f>
        <v>46168</v>
      </c>
      <c r="V752" s="29"/>
      <c r="W752" s="29"/>
      <c r="X752" s="29"/>
      <c r="Y752" s="29"/>
      <c r="Z752" s="29"/>
      <c r="AA752" s="29"/>
      <c r="AB752" s="29"/>
      <c r="AC752" s="29"/>
      <c r="AD752" s="29"/>
      <c r="AE752" s="29"/>
      <c r="AF752" s="29"/>
      <c r="AG752" s="29"/>
      <c r="AH752" s="29"/>
      <c r="AI752" s="29"/>
      <c r="AJ752" s="29"/>
      <c r="AK752" s="29"/>
      <c r="AL752" s="29"/>
      <c r="AM752" s="29"/>
    </row>
    <row r="753">
      <c r="A753" s="31" t="s">
        <v>44</v>
      </c>
      <c r="B753" s="32">
        <v>22480.0</v>
      </c>
      <c r="C753" s="33" t="str">
        <f t="array" ref="C753">INDEX('MTA 28-09'!B:B,MATCH(B753,'MTA 28-09'!A:A,0))</f>
        <v>NÃO</v>
      </c>
      <c r="D753" s="34" t="str">
        <f t="array" ref="D753">INDEX('MTA 28-09'!D:D,MATCH(B753,'MTA 28-09'!A:A,0))</f>
        <v/>
      </c>
      <c r="E753" s="32" t="str">
        <f t="array" ref="E753">INDEX('MTA 28-09'!F:F,MATCH(B753,'MTA 28-09'!A:A,0))</f>
        <v/>
      </c>
      <c r="F753" s="155" t="str">
        <f t="array" ref="F753">INDEX('MTA 28-09'!I:I,MATCH(B753,'MTA 28-09'!A:A,0))</f>
        <v/>
      </c>
      <c r="G753" s="36" t="str">
        <f t="array" ref="G753">INDEX('MTA 28-09'!J:J,MATCH(B753,'MTA 28-09'!A:A,0))</f>
        <v/>
      </c>
      <c r="H753" s="287" t="s">
        <v>157</v>
      </c>
      <c r="I753" s="295"/>
      <c r="J753" s="39"/>
      <c r="K753" s="40"/>
      <c r="L753" s="39" t="str">
        <f t="array" ref="L753">INDEX('MTA 28-09'!S:S,MATCH(B753,'MTA 28-09'!A:A,0))</f>
        <v>C-97</v>
      </c>
      <c r="M753" s="32" t="str">
        <f t="array" ref="M753">INDEX('MTA 28-09'!T:T,MATCH(B753,'MTA 28-09'!A:A,0))</f>
        <v>Requisição CABW</v>
      </c>
      <c r="N753" s="32" t="str">
        <f t="array" ref="N753">INDEX('MTA 28-09'!U:U,MATCH(B753,'MTA 28-09'!A:A,0))</f>
        <v>Requisições Consumíveis 1/4 - Manutenção nos operadores</v>
      </c>
      <c r="O753" s="59">
        <f t="array" ref="O753">INDEX('MTA 28-09'!AC:AC,MATCH(B753,'MTA 28-09'!A:A,0))</f>
        <v>250000</v>
      </c>
      <c r="P753" s="32" t="str">
        <f t="array" ref="P753">INDEX('MTA 28-09'!N:N,MATCH(B753,'MTA 28-09'!A:A,0))</f>
        <v>CABW</v>
      </c>
      <c r="Q753" s="67" t="str">
        <f t="array" ref="Q753">INDEX('MTA 28-09'!Z:Z,MATCH(B753,'MTA 28-09'!A:A,0))</f>
        <v>339030</v>
      </c>
      <c r="R753" s="32" t="str">
        <f t="array" ref="R753">INDEX('MTA 28-09'!L:L,MATCH(B753,'MTA 28-09'!A:A,0))</f>
        <v>C</v>
      </c>
      <c r="S753" s="72" t="str">
        <f t="array" ref="S753">INDEX('MTA 28-09'!X:X,MATCH(B753,'MTA 28-09'!A:A,0))</f>
        <v>REQUISIÇÃO</v>
      </c>
      <c r="T753" s="72" t="str">
        <f t="array" ref="T753">INDEX('MTA 28-09'!W:W,MATCH(B753,'MTA 28-09'!A:A,0))</f>
        <v>Não</v>
      </c>
      <c r="U753" s="81">
        <f t="array" ref="U753">INDEX('MTA 28-09'!AE:AE,MATCH(B753,'MTA 28-09'!A:A,0))</f>
        <v>46168</v>
      </c>
      <c r="V753" s="12"/>
      <c r="W753" s="12"/>
      <c r="X753" s="12"/>
      <c r="Y753" s="12"/>
      <c r="Z753" s="12"/>
      <c r="AA753" s="12"/>
      <c r="AB753" s="12"/>
      <c r="AC753" s="12"/>
      <c r="AD753" s="12"/>
      <c r="AE753" s="12"/>
      <c r="AF753" s="12"/>
      <c r="AG753" s="12"/>
      <c r="AH753" s="12"/>
      <c r="AI753" s="12"/>
      <c r="AJ753" s="12"/>
      <c r="AK753" s="12"/>
      <c r="AL753" s="12"/>
      <c r="AM753" s="12"/>
    </row>
    <row r="754">
      <c r="A754" s="88" t="s">
        <v>44</v>
      </c>
      <c r="B754" s="98">
        <v>22500.0</v>
      </c>
      <c r="C754" s="92" t="str">
        <f t="array" ref="C754">INDEX('MTA 28-09'!B:B,MATCH(B754,'MTA 28-09'!A:A,0))</f>
        <v>NÃO</v>
      </c>
      <c r="D754" s="95" t="str">
        <f t="array" ref="D754">INDEX('MTA 28-09'!D:D,MATCH(B754,'MTA 28-09'!A:A,0))</f>
        <v/>
      </c>
      <c r="E754" s="98" t="str">
        <f t="array" ref="E754">INDEX('MTA 28-09'!F:F,MATCH(B754,'MTA 28-09'!A:A,0))</f>
        <v/>
      </c>
      <c r="F754" s="144" t="str">
        <f t="array" ref="F754">INDEX('MTA 28-09'!I:I,MATCH(B754,'MTA 28-09'!A:A,0))</f>
        <v/>
      </c>
      <c r="G754" s="100" t="str">
        <f t="array" ref="G754">INDEX('MTA 28-09'!J:J,MATCH(B754,'MTA 28-09'!A:A,0))</f>
        <v/>
      </c>
      <c r="H754" s="159" t="s">
        <v>157</v>
      </c>
      <c r="I754" s="296"/>
      <c r="J754" s="102"/>
      <c r="K754" s="103"/>
      <c r="L754" s="102" t="str">
        <f t="array" ref="L754">INDEX('MTA 28-09'!S:S,MATCH(B754,'MTA 28-09'!A:A,0))</f>
        <v>C-97</v>
      </c>
      <c r="M754" s="98" t="str">
        <f t="array" ref="M754">INDEX('MTA 28-09'!T:T,MATCH(B754,'MTA 28-09'!A:A,0))</f>
        <v>CTT XXX/CELOG-PAMALS/2026 - MOTORES</v>
      </c>
      <c r="N754" s="98" t="str">
        <f t="array" ref="N754">INDEX('MTA 28-09'!U:U,MATCH(B754,'MTA 28-09'!A:A,0))</f>
        <v>Montagem 2005 - 2 motores</v>
      </c>
      <c r="O754" s="104">
        <f t="array" ref="O754">INDEX('MTA 28-09'!AC:AC,MATCH(B754,'MTA 28-09'!A:A,0))</f>
        <v>6000000</v>
      </c>
      <c r="P754" s="98" t="str">
        <f t="array" ref="P754">INDEX('MTA 28-09'!N:N,MATCH(B754,'MTA 28-09'!A:A,0))</f>
        <v>CELOG</v>
      </c>
      <c r="Q754" s="105" t="str">
        <f t="array" ref="Q754">INDEX('MTA 28-09'!Z:Z,MATCH(B754,'MTA 28-09'!A:A,0))</f>
        <v>339039</v>
      </c>
      <c r="R754" s="98" t="str">
        <f t="array" ref="R754">INDEX('MTA 28-09'!L:L,MATCH(B754,'MTA 28-09'!A:A,0))</f>
        <v>C</v>
      </c>
      <c r="S754" s="107" t="str">
        <f t="array" ref="S754">INDEX('MTA 28-09'!X:X,MATCH(B754,'MTA 28-09'!A:A,0))</f>
        <v>SOB DEMANDA</v>
      </c>
      <c r="T754" s="107" t="str">
        <f t="array" ref="T754">INDEX('MTA 28-09'!W:W,MATCH(B754,'MTA 28-09'!A:A,0))</f>
        <v>SIM</v>
      </c>
      <c r="U754" s="109">
        <f t="array" ref="U754">INDEX('MTA 28-09'!AE:AE,MATCH(B754,'MTA 28-09'!A:A,0))</f>
        <v>46168</v>
      </c>
      <c r="V754" s="29"/>
      <c r="W754" s="29"/>
      <c r="X754" s="29"/>
      <c r="Y754" s="29"/>
      <c r="Z754" s="29"/>
      <c r="AA754" s="29"/>
      <c r="AB754" s="29"/>
      <c r="AC754" s="29"/>
      <c r="AD754" s="29"/>
      <c r="AE754" s="29"/>
      <c r="AF754" s="29"/>
      <c r="AG754" s="29"/>
      <c r="AH754" s="29"/>
      <c r="AI754" s="29"/>
      <c r="AJ754" s="29"/>
      <c r="AK754" s="29"/>
      <c r="AL754" s="29"/>
      <c r="AM754" s="29"/>
    </row>
    <row r="755">
      <c r="A755" s="31" t="s">
        <v>44</v>
      </c>
      <c r="B755" s="32">
        <v>22520.0</v>
      </c>
      <c r="C755" s="33" t="str">
        <f t="array" ref="C755">INDEX('MTA 28-09'!B:B,MATCH(B755,'MTA 28-09'!A:A,0))</f>
        <v>NÃO</v>
      </c>
      <c r="D755" s="34" t="str">
        <f t="array" ref="D755">INDEX('MTA 28-09'!D:D,MATCH(B755,'MTA 28-09'!A:A,0))</f>
        <v/>
      </c>
      <c r="E755" s="32" t="str">
        <f t="array" ref="E755">INDEX('MTA 28-09'!F:F,MATCH(B755,'MTA 28-09'!A:A,0))</f>
        <v/>
      </c>
      <c r="F755" s="155" t="str">
        <f t="array" ref="F755">INDEX('MTA 28-09'!I:I,MATCH(B755,'MTA 28-09'!A:A,0))</f>
        <v/>
      </c>
      <c r="G755" s="36" t="str">
        <f t="array" ref="G755">INDEX('MTA 28-09'!J:J,MATCH(B755,'MTA 28-09'!A:A,0))</f>
        <v/>
      </c>
      <c r="H755" s="287" t="s">
        <v>157</v>
      </c>
      <c r="I755" s="295"/>
      <c r="J755" s="39"/>
      <c r="K755" s="40"/>
      <c r="L755" s="39" t="str">
        <f t="array" ref="L755">INDEX('MTA 28-09'!S:S,MATCH(B755,'MTA 28-09'!A:A,0))</f>
        <v>C-97</v>
      </c>
      <c r="M755" s="32" t="str">
        <f t="array" ref="M755">INDEX('MTA 28-09'!T:T,MATCH(B755,'MTA 28-09'!A:A,0))</f>
        <v>2025-BABR-02</v>
      </c>
      <c r="N755" s="32" t="str">
        <f t="array" ref="N755">INDEX('MTA 28-09'!U:U,MATCH(B755,'MTA 28-09'!A:A,0))</f>
        <v>PN ADA120-612 - AIR DATA KIT DO TESTE DE PITOT ESTÁTICO</v>
      </c>
      <c r="O755" s="59">
        <f t="array" ref="O755">INDEX('MTA 28-09'!AC:AC,MATCH(B755,'MTA 28-09'!A:A,0))</f>
        <v>25603.2</v>
      </c>
      <c r="P755" s="32" t="str">
        <f t="array" ref="P755">INDEX('MTA 28-09'!N:N,MATCH(B755,'MTA 28-09'!A:A,0))</f>
        <v>CABW</v>
      </c>
      <c r="Q755" s="67" t="str">
        <f t="array" ref="Q755">INDEX('MTA 28-09'!Z:Z,MATCH(B755,'MTA 28-09'!A:A,0))</f>
        <v>449052</v>
      </c>
      <c r="R755" s="32" t="str">
        <f t="array" ref="R755">INDEX('MTA 28-09'!L:L,MATCH(B755,'MTA 28-09'!A:A,0))</f>
        <v>C</v>
      </c>
      <c r="S755" s="72" t="str">
        <f t="array" ref="S755">INDEX('MTA 28-09'!X:X,MATCH(B755,'MTA 28-09'!A:A,0))</f>
        <v>REQUISIÇÃO</v>
      </c>
      <c r="T755" s="72" t="str">
        <f t="array" ref="T755">INDEX('MTA 28-09'!W:W,MATCH(B755,'MTA 28-09'!A:A,0))</f>
        <v>Não</v>
      </c>
      <c r="U755" s="81">
        <f t="array" ref="U755">INDEX('MTA 28-09'!AE:AE,MATCH(B755,'MTA 28-09'!A:A,0))</f>
        <v>46168</v>
      </c>
      <c r="V755" s="12"/>
      <c r="W755" s="12"/>
      <c r="X755" s="12"/>
      <c r="Y755" s="12"/>
      <c r="Z755" s="12"/>
      <c r="AA755" s="12"/>
      <c r="AB755" s="12"/>
      <c r="AC755" s="12"/>
      <c r="AD755" s="12"/>
      <c r="AE755" s="12"/>
      <c r="AF755" s="12"/>
      <c r="AG755" s="12"/>
      <c r="AH755" s="12"/>
      <c r="AI755" s="12"/>
      <c r="AJ755" s="12"/>
      <c r="AK755" s="12"/>
      <c r="AL755" s="12"/>
      <c r="AM755" s="12"/>
    </row>
    <row r="756">
      <c r="A756" s="88" t="s">
        <v>44</v>
      </c>
      <c r="B756" s="98">
        <v>22540.0</v>
      </c>
      <c r="C756" s="92" t="str">
        <f t="array" ref="C756">INDEX('MTA 28-09'!B:B,MATCH(B756,'MTA 28-09'!A:A,0))</f>
        <v>NÃO</v>
      </c>
      <c r="D756" s="95" t="str">
        <f t="array" ref="D756">INDEX('MTA 28-09'!D:D,MATCH(B756,'MTA 28-09'!A:A,0))</f>
        <v/>
      </c>
      <c r="E756" s="98" t="str">
        <f t="array" ref="E756">INDEX('MTA 28-09'!F:F,MATCH(B756,'MTA 28-09'!A:A,0))</f>
        <v/>
      </c>
      <c r="F756" s="144" t="str">
        <f t="array" ref="F756">INDEX('MTA 28-09'!I:I,MATCH(B756,'MTA 28-09'!A:A,0))</f>
        <v/>
      </c>
      <c r="G756" s="100" t="str">
        <f t="array" ref="G756">INDEX('MTA 28-09'!J:J,MATCH(B756,'MTA 28-09'!A:A,0))</f>
        <v/>
      </c>
      <c r="H756" s="159" t="s">
        <v>157</v>
      </c>
      <c r="I756" s="296"/>
      <c r="J756" s="102"/>
      <c r="K756" s="103"/>
      <c r="L756" s="102" t="str">
        <f t="array" ref="L756">INDEX('MTA 28-09'!S:S,MATCH(B756,'MTA 28-09'!A:A,0))</f>
        <v>C-97</v>
      </c>
      <c r="M756" s="98" t="str">
        <f t="array" ref="M756">INDEX('MTA 28-09'!T:T,MATCH(B756,'MTA 28-09'!A:A,0))</f>
        <v>2025-BABR-05</v>
      </c>
      <c r="N756" s="98" t="str">
        <f t="array" ref="N756">INDEX('MTA 28-09'!U:U,MATCH(B756,'MTA 28-09'!A:A,0))</f>
        <v>PN EMB-00637-401 - CONJUNTO REGULAGEM MICRO DAS MANETES</v>
      </c>
      <c r="O756" s="104">
        <f t="array" ref="O756">INDEX('MTA 28-09'!AC:AC,MATCH(B756,'MTA 28-09'!A:A,0))</f>
        <v>1858.65</v>
      </c>
      <c r="P756" s="98" t="str">
        <f t="array" ref="P756">INDEX('MTA 28-09'!N:N,MATCH(B756,'MTA 28-09'!A:A,0))</f>
        <v>FMS</v>
      </c>
      <c r="Q756" s="105" t="str">
        <f t="array" ref="Q756">INDEX('MTA 28-09'!Z:Z,MATCH(B756,'MTA 28-09'!A:A,0))</f>
        <v>449052</v>
      </c>
      <c r="R756" s="98" t="str">
        <f t="array" ref="R756">INDEX('MTA 28-09'!L:L,MATCH(B756,'MTA 28-09'!A:A,0))</f>
        <v>C</v>
      </c>
      <c r="S756" s="107" t="str">
        <f t="array" ref="S756">INDEX('MTA 28-09'!X:X,MATCH(B756,'MTA 28-09'!A:A,0))</f>
        <v>REQUISIÇÃO</v>
      </c>
      <c r="T756" s="107" t="str">
        <f t="array" ref="T756">INDEX('MTA 28-09'!W:W,MATCH(B756,'MTA 28-09'!A:A,0))</f>
        <v>Não</v>
      </c>
      <c r="U756" s="109">
        <f t="array" ref="U756">INDEX('MTA 28-09'!AE:AE,MATCH(B756,'MTA 28-09'!A:A,0))</f>
        <v>46168</v>
      </c>
      <c r="V756" s="29"/>
      <c r="W756" s="29"/>
      <c r="X756" s="29"/>
      <c r="Y756" s="29"/>
      <c r="Z756" s="29"/>
      <c r="AA756" s="29"/>
      <c r="AB756" s="29"/>
      <c r="AC756" s="29"/>
      <c r="AD756" s="29"/>
      <c r="AE756" s="29"/>
      <c r="AF756" s="29"/>
      <c r="AG756" s="29"/>
      <c r="AH756" s="29"/>
      <c r="AI756" s="29"/>
      <c r="AJ756" s="29"/>
      <c r="AK756" s="29"/>
      <c r="AL756" s="29"/>
      <c r="AM756" s="29"/>
    </row>
    <row r="757">
      <c r="A757" s="31" t="s">
        <v>44</v>
      </c>
      <c r="B757" s="32">
        <v>22560.0</v>
      </c>
      <c r="C757" s="33" t="str">
        <f t="array" ref="C757">INDEX('MTA 28-09'!B:B,MATCH(B757,'MTA 28-09'!A:A,0))</f>
        <v>NÃO</v>
      </c>
      <c r="D757" s="34" t="str">
        <f t="array" ref="D757">INDEX('MTA 28-09'!D:D,MATCH(B757,'MTA 28-09'!A:A,0))</f>
        <v/>
      </c>
      <c r="E757" s="32" t="str">
        <f t="array" ref="E757">INDEX('MTA 28-09'!F:F,MATCH(B757,'MTA 28-09'!A:A,0))</f>
        <v/>
      </c>
      <c r="F757" s="137" t="str">
        <f t="array" ref="F757">INDEX('MTA 28-09'!I:I,MATCH(B757,'MTA 28-09'!A:A,0))</f>
        <v/>
      </c>
      <c r="G757" s="36" t="str">
        <f t="array" ref="G757">INDEX('MTA 28-09'!J:J,MATCH(B757,'MTA 28-09'!A:A,0))</f>
        <v/>
      </c>
      <c r="H757" s="287" t="s">
        <v>157</v>
      </c>
      <c r="I757" s="295"/>
      <c r="J757" s="39"/>
      <c r="K757" s="40"/>
      <c r="L757" s="39" t="str">
        <f t="array" ref="L757">INDEX('MTA 28-09'!S:S,MATCH(B757,'MTA 28-09'!A:A,0))</f>
        <v>C-97</v>
      </c>
      <c r="M757" s="32" t="str">
        <f t="array" ref="M757">INDEX('MTA 28-09'!T:T,MATCH(B757,'MTA 28-09'!A:A,0))</f>
        <v>2025-BABR-07</v>
      </c>
      <c r="N757" s="32" t="str">
        <f t="array" ref="N757">INDEX('MTA 28-09'!U:U,MATCH(B757,'MTA 28-09'!A:A,0))</f>
        <v>PN 14-6807-6011 - GAGE,TIRE PRESSURE,SELF-CONTAINED, 300 PSI MAXIMUM OPERATING PRESSURE; USED ON AN AIRCRAFT</v>
      </c>
      <c r="O757" s="59">
        <f t="array" ref="O757">INDEX('MTA 28-09'!AC:AC,MATCH(B757,'MTA 28-09'!A:A,0))</f>
        <v>3281.48</v>
      </c>
      <c r="P757" s="32" t="str">
        <f t="array" ref="P757">INDEX('MTA 28-09'!N:N,MATCH(B757,'MTA 28-09'!A:A,0))</f>
        <v>CABW</v>
      </c>
      <c r="Q757" s="67" t="str">
        <f t="array" ref="Q757">INDEX('MTA 28-09'!Z:Z,MATCH(B757,'MTA 28-09'!A:A,0))</f>
        <v>449052</v>
      </c>
      <c r="R757" s="32" t="str">
        <f t="array" ref="R757">INDEX('MTA 28-09'!L:L,MATCH(B757,'MTA 28-09'!A:A,0))</f>
        <v>C</v>
      </c>
      <c r="S757" s="72" t="str">
        <f t="array" ref="S757">INDEX('MTA 28-09'!X:X,MATCH(B757,'MTA 28-09'!A:A,0))</f>
        <v>REQUISIÇÃO</v>
      </c>
      <c r="T757" s="72" t="str">
        <f t="array" ref="T757">INDEX('MTA 28-09'!W:W,MATCH(B757,'MTA 28-09'!A:A,0))</f>
        <v>Não</v>
      </c>
      <c r="U757" s="81">
        <f t="array" ref="U757">INDEX('MTA 28-09'!AE:AE,MATCH(B757,'MTA 28-09'!A:A,0))</f>
        <v>46168</v>
      </c>
      <c r="V757" s="12"/>
      <c r="W757" s="12"/>
      <c r="X757" s="12"/>
      <c r="Y757" s="12"/>
      <c r="Z757" s="12"/>
      <c r="AA757" s="12"/>
      <c r="AB757" s="12"/>
      <c r="AC757" s="12"/>
      <c r="AD757" s="12"/>
      <c r="AE757" s="12"/>
      <c r="AF757" s="12"/>
      <c r="AG757" s="12"/>
      <c r="AH757" s="12"/>
      <c r="AI757" s="12"/>
      <c r="AJ757" s="12"/>
      <c r="AK757" s="12"/>
      <c r="AL757" s="12"/>
      <c r="AM757" s="12"/>
    </row>
    <row r="758">
      <c r="A758" s="88" t="s">
        <v>44</v>
      </c>
      <c r="B758" s="98">
        <v>22580.0</v>
      </c>
      <c r="C758" s="92" t="str">
        <f t="array" ref="C758">INDEX('MTA 28-09'!B:B,MATCH(B758,'MTA 28-09'!A:A,0))</f>
        <v>NÃO</v>
      </c>
      <c r="D758" s="95" t="str">
        <f t="array" ref="D758">INDEX('MTA 28-09'!D:D,MATCH(B758,'MTA 28-09'!A:A,0))</f>
        <v/>
      </c>
      <c r="E758" s="98" t="str">
        <f t="array" ref="E758">INDEX('MTA 28-09'!F:F,MATCH(B758,'MTA 28-09'!A:A,0))</f>
        <v/>
      </c>
      <c r="F758" s="144" t="str">
        <f t="array" ref="F758">INDEX('MTA 28-09'!I:I,MATCH(B758,'MTA 28-09'!A:A,0))</f>
        <v/>
      </c>
      <c r="G758" s="100" t="str">
        <f t="array" ref="G758">INDEX('MTA 28-09'!J:J,MATCH(B758,'MTA 28-09'!A:A,0))</f>
        <v/>
      </c>
      <c r="H758" s="159" t="s">
        <v>157</v>
      </c>
      <c r="I758" s="296"/>
      <c r="J758" s="102"/>
      <c r="K758" s="103"/>
      <c r="L758" s="102" t="str">
        <f t="array" ref="L758">INDEX('MTA 28-09'!S:S,MATCH(B758,'MTA 28-09'!A:A,0))</f>
        <v>C-97</v>
      </c>
      <c r="M758" s="98" t="str">
        <f t="array" ref="M758">INDEX('MTA 28-09'!T:T,MATCH(B758,'MTA 28-09'!A:A,0))</f>
        <v>2025-BABR-09</v>
      </c>
      <c r="N758" s="98" t="str">
        <f t="array" ref="N758">INDEX('MTA 28-09'!U:U,MATCH(B758,'MTA 28-09'!A:A,0))</f>
        <v>PN PWC38077 - PULLER, ALTERNATOR DRIVE OIL SEAL</v>
      </c>
      <c r="O758" s="104">
        <f t="array" ref="O758">INDEX('MTA 28-09'!AC:AC,MATCH(B758,'MTA 28-09'!A:A,0))</f>
        <v>5379.78</v>
      </c>
      <c r="P758" s="98" t="str">
        <f t="array" ref="P758">INDEX('MTA 28-09'!N:N,MATCH(B758,'MTA 28-09'!A:A,0))</f>
        <v>CABW</v>
      </c>
      <c r="Q758" s="105" t="str">
        <f t="array" ref="Q758">INDEX('MTA 28-09'!Z:Z,MATCH(B758,'MTA 28-09'!A:A,0))</f>
        <v>449052</v>
      </c>
      <c r="R758" s="98" t="str">
        <f t="array" ref="R758">INDEX('MTA 28-09'!L:L,MATCH(B758,'MTA 28-09'!A:A,0))</f>
        <v>C</v>
      </c>
      <c r="S758" s="107" t="str">
        <f t="array" ref="S758">INDEX('MTA 28-09'!X:X,MATCH(B758,'MTA 28-09'!A:A,0))</f>
        <v>REQUISIÇÃO</v>
      </c>
      <c r="T758" s="107" t="str">
        <f t="array" ref="T758">INDEX('MTA 28-09'!W:W,MATCH(B758,'MTA 28-09'!A:A,0))</f>
        <v>Não</v>
      </c>
      <c r="U758" s="109">
        <f t="array" ref="U758">INDEX('MTA 28-09'!AE:AE,MATCH(B758,'MTA 28-09'!A:A,0))</f>
        <v>46168</v>
      </c>
      <c r="V758" s="29"/>
      <c r="W758" s="29"/>
      <c r="X758" s="29"/>
      <c r="Y758" s="29"/>
      <c r="Z758" s="29"/>
      <c r="AA758" s="29"/>
      <c r="AB758" s="29"/>
      <c r="AC758" s="29"/>
      <c r="AD758" s="29"/>
      <c r="AE758" s="29"/>
      <c r="AF758" s="29"/>
      <c r="AG758" s="29"/>
      <c r="AH758" s="29"/>
      <c r="AI758" s="29"/>
      <c r="AJ758" s="29"/>
      <c r="AK758" s="29"/>
      <c r="AL758" s="29"/>
      <c r="AM758" s="29"/>
    </row>
    <row r="759">
      <c r="A759" s="31" t="s">
        <v>44</v>
      </c>
      <c r="B759" s="32">
        <v>22600.0</v>
      </c>
      <c r="C759" s="33" t="str">
        <f t="array" ref="C759">INDEX('MTA 28-09'!B:B,MATCH(B759,'MTA 28-09'!A:A,0))</f>
        <v>NÃO</v>
      </c>
      <c r="D759" s="34" t="str">
        <f t="array" ref="D759">INDEX('MTA 28-09'!D:D,MATCH(B759,'MTA 28-09'!A:A,0))</f>
        <v/>
      </c>
      <c r="E759" s="32" t="str">
        <f t="array" ref="E759">INDEX('MTA 28-09'!F:F,MATCH(B759,'MTA 28-09'!A:A,0))</f>
        <v/>
      </c>
      <c r="F759" s="137" t="str">
        <f t="array" ref="F759">INDEX('MTA 28-09'!I:I,MATCH(B759,'MTA 28-09'!A:A,0))</f>
        <v/>
      </c>
      <c r="G759" s="36" t="str">
        <f t="array" ref="G759">INDEX('MTA 28-09'!J:J,MATCH(B759,'MTA 28-09'!A:A,0))</f>
        <v/>
      </c>
      <c r="H759" s="287" t="s">
        <v>157</v>
      </c>
      <c r="I759" s="295"/>
      <c r="J759" s="39"/>
      <c r="K759" s="40"/>
      <c r="L759" s="39" t="str">
        <f t="array" ref="L759">INDEX('MTA 28-09'!S:S,MATCH(B759,'MTA 28-09'!A:A,0))</f>
        <v>C-97</v>
      </c>
      <c r="M759" s="32" t="str">
        <f t="array" ref="M759">INDEX('MTA 28-09'!T:T,MATCH(B759,'MTA 28-09'!A:A,0))</f>
        <v>2025-BABR-14</v>
      </c>
      <c r="N759" s="32" t="str">
        <f t="array" ref="N759">INDEX('MTA 28-09'!U:U,MATCH(B759,'MTA 28-09'!A:A,0))</f>
        <v>PN PRO3600 - PROTRACTOR,DIGITAL</v>
      </c>
      <c r="O759" s="59">
        <f t="array" ref="O759">INDEX('MTA 28-09'!AC:AC,MATCH(B759,'MTA 28-09'!A:A,0))</f>
        <v>2566.77</v>
      </c>
      <c r="P759" s="32" t="str">
        <f t="array" ref="P759">INDEX('MTA 28-09'!N:N,MATCH(B759,'MTA 28-09'!A:A,0))</f>
        <v>FMS</v>
      </c>
      <c r="Q759" s="67" t="str">
        <f t="array" ref="Q759">INDEX('MTA 28-09'!Z:Z,MATCH(B759,'MTA 28-09'!A:A,0))</f>
        <v>449052</v>
      </c>
      <c r="R759" s="32" t="str">
        <f t="array" ref="R759">INDEX('MTA 28-09'!L:L,MATCH(B759,'MTA 28-09'!A:A,0))</f>
        <v>C</v>
      </c>
      <c r="S759" s="72" t="str">
        <f t="array" ref="S759">INDEX('MTA 28-09'!X:X,MATCH(B759,'MTA 28-09'!A:A,0))</f>
        <v>REQUISIÇÃO</v>
      </c>
      <c r="T759" s="72" t="str">
        <f t="array" ref="T759">INDEX('MTA 28-09'!W:W,MATCH(B759,'MTA 28-09'!A:A,0))</f>
        <v>Não</v>
      </c>
      <c r="U759" s="81">
        <f t="array" ref="U759">INDEX('MTA 28-09'!AE:AE,MATCH(B759,'MTA 28-09'!A:A,0))</f>
        <v>46168</v>
      </c>
      <c r="V759" s="12"/>
      <c r="W759" s="12"/>
      <c r="X759" s="12"/>
      <c r="Y759" s="12"/>
      <c r="Z759" s="12"/>
      <c r="AA759" s="12"/>
      <c r="AB759" s="12"/>
      <c r="AC759" s="12"/>
      <c r="AD759" s="12"/>
      <c r="AE759" s="12"/>
      <c r="AF759" s="12"/>
      <c r="AG759" s="12"/>
      <c r="AH759" s="12"/>
      <c r="AI759" s="12"/>
      <c r="AJ759" s="12"/>
      <c r="AK759" s="12"/>
      <c r="AL759" s="12"/>
      <c r="AM759" s="12"/>
    </row>
    <row r="760">
      <c r="A760" s="88" t="s">
        <v>44</v>
      </c>
      <c r="B760" s="98">
        <v>22620.0</v>
      </c>
      <c r="C760" s="92" t="str">
        <f t="array" ref="C760">INDEX('MTA 28-09'!B:B,MATCH(B760,'MTA 28-09'!A:A,0))</f>
        <v>NÃO</v>
      </c>
      <c r="D760" s="95" t="str">
        <f t="array" ref="D760">INDEX('MTA 28-09'!D:D,MATCH(B760,'MTA 28-09'!A:A,0))</f>
        <v/>
      </c>
      <c r="E760" s="98" t="str">
        <f t="array" ref="E760">INDEX('MTA 28-09'!F:F,MATCH(B760,'MTA 28-09'!A:A,0))</f>
        <v/>
      </c>
      <c r="F760" s="144" t="str">
        <f t="array" ref="F760">INDEX('MTA 28-09'!I:I,MATCH(B760,'MTA 28-09'!A:A,0))</f>
        <v/>
      </c>
      <c r="G760" s="100" t="str">
        <f t="array" ref="G760">INDEX('MTA 28-09'!J:J,MATCH(B760,'MTA 28-09'!A:A,0))</f>
        <v/>
      </c>
      <c r="H760" s="159" t="s">
        <v>157</v>
      </c>
      <c r="I760" s="296"/>
      <c r="J760" s="102"/>
      <c r="K760" s="103"/>
      <c r="L760" s="102" t="str">
        <f t="array" ref="L760">INDEX('MTA 28-09'!S:S,MATCH(B760,'MTA 28-09'!A:A,0))</f>
        <v>C-97</v>
      </c>
      <c r="M760" s="98" t="str">
        <f t="array" ref="M760">INDEX('MTA 28-09'!T:T,MATCH(B760,'MTA 28-09'!A:A,0))</f>
        <v>2025-BABR-29</v>
      </c>
      <c r="N760" s="98" t="str">
        <f t="array" ref="N760">INDEX('MTA 28-09'!U:U,MATCH(B760,'MTA 28-09'!A:A,0))</f>
        <v>PN 7019B - SUPORTE MAGNÉTICO P/ RELÓGIO COMPARADOR</v>
      </c>
      <c r="O760" s="104">
        <f t="array" ref="O760">INDEX('MTA 28-09'!AC:AC,MATCH(B760,'MTA 28-09'!A:A,0))</f>
        <v>2940.42</v>
      </c>
      <c r="P760" s="98" t="str">
        <f t="array" ref="P760">INDEX('MTA 28-09'!N:N,MATCH(B760,'MTA 28-09'!A:A,0))</f>
        <v>CELOG</v>
      </c>
      <c r="Q760" s="105" t="str">
        <f t="array" ref="Q760">INDEX('MTA 28-09'!Z:Z,MATCH(B760,'MTA 28-09'!A:A,0))</f>
        <v>449052</v>
      </c>
      <c r="R760" s="98" t="str">
        <f t="array" ref="R760">INDEX('MTA 28-09'!L:L,MATCH(B760,'MTA 28-09'!A:A,0))</f>
        <v>C</v>
      </c>
      <c r="S760" s="107" t="str">
        <f t="array" ref="S760">INDEX('MTA 28-09'!X:X,MATCH(B760,'MTA 28-09'!A:A,0))</f>
        <v>REQUISIÇÃO</v>
      </c>
      <c r="T760" s="107" t="str">
        <f t="array" ref="T760">INDEX('MTA 28-09'!W:W,MATCH(B760,'MTA 28-09'!A:A,0))</f>
        <v>Não</v>
      </c>
      <c r="U760" s="109">
        <f t="array" ref="U760">INDEX('MTA 28-09'!AE:AE,MATCH(B760,'MTA 28-09'!A:A,0))</f>
        <v>46168</v>
      </c>
      <c r="V760" s="29"/>
      <c r="W760" s="29"/>
      <c r="X760" s="29"/>
      <c r="Y760" s="29"/>
      <c r="Z760" s="29"/>
      <c r="AA760" s="29"/>
      <c r="AB760" s="29"/>
      <c r="AC760" s="29"/>
      <c r="AD760" s="29"/>
      <c r="AE760" s="29"/>
      <c r="AF760" s="29"/>
      <c r="AG760" s="29"/>
      <c r="AH760" s="29"/>
      <c r="AI760" s="29"/>
      <c r="AJ760" s="29"/>
      <c r="AK760" s="29"/>
      <c r="AL760" s="29"/>
      <c r="AM760" s="29"/>
    </row>
    <row r="761">
      <c r="A761" s="31" t="s">
        <v>44</v>
      </c>
      <c r="B761" s="32">
        <v>22640.0</v>
      </c>
      <c r="C761" s="33" t="str">
        <f t="array" ref="C761">INDEX('MTA 28-09'!B:B,MATCH(B761,'MTA 28-09'!A:A,0))</f>
        <v>NÃO</v>
      </c>
      <c r="D761" s="34" t="str">
        <f t="array" ref="D761">INDEX('MTA 28-09'!D:D,MATCH(B761,'MTA 28-09'!A:A,0))</f>
        <v/>
      </c>
      <c r="E761" s="32" t="str">
        <f t="array" ref="E761">INDEX('MTA 28-09'!F:F,MATCH(B761,'MTA 28-09'!A:A,0))</f>
        <v/>
      </c>
      <c r="F761" s="137" t="str">
        <f t="array" ref="F761">INDEX('MTA 28-09'!I:I,MATCH(B761,'MTA 28-09'!A:A,0))</f>
        <v/>
      </c>
      <c r="G761" s="36" t="str">
        <f t="array" ref="G761">INDEX('MTA 28-09'!J:J,MATCH(B761,'MTA 28-09'!A:A,0))</f>
        <v/>
      </c>
      <c r="H761" s="287" t="s">
        <v>157</v>
      </c>
      <c r="I761" s="295"/>
      <c r="J761" s="39"/>
      <c r="K761" s="40"/>
      <c r="L761" s="39" t="str">
        <f t="array" ref="L761">INDEX('MTA 28-09'!S:S,MATCH(B761,'MTA 28-09'!A:A,0))</f>
        <v>C-97</v>
      </c>
      <c r="M761" s="32" t="str">
        <f t="array" ref="M761">INDEX('MTA 28-09'!T:T,MATCH(B761,'MTA 28-09'!A:A,0))</f>
        <v>2025-BABR-30</v>
      </c>
      <c r="N761" s="32" t="str">
        <f t="array" ref="N761">INDEX('MTA 28-09'!U:U,MATCH(B761,'MTA 28-09'!A:A,0))</f>
        <v>PN GS18298-1 - BALANCER,WHEEL,NONELECTRIC</v>
      </c>
      <c r="O761" s="59">
        <f t="array" ref="O761">INDEX('MTA 28-09'!AC:AC,MATCH(B761,'MTA 28-09'!A:A,0))</f>
        <v>13206.42</v>
      </c>
      <c r="P761" s="32" t="str">
        <f t="array" ref="P761">INDEX('MTA 28-09'!N:N,MATCH(B761,'MTA 28-09'!A:A,0))</f>
        <v>CABW</v>
      </c>
      <c r="Q761" s="67" t="str">
        <f t="array" ref="Q761">INDEX('MTA 28-09'!Z:Z,MATCH(B761,'MTA 28-09'!A:A,0))</f>
        <v>449052</v>
      </c>
      <c r="R761" s="32" t="str">
        <f t="array" ref="R761">INDEX('MTA 28-09'!L:L,MATCH(B761,'MTA 28-09'!A:A,0))</f>
        <v>C</v>
      </c>
      <c r="S761" s="72" t="str">
        <f t="array" ref="S761">INDEX('MTA 28-09'!X:X,MATCH(B761,'MTA 28-09'!A:A,0))</f>
        <v>REQUISIÇÃO</v>
      </c>
      <c r="T761" s="72" t="str">
        <f t="array" ref="T761">INDEX('MTA 28-09'!W:W,MATCH(B761,'MTA 28-09'!A:A,0))</f>
        <v>Não</v>
      </c>
      <c r="U761" s="81">
        <f t="array" ref="U761">INDEX('MTA 28-09'!AE:AE,MATCH(B761,'MTA 28-09'!A:A,0))</f>
        <v>46168</v>
      </c>
      <c r="V761" s="12"/>
      <c r="W761" s="12"/>
      <c r="X761" s="12"/>
      <c r="Y761" s="12"/>
      <c r="Z761" s="12"/>
      <c r="AA761" s="12"/>
      <c r="AB761" s="12"/>
      <c r="AC761" s="12"/>
      <c r="AD761" s="12"/>
      <c r="AE761" s="12"/>
      <c r="AF761" s="12"/>
      <c r="AG761" s="12"/>
      <c r="AH761" s="12"/>
      <c r="AI761" s="12"/>
      <c r="AJ761" s="12"/>
      <c r="AK761" s="12"/>
      <c r="AL761" s="12"/>
      <c r="AM761" s="12"/>
    </row>
    <row r="762">
      <c r="A762" s="88" t="s">
        <v>44</v>
      </c>
      <c r="B762" s="98">
        <v>22660.0</v>
      </c>
      <c r="C762" s="92" t="str">
        <f t="array" ref="C762">INDEX('MTA 28-09'!B:B,MATCH(B762,'MTA 28-09'!A:A,0))</f>
        <v>NÃO</v>
      </c>
      <c r="D762" s="95" t="str">
        <f t="array" ref="D762">INDEX('MTA 28-09'!D:D,MATCH(B762,'MTA 28-09'!A:A,0))</f>
        <v/>
      </c>
      <c r="E762" s="98" t="str">
        <f t="array" ref="E762">INDEX('MTA 28-09'!F:F,MATCH(B762,'MTA 28-09'!A:A,0))</f>
        <v/>
      </c>
      <c r="F762" s="144" t="str">
        <f t="array" ref="F762">INDEX('MTA 28-09'!I:I,MATCH(B762,'MTA 28-09'!A:A,0))</f>
        <v/>
      </c>
      <c r="G762" s="100" t="str">
        <f t="array" ref="G762">INDEX('MTA 28-09'!J:J,MATCH(B762,'MTA 28-09'!A:A,0))</f>
        <v/>
      </c>
      <c r="H762" s="159" t="s">
        <v>157</v>
      </c>
      <c r="I762" s="296"/>
      <c r="J762" s="102"/>
      <c r="K762" s="103"/>
      <c r="L762" s="102" t="str">
        <f t="array" ref="L762">INDEX('MTA 28-09'!S:S,MATCH(B762,'MTA 28-09'!A:A,0))</f>
        <v>C-97</v>
      </c>
      <c r="M762" s="98" t="str">
        <f t="array" ref="M762">INDEX('MTA 28-09'!T:T,MATCH(B762,'MTA 28-09'!A:A,0))</f>
        <v>2025-BABR-31</v>
      </c>
      <c r="N762" s="98" t="str">
        <f t="array" ref="N762">INDEX('MTA 28-09'!U:U,MATCH(B762,'MTA 28-09'!A:A,0))</f>
        <v>PN DM-365XA - ULTRAVIOLET METER</v>
      </c>
      <c r="O762" s="104">
        <f t="array" ref="O762">INDEX('MTA 28-09'!AC:AC,MATCH(B762,'MTA 28-09'!A:A,0))</f>
        <v>9688.2</v>
      </c>
      <c r="P762" s="98" t="str">
        <f t="array" ref="P762">INDEX('MTA 28-09'!N:N,MATCH(B762,'MTA 28-09'!A:A,0))</f>
        <v>CABW</v>
      </c>
      <c r="Q762" s="105" t="str">
        <f t="array" ref="Q762">INDEX('MTA 28-09'!Z:Z,MATCH(B762,'MTA 28-09'!A:A,0))</f>
        <v>449052</v>
      </c>
      <c r="R762" s="98" t="str">
        <f t="array" ref="R762">INDEX('MTA 28-09'!L:L,MATCH(B762,'MTA 28-09'!A:A,0))</f>
        <v>C</v>
      </c>
      <c r="S762" s="107" t="str">
        <f t="array" ref="S762">INDEX('MTA 28-09'!X:X,MATCH(B762,'MTA 28-09'!A:A,0))</f>
        <v>REQUISIÇÃO</v>
      </c>
      <c r="T762" s="107" t="str">
        <f t="array" ref="T762">INDEX('MTA 28-09'!W:W,MATCH(B762,'MTA 28-09'!A:A,0))</f>
        <v>Não</v>
      </c>
      <c r="U762" s="109">
        <f t="array" ref="U762">INDEX('MTA 28-09'!AE:AE,MATCH(B762,'MTA 28-09'!A:A,0))</f>
        <v>46168</v>
      </c>
      <c r="V762" s="29"/>
      <c r="W762" s="29"/>
      <c r="X762" s="29"/>
      <c r="Y762" s="29"/>
      <c r="Z762" s="29"/>
      <c r="AA762" s="29"/>
      <c r="AB762" s="29"/>
      <c r="AC762" s="29"/>
      <c r="AD762" s="29"/>
      <c r="AE762" s="29"/>
      <c r="AF762" s="29"/>
      <c r="AG762" s="29"/>
      <c r="AH762" s="29"/>
      <c r="AI762" s="29"/>
      <c r="AJ762" s="29"/>
      <c r="AK762" s="29"/>
      <c r="AL762" s="29"/>
      <c r="AM762" s="29"/>
    </row>
    <row r="763">
      <c r="A763" s="31" t="s">
        <v>44</v>
      </c>
      <c r="B763" s="32">
        <v>22680.0</v>
      </c>
      <c r="C763" s="33" t="str">
        <f t="array" ref="C763">INDEX('MTA 28-09'!B:B,MATCH(B763,'MTA 28-09'!A:A,0))</f>
        <v>NÃO</v>
      </c>
      <c r="D763" s="34" t="str">
        <f t="array" ref="D763">INDEX('MTA 28-09'!D:D,MATCH(B763,'MTA 28-09'!A:A,0))</f>
        <v/>
      </c>
      <c r="E763" s="32" t="str">
        <f t="array" ref="E763">INDEX('MTA 28-09'!F:F,MATCH(B763,'MTA 28-09'!A:A,0))</f>
        <v/>
      </c>
      <c r="F763" s="137" t="str">
        <f t="array" ref="F763">INDEX('MTA 28-09'!I:I,MATCH(B763,'MTA 28-09'!A:A,0))</f>
        <v/>
      </c>
      <c r="G763" s="36" t="str">
        <f t="array" ref="G763">INDEX('MTA 28-09'!J:J,MATCH(B763,'MTA 28-09'!A:A,0))</f>
        <v/>
      </c>
      <c r="H763" s="287" t="s">
        <v>157</v>
      </c>
      <c r="I763" s="295"/>
      <c r="J763" s="39"/>
      <c r="K763" s="40"/>
      <c r="L763" s="39" t="str">
        <f t="array" ref="L763">INDEX('MTA 28-09'!S:S,MATCH(B763,'MTA 28-09'!A:A,0))</f>
        <v>C-97</v>
      </c>
      <c r="M763" s="32" t="str">
        <f t="array" ref="M763">INDEX('MTA 28-09'!T:T,MATCH(B763,'MTA 28-09'!A:A,0))</f>
        <v>2025-BACO-02</v>
      </c>
      <c r="N763" s="32" t="str">
        <f t="array" ref="N763">INDEX('MTA 28-09'!U:U,MATCH(B763,'MTA 28-09'!A:A,0))</f>
        <v>PN EMB-00005-001 - DISPOSITIVO, IÇAMENTO DO MOTOR COMPLETO</v>
      </c>
      <c r="O763" s="59">
        <f t="array" ref="O763">INDEX('MTA 28-09'!AC:AC,MATCH(B763,'MTA 28-09'!A:A,0))</f>
        <v>14599.08</v>
      </c>
      <c r="P763" s="32" t="str">
        <f t="array" ref="P763">INDEX('MTA 28-09'!N:N,MATCH(B763,'MTA 28-09'!A:A,0))</f>
        <v>CELOG</v>
      </c>
      <c r="Q763" s="67" t="str">
        <f t="array" ref="Q763">INDEX('MTA 28-09'!Z:Z,MATCH(B763,'MTA 28-09'!A:A,0))</f>
        <v>449052</v>
      </c>
      <c r="R763" s="32" t="str">
        <f t="array" ref="R763">INDEX('MTA 28-09'!L:L,MATCH(B763,'MTA 28-09'!A:A,0))</f>
        <v>C</v>
      </c>
      <c r="S763" s="72" t="str">
        <f t="array" ref="S763">INDEX('MTA 28-09'!X:X,MATCH(B763,'MTA 28-09'!A:A,0))</f>
        <v>REQUISIÇÃO</v>
      </c>
      <c r="T763" s="72" t="str">
        <f t="array" ref="T763">INDEX('MTA 28-09'!W:W,MATCH(B763,'MTA 28-09'!A:A,0))</f>
        <v>Não</v>
      </c>
      <c r="U763" s="81">
        <f t="array" ref="U763">INDEX('MTA 28-09'!AE:AE,MATCH(B763,'MTA 28-09'!A:A,0))</f>
        <v>46168</v>
      </c>
      <c r="V763" s="12"/>
      <c r="W763" s="12"/>
      <c r="X763" s="12"/>
      <c r="Y763" s="12"/>
      <c r="Z763" s="12"/>
      <c r="AA763" s="12"/>
      <c r="AB763" s="12"/>
      <c r="AC763" s="12"/>
      <c r="AD763" s="12"/>
      <c r="AE763" s="12"/>
      <c r="AF763" s="12"/>
      <c r="AG763" s="12"/>
      <c r="AH763" s="12"/>
      <c r="AI763" s="12"/>
      <c r="AJ763" s="12"/>
      <c r="AK763" s="12"/>
      <c r="AL763" s="12"/>
      <c r="AM763" s="12"/>
    </row>
    <row r="764">
      <c r="A764" s="88" t="s">
        <v>44</v>
      </c>
      <c r="B764" s="98">
        <v>22700.0</v>
      </c>
      <c r="C764" s="92" t="str">
        <f t="array" ref="C764">INDEX('MTA 28-09'!B:B,MATCH(B764,'MTA 28-09'!A:A,0))</f>
        <v>NÃO</v>
      </c>
      <c r="D764" s="95" t="str">
        <f t="array" ref="D764">INDEX('MTA 28-09'!D:D,MATCH(B764,'MTA 28-09'!A:A,0))</f>
        <v/>
      </c>
      <c r="E764" s="98" t="str">
        <f t="array" ref="E764">INDEX('MTA 28-09'!F:F,MATCH(B764,'MTA 28-09'!A:A,0))</f>
        <v/>
      </c>
      <c r="F764" s="144" t="str">
        <f t="array" ref="F764">INDEX('MTA 28-09'!I:I,MATCH(B764,'MTA 28-09'!A:A,0))</f>
        <v/>
      </c>
      <c r="G764" s="100" t="str">
        <f t="array" ref="G764">INDEX('MTA 28-09'!J:J,MATCH(B764,'MTA 28-09'!A:A,0))</f>
        <v/>
      </c>
      <c r="H764" s="159" t="s">
        <v>157</v>
      </c>
      <c r="I764" s="296"/>
      <c r="J764" s="102"/>
      <c r="K764" s="103"/>
      <c r="L764" s="102" t="str">
        <f t="array" ref="L764">INDEX('MTA 28-09'!S:S,MATCH(B764,'MTA 28-09'!A:A,0))</f>
        <v>C-97</v>
      </c>
      <c r="M764" s="98" t="str">
        <f t="array" ref="M764">INDEX('MTA 28-09'!T:T,MATCH(B764,'MTA 28-09'!A:A,0))</f>
        <v>2025-BACO-04</v>
      </c>
      <c r="N764" s="98" t="str">
        <f t="array" ref="N764">INDEX('MTA 28-09'!U:U,MATCH(B764,'MTA 28-09'!A:A,0))</f>
        <v>PN 10-6402-0010 - LAVATORY SERVICE UNIT</v>
      </c>
      <c r="O764" s="104">
        <f t="array" ref="O764">INDEX('MTA 28-09'!AC:AC,MATCH(B764,'MTA 28-09'!A:A,0))</f>
        <v>45377.15</v>
      </c>
      <c r="P764" s="98" t="str">
        <f t="array" ref="P764">INDEX('MTA 28-09'!N:N,MATCH(B764,'MTA 28-09'!A:A,0))</f>
        <v>CABW</v>
      </c>
      <c r="Q764" s="105" t="str">
        <f t="array" ref="Q764">INDEX('MTA 28-09'!Z:Z,MATCH(B764,'MTA 28-09'!A:A,0))</f>
        <v>449052</v>
      </c>
      <c r="R764" s="98" t="str">
        <f t="array" ref="R764">INDEX('MTA 28-09'!L:L,MATCH(B764,'MTA 28-09'!A:A,0))</f>
        <v>C</v>
      </c>
      <c r="S764" s="107" t="str">
        <f t="array" ref="S764">INDEX('MTA 28-09'!X:X,MATCH(B764,'MTA 28-09'!A:A,0))</f>
        <v>REQUISIÇÃO</v>
      </c>
      <c r="T764" s="107" t="str">
        <f t="array" ref="T764">INDEX('MTA 28-09'!W:W,MATCH(B764,'MTA 28-09'!A:A,0))</f>
        <v>Não</v>
      </c>
      <c r="U764" s="109">
        <f t="array" ref="U764">INDEX('MTA 28-09'!AE:AE,MATCH(B764,'MTA 28-09'!A:A,0))</f>
        <v>46168</v>
      </c>
      <c r="V764" s="29"/>
      <c r="W764" s="29"/>
      <c r="X764" s="29"/>
      <c r="Y764" s="29"/>
      <c r="Z764" s="29"/>
      <c r="AA764" s="29"/>
      <c r="AB764" s="29"/>
      <c r="AC764" s="29"/>
      <c r="AD764" s="29"/>
      <c r="AE764" s="29"/>
      <c r="AF764" s="29"/>
      <c r="AG764" s="29"/>
      <c r="AH764" s="29"/>
      <c r="AI764" s="29"/>
      <c r="AJ764" s="29"/>
      <c r="AK764" s="29"/>
      <c r="AL764" s="29"/>
      <c r="AM764" s="29"/>
    </row>
    <row r="765">
      <c r="A765" s="31" t="s">
        <v>44</v>
      </c>
      <c r="B765" s="32">
        <v>22720.0</v>
      </c>
      <c r="C765" s="33" t="str">
        <f t="array" ref="C765">INDEX('MTA 28-09'!B:B,MATCH(B765,'MTA 28-09'!A:A,0))</f>
        <v>NÃO</v>
      </c>
      <c r="D765" s="34" t="str">
        <f t="array" ref="D765">INDEX('MTA 28-09'!D:D,MATCH(B765,'MTA 28-09'!A:A,0))</f>
        <v/>
      </c>
      <c r="E765" s="32" t="str">
        <f t="array" ref="E765">INDEX('MTA 28-09'!F:F,MATCH(B765,'MTA 28-09'!A:A,0))</f>
        <v/>
      </c>
      <c r="F765" s="155" t="str">
        <f t="array" ref="F765">INDEX('MTA 28-09'!I:I,MATCH(B765,'MTA 28-09'!A:A,0))</f>
        <v/>
      </c>
      <c r="G765" s="36" t="str">
        <f t="array" ref="G765">INDEX('MTA 28-09'!J:J,MATCH(B765,'MTA 28-09'!A:A,0))</f>
        <v/>
      </c>
      <c r="H765" s="287" t="s">
        <v>157</v>
      </c>
      <c r="I765" s="295"/>
      <c r="J765" s="39"/>
      <c r="K765" s="40"/>
      <c r="L765" s="39" t="str">
        <f t="array" ref="L765">INDEX('MTA 28-09'!S:S,MATCH(B765,'MTA 28-09'!A:A,0))</f>
        <v>C-97</v>
      </c>
      <c r="M765" s="32" t="str">
        <f t="array" ref="M765">INDEX('MTA 28-09'!T:T,MATCH(B765,'MTA 28-09'!A:A,0))</f>
        <v>2025-BAGL-02</v>
      </c>
      <c r="N765" s="32" t="str">
        <f t="array" ref="N765">INDEX('MTA 28-09'!U:U,MATCH(B765,'MTA 28-09'!A:A,0))</f>
        <v>PN OU-50482 - SPRING BOX RESTRAINING DEVICE</v>
      </c>
      <c r="O765" s="59">
        <f t="array" ref="O765">INDEX('MTA 28-09'!AC:AC,MATCH(B765,'MTA 28-09'!A:A,0))</f>
        <v>12721.42</v>
      </c>
      <c r="P765" s="32" t="str">
        <f t="array" ref="P765">INDEX('MTA 28-09'!N:N,MATCH(B765,'MTA 28-09'!A:A,0))</f>
        <v>CABE</v>
      </c>
      <c r="Q765" s="67" t="str">
        <f t="array" ref="Q765">INDEX('MTA 28-09'!Z:Z,MATCH(B765,'MTA 28-09'!A:A,0))</f>
        <v>449052</v>
      </c>
      <c r="R765" s="32" t="str">
        <f t="array" ref="R765">INDEX('MTA 28-09'!L:L,MATCH(B765,'MTA 28-09'!A:A,0))</f>
        <v>C</v>
      </c>
      <c r="S765" s="72" t="str">
        <f t="array" ref="S765">INDEX('MTA 28-09'!X:X,MATCH(B765,'MTA 28-09'!A:A,0))</f>
        <v>REQUISIÇÃO</v>
      </c>
      <c r="T765" s="72" t="str">
        <f t="array" ref="T765">INDEX('MTA 28-09'!W:W,MATCH(B765,'MTA 28-09'!A:A,0))</f>
        <v>Não</v>
      </c>
      <c r="U765" s="81">
        <f t="array" ref="U765">INDEX('MTA 28-09'!AE:AE,MATCH(B765,'MTA 28-09'!A:A,0))</f>
        <v>46168</v>
      </c>
      <c r="V765" s="12"/>
      <c r="W765" s="12"/>
      <c r="X765" s="12"/>
      <c r="Y765" s="12"/>
      <c r="Z765" s="12"/>
      <c r="AA765" s="12"/>
      <c r="AB765" s="12"/>
      <c r="AC765" s="12"/>
      <c r="AD765" s="12"/>
      <c r="AE765" s="12"/>
      <c r="AF765" s="12"/>
      <c r="AG765" s="12"/>
      <c r="AH765" s="12"/>
      <c r="AI765" s="12"/>
      <c r="AJ765" s="12"/>
      <c r="AK765" s="12"/>
      <c r="AL765" s="12"/>
      <c r="AM765" s="12"/>
    </row>
    <row r="766">
      <c r="A766" s="88" t="s">
        <v>44</v>
      </c>
      <c r="B766" s="98">
        <v>22740.0</v>
      </c>
      <c r="C766" s="92" t="str">
        <f t="array" ref="C766">INDEX('MTA 28-09'!B:B,MATCH(B766,'MTA 28-09'!A:A,0))</f>
        <v>NÃO</v>
      </c>
      <c r="D766" s="95" t="str">
        <f t="array" ref="D766">INDEX('MTA 28-09'!D:D,MATCH(B766,'MTA 28-09'!A:A,0))</f>
        <v/>
      </c>
      <c r="E766" s="98" t="str">
        <f t="array" ref="E766">INDEX('MTA 28-09'!F:F,MATCH(B766,'MTA 28-09'!A:A,0))</f>
        <v/>
      </c>
      <c r="F766" s="144" t="str">
        <f t="array" ref="F766">INDEX('MTA 28-09'!I:I,MATCH(B766,'MTA 28-09'!A:A,0))</f>
        <v/>
      </c>
      <c r="G766" s="100" t="str">
        <f t="array" ref="G766">INDEX('MTA 28-09'!J:J,MATCH(B766,'MTA 28-09'!A:A,0))</f>
        <v/>
      </c>
      <c r="H766" s="159" t="s">
        <v>157</v>
      </c>
      <c r="I766" s="296"/>
      <c r="J766" s="102"/>
      <c r="K766" s="103"/>
      <c r="L766" s="102" t="str">
        <f t="array" ref="L766">INDEX('MTA 28-09'!S:S,MATCH(B766,'MTA 28-09'!A:A,0))</f>
        <v>C-97</v>
      </c>
      <c r="M766" s="98" t="str">
        <f t="array" ref="M766">INDEX('MTA 28-09'!T:T,MATCH(B766,'MTA 28-09'!A:A,0))</f>
        <v>2025-BAGL-03</v>
      </c>
      <c r="N766" s="98" t="str">
        <f t="array" ref="N766">INDEX('MTA 28-09'!U:U,MATCH(B766,'MTA 28-09'!A:A,0))</f>
        <v>PN OU-50654 - DISPOSITIVO APOIO-CARTUCHO MOLAS</v>
      </c>
      <c r="O766" s="104">
        <f t="array" ref="O766">INDEX('MTA 28-09'!AC:AC,MATCH(B766,'MTA 28-09'!A:A,0))</f>
        <v>21715.86</v>
      </c>
      <c r="P766" s="98" t="str">
        <f t="array" ref="P766">INDEX('MTA 28-09'!N:N,MATCH(B766,'MTA 28-09'!A:A,0))</f>
        <v>FMS</v>
      </c>
      <c r="Q766" s="105" t="str">
        <f t="array" ref="Q766">INDEX('MTA 28-09'!Z:Z,MATCH(B766,'MTA 28-09'!A:A,0))</f>
        <v>449052</v>
      </c>
      <c r="R766" s="98" t="str">
        <f t="array" ref="R766">INDEX('MTA 28-09'!L:L,MATCH(B766,'MTA 28-09'!A:A,0))</f>
        <v>C</v>
      </c>
      <c r="S766" s="107" t="str">
        <f t="array" ref="S766">INDEX('MTA 28-09'!X:X,MATCH(B766,'MTA 28-09'!A:A,0))</f>
        <v>REQUISIÇÃO</v>
      </c>
      <c r="T766" s="107" t="str">
        <f t="array" ref="T766">INDEX('MTA 28-09'!W:W,MATCH(B766,'MTA 28-09'!A:A,0))</f>
        <v>Não</v>
      </c>
      <c r="U766" s="109">
        <f t="array" ref="U766">INDEX('MTA 28-09'!AE:AE,MATCH(B766,'MTA 28-09'!A:A,0))</f>
        <v>46168</v>
      </c>
      <c r="V766" s="29"/>
      <c r="W766" s="29"/>
      <c r="X766" s="29"/>
      <c r="Y766" s="29"/>
      <c r="Z766" s="29"/>
      <c r="AA766" s="29"/>
      <c r="AB766" s="29"/>
      <c r="AC766" s="29"/>
      <c r="AD766" s="29"/>
      <c r="AE766" s="29"/>
      <c r="AF766" s="29"/>
      <c r="AG766" s="29"/>
      <c r="AH766" s="29"/>
      <c r="AI766" s="29"/>
      <c r="AJ766" s="29"/>
      <c r="AK766" s="29"/>
      <c r="AL766" s="29"/>
      <c r="AM766" s="29"/>
    </row>
    <row r="767">
      <c r="A767" s="31" t="s">
        <v>44</v>
      </c>
      <c r="B767" s="32">
        <v>22760.0</v>
      </c>
      <c r="C767" s="33" t="str">
        <f t="array" ref="C767">INDEX('MTA 28-09'!B:B,MATCH(B767,'MTA 28-09'!A:A,0))</f>
        <v>NÃO</v>
      </c>
      <c r="D767" s="34" t="str">
        <f t="array" ref="D767">INDEX('MTA 28-09'!D:D,MATCH(B767,'MTA 28-09'!A:A,0))</f>
        <v/>
      </c>
      <c r="E767" s="32" t="str">
        <f t="array" ref="E767">INDEX('MTA 28-09'!F:F,MATCH(B767,'MTA 28-09'!A:A,0))</f>
        <v/>
      </c>
      <c r="F767" s="137" t="str">
        <f t="array" ref="F767">INDEX('MTA 28-09'!I:I,MATCH(B767,'MTA 28-09'!A:A,0))</f>
        <v/>
      </c>
      <c r="G767" s="36" t="str">
        <f t="array" ref="G767">INDEX('MTA 28-09'!J:J,MATCH(B767,'MTA 28-09'!A:A,0))</f>
        <v/>
      </c>
      <c r="H767" s="287" t="s">
        <v>157</v>
      </c>
      <c r="I767" s="295"/>
      <c r="J767" s="39"/>
      <c r="K767" s="40"/>
      <c r="L767" s="39" t="str">
        <f t="array" ref="L767">INDEX('MTA 28-09'!S:S,MATCH(B767,'MTA 28-09'!A:A,0))</f>
        <v>C-97</v>
      </c>
      <c r="M767" s="32" t="str">
        <f t="array" ref="M767">INDEX('MTA 28-09'!T:T,MATCH(B767,'MTA 28-09'!A:A,0))</f>
        <v>2025-BAGL-04</v>
      </c>
      <c r="N767" s="32" t="str">
        <f t="array" ref="N767">INDEX('MTA 28-09'!U:U,MATCH(B767,'MTA 28-09'!A:A,0))</f>
        <v>PN EMB-01114-001 - CHAVE DE INSTALAÇÃO/REMOÇÃO DA PORCA MLG</v>
      </c>
      <c r="O767" s="59">
        <f t="array" ref="O767">INDEX('MTA 28-09'!AC:AC,MATCH(B767,'MTA 28-09'!A:A,0))</f>
        <v>6291.52</v>
      </c>
      <c r="P767" s="32" t="str">
        <f t="array" ref="P767">INDEX('MTA 28-09'!N:N,MATCH(B767,'MTA 28-09'!A:A,0))</f>
        <v>FMS</v>
      </c>
      <c r="Q767" s="67" t="str">
        <f t="array" ref="Q767">INDEX('MTA 28-09'!Z:Z,MATCH(B767,'MTA 28-09'!A:A,0))</f>
        <v>449052</v>
      </c>
      <c r="R767" s="32" t="str">
        <f t="array" ref="R767">INDEX('MTA 28-09'!L:L,MATCH(B767,'MTA 28-09'!A:A,0))</f>
        <v>C</v>
      </c>
      <c r="S767" s="72" t="str">
        <f t="array" ref="S767">INDEX('MTA 28-09'!X:X,MATCH(B767,'MTA 28-09'!A:A,0))</f>
        <v>REQUISIÇÃO</v>
      </c>
      <c r="T767" s="72" t="str">
        <f t="array" ref="T767">INDEX('MTA 28-09'!W:W,MATCH(B767,'MTA 28-09'!A:A,0))</f>
        <v>Não</v>
      </c>
      <c r="U767" s="81">
        <f t="array" ref="U767">INDEX('MTA 28-09'!AE:AE,MATCH(B767,'MTA 28-09'!A:A,0))</f>
        <v>46168</v>
      </c>
      <c r="V767" s="12"/>
      <c r="W767" s="12"/>
      <c r="X767" s="12"/>
      <c r="Y767" s="12"/>
      <c r="Z767" s="12"/>
      <c r="AA767" s="12"/>
      <c r="AB767" s="12"/>
      <c r="AC767" s="12"/>
      <c r="AD767" s="12"/>
      <c r="AE767" s="12"/>
      <c r="AF767" s="12"/>
      <c r="AG767" s="12"/>
      <c r="AH767" s="12"/>
      <c r="AI767" s="12"/>
      <c r="AJ767" s="12"/>
      <c r="AK767" s="12"/>
      <c r="AL767" s="12"/>
      <c r="AM767" s="12"/>
    </row>
    <row r="768">
      <c r="A768" s="88" t="s">
        <v>44</v>
      </c>
      <c r="B768" s="98">
        <v>22780.0</v>
      </c>
      <c r="C768" s="92" t="str">
        <f t="array" ref="C768">INDEX('MTA 28-09'!B:B,MATCH(B768,'MTA 28-09'!A:A,0))</f>
        <v>NÃO</v>
      </c>
      <c r="D768" s="95" t="str">
        <f t="array" ref="D768">INDEX('MTA 28-09'!D:D,MATCH(B768,'MTA 28-09'!A:A,0))</f>
        <v/>
      </c>
      <c r="E768" s="98" t="str">
        <f t="array" ref="E768">INDEX('MTA 28-09'!F:F,MATCH(B768,'MTA 28-09'!A:A,0))</f>
        <v/>
      </c>
      <c r="F768" s="144" t="str">
        <f t="array" ref="F768">INDEX('MTA 28-09'!I:I,MATCH(B768,'MTA 28-09'!A:A,0))</f>
        <v/>
      </c>
      <c r="G768" s="100" t="str">
        <f t="array" ref="G768">INDEX('MTA 28-09'!J:J,MATCH(B768,'MTA 28-09'!A:A,0))</f>
        <v/>
      </c>
      <c r="H768" s="159" t="s">
        <v>157</v>
      </c>
      <c r="I768" s="296"/>
      <c r="J768" s="102"/>
      <c r="K768" s="103"/>
      <c r="L768" s="102" t="str">
        <f t="array" ref="L768">INDEX('MTA 28-09'!S:S,MATCH(B768,'MTA 28-09'!A:A,0))</f>
        <v>C-97</v>
      </c>
      <c r="M768" s="98" t="str">
        <f t="array" ref="M768">INDEX('MTA 28-09'!T:T,MATCH(B768,'MTA 28-09'!A:A,0))</f>
        <v>2025-BAGL-05</v>
      </c>
      <c r="N768" s="98" t="str">
        <f t="array" ref="N768">INDEX('MTA 28-09'!U:U,MATCH(B768,'MTA 28-09'!A:A,0))</f>
        <v>PN EMB-00015-016 - DOLLY REMOÇÃO/INSTALAÇÃO DO TREM DE POUSO AUXILIAR</v>
      </c>
      <c r="O768" s="104">
        <f t="array" ref="O768">INDEX('MTA 28-09'!AC:AC,MATCH(B768,'MTA 28-09'!A:A,0))</f>
        <v>16733.95</v>
      </c>
      <c r="P768" s="98" t="str">
        <f t="array" ref="P768">INDEX('MTA 28-09'!N:N,MATCH(B768,'MTA 28-09'!A:A,0))</f>
        <v>FMS</v>
      </c>
      <c r="Q768" s="105" t="str">
        <f t="array" ref="Q768">INDEX('MTA 28-09'!Z:Z,MATCH(B768,'MTA 28-09'!A:A,0))</f>
        <v>449052</v>
      </c>
      <c r="R768" s="98" t="str">
        <f t="array" ref="R768">INDEX('MTA 28-09'!L:L,MATCH(B768,'MTA 28-09'!A:A,0))</f>
        <v>C</v>
      </c>
      <c r="S768" s="107" t="str">
        <f t="array" ref="S768">INDEX('MTA 28-09'!X:X,MATCH(B768,'MTA 28-09'!A:A,0))</f>
        <v>REQUISIÇÃO</v>
      </c>
      <c r="T768" s="107" t="str">
        <f t="array" ref="T768">INDEX('MTA 28-09'!W:W,MATCH(B768,'MTA 28-09'!A:A,0))</f>
        <v>Não</v>
      </c>
      <c r="U768" s="109">
        <f t="array" ref="U768">INDEX('MTA 28-09'!AE:AE,MATCH(B768,'MTA 28-09'!A:A,0))</f>
        <v>46168</v>
      </c>
      <c r="V768" s="29"/>
      <c r="W768" s="29"/>
      <c r="X768" s="29"/>
      <c r="Y768" s="29"/>
      <c r="Z768" s="29"/>
      <c r="AA768" s="29"/>
      <c r="AB768" s="29"/>
      <c r="AC768" s="29"/>
      <c r="AD768" s="29"/>
      <c r="AE768" s="29"/>
      <c r="AF768" s="29"/>
      <c r="AG768" s="29"/>
      <c r="AH768" s="29"/>
      <c r="AI768" s="29"/>
      <c r="AJ768" s="29"/>
      <c r="AK768" s="29"/>
      <c r="AL768" s="29"/>
      <c r="AM768" s="29"/>
    </row>
    <row r="769">
      <c r="A769" s="31" t="s">
        <v>44</v>
      </c>
      <c r="B769" s="32">
        <v>22800.0</v>
      </c>
      <c r="C769" s="33" t="str">
        <f t="array" ref="C769">INDEX('MTA 28-09'!B:B,MATCH(B769,'MTA 28-09'!A:A,0))</f>
        <v>NÃO</v>
      </c>
      <c r="D769" s="34" t="str">
        <f t="array" ref="D769">INDEX('MTA 28-09'!D:D,MATCH(B769,'MTA 28-09'!A:A,0))</f>
        <v/>
      </c>
      <c r="E769" s="32" t="str">
        <f t="array" ref="E769">INDEX('MTA 28-09'!F:F,MATCH(B769,'MTA 28-09'!A:A,0))</f>
        <v/>
      </c>
      <c r="F769" s="137" t="str">
        <f t="array" ref="F769">INDEX('MTA 28-09'!I:I,MATCH(B769,'MTA 28-09'!A:A,0))</f>
        <v/>
      </c>
      <c r="G769" s="36" t="str">
        <f t="array" ref="G769">INDEX('MTA 28-09'!J:J,MATCH(B769,'MTA 28-09'!A:A,0))</f>
        <v/>
      </c>
      <c r="H769" s="287" t="s">
        <v>157</v>
      </c>
      <c r="I769" s="295"/>
      <c r="J769" s="39"/>
      <c r="K769" s="40"/>
      <c r="L769" s="39" t="str">
        <f t="array" ref="L769">INDEX('MTA 28-09'!S:S,MATCH(B769,'MTA 28-09'!A:A,0))</f>
        <v>C-97</v>
      </c>
      <c r="M769" s="32" t="str">
        <f t="array" ref="M769">INDEX('MTA 28-09'!T:T,MATCH(B769,'MTA 28-09'!A:A,0))</f>
        <v>2025-BAGL-06</v>
      </c>
      <c r="N769" s="32" t="str">
        <f t="array" ref="N769">INDEX('MTA 28-09'!U:U,MATCH(B769,'MTA 28-09'!A:A,0))</f>
        <v>PN EMB-00065-002 - FERRAMENTA PARA RETIRADA DA HASTE DE TRAVAMENTO DO TREM DO NARIZ</v>
      </c>
      <c r="O769" s="59">
        <f t="array" ref="O769">INDEX('MTA 28-09'!AC:AC,MATCH(B769,'MTA 28-09'!A:A,0))</f>
        <v>5443.2</v>
      </c>
      <c r="P769" s="32" t="str">
        <f t="array" ref="P769">INDEX('MTA 28-09'!N:N,MATCH(B769,'MTA 28-09'!A:A,0))</f>
        <v>FMS</v>
      </c>
      <c r="Q769" s="67" t="str">
        <f t="array" ref="Q769">INDEX('MTA 28-09'!Z:Z,MATCH(B769,'MTA 28-09'!A:A,0))</f>
        <v>449052</v>
      </c>
      <c r="R769" s="32" t="str">
        <f t="array" ref="R769">INDEX('MTA 28-09'!L:L,MATCH(B769,'MTA 28-09'!A:A,0))</f>
        <v>C</v>
      </c>
      <c r="S769" s="72" t="str">
        <f t="array" ref="S769">INDEX('MTA 28-09'!X:X,MATCH(B769,'MTA 28-09'!A:A,0))</f>
        <v>REQUISIÇÃO</v>
      </c>
      <c r="T769" s="72" t="str">
        <f t="array" ref="T769">INDEX('MTA 28-09'!W:W,MATCH(B769,'MTA 28-09'!A:A,0))</f>
        <v>Não</v>
      </c>
      <c r="U769" s="81">
        <f t="array" ref="U769">INDEX('MTA 28-09'!AE:AE,MATCH(B769,'MTA 28-09'!A:A,0))</f>
        <v>46168</v>
      </c>
      <c r="V769" s="12"/>
      <c r="W769" s="12"/>
      <c r="X769" s="12"/>
      <c r="Y769" s="12"/>
      <c r="Z769" s="12"/>
      <c r="AA769" s="12"/>
      <c r="AB769" s="12"/>
      <c r="AC769" s="12"/>
      <c r="AD769" s="12"/>
      <c r="AE769" s="12"/>
      <c r="AF769" s="12"/>
      <c r="AG769" s="12"/>
      <c r="AH769" s="12"/>
      <c r="AI769" s="12"/>
      <c r="AJ769" s="12"/>
      <c r="AK769" s="12"/>
      <c r="AL769" s="12"/>
      <c r="AM769" s="12"/>
    </row>
    <row r="770">
      <c r="A770" s="88" t="s">
        <v>44</v>
      </c>
      <c r="B770" s="98">
        <v>22820.0</v>
      </c>
      <c r="C770" s="92" t="str">
        <f t="array" ref="C770">INDEX('MTA 28-09'!B:B,MATCH(B770,'MTA 28-09'!A:A,0))</f>
        <v>NÃO</v>
      </c>
      <c r="D770" s="95" t="str">
        <f t="array" ref="D770">INDEX('MTA 28-09'!D:D,MATCH(B770,'MTA 28-09'!A:A,0))</f>
        <v/>
      </c>
      <c r="E770" s="98" t="str">
        <f t="array" ref="E770">INDEX('MTA 28-09'!F:F,MATCH(B770,'MTA 28-09'!A:A,0))</f>
        <v/>
      </c>
      <c r="F770" s="144" t="str">
        <f t="array" ref="F770">INDEX('MTA 28-09'!I:I,MATCH(B770,'MTA 28-09'!A:A,0))</f>
        <v/>
      </c>
      <c r="G770" s="100" t="str">
        <f t="array" ref="G770">INDEX('MTA 28-09'!J:J,MATCH(B770,'MTA 28-09'!A:A,0))</f>
        <v/>
      </c>
      <c r="H770" s="159" t="s">
        <v>157</v>
      </c>
      <c r="I770" s="296"/>
      <c r="J770" s="102"/>
      <c r="K770" s="103"/>
      <c r="L770" s="102" t="str">
        <f t="array" ref="L770">INDEX('MTA 28-09'!S:S,MATCH(B770,'MTA 28-09'!A:A,0))</f>
        <v>C-97</v>
      </c>
      <c r="M770" s="98" t="str">
        <f t="array" ref="M770">INDEX('MTA 28-09'!T:T,MATCH(B770,'MTA 28-09'!A:A,0))</f>
        <v>2025-BAGL-08</v>
      </c>
      <c r="N770" s="98" t="str">
        <f t="array" ref="N770">INDEX('MTA 28-09'!U:U,MATCH(B770,'MTA 28-09'!A:A,0))</f>
        <v>PN EMB-01115-001 - FERRAMENTA ESP</v>
      </c>
      <c r="O770" s="104">
        <f t="array" ref="O770">INDEX('MTA 28-09'!AC:AC,MATCH(B770,'MTA 28-09'!A:A,0))</f>
        <v>2079.96</v>
      </c>
      <c r="P770" s="98" t="str">
        <f t="array" ref="P770">INDEX('MTA 28-09'!N:N,MATCH(B770,'MTA 28-09'!A:A,0))</f>
        <v>FMS</v>
      </c>
      <c r="Q770" s="105" t="str">
        <f t="array" ref="Q770">INDEX('MTA 28-09'!Z:Z,MATCH(B770,'MTA 28-09'!A:A,0))</f>
        <v>449052</v>
      </c>
      <c r="R770" s="98" t="str">
        <f t="array" ref="R770">INDEX('MTA 28-09'!L:L,MATCH(B770,'MTA 28-09'!A:A,0))</f>
        <v>C</v>
      </c>
      <c r="S770" s="107" t="str">
        <f t="array" ref="S770">INDEX('MTA 28-09'!X:X,MATCH(B770,'MTA 28-09'!A:A,0))</f>
        <v>REQUISIÇÃO</v>
      </c>
      <c r="T770" s="107" t="str">
        <f t="array" ref="T770">INDEX('MTA 28-09'!W:W,MATCH(B770,'MTA 28-09'!A:A,0))</f>
        <v>Não</v>
      </c>
      <c r="U770" s="109">
        <f t="array" ref="U770">INDEX('MTA 28-09'!AE:AE,MATCH(B770,'MTA 28-09'!A:A,0))</f>
        <v>46168</v>
      </c>
      <c r="V770" s="29"/>
      <c r="W770" s="29"/>
      <c r="X770" s="29"/>
      <c r="Y770" s="29"/>
      <c r="Z770" s="29"/>
      <c r="AA770" s="29"/>
      <c r="AB770" s="29"/>
      <c r="AC770" s="29"/>
      <c r="AD770" s="29"/>
      <c r="AE770" s="29"/>
      <c r="AF770" s="29"/>
      <c r="AG770" s="29"/>
      <c r="AH770" s="29"/>
      <c r="AI770" s="29"/>
      <c r="AJ770" s="29"/>
      <c r="AK770" s="29"/>
      <c r="AL770" s="29"/>
      <c r="AM770" s="29"/>
    </row>
    <row r="771">
      <c r="A771" s="31" t="s">
        <v>44</v>
      </c>
      <c r="B771" s="32">
        <v>22840.0</v>
      </c>
      <c r="C771" s="33" t="str">
        <f t="array" ref="C771">INDEX('MTA 28-09'!B:B,MATCH(B771,'MTA 28-09'!A:A,0))</f>
        <v>NÃO</v>
      </c>
      <c r="D771" s="34" t="str">
        <f t="array" ref="D771">INDEX('MTA 28-09'!D:D,MATCH(B771,'MTA 28-09'!A:A,0))</f>
        <v/>
      </c>
      <c r="E771" s="32" t="str">
        <f t="array" ref="E771">INDEX('MTA 28-09'!F:F,MATCH(B771,'MTA 28-09'!A:A,0))</f>
        <v/>
      </c>
      <c r="F771" s="137" t="str">
        <f t="array" ref="F771">INDEX('MTA 28-09'!I:I,MATCH(B771,'MTA 28-09'!A:A,0))</f>
        <v/>
      </c>
      <c r="G771" s="36" t="str">
        <f t="array" ref="G771">INDEX('MTA 28-09'!J:J,MATCH(B771,'MTA 28-09'!A:A,0))</f>
        <v/>
      </c>
      <c r="H771" s="287" t="s">
        <v>157</v>
      </c>
      <c r="I771" s="295"/>
      <c r="J771" s="39"/>
      <c r="K771" s="40"/>
      <c r="L771" s="39" t="str">
        <f t="array" ref="L771">INDEX('MTA 28-09'!S:S,MATCH(B771,'MTA 28-09'!A:A,0))</f>
        <v>C-97</v>
      </c>
      <c r="M771" s="32" t="str">
        <f t="array" ref="M771">INDEX('MTA 28-09'!T:T,MATCH(B771,'MTA 28-09'!A:A,0))</f>
        <v>2025-BAGL-09</v>
      </c>
      <c r="N771" s="32" t="str">
        <f t="array" ref="N771">INDEX('MTA 28-09'!U:U,MATCH(B771,'MTA 28-09'!A:A,0))</f>
        <v>PN EMB-00066-001 - FERRAMENTA PARA RETIRADA DA RODA PRINCIPAL</v>
      </c>
      <c r="O771" s="59">
        <f t="array" ref="O771">INDEX('MTA 28-09'!AC:AC,MATCH(B771,'MTA 28-09'!A:A,0))</f>
        <v>4881.36</v>
      </c>
      <c r="P771" s="32" t="str">
        <f t="array" ref="P771">INDEX('MTA 28-09'!N:N,MATCH(B771,'MTA 28-09'!A:A,0))</f>
        <v>FMS</v>
      </c>
      <c r="Q771" s="67" t="str">
        <f t="array" ref="Q771">INDEX('MTA 28-09'!Z:Z,MATCH(B771,'MTA 28-09'!A:A,0))</f>
        <v>449052</v>
      </c>
      <c r="R771" s="32" t="str">
        <f t="array" ref="R771">INDEX('MTA 28-09'!L:L,MATCH(B771,'MTA 28-09'!A:A,0))</f>
        <v>C</v>
      </c>
      <c r="S771" s="72" t="str">
        <f t="array" ref="S771">INDEX('MTA 28-09'!X:X,MATCH(B771,'MTA 28-09'!A:A,0))</f>
        <v>REQUISIÇÃO</v>
      </c>
      <c r="T771" s="72" t="str">
        <f t="array" ref="T771">INDEX('MTA 28-09'!W:W,MATCH(B771,'MTA 28-09'!A:A,0))</f>
        <v>Não</v>
      </c>
      <c r="U771" s="81">
        <f t="array" ref="U771">INDEX('MTA 28-09'!AE:AE,MATCH(B771,'MTA 28-09'!A:A,0))</f>
        <v>46168</v>
      </c>
      <c r="V771" s="12"/>
      <c r="W771" s="12"/>
      <c r="X771" s="12"/>
      <c r="Y771" s="12"/>
      <c r="Z771" s="12"/>
      <c r="AA771" s="12"/>
      <c r="AB771" s="12"/>
      <c r="AC771" s="12"/>
      <c r="AD771" s="12"/>
      <c r="AE771" s="12"/>
      <c r="AF771" s="12"/>
      <c r="AG771" s="12"/>
      <c r="AH771" s="12"/>
      <c r="AI771" s="12"/>
      <c r="AJ771" s="12"/>
      <c r="AK771" s="12"/>
      <c r="AL771" s="12"/>
      <c r="AM771" s="12"/>
    </row>
    <row r="772">
      <c r="A772" s="88" t="s">
        <v>44</v>
      </c>
      <c r="B772" s="98">
        <v>22860.0</v>
      </c>
      <c r="C772" s="92" t="str">
        <f t="array" ref="C772">INDEX('MTA 28-09'!B:B,MATCH(B772,'MTA 28-09'!A:A,0))</f>
        <v>NÃO</v>
      </c>
      <c r="D772" s="95" t="str">
        <f t="array" ref="D772">INDEX('MTA 28-09'!D:D,MATCH(B772,'MTA 28-09'!A:A,0))</f>
        <v/>
      </c>
      <c r="E772" s="98" t="str">
        <f t="array" ref="E772">INDEX('MTA 28-09'!F:F,MATCH(B772,'MTA 28-09'!A:A,0))</f>
        <v/>
      </c>
      <c r="F772" s="144" t="str">
        <f t="array" ref="F772">INDEX('MTA 28-09'!I:I,MATCH(B772,'MTA 28-09'!A:A,0))</f>
        <v/>
      </c>
      <c r="G772" s="100" t="str">
        <f t="array" ref="G772">INDEX('MTA 28-09'!J:J,MATCH(B772,'MTA 28-09'!A:A,0))</f>
        <v/>
      </c>
      <c r="H772" s="159" t="s">
        <v>157</v>
      </c>
      <c r="I772" s="296"/>
      <c r="J772" s="102"/>
      <c r="K772" s="103"/>
      <c r="L772" s="102" t="str">
        <f t="array" ref="L772">INDEX('MTA 28-09'!S:S,MATCH(B772,'MTA 28-09'!A:A,0))</f>
        <v>C-97</v>
      </c>
      <c r="M772" s="98" t="str">
        <f t="array" ref="M772">INDEX('MTA 28-09'!T:T,MATCH(B772,'MTA 28-09'!A:A,0))</f>
        <v>2025-BAGL-10</v>
      </c>
      <c r="N772" s="98" t="str">
        <f t="array" ref="N772">INDEX('MTA 28-09'!U:U,MATCH(B772,'MTA 28-09'!A:A,0))</f>
        <v>PN EMB-00574-001 - ADAPTADOR PARA AID IN BRAKE BLEEDING</v>
      </c>
      <c r="O772" s="104">
        <f t="array" ref="O772">INDEX('MTA 28-09'!AC:AC,MATCH(B772,'MTA 28-09'!A:A,0))</f>
        <v>5724.75</v>
      </c>
      <c r="P772" s="98" t="str">
        <f t="array" ref="P772">INDEX('MTA 28-09'!N:N,MATCH(B772,'MTA 28-09'!A:A,0))</f>
        <v>FMS</v>
      </c>
      <c r="Q772" s="105" t="str">
        <f t="array" ref="Q772">INDEX('MTA 28-09'!Z:Z,MATCH(B772,'MTA 28-09'!A:A,0))</f>
        <v>449052</v>
      </c>
      <c r="R772" s="98" t="str">
        <f t="array" ref="R772">INDEX('MTA 28-09'!L:L,MATCH(B772,'MTA 28-09'!A:A,0))</f>
        <v>C</v>
      </c>
      <c r="S772" s="107" t="str">
        <f t="array" ref="S772">INDEX('MTA 28-09'!X:X,MATCH(B772,'MTA 28-09'!A:A,0))</f>
        <v>REQUISIÇÃO</v>
      </c>
      <c r="T772" s="107" t="str">
        <f t="array" ref="T772">INDEX('MTA 28-09'!W:W,MATCH(B772,'MTA 28-09'!A:A,0))</f>
        <v>Não</v>
      </c>
      <c r="U772" s="109">
        <f t="array" ref="U772">INDEX('MTA 28-09'!AE:AE,MATCH(B772,'MTA 28-09'!A:A,0))</f>
        <v>46168</v>
      </c>
      <c r="V772" s="29"/>
      <c r="W772" s="29"/>
      <c r="X772" s="29"/>
      <c r="Y772" s="29"/>
      <c r="Z772" s="29"/>
      <c r="AA772" s="29"/>
      <c r="AB772" s="29"/>
      <c r="AC772" s="29"/>
      <c r="AD772" s="29"/>
      <c r="AE772" s="29"/>
      <c r="AF772" s="29"/>
      <c r="AG772" s="29"/>
      <c r="AH772" s="29"/>
      <c r="AI772" s="29"/>
      <c r="AJ772" s="29"/>
      <c r="AK772" s="29"/>
      <c r="AL772" s="29"/>
      <c r="AM772" s="29"/>
    </row>
    <row r="773">
      <c r="A773" s="31" t="s">
        <v>44</v>
      </c>
      <c r="B773" s="32">
        <v>22880.0</v>
      </c>
      <c r="C773" s="33" t="str">
        <f t="array" ref="C773">INDEX('MTA 28-09'!B:B,MATCH(B773,'MTA 28-09'!A:A,0))</f>
        <v>NÃO</v>
      </c>
      <c r="D773" s="34" t="str">
        <f t="array" ref="D773">INDEX('MTA 28-09'!D:D,MATCH(B773,'MTA 28-09'!A:A,0))</f>
        <v/>
      </c>
      <c r="E773" s="32" t="str">
        <f t="array" ref="E773">INDEX('MTA 28-09'!F:F,MATCH(B773,'MTA 28-09'!A:A,0))</f>
        <v/>
      </c>
      <c r="F773" s="155" t="str">
        <f t="array" ref="F773">INDEX('MTA 28-09'!I:I,MATCH(B773,'MTA 28-09'!A:A,0))</f>
        <v/>
      </c>
      <c r="G773" s="36" t="str">
        <f t="array" ref="G773">INDEX('MTA 28-09'!J:J,MATCH(B773,'MTA 28-09'!A:A,0))</f>
        <v/>
      </c>
      <c r="H773" s="287" t="s">
        <v>157</v>
      </c>
      <c r="I773" s="295"/>
      <c r="J773" s="39"/>
      <c r="K773" s="40"/>
      <c r="L773" s="39" t="str">
        <f t="array" ref="L773">INDEX('MTA 28-09'!S:S,MATCH(B773,'MTA 28-09'!A:A,0))</f>
        <v>C-97</v>
      </c>
      <c r="M773" s="32" t="str">
        <f t="array" ref="M773">INDEX('MTA 28-09'!T:T,MATCH(B773,'MTA 28-09'!A:A,0))</f>
        <v>2025-BAGL-11</v>
      </c>
      <c r="N773" s="32" t="str">
        <f t="array" ref="N773">INDEX('MTA 28-09'!U:U,MATCH(B773,'MTA 28-09'!A:A,0))</f>
        <v>PN 18-4208-0010 - FOUR BOTTLE SERVICE CART</v>
      </c>
      <c r="O773" s="59">
        <f t="array" ref="O773">INDEX('MTA 28-09'!AC:AC,MATCH(B773,'MTA 28-09'!A:A,0))</f>
        <v>74306.88</v>
      </c>
      <c r="P773" s="32" t="str">
        <f t="array" ref="P773">INDEX('MTA 28-09'!N:N,MATCH(B773,'MTA 28-09'!A:A,0))</f>
        <v>CABW</v>
      </c>
      <c r="Q773" s="67" t="str">
        <f t="array" ref="Q773">INDEX('MTA 28-09'!Z:Z,MATCH(B773,'MTA 28-09'!A:A,0))</f>
        <v>449052</v>
      </c>
      <c r="R773" s="32" t="str">
        <f t="array" ref="R773">INDEX('MTA 28-09'!L:L,MATCH(B773,'MTA 28-09'!A:A,0))</f>
        <v>C</v>
      </c>
      <c r="S773" s="72" t="str">
        <f t="array" ref="S773">INDEX('MTA 28-09'!X:X,MATCH(B773,'MTA 28-09'!A:A,0))</f>
        <v>REQUISIÇÃO</v>
      </c>
      <c r="T773" s="72" t="str">
        <f t="array" ref="T773">INDEX('MTA 28-09'!W:W,MATCH(B773,'MTA 28-09'!A:A,0))</f>
        <v>Não</v>
      </c>
      <c r="U773" s="81">
        <f t="array" ref="U773">INDEX('MTA 28-09'!AE:AE,MATCH(B773,'MTA 28-09'!A:A,0))</f>
        <v>46168</v>
      </c>
      <c r="V773" s="12"/>
      <c r="W773" s="12"/>
      <c r="X773" s="12"/>
      <c r="Y773" s="12"/>
      <c r="Z773" s="12"/>
      <c r="AA773" s="12"/>
      <c r="AB773" s="12"/>
      <c r="AC773" s="12"/>
      <c r="AD773" s="12"/>
      <c r="AE773" s="12"/>
      <c r="AF773" s="12"/>
      <c r="AG773" s="12"/>
      <c r="AH773" s="12"/>
      <c r="AI773" s="12"/>
      <c r="AJ773" s="12"/>
      <c r="AK773" s="12"/>
      <c r="AL773" s="12"/>
      <c r="AM773" s="12"/>
    </row>
    <row r="774">
      <c r="A774" s="88" t="s">
        <v>44</v>
      </c>
      <c r="B774" s="98">
        <v>22900.0</v>
      </c>
      <c r="C774" s="92" t="str">
        <f t="array" ref="C774">INDEX('MTA 28-09'!B:B,MATCH(B774,'MTA 28-09'!A:A,0))</f>
        <v>NÃO</v>
      </c>
      <c r="D774" s="95" t="str">
        <f t="array" ref="D774">INDEX('MTA 28-09'!D:D,MATCH(B774,'MTA 28-09'!A:A,0))</f>
        <v/>
      </c>
      <c r="E774" s="98" t="str">
        <f t="array" ref="E774">INDEX('MTA 28-09'!F:F,MATCH(B774,'MTA 28-09'!A:A,0))</f>
        <v/>
      </c>
      <c r="F774" s="144" t="str">
        <f t="array" ref="F774">INDEX('MTA 28-09'!I:I,MATCH(B774,'MTA 28-09'!A:A,0))</f>
        <v/>
      </c>
      <c r="G774" s="100" t="str">
        <f t="array" ref="G774">INDEX('MTA 28-09'!J:J,MATCH(B774,'MTA 28-09'!A:A,0))</f>
        <v/>
      </c>
      <c r="H774" s="159" t="s">
        <v>157</v>
      </c>
      <c r="I774" s="296"/>
      <c r="J774" s="102"/>
      <c r="K774" s="103"/>
      <c r="L774" s="102" t="str">
        <f t="array" ref="L774">INDEX('MTA 28-09'!S:S,MATCH(B774,'MTA 28-09'!A:A,0))</f>
        <v>C-97</v>
      </c>
      <c r="M774" s="98" t="str">
        <f t="array" ref="M774">INDEX('MTA 28-09'!T:T,MATCH(B774,'MTA 28-09'!A:A,0))</f>
        <v>2025-BAGL-12</v>
      </c>
      <c r="N774" s="98" t="str">
        <f t="array" ref="N774">INDEX('MTA 28-09'!U:U,MATCH(B774,'MTA 28-09'!A:A,0))</f>
        <v>PN 14-6805-6010 - GAUGE, A/C STRUT PRESSURE (CE)</v>
      </c>
      <c r="O774" s="104">
        <f t="array" ref="O774">INDEX('MTA 28-09'!AC:AC,MATCH(B774,'MTA 28-09'!A:A,0))</f>
        <v>3803.84</v>
      </c>
      <c r="P774" s="98" t="str">
        <f t="array" ref="P774">INDEX('MTA 28-09'!N:N,MATCH(B774,'MTA 28-09'!A:A,0))</f>
        <v>CABW</v>
      </c>
      <c r="Q774" s="105" t="str">
        <f t="array" ref="Q774">INDEX('MTA 28-09'!Z:Z,MATCH(B774,'MTA 28-09'!A:A,0))</f>
        <v>449052</v>
      </c>
      <c r="R774" s="98" t="str">
        <f t="array" ref="R774">INDEX('MTA 28-09'!L:L,MATCH(B774,'MTA 28-09'!A:A,0))</f>
        <v>C</v>
      </c>
      <c r="S774" s="107" t="str">
        <f t="array" ref="S774">INDEX('MTA 28-09'!X:X,MATCH(B774,'MTA 28-09'!A:A,0))</f>
        <v>REQUISIÇÃO</v>
      </c>
      <c r="T774" s="107" t="str">
        <f t="array" ref="T774">INDEX('MTA 28-09'!W:W,MATCH(B774,'MTA 28-09'!A:A,0))</f>
        <v>Não</v>
      </c>
      <c r="U774" s="109">
        <f t="array" ref="U774">INDEX('MTA 28-09'!AE:AE,MATCH(B774,'MTA 28-09'!A:A,0))</f>
        <v>46168</v>
      </c>
      <c r="V774" s="29"/>
      <c r="W774" s="29"/>
      <c r="X774" s="29"/>
      <c r="Y774" s="29"/>
      <c r="Z774" s="29"/>
      <c r="AA774" s="29"/>
      <c r="AB774" s="29"/>
      <c r="AC774" s="29"/>
      <c r="AD774" s="29"/>
      <c r="AE774" s="29"/>
      <c r="AF774" s="29"/>
      <c r="AG774" s="29"/>
      <c r="AH774" s="29"/>
      <c r="AI774" s="29"/>
      <c r="AJ774" s="29"/>
      <c r="AK774" s="29"/>
      <c r="AL774" s="29"/>
      <c r="AM774" s="29"/>
    </row>
    <row r="775">
      <c r="A775" s="31" t="s">
        <v>44</v>
      </c>
      <c r="B775" s="32">
        <v>22920.0</v>
      </c>
      <c r="C775" s="33" t="str">
        <f t="array" ref="C775">INDEX('MTA 28-09'!B:B,MATCH(B775,'MTA 28-09'!A:A,0))</f>
        <v>NÃO</v>
      </c>
      <c r="D775" s="34" t="str">
        <f t="array" ref="D775">INDEX('MTA 28-09'!D:D,MATCH(B775,'MTA 28-09'!A:A,0))</f>
        <v/>
      </c>
      <c r="E775" s="32" t="str">
        <f t="array" ref="E775">INDEX('MTA 28-09'!F:F,MATCH(B775,'MTA 28-09'!A:A,0))</f>
        <v/>
      </c>
      <c r="F775" s="137" t="str">
        <f t="array" ref="F775">INDEX('MTA 28-09'!I:I,MATCH(B775,'MTA 28-09'!A:A,0))</f>
        <v/>
      </c>
      <c r="G775" s="36" t="str">
        <f t="array" ref="G775">INDEX('MTA 28-09'!J:J,MATCH(B775,'MTA 28-09'!A:A,0))</f>
        <v/>
      </c>
      <c r="H775" s="287" t="s">
        <v>157</v>
      </c>
      <c r="I775" s="295"/>
      <c r="J775" s="39"/>
      <c r="K775" s="40"/>
      <c r="L775" s="39" t="str">
        <f t="array" ref="L775">INDEX('MTA 28-09'!S:S,MATCH(B775,'MTA 28-09'!A:A,0))</f>
        <v>C-97</v>
      </c>
      <c r="M775" s="32" t="str">
        <f t="array" ref="M775">INDEX('MTA 28-09'!T:T,MATCH(B775,'MTA 28-09'!A:A,0))</f>
        <v>2025-BAGL-13</v>
      </c>
      <c r="N775" s="32" t="str">
        <f t="array" ref="N775">INDEX('MTA 28-09'!U:U,MATCH(B775,'MTA 28-09'!A:A,0))</f>
        <v>PN 10-4036-0010 - LAVATORY SERVICE UNIT (31 GAL/117L) WAST TANK</v>
      </c>
      <c r="O775" s="59">
        <f t="array" ref="O775">INDEX('MTA 28-09'!AC:AC,MATCH(B775,'MTA 28-09'!A:A,0))</f>
        <v>38239.49</v>
      </c>
      <c r="P775" s="32" t="str">
        <f t="array" ref="P775">INDEX('MTA 28-09'!N:N,MATCH(B775,'MTA 28-09'!A:A,0))</f>
        <v>CABW</v>
      </c>
      <c r="Q775" s="67" t="str">
        <f t="array" ref="Q775">INDEX('MTA 28-09'!Z:Z,MATCH(B775,'MTA 28-09'!A:A,0))</f>
        <v>449052</v>
      </c>
      <c r="R775" s="32" t="str">
        <f t="array" ref="R775">INDEX('MTA 28-09'!L:L,MATCH(B775,'MTA 28-09'!A:A,0))</f>
        <v>C</v>
      </c>
      <c r="S775" s="72" t="str">
        <f t="array" ref="S775">INDEX('MTA 28-09'!X:X,MATCH(B775,'MTA 28-09'!A:A,0))</f>
        <v>REQUISIÇÃO</v>
      </c>
      <c r="T775" s="72" t="str">
        <f t="array" ref="T775">INDEX('MTA 28-09'!W:W,MATCH(B775,'MTA 28-09'!A:A,0))</f>
        <v>Não</v>
      </c>
      <c r="U775" s="81">
        <f t="array" ref="U775">INDEX('MTA 28-09'!AE:AE,MATCH(B775,'MTA 28-09'!A:A,0))</f>
        <v>46168</v>
      </c>
      <c r="V775" s="12"/>
      <c r="W775" s="12"/>
      <c r="X775" s="12"/>
      <c r="Y775" s="12"/>
      <c r="Z775" s="12"/>
      <c r="AA775" s="12"/>
      <c r="AB775" s="12"/>
      <c r="AC775" s="12"/>
      <c r="AD775" s="12"/>
      <c r="AE775" s="12"/>
      <c r="AF775" s="12"/>
      <c r="AG775" s="12"/>
      <c r="AH775" s="12"/>
      <c r="AI775" s="12"/>
      <c r="AJ775" s="12"/>
      <c r="AK775" s="12"/>
      <c r="AL775" s="12"/>
      <c r="AM775" s="12"/>
    </row>
    <row r="776">
      <c r="A776" s="88" t="s">
        <v>44</v>
      </c>
      <c r="B776" s="98">
        <v>22940.0</v>
      </c>
      <c r="C776" s="92" t="str">
        <f t="array" ref="C776">INDEX('MTA 28-09'!B:B,MATCH(B776,'MTA 28-09'!A:A,0))</f>
        <v>NÃO</v>
      </c>
      <c r="D776" s="95" t="str">
        <f t="array" ref="D776">INDEX('MTA 28-09'!D:D,MATCH(B776,'MTA 28-09'!A:A,0))</f>
        <v/>
      </c>
      <c r="E776" s="98" t="str">
        <f t="array" ref="E776">INDEX('MTA 28-09'!F:F,MATCH(B776,'MTA 28-09'!A:A,0))</f>
        <v/>
      </c>
      <c r="F776" s="152" t="str">
        <f t="array" ref="F776">INDEX('MTA 28-09'!I:I,MATCH(B776,'MTA 28-09'!A:A,0))</f>
        <v/>
      </c>
      <c r="G776" s="100" t="str">
        <f t="array" ref="G776">INDEX('MTA 28-09'!J:J,MATCH(B776,'MTA 28-09'!A:A,0))</f>
        <v/>
      </c>
      <c r="H776" s="159" t="s">
        <v>157</v>
      </c>
      <c r="I776" s="296"/>
      <c r="J776" s="102"/>
      <c r="K776" s="103"/>
      <c r="L776" s="102" t="str">
        <f t="array" ref="L776">INDEX('MTA 28-09'!S:S,MATCH(B776,'MTA 28-09'!A:A,0))</f>
        <v>C-97</v>
      </c>
      <c r="M776" s="98" t="str">
        <f t="array" ref="M776">INDEX('MTA 28-09'!T:T,MATCH(B776,'MTA 28-09'!A:A,0))</f>
        <v>2025-BAGL-18</v>
      </c>
      <c r="N776" s="98" t="str">
        <f t="array" ref="N776">INDEX('MTA 28-09'!U:U,MATCH(B776,'MTA 28-09'!A:A,0))</f>
        <v>PN AGE-00919-401 - HYDRAULIC LADDER</v>
      </c>
      <c r="O776" s="104">
        <f t="array" ref="O776">INDEX('MTA 28-09'!AC:AC,MATCH(B776,'MTA 28-09'!A:A,0))</f>
        <v>11520</v>
      </c>
      <c r="P776" s="98" t="str">
        <f t="array" ref="P776">INDEX('MTA 28-09'!N:N,MATCH(B776,'MTA 28-09'!A:A,0))</f>
        <v>CABW</v>
      </c>
      <c r="Q776" s="105" t="str">
        <f t="array" ref="Q776">INDEX('MTA 28-09'!Z:Z,MATCH(B776,'MTA 28-09'!A:A,0))</f>
        <v>449052</v>
      </c>
      <c r="R776" s="98" t="str">
        <f t="array" ref="R776">INDEX('MTA 28-09'!L:L,MATCH(B776,'MTA 28-09'!A:A,0))</f>
        <v>C</v>
      </c>
      <c r="S776" s="107" t="str">
        <f t="array" ref="S776">INDEX('MTA 28-09'!X:X,MATCH(B776,'MTA 28-09'!A:A,0))</f>
        <v>REQUISIÇÃO</v>
      </c>
      <c r="T776" s="107" t="str">
        <f t="array" ref="T776">INDEX('MTA 28-09'!W:W,MATCH(B776,'MTA 28-09'!A:A,0))</f>
        <v>Não</v>
      </c>
      <c r="U776" s="109">
        <f t="array" ref="U776">INDEX('MTA 28-09'!AE:AE,MATCH(B776,'MTA 28-09'!A:A,0))</f>
        <v>46168</v>
      </c>
      <c r="V776" s="29"/>
      <c r="W776" s="29"/>
      <c r="X776" s="29"/>
      <c r="Y776" s="29"/>
      <c r="Z776" s="29"/>
      <c r="AA776" s="29"/>
      <c r="AB776" s="29"/>
      <c r="AC776" s="29"/>
      <c r="AD776" s="29"/>
      <c r="AE776" s="29"/>
      <c r="AF776" s="29"/>
      <c r="AG776" s="29"/>
      <c r="AH776" s="29"/>
      <c r="AI776" s="29"/>
      <c r="AJ776" s="29"/>
      <c r="AK776" s="29"/>
      <c r="AL776" s="29"/>
      <c r="AM776" s="29"/>
    </row>
    <row r="777">
      <c r="A777" s="31" t="s">
        <v>44</v>
      </c>
      <c r="B777" s="32">
        <v>22960.0</v>
      </c>
      <c r="C777" s="33" t="str">
        <f t="array" ref="C777">INDEX('MTA 28-09'!B:B,MATCH(B777,'MTA 28-09'!A:A,0))</f>
        <v>NÃO</v>
      </c>
      <c r="D777" s="34" t="str">
        <f t="array" ref="D777">INDEX('MTA 28-09'!D:D,MATCH(B777,'MTA 28-09'!A:A,0))</f>
        <v/>
      </c>
      <c r="E777" s="32" t="str">
        <f t="array" ref="E777">INDEX('MTA 28-09'!F:F,MATCH(B777,'MTA 28-09'!A:A,0))</f>
        <v/>
      </c>
      <c r="F777" s="155" t="str">
        <f t="array" ref="F777">INDEX('MTA 28-09'!I:I,MATCH(B777,'MTA 28-09'!A:A,0))</f>
        <v/>
      </c>
      <c r="G777" s="36" t="str">
        <f t="array" ref="G777">INDEX('MTA 28-09'!J:J,MATCH(B777,'MTA 28-09'!A:A,0))</f>
        <v/>
      </c>
      <c r="H777" s="287" t="s">
        <v>157</v>
      </c>
      <c r="I777" s="295"/>
      <c r="J777" s="39"/>
      <c r="K777" s="40"/>
      <c r="L777" s="39" t="str">
        <f t="array" ref="L777">INDEX('MTA 28-09'!S:S,MATCH(B777,'MTA 28-09'!A:A,0))</f>
        <v>C-97</v>
      </c>
      <c r="M777" s="32" t="str">
        <f t="array" ref="M777">INDEX('MTA 28-09'!T:T,MATCH(B777,'MTA 28-09'!A:A,0))</f>
        <v>2025-BAGL-27</v>
      </c>
      <c r="N777" s="32" t="str">
        <f t="array" ref="N777">INDEX('MTA 28-09'!U:U,MATCH(B777,'MTA 28-09'!A:A,0))</f>
        <v>PN PWC54255 - PUSHER/PULLER, FUEL MAN TRANS TRUBES</v>
      </c>
      <c r="O777" s="59">
        <f t="array" ref="O777">INDEX('MTA 28-09'!AC:AC,MATCH(B777,'MTA 28-09'!A:A,0))</f>
        <v>2306.88</v>
      </c>
      <c r="P777" s="32" t="str">
        <f t="array" ref="P777">INDEX('MTA 28-09'!N:N,MATCH(B777,'MTA 28-09'!A:A,0))</f>
        <v>CABW</v>
      </c>
      <c r="Q777" s="67" t="str">
        <f t="array" ref="Q777">INDEX('MTA 28-09'!Z:Z,MATCH(B777,'MTA 28-09'!A:A,0))</f>
        <v>449052</v>
      </c>
      <c r="R777" s="32" t="str">
        <f t="array" ref="R777">INDEX('MTA 28-09'!L:L,MATCH(B777,'MTA 28-09'!A:A,0))</f>
        <v>C</v>
      </c>
      <c r="S777" s="72" t="str">
        <f t="array" ref="S777">INDEX('MTA 28-09'!X:X,MATCH(B777,'MTA 28-09'!A:A,0))</f>
        <v>REQUISIÇÃO</v>
      </c>
      <c r="T777" s="72" t="str">
        <f t="array" ref="T777">INDEX('MTA 28-09'!W:W,MATCH(B777,'MTA 28-09'!A:A,0))</f>
        <v>Não</v>
      </c>
      <c r="U777" s="81">
        <f t="array" ref="U777">INDEX('MTA 28-09'!AE:AE,MATCH(B777,'MTA 28-09'!A:A,0))</f>
        <v>46168</v>
      </c>
      <c r="V777" s="12"/>
      <c r="W777" s="12"/>
      <c r="X777" s="12"/>
      <c r="Y777" s="12"/>
      <c r="Z777" s="12"/>
      <c r="AA777" s="12"/>
      <c r="AB777" s="12"/>
      <c r="AC777" s="12"/>
      <c r="AD777" s="12"/>
      <c r="AE777" s="12"/>
      <c r="AF777" s="12"/>
      <c r="AG777" s="12"/>
      <c r="AH777" s="12"/>
      <c r="AI777" s="12"/>
      <c r="AJ777" s="12"/>
      <c r="AK777" s="12"/>
      <c r="AL777" s="12"/>
      <c r="AM777" s="12"/>
    </row>
    <row r="778">
      <c r="A778" s="88" t="s">
        <v>44</v>
      </c>
      <c r="B778" s="98">
        <v>22980.0</v>
      </c>
      <c r="C778" s="92" t="str">
        <f t="array" ref="C778">INDEX('MTA 28-09'!B:B,MATCH(B778,'MTA 28-09'!A:A,0))</f>
        <v>NÃO</v>
      </c>
      <c r="D778" s="95" t="str">
        <f t="array" ref="D778">INDEX('MTA 28-09'!D:D,MATCH(B778,'MTA 28-09'!A:A,0))</f>
        <v/>
      </c>
      <c r="E778" s="98" t="str">
        <f t="array" ref="E778">INDEX('MTA 28-09'!F:F,MATCH(B778,'MTA 28-09'!A:A,0))</f>
        <v/>
      </c>
      <c r="F778" s="152" t="str">
        <f t="array" ref="F778">INDEX('MTA 28-09'!I:I,MATCH(B778,'MTA 28-09'!A:A,0))</f>
        <v/>
      </c>
      <c r="G778" s="100" t="str">
        <f t="array" ref="G778">INDEX('MTA 28-09'!J:J,MATCH(B778,'MTA 28-09'!A:A,0))</f>
        <v/>
      </c>
      <c r="H778" s="159" t="s">
        <v>157</v>
      </c>
      <c r="I778" s="296"/>
      <c r="J778" s="102"/>
      <c r="K778" s="103"/>
      <c r="L778" s="102" t="str">
        <f t="array" ref="L778">INDEX('MTA 28-09'!S:S,MATCH(B778,'MTA 28-09'!A:A,0))</f>
        <v>C-97</v>
      </c>
      <c r="M778" s="98" t="str">
        <f t="array" ref="M778">INDEX('MTA 28-09'!T:T,MATCH(B778,'MTA 28-09'!A:A,0))</f>
        <v>2025-BAGL-28</v>
      </c>
      <c r="N778" s="98" t="str">
        <f t="array" ref="N778">INDEX('MTA 28-09'!U:U,MATCH(B778,'MTA 28-09'!A:A,0))</f>
        <v>PN EMB 00111-001 - EXTENSÃO PARA TORQUÍMETRO</v>
      </c>
      <c r="O778" s="104">
        <f t="array" ref="O778">INDEX('MTA 28-09'!AC:AC,MATCH(B778,'MTA 28-09'!A:A,0))</f>
        <v>4277.49</v>
      </c>
      <c r="P778" s="98" t="str">
        <f t="array" ref="P778">INDEX('MTA 28-09'!N:N,MATCH(B778,'MTA 28-09'!A:A,0))</f>
        <v>FMS</v>
      </c>
      <c r="Q778" s="105" t="str">
        <f t="array" ref="Q778">INDEX('MTA 28-09'!Z:Z,MATCH(B778,'MTA 28-09'!A:A,0))</f>
        <v>449052</v>
      </c>
      <c r="R778" s="98" t="str">
        <f t="array" ref="R778">INDEX('MTA 28-09'!L:L,MATCH(B778,'MTA 28-09'!A:A,0))</f>
        <v>C</v>
      </c>
      <c r="S778" s="107" t="str">
        <f t="array" ref="S778">INDEX('MTA 28-09'!X:X,MATCH(B778,'MTA 28-09'!A:A,0))</f>
        <v>REQUISIÇÃO</v>
      </c>
      <c r="T778" s="107" t="str">
        <f t="array" ref="T778">INDEX('MTA 28-09'!W:W,MATCH(B778,'MTA 28-09'!A:A,0))</f>
        <v>Não</v>
      </c>
      <c r="U778" s="109">
        <f t="array" ref="U778">INDEX('MTA 28-09'!AE:AE,MATCH(B778,'MTA 28-09'!A:A,0))</f>
        <v>46168</v>
      </c>
      <c r="V778" s="29"/>
      <c r="W778" s="29"/>
      <c r="X778" s="29"/>
      <c r="Y778" s="29"/>
      <c r="Z778" s="29"/>
      <c r="AA778" s="29"/>
      <c r="AB778" s="29"/>
      <c r="AC778" s="29"/>
      <c r="AD778" s="29"/>
      <c r="AE778" s="29"/>
      <c r="AF778" s="29"/>
      <c r="AG778" s="29"/>
      <c r="AH778" s="29"/>
      <c r="AI778" s="29"/>
      <c r="AJ778" s="29"/>
      <c r="AK778" s="29"/>
      <c r="AL778" s="29"/>
      <c r="AM778" s="29"/>
    </row>
    <row r="779">
      <c r="A779" s="31" t="s">
        <v>44</v>
      </c>
      <c r="B779" s="32">
        <v>23000.0</v>
      </c>
      <c r="C779" s="33" t="str">
        <f t="array" ref="C779">INDEX('MTA 28-09'!B:B,MATCH(B779,'MTA 28-09'!A:A,0))</f>
        <v>NÃO</v>
      </c>
      <c r="D779" s="34" t="str">
        <f t="array" ref="D779">INDEX('MTA 28-09'!D:D,MATCH(B779,'MTA 28-09'!A:A,0))</f>
        <v/>
      </c>
      <c r="E779" s="32" t="str">
        <f t="array" ref="E779">INDEX('MTA 28-09'!F:F,MATCH(B779,'MTA 28-09'!A:A,0))</f>
        <v/>
      </c>
      <c r="F779" s="35" t="str">
        <f t="array" ref="F779">INDEX('MTA 28-09'!I:I,MATCH(B779,'MTA 28-09'!A:A,0))</f>
        <v/>
      </c>
      <c r="G779" s="36" t="str">
        <f t="array" ref="G779">INDEX('MTA 28-09'!J:J,MATCH(B779,'MTA 28-09'!A:A,0))</f>
        <v/>
      </c>
      <c r="H779" s="287" t="s">
        <v>157</v>
      </c>
      <c r="I779" s="295"/>
      <c r="J779" s="39"/>
      <c r="K779" s="40"/>
      <c r="L779" s="39" t="str">
        <f t="array" ref="L779">INDEX('MTA 28-09'!S:S,MATCH(B779,'MTA 28-09'!A:A,0))</f>
        <v>C-97</v>
      </c>
      <c r="M779" s="32" t="str">
        <f t="array" ref="M779">INDEX('MTA 28-09'!T:T,MATCH(B779,'MTA 28-09'!A:A,0))</f>
        <v>2025-BAGL-30</v>
      </c>
      <c r="N779" s="32" t="str">
        <f t="array" ref="N779">INDEX('MTA 28-09'!U:U,MATCH(B779,'MTA 28-09'!A:A,0))</f>
        <v>PN WINGRIP LIFELINE SYSTEM - WINGRIP LIFELINE SYSTEM</v>
      </c>
      <c r="O779" s="59">
        <f t="array" ref="O779">INDEX('MTA 28-09'!AC:AC,MATCH(B779,'MTA 28-09'!A:A,0))</f>
        <v>57141.94</v>
      </c>
      <c r="P779" s="32" t="str">
        <f t="array" ref="P779">INDEX('MTA 28-09'!N:N,MATCH(B779,'MTA 28-09'!A:A,0))</f>
        <v>FMS</v>
      </c>
      <c r="Q779" s="67" t="str">
        <f t="array" ref="Q779">INDEX('MTA 28-09'!Z:Z,MATCH(B779,'MTA 28-09'!A:A,0))</f>
        <v>449052</v>
      </c>
      <c r="R779" s="32" t="str">
        <f t="array" ref="R779">INDEX('MTA 28-09'!L:L,MATCH(B779,'MTA 28-09'!A:A,0))</f>
        <v>C</v>
      </c>
      <c r="S779" s="72" t="str">
        <f t="array" ref="S779">INDEX('MTA 28-09'!X:X,MATCH(B779,'MTA 28-09'!A:A,0))</f>
        <v>REQUISIÇÃO</v>
      </c>
      <c r="T779" s="72" t="str">
        <f t="array" ref="T779">INDEX('MTA 28-09'!W:W,MATCH(B779,'MTA 28-09'!A:A,0))</f>
        <v>Não</v>
      </c>
      <c r="U779" s="81">
        <f t="array" ref="U779">INDEX('MTA 28-09'!AE:AE,MATCH(B779,'MTA 28-09'!A:A,0))</f>
        <v>46168</v>
      </c>
      <c r="V779" s="12"/>
      <c r="W779" s="12"/>
      <c r="X779" s="12"/>
      <c r="Y779" s="12"/>
      <c r="Z779" s="12"/>
      <c r="AA779" s="12"/>
      <c r="AB779" s="12"/>
      <c r="AC779" s="12"/>
      <c r="AD779" s="12"/>
      <c r="AE779" s="12"/>
      <c r="AF779" s="12"/>
      <c r="AG779" s="12"/>
      <c r="AH779" s="12"/>
      <c r="AI779" s="12"/>
      <c r="AJ779" s="12"/>
      <c r="AK779" s="12"/>
      <c r="AL779" s="12"/>
      <c r="AM779" s="12"/>
    </row>
    <row r="780">
      <c r="A780" s="88" t="s">
        <v>44</v>
      </c>
      <c r="B780" s="98">
        <v>23020.0</v>
      </c>
      <c r="C780" s="92" t="str">
        <f t="array" ref="C780">INDEX('MTA 28-09'!B:B,MATCH(B780,'MTA 28-09'!A:A,0))</f>
        <v>NÃO</v>
      </c>
      <c r="D780" s="95" t="str">
        <f t="array" ref="D780">INDEX('MTA 28-09'!D:D,MATCH(B780,'MTA 28-09'!A:A,0))</f>
        <v/>
      </c>
      <c r="E780" s="98" t="str">
        <f t="array" ref="E780">INDEX('MTA 28-09'!F:F,MATCH(B780,'MTA 28-09'!A:A,0))</f>
        <v/>
      </c>
      <c r="F780" s="144" t="str">
        <f t="array" ref="F780">INDEX('MTA 28-09'!I:I,MATCH(B780,'MTA 28-09'!A:A,0))</f>
        <v/>
      </c>
      <c r="G780" s="100" t="str">
        <f t="array" ref="G780">INDEX('MTA 28-09'!J:J,MATCH(B780,'MTA 28-09'!A:A,0))</f>
        <v/>
      </c>
      <c r="H780" s="159" t="s">
        <v>157</v>
      </c>
      <c r="I780" s="296"/>
      <c r="J780" s="102"/>
      <c r="K780" s="103"/>
      <c r="L780" s="102" t="str">
        <f t="array" ref="L780">INDEX('MTA 28-09'!S:S,MATCH(B780,'MTA 28-09'!A:A,0))</f>
        <v>C-97</v>
      </c>
      <c r="M780" s="98" t="str">
        <f t="array" ref="M780">INDEX('MTA 28-09'!T:T,MATCH(B780,'MTA 28-09'!A:A,0))</f>
        <v>2025-BAGL-31</v>
      </c>
      <c r="N780" s="98" t="str">
        <f t="array" ref="N780">INDEX('MTA 28-09'!U:U,MATCH(B780,'MTA 28-09'!A:A,0))</f>
        <v>PN 04-6152-0120 - HOISTING UNIT, AIRCRAFT COMPONENT</v>
      </c>
      <c r="O780" s="104">
        <f t="array" ref="O780">INDEX('MTA 28-09'!AC:AC,MATCH(B780,'MTA 28-09'!A:A,0))</f>
        <v>709483.35</v>
      </c>
      <c r="P780" s="98" t="str">
        <f t="array" ref="P780">INDEX('MTA 28-09'!N:N,MATCH(B780,'MTA 28-09'!A:A,0))</f>
        <v>CABW</v>
      </c>
      <c r="Q780" s="105" t="str">
        <f t="array" ref="Q780">INDEX('MTA 28-09'!Z:Z,MATCH(B780,'MTA 28-09'!A:A,0))</f>
        <v>449052</v>
      </c>
      <c r="R780" s="98" t="str">
        <f t="array" ref="R780">INDEX('MTA 28-09'!L:L,MATCH(B780,'MTA 28-09'!A:A,0))</f>
        <v>C</v>
      </c>
      <c r="S780" s="107" t="str">
        <f t="array" ref="S780">INDEX('MTA 28-09'!X:X,MATCH(B780,'MTA 28-09'!A:A,0))</f>
        <v>REQUISIÇÃO</v>
      </c>
      <c r="T780" s="107" t="str">
        <f t="array" ref="T780">INDEX('MTA 28-09'!W:W,MATCH(B780,'MTA 28-09'!A:A,0))</f>
        <v>Não</v>
      </c>
      <c r="U780" s="109">
        <f t="array" ref="U780">INDEX('MTA 28-09'!AE:AE,MATCH(B780,'MTA 28-09'!A:A,0))</f>
        <v>46168</v>
      </c>
      <c r="V780" s="29"/>
      <c r="W780" s="29"/>
      <c r="X780" s="29"/>
      <c r="Y780" s="29"/>
      <c r="Z780" s="29"/>
      <c r="AA780" s="29"/>
      <c r="AB780" s="29"/>
      <c r="AC780" s="29"/>
      <c r="AD780" s="29"/>
      <c r="AE780" s="29"/>
      <c r="AF780" s="29"/>
      <c r="AG780" s="29"/>
      <c r="AH780" s="29"/>
      <c r="AI780" s="29"/>
      <c r="AJ780" s="29"/>
      <c r="AK780" s="29"/>
      <c r="AL780" s="29"/>
      <c r="AM780" s="29"/>
    </row>
    <row r="781">
      <c r="A781" s="31" t="s">
        <v>44</v>
      </c>
      <c r="B781" s="32">
        <v>23040.0</v>
      </c>
      <c r="C781" s="33" t="str">
        <f t="array" ref="C781">INDEX('MTA 28-09'!B:B,MATCH(B781,'MTA 28-09'!A:A,0))</f>
        <v>NÃO</v>
      </c>
      <c r="D781" s="34" t="str">
        <f t="array" ref="D781">INDEX('MTA 28-09'!D:D,MATCH(B781,'MTA 28-09'!A:A,0))</f>
        <v/>
      </c>
      <c r="E781" s="32" t="str">
        <f t="array" ref="E781">INDEX('MTA 28-09'!F:F,MATCH(B781,'MTA 28-09'!A:A,0))</f>
        <v/>
      </c>
      <c r="F781" s="294" t="str">
        <f t="array" ref="F781">INDEX('MTA 28-09'!I:I,MATCH(B781,'MTA 28-09'!A:A,0))</f>
        <v/>
      </c>
      <c r="G781" s="36" t="str">
        <f t="array" ref="G781">INDEX('MTA 28-09'!J:J,MATCH(B781,'MTA 28-09'!A:A,0))</f>
        <v/>
      </c>
      <c r="H781" s="287" t="s">
        <v>157</v>
      </c>
      <c r="I781" s="295"/>
      <c r="J781" s="39"/>
      <c r="K781" s="40"/>
      <c r="L781" s="39" t="str">
        <f t="array" ref="L781">INDEX('MTA 28-09'!S:S,MATCH(B781,'MTA 28-09'!A:A,0))</f>
        <v>C-97</v>
      </c>
      <c r="M781" s="32" t="str">
        <f t="array" ref="M781">INDEX('MTA 28-09'!T:T,MATCH(B781,'MTA 28-09'!A:A,0))</f>
        <v>2025-BAGL-33</v>
      </c>
      <c r="N781" s="32" t="str">
        <f t="array" ref="N781">INDEX('MTA 28-09'!U:U,MATCH(B781,'MTA 28-09'!A:A,0))</f>
        <v>PN 19-4305-0000 - POTABLE CART, STANDARD</v>
      </c>
      <c r="O781" s="59">
        <f t="array" ref="O781">INDEX('MTA 28-09'!AC:AC,MATCH(B781,'MTA 28-09'!A:A,0))</f>
        <v>41431.68</v>
      </c>
      <c r="P781" s="32" t="str">
        <f t="array" ref="P781">INDEX('MTA 28-09'!N:N,MATCH(B781,'MTA 28-09'!A:A,0))</f>
        <v>CABW</v>
      </c>
      <c r="Q781" s="67" t="str">
        <f t="array" ref="Q781">INDEX('MTA 28-09'!Z:Z,MATCH(B781,'MTA 28-09'!A:A,0))</f>
        <v>449052</v>
      </c>
      <c r="R781" s="32" t="str">
        <f t="array" ref="R781">INDEX('MTA 28-09'!L:L,MATCH(B781,'MTA 28-09'!A:A,0))</f>
        <v>C</v>
      </c>
      <c r="S781" s="72" t="str">
        <f t="array" ref="S781">INDEX('MTA 28-09'!X:X,MATCH(B781,'MTA 28-09'!A:A,0))</f>
        <v>REQUISIÇÃO</v>
      </c>
      <c r="T781" s="72" t="str">
        <f t="array" ref="T781">INDEX('MTA 28-09'!W:W,MATCH(B781,'MTA 28-09'!A:A,0))</f>
        <v>Não</v>
      </c>
      <c r="U781" s="81">
        <f t="array" ref="U781">INDEX('MTA 28-09'!AE:AE,MATCH(B781,'MTA 28-09'!A:A,0))</f>
        <v>46168</v>
      </c>
      <c r="V781" s="12"/>
      <c r="W781" s="12"/>
      <c r="X781" s="12"/>
      <c r="Y781" s="12"/>
      <c r="Z781" s="12"/>
      <c r="AA781" s="12"/>
      <c r="AB781" s="12"/>
      <c r="AC781" s="12"/>
      <c r="AD781" s="12"/>
      <c r="AE781" s="12"/>
      <c r="AF781" s="12"/>
      <c r="AG781" s="12"/>
      <c r="AH781" s="12"/>
      <c r="AI781" s="12"/>
      <c r="AJ781" s="12"/>
      <c r="AK781" s="12"/>
      <c r="AL781" s="12"/>
      <c r="AM781" s="12"/>
    </row>
    <row r="782">
      <c r="A782" s="88" t="s">
        <v>44</v>
      </c>
      <c r="B782" s="98">
        <v>23060.0</v>
      </c>
      <c r="C782" s="92" t="str">
        <f t="array" ref="C782">INDEX('MTA 28-09'!B:B,MATCH(B782,'MTA 28-09'!A:A,0))</f>
        <v>NÃO</v>
      </c>
      <c r="D782" s="95" t="str">
        <f t="array" ref="D782">INDEX('MTA 28-09'!D:D,MATCH(B782,'MTA 28-09'!A:A,0))</f>
        <v/>
      </c>
      <c r="E782" s="98" t="str">
        <f t="array" ref="E782">INDEX('MTA 28-09'!F:F,MATCH(B782,'MTA 28-09'!A:A,0))</f>
        <v/>
      </c>
      <c r="F782" s="144" t="str">
        <f t="array" ref="F782">INDEX('MTA 28-09'!I:I,MATCH(B782,'MTA 28-09'!A:A,0))</f>
        <v/>
      </c>
      <c r="G782" s="100" t="str">
        <f t="array" ref="G782">INDEX('MTA 28-09'!J:J,MATCH(B782,'MTA 28-09'!A:A,0))</f>
        <v/>
      </c>
      <c r="H782" s="159" t="s">
        <v>157</v>
      </c>
      <c r="I782" s="296"/>
      <c r="J782" s="102"/>
      <c r="K782" s="103"/>
      <c r="L782" s="102" t="str">
        <f t="array" ref="L782">INDEX('MTA 28-09'!S:S,MATCH(B782,'MTA 28-09'!A:A,0))</f>
        <v>C-97</v>
      </c>
      <c r="M782" s="98" t="str">
        <f t="array" ref="M782">INDEX('MTA 28-09'!T:T,MATCH(B782,'MTA 28-09'!A:A,0))</f>
        <v>2025-BAGL-34</v>
      </c>
      <c r="N782" s="98" t="str">
        <f t="array" ref="N782">INDEX('MTA 28-09'!U:U,MATCH(B782,'MTA 28-09'!A:A,0))</f>
        <v>PN EMB 00017-015 - GARFO DE REBOQUE (TOW BAR)</v>
      </c>
      <c r="O782" s="104">
        <f t="array" ref="O782">INDEX('MTA 28-09'!AC:AC,MATCH(B782,'MTA 28-09'!A:A,0))</f>
        <v>24022.71</v>
      </c>
      <c r="P782" s="98" t="str">
        <f t="array" ref="P782">INDEX('MTA 28-09'!N:N,MATCH(B782,'MTA 28-09'!A:A,0))</f>
        <v>FMS</v>
      </c>
      <c r="Q782" s="105" t="str">
        <f t="array" ref="Q782">INDEX('MTA 28-09'!Z:Z,MATCH(B782,'MTA 28-09'!A:A,0))</f>
        <v>449052</v>
      </c>
      <c r="R782" s="98" t="str">
        <f t="array" ref="R782">INDEX('MTA 28-09'!L:L,MATCH(B782,'MTA 28-09'!A:A,0))</f>
        <v>C</v>
      </c>
      <c r="S782" s="107" t="str">
        <f t="array" ref="S782">INDEX('MTA 28-09'!X:X,MATCH(B782,'MTA 28-09'!A:A,0))</f>
        <v>REQUISIÇÃO</v>
      </c>
      <c r="T782" s="107" t="str">
        <f t="array" ref="T782">INDEX('MTA 28-09'!W:W,MATCH(B782,'MTA 28-09'!A:A,0))</f>
        <v>Não</v>
      </c>
      <c r="U782" s="109">
        <f t="array" ref="U782">INDEX('MTA 28-09'!AE:AE,MATCH(B782,'MTA 28-09'!A:A,0))</f>
        <v>46168</v>
      </c>
      <c r="V782" s="29"/>
      <c r="W782" s="29"/>
      <c r="X782" s="29"/>
      <c r="Y782" s="29"/>
      <c r="Z782" s="29"/>
      <c r="AA782" s="29"/>
      <c r="AB782" s="29"/>
      <c r="AC782" s="29"/>
      <c r="AD782" s="29"/>
      <c r="AE782" s="29"/>
      <c r="AF782" s="29"/>
      <c r="AG782" s="29"/>
      <c r="AH782" s="29"/>
      <c r="AI782" s="29"/>
      <c r="AJ782" s="29"/>
      <c r="AK782" s="29"/>
      <c r="AL782" s="29"/>
      <c r="AM782" s="29"/>
    </row>
    <row r="783">
      <c r="A783" s="31" t="s">
        <v>45</v>
      </c>
      <c r="B783" s="32">
        <v>23080.0</v>
      </c>
      <c r="C783" s="33" t="str">
        <f t="array" ref="C783">INDEX('MTA 28-09'!B:B,MATCH(B783,'MTA 28-09'!A:A,0))</f>
        <v>NÃO</v>
      </c>
      <c r="D783" s="34" t="str">
        <f t="array" ref="D783">INDEX('MTA 28-09'!D:D,MATCH(B783,'MTA 28-09'!A:A,0))</f>
        <v/>
      </c>
      <c r="E783" s="32" t="str">
        <f t="array" ref="E783">INDEX('MTA 28-09'!F:F,MATCH(B783,'MTA 28-09'!A:A,0))</f>
        <v/>
      </c>
      <c r="F783" s="137" t="str">
        <f t="array" ref="F783">INDEX('MTA 28-09'!I:I,MATCH(B783,'MTA 28-09'!A:A,0))</f>
        <v/>
      </c>
      <c r="G783" s="36" t="str">
        <f t="array" ref="G783">INDEX('MTA 28-09'!J:J,MATCH(B783,'MTA 28-09'!A:A,0))</f>
        <v/>
      </c>
      <c r="H783" s="287" t="s">
        <v>157</v>
      </c>
      <c r="I783" s="295"/>
      <c r="J783" s="39"/>
      <c r="K783" s="40"/>
      <c r="L783" s="39" t="str">
        <f t="array" ref="L783">INDEX('MTA 28-09'!S:S,MATCH(B783,'MTA 28-09'!A:A,0))</f>
        <v>C-98</v>
      </c>
      <c r="M783" s="32" t="str">
        <f t="array" ref="M783">INDEX('MTA 28-09'!T:T,MATCH(B783,'MTA 28-09'!A:A,0))</f>
        <v>2025-BABR-11</v>
      </c>
      <c r="N783" s="32" t="str">
        <f t="array" ref="N783">INDEX('MTA 28-09'!U:U,MATCH(B783,'MTA 28-09'!A:A,0))</f>
        <v>PN 543-250 - RELÓGIO COMPARADOR</v>
      </c>
      <c r="O783" s="59">
        <f t="array" ref="O783">INDEX('MTA 28-09'!AC:AC,MATCH(B783,'MTA 28-09'!A:A,0))</f>
        <v>4064.54</v>
      </c>
      <c r="P783" s="32" t="str">
        <f t="array" ref="P783">INDEX('MTA 28-09'!N:N,MATCH(B783,'MTA 28-09'!A:A,0))</f>
        <v>CELOG</v>
      </c>
      <c r="Q783" s="67" t="str">
        <f t="array" ref="Q783">INDEX('MTA 28-09'!Z:Z,MATCH(B783,'MTA 28-09'!A:A,0))</f>
        <v>449052</v>
      </c>
      <c r="R783" s="32" t="str">
        <f t="array" ref="R783">INDEX('MTA 28-09'!L:L,MATCH(B783,'MTA 28-09'!A:A,0))</f>
        <v>C</v>
      </c>
      <c r="S783" s="72" t="str">
        <f t="array" ref="S783">INDEX('MTA 28-09'!X:X,MATCH(B783,'MTA 28-09'!A:A,0))</f>
        <v>REQUISIÇÃO</v>
      </c>
      <c r="T783" s="72" t="str">
        <f t="array" ref="T783">INDEX('MTA 28-09'!W:W,MATCH(B783,'MTA 28-09'!A:A,0))</f>
        <v>Não</v>
      </c>
      <c r="U783" s="81">
        <f t="array" ref="U783">INDEX('MTA 28-09'!AE:AE,MATCH(B783,'MTA 28-09'!A:A,0))</f>
        <v>46168</v>
      </c>
      <c r="V783" s="12"/>
      <c r="W783" s="12"/>
      <c r="X783" s="12"/>
      <c r="Y783" s="12"/>
      <c r="Z783" s="12"/>
      <c r="AA783" s="12"/>
      <c r="AB783" s="12"/>
      <c r="AC783" s="12"/>
      <c r="AD783" s="12"/>
      <c r="AE783" s="12"/>
      <c r="AF783" s="12"/>
      <c r="AG783" s="12"/>
      <c r="AH783" s="12"/>
      <c r="AI783" s="12"/>
      <c r="AJ783" s="12"/>
      <c r="AK783" s="12"/>
      <c r="AL783" s="12"/>
      <c r="AM783" s="12"/>
    </row>
    <row r="784">
      <c r="A784" s="88" t="s">
        <v>45</v>
      </c>
      <c r="B784" s="98">
        <v>23100.0</v>
      </c>
      <c r="C784" s="92" t="str">
        <f t="array" ref="C784">INDEX('MTA 28-09'!B:B,MATCH(B784,'MTA 28-09'!A:A,0))</f>
        <v>NÃO</v>
      </c>
      <c r="D784" s="95" t="str">
        <f t="array" ref="D784">INDEX('MTA 28-09'!D:D,MATCH(B784,'MTA 28-09'!A:A,0))</f>
        <v/>
      </c>
      <c r="E784" s="98" t="str">
        <f t="array" ref="E784">INDEX('MTA 28-09'!F:F,MATCH(B784,'MTA 28-09'!A:A,0))</f>
        <v/>
      </c>
      <c r="F784" s="144" t="str">
        <f t="array" ref="F784">INDEX('MTA 28-09'!I:I,MATCH(B784,'MTA 28-09'!A:A,0))</f>
        <v/>
      </c>
      <c r="G784" s="100" t="str">
        <f t="array" ref="G784">INDEX('MTA 28-09'!J:J,MATCH(B784,'MTA 28-09'!A:A,0))</f>
        <v/>
      </c>
      <c r="H784" s="159" t="s">
        <v>157</v>
      </c>
      <c r="I784" s="296"/>
      <c r="J784" s="102"/>
      <c r="K784" s="103"/>
      <c r="L784" s="102" t="str">
        <f t="array" ref="L784">INDEX('MTA 28-09'!S:S,MATCH(B784,'MTA 28-09'!A:A,0))</f>
        <v>C-98</v>
      </c>
      <c r="M784" s="98" t="str">
        <f t="array" ref="M784">INDEX('MTA 28-09'!T:T,MATCH(B784,'MTA 28-09'!A:A,0))</f>
        <v>2025-BABR-13</v>
      </c>
      <c r="N784" s="98" t="str">
        <f t="array" ref="N784">INDEX('MTA 28-09'!U:U,MATCH(B784,'MTA 28-09'!A:A,0))</f>
        <v>PN T2680003-10 - TEMPLATE/SCALE ASSEMBLY</v>
      </c>
      <c r="O784" s="104">
        <f t="array" ref="O784">INDEX('MTA 28-09'!AC:AC,MATCH(B784,'MTA 28-09'!A:A,0))</f>
        <v>4227.84</v>
      </c>
      <c r="P784" s="98" t="str">
        <f t="array" ref="P784">INDEX('MTA 28-09'!N:N,MATCH(B784,'MTA 28-09'!A:A,0))</f>
        <v>CABW</v>
      </c>
      <c r="Q784" s="105" t="str">
        <f t="array" ref="Q784">INDEX('MTA 28-09'!Z:Z,MATCH(B784,'MTA 28-09'!A:A,0))</f>
        <v>449052</v>
      </c>
      <c r="R784" s="98" t="str">
        <f t="array" ref="R784">INDEX('MTA 28-09'!L:L,MATCH(B784,'MTA 28-09'!A:A,0))</f>
        <v>C</v>
      </c>
      <c r="S784" s="107" t="str">
        <f t="array" ref="S784">INDEX('MTA 28-09'!X:X,MATCH(B784,'MTA 28-09'!A:A,0))</f>
        <v>REQUISIÇÃO</v>
      </c>
      <c r="T784" s="107" t="str">
        <f t="array" ref="T784">INDEX('MTA 28-09'!W:W,MATCH(B784,'MTA 28-09'!A:A,0))</f>
        <v>Não</v>
      </c>
      <c r="U784" s="109">
        <f t="array" ref="U784">INDEX('MTA 28-09'!AE:AE,MATCH(B784,'MTA 28-09'!A:A,0))</f>
        <v>46168</v>
      </c>
      <c r="V784" s="29"/>
      <c r="W784" s="29"/>
      <c r="X784" s="29"/>
      <c r="Y784" s="29"/>
      <c r="Z784" s="29"/>
      <c r="AA784" s="29"/>
      <c r="AB784" s="29"/>
      <c r="AC784" s="29"/>
      <c r="AD784" s="29"/>
      <c r="AE784" s="29"/>
      <c r="AF784" s="29"/>
      <c r="AG784" s="29"/>
      <c r="AH784" s="29"/>
      <c r="AI784" s="29"/>
      <c r="AJ784" s="29"/>
      <c r="AK784" s="29"/>
      <c r="AL784" s="29"/>
      <c r="AM784" s="29"/>
    </row>
    <row r="785">
      <c r="A785" s="31" t="s">
        <v>45</v>
      </c>
      <c r="B785" s="32">
        <v>23120.0</v>
      </c>
      <c r="C785" s="33" t="str">
        <f t="array" ref="C785">INDEX('MTA 28-09'!B:B,MATCH(B785,'MTA 28-09'!A:A,0))</f>
        <v>NÃO</v>
      </c>
      <c r="D785" s="34" t="str">
        <f t="array" ref="D785">INDEX('MTA 28-09'!D:D,MATCH(B785,'MTA 28-09'!A:A,0))</f>
        <v/>
      </c>
      <c r="E785" s="32" t="str">
        <f t="array" ref="E785">INDEX('MTA 28-09'!F:F,MATCH(B785,'MTA 28-09'!A:A,0))</f>
        <v/>
      </c>
      <c r="F785" s="155" t="str">
        <f t="array" ref="F785">INDEX('MTA 28-09'!I:I,MATCH(B785,'MTA 28-09'!A:A,0))</f>
        <v/>
      </c>
      <c r="G785" s="36" t="str">
        <f t="array" ref="G785">INDEX('MTA 28-09'!J:J,MATCH(B785,'MTA 28-09'!A:A,0))</f>
        <v/>
      </c>
      <c r="H785" s="287" t="s">
        <v>157</v>
      </c>
      <c r="I785" s="295"/>
      <c r="J785" s="39"/>
      <c r="K785" s="40"/>
      <c r="L785" s="39" t="str">
        <f t="array" ref="L785">INDEX('MTA 28-09'!S:S,MATCH(B785,'MTA 28-09'!A:A,0))</f>
        <v>C-98</v>
      </c>
      <c r="M785" s="32" t="str">
        <f t="array" ref="M785">INDEX('MTA 28-09'!T:T,MATCH(B785,'MTA 28-09'!A:A,0))</f>
        <v>2025-BABR-24</v>
      </c>
      <c r="N785" s="32" t="str">
        <f t="array" ref="N785">INDEX('MTA 28-09'!U:U,MATCH(B785,'MTA 28-09'!A:A,0))</f>
        <v>PN PS47699-3-4 - PITOT TEST, ADAPTOR</v>
      </c>
      <c r="O785" s="59">
        <f t="array" ref="O785">INDEX('MTA 28-09'!AC:AC,MATCH(B785,'MTA 28-09'!A:A,0))</f>
        <v>9389.96</v>
      </c>
      <c r="P785" s="32" t="str">
        <f t="array" ref="P785">INDEX('MTA 28-09'!N:N,MATCH(B785,'MTA 28-09'!A:A,0))</f>
        <v>CABW</v>
      </c>
      <c r="Q785" s="67" t="str">
        <f t="array" ref="Q785">INDEX('MTA 28-09'!Z:Z,MATCH(B785,'MTA 28-09'!A:A,0))</f>
        <v>449052</v>
      </c>
      <c r="R785" s="32" t="str">
        <f t="array" ref="R785">INDEX('MTA 28-09'!L:L,MATCH(B785,'MTA 28-09'!A:A,0))</f>
        <v>C</v>
      </c>
      <c r="S785" s="72" t="str">
        <f t="array" ref="S785">INDEX('MTA 28-09'!X:X,MATCH(B785,'MTA 28-09'!A:A,0))</f>
        <v>REQUISIÇÃO</v>
      </c>
      <c r="T785" s="72" t="str">
        <f t="array" ref="T785">INDEX('MTA 28-09'!W:W,MATCH(B785,'MTA 28-09'!A:A,0))</f>
        <v>Não</v>
      </c>
      <c r="U785" s="81">
        <f t="array" ref="U785">INDEX('MTA 28-09'!AE:AE,MATCH(B785,'MTA 28-09'!A:A,0))</f>
        <v>46168</v>
      </c>
      <c r="V785" s="12"/>
      <c r="W785" s="12"/>
      <c r="X785" s="12"/>
      <c r="Y785" s="12"/>
      <c r="Z785" s="12"/>
      <c r="AA785" s="12"/>
      <c r="AB785" s="12"/>
      <c r="AC785" s="12"/>
      <c r="AD785" s="12"/>
      <c r="AE785" s="12"/>
      <c r="AF785" s="12"/>
      <c r="AG785" s="12"/>
      <c r="AH785" s="12"/>
      <c r="AI785" s="12"/>
      <c r="AJ785" s="12"/>
      <c r="AK785" s="12"/>
      <c r="AL785" s="12"/>
      <c r="AM785" s="12"/>
    </row>
    <row r="786">
      <c r="A786" s="88" t="s">
        <v>45</v>
      </c>
      <c r="B786" s="98">
        <v>23140.0</v>
      </c>
      <c r="C786" s="92" t="str">
        <f t="array" ref="C786">INDEX('MTA 28-09'!B:B,MATCH(B786,'MTA 28-09'!A:A,0))</f>
        <v>NÃO</v>
      </c>
      <c r="D786" s="95" t="str">
        <f t="array" ref="D786">INDEX('MTA 28-09'!D:D,MATCH(B786,'MTA 28-09'!A:A,0))</f>
        <v/>
      </c>
      <c r="E786" s="98" t="str">
        <f t="array" ref="E786">INDEX('MTA 28-09'!F:F,MATCH(B786,'MTA 28-09'!A:A,0))</f>
        <v/>
      </c>
      <c r="F786" s="144" t="str">
        <f t="array" ref="F786">INDEX('MTA 28-09'!I:I,MATCH(B786,'MTA 28-09'!A:A,0))</f>
        <v/>
      </c>
      <c r="G786" s="100" t="str">
        <f t="array" ref="G786">INDEX('MTA 28-09'!J:J,MATCH(B786,'MTA 28-09'!A:A,0))</f>
        <v/>
      </c>
      <c r="H786" s="159" t="s">
        <v>157</v>
      </c>
      <c r="I786" s="296"/>
      <c r="J786" s="102"/>
      <c r="K786" s="103"/>
      <c r="L786" s="102" t="str">
        <f t="array" ref="L786">INDEX('MTA 28-09'!S:S,MATCH(B786,'MTA 28-09'!A:A,0))</f>
        <v>C-98</v>
      </c>
      <c r="M786" s="98" t="str">
        <f t="array" ref="M786">INDEX('MTA 28-09'!T:T,MATCH(B786,'MTA 28-09'!A:A,0))</f>
        <v>2025-BABV-02</v>
      </c>
      <c r="N786" s="98" t="str">
        <f t="array" ref="N786">INDEX('MTA 28-09'!U:U,MATCH(B786,'MTA 28-09'!A:A,0))</f>
        <v>PN DBE4-0040 - GARFO DE REBOQUE COM TRATOR ANV C-98</v>
      </c>
      <c r="O786" s="104">
        <f t="array" ref="O786">INDEX('MTA 28-09'!AC:AC,MATCH(B786,'MTA 28-09'!A:A,0))</f>
        <v>1163.64</v>
      </c>
      <c r="P786" s="98" t="str">
        <f t="array" ref="P786">INDEX('MTA 28-09'!N:N,MATCH(B786,'MTA 28-09'!A:A,0))</f>
        <v>FMS</v>
      </c>
      <c r="Q786" s="105" t="str">
        <f t="array" ref="Q786">INDEX('MTA 28-09'!Z:Z,MATCH(B786,'MTA 28-09'!A:A,0))</f>
        <v>449052</v>
      </c>
      <c r="R786" s="98" t="str">
        <f t="array" ref="R786">INDEX('MTA 28-09'!L:L,MATCH(B786,'MTA 28-09'!A:A,0))</f>
        <v>C</v>
      </c>
      <c r="S786" s="107" t="str">
        <f t="array" ref="S786">INDEX('MTA 28-09'!X:X,MATCH(B786,'MTA 28-09'!A:A,0))</f>
        <v>REQUISIÇÃO</v>
      </c>
      <c r="T786" s="107" t="str">
        <f t="array" ref="T786">INDEX('MTA 28-09'!W:W,MATCH(B786,'MTA 28-09'!A:A,0))</f>
        <v>Não</v>
      </c>
      <c r="U786" s="109">
        <f t="array" ref="U786">INDEX('MTA 28-09'!AE:AE,MATCH(B786,'MTA 28-09'!A:A,0))</f>
        <v>46168</v>
      </c>
      <c r="V786" s="29"/>
      <c r="W786" s="29"/>
      <c r="X786" s="29"/>
      <c r="Y786" s="29"/>
      <c r="Z786" s="29"/>
      <c r="AA786" s="29"/>
      <c r="AB786" s="29"/>
      <c r="AC786" s="29"/>
      <c r="AD786" s="29"/>
      <c r="AE786" s="29"/>
      <c r="AF786" s="29"/>
      <c r="AG786" s="29"/>
      <c r="AH786" s="29"/>
      <c r="AI786" s="29"/>
      <c r="AJ786" s="29"/>
      <c r="AK786" s="29"/>
      <c r="AL786" s="29"/>
      <c r="AM786" s="29"/>
    </row>
    <row r="787">
      <c r="A787" s="31" t="s">
        <v>45</v>
      </c>
      <c r="B787" s="32">
        <v>23160.0</v>
      </c>
      <c r="C787" s="33" t="str">
        <f t="array" ref="C787">INDEX('MTA 28-09'!B:B,MATCH(B787,'MTA 28-09'!A:A,0))</f>
        <v>NÃO</v>
      </c>
      <c r="D787" s="34" t="str">
        <f t="array" ref="D787">INDEX('MTA 28-09'!D:D,MATCH(B787,'MTA 28-09'!A:A,0))</f>
        <v/>
      </c>
      <c r="E787" s="32" t="str">
        <f t="array" ref="E787">INDEX('MTA 28-09'!F:F,MATCH(B787,'MTA 28-09'!A:A,0))</f>
        <v/>
      </c>
      <c r="F787" s="137" t="str">
        <f t="array" ref="F787">INDEX('MTA 28-09'!I:I,MATCH(B787,'MTA 28-09'!A:A,0))</f>
        <v/>
      </c>
      <c r="G787" s="36" t="str">
        <f t="array" ref="G787">INDEX('MTA 28-09'!J:J,MATCH(B787,'MTA 28-09'!A:A,0))</f>
        <v/>
      </c>
      <c r="H787" s="287" t="s">
        <v>157</v>
      </c>
      <c r="I787" s="295"/>
      <c r="J787" s="39"/>
      <c r="K787" s="40"/>
      <c r="L787" s="39" t="str">
        <f t="array" ref="L787">INDEX('MTA 28-09'!S:S,MATCH(B787,'MTA 28-09'!A:A,0))</f>
        <v>C-98</v>
      </c>
      <c r="M787" s="32" t="str">
        <f t="array" ref="M787">INDEX('MTA 28-09'!T:T,MATCH(B787,'MTA 28-09'!A:A,0))</f>
        <v>2025-BABV-07</v>
      </c>
      <c r="N787" s="32" t="str">
        <f t="array" ref="N787">INDEX('MTA 28-09'!U:U,MATCH(B787,'MTA 28-09'!A:A,0))</f>
        <v>PN PS4769 - PITOT STATIC TEST ADAPTOR</v>
      </c>
      <c r="O787" s="59">
        <f t="array" ref="O787">INDEX('MTA 28-09'!AC:AC,MATCH(B787,'MTA 28-09'!A:A,0))</f>
        <v>7204.82</v>
      </c>
      <c r="P787" s="32" t="str">
        <f t="array" ref="P787">INDEX('MTA 28-09'!N:N,MATCH(B787,'MTA 28-09'!A:A,0))</f>
        <v>CABW</v>
      </c>
      <c r="Q787" s="67" t="str">
        <f t="array" ref="Q787">INDEX('MTA 28-09'!Z:Z,MATCH(B787,'MTA 28-09'!A:A,0))</f>
        <v>449052</v>
      </c>
      <c r="R787" s="32" t="str">
        <f t="array" ref="R787">INDEX('MTA 28-09'!L:L,MATCH(B787,'MTA 28-09'!A:A,0))</f>
        <v>C</v>
      </c>
      <c r="S787" s="72" t="str">
        <f t="array" ref="S787">INDEX('MTA 28-09'!X:X,MATCH(B787,'MTA 28-09'!A:A,0))</f>
        <v>REQUISIÇÃO</v>
      </c>
      <c r="T787" s="72" t="str">
        <f t="array" ref="T787">INDEX('MTA 28-09'!W:W,MATCH(B787,'MTA 28-09'!A:A,0))</f>
        <v>Não</v>
      </c>
      <c r="U787" s="81">
        <f t="array" ref="U787">INDEX('MTA 28-09'!AE:AE,MATCH(B787,'MTA 28-09'!A:A,0))</f>
        <v>46168</v>
      </c>
      <c r="V787" s="12"/>
      <c r="W787" s="12"/>
      <c r="X787" s="12"/>
      <c r="Y787" s="12"/>
      <c r="Z787" s="12"/>
      <c r="AA787" s="12"/>
      <c r="AB787" s="12"/>
      <c r="AC787" s="12"/>
      <c r="AD787" s="12"/>
      <c r="AE787" s="12"/>
      <c r="AF787" s="12"/>
      <c r="AG787" s="12"/>
      <c r="AH787" s="12"/>
      <c r="AI787" s="12"/>
      <c r="AJ787" s="12"/>
      <c r="AK787" s="12"/>
      <c r="AL787" s="12"/>
      <c r="AM787" s="12"/>
    </row>
    <row r="788">
      <c r="A788" s="88" t="s">
        <v>45</v>
      </c>
      <c r="B788" s="98">
        <v>23180.0</v>
      </c>
      <c r="C788" s="92" t="str">
        <f t="array" ref="C788">INDEX('MTA 28-09'!B:B,MATCH(B788,'MTA 28-09'!A:A,0))</f>
        <v>NÃO</v>
      </c>
      <c r="D788" s="95" t="str">
        <f t="array" ref="D788">INDEX('MTA 28-09'!D:D,MATCH(B788,'MTA 28-09'!A:A,0))</f>
        <v/>
      </c>
      <c r="E788" s="98" t="str">
        <f t="array" ref="E788">INDEX('MTA 28-09'!F:F,MATCH(B788,'MTA 28-09'!A:A,0))</f>
        <v/>
      </c>
      <c r="F788" s="152" t="str">
        <f t="array" ref="F788">INDEX('MTA 28-09'!I:I,MATCH(B788,'MTA 28-09'!A:A,0))</f>
        <v/>
      </c>
      <c r="G788" s="100" t="str">
        <f t="array" ref="G788">INDEX('MTA 28-09'!J:J,MATCH(B788,'MTA 28-09'!A:A,0))</f>
        <v/>
      </c>
      <c r="H788" s="159" t="s">
        <v>157</v>
      </c>
      <c r="I788" s="296"/>
      <c r="J788" s="102"/>
      <c r="K788" s="103"/>
      <c r="L788" s="102" t="str">
        <f t="array" ref="L788">INDEX('MTA 28-09'!S:S,MATCH(B788,'MTA 28-09'!A:A,0))</f>
        <v>C-98</v>
      </c>
      <c r="M788" s="98" t="str">
        <f t="array" ref="M788">INDEX('MTA 28-09'!T:T,MATCH(B788,'MTA 28-09'!A:A,0))</f>
        <v>2025-BABV-11</v>
      </c>
      <c r="N788" s="98" t="str">
        <f t="array" ref="N788">INDEX('MTA 28-09'!U:U,MATCH(B788,'MTA 28-09'!A:A,0))</f>
        <v>PN T2680003-10 - TEMPLATE/SCALE ASSEMBLY</v>
      </c>
      <c r="O788" s="104">
        <f t="array" ref="O788">INDEX('MTA 28-09'!AC:AC,MATCH(B788,'MTA 28-09'!A:A,0))</f>
        <v>3662.66</v>
      </c>
      <c r="P788" s="98" t="str">
        <f t="array" ref="P788">INDEX('MTA 28-09'!N:N,MATCH(B788,'MTA 28-09'!A:A,0))</f>
        <v>CABW</v>
      </c>
      <c r="Q788" s="105" t="str">
        <f t="array" ref="Q788">INDEX('MTA 28-09'!Z:Z,MATCH(B788,'MTA 28-09'!A:A,0))</f>
        <v>449052</v>
      </c>
      <c r="R788" s="98" t="str">
        <f t="array" ref="R788">INDEX('MTA 28-09'!L:L,MATCH(B788,'MTA 28-09'!A:A,0))</f>
        <v>C</v>
      </c>
      <c r="S788" s="107" t="str">
        <f t="array" ref="S788">INDEX('MTA 28-09'!X:X,MATCH(B788,'MTA 28-09'!A:A,0))</f>
        <v>REQUISIÇÃO</v>
      </c>
      <c r="T788" s="107" t="str">
        <f t="array" ref="T788">INDEX('MTA 28-09'!W:W,MATCH(B788,'MTA 28-09'!A:A,0))</f>
        <v>Não</v>
      </c>
      <c r="U788" s="109">
        <f t="array" ref="U788">INDEX('MTA 28-09'!AE:AE,MATCH(B788,'MTA 28-09'!A:A,0))</f>
        <v>46168</v>
      </c>
      <c r="V788" s="29"/>
      <c r="W788" s="29"/>
      <c r="X788" s="29"/>
      <c r="Y788" s="29"/>
      <c r="Z788" s="29"/>
      <c r="AA788" s="29"/>
      <c r="AB788" s="29"/>
      <c r="AC788" s="29"/>
      <c r="AD788" s="29"/>
      <c r="AE788" s="29"/>
      <c r="AF788" s="29"/>
      <c r="AG788" s="29"/>
      <c r="AH788" s="29"/>
      <c r="AI788" s="29"/>
      <c r="AJ788" s="29"/>
      <c r="AK788" s="29"/>
      <c r="AL788" s="29"/>
      <c r="AM788" s="29"/>
    </row>
    <row r="789">
      <c r="A789" s="31" t="s">
        <v>49</v>
      </c>
      <c r="B789" s="32">
        <v>23200.0</v>
      </c>
      <c r="C789" s="33" t="str">
        <f t="array" ref="C789">INDEX('MTA 28-09'!B:B,MATCH(B789,'MTA 28-09'!A:A,0))</f>
        <v>NÃO</v>
      </c>
      <c r="D789" s="34" t="str">
        <f t="array" ref="D789">INDEX('MTA 28-09'!D:D,MATCH(B789,'MTA 28-09'!A:A,0))</f>
        <v/>
      </c>
      <c r="E789" s="32" t="str">
        <f t="array" ref="E789">INDEX('MTA 28-09'!F:F,MATCH(B789,'MTA 28-09'!A:A,0))</f>
        <v/>
      </c>
      <c r="F789" s="32" t="str">
        <f t="array" ref="F789">INDEX('MTA 28-09'!I:I,MATCH(B789,'MTA 28-09'!A:A,0))</f>
        <v/>
      </c>
      <c r="G789" s="36" t="str">
        <f t="array" ref="G789">INDEX('MTA 28-09'!J:J,MATCH(B789,'MTA 28-09'!A:A,0))</f>
        <v/>
      </c>
      <c r="H789" s="287" t="s">
        <v>157</v>
      </c>
      <c r="I789" s="295"/>
      <c r="J789" s="39"/>
      <c r="K789" s="40"/>
      <c r="L789" s="39" t="str">
        <f t="array" ref="L789">INDEX('MTA 28-09'!S:S,MATCH(B789,'MTA 28-09'!A:A,0))</f>
        <v>IU-93M</v>
      </c>
      <c r="M789" s="32" t="str">
        <f t="array" ref="M789">INDEX('MTA 28-09'!T:T,MATCH(B789,'MTA 28-09'!A:A,0))</f>
        <v>Requisição CABW</v>
      </c>
      <c r="N789" s="32" t="str">
        <f t="array" ref="N789">INDEX('MTA 28-09'!U:U,MATCH(B789,'MTA 28-09'!A:A,0))</f>
        <v>Requisições Consumíveis 3/4</v>
      </c>
      <c r="O789" s="59">
        <f t="array" ref="O789">INDEX('MTA 28-09'!AC:AC,MATCH(B789,'MTA 28-09'!A:A,0))</f>
        <v>250000</v>
      </c>
      <c r="P789" s="32" t="str">
        <f t="array" ref="P789">INDEX('MTA 28-09'!N:N,MATCH(B789,'MTA 28-09'!A:A,0))</f>
        <v>CABW</v>
      </c>
      <c r="Q789" s="67" t="str">
        <f t="array" ref="Q789">INDEX('MTA 28-09'!Z:Z,MATCH(B789,'MTA 28-09'!A:A,0))</f>
        <v>339030</v>
      </c>
      <c r="R789" s="32" t="str">
        <f t="array" ref="R789">INDEX('MTA 28-09'!L:L,MATCH(B789,'MTA 28-09'!A:A,0))</f>
        <v>C</v>
      </c>
      <c r="S789" s="72" t="str">
        <f t="array" ref="S789">INDEX('MTA 28-09'!X:X,MATCH(B789,'MTA 28-09'!A:A,0))</f>
        <v>REQUISIÇÃO</v>
      </c>
      <c r="T789" s="72" t="str">
        <f t="array" ref="T789">INDEX('MTA 28-09'!W:W,MATCH(B789,'MTA 28-09'!A:A,0))</f>
        <v>Não</v>
      </c>
      <c r="U789" s="81">
        <f t="array" ref="U789">INDEX('MTA 28-09'!AE:AE,MATCH(B789,'MTA 28-09'!A:A,0))</f>
        <v>46168</v>
      </c>
      <c r="V789" s="12"/>
      <c r="W789" s="12"/>
      <c r="X789" s="12"/>
      <c r="Y789" s="12"/>
      <c r="Z789" s="12"/>
      <c r="AA789" s="12"/>
      <c r="AB789" s="12"/>
      <c r="AC789" s="12"/>
      <c r="AD789" s="12"/>
      <c r="AE789" s="12"/>
      <c r="AF789" s="12"/>
      <c r="AG789" s="12"/>
      <c r="AH789" s="12"/>
      <c r="AI789" s="12"/>
      <c r="AJ789" s="12"/>
      <c r="AK789" s="12"/>
      <c r="AL789" s="12"/>
      <c r="AM789" s="12"/>
    </row>
    <row r="790">
      <c r="A790" s="88" t="s">
        <v>49</v>
      </c>
      <c r="B790" s="98">
        <v>23220.0</v>
      </c>
      <c r="C790" s="92" t="str">
        <f t="array" ref="C790">INDEX('MTA 28-09'!B:B,MATCH(B790,'MTA 28-09'!A:A,0))</f>
        <v>NÃO</v>
      </c>
      <c r="D790" s="95" t="str">
        <f t="array" ref="D790">INDEX('MTA 28-09'!D:D,MATCH(B790,'MTA 28-09'!A:A,0))</f>
        <v/>
      </c>
      <c r="E790" s="98" t="str">
        <f t="array" ref="E790">INDEX('MTA 28-09'!F:F,MATCH(B790,'MTA 28-09'!A:A,0))</f>
        <v/>
      </c>
      <c r="F790" s="152" t="str">
        <f t="array" ref="F790">INDEX('MTA 28-09'!I:I,MATCH(B790,'MTA 28-09'!A:A,0))</f>
        <v/>
      </c>
      <c r="G790" s="100" t="str">
        <f t="array" ref="G790">INDEX('MTA 28-09'!J:J,MATCH(B790,'MTA 28-09'!A:A,0))</f>
        <v/>
      </c>
      <c r="H790" s="159" t="s">
        <v>157</v>
      </c>
      <c r="I790" s="296"/>
      <c r="J790" s="102"/>
      <c r="K790" s="103"/>
      <c r="L790" s="102" t="str">
        <f t="array" ref="L790">INDEX('MTA 28-09'!S:S,MATCH(B790,'MTA 28-09'!A:A,0))</f>
        <v>IU-93M</v>
      </c>
      <c r="M790" s="98" t="str">
        <f t="array" ref="M790">INDEX('MTA 28-09'!T:T,MATCH(B790,'MTA 28-09'!A:A,0))</f>
        <v>Requisição FMS</v>
      </c>
      <c r="N790" s="98" t="str">
        <f t="array" ref="N790">INDEX('MTA 28-09'!U:U,MATCH(B790,'MTA 28-09'!A:A,0))</f>
        <v>Requisições Consumíveis 1/4</v>
      </c>
      <c r="O790" s="104">
        <f t="array" ref="O790">INDEX('MTA 28-09'!AC:AC,MATCH(B790,'MTA 28-09'!A:A,0))</f>
        <v>30000</v>
      </c>
      <c r="P790" s="98" t="str">
        <f t="array" ref="P790">INDEX('MTA 28-09'!N:N,MATCH(B790,'MTA 28-09'!A:A,0))</f>
        <v>FMS</v>
      </c>
      <c r="Q790" s="105" t="str">
        <f t="array" ref="Q790">INDEX('MTA 28-09'!Z:Z,MATCH(B790,'MTA 28-09'!A:A,0))</f>
        <v>339030</v>
      </c>
      <c r="R790" s="98" t="str">
        <f t="array" ref="R790">INDEX('MTA 28-09'!L:L,MATCH(B790,'MTA 28-09'!A:A,0))</f>
        <v>C</v>
      </c>
      <c r="S790" s="107" t="str">
        <f t="array" ref="S790">INDEX('MTA 28-09'!X:X,MATCH(B790,'MTA 28-09'!A:A,0))</f>
        <v>REQUISIÇÃO</v>
      </c>
      <c r="T790" s="107" t="str">
        <f t="array" ref="T790">INDEX('MTA 28-09'!W:W,MATCH(B790,'MTA 28-09'!A:A,0))</f>
        <v>Não</v>
      </c>
      <c r="U790" s="109">
        <f t="array" ref="U790">INDEX('MTA 28-09'!AE:AE,MATCH(B790,'MTA 28-09'!A:A,0))</f>
        <v>46168</v>
      </c>
      <c r="V790" s="29"/>
      <c r="W790" s="29"/>
      <c r="X790" s="29"/>
      <c r="Y790" s="29"/>
      <c r="Z790" s="29"/>
      <c r="AA790" s="29"/>
      <c r="AB790" s="29"/>
      <c r="AC790" s="29"/>
      <c r="AD790" s="29"/>
      <c r="AE790" s="29"/>
      <c r="AF790" s="29"/>
      <c r="AG790" s="29"/>
      <c r="AH790" s="29"/>
      <c r="AI790" s="29"/>
      <c r="AJ790" s="29"/>
      <c r="AK790" s="29"/>
      <c r="AL790" s="29"/>
      <c r="AM790" s="29"/>
    </row>
    <row r="791">
      <c r="A791" s="31" t="s">
        <v>48</v>
      </c>
      <c r="B791" s="32">
        <v>23240.0</v>
      </c>
      <c r="C791" s="33" t="str">
        <f t="array" ref="C791">INDEX('MTA 28-09'!B:B,MATCH(B791,'MTA 28-09'!A:A,0))</f>
        <v>NÃO</v>
      </c>
      <c r="D791" s="34" t="str">
        <f t="array" ref="D791">INDEX('MTA 28-09'!D:D,MATCH(B791,'MTA 28-09'!A:A,0))</f>
        <v/>
      </c>
      <c r="E791" s="32" t="str">
        <f t="array" ref="E791">INDEX('MTA 28-09'!F:F,MATCH(B791,'MTA 28-09'!A:A,0))</f>
        <v/>
      </c>
      <c r="F791" s="137" t="str">
        <f t="array" ref="F791">INDEX('MTA 28-09'!I:I,MATCH(B791,'MTA 28-09'!A:A,0))</f>
        <v/>
      </c>
      <c r="G791" s="36" t="str">
        <f t="array" ref="G791">INDEX('MTA 28-09'!J:J,MATCH(B791,'MTA 28-09'!A:A,0))</f>
        <v/>
      </c>
      <c r="H791" s="287" t="s">
        <v>157</v>
      </c>
      <c r="I791" s="295"/>
      <c r="J791" s="39"/>
      <c r="K791" s="40"/>
      <c r="L791" s="39" t="str">
        <f t="array" ref="L791">INDEX('MTA 28-09'!S:S,MATCH(B791,'MTA 28-09'!A:A,0))</f>
        <v>G-19</v>
      </c>
      <c r="M791" s="32" t="str">
        <f t="array" ref="M791">INDEX('MTA 28-09'!T:T,MATCH(B791,'MTA 28-09'!A:A,0))</f>
        <v>Requisição CABW</v>
      </c>
      <c r="N791" s="32" t="str">
        <f t="array" ref="N791">INDEX('MTA 28-09'!U:U,MATCH(B791,'MTA 28-09'!A:A,0))</f>
        <v>Requisições Consumíveis 5/8</v>
      </c>
      <c r="O791" s="59">
        <f t="array" ref="O791">INDEX('MTA 28-09'!AC:AC,MATCH(B791,'MTA 28-09'!A:A,0))</f>
        <v>130000</v>
      </c>
      <c r="P791" s="32" t="str">
        <f t="array" ref="P791">INDEX('MTA 28-09'!N:N,MATCH(B791,'MTA 28-09'!A:A,0))</f>
        <v>CABW</v>
      </c>
      <c r="Q791" s="67" t="str">
        <f t="array" ref="Q791">INDEX('MTA 28-09'!Z:Z,MATCH(B791,'MTA 28-09'!A:A,0))</f>
        <v>339030</v>
      </c>
      <c r="R791" s="32" t="str">
        <f t="array" ref="R791">INDEX('MTA 28-09'!L:L,MATCH(B791,'MTA 28-09'!A:A,0))</f>
        <v>C</v>
      </c>
      <c r="S791" s="72" t="str">
        <f t="array" ref="S791">INDEX('MTA 28-09'!X:X,MATCH(B791,'MTA 28-09'!A:A,0))</f>
        <v>REQUISIÇÃO</v>
      </c>
      <c r="T791" s="72" t="str">
        <f t="array" ref="T791">INDEX('MTA 28-09'!W:W,MATCH(B791,'MTA 28-09'!A:A,0))</f>
        <v>Não</v>
      </c>
      <c r="U791" s="81">
        <f t="array" ref="U791">INDEX('MTA 28-09'!AE:AE,MATCH(B791,'MTA 28-09'!A:A,0))</f>
        <v>46168</v>
      </c>
      <c r="V791" s="12"/>
      <c r="W791" s="12"/>
      <c r="X791" s="12"/>
      <c r="Y791" s="12"/>
      <c r="Z791" s="12"/>
      <c r="AA791" s="12"/>
      <c r="AB791" s="12"/>
      <c r="AC791" s="12"/>
      <c r="AD791" s="12"/>
      <c r="AE791" s="12"/>
      <c r="AF791" s="12"/>
      <c r="AG791" s="12"/>
      <c r="AH791" s="12"/>
      <c r="AI791" s="12"/>
      <c r="AJ791" s="12"/>
      <c r="AK791" s="12"/>
      <c r="AL791" s="12"/>
      <c r="AM791" s="12"/>
    </row>
    <row r="792">
      <c r="A792" s="88" t="s">
        <v>48</v>
      </c>
      <c r="B792" s="98">
        <v>23260.0</v>
      </c>
      <c r="C792" s="92" t="str">
        <f t="array" ref="C792">INDEX('MTA 28-09'!B:B,MATCH(B792,'MTA 28-09'!A:A,0))</f>
        <v>NÃO</v>
      </c>
      <c r="D792" s="95" t="str">
        <f t="array" ref="D792">INDEX('MTA 28-09'!D:D,MATCH(B792,'MTA 28-09'!A:A,0))</f>
        <v/>
      </c>
      <c r="E792" s="98" t="str">
        <f t="array" ref="E792">INDEX('MTA 28-09'!F:F,MATCH(B792,'MTA 28-09'!A:A,0))</f>
        <v/>
      </c>
      <c r="F792" s="144" t="str">
        <f t="array" ref="F792">INDEX('MTA 28-09'!I:I,MATCH(B792,'MTA 28-09'!A:A,0))</f>
        <v/>
      </c>
      <c r="G792" s="100" t="str">
        <f t="array" ref="G792">INDEX('MTA 28-09'!J:J,MATCH(B792,'MTA 28-09'!A:A,0))</f>
        <v/>
      </c>
      <c r="H792" s="159" t="s">
        <v>157</v>
      </c>
      <c r="I792" s="296"/>
      <c r="J792" s="102"/>
      <c r="K792" s="103"/>
      <c r="L792" s="102" t="str">
        <f t="array" ref="L792">INDEX('MTA 28-09'!S:S,MATCH(B792,'MTA 28-09'!A:A,0))</f>
        <v>G-19</v>
      </c>
      <c r="M792" s="98" t="str">
        <f t="array" ref="M792">INDEX('MTA 28-09'!T:T,MATCH(B792,'MTA 28-09'!A:A,0))</f>
        <v>Requisição CABW</v>
      </c>
      <c r="N792" s="98" t="str">
        <f t="array" ref="N792">INDEX('MTA 28-09'!U:U,MATCH(B792,'MTA 28-09'!A:A,0))</f>
        <v>Requisições Consumíveis 7/8</v>
      </c>
      <c r="O792" s="104">
        <f t="array" ref="O792">INDEX('MTA 28-09'!AC:AC,MATCH(B792,'MTA 28-09'!A:A,0))</f>
        <v>130000</v>
      </c>
      <c r="P792" s="98" t="str">
        <f t="array" ref="P792">INDEX('MTA 28-09'!N:N,MATCH(B792,'MTA 28-09'!A:A,0))</f>
        <v>CABW</v>
      </c>
      <c r="Q792" s="105" t="str">
        <f t="array" ref="Q792">INDEX('MTA 28-09'!Z:Z,MATCH(B792,'MTA 28-09'!A:A,0))</f>
        <v>339030</v>
      </c>
      <c r="R792" s="98" t="str">
        <f t="array" ref="R792">INDEX('MTA 28-09'!L:L,MATCH(B792,'MTA 28-09'!A:A,0))</f>
        <v>C</v>
      </c>
      <c r="S792" s="107" t="str">
        <f t="array" ref="S792">INDEX('MTA 28-09'!X:X,MATCH(B792,'MTA 28-09'!A:A,0))</f>
        <v>REQUISIÇÃO</v>
      </c>
      <c r="T792" s="107" t="str">
        <f t="array" ref="T792">INDEX('MTA 28-09'!W:W,MATCH(B792,'MTA 28-09'!A:A,0))</f>
        <v>Não</v>
      </c>
      <c r="U792" s="109">
        <f t="array" ref="U792">INDEX('MTA 28-09'!AE:AE,MATCH(B792,'MTA 28-09'!A:A,0))</f>
        <v>46168</v>
      </c>
      <c r="V792" s="29"/>
      <c r="W792" s="29"/>
      <c r="X792" s="29"/>
      <c r="Y792" s="29"/>
      <c r="Z792" s="29"/>
      <c r="AA792" s="29"/>
      <c r="AB792" s="29"/>
      <c r="AC792" s="29"/>
      <c r="AD792" s="29"/>
      <c r="AE792" s="29"/>
      <c r="AF792" s="29"/>
      <c r="AG792" s="29"/>
      <c r="AH792" s="29"/>
      <c r="AI792" s="29"/>
      <c r="AJ792" s="29"/>
      <c r="AK792" s="29"/>
      <c r="AL792" s="29"/>
      <c r="AM792" s="29"/>
    </row>
    <row r="793">
      <c r="A793" s="31" t="s">
        <v>107</v>
      </c>
      <c r="B793" s="32">
        <v>23280.0</v>
      </c>
      <c r="C793" s="33" t="str">
        <f t="array" ref="C793">INDEX('MTA 28-09'!B:B,MATCH(B793,'MTA 28-09'!A:A,0))</f>
        <v>NÃO</v>
      </c>
      <c r="D793" s="34" t="str">
        <f t="array" ref="D793">INDEX('MTA 28-09'!D:D,MATCH(B793,'MTA 28-09'!A:A,0))</f>
        <v/>
      </c>
      <c r="E793" s="32" t="str">
        <f t="array" ref="E793">INDEX('MTA 28-09'!F:F,MATCH(B793,'MTA 28-09'!A:A,0))</f>
        <v/>
      </c>
      <c r="F793" s="137" t="str">
        <f t="array" ref="F793">INDEX('MTA 28-09'!I:I,MATCH(B793,'MTA 28-09'!A:A,0))</f>
        <v/>
      </c>
      <c r="G793" s="36" t="str">
        <f t="array" ref="G793">INDEX('MTA 28-09'!J:J,MATCH(B793,'MTA 28-09'!A:A,0))</f>
        <v/>
      </c>
      <c r="H793" s="287" t="s">
        <v>157</v>
      </c>
      <c r="I793" s="295"/>
      <c r="J793" s="39"/>
      <c r="K793" s="40"/>
      <c r="L793" s="39" t="str">
        <f t="array" ref="L793">INDEX('MTA 28-09'!S:S,MATCH(B793,'MTA 28-09'!A:A,0))</f>
        <v>APOIO</v>
      </c>
      <c r="M793" s="32" t="str">
        <f t="array" ref="M793">INDEX('MTA 28-09'!T:T,MATCH(B793,'MTA 28-09'!A:A,0))</f>
        <v>MATERIAL PERMANENTE OFICINA SSS</v>
      </c>
      <c r="N793" s="32" t="str">
        <f t="array" ref="N793">INDEX('MTA 28-09'!U:U,MATCH(B793,'MTA 28-09'!A:A,0))</f>
        <v>AQUISIÇÃO DE MATERIAL PERMANENTE OFICINA SSS</v>
      </c>
      <c r="O793" s="59">
        <f t="array" ref="O793">INDEX('MTA 28-09'!AC:AC,MATCH(B793,'MTA 28-09'!A:A,0))</f>
        <v>263721.4</v>
      </c>
      <c r="P793" s="32" t="str">
        <f t="array" ref="P793">INDEX('MTA 28-09'!N:N,MATCH(B793,'MTA 28-09'!A:A,0))</f>
        <v>CABW</v>
      </c>
      <c r="Q793" s="67" t="str">
        <f t="array" ref="Q793">INDEX('MTA 28-09'!Z:Z,MATCH(B793,'MTA 28-09'!A:A,0))</f>
        <v>449052</v>
      </c>
      <c r="R793" s="32" t="str">
        <f t="array" ref="R793">INDEX('MTA 28-09'!L:L,MATCH(B793,'MTA 28-09'!A:A,0))</f>
        <v>C</v>
      </c>
      <c r="S793" s="72" t="str">
        <f t="array" ref="S793">INDEX('MTA 28-09'!X:X,MATCH(B793,'MTA 28-09'!A:A,0))</f>
        <v>REQUISIÇÃO</v>
      </c>
      <c r="T793" s="72" t="str">
        <f t="array" ref="T793">INDEX('MTA 28-09'!W:W,MATCH(B793,'MTA 28-09'!A:A,0))</f>
        <v>NÃO</v>
      </c>
      <c r="U793" s="81">
        <f t="array" ref="U793">INDEX('MTA 28-09'!AE:AE,MATCH(B793,'MTA 28-09'!A:A,0))</f>
        <v>46168</v>
      </c>
      <c r="V793" s="12"/>
      <c r="W793" s="12"/>
      <c r="X793" s="12"/>
      <c r="Y793" s="12"/>
      <c r="Z793" s="12"/>
      <c r="AA793" s="12"/>
      <c r="AB793" s="12"/>
      <c r="AC793" s="12"/>
      <c r="AD793" s="12"/>
      <c r="AE793" s="12"/>
      <c r="AF793" s="12"/>
      <c r="AG793" s="12"/>
      <c r="AH793" s="12"/>
      <c r="AI793" s="12"/>
      <c r="AJ793" s="12"/>
      <c r="AK793" s="12"/>
      <c r="AL793" s="12"/>
      <c r="AM793" s="12"/>
    </row>
    <row r="794">
      <c r="A794" s="88" t="s">
        <v>1575</v>
      </c>
      <c r="B794" s="98">
        <v>23300.0</v>
      </c>
      <c r="C794" s="92" t="str">
        <f t="array" ref="C794">INDEX('MTA 28-09'!B:B,MATCH(B794,'MTA 28-09'!A:A,0))</f>
        <v>NÃO</v>
      </c>
      <c r="D794" s="95" t="str">
        <f t="array" ref="D794">INDEX('MTA 28-09'!D:D,MATCH(B794,'MTA 28-09'!A:A,0))</f>
        <v/>
      </c>
      <c r="E794" s="98" t="str">
        <f t="array" ref="E794">INDEX('MTA 28-09'!F:F,MATCH(B794,'MTA 28-09'!A:A,0))</f>
        <v/>
      </c>
      <c r="F794" s="144" t="str">
        <f t="array" ref="F794">INDEX('MTA 28-09'!I:I,MATCH(B794,'MTA 28-09'!A:A,0))</f>
        <v/>
      </c>
      <c r="G794" s="100" t="str">
        <f t="array" ref="G794">INDEX('MTA 28-09'!J:J,MATCH(B794,'MTA 28-09'!A:A,0))</f>
        <v/>
      </c>
      <c r="H794" s="159" t="s">
        <v>157</v>
      </c>
      <c r="I794" s="296"/>
      <c r="J794" s="102"/>
      <c r="K794" s="103"/>
      <c r="L794" s="102" t="str">
        <f t="array" ref="L794">INDEX('MTA 28-09'!S:S,MATCH(B794,'MTA 28-09'!A:A,0))</f>
        <v>APOIO</v>
      </c>
      <c r="M794" s="98" t="str">
        <f t="array" ref="M794">INDEX('MTA 28-09'!T:T,MATCH(B794,'MTA 28-09'!A:A,0))</f>
        <v>2025-BAAN-01</v>
      </c>
      <c r="N794" s="98" t="str">
        <f t="array" ref="N794">INDEX('MTA 28-09'!U:U,MATCH(B794,'MTA 28-09'!A:A,0))</f>
        <v>PN K990D23862 - LOAD BANK,ELECTRICA, BANCO DE CARGA ELÉTRICA</v>
      </c>
      <c r="O794" s="104">
        <f t="array" ref="O794">INDEX('MTA 28-09'!AC:AC,MATCH(B794,'MTA 28-09'!A:A,0))</f>
        <v>31696</v>
      </c>
      <c r="P794" s="98" t="str">
        <f t="array" ref="P794">INDEX('MTA 28-09'!N:N,MATCH(B794,'MTA 28-09'!A:A,0))</f>
        <v>CABW</v>
      </c>
      <c r="Q794" s="105" t="str">
        <f t="array" ref="Q794">INDEX('MTA 28-09'!Z:Z,MATCH(B794,'MTA 28-09'!A:A,0))</f>
        <v>449052</v>
      </c>
      <c r="R794" s="98" t="str">
        <f t="array" ref="R794">INDEX('MTA 28-09'!L:L,MATCH(B794,'MTA 28-09'!A:A,0))</f>
        <v>C</v>
      </c>
      <c r="S794" s="107" t="str">
        <f t="array" ref="S794">INDEX('MTA 28-09'!X:X,MATCH(B794,'MTA 28-09'!A:A,0))</f>
        <v>REQUISIÇÃO</v>
      </c>
      <c r="T794" s="107" t="str">
        <f t="array" ref="T794">INDEX('MTA 28-09'!W:W,MATCH(B794,'MTA 28-09'!A:A,0))</f>
        <v>Não</v>
      </c>
      <c r="U794" s="109">
        <f t="array" ref="U794">INDEX('MTA 28-09'!AE:AE,MATCH(B794,'MTA 28-09'!A:A,0))</f>
        <v>46168</v>
      </c>
      <c r="V794" s="29"/>
      <c r="W794" s="29"/>
      <c r="X794" s="29"/>
      <c r="Y794" s="29"/>
      <c r="Z794" s="29"/>
      <c r="AA794" s="29"/>
      <c r="AB794" s="29"/>
      <c r="AC794" s="29"/>
      <c r="AD794" s="29"/>
      <c r="AE794" s="29"/>
      <c r="AF794" s="29"/>
      <c r="AG794" s="29"/>
      <c r="AH794" s="29"/>
      <c r="AI794" s="29"/>
      <c r="AJ794" s="29"/>
      <c r="AK794" s="29"/>
      <c r="AL794" s="29"/>
      <c r="AM794" s="29"/>
    </row>
    <row r="795">
      <c r="A795" s="31" t="s">
        <v>1575</v>
      </c>
      <c r="B795" s="32">
        <v>23320.0</v>
      </c>
      <c r="C795" s="33" t="str">
        <f t="array" ref="C795">INDEX('MTA 28-09'!B:B,MATCH(B795,'MTA 28-09'!A:A,0))</f>
        <v>NÃO</v>
      </c>
      <c r="D795" s="34" t="str">
        <f t="array" ref="D795">INDEX('MTA 28-09'!D:D,MATCH(B795,'MTA 28-09'!A:A,0))</f>
        <v/>
      </c>
      <c r="E795" s="32" t="str">
        <f t="array" ref="E795">INDEX('MTA 28-09'!F:F,MATCH(B795,'MTA 28-09'!A:A,0))</f>
        <v/>
      </c>
      <c r="F795" s="137" t="str">
        <f t="array" ref="F795">INDEX('MTA 28-09'!I:I,MATCH(B795,'MTA 28-09'!A:A,0))</f>
        <v/>
      </c>
      <c r="G795" s="36" t="str">
        <f t="array" ref="G795">INDEX('MTA 28-09'!J:J,MATCH(B795,'MTA 28-09'!A:A,0))</f>
        <v/>
      </c>
      <c r="H795" s="287" t="s">
        <v>157</v>
      </c>
      <c r="I795" s="295"/>
      <c r="J795" s="39"/>
      <c r="K795" s="40"/>
      <c r="L795" s="39" t="str">
        <f t="array" ref="L795">INDEX('MTA 28-09'!S:S,MATCH(B795,'MTA 28-09'!A:A,0))</f>
        <v>APOIO</v>
      </c>
      <c r="M795" s="32" t="str">
        <f t="array" ref="M795">INDEX('MTA 28-09'!T:T,MATCH(B795,'MTA 28-09'!A:A,0))</f>
        <v>2025-BAAN-02</v>
      </c>
      <c r="N795" s="32" t="str">
        <f t="array" ref="N795">INDEX('MTA 28-09'!U:U,MATCH(B795,'MTA 28-09'!A:A,0))</f>
        <v>PN L-28 - LOAD BANK (BANCO DE CARGA EÇLÉTRICA)</v>
      </c>
      <c r="O795" s="59">
        <f t="array" ref="O795">INDEX('MTA 28-09'!AC:AC,MATCH(B795,'MTA 28-09'!A:A,0))</f>
        <v>18664.62</v>
      </c>
      <c r="P795" s="32" t="str">
        <f t="array" ref="P795">INDEX('MTA 28-09'!N:N,MATCH(B795,'MTA 28-09'!A:A,0))</f>
        <v>CABW</v>
      </c>
      <c r="Q795" s="67" t="str">
        <f t="array" ref="Q795">INDEX('MTA 28-09'!Z:Z,MATCH(B795,'MTA 28-09'!A:A,0))</f>
        <v>449052</v>
      </c>
      <c r="R795" s="32" t="str">
        <f t="array" ref="R795">INDEX('MTA 28-09'!L:L,MATCH(B795,'MTA 28-09'!A:A,0))</f>
        <v>C</v>
      </c>
      <c r="S795" s="72" t="str">
        <f t="array" ref="S795">INDEX('MTA 28-09'!X:X,MATCH(B795,'MTA 28-09'!A:A,0))</f>
        <v>REQUISIÇÃO</v>
      </c>
      <c r="T795" s="72" t="str">
        <f t="array" ref="T795">INDEX('MTA 28-09'!W:W,MATCH(B795,'MTA 28-09'!A:A,0))</f>
        <v>Não</v>
      </c>
      <c r="U795" s="81">
        <f t="array" ref="U795">INDEX('MTA 28-09'!AE:AE,MATCH(B795,'MTA 28-09'!A:A,0))</f>
        <v>46168</v>
      </c>
      <c r="V795" s="12"/>
      <c r="W795" s="12"/>
      <c r="X795" s="12"/>
      <c r="Y795" s="12"/>
      <c r="Z795" s="12"/>
      <c r="AA795" s="12"/>
      <c r="AB795" s="12"/>
      <c r="AC795" s="12"/>
      <c r="AD795" s="12"/>
      <c r="AE795" s="12"/>
      <c r="AF795" s="12"/>
      <c r="AG795" s="12"/>
      <c r="AH795" s="12"/>
      <c r="AI795" s="12"/>
      <c r="AJ795" s="12"/>
      <c r="AK795" s="12"/>
      <c r="AL795" s="12"/>
      <c r="AM795" s="12"/>
    </row>
    <row r="796">
      <c r="A796" s="88" t="s">
        <v>1572</v>
      </c>
      <c r="B796" s="98">
        <v>23340.0</v>
      </c>
      <c r="C796" s="92" t="str">
        <f t="array" ref="C796">INDEX('MTA 28-09'!B:B,MATCH(B796,'MTA 28-09'!A:A,0))</f>
        <v>NÃO</v>
      </c>
      <c r="D796" s="95" t="str">
        <f t="array" ref="D796">INDEX('MTA 28-09'!D:D,MATCH(B796,'MTA 28-09'!A:A,0))</f>
        <v/>
      </c>
      <c r="E796" s="98" t="str">
        <f t="array" ref="E796">INDEX('MTA 28-09'!F:F,MATCH(B796,'MTA 28-09'!A:A,0))</f>
        <v/>
      </c>
      <c r="F796" s="152" t="str">
        <f t="array" ref="F796">INDEX('MTA 28-09'!I:I,MATCH(B796,'MTA 28-09'!A:A,0))</f>
        <v/>
      </c>
      <c r="G796" s="100" t="str">
        <f t="array" ref="G796">INDEX('MTA 28-09'!J:J,MATCH(B796,'MTA 28-09'!A:A,0))</f>
        <v/>
      </c>
      <c r="H796" s="159" t="s">
        <v>157</v>
      </c>
      <c r="I796" s="296"/>
      <c r="J796" s="102"/>
      <c r="K796" s="103"/>
      <c r="L796" s="102" t="str">
        <f t="array" ref="L796">INDEX('MTA 28-09'!S:S,MATCH(B796,'MTA 28-09'!A:A,0))</f>
        <v>APOIO</v>
      </c>
      <c r="M796" s="98" t="str">
        <f t="array" ref="M796">INDEX('MTA 28-09'!T:T,MATCH(B796,'MTA 28-09'!A:A,0))</f>
        <v>2025-IPEV-03</v>
      </c>
      <c r="N796" s="98" t="str">
        <f t="array" ref="N796">INDEX('MTA 28-09'!U:U,MATCH(B796,'MTA 28-09'!A:A,0))</f>
        <v>PN OMG22100C - JACK HYDRAULIC SERVICE, CAPACITY 10TONS</v>
      </c>
      <c r="O796" s="104">
        <f t="array" ref="O796">INDEX('MTA 28-09'!AC:AC,MATCH(B796,'MTA 28-09'!A:A,0))</f>
        <v>16622.96</v>
      </c>
      <c r="P796" s="98" t="str">
        <f t="array" ref="P796">INDEX('MTA 28-09'!N:N,MATCH(B796,'MTA 28-09'!A:A,0))</f>
        <v>CABW</v>
      </c>
      <c r="Q796" s="105" t="str">
        <f t="array" ref="Q796">INDEX('MTA 28-09'!Z:Z,MATCH(B796,'MTA 28-09'!A:A,0))</f>
        <v>449052</v>
      </c>
      <c r="R796" s="98" t="str">
        <f t="array" ref="R796">INDEX('MTA 28-09'!L:L,MATCH(B796,'MTA 28-09'!A:A,0))</f>
        <v>C</v>
      </c>
      <c r="S796" s="107" t="str">
        <f t="array" ref="S796">INDEX('MTA 28-09'!X:X,MATCH(B796,'MTA 28-09'!A:A,0))</f>
        <v>REQUISIÇÃO</v>
      </c>
      <c r="T796" s="107" t="str">
        <f t="array" ref="T796">INDEX('MTA 28-09'!W:W,MATCH(B796,'MTA 28-09'!A:A,0))</f>
        <v>Não</v>
      </c>
      <c r="U796" s="109">
        <f t="array" ref="U796">INDEX('MTA 28-09'!AE:AE,MATCH(B796,'MTA 28-09'!A:A,0))</f>
        <v>46168</v>
      </c>
      <c r="V796" s="29"/>
      <c r="W796" s="29"/>
      <c r="X796" s="29"/>
      <c r="Y796" s="29"/>
      <c r="Z796" s="29"/>
      <c r="AA796" s="29"/>
      <c r="AB796" s="29"/>
      <c r="AC796" s="29"/>
      <c r="AD796" s="29"/>
      <c r="AE796" s="29"/>
      <c r="AF796" s="29"/>
      <c r="AG796" s="29"/>
      <c r="AH796" s="29"/>
      <c r="AI796" s="29"/>
      <c r="AJ796" s="29"/>
      <c r="AK796" s="29"/>
      <c r="AL796" s="29"/>
      <c r="AM796" s="29"/>
    </row>
    <row r="797">
      <c r="A797" s="31" t="s">
        <v>43</v>
      </c>
      <c r="B797" s="32">
        <v>23360.0</v>
      </c>
      <c r="C797" s="33" t="str">
        <f t="array" ref="C797">INDEX('MTA 28-09'!B:B,MATCH(B797,'MTA 28-09'!A:A,0))</f>
        <v>NÃO</v>
      </c>
      <c r="D797" s="34" t="str">
        <f t="array" ref="D797">INDEX('MTA 28-09'!D:D,MATCH(B797,'MTA 28-09'!A:A,0))</f>
        <v/>
      </c>
      <c r="E797" s="32" t="str">
        <f t="array" ref="E797">INDEX('MTA 28-09'!F:F,MATCH(B797,'MTA 28-09'!A:A,0))</f>
        <v/>
      </c>
      <c r="F797" s="137" t="str">
        <f t="array" ref="F797">INDEX('MTA 28-09'!I:I,MATCH(B797,'MTA 28-09'!A:A,0))</f>
        <v/>
      </c>
      <c r="G797" s="36" t="str">
        <f t="array" ref="G797">INDEX('MTA 28-09'!J:J,MATCH(B797,'MTA 28-09'!A:A,0))</f>
        <v/>
      </c>
      <c r="H797" s="287" t="s">
        <v>157</v>
      </c>
      <c r="I797" s="295"/>
      <c r="J797" s="39"/>
      <c r="K797" s="40"/>
      <c r="L797" s="39" t="str">
        <f t="array" ref="L797">INDEX('MTA 28-09'!S:S,MATCH(B797,'MTA 28-09'!A:A,0))</f>
        <v>C-95M</v>
      </c>
      <c r="M797" s="32" t="str">
        <f t="array" ref="M797">INDEX('MTA 28-09'!T:T,MATCH(B797,'MTA 28-09'!A:A,0))</f>
        <v>Contrato de reparáveis</v>
      </c>
      <c r="N797" s="32" t="str">
        <f t="array" ref="N797">INDEX('MTA 28-09'!U:U,MATCH(B797,'MTA 28-09'!A:A,0))</f>
        <v>Reparo sob demanda 6/5 - montagem de matrículas</v>
      </c>
      <c r="O797" s="59">
        <f t="array" ref="O797">INDEX('MTA 28-09'!AC:AC,MATCH(B797,'MTA 28-09'!A:A,0))</f>
        <v>1000000</v>
      </c>
      <c r="P797" s="32" t="str">
        <f t="array" ref="P797">INDEX('MTA 28-09'!N:N,MATCH(B797,'MTA 28-09'!A:A,0))</f>
        <v>CELOG</v>
      </c>
      <c r="Q797" s="67" t="str">
        <f t="array" ref="Q797">INDEX('MTA 28-09'!Z:Z,MATCH(B797,'MTA 28-09'!A:A,0))</f>
        <v>339039</v>
      </c>
      <c r="R797" s="32" t="str">
        <f t="array" ref="R797">INDEX('MTA 28-09'!L:L,MATCH(B797,'MTA 28-09'!A:A,0))</f>
        <v>C</v>
      </c>
      <c r="S797" s="72" t="str">
        <f t="array" ref="S797">INDEX('MTA 28-09'!X:X,MATCH(B797,'MTA 28-09'!A:A,0))</f>
        <v>SOB DEMANDA</v>
      </c>
      <c r="T797" s="72" t="str">
        <f t="array" ref="T797">INDEX('MTA 28-09'!W:W,MATCH(B797,'MTA 28-09'!A:A,0))</f>
        <v>Não</v>
      </c>
      <c r="U797" s="81">
        <f t="array" ref="U797">INDEX('MTA 28-09'!AE:AE,MATCH(B797,'MTA 28-09'!A:A,0))</f>
        <v>46168</v>
      </c>
      <c r="V797" s="12"/>
      <c r="W797" s="12"/>
      <c r="X797" s="12"/>
      <c r="Y797" s="12"/>
      <c r="Z797" s="12"/>
      <c r="AA797" s="12"/>
      <c r="AB797" s="12"/>
      <c r="AC797" s="12"/>
      <c r="AD797" s="12"/>
      <c r="AE797" s="12"/>
      <c r="AF797" s="12"/>
      <c r="AG797" s="12"/>
      <c r="AH797" s="12"/>
      <c r="AI797" s="12"/>
      <c r="AJ797" s="12"/>
      <c r="AK797" s="12"/>
      <c r="AL797" s="12"/>
      <c r="AM797" s="12"/>
    </row>
    <row r="798">
      <c r="A798" s="88" t="s">
        <v>44</v>
      </c>
      <c r="B798" s="98">
        <v>23380.0</v>
      </c>
      <c r="C798" s="92" t="str">
        <f t="array" ref="C798">INDEX('MTA 28-09'!B:B,MATCH(B798,'MTA 28-09'!A:A,0))</f>
        <v>NÃO</v>
      </c>
      <c r="D798" s="95" t="str">
        <f t="array" ref="D798">INDEX('MTA 28-09'!D:D,MATCH(B798,'MTA 28-09'!A:A,0))</f>
        <v/>
      </c>
      <c r="E798" s="98" t="str">
        <f t="array" ref="E798">INDEX('MTA 28-09'!F:F,MATCH(B798,'MTA 28-09'!A:A,0))</f>
        <v/>
      </c>
      <c r="F798" s="152" t="str">
        <f t="array" ref="F798">INDEX('MTA 28-09'!I:I,MATCH(B798,'MTA 28-09'!A:A,0))</f>
        <v/>
      </c>
      <c r="G798" s="100" t="str">
        <f t="array" ref="G798">INDEX('MTA 28-09'!J:J,MATCH(B798,'MTA 28-09'!A:A,0))</f>
        <v/>
      </c>
      <c r="H798" s="159" t="s">
        <v>157</v>
      </c>
      <c r="I798" s="296"/>
      <c r="J798" s="102"/>
      <c r="K798" s="103"/>
      <c r="L798" s="102" t="str">
        <f t="array" ref="L798">INDEX('MTA 28-09'!S:S,MATCH(B798,'MTA 28-09'!A:A,0))</f>
        <v>C-97</v>
      </c>
      <c r="M798" s="98" t="str">
        <f t="array" ref="M798">INDEX('MTA 28-09'!T:T,MATCH(B798,'MTA 28-09'!A:A,0))</f>
        <v>CTT 096/CAE-PAMALS/2021 - CLS C-97</v>
      </c>
      <c r="N798" s="98" t="str">
        <f t="array" ref="N798">INDEX('MTA 28-09'!U:U,MATCH(B798,'MTA 28-09'!A:A,0))</f>
        <v>Manutenção na empresa - Inspeção C</v>
      </c>
      <c r="O798" s="104">
        <f t="array" ref="O798">INDEX('MTA 28-09'!AC:AC,MATCH(B798,'MTA 28-09'!A:A,0))</f>
        <v>1134000</v>
      </c>
      <c r="P798" s="98" t="str">
        <f t="array" ref="P798">INDEX('MTA 28-09'!N:N,MATCH(B798,'MTA 28-09'!A:A,0))</f>
        <v>CELOG</v>
      </c>
      <c r="Q798" s="105" t="str">
        <f t="array" ref="Q798">INDEX('MTA 28-09'!Z:Z,MATCH(B798,'MTA 28-09'!A:A,0))</f>
        <v>339039</v>
      </c>
      <c r="R798" s="98" t="str">
        <f t="array" ref="R798">INDEX('MTA 28-09'!L:L,MATCH(B798,'MTA 28-09'!A:A,0))</f>
        <v>C</v>
      </c>
      <c r="S798" s="107" t="str">
        <f t="array" ref="S798">INDEX('MTA 28-09'!X:X,MATCH(B798,'MTA 28-09'!A:A,0))</f>
        <v>SOB DEMANDA</v>
      </c>
      <c r="T798" s="107" t="str">
        <f t="array" ref="T798">INDEX('MTA 28-09'!W:W,MATCH(B798,'MTA 28-09'!A:A,0))</f>
        <v>Não</v>
      </c>
      <c r="U798" s="109">
        <f t="array" ref="U798">INDEX('MTA 28-09'!AE:AE,MATCH(B798,'MTA 28-09'!A:A,0))</f>
        <v>46168</v>
      </c>
      <c r="V798" s="29"/>
      <c r="W798" s="29"/>
      <c r="X798" s="29"/>
      <c r="Y798" s="29"/>
      <c r="Z798" s="29"/>
      <c r="AA798" s="29"/>
      <c r="AB798" s="29"/>
      <c r="AC798" s="29"/>
      <c r="AD798" s="29"/>
      <c r="AE798" s="29"/>
      <c r="AF798" s="29"/>
      <c r="AG798" s="29"/>
      <c r="AH798" s="29"/>
      <c r="AI798" s="29"/>
      <c r="AJ798" s="29"/>
      <c r="AK798" s="29"/>
      <c r="AL798" s="29"/>
      <c r="AM798" s="29"/>
    </row>
    <row r="799">
      <c r="A799" s="31" t="s">
        <v>44</v>
      </c>
      <c r="B799" s="32">
        <v>23400.0</v>
      </c>
      <c r="C799" s="33" t="str">
        <f t="array" ref="C799">INDEX('MTA 28-09'!B:B,MATCH(B799,'MTA 28-09'!A:A,0))</f>
        <v>NÃO</v>
      </c>
      <c r="D799" s="34" t="str">
        <f t="array" ref="D799">INDEX('MTA 28-09'!D:D,MATCH(B799,'MTA 28-09'!A:A,0))</f>
        <v/>
      </c>
      <c r="E799" s="32" t="str">
        <f t="array" ref="E799">INDEX('MTA 28-09'!F:F,MATCH(B799,'MTA 28-09'!A:A,0))</f>
        <v/>
      </c>
      <c r="F799" s="155" t="str">
        <f t="array" ref="F799">INDEX('MTA 28-09'!I:I,MATCH(B799,'MTA 28-09'!A:A,0))</f>
        <v/>
      </c>
      <c r="G799" s="36" t="str">
        <f t="array" ref="G799">INDEX('MTA 28-09'!J:J,MATCH(B799,'MTA 28-09'!A:A,0))</f>
        <v/>
      </c>
      <c r="H799" s="287" t="s">
        <v>157</v>
      </c>
      <c r="I799" s="38"/>
      <c r="J799" s="39"/>
      <c r="K799" s="40"/>
      <c r="L799" s="39" t="str">
        <f t="array" ref="L799">INDEX('MTA 28-09'!S:S,MATCH(B799,'MTA 28-09'!A:A,0))</f>
        <v>C-97</v>
      </c>
      <c r="M799" s="32" t="str">
        <f t="array" ref="M799">INDEX('MTA 28-09'!T:T,MATCH(B799,'MTA 28-09'!A:A,0))</f>
        <v>CTT 096/CAE-PAMALS/2021 - CLS C-97</v>
      </c>
      <c r="N799" s="32" t="str">
        <f t="array" ref="N799">INDEX('MTA 28-09'!U:U,MATCH(B799,'MTA 28-09'!A:A,0))</f>
        <v>Módulo Extra - Elevação de Giro 2/2</v>
      </c>
      <c r="O799" s="59">
        <f t="array" ref="O799">INDEX('MTA 28-09'!AC:AC,MATCH(B799,'MTA 28-09'!A:A,0))</f>
        <v>2658920.32</v>
      </c>
      <c r="P799" s="32" t="str">
        <f t="array" ref="P799">INDEX('MTA 28-09'!N:N,MATCH(B799,'MTA 28-09'!A:A,0))</f>
        <v>CELOG</v>
      </c>
      <c r="Q799" s="67" t="str">
        <f t="array" ref="Q799">INDEX('MTA 28-09'!Z:Z,MATCH(B799,'MTA 28-09'!A:A,0))</f>
        <v>339039</v>
      </c>
      <c r="R799" s="32" t="str">
        <f t="array" ref="R799">INDEX('MTA 28-09'!L:L,MATCH(B799,'MTA 28-09'!A:A,0))</f>
        <v>B</v>
      </c>
      <c r="S799" s="72" t="str">
        <f t="array" ref="S799">INDEX('MTA 28-09'!X:X,MATCH(B799,'MTA 28-09'!A:A,0))</f>
        <v>SOB DEMANDA</v>
      </c>
      <c r="T799" s="72" t="str">
        <f t="array" ref="T799">INDEX('MTA 28-09'!W:W,MATCH(B799,'MTA 28-09'!A:A,0))</f>
        <v>Não</v>
      </c>
      <c r="U799" s="81">
        <f t="array" ref="U799">INDEX('MTA 28-09'!AE:AE,MATCH(B799,'MTA 28-09'!A:A,0))</f>
        <v>46260</v>
      </c>
      <c r="V799" s="12"/>
      <c r="W799" s="12"/>
      <c r="X799" s="12"/>
      <c r="Y799" s="12"/>
      <c r="Z799" s="12"/>
      <c r="AA799" s="12"/>
      <c r="AB799" s="12"/>
      <c r="AC799" s="12"/>
      <c r="AD799" s="12"/>
      <c r="AE799" s="12"/>
      <c r="AF799" s="12"/>
      <c r="AG799" s="12"/>
      <c r="AH799" s="12"/>
      <c r="AI799" s="12"/>
      <c r="AJ799" s="12"/>
      <c r="AK799" s="12"/>
      <c r="AL799" s="12"/>
      <c r="AM799" s="12"/>
    </row>
    <row r="800">
      <c r="A800" s="88" t="s">
        <v>44</v>
      </c>
      <c r="B800" s="90">
        <v>23401.0</v>
      </c>
      <c r="C800" s="92" t="str">
        <f t="array" ref="C800">INDEX('MTA 28-09'!B:B,MATCH(B800,'MTA 28-09'!A:A,0))</f>
        <v>SIM</v>
      </c>
      <c r="D800" s="95" t="str">
        <f t="array" ref="D800">INDEX('MTA 28-09'!D:D,MATCH(B800,'MTA 28-09'!A:A,0))</f>
        <v/>
      </c>
      <c r="E800" s="98" t="str">
        <f t="array" ref="E800">INDEX('MTA 28-09'!F:F,MATCH(B800,'MTA 28-09'!A:A,0))</f>
        <v>CANCELADO</v>
      </c>
      <c r="F800" s="423" t="str">
        <f t="array" ref="F800">INDEX('MTA 28-09'!I:I,MATCH(B800,'MTA 28-09'!A:A,0))</f>
        <v/>
      </c>
      <c r="G800" s="100" t="str">
        <f t="array" ref="G800">INDEX('MTA 28-09'!J:J,MATCH(B800,'MTA 28-09'!A:A,0))</f>
        <v/>
      </c>
      <c r="H800" s="153">
        <v>46276.0</v>
      </c>
      <c r="I800" s="154" t="s">
        <v>1626</v>
      </c>
      <c r="J800" s="102"/>
      <c r="K800" s="103"/>
      <c r="L800" s="102" t="str">
        <f t="array" ref="L800">INDEX('MTA 28-09'!S:S,MATCH(B800,'MTA 28-09'!A:A,0))</f>
        <v>C-97</v>
      </c>
      <c r="M800" s="98" t="str">
        <f t="array" ref="M800">INDEX('MTA 28-09'!T:T,MATCH(B800,'MTA 28-09'!A:A,0))</f>
        <v>CTT 096/CAE-PAMALS/2021 - CLS C-97</v>
      </c>
      <c r="N800" s="98" t="str">
        <f t="array" ref="N800">INDEX('MTA 28-09'!U:U,MATCH(B800,'MTA 28-09'!A:A,0))</f>
        <v>Módulo Extra - Elevação de Giro 2/2</v>
      </c>
      <c r="O800" s="104" t="str">
        <f t="array" ref="O800">INDEX('MTA 28-09'!AC:AC,MATCH(B800,'MTA 28-09'!A:A,0))</f>
        <v> -</v>
      </c>
      <c r="P800" s="98" t="str">
        <f t="array" ref="P800">INDEX('MTA 28-09'!N:N,MATCH(B800,'MTA 28-09'!A:A,0))</f>
        <v>CELOG</v>
      </c>
      <c r="Q800" s="105" t="str">
        <f t="array" ref="Q800">INDEX('MTA 28-09'!Z:Z,MATCH(B800,'MTA 28-09'!A:A,0))</f>
        <v>339039</v>
      </c>
      <c r="R800" s="98" t="str">
        <f t="array" ref="R800">INDEX('MTA 28-09'!L:L,MATCH(B800,'MTA 28-09'!A:A,0))</f>
        <v>B</v>
      </c>
      <c r="S800" s="107" t="str">
        <f t="array" ref="S800">INDEX('MTA 28-09'!X:X,MATCH(B800,'MTA 28-09'!A:A,0))</f>
        <v>SOB DEMANDA</v>
      </c>
      <c r="T800" s="107" t="str">
        <f t="array" ref="T800">INDEX('MTA 28-09'!W:W,MATCH(B800,'MTA 28-09'!A:A,0))</f>
        <v>Não</v>
      </c>
      <c r="U800" s="109">
        <f t="array" ref="U800">INDEX('MTA 28-09'!AE:AE,MATCH(B800,'MTA 28-09'!A:A,0))</f>
        <v>46260</v>
      </c>
      <c r="V800" s="29"/>
      <c r="W800" s="29"/>
      <c r="X800" s="29"/>
      <c r="Y800" s="29"/>
      <c r="Z800" s="29"/>
      <c r="AA800" s="29"/>
      <c r="AB800" s="29"/>
      <c r="AC800" s="29"/>
      <c r="AD800" s="29"/>
      <c r="AE800" s="29"/>
      <c r="AF800" s="29"/>
      <c r="AG800" s="29"/>
      <c r="AH800" s="29"/>
      <c r="AI800" s="29"/>
      <c r="AJ800" s="29"/>
      <c r="AK800" s="29"/>
      <c r="AL800" s="29"/>
      <c r="AM800" s="29"/>
    </row>
    <row r="801">
      <c r="A801" s="31" t="s">
        <v>46</v>
      </c>
      <c r="B801" s="32">
        <v>23420.0</v>
      </c>
      <c r="C801" s="33" t="str">
        <f t="array" ref="C801">INDEX('MTA 28-09'!B:B,MATCH(B801,'MTA 28-09'!A:A,0))</f>
        <v>NÃO</v>
      </c>
      <c r="D801" s="34" t="str">
        <f t="array" ref="D801">INDEX('MTA 28-09'!D:D,MATCH(B801,'MTA 28-09'!A:A,0))</f>
        <v/>
      </c>
      <c r="E801" s="32" t="str">
        <f t="array" ref="E801">INDEX('MTA 28-09'!F:F,MATCH(B801,'MTA 28-09'!A:A,0))</f>
        <v/>
      </c>
      <c r="F801" s="155" t="str">
        <f t="array" ref="F801">INDEX('MTA 28-09'!I:I,MATCH(B801,'MTA 28-09'!A:A,0))</f>
        <v/>
      </c>
      <c r="G801" s="36" t="str">
        <f t="array" ref="G801">INDEX('MTA 28-09'!J:J,MATCH(B801,'MTA 28-09'!A:A,0))</f>
        <v/>
      </c>
      <c r="H801" s="287" t="s">
        <v>157</v>
      </c>
      <c r="I801" s="295"/>
      <c r="J801" s="39"/>
      <c r="K801" s="40"/>
      <c r="L801" s="39" t="str">
        <f t="array" ref="L801">INDEX('MTA 28-09'!S:S,MATCH(B801,'MTA 28-09'!A:A,0))</f>
        <v>T-27</v>
      </c>
      <c r="M801" s="32" t="str">
        <f t="array" ref="M801">INDEX('MTA 28-09'!T:T,MATCH(B801,'MTA 28-09'!A:A,0))</f>
        <v>CNT 022/CABW-PAMASP/2025 - FEP - PT6A-25C</v>
      </c>
      <c r="N801" s="32" t="str">
        <f t="array" ref="N801">INDEX('MTA 28-09'!U:U,MATCH(B801,'MTA 28-09'!A:A,0))</f>
        <v>FEP PT6A-25C (3/4)</v>
      </c>
      <c r="O801" s="59">
        <f t="array" ref="O801">INDEX('MTA 28-09'!AC:AC,MATCH(B801,'MTA 28-09'!A:A,0))</f>
        <v>5635000</v>
      </c>
      <c r="P801" s="32" t="str">
        <f t="array" ref="P801">INDEX('MTA 28-09'!N:N,MATCH(B801,'MTA 28-09'!A:A,0))</f>
        <v>CABW</v>
      </c>
      <c r="Q801" s="67" t="str">
        <f t="array" ref="Q801">INDEX('MTA 28-09'!Z:Z,MATCH(B801,'MTA 28-09'!A:A,0))</f>
        <v>339030</v>
      </c>
      <c r="R801" s="32" t="str">
        <f t="array" ref="R801">INDEX('MTA 28-09'!L:L,MATCH(B801,'MTA 28-09'!A:A,0))</f>
        <v>C</v>
      </c>
      <c r="S801" s="72" t="str">
        <f t="array" ref="S801">INDEX('MTA 28-09'!X:X,MATCH(B801,'MTA 28-09'!A:A,0))</f>
        <v>SOB DEMANDA</v>
      </c>
      <c r="T801" s="72" t="str">
        <f t="array" ref="T801">INDEX('MTA 28-09'!W:W,MATCH(B801,'MTA 28-09'!A:A,0))</f>
        <v>SIM</v>
      </c>
      <c r="U801" s="81">
        <f t="array" ref="U801">INDEX('MTA 28-09'!AE:AE,MATCH(B801,'MTA 28-09'!A:A,0))</f>
        <v>46080</v>
      </c>
      <c r="V801" s="12"/>
      <c r="W801" s="12"/>
      <c r="X801" s="12"/>
      <c r="Y801" s="12"/>
      <c r="Z801" s="12"/>
      <c r="AA801" s="12"/>
      <c r="AB801" s="12"/>
      <c r="AC801" s="12"/>
      <c r="AD801" s="12"/>
      <c r="AE801" s="12"/>
      <c r="AF801" s="12"/>
      <c r="AG801" s="12"/>
      <c r="AH801" s="12"/>
      <c r="AI801" s="12"/>
      <c r="AJ801" s="12"/>
      <c r="AK801" s="12"/>
      <c r="AL801" s="12"/>
      <c r="AM801" s="12"/>
    </row>
    <row r="802">
      <c r="A802" s="88" t="s">
        <v>46</v>
      </c>
      <c r="B802" s="98">
        <v>23440.0</v>
      </c>
      <c r="C802" s="92" t="str">
        <f t="array" ref="C802">INDEX('MTA 28-09'!B:B,MATCH(B802,'MTA 28-09'!A:A,0))</f>
        <v>NÃO</v>
      </c>
      <c r="D802" s="95" t="str">
        <f t="array" ref="D802">INDEX('MTA 28-09'!D:D,MATCH(B802,'MTA 28-09'!A:A,0))</f>
        <v/>
      </c>
      <c r="E802" s="98" t="str">
        <f t="array" ref="E802">INDEX('MTA 28-09'!F:F,MATCH(B802,'MTA 28-09'!A:A,0))</f>
        <v/>
      </c>
      <c r="F802" s="144" t="str">
        <f t="array" ref="F802">INDEX('MTA 28-09'!I:I,MATCH(B802,'MTA 28-09'!A:A,0))</f>
        <v/>
      </c>
      <c r="G802" s="100" t="str">
        <f t="array" ref="G802">INDEX('MTA 28-09'!J:J,MATCH(B802,'MTA 28-09'!A:A,0))</f>
        <v/>
      </c>
      <c r="H802" s="159" t="s">
        <v>157</v>
      </c>
      <c r="I802" s="296"/>
      <c r="J802" s="102"/>
      <c r="K802" s="103"/>
      <c r="L802" s="102" t="str">
        <f t="array" ref="L802">INDEX('MTA 28-09'!S:S,MATCH(B802,'MTA 28-09'!A:A,0))</f>
        <v>T-27</v>
      </c>
      <c r="M802" s="98" t="str">
        <f t="array" ref="M802">INDEX('MTA 28-09'!T:T,MATCH(B802,'MTA 28-09'!A:A,0))</f>
        <v>CNT 022/CABW-PAMASP/2025 - FEP - PT6A-25C</v>
      </c>
      <c r="N802" s="98" t="str">
        <f t="array" ref="N802">INDEX('MTA 28-09'!U:U,MATCH(B802,'MTA 28-09'!A:A,0))</f>
        <v>FEP PT6A-25C (1/4)</v>
      </c>
      <c r="O802" s="104">
        <f t="array" ref="O802">INDEX('MTA 28-09'!AC:AC,MATCH(B802,'MTA 28-09'!A:A,0))</f>
        <v>5635000</v>
      </c>
      <c r="P802" s="98" t="str">
        <f t="array" ref="P802">INDEX('MTA 28-09'!N:N,MATCH(B802,'MTA 28-09'!A:A,0))</f>
        <v>CABW</v>
      </c>
      <c r="Q802" s="105" t="str">
        <f t="array" ref="Q802">INDEX('MTA 28-09'!Z:Z,MATCH(B802,'MTA 28-09'!A:A,0))</f>
        <v>339030</v>
      </c>
      <c r="R802" s="98" t="str">
        <f t="array" ref="R802">INDEX('MTA 28-09'!L:L,MATCH(B802,'MTA 28-09'!A:A,0))</f>
        <v>C</v>
      </c>
      <c r="S802" s="107" t="str">
        <f t="array" ref="S802">INDEX('MTA 28-09'!X:X,MATCH(B802,'MTA 28-09'!A:A,0))</f>
        <v>SOB DEMANDA</v>
      </c>
      <c r="T802" s="107" t="str">
        <f t="array" ref="T802">INDEX('MTA 28-09'!W:W,MATCH(B802,'MTA 28-09'!A:A,0))</f>
        <v>SIM</v>
      </c>
      <c r="U802" s="109">
        <f t="array" ref="U802">INDEX('MTA 28-09'!AE:AE,MATCH(B802,'MTA 28-09'!A:A,0))</f>
        <v>46080</v>
      </c>
      <c r="V802" s="29"/>
      <c r="W802" s="29"/>
      <c r="X802" s="29"/>
      <c r="Y802" s="29"/>
      <c r="Z802" s="29"/>
      <c r="AA802" s="29"/>
      <c r="AB802" s="29"/>
      <c r="AC802" s="29"/>
      <c r="AD802" s="29"/>
      <c r="AE802" s="29"/>
      <c r="AF802" s="29"/>
      <c r="AG802" s="29"/>
      <c r="AH802" s="29"/>
      <c r="AI802" s="29"/>
      <c r="AJ802" s="29"/>
      <c r="AK802" s="29"/>
      <c r="AL802" s="29"/>
      <c r="AM802" s="29"/>
    </row>
    <row r="803">
      <c r="A803" s="31" t="s">
        <v>46</v>
      </c>
      <c r="B803" s="32">
        <v>23460.0</v>
      </c>
      <c r="C803" s="33" t="str">
        <f t="array" ref="C803">INDEX('MTA 28-09'!B:B,MATCH(B803,'MTA 28-09'!A:A,0))</f>
        <v>NÃO</v>
      </c>
      <c r="D803" s="34" t="str">
        <f t="array" ref="D803">INDEX('MTA 28-09'!D:D,MATCH(B803,'MTA 28-09'!A:A,0))</f>
        <v/>
      </c>
      <c r="E803" s="32" t="str">
        <f t="array" ref="E803">INDEX('MTA 28-09'!F:F,MATCH(B803,'MTA 28-09'!A:A,0))</f>
        <v/>
      </c>
      <c r="F803" s="155" t="str">
        <f t="array" ref="F803">INDEX('MTA 28-09'!I:I,MATCH(B803,'MTA 28-09'!A:A,0))</f>
        <v/>
      </c>
      <c r="G803" s="36" t="str">
        <f t="array" ref="G803">INDEX('MTA 28-09'!J:J,MATCH(B803,'MTA 28-09'!A:A,0))</f>
        <v/>
      </c>
      <c r="H803" s="287" t="s">
        <v>157</v>
      </c>
      <c r="I803" s="295"/>
      <c r="J803" s="39"/>
      <c r="K803" s="40"/>
      <c r="L803" s="39" t="str">
        <f t="array" ref="L803">INDEX('MTA 28-09'!S:S,MATCH(B803,'MTA 28-09'!A:A,0))</f>
        <v>T-27</v>
      </c>
      <c r="M803" s="32" t="str">
        <f t="array" ref="M803">INDEX('MTA 28-09'!T:T,MATCH(B803,'MTA 28-09'!A:A,0))</f>
        <v>CNT 022/CABW-PAMASP/2025 - FEP - PT6A-25C</v>
      </c>
      <c r="N803" s="32" t="str">
        <f t="array" ref="N803">INDEX('MTA 28-09'!U:U,MATCH(B803,'MTA 28-09'!A:A,0))</f>
        <v>FEP PT6A-25C (2/4)</v>
      </c>
      <c r="O803" s="59">
        <f t="array" ref="O803">INDEX('MTA 28-09'!AC:AC,MATCH(B803,'MTA 28-09'!A:A,0))</f>
        <v>5635000</v>
      </c>
      <c r="P803" s="32" t="str">
        <f t="array" ref="P803">INDEX('MTA 28-09'!N:N,MATCH(B803,'MTA 28-09'!A:A,0))</f>
        <v>CABW</v>
      </c>
      <c r="Q803" s="67" t="str">
        <f t="array" ref="Q803">INDEX('MTA 28-09'!Z:Z,MATCH(B803,'MTA 28-09'!A:A,0))</f>
        <v>339030</v>
      </c>
      <c r="R803" s="32" t="str">
        <f t="array" ref="R803">INDEX('MTA 28-09'!L:L,MATCH(B803,'MTA 28-09'!A:A,0))</f>
        <v>C</v>
      </c>
      <c r="S803" s="72" t="str">
        <f t="array" ref="S803">INDEX('MTA 28-09'!X:X,MATCH(B803,'MTA 28-09'!A:A,0))</f>
        <v>SOB DEMANDA</v>
      </c>
      <c r="T803" s="72" t="str">
        <f t="array" ref="T803">INDEX('MTA 28-09'!W:W,MATCH(B803,'MTA 28-09'!A:A,0))</f>
        <v>SIM</v>
      </c>
      <c r="U803" s="81">
        <f t="array" ref="U803">INDEX('MTA 28-09'!AE:AE,MATCH(B803,'MTA 28-09'!A:A,0))</f>
        <v>46080</v>
      </c>
      <c r="V803" s="12"/>
      <c r="W803" s="12"/>
      <c r="X803" s="12"/>
      <c r="Y803" s="12"/>
      <c r="Z803" s="12"/>
      <c r="AA803" s="12"/>
      <c r="AB803" s="12"/>
      <c r="AC803" s="12"/>
      <c r="AD803" s="12"/>
      <c r="AE803" s="12"/>
      <c r="AF803" s="12"/>
      <c r="AG803" s="12"/>
      <c r="AH803" s="12"/>
      <c r="AI803" s="12"/>
      <c r="AJ803" s="12"/>
      <c r="AK803" s="12"/>
      <c r="AL803" s="12"/>
      <c r="AM803" s="12"/>
    </row>
    <row r="804">
      <c r="A804" s="88" t="s">
        <v>46</v>
      </c>
      <c r="B804" s="98">
        <v>23480.0</v>
      </c>
      <c r="C804" s="92" t="str">
        <f t="array" ref="C804">INDEX('MTA 28-09'!B:B,MATCH(B804,'MTA 28-09'!A:A,0))</f>
        <v>NÃO</v>
      </c>
      <c r="D804" s="95" t="str">
        <f t="array" ref="D804">INDEX('MTA 28-09'!D:D,MATCH(B804,'MTA 28-09'!A:A,0))</f>
        <v/>
      </c>
      <c r="E804" s="98" t="str">
        <f t="array" ref="E804">INDEX('MTA 28-09'!F:F,MATCH(B804,'MTA 28-09'!A:A,0))</f>
        <v/>
      </c>
      <c r="F804" s="152" t="str">
        <f t="array" ref="F804">INDEX('MTA 28-09'!I:I,MATCH(B804,'MTA 28-09'!A:A,0))</f>
        <v/>
      </c>
      <c r="G804" s="100" t="str">
        <f t="array" ref="G804">INDEX('MTA 28-09'!J:J,MATCH(B804,'MTA 28-09'!A:A,0))</f>
        <v/>
      </c>
      <c r="H804" s="159" t="s">
        <v>157</v>
      </c>
      <c r="I804" s="428"/>
      <c r="J804" s="102"/>
      <c r="K804" s="103"/>
      <c r="L804" s="102" t="str">
        <f t="array" ref="L804">INDEX('MTA 28-09'!S:S,MATCH(B804,'MTA 28-09'!A:A,0))</f>
        <v>T-27</v>
      </c>
      <c r="M804" s="98" t="str">
        <f t="array" ref="M804">INDEX('MTA 28-09'!T:T,MATCH(B804,'MTA 28-09'!A:A,0))</f>
        <v>CNT 022/CABW-PAMASP/2025 - FEP - PT6A-25C</v>
      </c>
      <c r="N804" s="98" t="str">
        <f t="array" ref="N804">INDEX('MTA 28-09'!U:U,MATCH(B804,'MTA 28-09'!A:A,0))</f>
        <v>FEP PT6A-25C (4/4)</v>
      </c>
      <c r="O804" s="104">
        <f t="array" ref="O804">INDEX('MTA 28-09'!AC:AC,MATCH(B804,'MTA 28-09'!A:A,0))</f>
        <v>5635000</v>
      </c>
      <c r="P804" s="98" t="str">
        <f t="array" ref="P804">INDEX('MTA 28-09'!N:N,MATCH(B804,'MTA 28-09'!A:A,0))</f>
        <v>CABW</v>
      </c>
      <c r="Q804" s="105" t="str">
        <f t="array" ref="Q804">INDEX('MTA 28-09'!Z:Z,MATCH(B804,'MTA 28-09'!A:A,0))</f>
        <v>339030</v>
      </c>
      <c r="R804" s="98" t="str">
        <f t="array" ref="R804">INDEX('MTA 28-09'!L:L,MATCH(B804,'MTA 28-09'!A:A,0))</f>
        <v>C</v>
      </c>
      <c r="S804" s="107" t="str">
        <f t="array" ref="S804">INDEX('MTA 28-09'!X:X,MATCH(B804,'MTA 28-09'!A:A,0))</f>
        <v>SOB DEMANDA</v>
      </c>
      <c r="T804" s="107" t="str">
        <f t="array" ref="T804">INDEX('MTA 28-09'!W:W,MATCH(B804,'MTA 28-09'!A:A,0))</f>
        <v>SIM</v>
      </c>
      <c r="U804" s="109">
        <f t="array" ref="U804">INDEX('MTA 28-09'!AE:AE,MATCH(B804,'MTA 28-09'!A:A,0))</f>
        <v>46080</v>
      </c>
      <c r="V804" s="29"/>
      <c r="W804" s="29"/>
      <c r="X804" s="29"/>
      <c r="Y804" s="29"/>
      <c r="Z804" s="29"/>
      <c r="AA804" s="29"/>
      <c r="AB804" s="29"/>
      <c r="AC804" s="29"/>
      <c r="AD804" s="29"/>
      <c r="AE804" s="29"/>
      <c r="AF804" s="29"/>
      <c r="AG804" s="29"/>
      <c r="AH804" s="29"/>
      <c r="AI804" s="29"/>
      <c r="AJ804" s="29"/>
      <c r="AK804" s="29"/>
      <c r="AL804" s="29"/>
      <c r="AM804" s="29"/>
    </row>
    <row r="805">
      <c r="A805" s="31" t="s">
        <v>99</v>
      </c>
      <c r="B805" s="32">
        <v>23500.0</v>
      </c>
      <c r="C805" s="33" t="str">
        <f t="array" ref="C805">INDEX('MTA 28-09'!B:B,MATCH(B805,'MTA 28-09'!A:A,0))</f>
        <v>SIM</v>
      </c>
      <c r="D805" s="34">
        <f t="array" ref="D805">INDEX('MTA 28-09'!D:D,MATCH(B805,'MTA 28-09'!A:A,0))</f>
        <v>2048</v>
      </c>
      <c r="E805" s="32" t="str">
        <f t="array" ref="E805">INDEX('MTA 28-09'!F:F,MATCH(B805,'MTA 28-09'!A:A,0))</f>
        <v>ATENDIDO</v>
      </c>
      <c r="F805" s="155">
        <f t="array" ref="F805">INDEX('MTA 28-09'!I:I,MATCH(B805,'MTA 28-09'!A:A,0))</f>
        <v>46265</v>
      </c>
      <c r="G805" s="36" t="str">
        <f t="array" ref="G805">INDEX('MTA 28-09'!J:J,MATCH(B805,'MTA 28-09'!A:A,0))</f>
        <v>C26146</v>
      </c>
      <c r="H805" s="287" t="s">
        <v>157</v>
      </c>
      <c r="I805" s="38"/>
      <c r="J805" s="39"/>
      <c r="K805" s="40"/>
      <c r="L805" s="39" t="str">
        <f t="array" ref="L805">INDEX('MTA 28-09'!S:S,MATCH(B805,'MTA 28-09'!A:A,0))</f>
        <v>APOIO</v>
      </c>
      <c r="M805" s="32" t="str">
        <f t="array" ref="M805">INDEX('MTA 28-09'!T:T,MATCH(B805,'MTA 28-09'!A:A,0))</f>
        <v>MANUTENÇÂO DAS INSTALAÇÕES</v>
      </c>
      <c r="N805" s="32" t="str">
        <f t="array" ref="N805">INDEX('MTA 28-09'!U:U,MATCH(B805,'MTA 28-09'!A:A,0))</f>
        <v>INFRAESTRUTURA - Ofício 9/AINT/1068 - SVC AUTORIZADO PISO TANV, BANHEIRO METROLOGIA, TELHADO SUPRIMENTO e TELHADO RECEBIMENTO</v>
      </c>
      <c r="O805" s="59">
        <f t="array" ref="O805">INDEX('MTA 28-09'!AC:AC,MATCH(B805,'MTA 28-09'!A:A,0))</f>
        <v>917912.27</v>
      </c>
      <c r="P805" s="32" t="str">
        <f t="array" ref="P805">INDEX('MTA 28-09'!N:N,MATCH(B805,'MTA 28-09'!A:A,0))</f>
        <v>GAP-LS</v>
      </c>
      <c r="Q805" s="67" t="str">
        <f t="array" ref="Q805">INDEX('MTA 28-09'!Z:Z,MATCH(B805,'MTA 28-09'!A:A,0))</f>
        <v>339039</v>
      </c>
      <c r="R805" s="32" t="str">
        <f t="array" ref="R805">INDEX('MTA 28-09'!L:L,MATCH(B805,'MTA 28-09'!A:A,0))</f>
        <v>A</v>
      </c>
      <c r="S805" s="72" t="str">
        <f t="array" ref="S805">INDEX('MTA 28-09'!X:X,MATCH(B805,'MTA 28-09'!A:A,0))</f>
        <v>REQUISIÇÃO</v>
      </c>
      <c r="T805" s="72" t="str">
        <f t="array" ref="T805">INDEX('MTA 28-09'!W:W,MATCH(B805,'MTA 28-09'!A:A,0))</f>
        <v>NÃO</v>
      </c>
      <c r="U805" s="81">
        <f t="array" ref="U805">INDEX('MTA 28-09'!AE:AE,MATCH(B805,'MTA 28-09'!A:A,0))</f>
        <v>46291</v>
      </c>
      <c r="V805" s="12"/>
      <c r="W805" s="12"/>
      <c r="X805" s="12"/>
      <c r="Y805" s="12"/>
      <c r="Z805" s="12"/>
      <c r="AA805" s="12"/>
      <c r="AB805" s="12"/>
      <c r="AC805" s="12"/>
      <c r="AD805" s="12"/>
      <c r="AE805" s="12"/>
      <c r="AF805" s="12"/>
      <c r="AG805" s="12"/>
      <c r="AH805" s="12"/>
      <c r="AI805" s="12"/>
      <c r="AJ805" s="12"/>
      <c r="AK805" s="12"/>
      <c r="AL805" s="12"/>
      <c r="AM805" s="12"/>
    </row>
    <row r="806">
      <c r="A806" s="88" t="s">
        <v>46</v>
      </c>
      <c r="B806" s="98">
        <v>23520.0</v>
      </c>
      <c r="C806" s="92" t="str">
        <f t="array" ref="C806">INDEX('MTA 28-09'!B:B,MATCH(B806,'MTA 28-09'!A:A,0))</f>
        <v>NÃO</v>
      </c>
      <c r="D806" s="95" t="str">
        <f t="array" ref="D806">INDEX('MTA 28-09'!D:D,MATCH(B806,'MTA 28-09'!A:A,0))</f>
        <v/>
      </c>
      <c r="E806" s="98" t="str">
        <f t="array" ref="E806">INDEX('MTA 28-09'!F:F,MATCH(B806,'MTA 28-09'!A:A,0))</f>
        <v/>
      </c>
      <c r="F806" s="152" t="str">
        <f t="array" ref="F806">INDEX('MTA 28-09'!I:I,MATCH(B806,'MTA 28-09'!A:A,0))</f>
        <v/>
      </c>
      <c r="G806" s="100" t="str">
        <f t="array" ref="G806">INDEX('MTA 28-09'!J:J,MATCH(B806,'MTA 28-09'!A:A,0))</f>
        <v/>
      </c>
      <c r="H806" s="159" t="s">
        <v>157</v>
      </c>
      <c r="I806" s="428"/>
      <c r="J806" s="102"/>
      <c r="K806" s="103"/>
      <c r="L806" s="102" t="str">
        <f t="array" ref="L806">INDEX('MTA 28-09'!S:S,MATCH(B806,'MTA 28-09'!A:A,0))</f>
        <v>T-27</v>
      </c>
      <c r="M806" s="98" t="str">
        <f t="array" ref="M806">INDEX('MTA 28-09'!T:T,MATCH(B806,'MTA 28-09'!A:A,0))</f>
        <v>Requisição CABW</v>
      </c>
      <c r="N806" s="98" t="str">
        <f t="array" ref="N806">INDEX('MTA 28-09'!U:U,MATCH(B806,'MTA 28-09'!A:A,0))</f>
        <v>Aquisição de FCU</v>
      </c>
      <c r="O806" s="104">
        <f t="array" ref="O806">INDEX('MTA 28-09'!AC:AC,MATCH(B806,'MTA 28-09'!A:A,0))</f>
        <v>3500000</v>
      </c>
      <c r="P806" s="98" t="str">
        <f t="array" ref="P806">INDEX('MTA 28-09'!N:N,MATCH(B806,'MTA 28-09'!A:A,0))</f>
        <v>CABW</v>
      </c>
      <c r="Q806" s="105" t="str">
        <f t="array" ref="Q806">INDEX('MTA 28-09'!Z:Z,MATCH(B806,'MTA 28-09'!A:A,0))</f>
        <v>339030</v>
      </c>
      <c r="R806" s="98" t="str">
        <f t="array" ref="R806">INDEX('MTA 28-09'!L:L,MATCH(B806,'MTA 28-09'!A:A,0))</f>
        <v>C</v>
      </c>
      <c r="S806" s="107" t="str">
        <f t="array" ref="S806">INDEX('MTA 28-09'!X:X,MATCH(B806,'MTA 28-09'!A:A,0))</f>
        <v>REQUISIÇÃO</v>
      </c>
      <c r="T806" s="107" t="str">
        <f t="array" ref="T806">INDEX('MTA 28-09'!W:W,MATCH(B806,'MTA 28-09'!A:A,0))</f>
        <v>SIM</v>
      </c>
      <c r="U806" s="109">
        <f t="array" ref="U806">INDEX('MTA 28-09'!AE:AE,MATCH(B806,'MTA 28-09'!A:A,0))</f>
        <v>46229</v>
      </c>
      <c r="V806" s="29"/>
      <c r="W806" s="29"/>
      <c r="X806" s="29"/>
      <c r="Y806" s="29"/>
      <c r="Z806" s="29"/>
      <c r="AA806" s="29"/>
      <c r="AB806" s="29"/>
      <c r="AC806" s="29"/>
      <c r="AD806" s="29"/>
      <c r="AE806" s="29"/>
      <c r="AF806" s="29"/>
      <c r="AG806" s="29"/>
      <c r="AH806" s="29"/>
      <c r="AI806" s="29"/>
      <c r="AJ806" s="29"/>
      <c r="AK806" s="29"/>
      <c r="AL806" s="29"/>
      <c r="AM806" s="29"/>
    </row>
    <row r="807">
      <c r="A807" s="31" t="s">
        <v>39</v>
      </c>
      <c r="B807" s="32">
        <v>23540.0</v>
      </c>
      <c r="C807" s="33" t="str">
        <f t="array" ref="C807">INDEX('MTA 28-09'!B:B,MATCH(B807,'MTA 28-09'!A:A,0))</f>
        <v>SIM</v>
      </c>
      <c r="D807" s="34">
        <f t="array" ref="D807">INDEX('MTA 28-09'!D:D,MATCH(B807,'MTA 28-09'!A:A,0))</f>
        <v>2048</v>
      </c>
      <c r="E807" s="32" t="str">
        <f t="array" ref="E807">INDEX('MTA 28-09'!F:F,MATCH(B807,'MTA 28-09'!A:A,0))</f>
        <v>ATENDIDO</v>
      </c>
      <c r="F807" s="155">
        <f t="array" ref="F807">INDEX('MTA 28-09'!I:I,MATCH(B807,'MTA 28-09'!A:A,0))</f>
        <v>46195</v>
      </c>
      <c r="G807" s="36" t="str">
        <f t="array" ref="G807">INDEX('MTA 28-09'!J:J,MATCH(B807,'MTA 28-09'!A:A,0))</f>
        <v>C26132</v>
      </c>
      <c r="H807" s="287" t="s">
        <v>157</v>
      </c>
      <c r="I807" s="38"/>
      <c r="J807" s="39"/>
      <c r="K807" s="40"/>
      <c r="L807" s="39" t="str">
        <f t="array" ref="L807">INDEX('MTA 28-09'!S:S,MATCH(B807,'MTA 28-09'!A:A,0))</f>
        <v>A-29</v>
      </c>
      <c r="M807" s="32" t="str">
        <f t="array" ref="M807">INDEX('MTA 28-09'!T:T,MATCH(B807,'MTA 28-09'!A:A,0))</f>
        <v>CNT 051/CELOG-PAMASP/2024 - STANDARD AERO - REVISÃO GERAL</v>
      </c>
      <c r="N807" s="32" t="str">
        <f t="array" ref="N807">INDEX('MTA 28-09'!U:U,MATCH(B807,'MTA 28-09'!A:A,0))</f>
        <v>Revisão Geral PT6A-68C 09/20</v>
      </c>
      <c r="O807" s="59">
        <f t="array" ref="O807">INDEX('MTA 28-09'!AC:AC,MATCH(B807,'MTA 28-09'!A:A,0))</f>
        <v>8000000</v>
      </c>
      <c r="P807" s="32" t="str">
        <f t="array" ref="P807">INDEX('MTA 28-09'!N:N,MATCH(B807,'MTA 28-09'!A:A,0))</f>
        <v>CABW</v>
      </c>
      <c r="Q807" s="67" t="str">
        <f t="array" ref="Q807">INDEX('MTA 28-09'!Z:Z,MATCH(B807,'MTA 28-09'!A:A,0))</f>
        <v>339039</v>
      </c>
      <c r="R807" s="32" t="str">
        <f t="array" ref="R807">INDEX('MTA 28-09'!L:L,MATCH(B807,'MTA 28-09'!A:A,0))</f>
        <v>A</v>
      </c>
      <c r="S807" s="72" t="str">
        <f t="array" ref="S807">INDEX('MTA 28-09'!X:X,MATCH(B807,'MTA 28-09'!A:A,0))</f>
        <v>SOB DEMANDA</v>
      </c>
      <c r="T807" s="72" t="str">
        <f t="array" ref="T807">INDEX('MTA 28-09'!W:W,MATCH(B807,'MTA 28-09'!A:A,0))</f>
        <v>SIM</v>
      </c>
      <c r="U807" s="81">
        <f t="array" ref="U807">INDEX('MTA 28-09'!AE:AE,MATCH(B807,'MTA 28-09'!A:A,0))</f>
        <v>46321</v>
      </c>
      <c r="V807" s="12"/>
      <c r="W807" s="12"/>
      <c r="X807" s="12"/>
      <c r="Y807" s="12"/>
      <c r="Z807" s="12"/>
      <c r="AA807" s="12"/>
      <c r="AB807" s="12"/>
      <c r="AC807" s="12"/>
      <c r="AD807" s="12"/>
      <c r="AE807" s="12"/>
      <c r="AF807" s="12"/>
      <c r="AG807" s="12"/>
      <c r="AH807" s="12"/>
      <c r="AI807" s="12"/>
      <c r="AJ807" s="12"/>
      <c r="AK807" s="12"/>
      <c r="AL807" s="12"/>
      <c r="AM807" s="12"/>
    </row>
    <row r="808">
      <c r="A808" s="88" t="s">
        <v>43</v>
      </c>
      <c r="B808" s="98">
        <v>23560.0</v>
      </c>
      <c r="C808" s="92" t="str">
        <f t="array" ref="C808">INDEX('MTA 28-09'!B:B,MATCH(B808,'MTA 28-09'!A:A,0))</f>
        <v>NÃO</v>
      </c>
      <c r="D808" s="95" t="str">
        <f t="array" ref="D808">INDEX('MTA 28-09'!D:D,MATCH(B808,'MTA 28-09'!A:A,0))</f>
        <v/>
      </c>
      <c r="E808" s="98" t="str">
        <f t="array" ref="E808">INDEX('MTA 28-09'!F:F,MATCH(B808,'MTA 28-09'!A:A,0))</f>
        <v/>
      </c>
      <c r="F808" s="152" t="str">
        <f t="array" ref="F808">INDEX('MTA 28-09'!I:I,MATCH(B808,'MTA 28-09'!A:A,0))</f>
        <v/>
      </c>
      <c r="G808" s="100" t="str">
        <f t="array" ref="G808">INDEX('MTA 28-09'!J:J,MATCH(B808,'MTA 28-09'!A:A,0))</f>
        <v/>
      </c>
      <c r="H808" s="159" t="s">
        <v>157</v>
      </c>
      <c r="I808" s="296"/>
      <c r="J808" s="102"/>
      <c r="K808" s="103"/>
      <c r="L808" s="102" t="str">
        <f t="array" ref="L808">INDEX('MTA 28-09'!S:S,MATCH(B808,'MTA 28-09'!A:A,0))</f>
        <v>C-95M</v>
      </c>
      <c r="M808" s="98" t="str">
        <f t="array" ref="M808">INDEX('MTA 28-09'!T:T,MATCH(B808,'MTA 28-09'!A:A,0))</f>
        <v>Requisição CABW</v>
      </c>
      <c r="N808" s="98" t="str">
        <f t="array" ref="N808">INDEX('MTA 28-09'!U:U,MATCH(B808,'MTA 28-09'!A:A,0))</f>
        <v>Aquisição de FCU</v>
      </c>
      <c r="O808" s="104">
        <f t="array" ref="O808">INDEX('MTA 28-09'!AC:AC,MATCH(B808,'MTA 28-09'!A:A,0))</f>
        <v>3500000</v>
      </c>
      <c r="P808" s="98" t="str">
        <f t="array" ref="P808">INDEX('MTA 28-09'!N:N,MATCH(B808,'MTA 28-09'!A:A,0))</f>
        <v>CABW</v>
      </c>
      <c r="Q808" s="105" t="str">
        <f t="array" ref="Q808">INDEX('MTA 28-09'!Z:Z,MATCH(B808,'MTA 28-09'!A:A,0))</f>
        <v>339030</v>
      </c>
      <c r="R808" s="98" t="str">
        <f t="array" ref="R808">INDEX('MTA 28-09'!L:L,MATCH(B808,'MTA 28-09'!A:A,0))</f>
        <v>C</v>
      </c>
      <c r="S808" s="107" t="str">
        <f t="array" ref="S808">INDEX('MTA 28-09'!X:X,MATCH(B808,'MTA 28-09'!A:A,0))</f>
        <v>REQUISIÇÃO</v>
      </c>
      <c r="T808" s="107" t="str">
        <f t="array" ref="T808">INDEX('MTA 28-09'!W:W,MATCH(B808,'MTA 28-09'!A:A,0))</f>
        <v>SIM</v>
      </c>
      <c r="U808" s="109">
        <f t="array" ref="U808">INDEX('MTA 28-09'!AE:AE,MATCH(B808,'MTA 28-09'!A:A,0))</f>
        <v>46229</v>
      </c>
      <c r="V808" s="29"/>
      <c r="W808" s="29"/>
      <c r="X808" s="29"/>
      <c r="Y808" s="29"/>
      <c r="Z808" s="29"/>
      <c r="AA808" s="29"/>
      <c r="AB808" s="29"/>
      <c r="AC808" s="29"/>
      <c r="AD808" s="29"/>
      <c r="AE808" s="29"/>
      <c r="AF808" s="29"/>
      <c r="AG808" s="29"/>
      <c r="AH808" s="29"/>
      <c r="AI808" s="29"/>
      <c r="AJ808" s="29"/>
      <c r="AK808" s="29"/>
      <c r="AL808" s="29"/>
      <c r="AM808" s="29"/>
    </row>
    <row r="809">
      <c r="A809" s="31" t="s">
        <v>44</v>
      </c>
      <c r="B809" s="32">
        <v>23580.0</v>
      </c>
      <c r="C809" s="33" t="str">
        <f t="array" ref="C809">INDEX('MTA 28-09'!B:B,MATCH(B809,'MTA 28-09'!A:A,0))</f>
        <v>NÃO</v>
      </c>
      <c r="D809" s="34" t="str">
        <f t="array" ref="D809">INDEX('MTA 28-09'!D:D,MATCH(B809,'MTA 28-09'!A:A,0))</f>
        <v/>
      </c>
      <c r="E809" s="32" t="str">
        <f t="array" ref="E809">INDEX('MTA 28-09'!F:F,MATCH(B809,'MTA 28-09'!A:A,0))</f>
        <v/>
      </c>
      <c r="F809" s="155" t="str">
        <f t="array" ref="F809">INDEX('MTA 28-09'!I:I,MATCH(B809,'MTA 28-09'!A:A,0))</f>
        <v/>
      </c>
      <c r="G809" s="36" t="str">
        <f t="array" ref="G809">INDEX('MTA 28-09'!J:J,MATCH(B809,'MTA 28-09'!A:A,0))</f>
        <v/>
      </c>
      <c r="H809" s="287" t="s">
        <v>157</v>
      </c>
      <c r="I809" s="295"/>
      <c r="J809" s="39"/>
      <c r="K809" s="40"/>
      <c r="L809" s="39" t="str">
        <f t="array" ref="L809">INDEX('MTA 28-09'!S:S,MATCH(B809,'MTA 28-09'!A:A,0))</f>
        <v>C-97</v>
      </c>
      <c r="M809" s="32" t="str">
        <f t="array" ref="M809">INDEX('MTA 28-09'!T:T,MATCH(B809,'MTA 28-09'!A:A,0))</f>
        <v>Requisição FMS</v>
      </c>
      <c r="N809" s="32" t="str">
        <f t="array" ref="N809">INDEX('MTA 28-09'!U:U,MATCH(B809,'MTA 28-09'!A:A,0))</f>
        <v>Requisições Consumíveis 2/4</v>
      </c>
      <c r="O809" s="59">
        <f t="array" ref="O809">INDEX('MTA 28-09'!AC:AC,MATCH(B809,'MTA 28-09'!A:A,0))</f>
        <v>150000</v>
      </c>
      <c r="P809" s="32" t="str">
        <f t="array" ref="P809">INDEX('MTA 28-09'!N:N,MATCH(B809,'MTA 28-09'!A:A,0))</f>
        <v>FMS</v>
      </c>
      <c r="Q809" s="67" t="str">
        <f t="array" ref="Q809">INDEX('MTA 28-09'!Z:Z,MATCH(B809,'MTA 28-09'!A:A,0))</f>
        <v>339030</v>
      </c>
      <c r="R809" s="32" t="str">
        <f t="array" ref="R809">INDEX('MTA 28-09'!L:L,MATCH(B809,'MTA 28-09'!A:A,0))</f>
        <v>C</v>
      </c>
      <c r="S809" s="72" t="str">
        <f t="array" ref="S809">INDEX('MTA 28-09'!X:X,MATCH(B809,'MTA 28-09'!A:A,0))</f>
        <v>REQUISIÇÃO</v>
      </c>
      <c r="T809" s="72" t="str">
        <f t="array" ref="T809">INDEX('MTA 28-09'!W:W,MATCH(B809,'MTA 28-09'!A:A,0))</f>
        <v>Não</v>
      </c>
      <c r="U809" s="81">
        <f t="array" ref="U809">INDEX('MTA 28-09'!AE:AE,MATCH(B809,'MTA 28-09'!A:A,0))</f>
        <v>46229</v>
      </c>
      <c r="V809" s="12"/>
      <c r="W809" s="12"/>
      <c r="X809" s="12"/>
      <c r="Y809" s="12"/>
      <c r="Z809" s="12"/>
      <c r="AA809" s="12"/>
      <c r="AB809" s="12"/>
      <c r="AC809" s="12"/>
      <c r="AD809" s="12"/>
      <c r="AE809" s="12"/>
      <c r="AF809" s="12"/>
      <c r="AG809" s="12"/>
      <c r="AH809" s="12"/>
      <c r="AI809" s="12"/>
      <c r="AJ809" s="12"/>
      <c r="AK809" s="12"/>
      <c r="AL809" s="12"/>
      <c r="AM809" s="12"/>
    </row>
    <row r="810">
      <c r="A810" s="88" t="s">
        <v>44</v>
      </c>
      <c r="B810" s="98">
        <v>23600.0</v>
      </c>
      <c r="C810" s="92" t="str">
        <f t="array" ref="C810">INDEX('MTA 28-09'!B:B,MATCH(B810,'MTA 28-09'!A:A,0))</f>
        <v>NÃO</v>
      </c>
      <c r="D810" s="95" t="str">
        <f t="array" ref="D810">INDEX('MTA 28-09'!D:D,MATCH(B810,'MTA 28-09'!A:A,0))</f>
        <v/>
      </c>
      <c r="E810" s="98" t="str">
        <f t="array" ref="E810">INDEX('MTA 28-09'!F:F,MATCH(B810,'MTA 28-09'!A:A,0))</f>
        <v/>
      </c>
      <c r="F810" s="152" t="str">
        <f t="array" ref="F810">INDEX('MTA 28-09'!I:I,MATCH(B810,'MTA 28-09'!A:A,0))</f>
        <v/>
      </c>
      <c r="G810" s="100" t="str">
        <f t="array" ref="G810">INDEX('MTA 28-09'!J:J,MATCH(B810,'MTA 28-09'!A:A,0))</f>
        <v/>
      </c>
      <c r="H810" s="159" t="s">
        <v>157</v>
      </c>
      <c r="I810" s="296"/>
      <c r="J810" s="102"/>
      <c r="K810" s="103"/>
      <c r="L810" s="102" t="str">
        <f t="array" ref="L810">INDEX('MTA 28-09'!S:S,MATCH(B810,'MTA 28-09'!A:A,0))</f>
        <v>C-97</v>
      </c>
      <c r="M810" s="98" t="str">
        <f t="array" ref="M810">INDEX('MTA 28-09'!T:T,MATCH(B810,'MTA 28-09'!A:A,0))</f>
        <v>Requisição CABW</v>
      </c>
      <c r="N810" s="98" t="str">
        <f t="array" ref="N810">INDEX('MTA 28-09'!U:U,MATCH(B810,'MTA 28-09'!A:A,0))</f>
        <v>Requisições Consumíveis 2/4</v>
      </c>
      <c r="O810" s="104">
        <f t="array" ref="O810">INDEX('MTA 28-09'!AC:AC,MATCH(B810,'MTA 28-09'!A:A,0))</f>
        <v>100000</v>
      </c>
      <c r="P810" s="98" t="str">
        <f t="array" ref="P810">INDEX('MTA 28-09'!N:N,MATCH(B810,'MTA 28-09'!A:A,0))</f>
        <v>CABW</v>
      </c>
      <c r="Q810" s="105" t="str">
        <f t="array" ref="Q810">INDEX('MTA 28-09'!Z:Z,MATCH(B810,'MTA 28-09'!A:A,0))</f>
        <v>339030</v>
      </c>
      <c r="R810" s="98" t="str">
        <f t="array" ref="R810">INDEX('MTA 28-09'!L:L,MATCH(B810,'MTA 28-09'!A:A,0))</f>
        <v>C</v>
      </c>
      <c r="S810" s="107" t="str">
        <f t="array" ref="S810">INDEX('MTA 28-09'!X:X,MATCH(B810,'MTA 28-09'!A:A,0))</f>
        <v>REQUISIÇÃO</v>
      </c>
      <c r="T810" s="107" t="str">
        <f t="array" ref="T810">INDEX('MTA 28-09'!W:W,MATCH(B810,'MTA 28-09'!A:A,0))</f>
        <v>Não</v>
      </c>
      <c r="U810" s="109">
        <f t="array" ref="U810">INDEX('MTA 28-09'!AE:AE,MATCH(B810,'MTA 28-09'!A:A,0))</f>
        <v>46229</v>
      </c>
      <c r="V810" s="29"/>
      <c r="W810" s="29"/>
      <c r="X810" s="29"/>
      <c r="Y810" s="29"/>
      <c r="Z810" s="29"/>
      <c r="AA810" s="29"/>
      <c r="AB810" s="29"/>
      <c r="AC810" s="29"/>
      <c r="AD810" s="29"/>
      <c r="AE810" s="29"/>
      <c r="AF810" s="29"/>
      <c r="AG810" s="29"/>
      <c r="AH810" s="29"/>
      <c r="AI810" s="29"/>
      <c r="AJ810" s="29"/>
      <c r="AK810" s="29"/>
      <c r="AL810" s="29"/>
      <c r="AM810" s="29"/>
    </row>
    <row r="811">
      <c r="A811" s="31" t="s">
        <v>44</v>
      </c>
      <c r="B811" s="32">
        <v>23620.0</v>
      </c>
      <c r="C811" s="33" t="str">
        <f t="array" ref="C811">INDEX('MTA 28-09'!B:B,MATCH(B811,'MTA 28-09'!A:A,0))</f>
        <v>NÃO</v>
      </c>
      <c r="D811" s="34" t="str">
        <f t="array" ref="D811">INDEX('MTA 28-09'!D:D,MATCH(B811,'MTA 28-09'!A:A,0))</f>
        <v/>
      </c>
      <c r="E811" s="32" t="str">
        <f t="array" ref="E811">INDEX('MTA 28-09'!F:F,MATCH(B811,'MTA 28-09'!A:A,0))</f>
        <v/>
      </c>
      <c r="F811" s="155" t="str">
        <f t="array" ref="F811">INDEX('MTA 28-09'!I:I,MATCH(B811,'MTA 28-09'!A:A,0))</f>
        <v/>
      </c>
      <c r="G811" s="36" t="str">
        <f t="array" ref="G811">INDEX('MTA 28-09'!J:J,MATCH(B811,'MTA 28-09'!A:A,0))</f>
        <v/>
      </c>
      <c r="H811" s="287" t="s">
        <v>157</v>
      </c>
      <c r="I811" s="295"/>
      <c r="J811" s="39"/>
      <c r="K811" s="40"/>
      <c r="L811" s="39" t="str">
        <f t="array" ref="L811">INDEX('MTA 28-09'!S:S,MATCH(B811,'MTA 28-09'!A:A,0))</f>
        <v>C-97</v>
      </c>
      <c r="M811" s="32" t="str">
        <f t="array" ref="M811">INDEX('MTA 28-09'!T:T,MATCH(B811,'MTA 28-09'!A:A,0))</f>
        <v>Requisição CABW</v>
      </c>
      <c r="N811" s="32" t="str">
        <f t="array" ref="N811">INDEX('MTA 28-09'!U:U,MATCH(B811,'MTA 28-09'!A:A,0))</f>
        <v>Requisições Consumíveis 2/4 - Manutenção nos operadores</v>
      </c>
      <c r="O811" s="59">
        <f t="array" ref="O811">INDEX('MTA 28-09'!AC:AC,MATCH(B811,'MTA 28-09'!A:A,0))</f>
        <v>250000</v>
      </c>
      <c r="P811" s="32" t="str">
        <f t="array" ref="P811">INDEX('MTA 28-09'!N:N,MATCH(B811,'MTA 28-09'!A:A,0))</f>
        <v>CABW</v>
      </c>
      <c r="Q811" s="67" t="str">
        <f t="array" ref="Q811">INDEX('MTA 28-09'!Z:Z,MATCH(B811,'MTA 28-09'!A:A,0))</f>
        <v>339030</v>
      </c>
      <c r="R811" s="32" t="str">
        <f t="array" ref="R811">INDEX('MTA 28-09'!L:L,MATCH(B811,'MTA 28-09'!A:A,0))</f>
        <v>C</v>
      </c>
      <c r="S811" s="72" t="str">
        <f t="array" ref="S811">INDEX('MTA 28-09'!X:X,MATCH(B811,'MTA 28-09'!A:A,0))</f>
        <v>REQUISIÇÃO</v>
      </c>
      <c r="T811" s="72" t="str">
        <f t="array" ref="T811">INDEX('MTA 28-09'!W:W,MATCH(B811,'MTA 28-09'!A:A,0))</f>
        <v>Não</v>
      </c>
      <c r="U811" s="81">
        <f t="array" ref="U811">INDEX('MTA 28-09'!AE:AE,MATCH(B811,'MTA 28-09'!A:A,0))</f>
        <v>46229</v>
      </c>
      <c r="V811" s="12"/>
      <c r="W811" s="12"/>
      <c r="X811" s="12"/>
      <c r="Y811" s="12"/>
      <c r="Z811" s="12"/>
      <c r="AA811" s="12"/>
      <c r="AB811" s="12"/>
      <c r="AC811" s="12"/>
      <c r="AD811" s="12"/>
      <c r="AE811" s="12"/>
      <c r="AF811" s="12"/>
      <c r="AG811" s="12"/>
      <c r="AH811" s="12"/>
      <c r="AI811" s="12"/>
      <c r="AJ811" s="12"/>
      <c r="AK811" s="12"/>
      <c r="AL811" s="12"/>
      <c r="AM811" s="12"/>
    </row>
    <row r="812">
      <c r="A812" s="88" t="s">
        <v>45</v>
      </c>
      <c r="B812" s="98">
        <v>23640.0</v>
      </c>
      <c r="C812" s="92" t="str">
        <f t="array" ref="C812">INDEX('MTA 28-09'!B:B,MATCH(B812,'MTA 28-09'!A:A,0))</f>
        <v>NÃO</v>
      </c>
      <c r="D812" s="95" t="str">
        <f t="array" ref="D812">INDEX('MTA 28-09'!D:D,MATCH(B812,'MTA 28-09'!A:A,0))</f>
        <v/>
      </c>
      <c r="E812" s="98" t="str">
        <f t="array" ref="E812">INDEX('MTA 28-09'!F:F,MATCH(B812,'MTA 28-09'!A:A,0))</f>
        <v/>
      </c>
      <c r="F812" s="152" t="str">
        <f t="array" ref="F812">INDEX('MTA 28-09'!I:I,MATCH(B812,'MTA 28-09'!A:A,0))</f>
        <v/>
      </c>
      <c r="G812" s="100" t="str">
        <f t="array" ref="G812">INDEX('MTA 28-09'!J:J,MATCH(B812,'MTA 28-09'!A:A,0))</f>
        <v/>
      </c>
      <c r="H812" s="159" t="s">
        <v>157</v>
      </c>
      <c r="I812" s="296"/>
      <c r="J812" s="102"/>
      <c r="K812" s="103"/>
      <c r="L812" s="102" t="str">
        <f t="array" ref="L812">INDEX('MTA 28-09'!S:S,MATCH(B812,'MTA 28-09'!A:A,0))</f>
        <v>C-98</v>
      </c>
      <c r="M812" s="98" t="str">
        <f t="array" ref="M812">INDEX('MTA 28-09'!T:T,MATCH(B812,'MTA 28-09'!A:A,0))</f>
        <v>REQUISIÇÃO SERVIÇO</v>
      </c>
      <c r="N812" s="98" t="str">
        <f t="array" ref="N812">INDEX('MTA 28-09'!U:U,MATCH(B812,'MTA 28-09'!A:A,0))</f>
        <v>Reparo de CTVR 2 EA (2/2)</v>
      </c>
      <c r="O812" s="104">
        <f t="array" ref="O812">INDEX('MTA 28-09'!AC:AC,MATCH(B812,'MTA 28-09'!A:A,0))</f>
        <v>120000</v>
      </c>
      <c r="P812" s="98" t="str">
        <f t="array" ref="P812">INDEX('MTA 28-09'!N:N,MATCH(B812,'MTA 28-09'!A:A,0))</f>
        <v>CABW</v>
      </c>
      <c r="Q812" s="105" t="str">
        <f t="array" ref="Q812">INDEX('MTA 28-09'!Z:Z,MATCH(B812,'MTA 28-09'!A:A,0))</f>
        <v>339039</v>
      </c>
      <c r="R812" s="98" t="str">
        <f t="array" ref="R812">INDEX('MTA 28-09'!L:L,MATCH(B812,'MTA 28-09'!A:A,0))</f>
        <v>C</v>
      </c>
      <c r="S812" s="107" t="str">
        <f t="array" ref="S812">INDEX('MTA 28-09'!X:X,MATCH(B812,'MTA 28-09'!A:A,0))</f>
        <v>REQUISIÇÃO</v>
      </c>
      <c r="T812" s="107" t="str">
        <f t="array" ref="T812">INDEX('MTA 28-09'!W:W,MATCH(B812,'MTA 28-09'!A:A,0))</f>
        <v>SIM</v>
      </c>
      <c r="U812" s="109">
        <f t="array" ref="U812">INDEX('MTA 28-09'!AE:AE,MATCH(B812,'MTA 28-09'!A:A,0))</f>
        <v>46168</v>
      </c>
      <c r="V812" s="29"/>
      <c r="W812" s="29"/>
      <c r="X812" s="29"/>
      <c r="Y812" s="29"/>
      <c r="Z812" s="29"/>
      <c r="AA812" s="29"/>
      <c r="AB812" s="29"/>
      <c r="AC812" s="29"/>
      <c r="AD812" s="29"/>
      <c r="AE812" s="29"/>
      <c r="AF812" s="29"/>
      <c r="AG812" s="29"/>
      <c r="AH812" s="29"/>
      <c r="AI812" s="29"/>
      <c r="AJ812" s="29"/>
      <c r="AK812" s="29"/>
      <c r="AL812" s="29"/>
      <c r="AM812" s="29"/>
    </row>
    <row r="813">
      <c r="A813" s="31" t="s">
        <v>49</v>
      </c>
      <c r="B813" s="32">
        <v>23660.0</v>
      </c>
      <c r="C813" s="33" t="str">
        <f t="array" ref="C813">INDEX('MTA 28-09'!B:B,MATCH(B813,'MTA 28-09'!A:A,0))</f>
        <v>NÃO</v>
      </c>
      <c r="D813" s="34" t="str">
        <f t="array" ref="D813">INDEX('MTA 28-09'!D:D,MATCH(B813,'MTA 28-09'!A:A,0))</f>
        <v/>
      </c>
      <c r="E813" s="32" t="str">
        <f t="array" ref="E813">INDEX('MTA 28-09'!F:F,MATCH(B813,'MTA 28-09'!A:A,0))</f>
        <v/>
      </c>
      <c r="F813" s="155" t="str">
        <f t="array" ref="F813">INDEX('MTA 28-09'!I:I,MATCH(B813,'MTA 28-09'!A:A,0))</f>
        <v/>
      </c>
      <c r="G813" s="36" t="str">
        <f t="array" ref="G813">INDEX('MTA 28-09'!J:J,MATCH(B813,'MTA 28-09'!A:A,0))</f>
        <v/>
      </c>
      <c r="H813" s="287" t="s">
        <v>157</v>
      </c>
      <c r="I813" s="295"/>
      <c r="J813" s="39"/>
      <c r="K813" s="40"/>
      <c r="L813" s="39" t="str">
        <f t="array" ref="L813">INDEX('MTA 28-09'!S:S,MATCH(B813,'MTA 28-09'!A:A,0))</f>
        <v>IU-93M</v>
      </c>
      <c r="M813" s="32" t="str">
        <f t="array" ref="M813">INDEX('MTA 28-09'!T:T,MATCH(B813,'MTA 28-09'!A:A,0))</f>
        <v>Requisição FMS</v>
      </c>
      <c r="N813" s="32" t="str">
        <f t="array" ref="N813">INDEX('MTA 28-09'!U:U,MATCH(B813,'MTA 28-09'!A:A,0))</f>
        <v>Requisições Consumíveis 2/4</v>
      </c>
      <c r="O813" s="59">
        <f t="array" ref="O813">INDEX('MTA 28-09'!AC:AC,MATCH(B813,'MTA 28-09'!A:A,0))</f>
        <v>30000</v>
      </c>
      <c r="P813" s="32" t="str">
        <f t="array" ref="P813">INDEX('MTA 28-09'!N:N,MATCH(B813,'MTA 28-09'!A:A,0))</f>
        <v>FMS</v>
      </c>
      <c r="Q813" s="67" t="str">
        <f t="array" ref="Q813">INDEX('MTA 28-09'!Z:Z,MATCH(B813,'MTA 28-09'!A:A,0))</f>
        <v>339030</v>
      </c>
      <c r="R813" s="32" t="str">
        <f t="array" ref="R813">INDEX('MTA 28-09'!L:L,MATCH(B813,'MTA 28-09'!A:A,0))</f>
        <v>C</v>
      </c>
      <c r="S813" s="72" t="str">
        <f t="array" ref="S813">INDEX('MTA 28-09'!X:X,MATCH(B813,'MTA 28-09'!A:A,0))</f>
        <v>REQUISIÇÃO</v>
      </c>
      <c r="T813" s="72" t="str">
        <f t="array" ref="T813">INDEX('MTA 28-09'!W:W,MATCH(B813,'MTA 28-09'!A:A,0))</f>
        <v>Não</v>
      </c>
      <c r="U813" s="81">
        <f t="array" ref="U813">INDEX('MTA 28-09'!AE:AE,MATCH(B813,'MTA 28-09'!A:A,0))</f>
        <v>46229</v>
      </c>
      <c r="V813" s="12"/>
      <c r="W813" s="12"/>
      <c r="X813" s="12"/>
      <c r="Y813" s="12"/>
      <c r="Z813" s="12"/>
      <c r="AA813" s="12"/>
      <c r="AB813" s="12"/>
      <c r="AC813" s="12"/>
      <c r="AD813" s="12"/>
      <c r="AE813" s="12"/>
      <c r="AF813" s="12"/>
      <c r="AG813" s="12"/>
      <c r="AH813" s="12"/>
      <c r="AI813" s="12"/>
      <c r="AJ813" s="12"/>
      <c r="AK813" s="12"/>
      <c r="AL813" s="12"/>
      <c r="AM813" s="12"/>
    </row>
    <row r="814">
      <c r="A814" s="88" t="s">
        <v>107</v>
      </c>
      <c r="B814" s="98">
        <v>23680.0</v>
      </c>
      <c r="C814" s="92" t="str">
        <f t="array" ref="C814">INDEX('MTA 28-09'!B:B,MATCH(B814,'MTA 28-09'!A:A,0))</f>
        <v>NÃO</v>
      </c>
      <c r="D814" s="95" t="str">
        <f t="array" ref="D814">INDEX('MTA 28-09'!D:D,MATCH(B814,'MTA 28-09'!A:A,0))</f>
        <v/>
      </c>
      <c r="E814" s="98" t="str">
        <f t="array" ref="E814">INDEX('MTA 28-09'!F:F,MATCH(B814,'MTA 28-09'!A:A,0))</f>
        <v/>
      </c>
      <c r="F814" s="152" t="str">
        <f t="array" ref="F814">INDEX('MTA 28-09'!I:I,MATCH(B814,'MTA 28-09'!A:A,0))</f>
        <v/>
      </c>
      <c r="G814" s="100" t="str">
        <f t="array" ref="G814">INDEX('MTA 28-09'!J:J,MATCH(B814,'MTA 28-09'!A:A,0))</f>
        <v/>
      </c>
      <c r="H814" s="159" t="s">
        <v>157</v>
      </c>
      <c r="I814" s="296"/>
      <c r="J814" s="102"/>
      <c r="K814" s="103"/>
      <c r="L814" s="102" t="str">
        <f t="array" ref="L814">INDEX('MTA 28-09'!S:S,MATCH(B814,'MTA 28-09'!A:A,0))</f>
        <v>APOIO</v>
      </c>
      <c r="M814" s="98" t="str">
        <f t="array" ref="M814">INDEX('MTA 28-09'!T:T,MATCH(B814,'MTA 28-09'!A:A,0))</f>
        <v>REQUISIÇÃO SSS TLV</v>
      </c>
      <c r="N814" s="98" t="str">
        <f t="array" ref="N814">INDEX('MTA 28-09'!U:U,MATCH(B814,'MTA 28-09'!A:A,0))</f>
        <v>AQUISIÇÃO ITENS SSS COM TEMPO LIMITE DE VIDA (CABW) 3/3</v>
      </c>
      <c r="O814" s="104">
        <f t="array" ref="O814">INDEX('MTA 28-09'!AC:AC,MATCH(B814,'MTA 28-09'!A:A,0))</f>
        <v>1679899.79</v>
      </c>
      <c r="P814" s="98" t="str">
        <f t="array" ref="P814">INDEX('MTA 28-09'!N:N,MATCH(B814,'MTA 28-09'!A:A,0))</f>
        <v>CABW</v>
      </c>
      <c r="Q814" s="105" t="str">
        <f t="array" ref="Q814">INDEX('MTA 28-09'!Z:Z,MATCH(B814,'MTA 28-09'!A:A,0))</f>
        <v>339030</v>
      </c>
      <c r="R814" s="98" t="str">
        <f t="array" ref="R814">INDEX('MTA 28-09'!L:L,MATCH(B814,'MTA 28-09'!A:A,0))</f>
        <v>C</v>
      </c>
      <c r="S814" s="107" t="str">
        <f t="array" ref="S814">INDEX('MTA 28-09'!X:X,MATCH(B814,'MTA 28-09'!A:A,0))</f>
        <v>REQUISIÇÃO</v>
      </c>
      <c r="T814" s="107" t="str">
        <f t="array" ref="T814">INDEX('MTA 28-09'!W:W,MATCH(B814,'MTA 28-09'!A:A,0))</f>
        <v>NÃO</v>
      </c>
      <c r="U814" s="109">
        <f t="array" ref="U814">INDEX('MTA 28-09'!AE:AE,MATCH(B814,'MTA 28-09'!A:A,0))</f>
        <v>46229</v>
      </c>
      <c r="V814" s="29"/>
      <c r="W814" s="29"/>
      <c r="X814" s="29"/>
      <c r="Y814" s="29"/>
      <c r="Z814" s="29"/>
      <c r="AA814" s="29"/>
      <c r="AB814" s="29"/>
      <c r="AC814" s="29"/>
      <c r="AD814" s="29"/>
      <c r="AE814" s="29"/>
      <c r="AF814" s="29"/>
      <c r="AG814" s="29"/>
      <c r="AH814" s="29"/>
      <c r="AI814" s="29"/>
      <c r="AJ814" s="29"/>
      <c r="AK814" s="29"/>
      <c r="AL814" s="29"/>
      <c r="AM814" s="29"/>
    </row>
    <row r="815">
      <c r="A815" s="31" t="s">
        <v>49</v>
      </c>
      <c r="B815" s="32">
        <v>23700.0</v>
      </c>
      <c r="C815" s="33" t="str">
        <f t="array" ref="C815">INDEX('MTA 28-09'!B:B,MATCH(B815,'MTA 28-09'!A:A,0))</f>
        <v>SIM</v>
      </c>
      <c r="D815" s="34" t="str">
        <f t="array" ref="D815">INDEX('MTA 28-09'!D:D,MATCH(B815,'MTA 28-09'!A:A,0))</f>
        <v>20XV EXTRA</v>
      </c>
      <c r="E815" s="32" t="str">
        <f t="array" ref="E815">INDEX('MTA 28-09'!F:F,MATCH(B815,'MTA 28-09'!A:A,0))</f>
        <v>CANCELADO</v>
      </c>
      <c r="F815" s="35" t="str">
        <f t="array" ref="F815">INDEX('MTA 28-09'!I:I,MATCH(B815,'MTA 28-09'!A:A,0))</f>
        <v/>
      </c>
      <c r="G815" s="36" t="str">
        <f t="array" ref="G815">INDEX('MTA 28-09'!J:J,MATCH(B815,'MTA 28-09'!A:A,0))</f>
        <v/>
      </c>
      <c r="H815" s="287" t="s">
        <v>157</v>
      </c>
      <c r="I815" s="295"/>
      <c r="J815" s="39"/>
      <c r="K815" s="40"/>
      <c r="L815" s="39" t="str">
        <f t="array" ref="L815">INDEX('MTA 28-09'!S:S,MATCH(B815,'MTA 28-09'!A:A,0))</f>
        <v>IU-93M</v>
      </c>
      <c r="M815" s="32" t="str">
        <f t="array" ref="M815">INDEX('MTA 28-09'!T:T,MATCH(B815,'MTA 28-09'!A:A,0))</f>
        <v>CNT 024/CELOG-PAMALS/2022 - VEE ONE</v>
      </c>
      <c r="N815" s="32" t="str">
        <f t="array" ref="N815">INDEX('MTA 28-09'!U:U,MATCH(B815,'MTA 28-09'!A:A,0))</f>
        <v>Módulo Extra - Montagem 6053</v>
      </c>
      <c r="O815" s="59" t="str">
        <f t="array" ref="O815">INDEX('MTA 28-09'!AC:AC,MATCH(B815,'MTA 28-09'!A:A,0))</f>
        <v> -</v>
      </c>
      <c r="P815" s="32" t="str">
        <f t="array" ref="P815">INDEX('MTA 28-09'!N:N,MATCH(B815,'MTA 28-09'!A:A,0))</f>
        <v>CELOG</v>
      </c>
      <c r="Q815" s="67" t="str">
        <f t="array" ref="Q815">INDEX('MTA 28-09'!Z:Z,MATCH(B815,'MTA 28-09'!A:A,0))</f>
        <v>339039</v>
      </c>
      <c r="R815" s="32" t="str">
        <f t="array" ref="R815">INDEX('MTA 28-09'!L:L,MATCH(B815,'MTA 28-09'!A:A,0))</f>
        <v>C</v>
      </c>
      <c r="S815" s="72" t="str">
        <f t="array" ref="S815">INDEX('MTA 28-09'!X:X,MATCH(B815,'MTA 28-09'!A:A,0))</f>
        <v>SOB DEMANDA</v>
      </c>
      <c r="T815" s="72" t="str">
        <f t="array" ref="T815">INDEX('MTA 28-09'!W:W,MATCH(B815,'MTA 28-09'!A:A,0))</f>
        <v>Não</v>
      </c>
      <c r="U815" s="81">
        <f t="array" ref="U815">INDEX('MTA 28-09'!AE:AE,MATCH(B815,'MTA 28-09'!A:A,0))</f>
        <v>46291</v>
      </c>
      <c r="V815" s="12"/>
      <c r="W815" s="12"/>
      <c r="X815" s="12"/>
      <c r="Y815" s="12"/>
      <c r="Z815" s="12"/>
      <c r="AA815" s="12"/>
      <c r="AB815" s="12"/>
      <c r="AC815" s="12"/>
      <c r="AD815" s="12"/>
      <c r="AE815" s="12"/>
      <c r="AF815" s="12"/>
      <c r="AG815" s="12"/>
      <c r="AH815" s="12"/>
      <c r="AI815" s="12"/>
      <c r="AJ815" s="12"/>
      <c r="AK815" s="12"/>
      <c r="AL815" s="12"/>
      <c r="AM815" s="12"/>
    </row>
    <row r="816">
      <c r="A816" s="88" t="s">
        <v>49</v>
      </c>
      <c r="B816" s="90">
        <v>23701.0</v>
      </c>
      <c r="C816" s="92" t="str">
        <f t="array" ref="C816">INDEX('MTA 28-09'!B:B,MATCH(B816,'MTA 28-09'!A:A,0))</f>
        <v>SIM</v>
      </c>
      <c r="D816" s="95" t="str">
        <f t="array" ref="D816">INDEX('MTA 28-09'!D:D,MATCH(B816,'MTA 28-09'!A:A,0))</f>
        <v>20XV EXTRA</v>
      </c>
      <c r="E816" s="98" t="str">
        <f t="array" ref="E816">INDEX('MTA 28-09'!F:F,MATCH(B816,'MTA 28-09'!A:A,0))</f>
        <v>ATENDIDO</v>
      </c>
      <c r="F816" s="99">
        <f t="array" ref="F816">INDEX('MTA 28-09'!I:I,MATCH(B816,'MTA 28-09'!A:A,0))</f>
        <v>46093</v>
      </c>
      <c r="G816" s="100" t="str">
        <f t="array" ref="G816">INDEX('MTA 28-09'!J:J,MATCH(B816,'MTA 28-09'!A:A,0))</f>
        <v>C26142</v>
      </c>
      <c r="H816" s="159" t="s">
        <v>157</v>
      </c>
      <c r="I816" s="90"/>
      <c r="J816" s="102"/>
      <c r="K816" s="103"/>
      <c r="L816" s="102" t="str">
        <f t="array" ref="L816">INDEX('MTA 28-09'!S:S,MATCH(B816,'MTA 28-09'!A:A,0))</f>
        <v>IU-93M</v>
      </c>
      <c r="M816" s="98" t="str">
        <f t="array" ref="M816">INDEX('MTA 28-09'!T:T,MATCH(B816,'MTA 28-09'!A:A,0))</f>
        <v>CNT 024/CELOG-PAMALS/2022 - VEE ONE</v>
      </c>
      <c r="N816" s="98" t="str">
        <f t="array" ref="N816">INDEX('MTA 28-09'!U:U,MATCH(B816,'MTA 28-09'!A:A,0))</f>
        <v>Módulo Extra - Montagem 6053 1/5</v>
      </c>
      <c r="O816" s="104">
        <f t="array" ref="O816">INDEX('MTA 28-09'!AC:AC,MATCH(B816,'MTA 28-09'!A:A,0))</f>
        <v>1000000</v>
      </c>
      <c r="P816" s="98" t="str">
        <f t="array" ref="P816">INDEX('MTA 28-09'!N:N,MATCH(B816,'MTA 28-09'!A:A,0))</f>
        <v>CELOG</v>
      </c>
      <c r="Q816" s="105" t="str">
        <f t="array" ref="Q816">INDEX('MTA 28-09'!Z:Z,MATCH(B816,'MTA 28-09'!A:A,0))</f>
        <v>339039</v>
      </c>
      <c r="R816" s="98" t="str">
        <f t="array" ref="R816">INDEX('MTA 28-09'!L:L,MATCH(B816,'MTA 28-09'!A:A,0))</f>
        <v>C</v>
      </c>
      <c r="S816" s="107" t="str">
        <f t="array" ref="S816">INDEX('MTA 28-09'!X:X,MATCH(B816,'MTA 28-09'!A:A,0))</f>
        <v>SOB DEMANDA</v>
      </c>
      <c r="T816" s="107" t="str">
        <f t="array" ref="T816">INDEX('MTA 28-09'!W:W,MATCH(B816,'MTA 28-09'!A:A,0))</f>
        <v>Não</v>
      </c>
      <c r="U816" s="109">
        <f t="array" ref="U816">INDEX('MTA 28-09'!AE:AE,MATCH(B816,'MTA 28-09'!A:A,0))</f>
        <v>46291</v>
      </c>
      <c r="V816" s="29"/>
      <c r="W816" s="29"/>
      <c r="X816" s="29"/>
      <c r="Y816" s="29"/>
      <c r="Z816" s="29"/>
      <c r="AA816" s="29"/>
      <c r="AB816" s="29"/>
      <c r="AC816" s="29"/>
      <c r="AD816" s="29"/>
      <c r="AE816" s="29"/>
      <c r="AF816" s="29"/>
      <c r="AG816" s="29"/>
      <c r="AH816" s="29"/>
      <c r="AI816" s="29"/>
      <c r="AJ816" s="29"/>
      <c r="AK816" s="29"/>
      <c r="AL816" s="29"/>
      <c r="AM816" s="29"/>
    </row>
    <row r="817">
      <c r="A817" s="31" t="s">
        <v>49</v>
      </c>
      <c r="B817" s="38">
        <v>23702.0</v>
      </c>
      <c r="C817" s="33" t="str">
        <f t="array" ref="C817">INDEX('MTA 28-09'!B:B,MATCH(B817,'MTA 28-09'!A:A,0))</f>
        <v>SIM</v>
      </c>
      <c r="D817" s="34" t="str">
        <f t="array" ref="D817">INDEX('MTA 28-09'!D:D,MATCH(B817,'MTA 28-09'!A:A,0))</f>
        <v>20XV EXTRA</v>
      </c>
      <c r="E817" s="32" t="str">
        <f t="array" ref="E817">INDEX('MTA 28-09'!F:F,MATCH(B817,'MTA 28-09'!A:A,0))</f>
        <v>ATENDIDO</v>
      </c>
      <c r="F817" s="35">
        <f t="array" ref="F817">INDEX('MTA 28-09'!I:I,MATCH(B817,'MTA 28-09'!A:A,0))</f>
        <v>46111</v>
      </c>
      <c r="G817" s="36" t="str">
        <f t="array" ref="G817">INDEX('MTA 28-09'!J:J,MATCH(B817,'MTA 28-09'!A:A,0))</f>
        <v>C26142</v>
      </c>
      <c r="H817" s="287" t="s">
        <v>157</v>
      </c>
      <c r="I817" s="38"/>
      <c r="J817" s="39"/>
      <c r="K817" s="40"/>
      <c r="L817" s="39" t="str">
        <f t="array" ref="L817">INDEX('MTA 28-09'!S:S,MATCH(B817,'MTA 28-09'!A:A,0))</f>
        <v>IU-93M</v>
      </c>
      <c r="M817" s="32" t="str">
        <f t="array" ref="M817">INDEX('MTA 28-09'!T:T,MATCH(B817,'MTA 28-09'!A:A,0))</f>
        <v>CNT 024/CELOG-PAMALS/2022 - VEE ONE</v>
      </c>
      <c r="N817" s="32" t="str">
        <f t="array" ref="N817">INDEX('MTA 28-09'!U:U,MATCH(B817,'MTA 28-09'!A:A,0))</f>
        <v>Módulo Extra - Montagem 6053 2/5</v>
      </c>
      <c r="O817" s="59">
        <f t="array" ref="O817">INDEX('MTA 28-09'!AC:AC,MATCH(B817,'MTA 28-09'!A:A,0))</f>
        <v>1000000</v>
      </c>
      <c r="P817" s="32" t="str">
        <f t="array" ref="P817">INDEX('MTA 28-09'!N:N,MATCH(B817,'MTA 28-09'!A:A,0))</f>
        <v>CELOG</v>
      </c>
      <c r="Q817" s="67" t="str">
        <f t="array" ref="Q817">INDEX('MTA 28-09'!Z:Z,MATCH(B817,'MTA 28-09'!A:A,0))</f>
        <v>339039</v>
      </c>
      <c r="R817" s="32" t="str">
        <f t="array" ref="R817">INDEX('MTA 28-09'!L:L,MATCH(B817,'MTA 28-09'!A:A,0))</f>
        <v>C</v>
      </c>
      <c r="S817" s="72" t="str">
        <f t="array" ref="S817">INDEX('MTA 28-09'!X:X,MATCH(B817,'MTA 28-09'!A:A,0))</f>
        <v>SOB DEMANDA</v>
      </c>
      <c r="T817" s="72" t="str">
        <f t="array" ref="T817">INDEX('MTA 28-09'!W:W,MATCH(B817,'MTA 28-09'!A:A,0))</f>
        <v>Não</v>
      </c>
      <c r="U817" s="81">
        <f t="array" ref="U817">INDEX('MTA 28-09'!AE:AE,MATCH(B817,'MTA 28-09'!A:A,0))</f>
        <v>46291</v>
      </c>
      <c r="V817" s="12"/>
      <c r="W817" s="12"/>
      <c r="X817" s="12"/>
      <c r="Y817" s="12"/>
      <c r="Z817" s="12"/>
      <c r="AA817" s="12"/>
      <c r="AB817" s="12"/>
      <c r="AC817" s="12"/>
      <c r="AD817" s="12"/>
      <c r="AE817" s="12"/>
      <c r="AF817" s="12"/>
      <c r="AG817" s="12"/>
      <c r="AH817" s="12"/>
      <c r="AI817" s="12"/>
      <c r="AJ817" s="12"/>
      <c r="AK817" s="12"/>
      <c r="AL817" s="12"/>
      <c r="AM817" s="12"/>
    </row>
    <row r="818">
      <c r="A818" s="88" t="s">
        <v>49</v>
      </c>
      <c r="B818" s="90">
        <v>23703.0</v>
      </c>
      <c r="C818" s="92" t="str">
        <f t="array" ref="C818">INDEX('MTA 28-09'!B:B,MATCH(B818,'MTA 28-09'!A:A,0))</f>
        <v>SIM</v>
      </c>
      <c r="D818" s="95" t="str">
        <f t="array" ref="D818">INDEX('MTA 28-09'!D:D,MATCH(B818,'MTA 28-09'!A:A,0))</f>
        <v>20XV EXTRA</v>
      </c>
      <c r="E818" s="98" t="str">
        <f t="array" ref="E818">INDEX('MTA 28-09'!F:F,MATCH(B818,'MTA 28-09'!A:A,0))</f>
        <v>ATENDIDO</v>
      </c>
      <c r="F818" s="144">
        <f t="array" ref="F818">INDEX('MTA 28-09'!I:I,MATCH(B818,'MTA 28-09'!A:A,0))</f>
        <v>46282</v>
      </c>
      <c r="G818" s="100" t="str">
        <f t="array" ref="G818">INDEX('MTA 28-09'!J:J,MATCH(B818,'MTA 28-09'!A:A,0))</f>
        <v>C26142</v>
      </c>
      <c r="H818" s="101" t="s">
        <v>1451</v>
      </c>
      <c r="I818" s="90" t="s">
        <v>1614</v>
      </c>
      <c r="J818" s="102"/>
      <c r="K818" s="103"/>
      <c r="L818" s="102" t="str">
        <f t="array" ref="L818">INDEX('MTA 28-09'!S:S,MATCH(B818,'MTA 28-09'!A:A,0))</f>
        <v>IU-93M</v>
      </c>
      <c r="M818" s="98" t="str">
        <f t="array" ref="M818">INDEX('MTA 28-09'!T:T,MATCH(B818,'MTA 28-09'!A:A,0))</f>
        <v>CNT 024/CELOG-PAMALS/2022 - VEE ONE</v>
      </c>
      <c r="N818" s="98" t="str">
        <f t="array" ref="N818">INDEX('MTA 28-09'!U:U,MATCH(B818,'MTA 28-09'!A:A,0))</f>
        <v>Módulo Extra - Montagem 6053 3/5</v>
      </c>
      <c r="O818" s="104">
        <f t="array" ref="O818">INDEX('MTA 28-09'!AC:AC,MATCH(B818,'MTA 28-09'!A:A,0))</f>
        <v>4320125</v>
      </c>
      <c r="P818" s="98" t="str">
        <f t="array" ref="P818">INDEX('MTA 28-09'!N:N,MATCH(B818,'MTA 28-09'!A:A,0))</f>
        <v>CELOG</v>
      </c>
      <c r="Q818" s="105" t="str">
        <f t="array" ref="Q818">INDEX('MTA 28-09'!Z:Z,MATCH(B818,'MTA 28-09'!A:A,0))</f>
        <v>339039</v>
      </c>
      <c r="R818" s="98" t="str">
        <f t="array" ref="R818">INDEX('MTA 28-09'!L:L,MATCH(B818,'MTA 28-09'!A:A,0))</f>
        <v>C</v>
      </c>
      <c r="S818" s="107" t="str">
        <f t="array" ref="S818">INDEX('MTA 28-09'!X:X,MATCH(B818,'MTA 28-09'!A:A,0))</f>
        <v>SOB DEMANDA</v>
      </c>
      <c r="T818" s="107" t="str">
        <f t="array" ref="T818">INDEX('MTA 28-09'!W:W,MATCH(B818,'MTA 28-09'!A:A,0))</f>
        <v>Não</v>
      </c>
      <c r="U818" s="109">
        <f t="array" ref="U818">INDEX('MTA 28-09'!AE:AE,MATCH(B818,'MTA 28-09'!A:A,0))</f>
        <v>46353</v>
      </c>
      <c r="V818" s="29"/>
      <c r="W818" s="29"/>
      <c r="X818" s="29"/>
      <c r="Y818" s="29"/>
      <c r="Z818" s="29"/>
      <c r="AA818" s="29"/>
      <c r="AB818" s="29"/>
      <c r="AC818" s="29"/>
      <c r="AD818" s="29"/>
      <c r="AE818" s="29"/>
      <c r="AF818" s="29"/>
      <c r="AG818" s="29"/>
      <c r="AH818" s="29"/>
      <c r="AI818" s="29"/>
      <c r="AJ818" s="29"/>
      <c r="AK818" s="29"/>
      <c r="AL818" s="29"/>
      <c r="AM818" s="29"/>
    </row>
    <row r="819">
      <c r="A819" s="31" t="s">
        <v>49</v>
      </c>
      <c r="B819" s="38">
        <v>23704.0</v>
      </c>
      <c r="C819" s="33" t="str">
        <f t="array" ref="C819">INDEX('MTA 28-09'!B:B,MATCH(B819,'MTA 28-09'!A:A,0))</f>
        <v>SIM</v>
      </c>
      <c r="D819" s="34" t="str">
        <f t="array" ref="D819">INDEX('MTA 28-09'!D:D,MATCH(B819,'MTA 28-09'!A:A,0))</f>
        <v>20XV EXTRA</v>
      </c>
      <c r="E819" s="32" t="str">
        <f t="array" ref="E819">INDEX('MTA 28-09'!F:F,MATCH(B819,'MTA 28-09'!A:A,0))</f>
        <v>ATENDIDO</v>
      </c>
      <c r="F819" s="137">
        <f t="array" ref="F819">INDEX('MTA 28-09'!I:I,MATCH(B819,'MTA 28-09'!A:A,0))</f>
        <v>46282</v>
      </c>
      <c r="G819" s="36" t="str">
        <f t="array" ref="G819">INDEX('MTA 28-09'!J:J,MATCH(B819,'MTA 28-09'!A:A,0))</f>
        <v>C26142</v>
      </c>
      <c r="H819" s="37" t="s">
        <v>1451</v>
      </c>
      <c r="I819" s="38" t="s">
        <v>1614</v>
      </c>
      <c r="J819" s="39"/>
      <c r="K819" s="40"/>
      <c r="L819" s="39" t="str">
        <f t="array" ref="L819">INDEX('MTA 28-09'!S:S,MATCH(B819,'MTA 28-09'!A:A,0))</f>
        <v>IU-93M</v>
      </c>
      <c r="M819" s="32" t="str">
        <f t="array" ref="M819">INDEX('MTA 28-09'!T:T,MATCH(B819,'MTA 28-09'!A:A,0))</f>
        <v>CNT 024/CELOG-PAMALS/2022 - VEE ONE</v>
      </c>
      <c r="N819" s="32" t="str">
        <f t="array" ref="N819">INDEX('MTA 28-09'!U:U,MATCH(B819,'MTA 28-09'!A:A,0))</f>
        <v>Módulo Extra - Montagem 6053 4/5</v>
      </c>
      <c r="O819" s="59">
        <f t="array" ref="O819">INDEX('MTA 28-09'!AC:AC,MATCH(B819,'MTA 28-09'!A:A,0))</f>
        <v>7871994</v>
      </c>
      <c r="P819" s="32" t="str">
        <f t="array" ref="P819">INDEX('MTA 28-09'!N:N,MATCH(B819,'MTA 28-09'!A:A,0))</f>
        <v>CELOG</v>
      </c>
      <c r="Q819" s="67" t="str">
        <f t="array" ref="Q819">INDEX('MTA 28-09'!Z:Z,MATCH(B819,'MTA 28-09'!A:A,0))</f>
        <v>339039</v>
      </c>
      <c r="R819" s="32" t="str">
        <f t="array" ref="R819">INDEX('MTA 28-09'!L:L,MATCH(B819,'MTA 28-09'!A:A,0))</f>
        <v>C</v>
      </c>
      <c r="S819" s="72" t="str">
        <f t="array" ref="S819">INDEX('MTA 28-09'!X:X,MATCH(B819,'MTA 28-09'!A:A,0))</f>
        <v>SOB DEMANDA</v>
      </c>
      <c r="T819" s="72" t="str">
        <f t="array" ref="T819">INDEX('MTA 28-09'!W:W,MATCH(B819,'MTA 28-09'!A:A,0))</f>
        <v>Não</v>
      </c>
      <c r="U819" s="81">
        <f t="array" ref="U819">INDEX('MTA 28-09'!AE:AE,MATCH(B819,'MTA 28-09'!A:A,0))</f>
        <v>46049</v>
      </c>
      <c r="V819" s="12"/>
      <c r="W819" s="12"/>
      <c r="X819" s="12"/>
      <c r="Y819" s="12"/>
      <c r="Z819" s="12"/>
      <c r="AA819" s="12"/>
      <c r="AB819" s="12"/>
      <c r="AC819" s="12"/>
      <c r="AD819" s="12"/>
      <c r="AE819" s="12"/>
      <c r="AF819" s="12"/>
      <c r="AG819" s="12"/>
      <c r="AH819" s="12"/>
      <c r="AI819" s="12"/>
      <c r="AJ819" s="12"/>
      <c r="AK819" s="12"/>
      <c r="AL819" s="12"/>
      <c r="AM819" s="12"/>
    </row>
    <row r="820">
      <c r="A820" s="88" t="s">
        <v>49</v>
      </c>
      <c r="B820" s="90">
        <v>23705.0</v>
      </c>
      <c r="C820" s="92" t="str">
        <f t="array" ref="C820">INDEX('MTA 28-09'!B:B,MATCH(B820,'MTA 28-09'!A:A,0))</f>
        <v>SIM</v>
      </c>
      <c r="D820" s="95" t="s">
        <v>1366</v>
      </c>
      <c r="E820" s="98" t="str">
        <f t="array" ref="E820">INDEX('MTA 28-09'!F:F,MATCH(B820,'MTA 28-09'!A:A,0))</f>
        <v>20XV 2027</v>
      </c>
      <c r="F820" s="144" t="str">
        <f t="array" ref="F820">INDEX('MTA 28-09'!I:I,MATCH(B820,'MTA 28-09'!A:A,0))</f>
        <v/>
      </c>
      <c r="G820" s="100" t="str">
        <f t="array" ref="G820">INDEX('MTA 28-09'!J:J,MATCH(B820,'MTA 28-09'!A:A,0))</f>
        <v/>
      </c>
      <c r="H820" s="101" t="s">
        <v>1451</v>
      </c>
      <c r="I820" s="90" t="s">
        <v>1614</v>
      </c>
      <c r="J820" s="102"/>
      <c r="K820" s="103"/>
      <c r="L820" s="102" t="str">
        <f t="array" ref="L820">INDEX('MTA 28-09'!S:S,MATCH(B820,'MTA 28-09'!A:A,0))</f>
        <v>IU-93M</v>
      </c>
      <c r="M820" s="98" t="str">
        <f t="array" ref="M820">INDEX('MTA 28-09'!T:T,MATCH(B820,'MTA 28-09'!A:A,0))</f>
        <v>CNT 024/CELOG-PAMALS/2022 - VEE ONE</v>
      </c>
      <c r="N820" s="98" t="str">
        <f t="array" ref="N820">INDEX('MTA 28-09'!U:U,MATCH(B820,'MTA 28-09'!A:A,0))</f>
        <v>Módulo Extra - Montagem 6053 5/5</v>
      </c>
      <c r="O820" s="104">
        <f t="array" ref="O820">INDEX('MTA 28-09'!AC:AC,MATCH(B820,'MTA 28-09'!A:A,0))</f>
        <v>4320125</v>
      </c>
      <c r="P820" s="98" t="str">
        <f t="array" ref="P820">INDEX('MTA 28-09'!N:N,MATCH(B820,'MTA 28-09'!A:A,0))</f>
        <v>CELOG</v>
      </c>
      <c r="Q820" s="105" t="str">
        <f t="array" ref="Q820">INDEX('MTA 28-09'!Z:Z,MATCH(B820,'MTA 28-09'!A:A,0))</f>
        <v>339039</v>
      </c>
      <c r="R820" s="98" t="str">
        <f t="array" ref="R820">INDEX('MTA 28-09'!L:L,MATCH(B820,'MTA 28-09'!A:A,0))</f>
        <v>C</v>
      </c>
      <c r="S820" s="107" t="str">
        <f t="array" ref="S820">INDEX('MTA 28-09'!X:X,MATCH(B820,'MTA 28-09'!A:A,0))</f>
        <v>SOB DEMANDA</v>
      </c>
      <c r="T820" s="107" t="str">
        <f t="array" ref="T820">INDEX('MTA 28-09'!W:W,MATCH(B820,'MTA 28-09'!A:A,0))</f>
        <v>Não</v>
      </c>
      <c r="U820" s="109">
        <f t="array" ref="U820">INDEX('MTA 28-09'!AE:AE,MATCH(B820,'MTA 28-09'!A:A,0))</f>
        <v>46080</v>
      </c>
      <c r="V820" s="29"/>
      <c r="W820" s="29"/>
      <c r="X820" s="29"/>
      <c r="Y820" s="29"/>
      <c r="Z820" s="29"/>
      <c r="AA820" s="29"/>
      <c r="AB820" s="29"/>
      <c r="AC820" s="29"/>
      <c r="AD820" s="29"/>
      <c r="AE820" s="29"/>
      <c r="AF820" s="29"/>
      <c r="AG820" s="29"/>
      <c r="AH820" s="29"/>
      <c r="AI820" s="29"/>
      <c r="AJ820" s="29"/>
      <c r="AK820" s="29"/>
      <c r="AL820" s="29"/>
      <c r="AM820" s="29"/>
    </row>
    <row r="821">
      <c r="A821" s="31" t="s">
        <v>49</v>
      </c>
      <c r="B821" s="38">
        <v>23706.0</v>
      </c>
      <c r="C821" s="33" t="str">
        <f t="array" ref="C821">INDEX('MTA 28-09'!B:B,MATCH(B821,'MTA 28-09'!A:A,0))</f>
        <v>SIM</v>
      </c>
      <c r="D821" s="34" t="s">
        <v>1366</v>
      </c>
      <c r="E821" s="32" t="str">
        <f t="array" ref="E821">INDEX('MTA 28-09'!F:F,MATCH(B821,'MTA 28-09'!A:A,0))</f>
        <v>20XV 2027</v>
      </c>
      <c r="F821" s="137" t="str">
        <f t="array" ref="F821">INDEX('MTA 28-09'!I:I,MATCH(B821,'MTA 28-09'!A:A,0))</f>
        <v/>
      </c>
      <c r="G821" s="36" t="str">
        <f t="array" ref="G821">INDEX('MTA 28-09'!J:J,MATCH(B821,'MTA 28-09'!A:A,0))</f>
        <v/>
      </c>
      <c r="H821" s="287" t="s">
        <v>157</v>
      </c>
      <c r="I821" s="38"/>
      <c r="J821" s="39"/>
      <c r="K821" s="40"/>
      <c r="L821" s="39" t="str">
        <f t="array" ref="L821">INDEX('MTA 28-09'!S:S,MATCH(B821,'MTA 28-09'!A:A,0))</f>
        <v>IU-93M</v>
      </c>
      <c r="M821" s="32" t="str">
        <f t="array" ref="M821">INDEX('MTA 28-09'!T:T,MATCH(B821,'MTA 28-09'!A:A,0))</f>
        <v>CNT 024/CELOG-PAMALS/2022 - VEE ONE</v>
      </c>
      <c r="N821" s="32" t="str">
        <f t="array" ref="N821">INDEX('MTA 28-09'!U:U,MATCH(B821,'MTA 28-09'!A:A,0))</f>
        <v>Módulo Extra - Montagem 6053</v>
      </c>
      <c r="O821" s="59">
        <f t="array" ref="O821">INDEX('MTA 28-09'!AC:AC,MATCH(B821,'MTA 28-09'!A:A,0))</f>
        <v>1162155</v>
      </c>
      <c r="P821" s="32" t="str">
        <f t="array" ref="P821">INDEX('MTA 28-09'!N:N,MATCH(B821,'MTA 28-09'!A:A,0))</f>
        <v>CELOG</v>
      </c>
      <c r="Q821" s="67" t="str">
        <f t="array" ref="Q821">INDEX('MTA 28-09'!Z:Z,MATCH(B821,'MTA 28-09'!A:A,0))</f>
        <v>339039</v>
      </c>
      <c r="R821" s="32" t="str">
        <f t="array" ref="R821">INDEX('MTA 28-09'!L:L,MATCH(B821,'MTA 28-09'!A:A,0))</f>
        <v>C</v>
      </c>
      <c r="S821" s="72" t="str">
        <f t="array" ref="S821">INDEX('MTA 28-09'!X:X,MATCH(B821,'MTA 28-09'!A:A,0))</f>
        <v>SOB DEMANDA</v>
      </c>
      <c r="T821" s="72" t="str">
        <f t="array" ref="T821">INDEX('MTA 28-09'!W:W,MATCH(B821,'MTA 28-09'!A:A,0))</f>
        <v>Não</v>
      </c>
      <c r="U821" s="81">
        <f t="array" ref="U821">INDEX('MTA 28-09'!AE:AE,MATCH(B821,'MTA 28-09'!A:A,0))</f>
        <v>46108</v>
      </c>
      <c r="V821" s="12"/>
      <c r="W821" s="12"/>
      <c r="X821" s="12"/>
      <c r="Y821" s="12"/>
      <c r="Z821" s="12"/>
      <c r="AA821" s="12"/>
      <c r="AB821" s="12"/>
      <c r="AC821" s="12"/>
      <c r="AD821" s="12"/>
      <c r="AE821" s="12"/>
      <c r="AF821" s="12"/>
      <c r="AG821" s="12"/>
      <c r="AH821" s="12"/>
      <c r="AI821" s="12"/>
      <c r="AJ821" s="12"/>
      <c r="AK821" s="12"/>
      <c r="AL821" s="12"/>
      <c r="AM821" s="12"/>
    </row>
    <row r="822">
      <c r="A822" s="88" t="s">
        <v>49</v>
      </c>
      <c r="B822" s="90">
        <v>23707.0</v>
      </c>
      <c r="C822" s="92" t="str">
        <f t="array" ref="C822">INDEX('MTA 28-09'!B:B,MATCH(B822,'MTA 28-09'!A:A,0))</f>
        <v>SIM</v>
      </c>
      <c r="D822" s="95" t="s">
        <v>1366</v>
      </c>
      <c r="E822" s="98" t="str">
        <f t="array" ref="E822">INDEX('MTA 28-09'!F:F,MATCH(B822,'MTA 28-09'!A:A,0))</f>
        <v>20XV 2027</v>
      </c>
      <c r="F822" s="144" t="str">
        <f t="array" ref="F822">INDEX('MTA 28-09'!I:I,MATCH(B822,'MTA 28-09'!A:A,0))</f>
        <v/>
      </c>
      <c r="G822" s="100" t="str">
        <f t="array" ref="G822">INDEX('MTA 28-09'!J:J,MATCH(B822,'MTA 28-09'!A:A,0))</f>
        <v/>
      </c>
      <c r="H822" s="159" t="s">
        <v>157</v>
      </c>
      <c r="I822" s="90"/>
      <c r="J822" s="102"/>
      <c r="K822" s="103"/>
      <c r="L822" s="102" t="str">
        <f t="array" ref="L822">INDEX('MTA 28-09'!S:S,MATCH(B822,'MTA 28-09'!A:A,0))</f>
        <v>IU-93M</v>
      </c>
      <c r="M822" s="98" t="str">
        <f t="array" ref="M822">INDEX('MTA 28-09'!T:T,MATCH(B822,'MTA 28-09'!A:A,0))</f>
        <v>CNT 024/CELOG-PAMALS/2022 - VEE ONE</v>
      </c>
      <c r="N822" s="98" t="str">
        <f t="array" ref="N822">INDEX('MTA 28-09'!U:U,MATCH(B822,'MTA 28-09'!A:A,0))</f>
        <v>Módulo Extra - Montagem 6053</v>
      </c>
      <c r="O822" s="104">
        <f t="array" ref="O822">INDEX('MTA 28-09'!AC:AC,MATCH(B822,'MTA 28-09'!A:A,0))</f>
        <v>805600</v>
      </c>
      <c r="P822" s="98" t="str">
        <f t="array" ref="P822">INDEX('MTA 28-09'!N:N,MATCH(B822,'MTA 28-09'!A:A,0))</f>
        <v>CELOG</v>
      </c>
      <c r="Q822" s="105" t="str">
        <f t="array" ref="Q822">INDEX('MTA 28-09'!Z:Z,MATCH(B822,'MTA 28-09'!A:A,0))</f>
        <v>339039</v>
      </c>
      <c r="R822" s="98" t="str">
        <f t="array" ref="R822">INDEX('MTA 28-09'!L:L,MATCH(B822,'MTA 28-09'!A:A,0))</f>
        <v>C</v>
      </c>
      <c r="S822" s="107" t="str">
        <f t="array" ref="S822">INDEX('MTA 28-09'!X:X,MATCH(B822,'MTA 28-09'!A:A,0))</f>
        <v>SOB DEMANDA</v>
      </c>
      <c r="T822" s="107" t="str">
        <f t="array" ref="T822">INDEX('MTA 28-09'!W:W,MATCH(B822,'MTA 28-09'!A:A,0))</f>
        <v>Não</v>
      </c>
      <c r="U822" s="109">
        <f t="array" ref="U822">INDEX('MTA 28-09'!AE:AE,MATCH(B822,'MTA 28-09'!A:A,0))</f>
        <v>46169</v>
      </c>
      <c r="V822" s="29"/>
      <c r="W822" s="29"/>
      <c r="X822" s="29"/>
      <c r="Y822" s="29"/>
      <c r="Z822" s="29"/>
      <c r="AA822" s="29"/>
      <c r="AB822" s="29"/>
      <c r="AC822" s="29"/>
      <c r="AD822" s="29"/>
      <c r="AE822" s="29"/>
      <c r="AF822" s="29"/>
      <c r="AG822" s="29"/>
      <c r="AH822" s="29"/>
      <c r="AI822" s="29"/>
      <c r="AJ822" s="29"/>
      <c r="AK822" s="29"/>
      <c r="AL822" s="29"/>
      <c r="AM822" s="29"/>
    </row>
    <row r="823">
      <c r="A823" s="31" t="s">
        <v>99</v>
      </c>
      <c r="B823" s="32">
        <v>23720.0</v>
      </c>
      <c r="C823" s="33" t="str">
        <f t="array" ref="C823">INDEX('MTA 28-09'!B:B,MATCH(B823,'MTA 28-09'!A:A,0))</f>
        <v>NÃO</v>
      </c>
      <c r="D823" s="34" t="str">
        <f t="array" ref="D823">INDEX('MTA 28-09'!D:D,MATCH(B823,'MTA 28-09'!A:A,0))</f>
        <v/>
      </c>
      <c r="E823" s="32" t="str">
        <f t="array" ref="E823">INDEX('MTA 28-09'!F:F,MATCH(B823,'MTA 28-09'!A:A,0))</f>
        <v/>
      </c>
      <c r="F823" s="35" t="str">
        <f t="array" ref="F823">INDEX('MTA 28-09'!I:I,MATCH(B823,'MTA 28-09'!A:A,0))</f>
        <v/>
      </c>
      <c r="G823" s="36" t="str">
        <f t="array" ref="G823">INDEX('MTA 28-09'!J:J,MATCH(B823,'MTA 28-09'!A:A,0))</f>
        <v/>
      </c>
      <c r="H823" s="287" t="s">
        <v>157</v>
      </c>
      <c r="I823" s="295"/>
      <c r="J823" s="39"/>
      <c r="K823" s="40"/>
      <c r="L823" s="39" t="str">
        <f t="array" ref="L823">INDEX('MTA 28-09'!S:S,MATCH(B823,'MTA 28-09'!A:A,0))</f>
        <v>APOIO</v>
      </c>
      <c r="M823" s="32" t="str">
        <f t="array" ref="M823">INDEX('MTA 28-09'!T:T,MATCH(B823,'MTA 28-09'!A:A,0))</f>
        <v>ARP XXX/CELOG-PAMALS/2026 – Aquisição de RFID</v>
      </c>
      <c r="N823" s="32" t="str">
        <f t="array" ref="N823">INDEX('MTA 28-09'!U:U,MATCH(B823,'MTA 28-09'!A:A,0))</f>
        <v>Aquisição de material de RFID</v>
      </c>
      <c r="O823" s="59">
        <f t="array" ref="O823">INDEX('MTA 28-09'!AC:AC,MATCH(B823,'MTA 28-09'!A:A,0))</f>
        <v>473775.67</v>
      </c>
      <c r="P823" s="32" t="str">
        <f t="array" ref="P823">INDEX('MTA 28-09'!N:N,MATCH(B823,'MTA 28-09'!A:A,0))</f>
        <v>CELOG</v>
      </c>
      <c r="Q823" s="67" t="str">
        <f t="array" ref="Q823">INDEX('MTA 28-09'!Z:Z,MATCH(B823,'MTA 28-09'!A:A,0))</f>
        <v>339030</v>
      </c>
      <c r="R823" s="32" t="str">
        <f t="array" ref="R823">INDEX('MTA 28-09'!L:L,MATCH(B823,'MTA 28-09'!A:A,0))</f>
        <v>C</v>
      </c>
      <c r="S823" s="72" t="str">
        <f t="array" ref="S823">INDEX('MTA 28-09'!X:X,MATCH(B823,'MTA 28-09'!A:A,0))</f>
        <v>REQUISIÇÃO</v>
      </c>
      <c r="T823" s="72" t="str">
        <f t="array" ref="T823">INDEX('MTA 28-09'!W:W,MATCH(B823,'MTA 28-09'!A:A,0))</f>
        <v>NÃO</v>
      </c>
      <c r="U823" s="81">
        <f t="array" ref="U823">INDEX('MTA 28-09'!AE:AE,MATCH(B823,'MTA 28-09'!A:A,0))</f>
        <v>46260</v>
      </c>
      <c r="V823" s="12"/>
      <c r="W823" s="12"/>
      <c r="X823" s="12"/>
      <c r="Y823" s="12"/>
      <c r="Z823" s="12"/>
      <c r="AA823" s="12"/>
      <c r="AB823" s="12"/>
      <c r="AC823" s="12"/>
      <c r="AD823" s="12"/>
      <c r="AE823" s="12"/>
      <c r="AF823" s="12"/>
      <c r="AG823" s="12"/>
      <c r="AH823" s="12"/>
      <c r="AI823" s="12"/>
      <c r="AJ823" s="12"/>
      <c r="AK823" s="12"/>
      <c r="AL823" s="12"/>
      <c r="AM823" s="12"/>
    </row>
    <row r="824">
      <c r="A824" s="88" t="s">
        <v>45</v>
      </c>
      <c r="B824" s="98">
        <v>23740.0</v>
      </c>
      <c r="C824" s="92" t="str">
        <f t="array" ref="C824">INDEX('MTA 28-09'!B:B,MATCH(B824,'MTA 28-09'!A:A,0))</f>
        <v>SIM</v>
      </c>
      <c r="D824" s="95">
        <f t="array" ref="D824">INDEX('MTA 28-09'!D:D,MATCH(B824,'MTA 28-09'!A:A,0))</f>
        <v>2048</v>
      </c>
      <c r="E824" s="98" t="str">
        <f t="array" ref="E824">INDEX('MTA 28-09'!F:F,MATCH(B824,'MTA 28-09'!A:A,0))</f>
        <v>CANCELADO</v>
      </c>
      <c r="F824" s="144" t="str">
        <f t="array" ref="F824">INDEX('MTA 28-09'!I:I,MATCH(B824,'MTA 28-09'!A:A,0))</f>
        <v/>
      </c>
      <c r="G824" s="100" t="str">
        <f t="array" ref="G824">INDEX('MTA 28-09'!J:J,MATCH(B824,'MTA 28-09'!A:A,0))</f>
        <v/>
      </c>
      <c r="H824" s="159" t="s">
        <v>157</v>
      </c>
      <c r="I824" s="296"/>
      <c r="J824" s="102"/>
      <c r="K824" s="103"/>
      <c r="L824" s="102" t="str">
        <f t="array" ref="L824">INDEX('MTA 28-09'!S:S,MATCH(B824,'MTA 28-09'!A:A,0))</f>
        <v>C-98</v>
      </c>
      <c r="M824" s="98" t="str">
        <f t="array" ref="M824">INDEX('MTA 28-09'!T:T,MATCH(B824,'MTA 28-09'!A:A,0))</f>
        <v>Requisição CABW</v>
      </c>
      <c r="N824" s="98" t="str">
        <f t="array" ref="N824">INDEX('MTA 28-09'!U:U,MATCH(B824,'MTA 28-09'!A:A,0))</f>
        <v>Material reparo acessórios PT6A-114A (3/3)</v>
      </c>
      <c r="O824" s="104" t="str">
        <f t="array" ref="O824">INDEX('MTA 28-09'!AC:AC,MATCH(B824,'MTA 28-09'!A:A,0))</f>
        <v> -</v>
      </c>
      <c r="P824" s="98" t="str">
        <f t="array" ref="P824">INDEX('MTA 28-09'!N:N,MATCH(B824,'MTA 28-09'!A:A,0))</f>
        <v>CABW</v>
      </c>
      <c r="Q824" s="105" t="str">
        <f t="array" ref="Q824">INDEX('MTA 28-09'!Z:Z,MATCH(B824,'MTA 28-09'!A:A,0))</f>
        <v>339030</v>
      </c>
      <c r="R824" s="98" t="str">
        <f t="array" ref="R824">INDEX('MTA 28-09'!L:L,MATCH(B824,'MTA 28-09'!A:A,0))</f>
        <v>A</v>
      </c>
      <c r="S824" s="107" t="str">
        <f t="array" ref="S824">INDEX('MTA 28-09'!X:X,MATCH(B824,'MTA 28-09'!A:A,0))</f>
        <v>REQUISIÇÃO</v>
      </c>
      <c r="T824" s="107" t="str">
        <f t="array" ref="T824">INDEX('MTA 28-09'!W:W,MATCH(B824,'MTA 28-09'!A:A,0))</f>
        <v>SIM</v>
      </c>
      <c r="U824" s="109">
        <f t="array" ref="U824">INDEX('MTA 28-09'!AE:AE,MATCH(B824,'MTA 28-09'!A:A,0))</f>
        <v>46382</v>
      </c>
      <c r="V824" s="29"/>
      <c r="W824" s="29"/>
      <c r="X824" s="29"/>
      <c r="Y824" s="29"/>
      <c r="Z824" s="29"/>
      <c r="AA824" s="29"/>
      <c r="AB824" s="29"/>
      <c r="AC824" s="29"/>
      <c r="AD824" s="29"/>
      <c r="AE824" s="29"/>
      <c r="AF824" s="29"/>
      <c r="AG824" s="29"/>
      <c r="AH824" s="29"/>
      <c r="AI824" s="29"/>
      <c r="AJ824" s="29"/>
      <c r="AK824" s="29"/>
      <c r="AL824" s="29"/>
      <c r="AM824" s="29"/>
    </row>
    <row r="825">
      <c r="A825" s="31" t="s">
        <v>49</v>
      </c>
      <c r="B825" s="32">
        <v>23760.0</v>
      </c>
      <c r="C825" s="33" t="str">
        <f t="array" ref="C825">INDEX('MTA 28-09'!B:B,MATCH(B825,'MTA 28-09'!A:A,0))</f>
        <v>NÃO</v>
      </c>
      <c r="D825" s="34" t="str">
        <f t="array" ref="D825">INDEX('MTA 28-09'!D:D,MATCH(B825,'MTA 28-09'!A:A,0))</f>
        <v/>
      </c>
      <c r="E825" s="32" t="str">
        <f t="array" ref="E825">INDEX('MTA 28-09'!F:F,MATCH(B825,'MTA 28-09'!A:A,0))</f>
        <v>CANCELADO</v>
      </c>
      <c r="F825" s="137" t="str">
        <f t="array" ref="F825">INDEX('MTA 28-09'!I:I,MATCH(B825,'MTA 28-09'!A:A,0))</f>
        <v/>
      </c>
      <c r="G825" s="36" t="str">
        <f t="array" ref="G825">INDEX('MTA 28-09'!J:J,MATCH(B825,'MTA 28-09'!A:A,0))</f>
        <v/>
      </c>
      <c r="H825" s="287" t="s">
        <v>157</v>
      </c>
      <c r="I825" s="411"/>
      <c r="J825" s="39"/>
      <c r="K825" s="40"/>
      <c r="L825" s="39" t="str">
        <f t="array" ref="L825">INDEX('MTA 28-09'!S:S,MATCH(B825,'MTA 28-09'!A:A,0))</f>
        <v>IU-93M</v>
      </c>
      <c r="M825" s="32" t="str">
        <f t="array" ref="M825">INDEX('MTA 28-09'!T:T,MATCH(B825,'MTA 28-09'!A:A,0))</f>
        <v>CNT XXX/CELOG-PAMALS/2026 - Motores IU-93</v>
      </c>
      <c r="N825" s="32" t="str">
        <f t="array" ref="N825">INDEX('MTA 28-09'!U:U,MATCH(B825,'MTA 28-09'!A:A,0))</f>
        <v>REVISÃO GERAL 1/2</v>
      </c>
      <c r="O825" s="59" t="str">
        <f t="array" ref="O825">INDEX('MTA 28-09'!AC:AC,MATCH(B825,'MTA 28-09'!A:A,0))</f>
        <v> -</v>
      </c>
      <c r="P825" s="32" t="str">
        <f t="array" ref="P825">INDEX('MTA 28-09'!N:N,MATCH(B825,'MTA 28-09'!A:A,0))</f>
        <v>CELOG</v>
      </c>
      <c r="Q825" s="67" t="str">
        <f t="array" ref="Q825">INDEX('MTA 28-09'!Z:Z,MATCH(B825,'MTA 28-09'!A:A,0))</f>
        <v>339039</v>
      </c>
      <c r="R825" s="32" t="str">
        <f t="array" ref="R825">INDEX('MTA 28-09'!L:L,MATCH(B825,'MTA 28-09'!A:A,0))</f>
        <v>C</v>
      </c>
      <c r="S825" s="72" t="str">
        <f t="array" ref="S825">INDEX('MTA 28-09'!X:X,MATCH(B825,'MTA 28-09'!A:A,0))</f>
        <v>SOB DEMANDA</v>
      </c>
      <c r="T825" s="72" t="str">
        <f t="array" ref="T825">INDEX('MTA 28-09'!W:W,MATCH(B825,'MTA 28-09'!A:A,0))</f>
        <v>SIM</v>
      </c>
      <c r="U825" s="81">
        <f t="array" ref="U825">INDEX('MTA 28-09'!AE:AE,MATCH(B825,'MTA 28-09'!A:A,0))</f>
        <v>46260</v>
      </c>
      <c r="V825" s="12"/>
      <c r="W825" s="12"/>
      <c r="X825" s="12"/>
      <c r="Y825" s="12"/>
      <c r="Z825" s="12"/>
      <c r="AA825" s="12"/>
      <c r="AB825" s="12"/>
      <c r="AC825" s="12"/>
      <c r="AD825" s="12"/>
      <c r="AE825" s="12"/>
      <c r="AF825" s="12"/>
      <c r="AG825" s="12"/>
      <c r="AH825" s="12"/>
      <c r="AI825" s="12"/>
      <c r="AJ825" s="12"/>
      <c r="AK825" s="12"/>
      <c r="AL825" s="12"/>
      <c r="AM825" s="12"/>
    </row>
    <row r="826">
      <c r="A826" s="88" t="s">
        <v>49</v>
      </c>
      <c r="B826" s="90">
        <v>23761.0</v>
      </c>
      <c r="C826" s="92" t="str">
        <f t="array" ref="C826">INDEX('MTA 28-09'!B:B,MATCH(B826,'MTA 28-09'!A:A,0))</f>
        <v>SIM</v>
      </c>
      <c r="D826" s="95" t="str">
        <f t="array" ref="D826">INDEX('MTA 28-09'!D:D,MATCH(B826,'MTA 28-09'!A:A,0))</f>
        <v>20XV SUP</v>
      </c>
      <c r="E826" s="98" t="str">
        <f t="array" ref="E826">INDEX('MTA 28-09'!F:F,MATCH(B826,'MTA 28-09'!A:A,0))</f>
        <v>ATENDIDO</v>
      </c>
      <c r="F826" s="144">
        <f t="array" ref="F826">INDEX('MTA 28-09'!I:I,MATCH(B826,'MTA 28-09'!A:A,0))</f>
        <v>46154</v>
      </c>
      <c r="G826" s="100" t="str">
        <f t="array" ref="G826">INDEX('MTA 28-09'!J:J,MATCH(B826,'MTA 28-09'!A:A,0))</f>
        <v>C26089</v>
      </c>
      <c r="H826" s="101" t="s">
        <v>154</v>
      </c>
      <c r="I826" s="90"/>
      <c r="J826" s="102"/>
      <c r="K826" s="103"/>
      <c r="L826" s="102" t="str">
        <f t="array" ref="L826">INDEX('MTA 28-09'!S:S,MATCH(B826,'MTA 28-09'!A:A,0))</f>
        <v>IU-93M</v>
      </c>
      <c r="M826" s="98" t="str">
        <f t="array" ref="M826">INDEX('MTA 28-09'!T:T,MATCH(B826,'MTA 28-09'!A:A,0))</f>
        <v>CNT 061/CELOG-PAMALS/2026 - Motores IU-93</v>
      </c>
      <c r="N826" s="98" t="str">
        <f t="array" ref="N826">INDEX('MTA 28-09'!U:U,MATCH(B826,'MTA 28-09'!A:A,0))</f>
        <v>REVISÃO GERAL 1/2</v>
      </c>
      <c r="O826" s="104">
        <f t="array" ref="O826">INDEX('MTA 28-09'!AC:AC,MATCH(B826,'MTA 28-09'!A:A,0))</f>
        <v>1900000</v>
      </c>
      <c r="P826" s="98" t="str">
        <f t="array" ref="P826">INDEX('MTA 28-09'!N:N,MATCH(B826,'MTA 28-09'!A:A,0))</f>
        <v>CELOG</v>
      </c>
      <c r="Q826" s="105" t="str">
        <f t="array" ref="Q826">INDEX('MTA 28-09'!Z:Z,MATCH(B826,'MTA 28-09'!A:A,0))</f>
        <v>339039</v>
      </c>
      <c r="R826" s="98" t="str">
        <f t="array" ref="R826">INDEX('MTA 28-09'!L:L,MATCH(B826,'MTA 28-09'!A:A,0))</f>
        <v>C</v>
      </c>
      <c r="S826" s="107" t="str">
        <f t="array" ref="S826">INDEX('MTA 28-09'!X:X,MATCH(B826,'MTA 28-09'!A:A,0))</f>
        <v>SOB DEMANDA</v>
      </c>
      <c r="T826" s="107" t="str">
        <f t="array" ref="T826">INDEX('MTA 28-09'!W:W,MATCH(B826,'MTA 28-09'!A:A,0))</f>
        <v>SIM</v>
      </c>
      <c r="U826" s="109">
        <f t="array" ref="U826">INDEX('MTA 28-09'!AE:AE,MATCH(B826,'MTA 28-09'!A:A,0))</f>
        <v>46260</v>
      </c>
      <c r="V826" s="29"/>
      <c r="W826" s="29"/>
      <c r="X826" s="29"/>
      <c r="Y826" s="29"/>
      <c r="Z826" s="29"/>
      <c r="AA826" s="29"/>
      <c r="AB826" s="29"/>
      <c r="AC826" s="29"/>
      <c r="AD826" s="29"/>
      <c r="AE826" s="29"/>
      <c r="AF826" s="29"/>
      <c r="AG826" s="29"/>
      <c r="AH826" s="29"/>
      <c r="AI826" s="29"/>
      <c r="AJ826" s="29"/>
      <c r="AK826" s="29"/>
      <c r="AL826" s="29"/>
      <c r="AM826" s="29"/>
    </row>
    <row r="827">
      <c r="A827" s="31" t="s">
        <v>49</v>
      </c>
      <c r="B827" s="38">
        <v>23762.0</v>
      </c>
      <c r="C827" s="33" t="str">
        <f t="array" ref="C827">INDEX('MTA 28-09'!B:B,MATCH(B827,'MTA 28-09'!A:A,0))</f>
        <v>SIM</v>
      </c>
      <c r="D827" s="34" t="str">
        <f t="array" ref="D827">INDEX('MTA 28-09'!D:D,MATCH(B827,'MTA 28-09'!A:A,0))</f>
        <v>20XV SUP</v>
      </c>
      <c r="E827" s="32" t="str">
        <f t="array" ref="E827">INDEX('MTA 28-09'!F:F,MATCH(B827,'MTA 28-09'!A:A,0))</f>
        <v>ATENDIDO</v>
      </c>
      <c r="F827" s="137">
        <f t="array" ref="F827">INDEX('MTA 28-09'!I:I,MATCH(B827,'MTA 28-09'!A:A,0))</f>
        <v>46191</v>
      </c>
      <c r="G827" s="36" t="str">
        <f t="array" ref="G827">INDEX('MTA 28-09'!J:J,MATCH(B827,'MTA 28-09'!A:A,0))</f>
        <v>C26300</v>
      </c>
      <c r="H827" s="287" t="s">
        <v>157</v>
      </c>
      <c r="I827" s="38"/>
      <c r="J827" s="39"/>
      <c r="K827" s="40"/>
      <c r="L827" s="39" t="str">
        <f t="array" ref="L827">INDEX('MTA 28-09'!S:S,MATCH(B827,'MTA 28-09'!A:A,0))</f>
        <v>IU-93M</v>
      </c>
      <c r="M827" s="32" t="str">
        <f t="array" ref="M827">INDEX('MTA 28-09'!T:T,MATCH(B827,'MTA 28-09'!A:A,0))</f>
        <v>CNT 061/CELOG-PAMALS/2026 - Motores IU-93</v>
      </c>
      <c r="N827" s="32" t="str">
        <f t="array" ref="N827">INDEX('MTA 28-09'!U:U,MATCH(B827,'MTA 28-09'!A:A,0))</f>
        <v>REVISÃO GERAL 1/2</v>
      </c>
      <c r="O827" s="59">
        <f t="array" ref="O827">INDEX('MTA 28-09'!AC:AC,MATCH(B827,'MTA 28-09'!A:A,0))</f>
        <v>600000</v>
      </c>
      <c r="P827" s="32" t="str">
        <f t="array" ref="P827">INDEX('MTA 28-09'!N:N,MATCH(B827,'MTA 28-09'!A:A,0))</f>
        <v>CELOG</v>
      </c>
      <c r="Q827" s="67" t="str">
        <f t="array" ref="Q827">INDEX('MTA 28-09'!Z:Z,MATCH(B827,'MTA 28-09'!A:A,0))</f>
        <v>339030</v>
      </c>
      <c r="R827" s="32" t="str">
        <f t="array" ref="R827">INDEX('MTA 28-09'!L:L,MATCH(B827,'MTA 28-09'!A:A,0))</f>
        <v>C</v>
      </c>
      <c r="S827" s="72" t="str">
        <f t="array" ref="S827">INDEX('MTA 28-09'!X:X,MATCH(B827,'MTA 28-09'!A:A,0))</f>
        <v>SOB DEMANDA</v>
      </c>
      <c r="T827" s="72" t="str">
        <f t="array" ref="T827">INDEX('MTA 28-09'!W:W,MATCH(B827,'MTA 28-09'!A:A,0))</f>
        <v>SIM</v>
      </c>
      <c r="U827" s="81">
        <f t="array" ref="U827">INDEX('MTA 28-09'!AE:AE,MATCH(B827,'MTA 28-09'!A:A,0))</f>
        <v>46260</v>
      </c>
      <c r="V827" s="12"/>
      <c r="W827" s="12"/>
      <c r="X827" s="12"/>
      <c r="Y827" s="12"/>
      <c r="Z827" s="12"/>
      <c r="AA827" s="12"/>
      <c r="AB827" s="12"/>
      <c r="AC827" s="12"/>
      <c r="AD827" s="12"/>
      <c r="AE827" s="12"/>
      <c r="AF827" s="12"/>
      <c r="AG827" s="12"/>
      <c r="AH827" s="12"/>
      <c r="AI827" s="12"/>
      <c r="AJ827" s="12"/>
      <c r="AK827" s="12"/>
      <c r="AL827" s="12"/>
      <c r="AM827" s="12"/>
    </row>
    <row r="828">
      <c r="A828" s="88" t="s">
        <v>49</v>
      </c>
      <c r="B828" s="90">
        <v>23763.0</v>
      </c>
      <c r="C828" s="92" t="str">
        <f t="array" ref="C828">INDEX('MTA 28-09'!B:B,MATCH(B828,'MTA 28-09'!A:A,0))</f>
        <v>SIM</v>
      </c>
      <c r="D828" s="95" t="str">
        <f t="array" ref="D828">INDEX('MTA 28-09'!D:D,MATCH(B828,'MTA 28-09'!A:A,0))</f>
        <v>20XV SUP</v>
      </c>
      <c r="E828" s="98" t="str">
        <f t="array" ref="E828">INDEX('MTA 28-09'!F:F,MATCH(B828,'MTA 28-09'!A:A,0))</f>
        <v>ATENDIDO</v>
      </c>
      <c r="F828" s="144">
        <f t="array" ref="F828">INDEX('MTA 28-09'!I:I,MATCH(B828,'MTA 28-09'!A:A,0))</f>
        <v>46154</v>
      </c>
      <c r="G828" s="100" t="str">
        <f t="array" ref="G828">INDEX('MTA 28-09'!J:J,MATCH(B828,'MTA 28-09'!A:A,0))</f>
        <v>C26152</v>
      </c>
      <c r="H828" s="159"/>
      <c r="I828" s="90"/>
      <c r="J828" s="102"/>
      <c r="K828" s="103"/>
      <c r="L828" s="102"/>
      <c r="M828" s="98" t="str">
        <f t="array" ref="M828">INDEX('MTA 28-09'!T:T,MATCH(B828,'MTA 28-09'!A:A,0))</f>
        <v>CNT 024/CELOG-PAMALS/2022 - VEE ONE</v>
      </c>
      <c r="N828" s="98" t="str">
        <f t="array" ref="N828">INDEX('MTA 28-09'!U:U,MATCH(B828,'MTA 28-09'!A:A,0))</f>
        <v>REVISÃO GERAL 1/2</v>
      </c>
      <c r="O828" s="104">
        <f t="array" ref="O828">INDEX('MTA 28-09'!AC:AC,MATCH(B828,'MTA 28-09'!A:A,0))</f>
        <v>100000</v>
      </c>
      <c r="P828" s="98" t="str">
        <f t="array" ref="P828">INDEX('MTA 28-09'!N:N,MATCH(B828,'MTA 28-09'!A:A,0))</f>
        <v>CELOG</v>
      </c>
      <c r="Q828" s="105" t="str">
        <f t="array" ref="Q828">INDEX('MTA 28-09'!Z:Z,MATCH(B828,'MTA 28-09'!A:A,0))</f>
        <v>339039</v>
      </c>
      <c r="R828" s="98" t="str">
        <f t="array" ref="R828">INDEX('MTA 28-09'!L:L,MATCH(B828,'MTA 28-09'!A:A,0))</f>
        <v>A</v>
      </c>
      <c r="S828" s="107" t="str">
        <f t="array" ref="S828">INDEX('MTA 28-09'!X:X,MATCH(B828,'MTA 28-09'!A:A,0))</f>
        <v>SOB DEMANDA</v>
      </c>
      <c r="T828" s="107" t="str">
        <f t="array" ref="T828">INDEX('MTA 28-09'!W:W,MATCH(B828,'MTA 28-09'!A:A,0))</f>
        <v>Não</v>
      </c>
      <c r="U828" s="109">
        <f t="array" ref="U828">INDEX('MTA 28-09'!AE:AE,MATCH(B828,'MTA 28-09'!A:A,0))</f>
        <v>46260</v>
      </c>
      <c r="V828" s="29"/>
      <c r="W828" s="29"/>
      <c r="X828" s="29"/>
      <c r="Y828" s="29"/>
      <c r="Z828" s="29"/>
      <c r="AA828" s="29"/>
      <c r="AB828" s="29"/>
      <c r="AC828" s="29"/>
      <c r="AD828" s="29"/>
      <c r="AE828" s="29"/>
      <c r="AF828" s="29"/>
      <c r="AG828" s="29"/>
      <c r="AH828" s="29"/>
      <c r="AI828" s="29"/>
      <c r="AJ828" s="29"/>
      <c r="AK828" s="29"/>
      <c r="AL828" s="29"/>
      <c r="AM828" s="29"/>
    </row>
    <row r="829">
      <c r="A829" s="31" t="s">
        <v>43</v>
      </c>
      <c r="B829" s="32">
        <v>23780.0</v>
      </c>
      <c r="C829" s="33" t="str">
        <f t="array" ref="C829">INDEX('MTA 28-09'!B:B,MATCH(B829,'MTA 28-09'!A:A,0))</f>
        <v>NÃO</v>
      </c>
      <c r="D829" s="34" t="str">
        <f t="array" ref="D829">INDEX('MTA 28-09'!D:D,MATCH(B829,'MTA 28-09'!A:A,0))</f>
        <v/>
      </c>
      <c r="E829" s="32" t="str">
        <f t="array" ref="E829">INDEX('MTA 28-09'!F:F,MATCH(B829,'MTA 28-09'!A:A,0))</f>
        <v/>
      </c>
      <c r="F829" s="35" t="str">
        <f t="array" ref="F829">INDEX('MTA 28-09'!I:I,MATCH(B829,'MTA 28-09'!A:A,0))</f>
        <v/>
      </c>
      <c r="G829" s="36" t="str">
        <f t="array" ref="G829">INDEX('MTA 28-09'!J:J,MATCH(B829,'MTA 28-09'!A:A,0))</f>
        <v/>
      </c>
      <c r="H829" s="287" t="s">
        <v>157</v>
      </c>
      <c r="I829" s="295"/>
      <c r="J829" s="39"/>
      <c r="K829" s="40"/>
      <c r="L829" s="39" t="str">
        <f t="array" ref="L829">INDEX('MTA 28-09'!S:S,MATCH(B829,'MTA 28-09'!A:A,0))</f>
        <v>C-95M</v>
      </c>
      <c r="M829" s="32" t="str">
        <f t="array" ref="M829">INDEX('MTA 28-09'!T:T,MATCH(B829,'MTA 28-09'!A:A,0))</f>
        <v>CTT XXX/CELOG-PAMALS/2026 - Reforma de Interiores</v>
      </c>
      <c r="N829" s="32" t="str">
        <f t="array" ref="N829">INDEX('MTA 28-09'!U:U,MATCH(B829,'MTA 28-09'!A:A,0))</f>
        <v>Sob demanda 1/2</v>
      </c>
      <c r="O829" s="59">
        <f t="array" ref="O829">INDEX('MTA 28-09'!AC:AC,MATCH(B829,'MTA 28-09'!A:A,0))</f>
        <v>750000</v>
      </c>
      <c r="P829" s="32" t="str">
        <f t="array" ref="P829">INDEX('MTA 28-09'!N:N,MATCH(B829,'MTA 28-09'!A:A,0))</f>
        <v>CELOG</v>
      </c>
      <c r="Q829" s="67" t="str">
        <f t="array" ref="Q829">INDEX('MTA 28-09'!Z:Z,MATCH(B829,'MTA 28-09'!A:A,0))</f>
        <v>339039</v>
      </c>
      <c r="R829" s="32" t="str">
        <f t="array" ref="R829">INDEX('MTA 28-09'!L:L,MATCH(B829,'MTA 28-09'!A:A,0))</f>
        <v>C</v>
      </c>
      <c r="S829" s="72" t="str">
        <f t="array" ref="S829">INDEX('MTA 28-09'!X:X,MATCH(B829,'MTA 28-09'!A:A,0))</f>
        <v>SOB DEMANDA</v>
      </c>
      <c r="T829" s="72" t="str">
        <f t="array" ref="T829">INDEX('MTA 28-09'!W:W,MATCH(B829,'MTA 28-09'!A:A,0))</f>
        <v>Não</v>
      </c>
      <c r="U829" s="81">
        <f t="array" ref="U829">INDEX('MTA 28-09'!AE:AE,MATCH(B829,'MTA 28-09'!A:A,0))</f>
        <v>46260</v>
      </c>
      <c r="V829" s="12"/>
      <c r="W829" s="12"/>
      <c r="X829" s="12"/>
      <c r="Y829" s="12"/>
      <c r="Z829" s="12"/>
      <c r="AA829" s="12"/>
      <c r="AB829" s="12"/>
      <c r="AC829" s="12"/>
      <c r="AD829" s="12"/>
      <c r="AE829" s="12"/>
      <c r="AF829" s="12"/>
      <c r="AG829" s="12"/>
      <c r="AH829" s="12"/>
      <c r="AI829" s="12"/>
      <c r="AJ829" s="12"/>
      <c r="AK829" s="12"/>
      <c r="AL829" s="12"/>
      <c r="AM829" s="12"/>
    </row>
    <row r="830">
      <c r="A830" s="88" t="s">
        <v>99</v>
      </c>
      <c r="B830" s="98">
        <v>23800.0</v>
      </c>
      <c r="C830" s="92" t="str">
        <f t="array" ref="C830">INDEX('MTA 28-09'!B:B,MATCH(B830,'MTA 28-09'!A:A,0))</f>
        <v>NÃO</v>
      </c>
      <c r="D830" s="95" t="str">
        <f t="array" ref="D830">INDEX('MTA 28-09'!D:D,MATCH(B830,'MTA 28-09'!A:A,0))</f>
        <v/>
      </c>
      <c r="E830" s="98" t="str">
        <f t="array" ref="E830">INDEX('MTA 28-09'!F:F,MATCH(B830,'MTA 28-09'!A:A,0))</f>
        <v/>
      </c>
      <c r="F830" s="99" t="str">
        <f t="array" ref="F830">INDEX('MTA 28-09'!I:I,MATCH(B830,'MTA 28-09'!A:A,0))</f>
        <v/>
      </c>
      <c r="G830" s="100" t="str">
        <f t="array" ref="G830">INDEX('MTA 28-09'!J:J,MATCH(B830,'MTA 28-09'!A:A,0))</f>
        <v/>
      </c>
      <c r="H830" s="159" t="s">
        <v>157</v>
      </c>
      <c r="I830" s="296"/>
      <c r="J830" s="102"/>
      <c r="K830" s="103"/>
      <c r="L830" s="102" t="str">
        <f t="array" ref="L830">INDEX('MTA 28-09'!S:S,MATCH(B830,'MTA 28-09'!A:A,0))</f>
        <v>APOIO</v>
      </c>
      <c r="M830" s="98" t="str">
        <f t="array" ref="M830">INDEX('MTA 28-09'!T:T,MATCH(B830,'MTA 28-09'!A:A,0))</f>
        <v>CTT XXX/GAPLS-PAMALS/2026 – Reparo</v>
      </c>
      <c r="N830" s="98" t="str">
        <f t="array" ref="N830">INDEX('MTA 28-09'!U:U,MATCH(B830,'MTA 28-09'!A:A,0))</f>
        <v>Manutenção preventiva e corretiva em equipamentos da Subdivisão de Suprimentos</v>
      </c>
      <c r="O830" s="104">
        <f t="array" ref="O830">INDEX('MTA 28-09'!AC:AC,MATCH(B830,'MTA 28-09'!A:A,0))</f>
        <v>56160</v>
      </c>
      <c r="P830" s="98" t="str">
        <f t="array" ref="P830">INDEX('MTA 28-09'!N:N,MATCH(B830,'MTA 28-09'!A:A,0))</f>
        <v>GAP-LS</v>
      </c>
      <c r="Q830" s="105" t="str">
        <f t="array" ref="Q830">INDEX('MTA 28-09'!Z:Z,MATCH(B830,'MTA 28-09'!A:A,0))</f>
        <v>339039</v>
      </c>
      <c r="R830" s="98" t="str">
        <f t="array" ref="R830">INDEX('MTA 28-09'!L:L,MATCH(B830,'MTA 28-09'!A:A,0))</f>
        <v>C</v>
      </c>
      <c r="S830" s="107" t="str">
        <f t="array" ref="S830">INDEX('MTA 28-09'!X:X,MATCH(B830,'MTA 28-09'!A:A,0))</f>
        <v>SOB DEMANDA</v>
      </c>
      <c r="T830" s="107" t="str">
        <f t="array" ref="T830">INDEX('MTA 28-09'!W:W,MATCH(B830,'MTA 28-09'!A:A,0))</f>
        <v>NÃO</v>
      </c>
      <c r="U830" s="109">
        <f t="array" ref="U830">INDEX('MTA 28-09'!AE:AE,MATCH(B830,'MTA 28-09'!A:A,0))</f>
        <v>46260</v>
      </c>
      <c r="V830" s="29"/>
      <c r="W830" s="29"/>
      <c r="X830" s="29"/>
      <c r="Y830" s="29"/>
      <c r="Z830" s="29"/>
      <c r="AA830" s="29"/>
      <c r="AB830" s="29"/>
      <c r="AC830" s="29"/>
      <c r="AD830" s="29"/>
      <c r="AE830" s="29"/>
      <c r="AF830" s="29"/>
      <c r="AG830" s="29"/>
      <c r="AH830" s="29"/>
      <c r="AI830" s="29"/>
      <c r="AJ830" s="29"/>
      <c r="AK830" s="29"/>
      <c r="AL830" s="29"/>
      <c r="AM830" s="29"/>
    </row>
    <row r="831">
      <c r="A831" s="31" t="s">
        <v>99</v>
      </c>
      <c r="B831" s="32">
        <v>23820.0</v>
      </c>
      <c r="C831" s="33" t="str">
        <f t="array" ref="C831">INDEX('MTA 28-09'!B:B,MATCH(B831,'MTA 28-09'!A:A,0))</f>
        <v>NÃO</v>
      </c>
      <c r="D831" s="34" t="str">
        <f t="array" ref="D831">INDEX('MTA 28-09'!D:D,MATCH(B831,'MTA 28-09'!A:A,0))</f>
        <v/>
      </c>
      <c r="E831" s="32" t="str">
        <f t="array" ref="E831">INDEX('MTA 28-09'!F:F,MATCH(B831,'MTA 28-09'!A:A,0))</f>
        <v/>
      </c>
      <c r="F831" s="137" t="str">
        <f t="array" ref="F831">INDEX('MTA 28-09'!I:I,MATCH(B831,'MTA 28-09'!A:A,0))</f>
        <v/>
      </c>
      <c r="G831" s="36" t="str">
        <f t="array" ref="G831">INDEX('MTA 28-09'!J:J,MATCH(B831,'MTA 28-09'!A:A,0))</f>
        <v/>
      </c>
      <c r="H831" s="287" t="s">
        <v>157</v>
      </c>
      <c r="I831" s="295"/>
      <c r="J831" s="39"/>
      <c r="K831" s="40"/>
      <c r="L831" s="39" t="str">
        <f t="array" ref="L831">INDEX('MTA 28-09'!S:S,MATCH(B831,'MTA 28-09'!A:A,0))</f>
        <v>APOIO</v>
      </c>
      <c r="M831" s="32" t="str">
        <f t="array" ref="M831">INDEX('MTA 28-09'!T:T,MATCH(B831,'MTA 28-09'!A:A,0))</f>
        <v>CTT XXX/GAPLS-PAMALS/2026 – Reparo</v>
      </c>
      <c r="N831" s="32" t="str">
        <f t="array" ref="N831">INDEX('MTA 28-09'!U:U,MATCH(B831,'MTA 28-09'!A:A,0))</f>
        <v>REPARO NA BALANÇA PALETEIRA - PN: 1001WY-01 / SN: NAF-10909</v>
      </c>
      <c r="O831" s="59">
        <f t="array" ref="O831">INDEX('MTA 28-09'!AC:AC,MATCH(B831,'MTA 28-09'!A:A,0))</f>
        <v>1080</v>
      </c>
      <c r="P831" s="32" t="str">
        <f t="array" ref="P831">INDEX('MTA 28-09'!N:N,MATCH(B831,'MTA 28-09'!A:A,0))</f>
        <v>GAP-LS</v>
      </c>
      <c r="Q831" s="67" t="str">
        <f t="array" ref="Q831">INDEX('MTA 28-09'!Z:Z,MATCH(B831,'MTA 28-09'!A:A,0))</f>
        <v>339039</v>
      </c>
      <c r="R831" s="32" t="str">
        <f t="array" ref="R831">INDEX('MTA 28-09'!L:L,MATCH(B831,'MTA 28-09'!A:A,0))</f>
        <v>C</v>
      </c>
      <c r="S831" s="72" t="str">
        <f t="array" ref="S831">INDEX('MTA 28-09'!X:X,MATCH(B831,'MTA 28-09'!A:A,0))</f>
        <v>SOB DEMANDA</v>
      </c>
      <c r="T831" s="72" t="str">
        <f t="array" ref="T831">INDEX('MTA 28-09'!W:W,MATCH(B831,'MTA 28-09'!A:A,0))</f>
        <v>NÃO</v>
      </c>
      <c r="U831" s="81">
        <f t="array" ref="U831">INDEX('MTA 28-09'!AE:AE,MATCH(B831,'MTA 28-09'!A:A,0))</f>
        <v>46260</v>
      </c>
      <c r="V831" s="12"/>
      <c r="W831" s="12"/>
      <c r="X831" s="12"/>
      <c r="Y831" s="12"/>
      <c r="Z831" s="12"/>
      <c r="AA831" s="12"/>
      <c r="AB831" s="12"/>
      <c r="AC831" s="12"/>
      <c r="AD831" s="12"/>
      <c r="AE831" s="12"/>
      <c r="AF831" s="12"/>
      <c r="AG831" s="12"/>
      <c r="AH831" s="12"/>
      <c r="AI831" s="12"/>
      <c r="AJ831" s="12"/>
      <c r="AK831" s="12"/>
      <c r="AL831" s="12"/>
      <c r="AM831" s="12"/>
    </row>
    <row r="832">
      <c r="A832" s="88" t="s">
        <v>99</v>
      </c>
      <c r="B832" s="98">
        <v>23840.0</v>
      </c>
      <c r="C832" s="92" t="str">
        <f t="array" ref="C832">INDEX('MTA 28-09'!B:B,MATCH(B832,'MTA 28-09'!A:A,0))</f>
        <v>NÃO</v>
      </c>
      <c r="D832" s="95" t="str">
        <f t="array" ref="D832">INDEX('MTA 28-09'!D:D,MATCH(B832,'MTA 28-09'!A:A,0))</f>
        <v/>
      </c>
      <c r="E832" s="98" t="str">
        <f t="array" ref="E832">INDEX('MTA 28-09'!F:F,MATCH(B832,'MTA 28-09'!A:A,0))</f>
        <v/>
      </c>
      <c r="F832" s="144" t="str">
        <f t="array" ref="F832">INDEX('MTA 28-09'!I:I,MATCH(B832,'MTA 28-09'!A:A,0))</f>
        <v/>
      </c>
      <c r="G832" s="100" t="str">
        <f t="array" ref="G832">INDEX('MTA 28-09'!J:J,MATCH(B832,'MTA 28-09'!A:A,0))</f>
        <v/>
      </c>
      <c r="H832" s="159" t="s">
        <v>157</v>
      </c>
      <c r="I832" s="296"/>
      <c r="J832" s="102"/>
      <c r="K832" s="103"/>
      <c r="L832" s="102" t="str">
        <f t="array" ref="L832">INDEX('MTA 28-09'!S:S,MATCH(B832,'MTA 28-09'!A:A,0))</f>
        <v>APOIO</v>
      </c>
      <c r="M832" s="98" t="str">
        <f t="array" ref="M832">INDEX('MTA 28-09'!T:T,MATCH(B832,'MTA 28-09'!A:A,0))</f>
        <v>CTT XXX/GAPLS-PAMALS/2026 – Reparo</v>
      </c>
      <c r="N832" s="98" t="str">
        <f t="array" ref="N832">INDEX('MTA 28-09'!U:U,MATCH(B832,'MTA 28-09'!A:A,0))</f>
        <v>REPARO NA BALANÇA PALETEIRA - PN: H-2291 / SN: B603014270</v>
      </c>
      <c r="O832" s="104">
        <f t="array" ref="O832">INDEX('MTA 28-09'!AC:AC,MATCH(B832,'MTA 28-09'!A:A,0))</f>
        <v>1080</v>
      </c>
      <c r="P832" s="98" t="str">
        <f t="array" ref="P832">INDEX('MTA 28-09'!N:N,MATCH(B832,'MTA 28-09'!A:A,0))</f>
        <v>GAP-LS</v>
      </c>
      <c r="Q832" s="105" t="str">
        <f t="array" ref="Q832">INDEX('MTA 28-09'!Z:Z,MATCH(B832,'MTA 28-09'!A:A,0))</f>
        <v>339039</v>
      </c>
      <c r="R832" s="98" t="str">
        <f t="array" ref="R832">INDEX('MTA 28-09'!L:L,MATCH(B832,'MTA 28-09'!A:A,0))</f>
        <v>C</v>
      </c>
      <c r="S832" s="107" t="str">
        <f t="array" ref="S832">INDEX('MTA 28-09'!X:X,MATCH(B832,'MTA 28-09'!A:A,0))</f>
        <v>SOB DEMANDA</v>
      </c>
      <c r="T832" s="107" t="str">
        <f t="array" ref="T832">INDEX('MTA 28-09'!W:W,MATCH(B832,'MTA 28-09'!A:A,0))</f>
        <v>NÃO</v>
      </c>
      <c r="U832" s="109">
        <f t="array" ref="U832">INDEX('MTA 28-09'!AE:AE,MATCH(B832,'MTA 28-09'!A:A,0))</f>
        <v>46260</v>
      </c>
      <c r="V832" s="29"/>
      <c r="W832" s="29"/>
      <c r="X832" s="29"/>
      <c r="Y832" s="29"/>
      <c r="Z832" s="29"/>
      <c r="AA832" s="29"/>
      <c r="AB832" s="29"/>
      <c r="AC832" s="29"/>
      <c r="AD832" s="29"/>
      <c r="AE832" s="29"/>
      <c r="AF832" s="29"/>
      <c r="AG832" s="29"/>
      <c r="AH832" s="29"/>
      <c r="AI832" s="29"/>
      <c r="AJ832" s="29"/>
      <c r="AK832" s="29"/>
      <c r="AL832" s="29"/>
      <c r="AM832" s="29"/>
    </row>
    <row r="833">
      <c r="A833" s="31" t="s">
        <v>99</v>
      </c>
      <c r="B833" s="32">
        <v>23860.0</v>
      </c>
      <c r="C833" s="33" t="str">
        <f t="array" ref="C833">INDEX('MTA 28-09'!B:B,MATCH(B833,'MTA 28-09'!A:A,0))</f>
        <v>NÃO</v>
      </c>
      <c r="D833" s="34" t="str">
        <f t="array" ref="D833">INDEX('MTA 28-09'!D:D,MATCH(B833,'MTA 28-09'!A:A,0))</f>
        <v/>
      </c>
      <c r="E833" s="32" t="str">
        <f t="array" ref="E833">INDEX('MTA 28-09'!F:F,MATCH(B833,'MTA 28-09'!A:A,0))</f>
        <v/>
      </c>
      <c r="F833" s="35" t="str">
        <f t="array" ref="F833">INDEX('MTA 28-09'!I:I,MATCH(B833,'MTA 28-09'!A:A,0))</f>
        <v/>
      </c>
      <c r="G833" s="36" t="str">
        <f t="array" ref="G833">INDEX('MTA 28-09'!J:J,MATCH(B833,'MTA 28-09'!A:A,0))</f>
        <v/>
      </c>
      <c r="H833" s="287" t="s">
        <v>157</v>
      </c>
      <c r="I833" s="295"/>
      <c r="J833" s="39"/>
      <c r="K833" s="40"/>
      <c r="L833" s="39" t="str">
        <f t="array" ref="L833">INDEX('MTA 28-09'!S:S,MATCH(B833,'MTA 28-09'!A:A,0))</f>
        <v>APOIO</v>
      </c>
      <c r="M833" s="32" t="str">
        <f t="array" ref="M833">INDEX('MTA 28-09'!T:T,MATCH(B833,'MTA 28-09'!A:A,0))</f>
        <v>CTT XXX/GAPLS-PAMALS/2026 – Reparo</v>
      </c>
      <c r="N833" s="32" t="str">
        <f t="array" ref="N833">INDEX('MTA 28-09'!U:U,MATCH(B833,'MTA 28-09'!A:A,0))</f>
        <v>REPARO NA BANCADA PARA ARQUEAR FITA AUTOMÁTICA - PN: H-959</v>
      </c>
      <c r="O833" s="59">
        <f t="array" ref="O833">INDEX('MTA 28-09'!AC:AC,MATCH(B833,'MTA 28-09'!A:A,0))</f>
        <v>1080</v>
      </c>
      <c r="P833" s="32" t="str">
        <f t="array" ref="P833">INDEX('MTA 28-09'!N:N,MATCH(B833,'MTA 28-09'!A:A,0))</f>
        <v>GAP-LS</v>
      </c>
      <c r="Q833" s="67" t="str">
        <f t="array" ref="Q833">INDEX('MTA 28-09'!Z:Z,MATCH(B833,'MTA 28-09'!A:A,0))</f>
        <v>339039</v>
      </c>
      <c r="R833" s="32" t="str">
        <f t="array" ref="R833">INDEX('MTA 28-09'!L:L,MATCH(B833,'MTA 28-09'!A:A,0))</f>
        <v>C</v>
      </c>
      <c r="S833" s="72" t="str">
        <f t="array" ref="S833">INDEX('MTA 28-09'!X:X,MATCH(B833,'MTA 28-09'!A:A,0))</f>
        <v>SOB DEMANDA</v>
      </c>
      <c r="T833" s="72" t="str">
        <f t="array" ref="T833">INDEX('MTA 28-09'!W:W,MATCH(B833,'MTA 28-09'!A:A,0))</f>
        <v>NÃO</v>
      </c>
      <c r="U833" s="81">
        <f t="array" ref="U833">INDEX('MTA 28-09'!AE:AE,MATCH(B833,'MTA 28-09'!A:A,0))</f>
        <v>46260</v>
      </c>
      <c r="V833" s="12"/>
      <c r="W833" s="12"/>
      <c r="X833" s="12"/>
      <c r="Y833" s="12"/>
      <c r="Z833" s="12"/>
      <c r="AA833" s="12"/>
      <c r="AB833" s="12"/>
      <c r="AC833" s="12"/>
      <c r="AD833" s="12"/>
      <c r="AE833" s="12"/>
      <c r="AF833" s="12"/>
      <c r="AG833" s="12"/>
      <c r="AH833" s="12"/>
      <c r="AI833" s="12"/>
      <c r="AJ833" s="12"/>
      <c r="AK833" s="12"/>
      <c r="AL833" s="12"/>
      <c r="AM833" s="12"/>
    </row>
    <row r="834">
      <c r="A834" s="88" t="s">
        <v>44</v>
      </c>
      <c r="B834" s="98">
        <v>23880.0</v>
      </c>
      <c r="C834" s="92" t="str">
        <f t="array" ref="C834">INDEX('MTA 28-09'!B:B,MATCH(B834,'MTA 28-09'!A:A,0))</f>
        <v>NÃO</v>
      </c>
      <c r="D834" s="95" t="str">
        <f t="array" ref="D834">INDEX('MTA 28-09'!D:D,MATCH(B834,'MTA 28-09'!A:A,0))</f>
        <v/>
      </c>
      <c r="E834" s="98" t="str">
        <f t="array" ref="E834">INDEX('MTA 28-09'!F:F,MATCH(B834,'MTA 28-09'!A:A,0))</f>
        <v/>
      </c>
      <c r="F834" s="99" t="str">
        <f t="array" ref="F834">INDEX('MTA 28-09'!I:I,MATCH(B834,'MTA 28-09'!A:A,0))</f>
        <v/>
      </c>
      <c r="G834" s="100" t="str">
        <f t="array" ref="G834">INDEX('MTA 28-09'!J:J,MATCH(B834,'MTA 28-09'!A:A,0))</f>
        <v/>
      </c>
      <c r="H834" s="159" t="s">
        <v>157</v>
      </c>
      <c r="I834" s="296"/>
      <c r="J834" s="102"/>
      <c r="K834" s="103"/>
      <c r="L834" s="102" t="str">
        <f t="array" ref="L834">INDEX('MTA 28-09'!S:S,MATCH(B834,'MTA 28-09'!A:A,0))</f>
        <v>C-97</v>
      </c>
      <c r="M834" s="98" t="str">
        <f t="array" ref="M834">INDEX('MTA 28-09'!T:T,MATCH(B834,'MTA 28-09'!A:A,0))</f>
        <v>CTT 096/CAE-PAMALS/2021 - CLS C-97</v>
      </c>
      <c r="N834" s="98" t="str">
        <f t="array" ref="N834">INDEX('MTA 28-09'!U:U,MATCH(B834,'MTA 28-09'!A:A,0))</f>
        <v>Sob demanda 1/2</v>
      </c>
      <c r="O834" s="104">
        <f t="array" ref="O834">INDEX('MTA 28-09'!AC:AC,MATCH(B834,'MTA 28-09'!A:A,0))</f>
        <v>750000</v>
      </c>
      <c r="P834" s="98" t="str">
        <f t="array" ref="P834">INDEX('MTA 28-09'!N:N,MATCH(B834,'MTA 28-09'!A:A,0))</f>
        <v>CELOG</v>
      </c>
      <c r="Q834" s="105" t="str">
        <f t="array" ref="Q834">INDEX('MTA 28-09'!Z:Z,MATCH(B834,'MTA 28-09'!A:A,0))</f>
        <v>339039</v>
      </c>
      <c r="R834" s="98" t="str">
        <f t="array" ref="R834">INDEX('MTA 28-09'!L:L,MATCH(B834,'MTA 28-09'!A:A,0))</f>
        <v>C</v>
      </c>
      <c r="S834" s="107" t="str">
        <f t="array" ref="S834">INDEX('MTA 28-09'!X:X,MATCH(B834,'MTA 28-09'!A:A,0))</f>
        <v>SOB DEMANDA</v>
      </c>
      <c r="T834" s="107" t="str">
        <f t="array" ref="T834">INDEX('MTA 28-09'!W:W,MATCH(B834,'MTA 28-09'!A:A,0))</f>
        <v>Não</v>
      </c>
      <c r="U834" s="109">
        <f t="array" ref="U834">INDEX('MTA 28-09'!AE:AE,MATCH(B834,'MTA 28-09'!A:A,0))</f>
        <v>46260</v>
      </c>
      <c r="V834" s="29"/>
      <c r="W834" s="29"/>
      <c r="X834" s="29"/>
      <c r="Y834" s="29"/>
      <c r="Z834" s="29"/>
      <c r="AA834" s="29"/>
      <c r="AB834" s="29"/>
      <c r="AC834" s="29"/>
      <c r="AD834" s="29"/>
      <c r="AE834" s="29"/>
      <c r="AF834" s="29"/>
      <c r="AG834" s="29"/>
      <c r="AH834" s="29"/>
      <c r="AI834" s="29"/>
      <c r="AJ834" s="29"/>
      <c r="AK834" s="29"/>
      <c r="AL834" s="29"/>
      <c r="AM834" s="29"/>
    </row>
    <row r="835">
      <c r="A835" s="31" t="s">
        <v>1577</v>
      </c>
      <c r="B835" s="32">
        <v>23900.0</v>
      </c>
      <c r="C835" s="33" t="str">
        <f t="array" ref="C835">INDEX('MTA 28-09'!B:B,MATCH(B835,'MTA 28-09'!A:A,0))</f>
        <v>SIM</v>
      </c>
      <c r="D835" s="34" t="str">
        <f t="array" ref="D835">INDEX('MTA 28-09'!D:D,MATCH(B835,'MTA 28-09'!A:A,0))</f>
        <v/>
      </c>
      <c r="E835" s="32" t="str">
        <f t="array" ref="E835">INDEX('MTA 28-09'!F:F,MATCH(B835,'MTA 28-09'!A:A,0))</f>
        <v/>
      </c>
      <c r="F835" s="35" t="str">
        <f t="array" ref="F835">INDEX('MTA 28-09'!I:I,MATCH(B835,'MTA 28-09'!A:A,0))</f>
        <v/>
      </c>
      <c r="G835" s="36" t="str">
        <f t="array" ref="G835">INDEX('MTA 28-09'!J:J,MATCH(B835,'MTA 28-09'!A:A,0))</f>
        <v/>
      </c>
      <c r="H835" s="287" t="s">
        <v>157</v>
      </c>
      <c r="I835" s="38" t="s">
        <v>1627</v>
      </c>
      <c r="J835" s="39"/>
      <c r="K835" s="40"/>
      <c r="L835" s="39" t="str">
        <f t="array" ref="L835">INDEX('MTA 28-09'!S:S,MATCH(B835,'MTA 28-09'!A:A,0))</f>
        <v>APOIO</v>
      </c>
      <c r="M835" s="32" t="str">
        <f t="array" ref="M835">INDEX('MTA 28-09'!T:T,MATCH(B835,'MTA 28-09'!A:A,0))</f>
        <v>CTT XXX/CABW-PAMALS/2025 - Material Permanente</v>
      </c>
      <c r="N835" s="32" t="str">
        <f t="array" ref="N835">INDEX('MTA 28-09'!U:U,MATCH(B835,'MTA 28-09'!A:A,0))</f>
        <v>Aquisição de 1 barreira de retenção móvel para atender operações em SBSC, SBSJ (Aeroporto Prof. Urbano Ernesto Stumpf) e EXOP diversos 2/2</v>
      </c>
      <c r="O835" s="59">
        <f t="array" ref="O835">INDEX('MTA 28-09'!AC:AC,MATCH(B835,'MTA 28-09'!A:A,0))</f>
        <v>13720470</v>
      </c>
      <c r="P835" s="32" t="str">
        <f t="array" ref="P835">INDEX('MTA 28-09'!N:N,MATCH(B835,'MTA 28-09'!A:A,0))</f>
        <v>CABW</v>
      </c>
      <c r="Q835" s="67" t="str">
        <f t="array" ref="Q835">INDEX('MTA 28-09'!Z:Z,MATCH(B835,'MTA 28-09'!A:A,0))</f>
        <v>449052</v>
      </c>
      <c r="R835" s="32" t="str">
        <f t="array" ref="R835">INDEX('MTA 28-09'!L:L,MATCH(B835,'MTA 28-09'!A:A,0))</f>
        <v>C</v>
      </c>
      <c r="S835" s="72" t="str">
        <f t="array" ref="S835">INDEX('MTA 28-09'!X:X,MATCH(B835,'MTA 28-09'!A:A,0))</f>
        <v>SOB DEMANDA</v>
      </c>
      <c r="T835" s="72" t="str">
        <f t="array" ref="T835">INDEX('MTA 28-09'!W:W,MATCH(B835,'MTA 28-09'!A:A,0))</f>
        <v>NÃO</v>
      </c>
      <c r="U835" s="81">
        <f t="array" ref="U835">INDEX('MTA 28-09'!AE:AE,MATCH(B835,'MTA 28-09'!A:A,0))</f>
        <v>46291</v>
      </c>
      <c r="V835" s="12"/>
      <c r="W835" s="12"/>
      <c r="X835" s="12"/>
      <c r="Y835" s="12"/>
      <c r="Z835" s="12"/>
      <c r="AA835" s="12"/>
      <c r="AB835" s="12"/>
      <c r="AC835" s="12"/>
      <c r="AD835" s="12"/>
      <c r="AE835" s="12"/>
      <c r="AF835" s="12"/>
      <c r="AG835" s="12"/>
      <c r="AH835" s="12"/>
      <c r="AI835" s="12"/>
      <c r="AJ835" s="12"/>
      <c r="AK835" s="12"/>
      <c r="AL835" s="12"/>
      <c r="AM835" s="12"/>
    </row>
    <row r="836">
      <c r="A836" s="88" t="s">
        <v>39</v>
      </c>
      <c r="B836" s="98">
        <v>23920.0</v>
      </c>
      <c r="C836" s="92" t="str">
        <f t="array" ref="C836">INDEX('MTA 28-09'!B:B,MATCH(B836,'MTA 28-09'!A:A,0))</f>
        <v>SIM</v>
      </c>
      <c r="D836" s="95" t="str">
        <f t="array" ref="D836">INDEX('MTA 28-09'!D:D,MATCH(B836,'MTA 28-09'!A:A,0))</f>
        <v/>
      </c>
      <c r="E836" s="98" t="str">
        <f t="array" ref="E836">INDEX('MTA 28-09'!F:F,MATCH(B836,'MTA 28-09'!A:A,0))</f>
        <v/>
      </c>
      <c r="F836" s="99" t="str">
        <f t="array" ref="F836">INDEX('MTA 28-09'!I:I,MATCH(B836,'MTA 28-09'!A:A,0))</f>
        <v/>
      </c>
      <c r="G836" s="100" t="str">
        <f t="array" ref="G836">INDEX('MTA 28-09'!J:J,MATCH(B836,'MTA 28-09'!A:A,0))</f>
        <v/>
      </c>
      <c r="H836" s="159" t="s">
        <v>157</v>
      </c>
      <c r="I836" s="296"/>
      <c r="J836" s="102"/>
      <c r="K836" s="103"/>
      <c r="L836" s="102" t="str">
        <f t="array" ref="L836">INDEX('MTA 28-09'!S:S,MATCH(B836,'MTA 28-09'!A:A,0))</f>
        <v>A-29</v>
      </c>
      <c r="M836" s="98" t="str">
        <f t="array" ref="M836">INDEX('MTA 28-09'!T:T,MATCH(B836,'MTA 28-09'!A:A,0))</f>
        <v>CNT 051/CELOG-PAMASP/2024 - STANDARD AERO - REVISÃO GERAL</v>
      </c>
      <c r="N836" s="98" t="str">
        <f t="array" ref="N836">INDEX('MTA 28-09'!U:U,MATCH(B836,'MTA 28-09'!A:A,0))</f>
        <v>Revisão Geral PT6A-68C 12/20</v>
      </c>
      <c r="O836" s="104">
        <f t="array" ref="O836">INDEX('MTA 28-09'!AC:AC,MATCH(B836,'MTA 28-09'!A:A,0))</f>
        <v>5300000</v>
      </c>
      <c r="P836" s="98" t="str">
        <f t="array" ref="P836">INDEX('MTA 28-09'!N:N,MATCH(B836,'MTA 28-09'!A:A,0))</f>
        <v>CABW</v>
      </c>
      <c r="Q836" s="105" t="str">
        <f t="array" ref="Q836">INDEX('MTA 28-09'!Z:Z,MATCH(B836,'MTA 28-09'!A:A,0))</f>
        <v>339039</v>
      </c>
      <c r="R836" s="98" t="str">
        <f t="array" ref="R836">INDEX('MTA 28-09'!L:L,MATCH(B836,'MTA 28-09'!A:A,0))</f>
        <v>C</v>
      </c>
      <c r="S836" s="107" t="str">
        <f t="array" ref="S836">INDEX('MTA 28-09'!X:X,MATCH(B836,'MTA 28-09'!A:A,0))</f>
        <v>SOB DEMANDA</v>
      </c>
      <c r="T836" s="107" t="str">
        <f t="array" ref="T836">INDEX('MTA 28-09'!W:W,MATCH(B836,'MTA 28-09'!A:A,0))</f>
        <v>SIM</v>
      </c>
      <c r="U836" s="109">
        <f t="array" ref="U836">INDEX('MTA 28-09'!AE:AE,MATCH(B836,'MTA 28-09'!A:A,0))</f>
        <v>46291</v>
      </c>
      <c r="V836" s="29"/>
      <c r="W836" s="29"/>
      <c r="X836" s="29"/>
      <c r="Y836" s="29"/>
      <c r="Z836" s="29"/>
      <c r="AA836" s="29"/>
      <c r="AB836" s="29"/>
      <c r="AC836" s="29"/>
      <c r="AD836" s="29"/>
      <c r="AE836" s="29"/>
      <c r="AF836" s="29"/>
      <c r="AG836" s="29"/>
      <c r="AH836" s="29"/>
      <c r="AI836" s="29"/>
      <c r="AJ836" s="29"/>
      <c r="AK836" s="29"/>
      <c r="AL836" s="29"/>
      <c r="AM836" s="29"/>
    </row>
    <row r="837">
      <c r="A837" s="31" t="s">
        <v>39</v>
      </c>
      <c r="B837" s="38">
        <v>23921.0</v>
      </c>
      <c r="C837" s="33" t="str">
        <f t="array" ref="C837">INDEX('MTA 28-09'!B:B,MATCH(B837,'MTA 28-09'!A:A,0))</f>
        <v>SIM</v>
      </c>
      <c r="D837" s="34" t="str">
        <f t="array" ref="D837">INDEX('MTA 28-09'!D:D,MATCH(B837,'MTA 28-09'!A:A,0))</f>
        <v>DESTQ34</v>
      </c>
      <c r="E837" s="32" t="str">
        <f t="array" ref="E837">INDEX('MTA 28-09'!F:F,MATCH(B837,'MTA 28-09'!A:A,0))</f>
        <v>ATENDIDO</v>
      </c>
      <c r="F837" s="137">
        <f t="array" ref="F837">INDEX('MTA 28-09'!I:I,MATCH(B837,'MTA 28-09'!A:A,0))</f>
        <v>46199</v>
      </c>
      <c r="G837" s="36" t="str">
        <f t="array" ref="G837">INDEX('MTA 28-09'!J:J,MATCH(B837,'MTA 28-09'!A:A,0))</f>
        <v>C26092</v>
      </c>
      <c r="H837" s="287" t="s">
        <v>157</v>
      </c>
      <c r="I837" s="38"/>
      <c r="J837" s="39"/>
      <c r="K837" s="40"/>
      <c r="L837" s="39" t="str">
        <f t="array" ref="L837">INDEX('MTA 28-09'!S:S,MATCH(B837,'MTA 28-09'!A:A,0))</f>
        <v>A-29</v>
      </c>
      <c r="M837" s="32" t="str">
        <f t="array" ref="M837">INDEX('MTA 28-09'!T:T,MATCH(B837,'MTA 28-09'!A:A,0))</f>
        <v>CNT 051/CELOG-PAMASP/2024 - STANDARD AERO - REVISÃO GERAL</v>
      </c>
      <c r="N837" s="32" t="str">
        <f t="array" ref="N837">INDEX('MTA 28-09'!U:U,MATCH(B837,'MTA 28-09'!A:A,0))</f>
        <v>Revisão Geral PT6A-68C 12/20</v>
      </c>
      <c r="O837" s="59">
        <f t="array" ref="O837">INDEX('MTA 28-09'!AC:AC,MATCH(B837,'MTA 28-09'!A:A,0))</f>
        <v>2700000</v>
      </c>
      <c r="P837" s="32" t="str">
        <f t="array" ref="P837">INDEX('MTA 28-09'!N:N,MATCH(B837,'MTA 28-09'!A:A,0))</f>
        <v>CABW</v>
      </c>
      <c r="Q837" s="67" t="str">
        <f t="array" ref="Q837">INDEX('MTA 28-09'!Z:Z,MATCH(B837,'MTA 28-09'!A:A,0))</f>
        <v>339039</v>
      </c>
      <c r="R837" s="32" t="str">
        <f t="array" ref="R837">INDEX('MTA 28-09'!L:L,MATCH(B837,'MTA 28-09'!A:A,0))</f>
        <v>C</v>
      </c>
      <c r="S837" s="72" t="str">
        <f t="array" ref="S837">INDEX('MTA 28-09'!X:X,MATCH(B837,'MTA 28-09'!A:A,0))</f>
        <v>SOB DEMANDA</v>
      </c>
      <c r="T837" s="72" t="str">
        <f t="array" ref="T837">INDEX('MTA 28-09'!W:W,MATCH(B837,'MTA 28-09'!A:A,0))</f>
        <v>SIM</v>
      </c>
      <c r="U837" s="81">
        <f t="array" ref="U837">INDEX('MTA 28-09'!AE:AE,MATCH(B837,'MTA 28-09'!A:A,0))</f>
        <v>46229</v>
      </c>
      <c r="V837" s="12"/>
      <c r="W837" s="12"/>
      <c r="X837" s="12"/>
      <c r="Y837" s="12"/>
      <c r="Z837" s="12"/>
      <c r="AA837" s="12"/>
      <c r="AB837" s="12"/>
      <c r="AC837" s="12"/>
      <c r="AD837" s="12"/>
      <c r="AE837" s="12"/>
      <c r="AF837" s="12"/>
      <c r="AG837" s="12"/>
      <c r="AH837" s="12"/>
      <c r="AI837" s="12"/>
      <c r="AJ837" s="12"/>
      <c r="AK837" s="12"/>
      <c r="AL837" s="12"/>
      <c r="AM837" s="12"/>
    </row>
    <row r="838">
      <c r="A838" s="88" t="s">
        <v>39</v>
      </c>
      <c r="B838" s="98">
        <v>23940.0</v>
      </c>
      <c r="C838" s="92" t="str">
        <f t="array" ref="C838">INDEX('MTA 28-09'!B:B,MATCH(B838,'MTA 28-09'!A:A,0))</f>
        <v>SIM</v>
      </c>
      <c r="D838" s="95" t="str">
        <f t="array" ref="D838">INDEX('MTA 28-09'!D:D,MATCH(B838,'MTA 28-09'!A:A,0))</f>
        <v/>
      </c>
      <c r="E838" s="98" t="str">
        <f t="array" ref="E838">INDEX('MTA 28-09'!F:F,MATCH(B838,'MTA 28-09'!A:A,0))</f>
        <v/>
      </c>
      <c r="F838" s="99" t="str">
        <f t="array" ref="F838">INDEX('MTA 28-09'!I:I,MATCH(B838,'MTA 28-09'!A:A,0))</f>
        <v/>
      </c>
      <c r="G838" s="100" t="str">
        <f t="array" ref="G838">INDEX('MTA 28-09'!J:J,MATCH(B838,'MTA 28-09'!A:A,0))</f>
        <v/>
      </c>
      <c r="H838" s="159" t="s">
        <v>157</v>
      </c>
      <c r="I838" s="296"/>
      <c r="J838" s="102"/>
      <c r="K838" s="103"/>
      <c r="L838" s="102" t="str">
        <f t="array" ref="L838">INDEX('MTA 28-09'!S:S,MATCH(B838,'MTA 28-09'!A:A,0))</f>
        <v>A-29</v>
      </c>
      <c r="M838" s="98" t="str">
        <f t="array" ref="M838">INDEX('MTA 28-09'!T:T,MATCH(B838,'MTA 28-09'!A:A,0))</f>
        <v>CNT 051/CELOG-PAMASP/2024 - STANDARD AERO - REVISÃO GERAL</v>
      </c>
      <c r="N838" s="98" t="str">
        <f t="array" ref="N838">INDEX('MTA 28-09'!U:U,MATCH(B838,'MTA 28-09'!A:A,0))</f>
        <v>Revisão Geral PT6A-68C 13/20</v>
      </c>
      <c r="O838" s="104">
        <f t="array" ref="O838">INDEX('MTA 28-09'!AC:AC,MATCH(B838,'MTA 28-09'!A:A,0))</f>
        <v>8000000</v>
      </c>
      <c r="P838" s="98" t="str">
        <f t="array" ref="P838">INDEX('MTA 28-09'!N:N,MATCH(B838,'MTA 28-09'!A:A,0))</f>
        <v>CABW</v>
      </c>
      <c r="Q838" s="105" t="str">
        <f t="array" ref="Q838">INDEX('MTA 28-09'!Z:Z,MATCH(B838,'MTA 28-09'!A:A,0))</f>
        <v>339039</v>
      </c>
      <c r="R838" s="98" t="str">
        <f t="array" ref="R838">INDEX('MTA 28-09'!L:L,MATCH(B838,'MTA 28-09'!A:A,0))</f>
        <v>C</v>
      </c>
      <c r="S838" s="107" t="str">
        <f t="array" ref="S838">INDEX('MTA 28-09'!X:X,MATCH(B838,'MTA 28-09'!A:A,0))</f>
        <v>SOB DEMANDA</v>
      </c>
      <c r="T838" s="107" t="str">
        <f t="array" ref="T838">INDEX('MTA 28-09'!W:W,MATCH(B838,'MTA 28-09'!A:A,0))</f>
        <v>SIM</v>
      </c>
      <c r="U838" s="109">
        <f t="array" ref="U838">INDEX('MTA 28-09'!AE:AE,MATCH(B838,'MTA 28-09'!A:A,0))</f>
        <v>46321</v>
      </c>
      <c r="V838" s="29"/>
      <c r="W838" s="29"/>
      <c r="X838" s="29"/>
      <c r="Y838" s="29"/>
      <c r="Z838" s="29"/>
      <c r="AA838" s="29"/>
      <c r="AB838" s="29"/>
      <c r="AC838" s="29"/>
      <c r="AD838" s="29"/>
      <c r="AE838" s="29"/>
      <c r="AF838" s="29"/>
      <c r="AG838" s="29"/>
      <c r="AH838" s="29"/>
      <c r="AI838" s="29"/>
      <c r="AJ838" s="29"/>
      <c r="AK838" s="29"/>
      <c r="AL838" s="29"/>
      <c r="AM838" s="29"/>
    </row>
    <row r="839">
      <c r="A839" s="31" t="s">
        <v>39</v>
      </c>
      <c r="B839" s="32">
        <v>23960.0</v>
      </c>
      <c r="C839" s="33" t="str">
        <f t="array" ref="C839">INDEX('MTA 28-09'!B:B,MATCH(B839,'MTA 28-09'!A:A,0))</f>
        <v>SIM</v>
      </c>
      <c r="D839" s="34">
        <f t="array" ref="D839">INDEX('MTA 28-09'!D:D,MATCH(B839,'MTA 28-09'!A:A,0))</f>
        <v>2048</v>
      </c>
      <c r="E839" s="32" t="str">
        <f t="array" ref="E839">INDEX('MTA 28-09'!F:F,MATCH(B839,'MTA 28-09'!A:A,0))</f>
        <v>ATENDER</v>
      </c>
      <c r="F839" s="35" t="str">
        <f t="array" ref="F839">INDEX('MTA 28-09'!I:I,MATCH(B839,'MTA 28-09'!A:A,0))</f>
        <v/>
      </c>
      <c r="G839" s="36" t="str">
        <f t="array" ref="G839">INDEX('MTA 28-09'!J:J,MATCH(B839,'MTA 28-09'!A:A,0))</f>
        <v/>
      </c>
      <c r="H839" s="287" t="s">
        <v>157</v>
      </c>
      <c r="I839" s="295"/>
      <c r="J839" s="39"/>
      <c r="K839" s="40"/>
      <c r="L839" s="39" t="str">
        <f t="array" ref="L839">INDEX('MTA 28-09'!S:S,MATCH(B839,'MTA 28-09'!A:A,0))</f>
        <v>A-29</v>
      </c>
      <c r="M839" s="32" t="str">
        <f t="array" ref="M839">INDEX('MTA 28-09'!T:T,MATCH(B839,'MTA 28-09'!A:A,0))</f>
        <v>CNT 051/CELOG-PAMASP/2024 - STANDARD AERO - REVISÃO GERAL</v>
      </c>
      <c r="N839" s="32" t="str">
        <f t="array" ref="N839">INDEX('MTA 28-09'!U:U,MATCH(B839,'MTA 28-09'!A:A,0))</f>
        <v>Revisão Geral PT6A-68C 14/20</v>
      </c>
      <c r="O839" s="59">
        <f t="array" ref="O839">INDEX('MTA 28-09'!AC:AC,MATCH(B839,'MTA 28-09'!A:A,0))</f>
        <v>7627840.66</v>
      </c>
      <c r="P839" s="32" t="str">
        <f t="array" ref="P839">INDEX('MTA 28-09'!N:N,MATCH(B839,'MTA 28-09'!A:A,0))</f>
        <v>CABW</v>
      </c>
      <c r="Q839" s="67" t="str">
        <f t="array" ref="Q839">INDEX('MTA 28-09'!Z:Z,MATCH(B839,'MTA 28-09'!A:A,0))</f>
        <v>339039</v>
      </c>
      <c r="R839" s="32" t="str">
        <f t="array" ref="R839">INDEX('MTA 28-09'!L:L,MATCH(B839,'MTA 28-09'!A:A,0))</f>
        <v>C</v>
      </c>
      <c r="S839" s="72" t="str">
        <f t="array" ref="S839">INDEX('MTA 28-09'!X:X,MATCH(B839,'MTA 28-09'!A:A,0))</f>
        <v>SOB DEMANDA</v>
      </c>
      <c r="T839" s="72" t="str">
        <f t="array" ref="T839">INDEX('MTA 28-09'!W:W,MATCH(B839,'MTA 28-09'!A:A,0))</f>
        <v>SIM</v>
      </c>
      <c r="U839" s="81">
        <f t="array" ref="U839">INDEX('MTA 28-09'!AE:AE,MATCH(B839,'MTA 28-09'!A:A,0))</f>
        <v>46321</v>
      </c>
      <c r="V839" s="12"/>
      <c r="W839" s="12"/>
      <c r="X839" s="12"/>
      <c r="Y839" s="12"/>
      <c r="Z839" s="12"/>
      <c r="AA839" s="12"/>
      <c r="AB839" s="12"/>
      <c r="AC839" s="12"/>
      <c r="AD839" s="12"/>
      <c r="AE839" s="12"/>
      <c r="AF839" s="12"/>
      <c r="AG839" s="12"/>
      <c r="AH839" s="12"/>
      <c r="AI839" s="12"/>
      <c r="AJ839" s="12"/>
      <c r="AK839" s="12"/>
      <c r="AL839" s="12"/>
      <c r="AM839" s="12"/>
    </row>
    <row r="840">
      <c r="A840" s="88" t="s">
        <v>39</v>
      </c>
      <c r="B840" s="98">
        <v>23980.0</v>
      </c>
      <c r="C840" s="92" t="str">
        <f t="array" ref="C840">INDEX('MTA 28-09'!B:B,MATCH(B840,'MTA 28-09'!A:A,0))</f>
        <v>SIM</v>
      </c>
      <c r="D840" s="95">
        <f t="array" ref="D840">INDEX('MTA 28-09'!D:D,MATCH(B840,'MTA 28-09'!A:A,0))</f>
        <v>2048</v>
      </c>
      <c r="E840" s="98" t="str">
        <f t="array" ref="E840">INDEX('MTA 28-09'!F:F,MATCH(B840,'MTA 28-09'!A:A,0))</f>
        <v>ATENDER</v>
      </c>
      <c r="F840" s="99" t="str">
        <f t="array" ref="F840">INDEX('MTA 28-09'!I:I,MATCH(B840,'MTA 28-09'!A:A,0))</f>
        <v/>
      </c>
      <c r="G840" s="100" t="str">
        <f t="array" ref="G840">INDEX('MTA 28-09'!J:J,MATCH(B840,'MTA 28-09'!A:A,0))</f>
        <v/>
      </c>
      <c r="H840" s="159" t="s">
        <v>157</v>
      </c>
      <c r="I840" s="296"/>
      <c r="J840" s="102"/>
      <c r="K840" s="103"/>
      <c r="L840" s="102" t="str">
        <f t="array" ref="L840">INDEX('MTA 28-09'!S:S,MATCH(B840,'MTA 28-09'!A:A,0))</f>
        <v>A-29</v>
      </c>
      <c r="M840" s="98" t="str">
        <f t="array" ref="M840">INDEX('MTA 28-09'!T:T,MATCH(B840,'MTA 28-09'!A:A,0))</f>
        <v>CNT 051/CELOG-PAMASP/2024 - STANDARD AERO - REVISÃO GERAL</v>
      </c>
      <c r="N840" s="98" t="str">
        <f t="array" ref="N840">INDEX('MTA 28-09'!U:U,MATCH(B840,'MTA 28-09'!A:A,0))</f>
        <v>Revisão Geral PT6A-68C 15/20</v>
      </c>
      <c r="O840" s="104">
        <f t="array" ref="O840">INDEX('MTA 28-09'!AC:AC,MATCH(B840,'MTA 28-09'!A:A,0))</f>
        <v>8888537.93</v>
      </c>
      <c r="P840" s="98" t="str">
        <f t="array" ref="P840">INDEX('MTA 28-09'!N:N,MATCH(B840,'MTA 28-09'!A:A,0))</f>
        <v>CABW</v>
      </c>
      <c r="Q840" s="105" t="str">
        <f t="array" ref="Q840">INDEX('MTA 28-09'!Z:Z,MATCH(B840,'MTA 28-09'!A:A,0))</f>
        <v>339039</v>
      </c>
      <c r="R840" s="98" t="str">
        <f t="array" ref="R840">INDEX('MTA 28-09'!L:L,MATCH(B840,'MTA 28-09'!A:A,0))</f>
        <v>C</v>
      </c>
      <c r="S840" s="107" t="str">
        <f t="array" ref="S840">INDEX('MTA 28-09'!X:X,MATCH(B840,'MTA 28-09'!A:A,0))</f>
        <v>SOB DEMANDA</v>
      </c>
      <c r="T840" s="107" t="str">
        <f t="array" ref="T840">INDEX('MTA 28-09'!W:W,MATCH(B840,'MTA 28-09'!A:A,0))</f>
        <v>SIM</v>
      </c>
      <c r="U840" s="109">
        <f t="array" ref="U840">INDEX('MTA 28-09'!AE:AE,MATCH(B840,'MTA 28-09'!A:A,0))</f>
        <v>46352</v>
      </c>
      <c r="V840" s="29"/>
      <c r="W840" s="29"/>
      <c r="X840" s="29"/>
      <c r="Y840" s="29"/>
      <c r="Z840" s="29"/>
      <c r="AA840" s="29"/>
      <c r="AB840" s="29"/>
      <c r="AC840" s="29"/>
      <c r="AD840" s="29"/>
      <c r="AE840" s="29"/>
      <c r="AF840" s="29"/>
      <c r="AG840" s="29"/>
      <c r="AH840" s="29"/>
      <c r="AI840" s="29"/>
      <c r="AJ840" s="29"/>
      <c r="AK840" s="29"/>
      <c r="AL840" s="29"/>
      <c r="AM840" s="29"/>
    </row>
    <row r="841">
      <c r="A841" s="31" t="s">
        <v>39</v>
      </c>
      <c r="B841" s="32">
        <v>24000.0</v>
      </c>
      <c r="C841" s="33" t="str">
        <f t="array" ref="C841">INDEX('MTA 28-09'!B:B,MATCH(B841,'MTA 28-09'!A:A,0))</f>
        <v>SIM</v>
      </c>
      <c r="D841" s="34" t="str">
        <f t="array" ref="D841">INDEX('MTA 28-09'!D:D,MATCH(B841,'MTA 28-09'!A:A,0))</f>
        <v/>
      </c>
      <c r="E841" s="32" t="str">
        <f t="array" ref="E841">INDEX('MTA 28-09'!F:F,MATCH(B841,'MTA 28-09'!A:A,0))</f>
        <v/>
      </c>
      <c r="F841" s="137" t="str">
        <f t="array" ref="F841">INDEX('MTA 28-09'!I:I,MATCH(B841,'MTA 28-09'!A:A,0))</f>
        <v/>
      </c>
      <c r="G841" s="36" t="str">
        <f t="array" ref="G841">INDEX('MTA 28-09'!J:J,MATCH(B841,'MTA 28-09'!A:A,0))</f>
        <v/>
      </c>
      <c r="H841" s="287" t="s">
        <v>157</v>
      </c>
      <c r="I841" s="295"/>
      <c r="J841" s="39"/>
      <c r="K841" s="40"/>
      <c r="L841" s="39" t="str">
        <f t="array" ref="L841">INDEX('MTA 28-09'!S:S,MATCH(B841,'MTA 28-09'!A:A,0))</f>
        <v>A-29</v>
      </c>
      <c r="M841" s="32" t="str">
        <f t="array" ref="M841">INDEX('MTA 28-09'!T:T,MATCH(B841,'MTA 28-09'!A:A,0))</f>
        <v>CNT 051/CELOG-PAMASP/2024 - STANDARD AERO - REVISÃO GERAL</v>
      </c>
      <c r="N841" s="32" t="str">
        <f t="array" ref="N841">INDEX('MTA 28-09'!U:U,MATCH(B841,'MTA 28-09'!A:A,0))</f>
        <v>Revisão Geral PT6A-68C 16/20</v>
      </c>
      <c r="O841" s="59">
        <f t="array" ref="O841">INDEX('MTA 28-09'!AC:AC,MATCH(B841,'MTA 28-09'!A:A,0))</f>
        <v>8000000</v>
      </c>
      <c r="P841" s="32" t="str">
        <f t="array" ref="P841">INDEX('MTA 28-09'!N:N,MATCH(B841,'MTA 28-09'!A:A,0))</f>
        <v>CABW</v>
      </c>
      <c r="Q841" s="67" t="str">
        <f t="array" ref="Q841">INDEX('MTA 28-09'!Z:Z,MATCH(B841,'MTA 28-09'!A:A,0))</f>
        <v>339039</v>
      </c>
      <c r="R841" s="32" t="str">
        <f t="array" ref="R841">INDEX('MTA 28-09'!L:L,MATCH(B841,'MTA 28-09'!A:A,0))</f>
        <v>C</v>
      </c>
      <c r="S841" s="72" t="str">
        <f t="array" ref="S841">INDEX('MTA 28-09'!X:X,MATCH(B841,'MTA 28-09'!A:A,0))</f>
        <v>SOB DEMANDA</v>
      </c>
      <c r="T841" s="72" t="str">
        <f t="array" ref="T841">INDEX('MTA 28-09'!W:W,MATCH(B841,'MTA 28-09'!A:A,0))</f>
        <v>SIM</v>
      </c>
      <c r="U841" s="81">
        <f t="array" ref="U841">INDEX('MTA 28-09'!AE:AE,MATCH(B841,'MTA 28-09'!A:A,0))</f>
        <v>46352</v>
      </c>
      <c r="V841" s="12"/>
      <c r="W841" s="12"/>
      <c r="X841" s="12"/>
      <c r="Y841" s="12"/>
      <c r="Z841" s="12"/>
      <c r="AA841" s="12"/>
      <c r="AB841" s="12"/>
      <c r="AC841" s="12"/>
      <c r="AD841" s="12"/>
      <c r="AE841" s="12"/>
      <c r="AF841" s="12"/>
      <c r="AG841" s="12"/>
      <c r="AH841" s="12"/>
      <c r="AI841" s="12"/>
      <c r="AJ841" s="12"/>
      <c r="AK841" s="12"/>
      <c r="AL841" s="12"/>
      <c r="AM841" s="12"/>
    </row>
    <row r="842">
      <c r="A842" s="88" t="s">
        <v>39</v>
      </c>
      <c r="B842" s="98">
        <v>24020.0</v>
      </c>
      <c r="C842" s="92" t="str">
        <f t="array" ref="C842">INDEX('MTA 28-09'!B:B,MATCH(B842,'MTA 28-09'!A:A,0))</f>
        <v>SIM</v>
      </c>
      <c r="D842" s="95" t="str">
        <f t="array" ref="D842">INDEX('MTA 28-09'!D:D,MATCH(B842,'MTA 28-09'!A:A,0))</f>
        <v/>
      </c>
      <c r="E842" s="98" t="str">
        <f t="array" ref="E842">INDEX('MTA 28-09'!F:F,MATCH(B842,'MTA 28-09'!A:A,0))</f>
        <v/>
      </c>
      <c r="F842" s="99" t="str">
        <f t="array" ref="F842">INDEX('MTA 28-09'!I:I,MATCH(B842,'MTA 28-09'!A:A,0))</f>
        <v/>
      </c>
      <c r="G842" s="100" t="str">
        <f t="array" ref="G842">INDEX('MTA 28-09'!J:J,MATCH(B842,'MTA 28-09'!A:A,0))</f>
        <v/>
      </c>
      <c r="H842" s="159" t="s">
        <v>157</v>
      </c>
      <c r="I842" s="296"/>
      <c r="J842" s="102"/>
      <c r="K842" s="103"/>
      <c r="L842" s="102" t="str">
        <f t="array" ref="L842">INDEX('MTA 28-09'!S:S,MATCH(B842,'MTA 28-09'!A:A,0))</f>
        <v>A-29</v>
      </c>
      <c r="M842" s="98" t="str">
        <f t="array" ref="M842">INDEX('MTA 28-09'!T:T,MATCH(B842,'MTA 28-09'!A:A,0))</f>
        <v>CNT 051/CELOG-PAMASP/2024 - STANDARD AERO - REVISÃO GERAL</v>
      </c>
      <c r="N842" s="98" t="str">
        <f t="array" ref="N842">INDEX('MTA 28-09'!U:U,MATCH(B842,'MTA 28-09'!A:A,0))</f>
        <v>Revisão Geral PT6A-68C 17/20</v>
      </c>
      <c r="O842" s="104">
        <f t="array" ref="O842">INDEX('MTA 28-09'!AC:AC,MATCH(B842,'MTA 28-09'!A:A,0))</f>
        <v>8000000</v>
      </c>
      <c r="P842" s="98" t="str">
        <f t="array" ref="P842">INDEX('MTA 28-09'!N:N,MATCH(B842,'MTA 28-09'!A:A,0))</f>
        <v>CABW</v>
      </c>
      <c r="Q842" s="105" t="str">
        <f t="array" ref="Q842">INDEX('MTA 28-09'!Z:Z,MATCH(B842,'MTA 28-09'!A:A,0))</f>
        <v>339039</v>
      </c>
      <c r="R842" s="98" t="str">
        <f t="array" ref="R842">INDEX('MTA 28-09'!L:L,MATCH(B842,'MTA 28-09'!A:A,0))</f>
        <v>C</v>
      </c>
      <c r="S842" s="107" t="str">
        <f t="array" ref="S842">INDEX('MTA 28-09'!X:X,MATCH(B842,'MTA 28-09'!A:A,0))</f>
        <v>SOB DEMANDA</v>
      </c>
      <c r="T842" s="107" t="str">
        <f t="array" ref="T842">INDEX('MTA 28-09'!W:W,MATCH(B842,'MTA 28-09'!A:A,0))</f>
        <v>SIM</v>
      </c>
      <c r="U842" s="109">
        <f t="array" ref="U842">INDEX('MTA 28-09'!AE:AE,MATCH(B842,'MTA 28-09'!A:A,0))</f>
        <v>46382</v>
      </c>
      <c r="V842" s="29"/>
      <c r="W842" s="29"/>
      <c r="X842" s="29"/>
      <c r="Y842" s="29"/>
      <c r="Z842" s="29"/>
      <c r="AA842" s="29"/>
      <c r="AB842" s="29"/>
      <c r="AC842" s="29"/>
      <c r="AD842" s="29"/>
      <c r="AE842" s="29"/>
      <c r="AF842" s="29"/>
      <c r="AG842" s="29"/>
      <c r="AH842" s="29"/>
      <c r="AI842" s="29"/>
      <c r="AJ842" s="29"/>
      <c r="AK842" s="29"/>
      <c r="AL842" s="29"/>
      <c r="AM842" s="29"/>
    </row>
    <row r="843">
      <c r="A843" s="31" t="s">
        <v>39</v>
      </c>
      <c r="B843" s="32">
        <v>24040.0</v>
      </c>
      <c r="C843" s="33" t="str">
        <f t="array" ref="C843">INDEX('MTA 28-09'!B:B,MATCH(B843,'MTA 28-09'!A:A,0))</f>
        <v>SIM</v>
      </c>
      <c r="D843" s="34">
        <f t="array" ref="D843">INDEX('MTA 28-09'!D:D,MATCH(B843,'MTA 28-09'!A:A,0))</f>
        <v>2048</v>
      </c>
      <c r="E843" s="32" t="str">
        <f t="array" ref="E843">INDEX('MTA 28-09'!F:F,MATCH(B843,'MTA 28-09'!A:A,0))</f>
        <v>ATENDIDO</v>
      </c>
      <c r="F843" s="35">
        <f t="array" ref="F843">INDEX('MTA 28-09'!I:I,MATCH(B843,'MTA 28-09'!A:A,0))</f>
        <v>46195</v>
      </c>
      <c r="G843" s="36" t="str">
        <f t="array" ref="G843">INDEX('MTA 28-09'!J:J,MATCH(B843,'MTA 28-09'!A:A,0))</f>
        <v>C26132</v>
      </c>
      <c r="H843" s="287" t="s">
        <v>157</v>
      </c>
      <c r="I843" s="38"/>
      <c r="J843" s="39"/>
      <c r="K843" s="40"/>
      <c r="L843" s="39" t="str">
        <f t="array" ref="L843">INDEX('MTA 28-09'!S:S,MATCH(B843,'MTA 28-09'!A:A,0))</f>
        <v>A-29</v>
      </c>
      <c r="M843" s="32" t="str">
        <f t="array" ref="M843">INDEX('MTA 28-09'!T:T,MATCH(B843,'MTA 28-09'!A:A,0))</f>
        <v>CNT 051/CELOG-PAMASP/2024 - STANDARD AERO - REVISÃO GERAL</v>
      </c>
      <c r="N843" s="32" t="str">
        <f t="array" ref="N843">INDEX('MTA 28-09'!U:U,MATCH(B843,'MTA 28-09'!A:A,0))</f>
        <v>Revisão Geral PT6A-68C 10/20</v>
      </c>
      <c r="O843" s="59">
        <f t="array" ref="O843">INDEX('MTA 28-09'!AC:AC,MATCH(B843,'MTA 28-09'!A:A,0))</f>
        <v>8000000</v>
      </c>
      <c r="P843" s="32" t="str">
        <f t="array" ref="P843">INDEX('MTA 28-09'!N:N,MATCH(B843,'MTA 28-09'!A:A,0))</f>
        <v>CABW</v>
      </c>
      <c r="Q843" s="67" t="str">
        <f t="array" ref="Q843">INDEX('MTA 28-09'!Z:Z,MATCH(B843,'MTA 28-09'!A:A,0))</f>
        <v>339039</v>
      </c>
      <c r="R843" s="32" t="str">
        <f t="array" ref="R843">INDEX('MTA 28-09'!L:L,MATCH(B843,'MTA 28-09'!A:A,0))</f>
        <v>A</v>
      </c>
      <c r="S843" s="72" t="str">
        <f t="array" ref="S843">INDEX('MTA 28-09'!X:X,MATCH(B843,'MTA 28-09'!A:A,0))</f>
        <v>SOB DEMANDA</v>
      </c>
      <c r="T843" s="72" t="str">
        <f t="array" ref="T843">INDEX('MTA 28-09'!W:W,MATCH(B843,'MTA 28-09'!A:A,0))</f>
        <v>SIM</v>
      </c>
      <c r="U843" s="81">
        <f t="array" ref="U843">INDEX('MTA 28-09'!AE:AE,MATCH(B843,'MTA 28-09'!A:A,0))</f>
        <v>46321</v>
      </c>
      <c r="V843" s="12"/>
      <c r="W843" s="12"/>
      <c r="X843" s="12"/>
      <c r="Y843" s="12"/>
      <c r="Z843" s="12"/>
      <c r="AA843" s="12"/>
      <c r="AB843" s="12"/>
      <c r="AC843" s="12"/>
      <c r="AD843" s="12"/>
      <c r="AE843" s="12"/>
      <c r="AF843" s="12"/>
      <c r="AG843" s="12"/>
      <c r="AH843" s="12"/>
      <c r="AI843" s="12"/>
      <c r="AJ843" s="12"/>
      <c r="AK843" s="12"/>
      <c r="AL843" s="12"/>
      <c r="AM843" s="12"/>
    </row>
    <row r="844">
      <c r="A844" s="88" t="s">
        <v>39</v>
      </c>
      <c r="B844" s="98">
        <v>24060.0</v>
      </c>
      <c r="C844" s="92" t="str">
        <f t="array" ref="C844">INDEX('MTA 28-09'!B:B,MATCH(B844,'MTA 28-09'!A:A,0))</f>
        <v>SIM</v>
      </c>
      <c r="D844" s="95">
        <f t="array" ref="D844">INDEX('MTA 28-09'!D:D,MATCH(B844,'MTA 28-09'!A:A,0))</f>
        <v>2048</v>
      </c>
      <c r="E844" s="98" t="str">
        <f t="array" ref="E844">INDEX('MTA 28-09'!F:F,MATCH(B844,'MTA 28-09'!A:A,0))</f>
        <v>ATENDIDO</v>
      </c>
      <c r="F844" s="144">
        <f t="array" ref="F844">INDEX('MTA 28-09'!I:I,MATCH(B844,'MTA 28-09'!A:A,0))</f>
        <v>46255</v>
      </c>
      <c r="G844" s="100" t="str">
        <f t="array" ref="G844">INDEX('MTA 28-09'!J:J,MATCH(B844,'MTA 28-09'!A:A,0))</f>
        <v>C26132</v>
      </c>
      <c r="H844" s="159" t="s">
        <v>157</v>
      </c>
      <c r="I844" s="296"/>
      <c r="J844" s="102"/>
      <c r="K844" s="103"/>
      <c r="L844" s="102" t="str">
        <f t="array" ref="L844">INDEX('MTA 28-09'!S:S,MATCH(B844,'MTA 28-09'!A:A,0))</f>
        <v>A-29</v>
      </c>
      <c r="M844" s="98" t="str">
        <f t="array" ref="M844">INDEX('MTA 28-09'!T:T,MATCH(B844,'MTA 28-09'!A:A,0))</f>
        <v>CNT 051/CELOG-PAMASP/2024 - STANDARD AERO - REVISÃO GERAL</v>
      </c>
      <c r="N844" s="98" t="str">
        <f t="array" ref="N844">INDEX('MTA 28-09'!U:U,MATCH(B844,'MTA 28-09'!A:A,0))</f>
        <v>Revisão Geral PT6A-68C 11/20</v>
      </c>
      <c r="O844" s="104">
        <f t="array" ref="O844">INDEX('MTA 28-09'!AC:AC,MATCH(B844,'MTA 28-09'!A:A,0))</f>
        <v>7009928.1</v>
      </c>
      <c r="P844" s="98" t="str">
        <f t="array" ref="P844">INDEX('MTA 28-09'!N:N,MATCH(B844,'MTA 28-09'!A:A,0))</f>
        <v>CABW</v>
      </c>
      <c r="Q844" s="105" t="str">
        <f t="array" ref="Q844">INDEX('MTA 28-09'!Z:Z,MATCH(B844,'MTA 28-09'!A:A,0))</f>
        <v>339039</v>
      </c>
      <c r="R844" s="98" t="str">
        <f t="array" ref="R844">INDEX('MTA 28-09'!L:L,MATCH(B844,'MTA 28-09'!A:A,0))</f>
        <v>A</v>
      </c>
      <c r="S844" s="107" t="str">
        <f t="array" ref="S844">INDEX('MTA 28-09'!X:X,MATCH(B844,'MTA 28-09'!A:A,0))</f>
        <v>SOB DEMANDA</v>
      </c>
      <c r="T844" s="107" t="str">
        <f t="array" ref="T844">INDEX('MTA 28-09'!W:W,MATCH(B844,'MTA 28-09'!A:A,0))</f>
        <v>SIM</v>
      </c>
      <c r="U844" s="109">
        <f t="array" ref="U844">INDEX('MTA 28-09'!AE:AE,MATCH(B844,'MTA 28-09'!A:A,0))</f>
        <v>46291</v>
      </c>
      <c r="V844" s="29"/>
      <c r="W844" s="29"/>
      <c r="X844" s="29"/>
      <c r="Y844" s="29"/>
      <c r="Z844" s="29"/>
      <c r="AA844" s="29"/>
      <c r="AB844" s="29"/>
      <c r="AC844" s="29"/>
      <c r="AD844" s="29"/>
      <c r="AE844" s="29"/>
      <c r="AF844" s="29"/>
      <c r="AG844" s="29"/>
      <c r="AH844" s="29"/>
      <c r="AI844" s="29"/>
      <c r="AJ844" s="29"/>
      <c r="AK844" s="29"/>
      <c r="AL844" s="29"/>
      <c r="AM844" s="29"/>
    </row>
    <row r="845">
      <c r="A845" s="31" t="s">
        <v>39</v>
      </c>
      <c r="B845" s="38">
        <v>24061.0</v>
      </c>
      <c r="C845" s="33" t="str">
        <f t="array" ref="C845">INDEX('MTA 28-09'!B:B,MATCH(B845,'MTA 28-09'!A:A,0))</f>
        <v>SIM</v>
      </c>
      <c r="D845" s="34" t="str">
        <f t="array" ref="D845">INDEX('MTA 28-09'!D:D,MATCH(B845,'MTA 28-09'!A:A,0))</f>
        <v>DESTQ38</v>
      </c>
      <c r="E845" s="32" t="str">
        <f t="array" ref="E845">INDEX('MTA 28-09'!F:F,MATCH(B845,'MTA 28-09'!A:A,0))</f>
        <v>ATENDIDO</v>
      </c>
      <c r="F845" s="35">
        <f t="array" ref="F845">INDEX('MTA 28-09'!I:I,MATCH(B845,'MTA 28-09'!A:A,0))</f>
        <v>46241</v>
      </c>
      <c r="G845" s="36" t="str">
        <f t="array" ref="G845">INDEX('MTA 28-09'!J:J,MATCH(B845,'MTA 28-09'!A:A,0))</f>
        <v>C26178</v>
      </c>
      <c r="H845" s="287" t="s">
        <v>157</v>
      </c>
      <c r="I845" s="295"/>
      <c r="J845" s="39"/>
      <c r="K845" s="40"/>
      <c r="L845" s="39" t="str">
        <f t="array" ref="L845">INDEX('MTA 28-09'!S:S,MATCH(B845,'MTA 28-09'!A:A,0))</f>
        <v>A-29</v>
      </c>
      <c r="M845" s="32" t="str">
        <f t="array" ref="M845">INDEX('MTA 28-09'!T:T,MATCH(B845,'MTA 28-09'!A:A,0))</f>
        <v>CNT 051/CELOG-PAMASP/2024 - STANDARD AERO - REVISÃO GERAL</v>
      </c>
      <c r="N845" s="32" t="str">
        <f t="array" ref="N845">INDEX('MTA 28-09'!U:U,MATCH(B845,'MTA 28-09'!A:A,0))</f>
        <v>Revisão Geral PT6A-68C 11/20</v>
      </c>
      <c r="O845" s="59">
        <f t="array" ref="O845">INDEX('MTA 28-09'!AC:AC,MATCH(B845,'MTA 28-09'!A:A,0))</f>
        <v>254072.91</v>
      </c>
      <c r="P845" s="32" t="str">
        <f t="array" ref="P845">INDEX('MTA 28-09'!N:N,MATCH(B845,'MTA 28-09'!A:A,0))</f>
        <v>CABW</v>
      </c>
      <c r="Q845" s="67" t="str">
        <f t="array" ref="Q845">INDEX('MTA 28-09'!Z:Z,MATCH(B845,'MTA 28-09'!A:A,0))</f>
        <v>339039</v>
      </c>
      <c r="R845" s="32" t="str">
        <f t="array" ref="R845">INDEX('MTA 28-09'!L:L,MATCH(B845,'MTA 28-09'!A:A,0))</f>
        <v>A</v>
      </c>
      <c r="S845" s="72" t="str">
        <f t="array" ref="S845">INDEX('MTA 28-09'!X:X,MATCH(B845,'MTA 28-09'!A:A,0))</f>
        <v>SOB DEMANDA</v>
      </c>
      <c r="T845" s="72" t="str">
        <f t="array" ref="T845">INDEX('MTA 28-09'!W:W,MATCH(B845,'MTA 28-09'!A:A,0))</f>
        <v>SIM</v>
      </c>
      <c r="U845" s="81">
        <f t="array" ref="U845">INDEX('MTA 28-09'!AE:AE,MATCH(B845,'MTA 28-09'!A:A,0))</f>
        <v>46291</v>
      </c>
      <c r="V845" s="12"/>
      <c r="W845" s="12"/>
      <c r="X845" s="12"/>
      <c r="Y845" s="12"/>
      <c r="Z845" s="12"/>
      <c r="AA845" s="12"/>
      <c r="AB845" s="12"/>
      <c r="AC845" s="12"/>
      <c r="AD845" s="12"/>
      <c r="AE845" s="12"/>
      <c r="AF845" s="12"/>
      <c r="AG845" s="12"/>
      <c r="AH845" s="12"/>
      <c r="AI845" s="12"/>
      <c r="AJ845" s="12"/>
      <c r="AK845" s="12"/>
      <c r="AL845" s="12"/>
      <c r="AM845" s="12"/>
    </row>
    <row r="846">
      <c r="A846" s="88" t="s">
        <v>39</v>
      </c>
      <c r="B846" s="98">
        <v>24080.0</v>
      </c>
      <c r="C846" s="92" t="str">
        <f t="array" ref="C846">INDEX('MTA 28-09'!B:B,MATCH(B846,'MTA 28-09'!A:A,0))</f>
        <v>SIM</v>
      </c>
      <c r="D846" s="95" t="str">
        <f t="array" ref="D846">INDEX('MTA 28-09'!D:D,MATCH(B846,'MTA 28-09'!A:A,0))</f>
        <v/>
      </c>
      <c r="E846" s="98" t="str">
        <f t="array" ref="E846">INDEX('MTA 28-09'!F:F,MATCH(B846,'MTA 28-09'!A:A,0))</f>
        <v/>
      </c>
      <c r="F846" s="99" t="str">
        <f t="array" ref="F846">INDEX('MTA 28-09'!I:I,MATCH(B846,'MTA 28-09'!A:A,0))</f>
        <v/>
      </c>
      <c r="G846" s="100" t="str">
        <f t="array" ref="G846">INDEX('MTA 28-09'!J:J,MATCH(B846,'MTA 28-09'!A:A,0))</f>
        <v/>
      </c>
      <c r="H846" s="159" t="s">
        <v>157</v>
      </c>
      <c r="I846" s="296"/>
      <c r="J846" s="102"/>
      <c r="K846" s="103"/>
      <c r="L846" s="102" t="str">
        <f t="array" ref="L846">INDEX('MTA 28-09'!S:S,MATCH(B846,'MTA 28-09'!A:A,0))</f>
        <v>A-29</v>
      </c>
      <c r="M846" s="98" t="str">
        <f t="array" ref="M846">INDEX('MTA 28-09'!T:T,MATCH(B846,'MTA 28-09'!A:A,0))</f>
        <v>CNT 051/CELOG-PAMASP/2024 - STANDARD AERO - REVISÃO GERAL</v>
      </c>
      <c r="N846" s="98" t="str">
        <f t="array" ref="N846">INDEX('MTA 28-09'!U:U,MATCH(B846,'MTA 28-09'!A:A,0))</f>
        <v>Revisão Geral PT6A-68C 18/20</v>
      </c>
      <c r="O846" s="104">
        <f t="array" ref="O846">INDEX('MTA 28-09'!AC:AC,MATCH(B846,'MTA 28-09'!A:A,0))</f>
        <v>8000000</v>
      </c>
      <c r="P846" s="98" t="str">
        <f t="array" ref="P846">INDEX('MTA 28-09'!N:N,MATCH(B846,'MTA 28-09'!A:A,0))</f>
        <v>CABW</v>
      </c>
      <c r="Q846" s="105" t="str">
        <f t="array" ref="Q846">INDEX('MTA 28-09'!Z:Z,MATCH(B846,'MTA 28-09'!A:A,0))</f>
        <v>339039</v>
      </c>
      <c r="R846" s="98" t="str">
        <f t="array" ref="R846">INDEX('MTA 28-09'!L:L,MATCH(B846,'MTA 28-09'!A:A,0))</f>
        <v>C</v>
      </c>
      <c r="S846" s="107" t="str">
        <f t="array" ref="S846">INDEX('MTA 28-09'!X:X,MATCH(B846,'MTA 28-09'!A:A,0))</f>
        <v>SOB DEMANDA</v>
      </c>
      <c r="T846" s="107" t="str">
        <f t="array" ref="T846">INDEX('MTA 28-09'!W:W,MATCH(B846,'MTA 28-09'!A:A,0))</f>
        <v>SIM</v>
      </c>
      <c r="U846" s="109">
        <f t="array" ref="U846">INDEX('MTA 28-09'!AE:AE,MATCH(B846,'MTA 28-09'!A:A,0))</f>
        <v>46382</v>
      </c>
      <c r="V846" s="29"/>
      <c r="W846" s="29"/>
      <c r="X846" s="29"/>
      <c r="Y846" s="29"/>
      <c r="Z846" s="29"/>
      <c r="AA846" s="29"/>
      <c r="AB846" s="29"/>
      <c r="AC846" s="29"/>
      <c r="AD846" s="29"/>
      <c r="AE846" s="29"/>
      <c r="AF846" s="29"/>
      <c r="AG846" s="29"/>
      <c r="AH846" s="29"/>
      <c r="AI846" s="29"/>
      <c r="AJ846" s="29"/>
      <c r="AK846" s="29"/>
      <c r="AL846" s="29"/>
      <c r="AM846" s="29"/>
    </row>
    <row r="847">
      <c r="A847" s="31" t="s">
        <v>44</v>
      </c>
      <c r="B847" s="32">
        <v>24100.0</v>
      </c>
      <c r="C847" s="33" t="str">
        <f t="array" ref="C847">INDEX('MTA 28-09'!B:B,MATCH(B847,'MTA 28-09'!A:A,0))</f>
        <v>NÃO</v>
      </c>
      <c r="D847" s="34" t="str">
        <f t="array" ref="D847">INDEX('MTA 28-09'!D:D,MATCH(B847,'MTA 28-09'!A:A,0))</f>
        <v/>
      </c>
      <c r="E847" s="32" t="str">
        <f t="array" ref="E847">INDEX('MTA 28-09'!F:F,MATCH(B847,'MTA 28-09'!A:A,0))</f>
        <v/>
      </c>
      <c r="F847" s="35" t="str">
        <f t="array" ref="F847">INDEX('MTA 28-09'!I:I,MATCH(B847,'MTA 28-09'!A:A,0))</f>
        <v/>
      </c>
      <c r="G847" s="36" t="str">
        <f t="array" ref="G847">INDEX('MTA 28-09'!J:J,MATCH(B847,'MTA 28-09'!A:A,0))</f>
        <v/>
      </c>
      <c r="H847" s="287" t="s">
        <v>157</v>
      </c>
      <c r="I847" s="425"/>
      <c r="J847" s="39"/>
      <c r="K847" s="40"/>
      <c r="L847" s="39" t="str">
        <f t="array" ref="L847">INDEX('MTA 28-09'!S:S,MATCH(B847,'MTA 28-09'!A:A,0))</f>
        <v>C-97</v>
      </c>
      <c r="M847" s="32" t="str">
        <f t="array" ref="M847">INDEX('MTA 28-09'!T:T,MATCH(B847,'MTA 28-09'!A:A,0))</f>
        <v>Requisição FMS</v>
      </c>
      <c r="N847" s="32" t="str">
        <f t="array" ref="N847">INDEX('MTA 28-09'!U:U,MATCH(B847,'MTA 28-09'!A:A,0))</f>
        <v>Requisições Consumíveis 3/4</v>
      </c>
      <c r="O847" s="59">
        <f t="array" ref="O847">INDEX('MTA 28-09'!AC:AC,MATCH(B847,'MTA 28-09'!A:A,0))</f>
        <v>150000</v>
      </c>
      <c r="P847" s="32" t="str">
        <f t="array" ref="P847">INDEX('MTA 28-09'!N:N,MATCH(B847,'MTA 28-09'!A:A,0))</f>
        <v>FMS</v>
      </c>
      <c r="Q847" s="67" t="str">
        <f t="array" ref="Q847">INDEX('MTA 28-09'!Z:Z,MATCH(B847,'MTA 28-09'!A:A,0))</f>
        <v>339030</v>
      </c>
      <c r="R847" s="32" t="str">
        <f t="array" ref="R847">INDEX('MTA 28-09'!L:L,MATCH(B847,'MTA 28-09'!A:A,0))</f>
        <v>C</v>
      </c>
      <c r="S847" s="72" t="str">
        <f t="array" ref="S847">INDEX('MTA 28-09'!X:X,MATCH(B847,'MTA 28-09'!A:A,0))</f>
        <v>REQUISIÇÃO</v>
      </c>
      <c r="T847" s="72" t="str">
        <f t="array" ref="T847">INDEX('MTA 28-09'!W:W,MATCH(B847,'MTA 28-09'!A:A,0))</f>
        <v>Não</v>
      </c>
      <c r="U847" s="81">
        <f t="array" ref="U847">INDEX('MTA 28-09'!AE:AE,MATCH(B847,'MTA 28-09'!A:A,0))</f>
        <v>46291</v>
      </c>
      <c r="V847" s="12"/>
      <c r="W847" s="12"/>
      <c r="X847" s="12"/>
      <c r="Y847" s="12"/>
      <c r="Z847" s="12"/>
      <c r="AA847" s="12"/>
      <c r="AB847" s="12"/>
      <c r="AC847" s="12"/>
      <c r="AD847" s="12"/>
      <c r="AE847" s="12"/>
      <c r="AF847" s="12"/>
      <c r="AG847" s="12"/>
      <c r="AH847" s="12"/>
      <c r="AI847" s="12"/>
      <c r="AJ847" s="12"/>
      <c r="AK847" s="12"/>
      <c r="AL847" s="12"/>
      <c r="AM847" s="12"/>
    </row>
    <row r="848">
      <c r="A848" s="88" t="s">
        <v>44</v>
      </c>
      <c r="B848" s="98">
        <v>24120.0</v>
      </c>
      <c r="C848" s="92" t="str">
        <f t="array" ref="C848">INDEX('MTA 28-09'!B:B,MATCH(B848,'MTA 28-09'!A:A,0))</f>
        <v>NÃO</v>
      </c>
      <c r="D848" s="95" t="str">
        <f t="array" ref="D848">INDEX('MTA 28-09'!D:D,MATCH(B848,'MTA 28-09'!A:A,0))</f>
        <v/>
      </c>
      <c r="E848" s="98" t="str">
        <f t="array" ref="E848">INDEX('MTA 28-09'!F:F,MATCH(B848,'MTA 28-09'!A:A,0))</f>
        <v/>
      </c>
      <c r="F848" s="99" t="str">
        <f t="array" ref="F848">INDEX('MTA 28-09'!I:I,MATCH(B848,'MTA 28-09'!A:A,0))</f>
        <v/>
      </c>
      <c r="G848" s="100" t="str">
        <f t="array" ref="G848">INDEX('MTA 28-09'!J:J,MATCH(B848,'MTA 28-09'!A:A,0))</f>
        <v/>
      </c>
      <c r="H848" s="159" t="s">
        <v>157</v>
      </c>
      <c r="I848" s="296"/>
      <c r="J848" s="102"/>
      <c r="K848" s="103"/>
      <c r="L848" s="102" t="str">
        <f t="array" ref="L848">INDEX('MTA 28-09'!S:S,MATCH(B848,'MTA 28-09'!A:A,0))</f>
        <v>C-97</v>
      </c>
      <c r="M848" s="98" t="str">
        <f t="array" ref="M848">INDEX('MTA 28-09'!T:T,MATCH(B848,'MTA 28-09'!A:A,0))</f>
        <v>Requisição CABW</v>
      </c>
      <c r="N848" s="98" t="str">
        <f t="array" ref="N848">INDEX('MTA 28-09'!U:U,MATCH(B848,'MTA 28-09'!A:A,0))</f>
        <v>Requisições Consumíveis 3/4</v>
      </c>
      <c r="O848" s="104">
        <f t="array" ref="O848">INDEX('MTA 28-09'!AC:AC,MATCH(B848,'MTA 28-09'!A:A,0))</f>
        <v>100000</v>
      </c>
      <c r="P848" s="98" t="str">
        <f t="array" ref="P848">INDEX('MTA 28-09'!N:N,MATCH(B848,'MTA 28-09'!A:A,0))</f>
        <v>CABW</v>
      </c>
      <c r="Q848" s="105" t="str">
        <f t="array" ref="Q848">INDEX('MTA 28-09'!Z:Z,MATCH(B848,'MTA 28-09'!A:A,0))</f>
        <v>339030</v>
      </c>
      <c r="R848" s="98" t="str">
        <f t="array" ref="R848">INDEX('MTA 28-09'!L:L,MATCH(B848,'MTA 28-09'!A:A,0))</f>
        <v>C</v>
      </c>
      <c r="S848" s="107" t="str">
        <f t="array" ref="S848">INDEX('MTA 28-09'!X:X,MATCH(B848,'MTA 28-09'!A:A,0))</f>
        <v>REQUISIÇÃO</v>
      </c>
      <c r="T848" s="107" t="str">
        <f t="array" ref="T848">INDEX('MTA 28-09'!W:W,MATCH(B848,'MTA 28-09'!A:A,0))</f>
        <v>Não</v>
      </c>
      <c r="U848" s="109">
        <f t="array" ref="U848">INDEX('MTA 28-09'!AE:AE,MATCH(B848,'MTA 28-09'!A:A,0))</f>
        <v>46291</v>
      </c>
      <c r="V848" s="29"/>
      <c r="W848" s="29"/>
      <c r="X848" s="29"/>
      <c r="Y848" s="29"/>
      <c r="Z848" s="29"/>
      <c r="AA848" s="29"/>
      <c r="AB848" s="29"/>
      <c r="AC848" s="29"/>
      <c r="AD848" s="29"/>
      <c r="AE848" s="29"/>
      <c r="AF848" s="29"/>
      <c r="AG848" s="29"/>
      <c r="AH848" s="29"/>
      <c r="AI848" s="29"/>
      <c r="AJ848" s="29"/>
      <c r="AK848" s="29"/>
      <c r="AL848" s="29"/>
      <c r="AM848" s="29"/>
    </row>
    <row r="849">
      <c r="A849" s="31" t="s">
        <v>44</v>
      </c>
      <c r="B849" s="32">
        <v>24140.0</v>
      </c>
      <c r="C849" s="33" t="str">
        <f t="array" ref="C849">INDEX('MTA 28-09'!B:B,MATCH(B849,'MTA 28-09'!A:A,0))</f>
        <v>NÃO</v>
      </c>
      <c r="D849" s="34" t="str">
        <f t="array" ref="D849">INDEX('MTA 28-09'!D:D,MATCH(B849,'MTA 28-09'!A:A,0))</f>
        <v/>
      </c>
      <c r="E849" s="32" t="str">
        <f t="array" ref="E849">INDEX('MTA 28-09'!F:F,MATCH(B849,'MTA 28-09'!A:A,0))</f>
        <v/>
      </c>
      <c r="F849" s="35" t="str">
        <f t="array" ref="F849">INDEX('MTA 28-09'!I:I,MATCH(B849,'MTA 28-09'!A:A,0))</f>
        <v/>
      </c>
      <c r="G849" s="36" t="str">
        <f t="array" ref="G849">INDEX('MTA 28-09'!J:J,MATCH(B849,'MTA 28-09'!A:A,0))</f>
        <v/>
      </c>
      <c r="H849" s="287" t="s">
        <v>157</v>
      </c>
      <c r="I849" s="425"/>
      <c r="J849" s="39"/>
      <c r="K849" s="40"/>
      <c r="L849" s="39" t="str">
        <f t="array" ref="L849">INDEX('MTA 28-09'!S:S,MATCH(B849,'MTA 28-09'!A:A,0))</f>
        <v>C-97</v>
      </c>
      <c r="M849" s="32" t="str">
        <f t="array" ref="M849">INDEX('MTA 28-09'!T:T,MATCH(B849,'MTA 28-09'!A:A,0))</f>
        <v>Requisição CABW</v>
      </c>
      <c r="N849" s="32" t="str">
        <f t="array" ref="N849">INDEX('MTA 28-09'!U:U,MATCH(B849,'MTA 28-09'!A:A,0))</f>
        <v>Requisições Consumíveis 3/4 - Manutenção nos operadores</v>
      </c>
      <c r="O849" s="59">
        <f t="array" ref="O849">INDEX('MTA 28-09'!AC:AC,MATCH(B849,'MTA 28-09'!A:A,0))</f>
        <v>250000</v>
      </c>
      <c r="P849" s="32" t="str">
        <f t="array" ref="P849">INDEX('MTA 28-09'!N:N,MATCH(B849,'MTA 28-09'!A:A,0))</f>
        <v>CABW</v>
      </c>
      <c r="Q849" s="67" t="str">
        <f t="array" ref="Q849">INDEX('MTA 28-09'!Z:Z,MATCH(B849,'MTA 28-09'!A:A,0))</f>
        <v>339030</v>
      </c>
      <c r="R849" s="32" t="str">
        <f t="array" ref="R849">INDEX('MTA 28-09'!L:L,MATCH(B849,'MTA 28-09'!A:A,0))</f>
        <v>C</v>
      </c>
      <c r="S849" s="72" t="str">
        <f t="array" ref="S849">INDEX('MTA 28-09'!X:X,MATCH(B849,'MTA 28-09'!A:A,0))</f>
        <v>REQUISIÇÃO</v>
      </c>
      <c r="T849" s="72" t="str">
        <f t="array" ref="T849">INDEX('MTA 28-09'!W:W,MATCH(B849,'MTA 28-09'!A:A,0))</f>
        <v>Não</v>
      </c>
      <c r="U849" s="81">
        <f t="array" ref="U849">INDEX('MTA 28-09'!AE:AE,MATCH(B849,'MTA 28-09'!A:A,0))</f>
        <v>46291</v>
      </c>
      <c r="V849" s="12"/>
      <c r="W849" s="12"/>
      <c r="X849" s="12"/>
      <c r="Y849" s="12"/>
      <c r="Z849" s="12"/>
      <c r="AA849" s="12"/>
      <c r="AB849" s="12"/>
      <c r="AC849" s="12"/>
      <c r="AD849" s="12"/>
      <c r="AE849" s="12"/>
      <c r="AF849" s="12"/>
      <c r="AG849" s="12"/>
      <c r="AH849" s="12"/>
      <c r="AI849" s="12"/>
      <c r="AJ849" s="12"/>
      <c r="AK849" s="12"/>
      <c r="AL849" s="12"/>
      <c r="AM849" s="12"/>
    </row>
    <row r="850">
      <c r="A850" s="88" t="s">
        <v>44</v>
      </c>
      <c r="B850" s="98">
        <v>24160.0</v>
      </c>
      <c r="C850" s="92" t="str">
        <f t="array" ref="C850">INDEX('MTA 28-09'!B:B,MATCH(B850,'MTA 28-09'!A:A,0))</f>
        <v>NÃO</v>
      </c>
      <c r="D850" s="95" t="str">
        <f t="array" ref="D850">INDEX('MTA 28-09'!D:D,MATCH(B850,'MTA 28-09'!A:A,0))</f>
        <v/>
      </c>
      <c r="E850" s="98" t="str">
        <f t="array" ref="E850">INDEX('MTA 28-09'!F:F,MATCH(B850,'MTA 28-09'!A:A,0))</f>
        <v/>
      </c>
      <c r="F850" s="98" t="str">
        <f t="array" ref="F850">INDEX('MTA 28-09'!I:I,MATCH(B850,'MTA 28-09'!A:A,0))</f>
        <v/>
      </c>
      <c r="G850" s="100" t="str">
        <f t="array" ref="G850">INDEX('MTA 28-09'!J:J,MATCH(B850,'MTA 28-09'!A:A,0))</f>
        <v/>
      </c>
      <c r="H850" s="159" t="s">
        <v>157</v>
      </c>
      <c r="I850" s="296"/>
      <c r="J850" s="102"/>
      <c r="K850" s="103"/>
      <c r="L850" s="102" t="str">
        <f t="array" ref="L850">INDEX('MTA 28-09'!S:S,MATCH(B850,'MTA 28-09'!A:A,0))</f>
        <v>C-97</v>
      </c>
      <c r="M850" s="98" t="str">
        <f t="array" ref="M850">INDEX('MTA 28-09'!T:T,MATCH(B850,'MTA 28-09'!A:A,0))</f>
        <v>Requisição CABW</v>
      </c>
      <c r="N850" s="98" t="str">
        <f t="array" ref="N850">INDEX('MTA 28-09'!U:U,MATCH(B850,'MTA 28-09'!A:A,0))</f>
        <v>Aquisição de EAS</v>
      </c>
      <c r="O850" s="104">
        <f t="array" ref="O850">INDEX('MTA 28-09'!AC:AC,MATCH(B850,'MTA 28-09'!A:A,0))</f>
        <v>1000000</v>
      </c>
      <c r="P850" s="98" t="str">
        <f t="array" ref="P850">INDEX('MTA 28-09'!N:N,MATCH(B850,'MTA 28-09'!A:A,0))</f>
        <v>CABW</v>
      </c>
      <c r="Q850" s="105" t="str">
        <f t="array" ref="Q850">INDEX('MTA 28-09'!Z:Z,MATCH(B850,'MTA 28-09'!A:A,0))</f>
        <v>449052</v>
      </c>
      <c r="R850" s="98" t="str">
        <f t="array" ref="R850">INDEX('MTA 28-09'!L:L,MATCH(B850,'MTA 28-09'!A:A,0))</f>
        <v>C</v>
      </c>
      <c r="S850" s="107" t="str">
        <f t="array" ref="S850">INDEX('MTA 28-09'!X:X,MATCH(B850,'MTA 28-09'!A:A,0))</f>
        <v>REQUISIÇÃO</v>
      </c>
      <c r="T850" s="107" t="str">
        <f t="array" ref="T850">INDEX('MTA 28-09'!W:W,MATCH(B850,'MTA 28-09'!A:A,0))</f>
        <v>Não</v>
      </c>
      <c r="U850" s="109">
        <f t="array" ref="U850">INDEX('MTA 28-09'!AE:AE,MATCH(B850,'MTA 28-09'!A:A,0))</f>
        <v>46291</v>
      </c>
      <c r="V850" s="29"/>
      <c r="W850" s="29"/>
      <c r="X850" s="29"/>
      <c r="Y850" s="29"/>
      <c r="Z850" s="29"/>
      <c r="AA850" s="29"/>
      <c r="AB850" s="29"/>
      <c r="AC850" s="29"/>
      <c r="AD850" s="29"/>
      <c r="AE850" s="29"/>
      <c r="AF850" s="29"/>
      <c r="AG850" s="29"/>
      <c r="AH850" s="29"/>
      <c r="AI850" s="29"/>
      <c r="AJ850" s="29"/>
      <c r="AK850" s="29"/>
      <c r="AL850" s="29"/>
      <c r="AM850" s="29"/>
    </row>
    <row r="851">
      <c r="A851" s="31" t="s">
        <v>45</v>
      </c>
      <c r="B851" s="32">
        <v>24180.0</v>
      </c>
      <c r="C851" s="33" t="str">
        <f t="array" ref="C851">INDEX('MTA 28-09'!B:B,MATCH(B851,'MTA 28-09'!A:A,0))</f>
        <v>SIM</v>
      </c>
      <c r="D851" s="34">
        <f t="array" ref="D851">INDEX('MTA 28-09'!D:D,MATCH(B851,'MTA 28-09'!A:A,0))</f>
        <v>2048</v>
      </c>
      <c r="E851" s="32" t="str">
        <f t="array" ref="E851">INDEX('MTA 28-09'!F:F,MATCH(B851,'MTA 28-09'!A:A,0))</f>
        <v/>
      </c>
      <c r="F851" s="35" t="str">
        <f t="array" ref="F851">INDEX('MTA 28-09'!I:I,MATCH(B851,'MTA 28-09'!A:A,0))</f>
        <v/>
      </c>
      <c r="G851" s="36" t="str">
        <f t="array" ref="G851">INDEX('MTA 28-09'!J:J,MATCH(B851,'MTA 28-09'!A:A,0))</f>
        <v/>
      </c>
      <c r="H851" s="287">
        <v>46276.0</v>
      </c>
      <c r="I851" s="38" t="s">
        <v>293</v>
      </c>
      <c r="J851" s="39"/>
      <c r="K851" s="40"/>
      <c r="L851" s="39" t="str">
        <f t="array" ref="L851">INDEX('MTA 28-09'!S:S,MATCH(B851,'MTA 28-09'!A:A,0))</f>
        <v>C-98</v>
      </c>
      <c r="M851" s="32" t="str">
        <f t="array" ref="M851">INDEX('MTA 28-09'!T:T,MATCH(B851,'MTA 28-09'!A:A,0))</f>
        <v>Requisição FMS</v>
      </c>
      <c r="N851" s="32" t="str">
        <f t="array" ref="N851">INDEX('MTA 28-09'!U:U,MATCH(B851,'MTA 28-09'!A:A,0))</f>
        <v>Requisições Consumíveis 3/4</v>
      </c>
      <c r="O851" s="59">
        <f t="array" ref="O851">INDEX('MTA 28-09'!AC:AC,MATCH(B851,'MTA 28-09'!A:A,0))</f>
        <v>100000</v>
      </c>
      <c r="P851" s="32" t="str">
        <f t="array" ref="P851">INDEX('MTA 28-09'!N:N,MATCH(B851,'MTA 28-09'!A:A,0))</f>
        <v>FMS</v>
      </c>
      <c r="Q851" s="67" t="str">
        <f t="array" ref="Q851">INDEX('MTA 28-09'!Z:Z,MATCH(B851,'MTA 28-09'!A:A,0))</f>
        <v>339030</v>
      </c>
      <c r="R851" s="32" t="str">
        <f t="array" ref="R851">INDEX('MTA 28-09'!L:L,MATCH(B851,'MTA 28-09'!A:A,0))</f>
        <v>A</v>
      </c>
      <c r="S851" s="72" t="str">
        <f t="array" ref="S851">INDEX('MTA 28-09'!X:X,MATCH(B851,'MTA 28-09'!A:A,0))</f>
        <v>REQUISIÇÃO</v>
      </c>
      <c r="T851" s="72" t="str">
        <f t="array" ref="T851">INDEX('MTA 28-09'!W:W,MATCH(B851,'MTA 28-09'!A:A,0))</f>
        <v>Não</v>
      </c>
      <c r="U851" s="81">
        <f t="array" ref="U851">INDEX('MTA 28-09'!AE:AE,MATCH(B851,'MTA 28-09'!A:A,0))</f>
        <v>46291</v>
      </c>
      <c r="V851" s="12"/>
      <c r="W851" s="12"/>
      <c r="X851" s="12"/>
      <c r="Y851" s="12"/>
      <c r="Z851" s="12"/>
      <c r="AA851" s="12"/>
      <c r="AB851" s="12"/>
      <c r="AC851" s="12"/>
      <c r="AD851" s="12"/>
      <c r="AE851" s="12"/>
      <c r="AF851" s="12"/>
      <c r="AG851" s="12"/>
      <c r="AH851" s="12"/>
      <c r="AI851" s="12"/>
      <c r="AJ851" s="12"/>
      <c r="AK851" s="12"/>
      <c r="AL851" s="12"/>
      <c r="AM851" s="12"/>
    </row>
    <row r="852">
      <c r="A852" s="88" t="s">
        <v>49</v>
      </c>
      <c r="B852" s="98">
        <v>24200.0</v>
      </c>
      <c r="C852" s="92" t="str">
        <f t="array" ref="C852">INDEX('MTA 28-09'!B:B,MATCH(B852,'MTA 28-09'!A:A,0))</f>
        <v>NÃO</v>
      </c>
      <c r="D852" s="95" t="str">
        <f t="array" ref="D852">INDEX('MTA 28-09'!D:D,MATCH(B852,'MTA 28-09'!A:A,0))</f>
        <v/>
      </c>
      <c r="E852" s="98" t="str">
        <f t="array" ref="E852">INDEX('MTA 28-09'!F:F,MATCH(B852,'MTA 28-09'!A:A,0))</f>
        <v/>
      </c>
      <c r="F852" s="99" t="str">
        <f t="array" ref="F852">INDEX('MTA 28-09'!I:I,MATCH(B852,'MTA 28-09'!A:A,0))</f>
        <v/>
      </c>
      <c r="G852" s="100" t="str">
        <f t="array" ref="G852">INDEX('MTA 28-09'!J:J,MATCH(B852,'MTA 28-09'!A:A,0))</f>
        <v/>
      </c>
      <c r="H852" s="159" t="s">
        <v>157</v>
      </c>
      <c r="I852" s="296"/>
      <c r="J852" s="102"/>
      <c r="K852" s="103"/>
      <c r="L852" s="102" t="str">
        <f t="array" ref="L852">INDEX('MTA 28-09'!S:S,MATCH(B852,'MTA 28-09'!A:A,0))</f>
        <v>IU-93M</v>
      </c>
      <c r="M852" s="98" t="str">
        <f t="array" ref="M852">INDEX('MTA 28-09'!T:T,MATCH(B852,'MTA 28-09'!A:A,0))</f>
        <v>Requisição FMS</v>
      </c>
      <c r="N852" s="98" t="str">
        <f t="array" ref="N852">INDEX('MTA 28-09'!U:U,MATCH(B852,'MTA 28-09'!A:A,0))</f>
        <v>Requisições Consumíveis 3/4</v>
      </c>
      <c r="O852" s="104">
        <f t="array" ref="O852">INDEX('MTA 28-09'!AC:AC,MATCH(B852,'MTA 28-09'!A:A,0))</f>
        <v>30000</v>
      </c>
      <c r="P852" s="98" t="str">
        <f t="array" ref="P852">INDEX('MTA 28-09'!N:N,MATCH(B852,'MTA 28-09'!A:A,0))</f>
        <v>FMS</v>
      </c>
      <c r="Q852" s="105" t="str">
        <f t="array" ref="Q852">INDEX('MTA 28-09'!Z:Z,MATCH(B852,'MTA 28-09'!A:A,0))</f>
        <v>339030</v>
      </c>
      <c r="R852" s="98" t="str">
        <f t="array" ref="R852">INDEX('MTA 28-09'!L:L,MATCH(B852,'MTA 28-09'!A:A,0))</f>
        <v>C</v>
      </c>
      <c r="S852" s="107" t="str">
        <f t="array" ref="S852">INDEX('MTA 28-09'!X:X,MATCH(B852,'MTA 28-09'!A:A,0))</f>
        <v>REQUISIÇÃO</v>
      </c>
      <c r="T852" s="107" t="str">
        <f t="array" ref="T852">INDEX('MTA 28-09'!W:W,MATCH(B852,'MTA 28-09'!A:A,0))</f>
        <v>Não</v>
      </c>
      <c r="U852" s="109">
        <f t="array" ref="U852">INDEX('MTA 28-09'!AE:AE,MATCH(B852,'MTA 28-09'!A:A,0))</f>
        <v>46291</v>
      </c>
      <c r="V852" s="29"/>
      <c r="W852" s="29"/>
      <c r="X852" s="29"/>
      <c r="Y852" s="29"/>
      <c r="Z852" s="29"/>
      <c r="AA852" s="29"/>
      <c r="AB852" s="29"/>
      <c r="AC852" s="29"/>
      <c r="AD852" s="29"/>
      <c r="AE852" s="29"/>
      <c r="AF852" s="29"/>
      <c r="AG852" s="29"/>
      <c r="AH852" s="29"/>
      <c r="AI852" s="29"/>
      <c r="AJ852" s="29"/>
      <c r="AK852" s="29"/>
      <c r="AL852" s="29"/>
      <c r="AM852" s="29"/>
    </row>
    <row r="853">
      <c r="A853" s="31" t="s">
        <v>97</v>
      </c>
      <c r="B853" s="32">
        <v>24220.0</v>
      </c>
      <c r="C853" s="33" t="str">
        <f t="array" ref="C853">INDEX('MTA 28-09'!B:B,MATCH(B853,'MTA 28-09'!A:A,0))</f>
        <v>NÃO</v>
      </c>
      <c r="D853" s="34" t="str">
        <f t="array" ref="D853">INDEX('MTA 28-09'!D:D,MATCH(B853,'MTA 28-09'!A:A,0))</f>
        <v/>
      </c>
      <c r="E853" s="32" t="str">
        <f t="array" ref="E853">INDEX('MTA 28-09'!F:F,MATCH(B853,'MTA 28-09'!A:A,0))</f>
        <v/>
      </c>
      <c r="F853" s="35" t="str">
        <f t="array" ref="F853">INDEX('MTA 28-09'!I:I,MATCH(B853,'MTA 28-09'!A:A,0))</f>
        <v/>
      </c>
      <c r="G853" s="36" t="str">
        <f t="array" ref="G853">INDEX('MTA 28-09'!J:J,MATCH(B853,'MTA 28-09'!A:A,0))</f>
        <v/>
      </c>
      <c r="H853" s="287" t="s">
        <v>157</v>
      </c>
      <c r="I853" s="295"/>
      <c r="J853" s="39"/>
      <c r="K853" s="40"/>
      <c r="L853" s="39" t="str">
        <f t="array" ref="L853">INDEX('MTA 28-09'!S:S,MATCH(B853,'MTA 28-09'!A:A,0))</f>
        <v>APOIO</v>
      </c>
      <c r="M853" s="32" t="str">
        <f t="array" ref="M853">INDEX('MTA 28-09'!T:T,MATCH(B853,'MTA 28-09'!A:A,0))</f>
        <v>Requisição CABW</v>
      </c>
      <c r="N853" s="32" t="str">
        <f t="array" ref="N853">INDEX('MTA 28-09'!U:U,MATCH(B853,'MTA 28-09'!A:A,0))</f>
        <v>MATERIAL NECESSÁRIO PARA MONTAGEM DE AERONAVE ESTOCADA</v>
      </c>
      <c r="O853" s="59">
        <f t="array" ref="O853">INDEX('MTA 28-09'!AC:AC,MATCH(B853,'MTA 28-09'!A:A,0))</f>
        <v>56160</v>
      </c>
      <c r="P853" s="32" t="str">
        <f t="array" ref="P853">INDEX('MTA 28-09'!N:N,MATCH(B853,'MTA 28-09'!A:A,0))</f>
        <v>CABW</v>
      </c>
      <c r="Q853" s="67" t="str">
        <f t="array" ref="Q853">INDEX('MTA 28-09'!Z:Z,MATCH(B853,'MTA 28-09'!A:A,0))</f>
        <v>339030</v>
      </c>
      <c r="R853" s="32" t="str">
        <f t="array" ref="R853">INDEX('MTA 28-09'!L:L,MATCH(B853,'MTA 28-09'!A:A,0))</f>
        <v>C</v>
      </c>
      <c r="S853" s="72" t="str">
        <f t="array" ref="S853">INDEX('MTA 28-09'!X:X,MATCH(B853,'MTA 28-09'!A:A,0))</f>
        <v>REQUISIÇÃO</v>
      </c>
      <c r="T853" s="72" t="str">
        <f t="array" ref="T853">INDEX('MTA 28-09'!W:W,MATCH(B853,'MTA 28-09'!A:A,0))</f>
        <v>NÃO</v>
      </c>
      <c r="U853" s="81">
        <f t="array" ref="U853">INDEX('MTA 28-09'!AE:AE,MATCH(B853,'MTA 28-09'!A:A,0))</f>
        <v>46291</v>
      </c>
      <c r="V853" s="12"/>
      <c r="W853" s="12"/>
      <c r="X853" s="12"/>
      <c r="Y853" s="12"/>
      <c r="Z853" s="12"/>
      <c r="AA853" s="12"/>
      <c r="AB853" s="12"/>
      <c r="AC853" s="12"/>
      <c r="AD853" s="12"/>
      <c r="AE853" s="12"/>
      <c r="AF853" s="12"/>
      <c r="AG853" s="12"/>
      <c r="AH853" s="12"/>
      <c r="AI853" s="12"/>
      <c r="AJ853" s="12"/>
      <c r="AK853" s="12"/>
      <c r="AL853" s="12"/>
      <c r="AM853" s="12"/>
    </row>
    <row r="854">
      <c r="A854" s="88" t="s">
        <v>43</v>
      </c>
      <c r="B854" s="98">
        <v>24240.0</v>
      </c>
      <c r="C854" s="92" t="str">
        <f t="array" ref="C854">INDEX('MTA 28-09'!B:B,MATCH(B854,'MTA 28-09'!A:A,0))</f>
        <v>NÃO</v>
      </c>
      <c r="D854" s="95" t="str">
        <f t="array" ref="D854">INDEX('MTA 28-09'!D:D,MATCH(B854,'MTA 28-09'!A:A,0))</f>
        <v/>
      </c>
      <c r="E854" s="98" t="str">
        <f t="array" ref="E854">INDEX('MTA 28-09'!F:F,MATCH(B854,'MTA 28-09'!A:A,0))</f>
        <v>CANCELADO</v>
      </c>
      <c r="F854" s="99" t="str">
        <f t="array" ref="F854">INDEX('MTA 28-09'!I:I,MATCH(B854,'MTA 28-09'!A:A,0))</f>
        <v/>
      </c>
      <c r="G854" s="100" t="str">
        <f t="array" ref="G854">INDEX('MTA 28-09'!J:J,MATCH(B854,'MTA 28-09'!A:A,0))</f>
        <v/>
      </c>
      <c r="H854" s="159" t="s">
        <v>157</v>
      </c>
      <c r="I854" s="296"/>
      <c r="J854" s="102"/>
      <c r="K854" s="103"/>
      <c r="L854" s="102" t="str">
        <f t="array" ref="L854">INDEX('MTA 28-09'!S:S,MATCH(B854,'MTA 28-09'!A:A,0))</f>
        <v>C-95M</v>
      </c>
      <c r="M854" s="98" t="str">
        <f t="array" ref="M854">INDEX('MTA 28-09'!T:T,MATCH(B854,'MTA 28-09'!A:A,0))</f>
        <v>CNT 006/CELOG-PAMASP/2026 - PW - RG</v>
      </c>
      <c r="N854" s="98" t="str">
        <f t="array" ref="N854">INDEX('MTA 28-09'!U:U,MATCH(B854,'MTA 28-09'!A:A,0))</f>
        <v>Revisão Geral PT6A-34 (6/12)</v>
      </c>
      <c r="O854" s="104" t="str">
        <f t="array" ref="O854">INDEX('MTA 28-09'!AC:AC,MATCH(B854,'MTA 28-09'!A:A,0))</f>
        <v> -</v>
      </c>
      <c r="P854" s="98" t="str">
        <f t="array" ref="P854">INDEX('MTA 28-09'!N:N,MATCH(B854,'MTA 28-09'!A:A,0))</f>
        <v>CELOG</v>
      </c>
      <c r="Q854" s="105" t="str">
        <f t="array" ref="Q854">INDEX('MTA 28-09'!Z:Z,MATCH(B854,'MTA 28-09'!A:A,0))</f>
        <v>339039</v>
      </c>
      <c r="R854" s="98" t="str">
        <f t="array" ref="R854">INDEX('MTA 28-09'!L:L,MATCH(B854,'MTA 28-09'!A:A,0))</f>
        <v>C</v>
      </c>
      <c r="S854" s="107" t="str">
        <f t="array" ref="S854">INDEX('MTA 28-09'!X:X,MATCH(B854,'MTA 28-09'!A:A,0))</f>
        <v>SOB DEMANDA</v>
      </c>
      <c r="T854" s="107" t="str">
        <f t="array" ref="T854">INDEX('MTA 28-09'!W:W,MATCH(B854,'MTA 28-09'!A:A,0))</f>
        <v>SIM</v>
      </c>
      <c r="U854" s="109">
        <f t="array" ref="U854">INDEX('MTA 28-09'!AE:AE,MATCH(B854,'MTA 28-09'!A:A,0))</f>
        <v>46321</v>
      </c>
      <c r="V854" s="29"/>
      <c r="W854" s="29"/>
      <c r="X854" s="29"/>
      <c r="Y854" s="29"/>
      <c r="Z854" s="29"/>
      <c r="AA854" s="29"/>
      <c r="AB854" s="29"/>
      <c r="AC854" s="29"/>
      <c r="AD854" s="29"/>
      <c r="AE854" s="29"/>
      <c r="AF854" s="29"/>
      <c r="AG854" s="29"/>
      <c r="AH854" s="29"/>
      <c r="AI854" s="29"/>
      <c r="AJ854" s="29"/>
      <c r="AK854" s="29"/>
      <c r="AL854" s="29"/>
      <c r="AM854" s="29"/>
    </row>
    <row r="855">
      <c r="A855" s="31" t="s">
        <v>43</v>
      </c>
      <c r="B855" s="32">
        <v>24260.0</v>
      </c>
      <c r="C855" s="33" t="str">
        <f t="array" ref="C855">INDEX('MTA 28-09'!B:B,MATCH(B855,'MTA 28-09'!A:A,0))</f>
        <v>NÃO</v>
      </c>
      <c r="D855" s="34" t="str">
        <f t="array" ref="D855">INDEX('MTA 28-09'!D:D,MATCH(B855,'MTA 28-09'!A:A,0))</f>
        <v/>
      </c>
      <c r="E855" s="32" t="str">
        <f t="array" ref="E855">INDEX('MTA 28-09'!F:F,MATCH(B855,'MTA 28-09'!A:A,0))</f>
        <v/>
      </c>
      <c r="F855" s="35" t="str">
        <f t="array" ref="F855">INDEX('MTA 28-09'!I:I,MATCH(B855,'MTA 28-09'!A:A,0))</f>
        <v/>
      </c>
      <c r="G855" s="36" t="str">
        <f t="array" ref="G855">INDEX('MTA 28-09'!J:J,MATCH(B855,'MTA 28-09'!A:A,0))</f>
        <v/>
      </c>
      <c r="H855" s="287" t="s">
        <v>157</v>
      </c>
      <c r="I855" s="295"/>
      <c r="J855" s="39"/>
      <c r="K855" s="40"/>
      <c r="L855" s="39" t="str">
        <f t="array" ref="L855">INDEX('MTA 28-09'!S:S,MATCH(B855,'MTA 28-09'!A:A,0))</f>
        <v>C-95M</v>
      </c>
      <c r="M855" s="32" t="str">
        <f t="array" ref="M855">INDEX('MTA 28-09'!T:T,MATCH(B855,'MTA 28-09'!A:A,0))</f>
        <v>CNT 006/CELOG-PAMASP/2026 - PW - RG</v>
      </c>
      <c r="N855" s="32" t="str">
        <f t="array" ref="N855">INDEX('MTA 28-09'!U:U,MATCH(B855,'MTA 28-09'!A:A,0))</f>
        <v>Revisão Geral PT6A-34 (7/12)</v>
      </c>
      <c r="O855" s="59">
        <f t="array" ref="O855">INDEX('MTA 28-09'!AC:AC,MATCH(B855,'MTA 28-09'!A:A,0))</f>
        <v>3800000</v>
      </c>
      <c r="P855" s="32" t="str">
        <f t="array" ref="P855">INDEX('MTA 28-09'!N:N,MATCH(B855,'MTA 28-09'!A:A,0))</f>
        <v>CELOG</v>
      </c>
      <c r="Q855" s="67" t="str">
        <f t="array" ref="Q855">INDEX('MTA 28-09'!Z:Z,MATCH(B855,'MTA 28-09'!A:A,0))</f>
        <v>339039</v>
      </c>
      <c r="R855" s="32" t="str">
        <f t="array" ref="R855">INDEX('MTA 28-09'!L:L,MATCH(B855,'MTA 28-09'!A:A,0))</f>
        <v>C</v>
      </c>
      <c r="S855" s="72" t="str">
        <f t="array" ref="S855">INDEX('MTA 28-09'!X:X,MATCH(B855,'MTA 28-09'!A:A,0))</f>
        <v>SOB DEMANDA</v>
      </c>
      <c r="T855" s="72" t="str">
        <f t="array" ref="T855">INDEX('MTA 28-09'!W:W,MATCH(B855,'MTA 28-09'!A:A,0))</f>
        <v>SIM</v>
      </c>
      <c r="U855" s="81">
        <f t="array" ref="U855">INDEX('MTA 28-09'!AE:AE,MATCH(B855,'MTA 28-09'!A:A,0))</f>
        <v>46080</v>
      </c>
      <c r="V855" s="12"/>
      <c r="W855" s="12"/>
      <c r="X855" s="12"/>
      <c r="Y855" s="12"/>
      <c r="Z855" s="12"/>
      <c r="AA855" s="12"/>
      <c r="AB855" s="12"/>
      <c r="AC855" s="12"/>
      <c r="AD855" s="12"/>
      <c r="AE855" s="12"/>
      <c r="AF855" s="12"/>
      <c r="AG855" s="12"/>
      <c r="AH855" s="12"/>
      <c r="AI855" s="12"/>
      <c r="AJ855" s="12"/>
      <c r="AK855" s="12"/>
      <c r="AL855" s="12"/>
      <c r="AM855" s="12"/>
    </row>
    <row r="856">
      <c r="A856" s="88" t="s">
        <v>43</v>
      </c>
      <c r="B856" s="98">
        <v>24280.0</v>
      </c>
      <c r="C856" s="92" t="str">
        <f t="array" ref="C856">INDEX('MTA 28-09'!B:B,MATCH(B856,'MTA 28-09'!A:A,0))</f>
        <v>NÃO</v>
      </c>
      <c r="D856" s="95" t="str">
        <f t="array" ref="D856">INDEX('MTA 28-09'!D:D,MATCH(B856,'MTA 28-09'!A:A,0))</f>
        <v/>
      </c>
      <c r="E856" s="98" t="str">
        <f t="array" ref="E856">INDEX('MTA 28-09'!F:F,MATCH(B856,'MTA 28-09'!A:A,0))</f>
        <v/>
      </c>
      <c r="F856" s="99" t="str">
        <f t="array" ref="F856">INDEX('MTA 28-09'!I:I,MATCH(B856,'MTA 28-09'!A:A,0))</f>
        <v/>
      </c>
      <c r="G856" s="100" t="str">
        <f t="array" ref="G856">INDEX('MTA 28-09'!J:J,MATCH(B856,'MTA 28-09'!A:A,0))</f>
        <v/>
      </c>
      <c r="H856" s="159" t="s">
        <v>157</v>
      </c>
      <c r="I856" s="296"/>
      <c r="J856" s="102"/>
      <c r="K856" s="103"/>
      <c r="L856" s="102" t="str">
        <f t="array" ref="L856">INDEX('MTA 28-09'!S:S,MATCH(B856,'MTA 28-09'!A:A,0))</f>
        <v>C-95M</v>
      </c>
      <c r="M856" s="98" t="str">
        <f t="array" ref="M856">INDEX('MTA 28-09'!T:T,MATCH(B856,'MTA 28-09'!A:A,0))</f>
        <v>CNT 006/CELOG-PAMASP/2026 - PW - RG</v>
      </c>
      <c r="N856" s="98" t="str">
        <f t="array" ref="N856">INDEX('MTA 28-09'!U:U,MATCH(B856,'MTA 28-09'!A:A,0))</f>
        <v>Revisão Geral PT6A-34 (8/12)</v>
      </c>
      <c r="O856" s="104">
        <f t="array" ref="O856">INDEX('MTA 28-09'!AC:AC,MATCH(B856,'MTA 28-09'!A:A,0))</f>
        <v>3800000</v>
      </c>
      <c r="P856" s="98" t="str">
        <f t="array" ref="P856">INDEX('MTA 28-09'!N:N,MATCH(B856,'MTA 28-09'!A:A,0))</f>
        <v>CELOG</v>
      </c>
      <c r="Q856" s="105" t="str">
        <f t="array" ref="Q856">INDEX('MTA 28-09'!Z:Z,MATCH(B856,'MTA 28-09'!A:A,0))</f>
        <v>339039</v>
      </c>
      <c r="R856" s="98" t="str">
        <f t="array" ref="R856">INDEX('MTA 28-09'!L:L,MATCH(B856,'MTA 28-09'!A:A,0))</f>
        <v>C</v>
      </c>
      <c r="S856" s="107" t="str">
        <f t="array" ref="S856">INDEX('MTA 28-09'!X:X,MATCH(B856,'MTA 28-09'!A:A,0))</f>
        <v>SOB DEMANDA</v>
      </c>
      <c r="T856" s="107" t="str">
        <f t="array" ref="T856">INDEX('MTA 28-09'!W:W,MATCH(B856,'MTA 28-09'!A:A,0))</f>
        <v>SIM</v>
      </c>
      <c r="U856" s="109">
        <f t="array" ref="U856">INDEX('MTA 28-09'!AE:AE,MATCH(B856,'MTA 28-09'!A:A,0))</f>
        <v>46080</v>
      </c>
      <c r="V856" s="29"/>
      <c r="W856" s="29"/>
      <c r="X856" s="29"/>
      <c r="Y856" s="29"/>
      <c r="Z856" s="29"/>
      <c r="AA856" s="29"/>
      <c r="AB856" s="29"/>
      <c r="AC856" s="29"/>
      <c r="AD856" s="29"/>
      <c r="AE856" s="29"/>
      <c r="AF856" s="29"/>
      <c r="AG856" s="29"/>
      <c r="AH856" s="29"/>
      <c r="AI856" s="29"/>
      <c r="AJ856" s="29"/>
      <c r="AK856" s="29"/>
      <c r="AL856" s="29"/>
      <c r="AM856" s="29"/>
    </row>
    <row r="857">
      <c r="A857" s="31" t="s">
        <v>43</v>
      </c>
      <c r="B857" s="32">
        <v>24300.0</v>
      </c>
      <c r="C857" s="33" t="str">
        <f t="array" ref="C857">INDEX('MTA 28-09'!B:B,MATCH(B857,'MTA 28-09'!A:A,0))</f>
        <v>NÃO</v>
      </c>
      <c r="D857" s="34" t="str">
        <f t="array" ref="D857">INDEX('MTA 28-09'!D:D,MATCH(B857,'MTA 28-09'!A:A,0))</f>
        <v/>
      </c>
      <c r="E857" s="32" t="str">
        <f t="array" ref="E857">INDEX('MTA 28-09'!F:F,MATCH(B857,'MTA 28-09'!A:A,0))</f>
        <v/>
      </c>
      <c r="F857" s="35" t="str">
        <f t="array" ref="F857">INDEX('MTA 28-09'!I:I,MATCH(B857,'MTA 28-09'!A:A,0))</f>
        <v/>
      </c>
      <c r="G857" s="36" t="str">
        <f t="array" ref="G857">INDEX('MTA 28-09'!J:J,MATCH(B857,'MTA 28-09'!A:A,0))</f>
        <v/>
      </c>
      <c r="H857" s="287" t="s">
        <v>157</v>
      </c>
      <c r="I857" s="425"/>
      <c r="J857" s="39"/>
      <c r="K857" s="40"/>
      <c r="L857" s="39" t="str">
        <f t="array" ref="L857">INDEX('MTA 28-09'!S:S,MATCH(B857,'MTA 28-09'!A:A,0))</f>
        <v>C-95M</v>
      </c>
      <c r="M857" s="32" t="str">
        <f t="array" ref="M857">INDEX('MTA 28-09'!T:T,MATCH(B857,'MTA 28-09'!A:A,0))</f>
        <v>CNT 006/CELOG-PAMASP/2026 - PW - RG</v>
      </c>
      <c r="N857" s="32" t="str">
        <f t="array" ref="N857">INDEX('MTA 28-09'!U:U,MATCH(B857,'MTA 28-09'!A:A,0))</f>
        <v>Revisão Geral PT6A-34 (9/12)</v>
      </c>
      <c r="O857" s="59">
        <f t="array" ref="O857">INDEX('MTA 28-09'!AC:AC,MATCH(B857,'MTA 28-09'!A:A,0))</f>
        <v>3800000</v>
      </c>
      <c r="P857" s="32" t="str">
        <f t="array" ref="P857">INDEX('MTA 28-09'!N:N,MATCH(B857,'MTA 28-09'!A:A,0))</f>
        <v>CELOG</v>
      </c>
      <c r="Q857" s="67" t="str">
        <f t="array" ref="Q857">INDEX('MTA 28-09'!Z:Z,MATCH(B857,'MTA 28-09'!A:A,0))</f>
        <v>339039</v>
      </c>
      <c r="R857" s="32" t="str">
        <f t="array" ref="R857">INDEX('MTA 28-09'!L:L,MATCH(B857,'MTA 28-09'!A:A,0))</f>
        <v>C</v>
      </c>
      <c r="S857" s="72" t="str">
        <f t="array" ref="S857">INDEX('MTA 28-09'!X:X,MATCH(B857,'MTA 28-09'!A:A,0))</f>
        <v>SOB DEMANDA</v>
      </c>
      <c r="T857" s="72" t="str">
        <f t="array" ref="T857">INDEX('MTA 28-09'!W:W,MATCH(B857,'MTA 28-09'!A:A,0))</f>
        <v>SIM</v>
      </c>
      <c r="U857" s="81">
        <f t="array" ref="U857">INDEX('MTA 28-09'!AE:AE,MATCH(B857,'MTA 28-09'!A:A,0))</f>
        <v>46108</v>
      </c>
      <c r="V857" s="12"/>
      <c r="W857" s="12"/>
      <c r="X857" s="12"/>
      <c r="Y857" s="12"/>
      <c r="Z857" s="12"/>
      <c r="AA857" s="12"/>
      <c r="AB857" s="12"/>
      <c r="AC857" s="12"/>
      <c r="AD857" s="12"/>
      <c r="AE857" s="12"/>
      <c r="AF857" s="12"/>
      <c r="AG857" s="12"/>
      <c r="AH857" s="12"/>
      <c r="AI857" s="12"/>
      <c r="AJ857" s="12"/>
      <c r="AK857" s="12"/>
      <c r="AL857" s="12"/>
      <c r="AM857" s="12"/>
    </row>
    <row r="858">
      <c r="A858" s="88" t="s">
        <v>43</v>
      </c>
      <c r="B858" s="98">
        <v>24320.0</v>
      </c>
      <c r="C858" s="92" t="str">
        <f t="array" ref="C858">INDEX('MTA 28-09'!B:B,MATCH(B858,'MTA 28-09'!A:A,0))</f>
        <v>NÃO</v>
      </c>
      <c r="D858" s="95" t="str">
        <f t="array" ref="D858">INDEX('MTA 28-09'!D:D,MATCH(B858,'MTA 28-09'!A:A,0))</f>
        <v/>
      </c>
      <c r="E858" s="98" t="str">
        <f t="array" ref="E858">INDEX('MTA 28-09'!F:F,MATCH(B858,'MTA 28-09'!A:A,0))</f>
        <v/>
      </c>
      <c r="F858" s="99" t="str">
        <f t="array" ref="F858">INDEX('MTA 28-09'!I:I,MATCH(B858,'MTA 28-09'!A:A,0))</f>
        <v/>
      </c>
      <c r="G858" s="100" t="str">
        <f t="array" ref="G858">INDEX('MTA 28-09'!J:J,MATCH(B858,'MTA 28-09'!A:A,0))</f>
        <v/>
      </c>
      <c r="H858" s="159" t="s">
        <v>157</v>
      </c>
      <c r="I858" s="296"/>
      <c r="J858" s="102"/>
      <c r="K858" s="103"/>
      <c r="L858" s="102" t="str">
        <f t="array" ref="L858">INDEX('MTA 28-09'!S:S,MATCH(B858,'MTA 28-09'!A:A,0))</f>
        <v>C-95M</v>
      </c>
      <c r="M858" s="98" t="str">
        <f t="array" ref="M858">INDEX('MTA 28-09'!T:T,MATCH(B858,'MTA 28-09'!A:A,0))</f>
        <v>CNT 006/CELOG-PAMASP/2026 - PW - RG</v>
      </c>
      <c r="N858" s="98" t="str">
        <f t="array" ref="N858">INDEX('MTA 28-09'!U:U,MATCH(B858,'MTA 28-09'!A:A,0))</f>
        <v>Revisão Geral PT6A-34 (10/12)</v>
      </c>
      <c r="O858" s="104">
        <f t="array" ref="O858">INDEX('MTA 28-09'!AC:AC,MATCH(B858,'MTA 28-09'!A:A,0))</f>
        <v>3800000</v>
      </c>
      <c r="P858" s="98" t="str">
        <f t="array" ref="P858">INDEX('MTA 28-09'!N:N,MATCH(B858,'MTA 28-09'!A:A,0))</f>
        <v>CELOG</v>
      </c>
      <c r="Q858" s="105" t="str">
        <f t="array" ref="Q858">INDEX('MTA 28-09'!Z:Z,MATCH(B858,'MTA 28-09'!A:A,0))</f>
        <v>339039</v>
      </c>
      <c r="R858" s="98" t="str">
        <f t="array" ref="R858">INDEX('MTA 28-09'!L:L,MATCH(B858,'MTA 28-09'!A:A,0))</f>
        <v>C</v>
      </c>
      <c r="S858" s="107" t="str">
        <f t="array" ref="S858">INDEX('MTA 28-09'!X:X,MATCH(B858,'MTA 28-09'!A:A,0))</f>
        <v>SOB DEMANDA</v>
      </c>
      <c r="T858" s="107" t="str">
        <f t="array" ref="T858">INDEX('MTA 28-09'!W:W,MATCH(B858,'MTA 28-09'!A:A,0))</f>
        <v>SIM</v>
      </c>
      <c r="U858" s="109">
        <f t="array" ref="U858">INDEX('MTA 28-09'!AE:AE,MATCH(B858,'MTA 28-09'!A:A,0))</f>
        <v>46108</v>
      </c>
      <c r="V858" s="29"/>
      <c r="W858" s="29"/>
      <c r="X858" s="29"/>
      <c r="Y858" s="29"/>
      <c r="Z858" s="29"/>
      <c r="AA858" s="29"/>
      <c r="AB858" s="29"/>
      <c r="AC858" s="29"/>
      <c r="AD858" s="29"/>
      <c r="AE858" s="29"/>
      <c r="AF858" s="29"/>
      <c r="AG858" s="29"/>
      <c r="AH858" s="29"/>
      <c r="AI858" s="29"/>
      <c r="AJ858" s="29"/>
      <c r="AK858" s="29"/>
      <c r="AL858" s="29"/>
      <c r="AM858" s="29"/>
    </row>
    <row r="859">
      <c r="A859" s="31" t="s">
        <v>43</v>
      </c>
      <c r="B859" s="32">
        <v>24340.0</v>
      </c>
      <c r="C859" s="33" t="str">
        <f t="array" ref="C859">INDEX('MTA 28-09'!B:B,MATCH(B859,'MTA 28-09'!A:A,0))</f>
        <v>NÃO</v>
      </c>
      <c r="D859" s="34" t="str">
        <f t="array" ref="D859">INDEX('MTA 28-09'!D:D,MATCH(B859,'MTA 28-09'!A:A,0))</f>
        <v/>
      </c>
      <c r="E859" s="32" t="str">
        <f t="array" ref="E859">INDEX('MTA 28-09'!F:F,MATCH(B859,'MTA 28-09'!A:A,0))</f>
        <v/>
      </c>
      <c r="F859" s="35" t="str">
        <f t="array" ref="F859">INDEX('MTA 28-09'!I:I,MATCH(B859,'MTA 28-09'!A:A,0))</f>
        <v/>
      </c>
      <c r="G859" s="36" t="str">
        <f t="array" ref="G859">INDEX('MTA 28-09'!J:J,MATCH(B859,'MTA 28-09'!A:A,0))</f>
        <v/>
      </c>
      <c r="H859" s="287" t="s">
        <v>157</v>
      </c>
      <c r="I859" s="295"/>
      <c r="J859" s="39"/>
      <c r="K859" s="40"/>
      <c r="L859" s="39" t="str">
        <f t="array" ref="L859">INDEX('MTA 28-09'!S:S,MATCH(B859,'MTA 28-09'!A:A,0))</f>
        <v>C-95M</v>
      </c>
      <c r="M859" s="32" t="str">
        <f t="array" ref="M859">INDEX('MTA 28-09'!T:T,MATCH(B859,'MTA 28-09'!A:A,0))</f>
        <v>CNT XXX/CELOG-PAMASP/2026 - XXX - FEP</v>
      </c>
      <c r="N859" s="32" t="str">
        <f t="array" ref="N859">INDEX('MTA 28-09'!U:U,MATCH(B859,'MTA 28-09'!A:A,0))</f>
        <v>FEP PT6A-34</v>
      </c>
      <c r="O859" s="59">
        <f t="array" ref="O859">INDEX('MTA 28-09'!AC:AC,MATCH(B859,'MTA 28-09'!A:A,0))</f>
        <v>4600000</v>
      </c>
      <c r="P859" s="32" t="str">
        <f t="array" ref="P859">INDEX('MTA 28-09'!N:N,MATCH(B859,'MTA 28-09'!A:A,0))</f>
        <v>CELOG</v>
      </c>
      <c r="Q859" s="67" t="str">
        <f t="array" ref="Q859">INDEX('MTA 28-09'!Z:Z,MATCH(B859,'MTA 28-09'!A:A,0))</f>
        <v>339030</v>
      </c>
      <c r="R859" s="32" t="str">
        <f t="array" ref="R859">INDEX('MTA 28-09'!L:L,MATCH(B859,'MTA 28-09'!A:A,0))</f>
        <v>C</v>
      </c>
      <c r="S859" s="72" t="str">
        <f t="array" ref="S859">INDEX('MTA 28-09'!X:X,MATCH(B859,'MTA 28-09'!A:A,0))</f>
        <v>SOB DEMANDA</v>
      </c>
      <c r="T859" s="72" t="str">
        <f t="array" ref="T859">INDEX('MTA 28-09'!W:W,MATCH(B859,'MTA 28-09'!A:A,0))</f>
        <v>SIM</v>
      </c>
      <c r="U859" s="81">
        <f t="array" ref="U859">INDEX('MTA 28-09'!AE:AE,MATCH(B859,'MTA 28-09'!A:A,0))</f>
        <v>46139</v>
      </c>
      <c r="V859" s="12"/>
      <c r="W859" s="12"/>
      <c r="X859" s="12"/>
      <c r="Y859" s="12"/>
      <c r="Z859" s="12"/>
      <c r="AA859" s="12"/>
      <c r="AB859" s="12"/>
      <c r="AC859" s="12"/>
      <c r="AD859" s="12"/>
      <c r="AE859" s="12"/>
      <c r="AF859" s="12"/>
      <c r="AG859" s="12"/>
      <c r="AH859" s="12"/>
      <c r="AI859" s="12"/>
      <c r="AJ859" s="12"/>
      <c r="AK859" s="12"/>
      <c r="AL859" s="12"/>
      <c r="AM859" s="12"/>
    </row>
    <row r="860">
      <c r="A860" s="88" t="s">
        <v>43</v>
      </c>
      <c r="B860" s="98">
        <v>24360.0</v>
      </c>
      <c r="C860" s="92" t="str">
        <f t="array" ref="C860">INDEX('MTA 28-09'!B:B,MATCH(B860,'MTA 28-09'!A:A,0))</f>
        <v>NÃO</v>
      </c>
      <c r="D860" s="95" t="str">
        <f t="array" ref="D860">INDEX('MTA 28-09'!D:D,MATCH(B860,'MTA 28-09'!A:A,0))</f>
        <v/>
      </c>
      <c r="E860" s="98" t="str">
        <f t="array" ref="E860">INDEX('MTA 28-09'!F:F,MATCH(B860,'MTA 28-09'!A:A,0))</f>
        <v/>
      </c>
      <c r="F860" s="99" t="str">
        <f t="array" ref="F860">INDEX('MTA 28-09'!I:I,MATCH(B860,'MTA 28-09'!A:A,0))</f>
        <v/>
      </c>
      <c r="G860" s="100" t="str">
        <f t="array" ref="G860">INDEX('MTA 28-09'!J:J,MATCH(B860,'MTA 28-09'!A:A,0))</f>
        <v/>
      </c>
      <c r="H860" s="159" t="s">
        <v>157</v>
      </c>
      <c r="I860" s="428"/>
      <c r="J860" s="102"/>
      <c r="K860" s="103"/>
      <c r="L860" s="102" t="str">
        <f t="array" ref="L860">INDEX('MTA 28-09'!S:S,MATCH(B860,'MTA 28-09'!A:A,0))</f>
        <v>C-95M</v>
      </c>
      <c r="M860" s="98" t="str">
        <f t="array" ref="M860">INDEX('MTA 28-09'!T:T,MATCH(B860,'MTA 28-09'!A:A,0))</f>
        <v>CNT XXX/CELOG-PAMASP/2026 - XXX - FEP</v>
      </c>
      <c r="N860" s="98" t="str">
        <f t="array" ref="N860">INDEX('MTA 28-09'!U:U,MATCH(B860,'MTA 28-09'!A:A,0))</f>
        <v>FEP PT6A-34</v>
      </c>
      <c r="O860" s="104">
        <f t="array" ref="O860">INDEX('MTA 28-09'!AC:AC,MATCH(B860,'MTA 28-09'!A:A,0))</f>
        <v>4600000</v>
      </c>
      <c r="P860" s="98" t="str">
        <f t="array" ref="P860">INDEX('MTA 28-09'!N:N,MATCH(B860,'MTA 28-09'!A:A,0))</f>
        <v>CELOG</v>
      </c>
      <c r="Q860" s="105" t="str">
        <f t="array" ref="Q860">INDEX('MTA 28-09'!Z:Z,MATCH(B860,'MTA 28-09'!A:A,0))</f>
        <v>339030</v>
      </c>
      <c r="R860" s="98" t="str">
        <f t="array" ref="R860">INDEX('MTA 28-09'!L:L,MATCH(B860,'MTA 28-09'!A:A,0))</f>
        <v>C</v>
      </c>
      <c r="S860" s="107" t="str">
        <f t="array" ref="S860">INDEX('MTA 28-09'!X:X,MATCH(B860,'MTA 28-09'!A:A,0))</f>
        <v>SOB DEMANDA</v>
      </c>
      <c r="T860" s="107" t="str">
        <f t="array" ref="T860">INDEX('MTA 28-09'!W:W,MATCH(B860,'MTA 28-09'!A:A,0))</f>
        <v>SIM</v>
      </c>
      <c r="U860" s="109">
        <f t="array" ref="U860">INDEX('MTA 28-09'!AE:AE,MATCH(B860,'MTA 28-09'!A:A,0))</f>
        <v>46139</v>
      </c>
      <c r="V860" s="29"/>
      <c r="W860" s="29"/>
      <c r="X860" s="29"/>
      <c r="Y860" s="29"/>
      <c r="Z860" s="29"/>
      <c r="AA860" s="29"/>
      <c r="AB860" s="29"/>
      <c r="AC860" s="29"/>
      <c r="AD860" s="29"/>
      <c r="AE860" s="29"/>
      <c r="AF860" s="29"/>
      <c r="AG860" s="29"/>
      <c r="AH860" s="29"/>
      <c r="AI860" s="29"/>
      <c r="AJ860" s="29"/>
      <c r="AK860" s="29"/>
      <c r="AL860" s="29"/>
      <c r="AM860" s="29"/>
    </row>
    <row r="861">
      <c r="A861" s="31" t="s">
        <v>45</v>
      </c>
      <c r="B861" s="32">
        <v>24380.0</v>
      </c>
      <c r="C861" s="33" t="str">
        <f t="array" ref="C861">INDEX('MTA 28-09'!B:B,MATCH(B861,'MTA 28-09'!A:A,0))</f>
        <v>NÃO</v>
      </c>
      <c r="D861" s="34" t="str">
        <f t="array" ref="D861">INDEX('MTA 28-09'!D:D,MATCH(B861,'MTA 28-09'!A:A,0))</f>
        <v/>
      </c>
      <c r="E861" s="32" t="str">
        <f t="array" ref="E861">INDEX('MTA 28-09'!F:F,MATCH(B861,'MTA 28-09'!A:A,0))</f>
        <v/>
      </c>
      <c r="F861" s="35" t="str">
        <f t="array" ref="F861">INDEX('MTA 28-09'!I:I,MATCH(B861,'MTA 28-09'!A:A,0))</f>
        <v/>
      </c>
      <c r="G861" s="36" t="str">
        <f t="array" ref="G861">INDEX('MTA 28-09'!J:J,MATCH(B861,'MTA 28-09'!A:A,0))</f>
        <v/>
      </c>
      <c r="H861" s="287" t="s">
        <v>157</v>
      </c>
      <c r="I861" s="425"/>
      <c r="J861" s="39"/>
      <c r="K861" s="40"/>
      <c r="L861" s="39" t="str">
        <f t="array" ref="L861">INDEX('MTA 28-09'!S:S,MATCH(B861,'MTA 28-09'!A:A,0))</f>
        <v>C-98</v>
      </c>
      <c r="M861" s="32" t="str">
        <f t="array" ref="M861">INDEX('MTA 28-09'!T:T,MATCH(B861,'MTA 28-09'!A:A,0))</f>
        <v>REQUISIÇÃO SERVIÇO</v>
      </c>
      <c r="N861" s="32" t="str">
        <f t="array" ref="N861">INDEX('MTA 28-09'!U:U,MATCH(B861,'MTA 28-09'!A:A,0))</f>
        <v>Reparo de PTVR 2 EA (2/2)</v>
      </c>
      <c r="O861" s="59">
        <f t="array" ref="O861">INDEX('MTA 28-09'!AC:AC,MATCH(B861,'MTA 28-09'!A:A,0))</f>
        <v>80000</v>
      </c>
      <c r="P861" s="32" t="str">
        <f t="array" ref="P861">INDEX('MTA 28-09'!N:N,MATCH(B861,'MTA 28-09'!A:A,0))</f>
        <v>CABW</v>
      </c>
      <c r="Q861" s="67" t="str">
        <f t="array" ref="Q861">INDEX('MTA 28-09'!Z:Z,MATCH(B861,'MTA 28-09'!A:A,0))</f>
        <v>339039</v>
      </c>
      <c r="R861" s="32" t="str">
        <f t="array" ref="R861">INDEX('MTA 28-09'!L:L,MATCH(B861,'MTA 28-09'!A:A,0))</f>
        <v>C</v>
      </c>
      <c r="S861" s="72" t="str">
        <f t="array" ref="S861">INDEX('MTA 28-09'!X:X,MATCH(B861,'MTA 28-09'!A:A,0))</f>
        <v>REQUISIÇÃO</v>
      </c>
      <c r="T861" s="72" t="str">
        <f t="array" ref="T861">INDEX('MTA 28-09'!W:W,MATCH(B861,'MTA 28-09'!A:A,0))</f>
        <v>SIM</v>
      </c>
      <c r="U861" s="81">
        <f t="array" ref="U861">INDEX('MTA 28-09'!AE:AE,MATCH(B861,'MTA 28-09'!A:A,0))</f>
        <v>46260</v>
      </c>
      <c r="V861" s="12"/>
      <c r="W861" s="12"/>
      <c r="X861" s="12"/>
      <c r="Y861" s="12"/>
      <c r="Z861" s="12"/>
      <c r="AA861" s="12"/>
      <c r="AB861" s="12"/>
      <c r="AC861" s="12"/>
      <c r="AD861" s="12"/>
      <c r="AE861" s="12"/>
      <c r="AF861" s="12"/>
      <c r="AG861" s="12"/>
      <c r="AH861" s="12"/>
      <c r="AI861" s="12"/>
      <c r="AJ861" s="12"/>
      <c r="AK861" s="12"/>
      <c r="AL861" s="12"/>
      <c r="AM861" s="12"/>
    </row>
    <row r="862">
      <c r="A862" s="88" t="s">
        <v>107</v>
      </c>
      <c r="B862" s="98">
        <v>24400.0</v>
      </c>
      <c r="C862" s="92" t="str">
        <f t="array" ref="C862">INDEX('MTA 28-09'!B:B,MATCH(B862,'MTA 28-09'!A:A,0))</f>
        <v>NÃO</v>
      </c>
      <c r="D862" s="95" t="str">
        <f t="array" ref="D862">INDEX('MTA 28-09'!D:D,MATCH(B862,'MTA 28-09'!A:A,0))</f>
        <v/>
      </c>
      <c r="E862" s="98" t="str">
        <f t="array" ref="E862">INDEX('MTA 28-09'!F:F,MATCH(B862,'MTA 28-09'!A:A,0))</f>
        <v/>
      </c>
      <c r="F862" s="99" t="str">
        <f t="array" ref="F862">INDEX('MTA 28-09'!I:I,MATCH(B862,'MTA 28-09'!A:A,0))</f>
        <v/>
      </c>
      <c r="G862" s="100" t="str">
        <f t="array" ref="G862">INDEX('MTA 28-09'!J:J,MATCH(B862,'MTA 28-09'!A:A,0))</f>
        <v/>
      </c>
      <c r="H862" s="159" t="s">
        <v>157</v>
      </c>
      <c r="I862" s="296"/>
      <c r="J862" s="102"/>
      <c r="K862" s="103"/>
      <c r="L862" s="102" t="str">
        <f t="array" ref="L862">INDEX('MTA 28-09'!S:S,MATCH(B862,'MTA 28-09'!A:A,0))</f>
        <v>APOIO</v>
      </c>
      <c r="M862" s="98" t="str">
        <f t="array" ref="M862">INDEX('MTA 28-09'!T:T,MATCH(B862,'MTA 28-09'!A:A,0))</f>
        <v>REQUISIÇÃO LOTAÇÃO SSS</v>
      </c>
      <c r="N862" s="98" t="str">
        <f t="array" ref="N862">INDEX('MTA 28-09'!U:U,MATCH(B862,'MTA 28-09'!A:A,0))</f>
        <v>AQUISIÇÃO ITENS SSS ATENDER 100% DA LOTAÇÃO (CABW) 4/4</v>
      </c>
      <c r="O862" s="104">
        <f t="array" ref="O862">INDEX('MTA 28-09'!AC:AC,MATCH(B862,'MTA 28-09'!A:A,0))</f>
        <v>2471773.65</v>
      </c>
      <c r="P862" s="98" t="str">
        <f t="array" ref="P862">INDEX('MTA 28-09'!N:N,MATCH(B862,'MTA 28-09'!A:A,0))</f>
        <v>CABW</v>
      </c>
      <c r="Q862" s="105" t="str">
        <f t="array" ref="Q862">INDEX('MTA 28-09'!Z:Z,MATCH(B862,'MTA 28-09'!A:A,0))</f>
        <v>339030</v>
      </c>
      <c r="R862" s="98" t="str">
        <f t="array" ref="R862">INDEX('MTA 28-09'!L:L,MATCH(B862,'MTA 28-09'!A:A,0))</f>
        <v>C</v>
      </c>
      <c r="S862" s="107" t="str">
        <f t="array" ref="S862">INDEX('MTA 28-09'!X:X,MATCH(B862,'MTA 28-09'!A:A,0))</f>
        <v>REQUISIÇÃO</v>
      </c>
      <c r="T862" s="107" t="str">
        <f t="array" ref="T862">INDEX('MTA 28-09'!W:W,MATCH(B862,'MTA 28-09'!A:A,0))</f>
        <v>NÃO</v>
      </c>
      <c r="U862" s="109">
        <f t="array" ref="U862">INDEX('MTA 28-09'!AE:AE,MATCH(B862,'MTA 28-09'!A:A,0))</f>
        <v>46321</v>
      </c>
      <c r="V862" s="29"/>
      <c r="W862" s="29"/>
      <c r="X862" s="29"/>
      <c r="Y862" s="29"/>
      <c r="Z862" s="29"/>
      <c r="AA862" s="29"/>
      <c r="AB862" s="29"/>
      <c r="AC862" s="29"/>
      <c r="AD862" s="29"/>
      <c r="AE862" s="29"/>
      <c r="AF862" s="29"/>
      <c r="AG862" s="29"/>
      <c r="AH862" s="29"/>
      <c r="AI862" s="29"/>
      <c r="AJ862" s="29"/>
      <c r="AK862" s="29"/>
      <c r="AL862" s="29"/>
      <c r="AM862" s="29"/>
    </row>
    <row r="863">
      <c r="A863" s="31" t="s">
        <v>99</v>
      </c>
      <c r="B863" s="32">
        <v>24420.0</v>
      </c>
      <c r="C863" s="33" t="str">
        <f t="array" ref="C863">INDEX('MTA 28-09'!B:B,MATCH(B863,'MTA 28-09'!A:A,0))</f>
        <v>NÃO</v>
      </c>
      <c r="D863" s="34" t="str">
        <f t="array" ref="D863">INDEX('MTA 28-09'!D:D,MATCH(B863,'MTA 28-09'!A:A,0))</f>
        <v/>
      </c>
      <c r="E863" s="32" t="str">
        <f t="array" ref="E863">INDEX('MTA 28-09'!F:F,MATCH(B863,'MTA 28-09'!A:A,0))</f>
        <v/>
      </c>
      <c r="F863" s="35" t="str">
        <f t="array" ref="F863">INDEX('MTA 28-09'!I:I,MATCH(B863,'MTA 28-09'!A:A,0))</f>
        <v/>
      </c>
      <c r="G863" s="36" t="str">
        <f t="array" ref="G863">INDEX('MTA 28-09'!J:J,MATCH(B863,'MTA 28-09'!A:A,0))</f>
        <v/>
      </c>
      <c r="H863" s="287" t="s">
        <v>157</v>
      </c>
      <c r="I863" s="295"/>
      <c r="J863" s="39"/>
      <c r="K863" s="40"/>
      <c r="L863" s="39" t="str">
        <f t="array" ref="L863">INDEX('MTA 28-09'!S:S,MATCH(B863,'MTA 28-09'!A:A,0))</f>
        <v>APOIO</v>
      </c>
      <c r="M863" s="32" t="str">
        <f t="array" ref="M863">INDEX('MTA 28-09'!T:T,MATCH(B863,'MTA 28-09'!A:A,0))</f>
        <v>CNT XXX/GAPLS/2026 - Revisão/Manutenção de maquinários da TOFI - Serviço</v>
      </c>
      <c r="N863" s="32" t="str">
        <f t="array" ref="N863">INDEX('MTA 28-09'!U:U,MATCH(B863,'MTA 28-09'!A:A,0))</f>
        <v>Serviço de revisão/manutenção preventiva e corretiva dos maquinários da TOFI 4/6</v>
      </c>
      <c r="O863" s="59">
        <f t="array" ref="O863">INDEX('MTA 28-09'!AC:AC,MATCH(B863,'MTA 28-09'!A:A,0))</f>
        <v>324000</v>
      </c>
      <c r="P863" s="32" t="str">
        <f t="array" ref="P863">INDEX('MTA 28-09'!N:N,MATCH(B863,'MTA 28-09'!A:A,0))</f>
        <v>GAP-LS</v>
      </c>
      <c r="Q863" s="67" t="str">
        <f t="array" ref="Q863">INDEX('MTA 28-09'!Z:Z,MATCH(B863,'MTA 28-09'!A:A,0))</f>
        <v>339039</v>
      </c>
      <c r="R863" s="32" t="str">
        <f t="array" ref="R863">INDEX('MTA 28-09'!L:L,MATCH(B863,'MTA 28-09'!A:A,0))</f>
        <v>C</v>
      </c>
      <c r="S863" s="72" t="str">
        <f t="array" ref="S863">INDEX('MTA 28-09'!X:X,MATCH(B863,'MTA 28-09'!A:A,0))</f>
        <v>SOB DEMANDA</v>
      </c>
      <c r="T863" s="72" t="str">
        <f t="array" ref="T863">INDEX('MTA 28-09'!W:W,MATCH(B863,'MTA 28-09'!A:A,0))</f>
        <v>NÃO</v>
      </c>
      <c r="U863" s="81">
        <f t="array" ref="U863">INDEX('MTA 28-09'!AE:AE,MATCH(B863,'MTA 28-09'!A:A,0))</f>
        <v>46321</v>
      </c>
      <c r="V863" s="12"/>
      <c r="W863" s="12"/>
      <c r="X863" s="12"/>
      <c r="Y863" s="12"/>
      <c r="Z863" s="12"/>
      <c r="AA863" s="12"/>
      <c r="AB863" s="12"/>
      <c r="AC863" s="12"/>
      <c r="AD863" s="12"/>
      <c r="AE863" s="12"/>
      <c r="AF863" s="12"/>
      <c r="AG863" s="12"/>
      <c r="AH863" s="12"/>
      <c r="AI863" s="12"/>
      <c r="AJ863" s="12"/>
      <c r="AK863" s="12"/>
      <c r="AL863" s="12"/>
      <c r="AM863" s="12"/>
    </row>
    <row r="864">
      <c r="A864" s="88" t="s">
        <v>47</v>
      </c>
      <c r="B864" s="98">
        <v>24440.0</v>
      </c>
      <c r="C864" s="92" t="str">
        <f t="array" ref="C864">INDEX('MTA 28-09'!B:B,MATCH(B864,'MTA 28-09'!A:A,0))</f>
        <v>NÃO</v>
      </c>
      <c r="D864" s="95" t="str">
        <f t="array" ref="D864">INDEX('MTA 28-09'!D:D,MATCH(B864,'MTA 28-09'!A:A,0))</f>
        <v/>
      </c>
      <c r="E864" s="98" t="str">
        <f t="array" ref="E864">INDEX('MTA 28-09'!F:F,MATCH(B864,'MTA 28-09'!A:A,0))</f>
        <v/>
      </c>
      <c r="F864" s="99" t="str">
        <f t="array" ref="F864">INDEX('MTA 28-09'!I:I,MATCH(B864,'MTA 28-09'!A:A,0))</f>
        <v/>
      </c>
      <c r="G864" s="100" t="str">
        <f t="array" ref="G864">INDEX('MTA 28-09'!J:J,MATCH(B864,'MTA 28-09'!A:A,0))</f>
        <v/>
      </c>
      <c r="H864" s="159" t="s">
        <v>157</v>
      </c>
      <c r="I864" s="428"/>
      <c r="J864" s="102"/>
      <c r="K864" s="103"/>
      <c r="L864" s="102" t="str">
        <f t="array" ref="L864">INDEX('MTA 28-09'!S:S,MATCH(B864,'MTA 28-09'!A:A,0))</f>
        <v>T-25</v>
      </c>
      <c r="M864" s="98" t="str">
        <f t="array" ref="M864">INDEX('MTA 28-09'!T:T,MATCH(B864,'MTA 28-09'!A:A,0))</f>
        <v>Requisição FMS</v>
      </c>
      <c r="N864" s="98" t="str">
        <f t="array" ref="N864">INDEX('MTA 28-09'!U:U,MATCH(B864,'MTA 28-09'!A:A,0))</f>
        <v>Requisições Consumíveis 4/4</v>
      </c>
      <c r="O864" s="104">
        <f t="array" ref="O864">INDEX('MTA 28-09'!AC:AC,MATCH(B864,'MTA 28-09'!A:A,0))</f>
        <v>300000</v>
      </c>
      <c r="P864" s="98" t="str">
        <f t="array" ref="P864">INDEX('MTA 28-09'!N:N,MATCH(B864,'MTA 28-09'!A:A,0))</f>
        <v>FMS</v>
      </c>
      <c r="Q864" s="105" t="str">
        <f t="array" ref="Q864">INDEX('MTA 28-09'!Z:Z,MATCH(B864,'MTA 28-09'!A:A,0))</f>
        <v>339030</v>
      </c>
      <c r="R864" s="98" t="str">
        <f t="array" ref="R864">INDEX('MTA 28-09'!L:L,MATCH(B864,'MTA 28-09'!A:A,0))</f>
        <v>C</v>
      </c>
      <c r="S864" s="107" t="str">
        <f t="array" ref="S864">INDEX('MTA 28-09'!X:X,MATCH(B864,'MTA 28-09'!A:A,0))</f>
        <v>REQUISIÇÃO</v>
      </c>
      <c r="T864" s="107" t="str">
        <f t="array" ref="T864">INDEX('MTA 28-09'!W:W,MATCH(B864,'MTA 28-09'!A:A,0))</f>
        <v>Não</v>
      </c>
      <c r="U864" s="109">
        <f t="array" ref="U864">INDEX('MTA 28-09'!AE:AE,MATCH(B864,'MTA 28-09'!A:A,0))</f>
        <v>46352</v>
      </c>
      <c r="V864" s="29"/>
      <c r="W864" s="29"/>
      <c r="X864" s="29"/>
      <c r="Y864" s="29"/>
      <c r="Z864" s="29"/>
      <c r="AA864" s="29"/>
      <c r="AB864" s="29"/>
      <c r="AC864" s="29"/>
      <c r="AD864" s="29"/>
      <c r="AE864" s="29"/>
      <c r="AF864" s="29"/>
      <c r="AG864" s="29"/>
      <c r="AH864" s="29"/>
      <c r="AI864" s="29"/>
      <c r="AJ864" s="29"/>
      <c r="AK864" s="29"/>
      <c r="AL864" s="29"/>
      <c r="AM864" s="29"/>
    </row>
    <row r="865">
      <c r="A865" s="31" t="s">
        <v>47</v>
      </c>
      <c r="B865" s="32">
        <v>24460.0</v>
      </c>
      <c r="C865" s="33" t="str">
        <f t="array" ref="C865">INDEX('MTA 28-09'!B:B,MATCH(B865,'MTA 28-09'!A:A,0))</f>
        <v>NÃO</v>
      </c>
      <c r="D865" s="34" t="str">
        <f t="array" ref="D865">INDEX('MTA 28-09'!D:D,MATCH(B865,'MTA 28-09'!A:A,0))</f>
        <v/>
      </c>
      <c r="E865" s="32" t="str">
        <f t="array" ref="E865">INDEX('MTA 28-09'!F:F,MATCH(B865,'MTA 28-09'!A:A,0))</f>
        <v/>
      </c>
      <c r="F865" s="137" t="str">
        <f t="array" ref="F865">INDEX('MTA 28-09'!I:I,MATCH(B865,'MTA 28-09'!A:A,0))</f>
        <v/>
      </c>
      <c r="G865" s="36" t="str">
        <f t="array" ref="G865">INDEX('MTA 28-09'!J:J,MATCH(B865,'MTA 28-09'!A:A,0))</f>
        <v/>
      </c>
      <c r="H865" s="287" t="s">
        <v>157</v>
      </c>
      <c r="I865" s="295"/>
      <c r="J865" s="39"/>
      <c r="K865" s="40"/>
      <c r="L865" s="39" t="str">
        <f t="array" ref="L865">INDEX('MTA 28-09'!S:S,MATCH(B865,'MTA 28-09'!A:A,0))</f>
        <v>T-25</v>
      </c>
      <c r="M865" s="32" t="str">
        <f t="array" ref="M865">INDEX('MTA 28-09'!T:T,MATCH(B865,'MTA 28-09'!A:A,0))</f>
        <v>Requisição CABW</v>
      </c>
      <c r="N865" s="32" t="str">
        <f t="array" ref="N865">INDEX('MTA 28-09'!U:U,MATCH(B865,'MTA 28-09'!A:A,0))</f>
        <v>Requisições Serviço 4/4</v>
      </c>
      <c r="O865" s="59">
        <f t="array" ref="O865">INDEX('MTA 28-09'!AC:AC,MATCH(B865,'MTA 28-09'!A:A,0))</f>
        <v>110000</v>
      </c>
      <c r="P865" s="32" t="str">
        <f t="array" ref="P865">INDEX('MTA 28-09'!N:N,MATCH(B865,'MTA 28-09'!A:A,0))</f>
        <v>CABW</v>
      </c>
      <c r="Q865" s="67" t="str">
        <f t="array" ref="Q865">INDEX('MTA 28-09'!Z:Z,MATCH(B865,'MTA 28-09'!A:A,0))</f>
        <v>339030</v>
      </c>
      <c r="R865" s="32" t="str">
        <f t="array" ref="R865">INDEX('MTA 28-09'!L:L,MATCH(B865,'MTA 28-09'!A:A,0))</f>
        <v>C</v>
      </c>
      <c r="S865" s="72" t="str">
        <f t="array" ref="S865">INDEX('MTA 28-09'!X:X,MATCH(B865,'MTA 28-09'!A:A,0))</f>
        <v>REQUISIÇÃO</v>
      </c>
      <c r="T865" s="72" t="str">
        <f t="array" ref="T865">INDEX('MTA 28-09'!W:W,MATCH(B865,'MTA 28-09'!A:A,0))</f>
        <v>Não</v>
      </c>
      <c r="U865" s="81">
        <f t="array" ref="U865">INDEX('MTA 28-09'!AE:AE,MATCH(B865,'MTA 28-09'!A:A,0))</f>
        <v>46352</v>
      </c>
      <c r="V865" s="12"/>
      <c r="W865" s="12"/>
      <c r="X865" s="12"/>
      <c r="Y865" s="12"/>
      <c r="Z865" s="12"/>
      <c r="AA865" s="12"/>
      <c r="AB865" s="12"/>
      <c r="AC865" s="12"/>
      <c r="AD865" s="12"/>
      <c r="AE865" s="12"/>
      <c r="AF865" s="12"/>
      <c r="AG865" s="12"/>
      <c r="AH865" s="12"/>
      <c r="AI865" s="12"/>
      <c r="AJ865" s="12"/>
      <c r="AK865" s="12"/>
      <c r="AL865" s="12"/>
      <c r="AM865" s="12"/>
    </row>
    <row r="866">
      <c r="A866" s="88" t="s">
        <v>47</v>
      </c>
      <c r="B866" s="98">
        <v>24480.0</v>
      </c>
      <c r="C866" s="92" t="str">
        <f t="array" ref="C866">INDEX('MTA 28-09'!B:B,MATCH(B866,'MTA 28-09'!A:A,0))</f>
        <v>NÃO</v>
      </c>
      <c r="D866" s="95" t="str">
        <f t="array" ref="D866">INDEX('MTA 28-09'!D:D,MATCH(B866,'MTA 28-09'!A:A,0))</f>
        <v/>
      </c>
      <c r="E866" s="98" t="str">
        <f t="array" ref="E866">INDEX('MTA 28-09'!F:F,MATCH(B866,'MTA 28-09'!A:A,0))</f>
        <v/>
      </c>
      <c r="F866" s="99" t="str">
        <f t="array" ref="F866">INDEX('MTA 28-09'!I:I,MATCH(B866,'MTA 28-09'!A:A,0))</f>
        <v/>
      </c>
      <c r="G866" s="100" t="str">
        <f t="array" ref="G866">INDEX('MTA 28-09'!J:J,MATCH(B866,'MTA 28-09'!A:A,0))</f>
        <v/>
      </c>
      <c r="H866" s="159" t="s">
        <v>157</v>
      </c>
      <c r="I866" s="428"/>
      <c r="J866" s="102"/>
      <c r="K866" s="103"/>
      <c r="L866" s="102" t="str">
        <f t="array" ref="L866">INDEX('MTA 28-09'!S:S,MATCH(B866,'MTA 28-09'!A:A,0))</f>
        <v>T-25</v>
      </c>
      <c r="M866" s="98" t="str">
        <f t="array" ref="M866">INDEX('MTA 28-09'!T:T,MATCH(B866,'MTA 28-09'!A:A,0))</f>
        <v>Requisição CABW</v>
      </c>
      <c r="N866" s="98" t="str">
        <f t="array" ref="N866">INDEX('MTA 28-09'!U:U,MATCH(B866,'MTA 28-09'!A:A,0))</f>
        <v>Requisições FDAMP 2/2</v>
      </c>
      <c r="O866" s="104">
        <f t="array" ref="O866">INDEX('MTA 28-09'!AC:AC,MATCH(B866,'MTA 28-09'!A:A,0))</f>
        <v>20000</v>
      </c>
      <c r="P866" s="98" t="str">
        <f t="array" ref="P866">INDEX('MTA 28-09'!N:N,MATCH(B866,'MTA 28-09'!A:A,0))</f>
        <v>CABW</v>
      </c>
      <c r="Q866" s="105" t="str">
        <f t="array" ref="Q866">INDEX('MTA 28-09'!Z:Z,MATCH(B866,'MTA 28-09'!A:A,0))</f>
        <v>449052</v>
      </c>
      <c r="R866" s="98" t="str">
        <f t="array" ref="R866">INDEX('MTA 28-09'!L:L,MATCH(B866,'MTA 28-09'!A:A,0))</f>
        <v>C</v>
      </c>
      <c r="S866" s="107" t="str">
        <f t="array" ref="S866">INDEX('MTA 28-09'!X:X,MATCH(B866,'MTA 28-09'!A:A,0))</f>
        <v>REQUISIÇÃO</v>
      </c>
      <c r="T866" s="107" t="str">
        <f t="array" ref="T866">INDEX('MTA 28-09'!W:W,MATCH(B866,'MTA 28-09'!A:A,0))</f>
        <v>Não</v>
      </c>
      <c r="U866" s="109">
        <f t="array" ref="U866">INDEX('MTA 28-09'!AE:AE,MATCH(B866,'MTA 28-09'!A:A,0))</f>
        <v>46352</v>
      </c>
      <c r="V866" s="29"/>
      <c r="W866" s="29"/>
      <c r="X866" s="29"/>
      <c r="Y866" s="29"/>
      <c r="Z866" s="29"/>
      <c r="AA866" s="29"/>
      <c r="AB866" s="29"/>
      <c r="AC866" s="29"/>
      <c r="AD866" s="29"/>
      <c r="AE866" s="29"/>
      <c r="AF866" s="29"/>
      <c r="AG866" s="29"/>
      <c r="AH866" s="29"/>
      <c r="AI866" s="29"/>
      <c r="AJ866" s="29"/>
      <c r="AK866" s="29"/>
      <c r="AL866" s="29"/>
      <c r="AM866" s="29"/>
    </row>
    <row r="867">
      <c r="A867" s="31" t="s">
        <v>46</v>
      </c>
      <c r="B867" s="32">
        <v>24500.0</v>
      </c>
      <c r="C867" s="33" t="str">
        <f t="array" ref="C867">INDEX('MTA 28-09'!B:B,MATCH(B867,'MTA 28-09'!A:A,0))</f>
        <v>SIM</v>
      </c>
      <c r="D867" s="34">
        <f t="array" ref="D867">INDEX('MTA 28-09'!D:D,MATCH(B867,'MTA 28-09'!A:A,0))</f>
        <v>2048</v>
      </c>
      <c r="E867" s="32" t="str">
        <f t="array" ref="E867">INDEX('MTA 28-09'!F:F,MATCH(B867,'MTA 28-09'!A:A,0))</f>
        <v/>
      </c>
      <c r="F867" s="137" t="str">
        <f t="array" ref="F867">INDEX('MTA 28-09'!I:I,MATCH(B867,'MTA 28-09'!A:A,0))</f>
        <v/>
      </c>
      <c r="G867" s="36" t="str">
        <f t="array" ref="G867">INDEX('MTA 28-09'!J:J,MATCH(B867,'MTA 28-09'!A:A,0))</f>
        <v/>
      </c>
      <c r="H867" s="287" t="s">
        <v>157</v>
      </c>
      <c r="I867" s="295"/>
      <c r="J867" s="39"/>
      <c r="K867" s="40"/>
      <c r="L867" s="39" t="str">
        <f t="array" ref="L867">INDEX('MTA 28-09'!S:S,MATCH(B867,'MTA 28-09'!A:A,0))</f>
        <v>T-27</v>
      </c>
      <c r="M867" s="32" t="str">
        <f t="array" ref="M867">INDEX('MTA 28-09'!T:T,MATCH(B867,'MTA 28-09'!A:A,0))</f>
        <v>CNT 048/CELOG-PAMASP/2022 - PW - Material</v>
      </c>
      <c r="N867" s="32" t="str">
        <f t="array" ref="N867">INDEX('MTA 28-09'!U:U,MATCH(B867,'MTA 28-09'!A:A,0))</f>
        <v>Material HSI PT6A-25C (4/7)</v>
      </c>
      <c r="O867" s="59">
        <f t="array" ref="O867">INDEX('MTA 28-09'!AC:AC,MATCH(B867,'MTA 28-09'!A:A,0))</f>
        <v>750000</v>
      </c>
      <c r="P867" s="32" t="str">
        <f t="array" ref="P867">INDEX('MTA 28-09'!N:N,MATCH(B867,'MTA 28-09'!A:A,0))</f>
        <v>CELOG</v>
      </c>
      <c r="Q867" s="67" t="str">
        <f t="array" ref="Q867">INDEX('MTA 28-09'!Z:Z,MATCH(B867,'MTA 28-09'!A:A,0))</f>
        <v>339030</v>
      </c>
      <c r="R867" s="32" t="str">
        <f t="array" ref="R867">INDEX('MTA 28-09'!L:L,MATCH(B867,'MTA 28-09'!A:A,0))</f>
        <v>A</v>
      </c>
      <c r="S867" s="72" t="str">
        <f t="array" ref="S867">INDEX('MTA 28-09'!X:X,MATCH(B867,'MTA 28-09'!A:A,0))</f>
        <v>SOB DEMANDA</v>
      </c>
      <c r="T867" s="72" t="str">
        <f t="array" ref="T867">INDEX('MTA 28-09'!W:W,MATCH(B867,'MTA 28-09'!A:A,0))</f>
        <v>SIM</v>
      </c>
      <c r="U867" s="81">
        <f t="array" ref="U867">INDEX('MTA 28-09'!AE:AE,MATCH(B867,'MTA 28-09'!A:A,0))</f>
        <v>46382</v>
      </c>
      <c r="V867" s="12"/>
      <c r="W867" s="12"/>
      <c r="X867" s="12"/>
      <c r="Y867" s="12"/>
      <c r="Z867" s="12"/>
      <c r="AA867" s="12"/>
      <c r="AB867" s="12"/>
      <c r="AC867" s="12"/>
      <c r="AD867" s="12"/>
      <c r="AE867" s="12"/>
      <c r="AF867" s="12"/>
      <c r="AG867" s="12"/>
      <c r="AH867" s="12"/>
      <c r="AI867" s="12"/>
      <c r="AJ867" s="12"/>
      <c r="AK867" s="12"/>
      <c r="AL867" s="12"/>
      <c r="AM867" s="12"/>
    </row>
    <row r="868">
      <c r="A868" s="88" t="s">
        <v>46</v>
      </c>
      <c r="B868" s="98">
        <v>24520.0</v>
      </c>
      <c r="C868" s="92" t="str">
        <f t="array" ref="C868">INDEX('MTA 28-09'!B:B,MATCH(B868,'MTA 28-09'!A:A,0))</f>
        <v>SIM</v>
      </c>
      <c r="D868" s="95">
        <f t="array" ref="D868">INDEX('MTA 28-09'!D:D,MATCH(B868,'MTA 28-09'!A:A,0))</f>
        <v>2048</v>
      </c>
      <c r="E868" s="98" t="str">
        <f t="array" ref="E868">INDEX('MTA 28-09'!F:F,MATCH(B868,'MTA 28-09'!A:A,0))</f>
        <v/>
      </c>
      <c r="F868" s="99" t="str">
        <f t="array" ref="F868">INDEX('MTA 28-09'!I:I,MATCH(B868,'MTA 28-09'!A:A,0))</f>
        <v/>
      </c>
      <c r="G868" s="100" t="str">
        <f t="array" ref="G868">INDEX('MTA 28-09'!J:J,MATCH(B868,'MTA 28-09'!A:A,0))</f>
        <v/>
      </c>
      <c r="H868" s="159" t="s">
        <v>157</v>
      </c>
      <c r="I868" s="296"/>
      <c r="J868" s="102"/>
      <c r="K868" s="103"/>
      <c r="L868" s="102" t="str">
        <f t="array" ref="L868">INDEX('MTA 28-09'!S:S,MATCH(B868,'MTA 28-09'!A:A,0))</f>
        <v>T-27</v>
      </c>
      <c r="M868" s="98" t="str">
        <f t="array" ref="M868">INDEX('MTA 28-09'!T:T,MATCH(B868,'MTA 28-09'!A:A,0))</f>
        <v>CNT 048/CELOG-PAMASP/2022 - PW - Material</v>
      </c>
      <c r="N868" s="98" t="str">
        <f t="array" ref="N868">INDEX('MTA 28-09'!U:U,MATCH(B868,'MTA 28-09'!A:A,0))</f>
        <v>Material HSI PT6A-25C (5/7)</v>
      </c>
      <c r="O868" s="104">
        <f t="array" ref="O868">INDEX('MTA 28-09'!AC:AC,MATCH(B868,'MTA 28-09'!A:A,0))</f>
        <v>750000</v>
      </c>
      <c r="P868" s="98" t="str">
        <f t="array" ref="P868">INDEX('MTA 28-09'!N:N,MATCH(B868,'MTA 28-09'!A:A,0))</f>
        <v>CELOG</v>
      </c>
      <c r="Q868" s="105" t="str">
        <f t="array" ref="Q868">INDEX('MTA 28-09'!Z:Z,MATCH(B868,'MTA 28-09'!A:A,0))</f>
        <v>339030</v>
      </c>
      <c r="R868" s="98" t="str">
        <f t="array" ref="R868">INDEX('MTA 28-09'!L:L,MATCH(B868,'MTA 28-09'!A:A,0))</f>
        <v>A</v>
      </c>
      <c r="S868" s="107" t="str">
        <f t="array" ref="S868">INDEX('MTA 28-09'!X:X,MATCH(B868,'MTA 28-09'!A:A,0))</f>
        <v>SOB DEMANDA</v>
      </c>
      <c r="T868" s="107" t="str">
        <f t="array" ref="T868">INDEX('MTA 28-09'!W:W,MATCH(B868,'MTA 28-09'!A:A,0))</f>
        <v>SIM</v>
      </c>
      <c r="U868" s="109">
        <f t="array" ref="U868">INDEX('MTA 28-09'!AE:AE,MATCH(B868,'MTA 28-09'!A:A,0))</f>
        <v>46382</v>
      </c>
      <c r="V868" s="29"/>
      <c r="W868" s="29"/>
      <c r="X868" s="29"/>
      <c r="Y868" s="29"/>
      <c r="Z868" s="29"/>
      <c r="AA868" s="29"/>
      <c r="AB868" s="29"/>
      <c r="AC868" s="29"/>
      <c r="AD868" s="29"/>
      <c r="AE868" s="29"/>
      <c r="AF868" s="29"/>
      <c r="AG868" s="29"/>
      <c r="AH868" s="29"/>
      <c r="AI868" s="29"/>
      <c r="AJ868" s="29"/>
      <c r="AK868" s="29"/>
      <c r="AL868" s="29"/>
      <c r="AM868" s="29"/>
    </row>
    <row r="869">
      <c r="A869" s="31" t="s">
        <v>39</v>
      </c>
      <c r="B869" s="32">
        <v>24540.0</v>
      </c>
      <c r="C869" s="33" t="str">
        <f t="array" ref="C869">INDEX('MTA 28-09'!B:B,MATCH(B869,'MTA 28-09'!A:A,0))</f>
        <v>NÃO</v>
      </c>
      <c r="D869" s="34" t="str">
        <f t="array" ref="D869">INDEX('MTA 28-09'!D:D,MATCH(B869,'MTA 28-09'!A:A,0))</f>
        <v/>
      </c>
      <c r="E869" s="32" t="str">
        <f t="array" ref="E869">INDEX('MTA 28-09'!F:F,MATCH(B869,'MTA 28-09'!A:A,0))</f>
        <v>CANCELADO</v>
      </c>
      <c r="F869" s="137" t="str">
        <f t="array" ref="F869">INDEX('MTA 28-09'!I:I,MATCH(B869,'MTA 28-09'!A:A,0))</f>
        <v/>
      </c>
      <c r="G869" s="36" t="str">
        <f t="array" ref="G869">INDEX('MTA 28-09'!J:J,MATCH(B869,'MTA 28-09'!A:A,0))</f>
        <v/>
      </c>
      <c r="H869" s="287" t="s">
        <v>157</v>
      </c>
      <c r="I869" s="295"/>
      <c r="J869" s="39"/>
      <c r="K869" s="40"/>
      <c r="L869" s="39" t="str">
        <f t="array" ref="L869">INDEX('MTA 28-09'!S:S,MATCH(B869,'MTA 28-09'!A:A,0))</f>
        <v>A-29</v>
      </c>
      <c r="M869" s="32" t="str">
        <f t="array" ref="M869">INDEX('MTA 28-09'!T:T,MATCH(B869,'MTA 28-09'!A:A,0))</f>
        <v>CNT 060/CELOG-PAMASP/2023 - PW - HSI/REPARO</v>
      </c>
      <c r="N869" s="32" t="str">
        <f t="array" ref="N869">INDEX('MTA 28-09'!U:U,MATCH(B869,'MTA 28-09'!A:A,0))</f>
        <v>Reparo PT6A-68C 8/9</v>
      </c>
      <c r="O869" s="59" t="str">
        <f t="array" ref="O869">INDEX('MTA 28-09'!AC:AC,MATCH(B869,'MTA 28-09'!A:A,0))</f>
        <v> -</v>
      </c>
      <c r="P869" s="32" t="str">
        <f t="array" ref="P869">INDEX('MTA 28-09'!N:N,MATCH(B869,'MTA 28-09'!A:A,0))</f>
        <v>CELOG</v>
      </c>
      <c r="Q869" s="67" t="str">
        <f t="array" ref="Q869">INDEX('MTA 28-09'!Z:Z,MATCH(B869,'MTA 28-09'!A:A,0))</f>
        <v>339039</v>
      </c>
      <c r="R869" s="32" t="str">
        <f t="array" ref="R869">INDEX('MTA 28-09'!L:L,MATCH(B869,'MTA 28-09'!A:A,0))</f>
        <v>B</v>
      </c>
      <c r="S869" s="72" t="str">
        <f t="array" ref="S869">INDEX('MTA 28-09'!X:X,MATCH(B869,'MTA 28-09'!A:A,0))</f>
        <v>SOB DEMANDA</v>
      </c>
      <c r="T869" s="72" t="str">
        <f t="array" ref="T869">INDEX('MTA 28-09'!W:W,MATCH(B869,'MTA 28-09'!A:A,0))</f>
        <v>SIM</v>
      </c>
      <c r="U869" s="81">
        <f t="array" ref="U869">INDEX('MTA 28-09'!AE:AE,MATCH(B869,'MTA 28-09'!A:A,0))</f>
        <v>46382</v>
      </c>
      <c r="V869" s="12"/>
      <c r="W869" s="12"/>
      <c r="X869" s="12"/>
      <c r="Y869" s="12"/>
      <c r="Z869" s="12"/>
      <c r="AA869" s="12"/>
      <c r="AB869" s="12"/>
      <c r="AC869" s="12"/>
      <c r="AD869" s="12"/>
      <c r="AE869" s="12"/>
      <c r="AF869" s="12"/>
      <c r="AG869" s="12"/>
      <c r="AH869" s="12"/>
      <c r="AI869" s="12"/>
      <c r="AJ869" s="12"/>
      <c r="AK869" s="12"/>
      <c r="AL869" s="12"/>
      <c r="AM869" s="12"/>
    </row>
    <row r="870">
      <c r="A870" s="88" t="s">
        <v>39</v>
      </c>
      <c r="B870" s="98">
        <v>24560.0</v>
      </c>
      <c r="C870" s="92" t="str">
        <f t="array" ref="C870">INDEX('MTA 28-09'!B:B,MATCH(B870,'MTA 28-09'!A:A,0))</f>
        <v>NÃO</v>
      </c>
      <c r="D870" s="95" t="str">
        <f t="array" ref="D870">INDEX('MTA 28-09'!D:D,MATCH(B870,'MTA 28-09'!A:A,0))</f>
        <v/>
      </c>
      <c r="E870" s="98" t="str">
        <f t="array" ref="E870">INDEX('MTA 28-09'!F:F,MATCH(B870,'MTA 28-09'!A:A,0))</f>
        <v>CANCELADO</v>
      </c>
      <c r="F870" s="144" t="str">
        <f t="array" ref="F870">INDEX('MTA 28-09'!I:I,MATCH(B870,'MTA 28-09'!A:A,0))</f>
        <v/>
      </c>
      <c r="G870" s="100" t="str">
        <f t="array" ref="G870">INDEX('MTA 28-09'!J:J,MATCH(B870,'MTA 28-09'!A:A,0))</f>
        <v/>
      </c>
      <c r="H870" s="159" t="s">
        <v>157</v>
      </c>
      <c r="I870" s="296"/>
      <c r="J870" s="102"/>
      <c r="K870" s="103"/>
      <c r="L870" s="102" t="str">
        <f t="array" ref="L870">INDEX('MTA 28-09'!S:S,MATCH(B870,'MTA 28-09'!A:A,0))</f>
        <v>A-29</v>
      </c>
      <c r="M870" s="98" t="str">
        <f t="array" ref="M870">INDEX('MTA 28-09'!T:T,MATCH(B870,'MTA 28-09'!A:A,0))</f>
        <v>CNT 060/CELOG-PAMASP/2023 - PW - HSI/REPARO</v>
      </c>
      <c r="N870" s="98" t="str">
        <f t="array" ref="N870">INDEX('MTA 28-09'!U:U,MATCH(B870,'MTA 28-09'!A:A,0))</f>
        <v>Reparo PT6A-68C 9/9</v>
      </c>
      <c r="O870" s="104" t="str">
        <f t="array" ref="O870">INDEX('MTA 28-09'!AC:AC,MATCH(B870,'MTA 28-09'!A:A,0))</f>
        <v> -</v>
      </c>
      <c r="P870" s="98" t="str">
        <f t="array" ref="P870">INDEX('MTA 28-09'!N:N,MATCH(B870,'MTA 28-09'!A:A,0))</f>
        <v>CELOG</v>
      </c>
      <c r="Q870" s="105" t="str">
        <f t="array" ref="Q870">INDEX('MTA 28-09'!Z:Z,MATCH(B870,'MTA 28-09'!A:A,0))</f>
        <v>339039</v>
      </c>
      <c r="R870" s="98" t="str">
        <f t="array" ref="R870">INDEX('MTA 28-09'!L:L,MATCH(B870,'MTA 28-09'!A:A,0))</f>
        <v>B</v>
      </c>
      <c r="S870" s="107" t="str">
        <f t="array" ref="S870">INDEX('MTA 28-09'!X:X,MATCH(B870,'MTA 28-09'!A:A,0))</f>
        <v>SOB DEMANDA</v>
      </c>
      <c r="T870" s="107" t="str">
        <f t="array" ref="T870">INDEX('MTA 28-09'!W:W,MATCH(B870,'MTA 28-09'!A:A,0))</f>
        <v>SIM</v>
      </c>
      <c r="U870" s="109">
        <f t="array" ref="U870">INDEX('MTA 28-09'!AE:AE,MATCH(B870,'MTA 28-09'!A:A,0))</f>
        <v>46049</v>
      </c>
      <c r="V870" s="29"/>
      <c r="W870" s="29"/>
      <c r="X870" s="29"/>
      <c r="Y870" s="29"/>
      <c r="Z870" s="29"/>
      <c r="AA870" s="29"/>
      <c r="AB870" s="29"/>
      <c r="AC870" s="29"/>
      <c r="AD870" s="29"/>
      <c r="AE870" s="29"/>
      <c r="AF870" s="29"/>
      <c r="AG870" s="29"/>
      <c r="AH870" s="29"/>
      <c r="AI870" s="29"/>
      <c r="AJ870" s="29"/>
      <c r="AK870" s="29"/>
      <c r="AL870" s="29"/>
      <c r="AM870" s="29"/>
    </row>
    <row r="871">
      <c r="A871" s="31" t="s">
        <v>43</v>
      </c>
      <c r="B871" s="32">
        <v>24580.0</v>
      </c>
      <c r="C871" s="33" t="str">
        <f t="array" ref="C871">INDEX('MTA 28-09'!B:B,MATCH(B871,'MTA 28-09'!A:A,0))</f>
        <v>NÃO</v>
      </c>
      <c r="D871" s="34" t="str">
        <f t="array" ref="D871">INDEX('MTA 28-09'!D:D,MATCH(B871,'MTA 28-09'!A:A,0))</f>
        <v/>
      </c>
      <c r="E871" s="32" t="str">
        <f t="array" ref="E871">INDEX('MTA 28-09'!F:F,MATCH(B871,'MTA 28-09'!A:A,0))</f>
        <v/>
      </c>
      <c r="F871" s="137" t="str">
        <f t="array" ref="F871">INDEX('MTA 28-09'!I:I,MATCH(B871,'MTA 28-09'!A:A,0))</f>
        <v/>
      </c>
      <c r="G871" s="36" t="str">
        <f t="array" ref="G871">INDEX('MTA 28-09'!J:J,MATCH(B871,'MTA 28-09'!A:A,0))</f>
        <v/>
      </c>
      <c r="H871" s="287" t="s">
        <v>157</v>
      </c>
      <c r="I871" s="295"/>
      <c r="J871" s="39"/>
      <c r="K871" s="40"/>
      <c r="L871" s="39" t="str">
        <f t="array" ref="L871">INDEX('MTA 28-09'!S:S,MATCH(B871,'MTA 28-09'!A:A,0))</f>
        <v>C-95M</v>
      </c>
      <c r="M871" s="32" t="str">
        <f t="array" ref="M871">INDEX('MTA 28-09'!T:T,MATCH(B871,'MTA 28-09'!A:A,0))</f>
        <v>Requisição FMS</v>
      </c>
      <c r="N871" s="32" t="str">
        <f t="array" ref="N871">INDEX('MTA 28-09'!U:U,MATCH(B871,'MTA 28-09'!A:A,0))</f>
        <v>Requisições Consumíveis 4/4</v>
      </c>
      <c r="O871" s="59">
        <f t="array" ref="O871">INDEX('MTA 28-09'!AC:AC,MATCH(B871,'MTA 28-09'!A:A,0))</f>
        <v>750000</v>
      </c>
      <c r="P871" s="32" t="str">
        <f t="array" ref="P871">INDEX('MTA 28-09'!N:N,MATCH(B871,'MTA 28-09'!A:A,0))</f>
        <v>FMS</v>
      </c>
      <c r="Q871" s="67" t="str">
        <f t="array" ref="Q871">INDEX('MTA 28-09'!Z:Z,MATCH(B871,'MTA 28-09'!A:A,0))</f>
        <v>339030</v>
      </c>
      <c r="R871" s="32" t="str">
        <f t="array" ref="R871">INDEX('MTA 28-09'!L:L,MATCH(B871,'MTA 28-09'!A:A,0))</f>
        <v>C</v>
      </c>
      <c r="S871" s="72" t="str">
        <f t="array" ref="S871">INDEX('MTA 28-09'!X:X,MATCH(B871,'MTA 28-09'!A:A,0))</f>
        <v>REQUISIÇÃO</v>
      </c>
      <c r="T871" s="72" t="str">
        <f t="array" ref="T871">INDEX('MTA 28-09'!W:W,MATCH(B871,'MTA 28-09'!A:A,0))</f>
        <v>Não</v>
      </c>
      <c r="U871" s="81">
        <f t="array" ref="U871">INDEX('MTA 28-09'!AE:AE,MATCH(B871,'MTA 28-09'!A:A,0))</f>
        <v>46352</v>
      </c>
      <c r="V871" s="12"/>
      <c r="W871" s="12"/>
      <c r="X871" s="12"/>
      <c r="Y871" s="12"/>
      <c r="Z871" s="12"/>
      <c r="AA871" s="12"/>
      <c r="AB871" s="12"/>
      <c r="AC871" s="12"/>
      <c r="AD871" s="12"/>
      <c r="AE871" s="12"/>
      <c r="AF871" s="12"/>
      <c r="AG871" s="12"/>
      <c r="AH871" s="12"/>
      <c r="AI871" s="12"/>
      <c r="AJ871" s="12"/>
      <c r="AK871" s="12"/>
      <c r="AL871" s="12"/>
      <c r="AM871" s="12"/>
    </row>
    <row r="872">
      <c r="A872" s="88" t="s">
        <v>44</v>
      </c>
      <c r="B872" s="98">
        <v>24600.0</v>
      </c>
      <c r="C872" s="92" t="str">
        <f t="array" ref="C872">INDEX('MTA 28-09'!B:B,MATCH(B872,'MTA 28-09'!A:A,0))</f>
        <v>NÃO</v>
      </c>
      <c r="D872" s="95" t="str">
        <f t="array" ref="D872">INDEX('MTA 28-09'!D:D,MATCH(B872,'MTA 28-09'!A:A,0))</f>
        <v/>
      </c>
      <c r="E872" s="98" t="str">
        <f t="array" ref="E872">INDEX('MTA 28-09'!F:F,MATCH(B872,'MTA 28-09'!A:A,0))</f>
        <v/>
      </c>
      <c r="F872" s="144" t="str">
        <f t="array" ref="F872">INDEX('MTA 28-09'!I:I,MATCH(B872,'MTA 28-09'!A:A,0))</f>
        <v/>
      </c>
      <c r="G872" s="100" t="str">
        <f t="array" ref="G872">INDEX('MTA 28-09'!J:J,MATCH(B872,'MTA 28-09'!A:A,0))</f>
        <v/>
      </c>
      <c r="H872" s="159" t="s">
        <v>157</v>
      </c>
      <c r="I872" s="296"/>
      <c r="J872" s="102"/>
      <c r="K872" s="103"/>
      <c r="L872" s="102" t="str">
        <f t="array" ref="L872">INDEX('MTA 28-09'!S:S,MATCH(B872,'MTA 28-09'!A:A,0))</f>
        <v>C-97</v>
      </c>
      <c r="M872" s="98" t="str">
        <f t="array" ref="M872">INDEX('MTA 28-09'!T:T,MATCH(B872,'MTA 28-09'!A:A,0))</f>
        <v>Requisição FMS</v>
      </c>
      <c r="N872" s="98" t="str">
        <f t="array" ref="N872">INDEX('MTA 28-09'!U:U,MATCH(B872,'MTA 28-09'!A:A,0))</f>
        <v>Requisições Consumíveis 4/4</v>
      </c>
      <c r="O872" s="104">
        <f t="array" ref="O872">INDEX('MTA 28-09'!AC:AC,MATCH(B872,'MTA 28-09'!A:A,0))</f>
        <v>150000</v>
      </c>
      <c r="P872" s="98" t="str">
        <f t="array" ref="P872">INDEX('MTA 28-09'!N:N,MATCH(B872,'MTA 28-09'!A:A,0))</f>
        <v>FMS</v>
      </c>
      <c r="Q872" s="105" t="str">
        <f t="array" ref="Q872">INDEX('MTA 28-09'!Z:Z,MATCH(B872,'MTA 28-09'!A:A,0))</f>
        <v>339030</v>
      </c>
      <c r="R872" s="98" t="str">
        <f t="array" ref="R872">INDEX('MTA 28-09'!L:L,MATCH(B872,'MTA 28-09'!A:A,0))</f>
        <v>C</v>
      </c>
      <c r="S872" s="107" t="str">
        <f t="array" ref="S872">INDEX('MTA 28-09'!X:X,MATCH(B872,'MTA 28-09'!A:A,0))</f>
        <v>REQUISIÇÃO</v>
      </c>
      <c r="T872" s="107" t="str">
        <f t="array" ref="T872">INDEX('MTA 28-09'!W:W,MATCH(B872,'MTA 28-09'!A:A,0))</f>
        <v>Não</v>
      </c>
      <c r="U872" s="109">
        <f t="array" ref="U872">INDEX('MTA 28-09'!AE:AE,MATCH(B872,'MTA 28-09'!A:A,0))</f>
        <v>46352</v>
      </c>
      <c r="V872" s="29"/>
      <c r="W872" s="29"/>
      <c r="X872" s="29"/>
      <c r="Y872" s="29"/>
      <c r="Z872" s="29"/>
      <c r="AA872" s="29"/>
      <c r="AB872" s="29"/>
      <c r="AC872" s="29"/>
      <c r="AD872" s="29"/>
      <c r="AE872" s="29"/>
      <c r="AF872" s="29"/>
      <c r="AG872" s="29"/>
      <c r="AH872" s="29"/>
      <c r="AI872" s="29"/>
      <c r="AJ872" s="29"/>
      <c r="AK872" s="29"/>
      <c r="AL872" s="29"/>
      <c r="AM872" s="29"/>
    </row>
    <row r="873">
      <c r="A873" s="31" t="s">
        <v>44</v>
      </c>
      <c r="B873" s="32">
        <v>24620.0</v>
      </c>
      <c r="C873" s="33" t="str">
        <f t="array" ref="C873">INDEX('MTA 28-09'!B:B,MATCH(B873,'MTA 28-09'!A:A,0))</f>
        <v>NÃO</v>
      </c>
      <c r="D873" s="34" t="str">
        <f t="array" ref="D873">INDEX('MTA 28-09'!D:D,MATCH(B873,'MTA 28-09'!A:A,0))</f>
        <v/>
      </c>
      <c r="E873" s="32" t="str">
        <f t="array" ref="E873">INDEX('MTA 28-09'!F:F,MATCH(B873,'MTA 28-09'!A:A,0))</f>
        <v/>
      </c>
      <c r="F873" s="35" t="str">
        <f t="array" ref="F873">INDEX('MTA 28-09'!I:I,MATCH(B873,'MTA 28-09'!A:A,0))</f>
        <v/>
      </c>
      <c r="G873" s="36" t="str">
        <f t="array" ref="G873">INDEX('MTA 28-09'!J:J,MATCH(B873,'MTA 28-09'!A:A,0))</f>
        <v/>
      </c>
      <c r="H873" s="287" t="s">
        <v>157</v>
      </c>
      <c r="I873" s="295"/>
      <c r="J873" s="39"/>
      <c r="K873" s="40"/>
      <c r="L873" s="39" t="str">
        <f t="array" ref="L873">INDEX('MTA 28-09'!S:S,MATCH(B873,'MTA 28-09'!A:A,0))</f>
        <v>C-97</v>
      </c>
      <c r="M873" s="32" t="str">
        <f t="array" ref="M873">INDEX('MTA 28-09'!T:T,MATCH(B873,'MTA 28-09'!A:A,0))</f>
        <v>Requisição CABW</v>
      </c>
      <c r="N873" s="32" t="str">
        <f t="array" ref="N873">INDEX('MTA 28-09'!U:U,MATCH(B873,'MTA 28-09'!A:A,0))</f>
        <v>Requisições Consumíveis 4/4</v>
      </c>
      <c r="O873" s="59">
        <f t="array" ref="O873">INDEX('MTA 28-09'!AC:AC,MATCH(B873,'MTA 28-09'!A:A,0))</f>
        <v>100000</v>
      </c>
      <c r="P873" s="32" t="str">
        <f t="array" ref="P873">INDEX('MTA 28-09'!N:N,MATCH(B873,'MTA 28-09'!A:A,0))</f>
        <v>CABW</v>
      </c>
      <c r="Q873" s="67" t="str">
        <f t="array" ref="Q873">INDEX('MTA 28-09'!Z:Z,MATCH(B873,'MTA 28-09'!A:A,0))</f>
        <v>339030</v>
      </c>
      <c r="R873" s="32" t="str">
        <f t="array" ref="R873">INDEX('MTA 28-09'!L:L,MATCH(B873,'MTA 28-09'!A:A,0))</f>
        <v>C</v>
      </c>
      <c r="S873" s="72" t="str">
        <f t="array" ref="S873">INDEX('MTA 28-09'!X:X,MATCH(B873,'MTA 28-09'!A:A,0))</f>
        <v>REQUISIÇÃO</v>
      </c>
      <c r="T873" s="72" t="str">
        <f t="array" ref="T873">INDEX('MTA 28-09'!W:W,MATCH(B873,'MTA 28-09'!A:A,0))</f>
        <v>Não</v>
      </c>
      <c r="U873" s="81">
        <f t="array" ref="U873">INDEX('MTA 28-09'!AE:AE,MATCH(B873,'MTA 28-09'!A:A,0))</f>
        <v>46352</v>
      </c>
      <c r="V873" s="12"/>
      <c r="W873" s="12"/>
      <c r="X873" s="12"/>
      <c r="Y873" s="12"/>
      <c r="Z873" s="12"/>
      <c r="AA873" s="12"/>
      <c r="AB873" s="12"/>
      <c r="AC873" s="12"/>
      <c r="AD873" s="12"/>
      <c r="AE873" s="12"/>
      <c r="AF873" s="12"/>
      <c r="AG873" s="12"/>
      <c r="AH873" s="12"/>
      <c r="AI873" s="12"/>
      <c r="AJ873" s="12"/>
      <c r="AK873" s="12"/>
      <c r="AL873" s="12"/>
      <c r="AM873" s="12"/>
    </row>
    <row r="874">
      <c r="A874" s="88" t="s">
        <v>44</v>
      </c>
      <c r="B874" s="98">
        <v>24640.0</v>
      </c>
      <c r="C874" s="92" t="str">
        <f t="array" ref="C874">INDEX('MTA 28-09'!B:B,MATCH(B874,'MTA 28-09'!A:A,0))</f>
        <v>NÃO</v>
      </c>
      <c r="D874" s="95" t="str">
        <f t="array" ref="D874">INDEX('MTA 28-09'!D:D,MATCH(B874,'MTA 28-09'!A:A,0))</f>
        <v/>
      </c>
      <c r="E874" s="98" t="str">
        <f t="array" ref="E874">INDEX('MTA 28-09'!F:F,MATCH(B874,'MTA 28-09'!A:A,0))</f>
        <v/>
      </c>
      <c r="F874" s="99" t="str">
        <f t="array" ref="F874">INDEX('MTA 28-09'!I:I,MATCH(B874,'MTA 28-09'!A:A,0))</f>
        <v/>
      </c>
      <c r="G874" s="100" t="str">
        <f t="array" ref="G874">INDEX('MTA 28-09'!J:J,MATCH(B874,'MTA 28-09'!A:A,0))</f>
        <v/>
      </c>
      <c r="H874" s="159" t="s">
        <v>157</v>
      </c>
      <c r="I874" s="296"/>
      <c r="J874" s="102"/>
      <c r="K874" s="103"/>
      <c r="L874" s="102" t="str">
        <f t="array" ref="L874">INDEX('MTA 28-09'!S:S,MATCH(B874,'MTA 28-09'!A:A,0))</f>
        <v>C-97</v>
      </c>
      <c r="M874" s="98" t="str">
        <f t="array" ref="M874">INDEX('MTA 28-09'!T:T,MATCH(B874,'MTA 28-09'!A:A,0))</f>
        <v>Requisição CABW</v>
      </c>
      <c r="N874" s="98" t="str">
        <f t="array" ref="N874">INDEX('MTA 28-09'!U:U,MATCH(B874,'MTA 28-09'!A:A,0))</f>
        <v>Requisições Consumíveis 4/4 - Manutenção nos operadores</v>
      </c>
      <c r="O874" s="104">
        <f t="array" ref="O874">INDEX('MTA 28-09'!AC:AC,MATCH(B874,'MTA 28-09'!A:A,0))</f>
        <v>250000</v>
      </c>
      <c r="P874" s="98" t="str">
        <f t="array" ref="P874">INDEX('MTA 28-09'!N:N,MATCH(B874,'MTA 28-09'!A:A,0))</f>
        <v>CABW</v>
      </c>
      <c r="Q874" s="105" t="str">
        <f t="array" ref="Q874">INDEX('MTA 28-09'!Z:Z,MATCH(B874,'MTA 28-09'!A:A,0))</f>
        <v>339030</v>
      </c>
      <c r="R874" s="98" t="str">
        <f t="array" ref="R874">INDEX('MTA 28-09'!L:L,MATCH(B874,'MTA 28-09'!A:A,0))</f>
        <v>C</v>
      </c>
      <c r="S874" s="107" t="str">
        <f t="array" ref="S874">INDEX('MTA 28-09'!X:X,MATCH(B874,'MTA 28-09'!A:A,0))</f>
        <v>REQUISIÇÃO</v>
      </c>
      <c r="T874" s="107" t="str">
        <f t="array" ref="T874">INDEX('MTA 28-09'!W:W,MATCH(B874,'MTA 28-09'!A:A,0))</f>
        <v>Não</v>
      </c>
      <c r="U874" s="109">
        <f t="array" ref="U874">INDEX('MTA 28-09'!AE:AE,MATCH(B874,'MTA 28-09'!A:A,0))</f>
        <v>46352</v>
      </c>
      <c r="V874" s="29"/>
      <c r="W874" s="29"/>
      <c r="X874" s="29"/>
      <c r="Y874" s="29"/>
      <c r="Z874" s="29"/>
      <c r="AA874" s="29"/>
      <c r="AB874" s="29"/>
      <c r="AC874" s="29"/>
      <c r="AD874" s="29"/>
      <c r="AE874" s="29"/>
      <c r="AF874" s="29"/>
      <c r="AG874" s="29"/>
      <c r="AH874" s="29"/>
      <c r="AI874" s="29"/>
      <c r="AJ874" s="29"/>
      <c r="AK874" s="29"/>
      <c r="AL874" s="29"/>
      <c r="AM874" s="29"/>
    </row>
    <row r="875">
      <c r="A875" s="31" t="s">
        <v>45</v>
      </c>
      <c r="B875" s="32">
        <v>24660.0</v>
      </c>
      <c r="C875" s="33" t="str">
        <f t="array" ref="C875">INDEX('MTA 28-09'!B:B,MATCH(B875,'MTA 28-09'!A:A,0))</f>
        <v>NÃO</v>
      </c>
      <c r="D875" s="34" t="str">
        <f t="array" ref="D875">INDEX('MTA 28-09'!D:D,MATCH(B875,'MTA 28-09'!A:A,0))</f>
        <v/>
      </c>
      <c r="E875" s="32" t="str">
        <f t="array" ref="E875">INDEX('MTA 28-09'!F:F,MATCH(B875,'MTA 28-09'!A:A,0))</f>
        <v/>
      </c>
      <c r="F875" s="137" t="str">
        <f t="array" ref="F875">INDEX('MTA 28-09'!I:I,MATCH(B875,'MTA 28-09'!A:A,0))</f>
        <v/>
      </c>
      <c r="G875" s="36" t="str">
        <f t="array" ref="G875">INDEX('MTA 28-09'!J:J,MATCH(B875,'MTA 28-09'!A:A,0))</f>
        <v/>
      </c>
      <c r="H875" s="287" t="s">
        <v>157</v>
      </c>
      <c r="I875" s="295"/>
      <c r="J875" s="39"/>
      <c r="K875" s="40"/>
      <c r="L875" s="39" t="str">
        <f t="array" ref="L875">INDEX('MTA 28-09'!S:S,MATCH(B875,'MTA 28-09'!A:A,0))</f>
        <v>C-98</v>
      </c>
      <c r="M875" s="32" t="str">
        <f t="array" ref="M875">INDEX('MTA 28-09'!T:T,MATCH(B875,'MTA 28-09'!A:A,0))</f>
        <v>Requisição CABW</v>
      </c>
      <c r="N875" s="32" t="str">
        <f t="array" ref="N875">INDEX('MTA 28-09'!U:U,MATCH(B875,'MTA 28-09'!A:A,0))</f>
        <v>Requisições Consumíveis 4/8</v>
      </c>
      <c r="O875" s="59">
        <f t="array" ref="O875">INDEX('MTA 28-09'!AC:AC,MATCH(B875,'MTA 28-09'!A:A,0))</f>
        <v>835000</v>
      </c>
      <c r="P875" s="32" t="str">
        <f t="array" ref="P875">INDEX('MTA 28-09'!N:N,MATCH(B875,'MTA 28-09'!A:A,0))</f>
        <v>CABW</v>
      </c>
      <c r="Q875" s="67" t="str">
        <f t="array" ref="Q875">INDEX('MTA 28-09'!Z:Z,MATCH(B875,'MTA 28-09'!A:A,0))</f>
        <v>339030</v>
      </c>
      <c r="R875" s="32" t="str">
        <f t="array" ref="R875">INDEX('MTA 28-09'!L:L,MATCH(B875,'MTA 28-09'!A:A,0))</f>
        <v>C</v>
      </c>
      <c r="S875" s="72" t="str">
        <f t="array" ref="S875">INDEX('MTA 28-09'!X:X,MATCH(B875,'MTA 28-09'!A:A,0))</f>
        <v>REQUISIÇÃO</v>
      </c>
      <c r="T875" s="72" t="str">
        <f t="array" ref="T875">INDEX('MTA 28-09'!W:W,MATCH(B875,'MTA 28-09'!A:A,0))</f>
        <v>Não</v>
      </c>
      <c r="U875" s="81">
        <f t="array" ref="U875">INDEX('MTA 28-09'!AE:AE,MATCH(B875,'MTA 28-09'!A:A,0))</f>
        <v>46352</v>
      </c>
      <c r="V875" s="12"/>
      <c r="W875" s="12"/>
      <c r="X875" s="12"/>
      <c r="Y875" s="12"/>
      <c r="Z875" s="12"/>
      <c r="AA875" s="12"/>
      <c r="AB875" s="12"/>
      <c r="AC875" s="12"/>
      <c r="AD875" s="12"/>
      <c r="AE875" s="12"/>
      <c r="AF875" s="12"/>
      <c r="AG875" s="12"/>
      <c r="AH875" s="12"/>
      <c r="AI875" s="12"/>
      <c r="AJ875" s="12"/>
      <c r="AK875" s="12"/>
      <c r="AL875" s="12"/>
      <c r="AM875" s="12"/>
    </row>
    <row r="876">
      <c r="A876" s="88" t="s">
        <v>45</v>
      </c>
      <c r="B876" s="90">
        <v>24661.0</v>
      </c>
      <c r="C876" s="92" t="str">
        <f t="array" ref="C876">INDEX('MTA 28-09'!B:B,MATCH(B876,'MTA 28-09'!A:A,0))</f>
        <v>NÃO</v>
      </c>
      <c r="D876" s="95" t="str">
        <f t="array" ref="D876">INDEX('MTA 28-09'!D:D,MATCH(B876,'MTA 28-09'!A:A,0))</f>
        <v/>
      </c>
      <c r="E876" s="98" t="str">
        <f t="array" ref="E876">INDEX('MTA 28-09'!F:F,MATCH(B876,'MTA 28-09'!A:A,0))</f>
        <v/>
      </c>
      <c r="F876" s="99" t="str">
        <f t="array" ref="F876">INDEX('MTA 28-09'!I:I,MATCH(B876,'MTA 28-09'!A:A,0))</f>
        <v/>
      </c>
      <c r="G876" s="100" t="str">
        <f t="array" ref="G876">INDEX('MTA 28-09'!J:J,MATCH(B876,'MTA 28-09'!A:A,0))</f>
        <v/>
      </c>
      <c r="H876" s="159" t="s">
        <v>157</v>
      </c>
      <c r="I876" s="296"/>
      <c r="J876" s="102"/>
      <c r="K876" s="103"/>
      <c r="L876" s="102" t="str">
        <f t="array" ref="L876">INDEX('MTA 28-09'!S:S,MATCH(B876,'MTA 28-09'!A:A,0))</f>
        <v>C-98</v>
      </c>
      <c r="M876" s="98" t="str">
        <f t="array" ref="M876">INDEX('MTA 28-09'!T:T,MATCH(B876,'MTA 28-09'!A:A,0))</f>
        <v>Requisição CABW</v>
      </c>
      <c r="N876" s="98" t="str">
        <f t="array" ref="N876">INDEX('MTA 28-09'!U:U,MATCH(B876,'MTA 28-09'!A:A,0))</f>
        <v>Requisições Consumíveis 4/8</v>
      </c>
      <c r="O876" s="104">
        <f t="array" ref="O876">INDEX('MTA 28-09'!AC:AC,MATCH(B876,'MTA 28-09'!A:A,0))</f>
        <v>165000</v>
      </c>
      <c r="P876" s="98" t="str">
        <f t="array" ref="P876">INDEX('MTA 28-09'!N:N,MATCH(B876,'MTA 28-09'!A:A,0))</f>
        <v>CABW</v>
      </c>
      <c r="Q876" s="105" t="str">
        <f t="array" ref="Q876">INDEX('MTA 28-09'!Z:Z,MATCH(B876,'MTA 28-09'!A:A,0))</f>
        <v>339030</v>
      </c>
      <c r="R876" s="98" t="str">
        <f t="array" ref="R876">INDEX('MTA 28-09'!L:L,MATCH(B876,'MTA 28-09'!A:A,0))</f>
        <v>C</v>
      </c>
      <c r="S876" s="107" t="str">
        <f t="array" ref="S876">INDEX('MTA 28-09'!X:X,MATCH(B876,'MTA 28-09'!A:A,0))</f>
        <v>REQUISIÇÃO</v>
      </c>
      <c r="T876" s="107" t="str">
        <f t="array" ref="T876">INDEX('MTA 28-09'!W:W,MATCH(B876,'MTA 28-09'!A:A,0))</f>
        <v>Não</v>
      </c>
      <c r="U876" s="109">
        <f t="array" ref="U876">INDEX('MTA 28-09'!AE:AE,MATCH(B876,'MTA 28-09'!A:A,0))</f>
        <v>46229</v>
      </c>
      <c r="V876" s="29"/>
      <c r="W876" s="29"/>
      <c r="X876" s="29"/>
      <c r="Y876" s="29"/>
      <c r="Z876" s="29"/>
      <c r="AA876" s="29"/>
      <c r="AB876" s="29"/>
      <c r="AC876" s="29"/>
      <c r="AD876" s="29"/>
      <c r="AE876" s="29"/>
      <c r="AF876" s="29"/>
      <c r="AG876" s="29"/>
      <c r="AH876" s="29"/>
      <c r="AI876" s="29"/>
      <c r="AJ876" s="29"/>
      <c r="AK876" s="29"/>
      <c r="AL876" s="29"/>
      <c r="AM876" s="29"/>
    </row>
    <row r="877">
      <c r="A877" s="31" t="s">
        <v>45</v>
      </c>
      <c r="B877" s="32">
        <v>24680.0</v>
      </c>
      <c r="C877" s="33" t="str">
        <f t="array" ref="C877">INDEX('MTA 28-09'!B:B,MATCH(B877,'MTA 28-09'!A:A,0))</f>
        <v>NÃO</v>
      </c>
      <c r="D877" s="34" t="str">
        <f t="array" ref="D877">INDEX('MTA 28-09'!D:D,MATCH(B877,'MTA 28-09'!A:A,0))</f>
        <v/>
      </c>
      <c r="E877" s="32" t="str">
        <f t="array" ref="E877">INDEX('MTA 28-09'!F:F,MATCH(B877,'MTA 28-09'!A:A,0))</f>
        <v/>
      </c>
      <c r="F877" s="137" t="str">
        <f t="array" ref="F877">INDEX('MTA 28-09'!I:I,MATCH(B877,'MTA 28-09'!A:A,0))</f>
        <v/>
      </c>
      <c r="G877" s="36" t="str">
        <f t="array" ref="G877">INDEX('MTA 28-09'!J:J,MATCH(B877,'MTA 28-09'!A:A,0))</f>
        <v/>
      </c>
      <c r="H877" s="287" t="s">
        <v>157</v>
      </c>
      <c r="I877" s="295"/>
      <c r="J877" s="39"/>
      <c r="K877" s="40"/>
      <c r="L877" s="39" t="str">
        <f t="array" ref="L877">INDEX('MTA 28-09'!S:S,MATCH(B877,'MTA 28-09'!A:A,0))</f>
        <v>C-98</v>
      </c>
      <c r="M877" s="32" t="str">
        <f t="array" ref="M877">INDEX('MTA 28-09'!T:T,MATCH(B877,'MTA 28-09'!A:A,0))</f>
        <v>Requisição CABW</v>
      </c>
      <c r="N877" s="32" t="str">
        <f t="array" ref="N877">INDEX('MTA 28-09'!U:U,MATCH(B877,'MTA 28-09'!A:A,0))</f>
        <v>Requisições Consumíveis 6/8</v>
      </c>
      <c r="O877" s="59">
        <f t="array" ref="O877">INDEX('MTA 28-09'!AC:AC,MATCH(B877,'MTA 28-09'!A:A,0))</f>
        <v>1000000</v>
      </c>
      <c r="P877" s="32" t="str">
        <f t="array" ref="P877">INDEX('MTA 28-09'!N:N,MATCH(B877,'MTA 28-09'!A:A,0))</f>
        <v>CABW</v>
      </c>
      <c r="Q877" s="67" t="str">
        <f t="array" ref="Q877">INDEX('MTA 28-09'!Z:Z,MATCH(B877,'MTA 28-09'!A:A,0))</f>
        <v>339030</v>
      </c>
      <c r="R877" s="32" t="str">
        <f t="array" ref="R877">INDEX('MTA 28-09'!L:L,MATCH(B877,'MTA 28-09'!A:A,0))</f>
        <v>C</v>
      </c>
      <c r="S877" s="72" t="str">
        <f t="array" ref="S877">INDEX('MTA 28-09'!X:X,MATCH(B877,'MTA 28-09'!A:A,0))</f>
        <v>REQUISIÇÃO</v>
      </c>
      <c r="T877" s="72" t="str">
        <f t="array" ref="T877">INDEX('MTA 28-09'!W:W,MATCH(B877,'MTA 28-09'!A:A,0))</f>
        <v>Não</v>
      </c>
      <c r="U877" s="81">
        <f t="array" ref="U877">INDEX('MTA 28-09'!AE:AE,MATCH(B877,'MTA 28-09'!A:A,0))</f>
        <v>46352</v>
      </c>
      <c r="V877" s="12"/>
      <c r="W877" s="12"/>
      <c r="X877" s="12"/>
      <c r="Y877" s="12"/>
      <c r="Z877" s="12"/>
      <c r="AA877" s="12"/>
      <c r="AB877" s="12"/>
      <c r="AC877" s="12"/>
      <c r="AD877" s="12"/>
      <c r="AE877" s="12"/>
      <c r="AF877" s="12"/>
      <c r="AG877" s="12"/>
      <c r="AH877" s="12"/>
      <c r="AI877" s="12"/>
      <c r="AJ877" s="12"/>
      <c r="AK877" s="12"/>
      <c r="AL877" s="12"/>
      <c r="AM877" s="12"/>
    </row>
    <row r="878">
      <c r="A878" s="88" t="s">
        <v>45</v>
      </c>
      <c r="B878" s="98">
        <v>24700.0</v>
      </c>
      <c r="C878" s="92" t="str">
        <f t="array" ref="C878">INDEX('MTA 28-09'!B:B,MATCH(B878,'MTA 28-09'!A:A,0))</f>
        <v>NÃO</v>
      </c>
      <c r="D878" s="95" t="str">
        <f t="array" ref="D878">INDEX('MTA 28-09'!D:D,MATCH(B878,'MTA 28-09'!A:A,0))</f>
        <v/>
      </c>
      <c r="E878" s="98" t="str">
        <f t="array" ref="E878">INDEX('MTA 28-09'!F:F,MATCH(B878,'MTA 28-09'!A:A,0))</f>
        <v/>
      </c>
      <c r="F878" s="98" t="str">
        <f t="array" ref="F878">INDEX('MTA 28-09'!I:I,MATCH(B878,'MTA 28-09'!A:A,0))</f>
        <v/>
      </c>
      <c r="G878" s="100" t="str">
        <f t="array" ref="G878">INDEX('MTA 28-09'!J:J,MATCH(B878,'MTA 28-09'!A:A,0))</f>
        <v/>
      </c>
      <c r="H878" s="159" t="s">
        <v>157</v>
      </c>
      <c r="I878" s="296"/>
      <c r="J878" s="102"/>
      <c r="K878" s="103"/>
      <c r="L878" s="102" t="str">
        <f t="array" ref="L878">INDEX('MTA 28-09'!S:S,MATCH(B878,'MTA 28-09'!A:A,0))</f>
        <v>C-98</v>
      </c>
      <c r="M878" s="98" t="str">
        <f t="array" ref="M878">INDEX('MTA 28-09'!T:T,MATCH(B878,'MTA 28-09'!A:A,0))</f>
        <v>Requisição CABW</v>
      </c>
      <c r="N878" s="98" t="str">
        <f t="array" ref="N878">INDEX('MTA 28-09'!U:U,MATCH(B878,'MTA 28-09'!A:A,0))</f>
        <v>Requisições Consumíveis 8/8</v>
      </c>
      <c r="O878" s="104">
        <f t="array" ref="O878">INDEX('MTA 28-09'!AC:AC,MATCH(B878,'MTA 28-09'!A:A,0))</f>
        <v>1000000</v>
      </c>
      <c r="P878" s="98" t="str">
        <f t="array" ref="P878">INDEX('MTA 28-09'!N:N,MATCH(B878,'MTA 28-09'!A:A,0))</f>
        <v>CABW</v>
      </c>
      <c r="Q878" s="105" t="str">
        <f t="array" ref="Q878">INDEX('MTA 28-09'!Z:Z,MATCH(B878,'MTA 28-09'!A:A,0))</f>
        <v>339030</v>
      </c>
      <c r="R878" s="98" t="str">
        <f t="array" ref="R878">INDEX('MTA 28-09'!L:L,MATCH(B878,'MTA 28-09'!A:A,0))</f>
        <v>C</v>
      </c>
      <c r="S878" s="107" t="str">
        <f t="array" ref="S878">INDEX('MTA 28-09'!X:X,MATCH(B878,'MTA 28-09'!A:A,0))</f>
        <v>REQUISIÇÃO</v>
      </c>
      <c r="T878" s="107" t="str">
        <f t="array" ref="T878">INDEX('MTA 28-09'!W:W,MATCH(B878,'MTA 28-09'!A:A,0))</f>
        <v>Não</v>
      </c>
      <c r="U878" s="109">
        <f t="array" ref="U878">INDEX('MTA 28-09'!AE:AE,MATCH(B878,'MTA 28-09'!A:A,0))</f>
        <v>46352</v>
      </c>
      <c r="V878" s="29"/>
      <c r="W878" s="29"/>
      <c r="X878" s="29"/>
      <c r="Y878" s="29"/>
      <c r="Z878" s="29"/>
      <c r="AA878" s="29"/>
      <c r="AB878" s="29"/>
      <c r="AC878" s="29"/>
      <c r="AD878" s="29"/>
      <c r="AE878" s="29"/>
      <c r="AF878" s="29"/>
      <c r="AG878" s="29"/>
      <c r="AH878" s="29"/>
      <c r="AI878" s="29"/>
      <c r="AJ878" s="29"/>
      <c r="AK878" s="29"/>
      <c r="AL878" s="29"/>
      <c r="AM878" s="29"/>
    </row>
    <row r="879">
      <c r="A879" s="31" t="s">
        <v>45</v>
      </c>
      <c r="B879" s="32">
        <v>24720.0</v>
      </c>
      <c r="C879" s="33" t="str">
        <f t="array" ref="C879">INDEX('MTA 28-09'!B:B,MATCH(B879,'MTA 28-09'!A:A,0))</f>
        <v>NÃO</v>
      </c>
      <c r="D879" s="34" t="str">
        <f t="array" ref="D879">INDEX('MTA 28-09'!D:D,MATCH(B879,'MTA 28-09'!A:A,0))</f>
        <v/>
      </c>
      <c r="E879" s="32" t="str">
        <f t="array" ref="E879">INDEX('MTA 28-09'!F:F,MATCH(B879,'MTA 28-09'!A:A,0))</f>
        <v/>
      </c>
      <c r="F879" s="35" t="str">
        <f t="array" ref="F879">INDEX('MTA 28-09'!I:I,MATCH(B879,'MTA 28-09'!A:A,0))</f>
        <v/>
      </c>
      <c r="G879" s="36" t="str">
        <f t="array" ref="G879">INDEX('MTA 28-09'!J:J,MATCH(B879,'MTA 28-09'!A:A,0))</f>
        <v/>
      </c>
      <c r="H879" s="287" t="s">
        <v>157</v>
      </c>
      <c r="I879" s="295"/>
      <c r="J879" s="39"/>
      <c r="K879" s="40"/>
      <c r="L879" s="39" t="str">
        <f t="array" ref="L879">INDEX('MTA 28-09'!S:S,MATCH(B879,'MTA 28-09'!A:A,0))</f>
        <v>C-98</v>
      </c>
      <c r="M879" s="32" t="str">
        <f t="array" ref="M879">INDEX('MTA 28-09'!T:T,MATCH(B879,'MTA 28-09'!A:A,0))</f>
        <v>Requisição FMS</v>
      </c>
      <c r="N879" s="32" t="str">
        <f t="array" ref="N879">INDEX('MTA 28-09'!U:U,MATCH(B879,'MTA 28-09'!A:A,0))</f>
        <v>Requisições Consumíveis 4/4</v>
      </c>
      <c r="O879" s="59">
        <f t="array" ref="O879">INDEX('MTA 28-09'!AC:AC,MATCH(B879,'MTA 28-09'!A:A,0))</f>
        <v>100000</v>
      </c>
      <c r="P879" s="32" t="str">
        <f t="array" ref="P879">INDEX('MTA 28-09'!N:N,MATCH(B879,'MTA 28-09'!A:A,0))</f>
        <v>FMS</v>
      </c>
      <c r="Q879" s="67" t="str">
        <f t="array" ref="Q879">INDEX('MTA 28-09'!Z:Z,MATCH(B879,'MTA 28-09'!A:A,0))</f>
        <v>339030</v>
      </c>
      <c r="R879" s="32" t="str">
        <f t="array" ref="R879">INDEX('MTA 28-09'!L:L,MATCH(B879,'MTA 28-09'!A:A,0))</f>
        <v>C</v>
      </c>
      <c r="S879" s="72" t="str">
        <f t="array" ref="S879">INDEX('MTA 28-09'!X:X,MATCH(B879,'MTA 28-09'!A:A,0))</f>
        <v>REQUISIÇÃO</v>
      </c>
      <c r="T879" s="72" t="str">
        <f t="array" ref="T879">INDEX('MTA 28-09'!W:W,MATCH(B879,'MTA 28-09'!A:A,0))</f>
        <v>Não</v>
      </c>
      <c r="U879" s="81">
        <f t="array" ref="U879">INDEX('MTA 28-09'!AE:AE,MATCH(B879,'MTA 28-09'!A:A,0))</f>
        <v>46352</v>
      </c>
      <c r="V879" s="12"/>
      <c r="W879" s="12"/>
      <c r="X879" s="12"/>
      <c r="Y879" s="12"/>
      <c r="Z879" s="12"/>
      <c r="AA879" s="12"/>
      <c r="AB879" s="12"/>
      <c r="AC879" s="12"/>
      <c r="AD879" s="12"/>
      <c r="AE879" s="12"/>
      <c r="AF879" s="12"/>
      <c r="AG879" s="12"/>
      <c r="AH879" s="12"/>
      <c r="AI879" s="12"/>
      <c r="AJ879" s="12"/>
      <c r="AK879" s="12"/>
      <c r="AL879" s="12"/>
      <c r="AM879" s="12"/>
    </row>
    <row r="880">
      <c r="A880" s="88" t="s">
        <v>49</v>
      </c>
      <c r="B880" s="98">
        <v>24740.0</v>
      </c>
      <c r="C880" s="92" t="str">
        <f t="array" ref="C880">INDEX('MTA 28-09'!B:B,MATCH(B880,'MTA 28-09'!A:A,0))</f>
        <v>NÃO</v>
      </c>
      <c r="D880" s="95" t="str">
        <f t="array" ref="D880">INDEX('MTA 28-09'!D:D,MATCH(B880,'MTA 28-09'!A:A,0))</f>
        <v/>
      </c>
      <c r="E880" s="98" t="str">
        <f t="array" ref="E880">INDEX('MTA 28-09'!F:F,MATCH(B880,'MTA 28-09'!A:A,0))</f>
        <v/>
      </c>
      <c r="F880" s="144" t="str">
        <f t="array" ref="F880">INDEX('MTA 28-09'!I:I,MATCH(B880,'MTA 28-09'!A:A,0))</f>
        <v/>
      </c>
      <c r="G880" s="100" t="str">
        <f t="array" ref="G880">INDEX('MTA 28-09'!J:J,MATCH(B880,'MTA 28-09'!A:A,0))</f>
        <v/>
      </c>
      <c r="H880" s="159" t="s">
        <v>157</v>
      </c>
      <c r="I880" s="296"/>
      <c r="J880" s="102"/>
      <c r="K880" s="103"/>
      <c r="L880" s="102" t="str">
        <f t="array" ref="L880">INDEX('MTA 28-09'!S:S,MATCH(B880,'MTA 28-09'!A:A,0))</f>
        <v>IU-93M</v>
      </c>
      <c r="M880" s="98" t="str">
        <f t="array" ref="M880">INDEX('MTA 28-09'!T:T,MATCH(B880,'MTA 28-09'!A:A,0))</f>
        <v>CNT XXX/CELOG-PAMALS/2026 - Motores IU-93</v>
      </c>
      <c r="N880" s="98" t="str">
        <f t="array" ref="N880">INDEX('MTA 28-09'!U:U,MATCH(B880,'MTA 28-09'!A:A,0))</f>
        <v>REVISÃO GERAL 2/2</v>
      </c>
      <c r="O880" s="104">
        <f t="array" ref="O880">INDEX('MTA 28-09'!AC:AC,MATCH(B880,'MTA 28-09'!A:A,0))</f>
        <v>7480376</v>
      </c>
      <c r="P880" s="98" t="str">
        <f t="array" ref="P880">INDEX('MTA 28-09'!N:N,MATCH(B880,'MTA 28-09'!A:A,0))</f>
        <v>CELOG</v>
      </c>
      <c r="Q880" s="105" t="str">
        <f t="array" ref="Q880">INDEX('MTA 28-09'!Z:Z,MATCH(B880,'MTA 28-09'!A:A,0))</f>
        <v>339039</v>
      </c>
      <c r="R880" s="98" t="str">
        <f t="array" ref="R880">INDEX('MTA 28-09'!L:L,MATCH(B880,'MTA 28-09'!A:A,0))</f>
        <v>C</v>
      </c>
      <c r="S880" s="107" t="str">
        <f t="array" ref="S880">INDEX('MTA 28-09'!X:X,MATCH(B880,'MTA 28-09'!A:A,0))</f>
        <v>SOB DEMANDA</v>
      </c>
      <c r="T880" s="107" t="str">
        <f t="array" ref="T880">INDEX('MTA 28-09'!W:W,MATCH(B880,'MTA 28-09'!A:A,0))</f>
        <v>SIM</v>
      </c>
      <c r="U880" s="109">
        <f t="array" ref="U880">INDEX('MTA 28-09'!AE:AE,MATCH(B880,'MTA 28-09'!A:A,0))</f>
        <v>46352</v>
      </c>
      <c r="V880" s="29"/>
      <c r="W880" s="29"/>
      <c r="X880" s="29"/>
      <c r="Y880" s="29"/>
      <c r="Z880" s="29"/>
      <c r="AA880" s="29"/>
      <c r="AB880" s="29"/>
      <c r="AC880" s="29"/>
      <c r="AD880" s="29"/>
      <c r="AE880" s="29"/>
      <c r="AF880" s="29"/>
      <c r="AG880" s="29"/>
      <c r="AH880" s="29"/>
      <c r="AI880" s="29"/>
      <c r="AJ880" s="29"/>
      <c r="AK880" s="29"/>
      <c r="AL880" s="29"/>
      <c r="AM880" s="29"/>
    </row>
    <row r="881">
      <c r="A881" s="31" t="s">
        <v>49</v>
      </c>
      <c r="B881" s="32">
        <v>24760.0</v>
      </c>
      <c r="C881" s="33" t="str">
        <f t="array" ref="C881">INDEX('MTA 28-09'!B:B,MATCH(B881,'MTA 28-09'!A:A,0))</f>
        <v>NÃO</v>
      </c>
      <c r="D881" s="34" t="str">
        <f t="array" ref="D881">INDEX('MTA 28-09'!D:D,MATCH(B881,'MTA 28-09'!A:A,0))</f>
        <v/>
      </c>
      <c r="E881" s="32" t="str">
        <f t="array" ref="E881">INDEX('MTA 28-09'!F:F,MATCH(B881,'MTA 28-09'!A:A,0))</f>
        <v/>
      </c>
      <c r="F881" s="35" t="str">
        <f t="array" ref="F881">INDEX('MTA 28-09'!I:I,MATCH(B881,'MTA 28-09'!A:A,0))</f>
        <v/>
      </c>
      <c r="G881" s="36" t="str">
        <f t="array" ref="G881">INDEX('MTA 28-09'!J:J,MATCH(B881,'MTA 28-09'!A:A,0))</f>
        <v/>
      </c>
      <c r="H881" s="287" t="s">
        <v>157</v>
      </c>
      <c r="I881" s="295"/>
      <c r="J881" s="39"/>
      <c r="K881" s="40"/>
      <c r="L881" s="39" t="str">
        <f t="array" ref="L881">INDEX('MTA 28-09'!S:S,MATCH(B881,'MTA 28-09'!A:A,0))</f>
        <v>IU-93M</v>
      </c>
      <c r="M881" s="32" t="str">
        <f t="array" ref="M881">INDEX('MTA 28-09'!T:T,MATCH(B881,'MTA 28-09'!A:A,0))</f>
        <v>Requisição CABW</v>
      </c>
      <c r="N881" s="32" t="str">
        <f t="array" ref="N881">INDEX('MTA 28-09'!U:U,MATCH(B881,'MTA 28-09'!A:A,0))</f>
        <v>Requisições Consumíveis 2/4</v>
      </c>
      <c r="O881" s="59">
        <f t="array" ref="O881">INDEX('MTA 28-09'!AC:AC,MATCH(B881,'MTA 28-09'!A:A,0))</f>
        <v>250000</v>
      </c>
      <c r="P881" s="32" t="str">
        <f t="array" ref="P881">INDEX('MTA 28-09'!N:N,MATCH(B881,'MTA 28-09'!A:A,0))</f>
        <v>CABW</v>
      </c>
      <c r="Q881" s="67" t="str">
        <f t="array" ref="Q881">INDEX('MTA 28-09'!Z:Z,MATCH(B881,'MTA 28-09'!A:A,0))</f>
        <v>339030</v>
      </c>
      <c r="R881" s="32" t="str">
        <f t="array" ref="R881">INDEX('MTA 28-09'!L:L,MATCH(B881,'MTA 28-09'!A:A,0))</f>
        <v>C</v>
      </c>
      <c r="S881" s="72" t="str">
        <f t="array" ref="S881">INDEX('MTA 28-09'!X:X,MATCH(B881,'MTA 28-09'!A:A,0))</f>
        <v>REQUISIÇÃO</v>
      </c>
      <c r="T881" s="72" t="str">
        <f t="array" ref="T881">INDEX('MTA 28-09'!W:W,MATCH(B881,'MTA 28-09'!A:A,0))</f>
        <v>Não</v>
      </c>
      <c r="U881" s="81">
        <f t="array" ref="U881">INDEX('MTA 28-09'!AE:AE,MATCH(B881,'MTA 28-09'!A:A,0))</f>
        <v>46352</v>
      </c>
      <c r="V881" s="12"/>
      <c r="W881" s="12"/>
      <c r="X881" s="12"/>
      <c r="Y881" s="12"/>
      <c r="Z881" s="12"/>
      <c r="AA881" s="12"/>
      <c r="AB881" s="12"/>
      <c r="AC881" s="12"/>
      <c r="AD881" s="12"/>
      <c r="AE881" s="12"/>
      <c r="AF881" s="12"/>
      <c r="AG881" s="12"/>
      <c r="AH881" s="12"/>
      <c r="AI881" s="12"/>
      <c r="AJ881" s="12"/>
      <c r="AK881" s="12"/>
      <c r="AL881" s="12"/>
      <c r="AM881" s="12"/>
    </row>
    <row r="882">
      <c r="A882" s="88" t="s">
        <v>49</v>
      </c>
      <c r="B882" s="98">
        <v>24780.0</v>
      </c>
      <c r="C882" s="92" t="str">
        <f t="array" ref="C882">INDEX('MTA 28-09'!B:B,MATCH(B882,'MTA 28-09'!A:A,0))</f>
        <v>NÃO</v>
      </c>
      <c r="D882" s="95" t="str">
        <f t="array" ref="D882">INDEX('MTA 28-09'!D:D,MATCH(B882,'MTA 28-09'!A:A,0))</f>
        <v/>
      </c>
      <c r="E882" s="98" t="str">
        <f t="array" ref="E882">INDEX('MTA 28-09'!F:F,MATCH(B882,'MTA 28-09'!A:A,0))</f>
        <v/>
      </c>
      <c r="F882" s="98" t="str">
        <f t="array" ref="F882">INDEX('MTA 28-09'!I:I,MATCH(B882,'MTA 28-09'!A:A,0))</f>
        <v/>
      </c>
      <c r="G882" s="100" t="str">
        <f t="array" ref="G882">INDEX('MTA 28-09'!J:J,MATCH(B882,'MTA 28-09'!A:A,0))</f>
        <v/>
      </c>
      <c r="H882" s="159" t="s">
        <v>157</v>
      </c>
      <c r="I882" s="296"/>
      <c r="J882" s="102"/>
      <c r="K882" s="103"/>
      <c r="L882" s="102" t="str">
        <f t="array" ref="L882">INDEX('MTA 28-09'!S:S,MATCH(B882,'MTA 28-09'!A:A,0))</f>
        <v>IU-93M</v>
      </c>
      <c r="M882" s="98" t="str">
        <f t="array" ref="M882">INDEX('MTA 28-09'!T:T,MATCH(B882,'MTA 28-09'!A:A,0))</f>
        <v>Requisição CABW</v>
      </c>
      <c r="N882" s="98" t="str">
        <f t="array" ref="N882">INDEX('MTA 28-09'!U:U,MATCH(B882,'MTA 28-09'!A:A,0))</f>
        <v>Requisições Consumíveis 4/4</v>
      </c>
      <c r="O882" s="104">
        <f t="array" ref="O882">INDEX('MTA 28-09'!AC:AC,MATCH(B882,'MTA 28-09'!A:A,0))</f>
        <v>250000</v>
      </c>
      <c r="P882" s="98" t="str">
        <f t="array" ref="P882">INDEX('MTA 28-09'!N:N,MATCH(B882,'MTA 28-09'!A:A,0))</f>
        <v>CABW</v>
      </c>
      <c r="Q882" s="105" t="str">
        <f t="array" ref="Q882">INDEX('MTA 28-09'!Z:Z,MATCH(B882,'MTA 28-09'!A:A,0))</f>
        <v>339030</v>
      </c>
      <c r="R882" s="98" t="str">
        <f t="array" ref="R882">INDEX('MTA 28-09'!L:L,MATCH(B882,'MTA 28-09'!A:A,0))</f>
        <v>C</v>
      </c>
      <c r="S882" s="107" t="str">
        <f t="array" ref="S882">INDEX('MTA 28-09'!X:X,MATCH(B882,'MTA 28-09'!A:A,0))</f>
        <v>REQUISIÇÃO</v>
      </c>
      <c r="T882" s="107" t="str">
        <f t="array" ref="T882">INDEX('MTA 28-09'!W:W,MATCH(B882,'MTA 28-09'!A:A,0))</f>
        <v>Não</v>
      </c>
      <c r="U882" s="109">
        <f t="array" ref="U882">INDEX('MTA 28-09'!AE:AE,MATCH(B882,'MTA 28-09'!A:A,0))</f>
        <v>46352</v>
      </c>
      <c r="V882" s="29"/>
      <c r="W882" s="29"/>
      <c r="X882" s="29"/>
      <c r="Y882" s="29"/>
      <c r="Z882" s="29"/>
      <c r="AA882" s="29"/>
      <c r="AB882" s="29"/>
      <c r="AC882" s="29"/>
      <c r="AD882" s="29"/>
      <c r="AE882" s="29"/>
      <c r="AF882" s="29"/>
      <c r="AG882" s="29"/>
      <c r="AH882" s="29"/>
      <c r="AI882" s="29"/>
      <c r="AJ882" s="29"/>
      <c r="AK882" s="29"/>
      <c r="AL882" s="29"/>
      <c r="AM882" s="29"/>
    </row>
    <row r="883">
      <c r="A883" s="31" t="s">
        <v>49</v>
      </c>
      <c r="B883" s="32">
        <v>24800.0</v>
      </c>
      <c r="C883" s="33" t="str">
        <f t="array" ref="C883">INDEX('MTA 28-09'!B:B,MATCH(B883,'MTA 28-09'!A:A,0))</f>
        <v>NÃO</v>
      </c>
      <c r="D883" s="34" t="str">
        <f t="array" ref="D883">INDEX('MTA 28-09'!D:D,MATCH(B883,'MTA 28-09'!A:A,0))</f>
        <v/>
      </c>
      <c r="E883" s="32" t="str">
        <f t="array" ref="E883">INDEX('MTA 28-09'!F:F,MATCH(B883,'MTA 28-09'!A:A,0))</f>
        <v/>
      </c>
      <c r="F883" s="35" t="str">
        <f t="array" ref="F883">INDEX('MTA 28-09'!I:I,MATCH(B883,'MTA 28-09'!A:A,0))</f>
        <v/>
      </c>
      <c r="G883" s="36" t="str">
        <f t="array" ref="G883">INDEX('MTA 28-09'!J:J,MATCH(B883,'MTA 28-09'!A:A,0))</f>
        <v/>
      </c>
      <c r="H883" s="287" t="s">
        <v>157</v>
      </c>
      <c r="I883" s="295"/>
      <c r="J883" s="39"/>
      <c r="K883" s="40"/>
      <c r="L883" s="39" t="str">
        <f t="array" ref="L883">INDEX('MTA 28-09'!S:S,MATCH(B883,'MTA 28-09'!A:A,0))</f>
        <v>IU-93M</v>
      </c>
      <c r="M883" s="32" t="str">
        <f t="array" ref="M883">INDEX('MTA 28-09'!T:T,MATCH(B883,'MTA 28-09'!A:A,0))</f>
        <v>Requisição FMS</v>
      </c>
      <c r="N883" s="32" t="str">
        <f t="array" ref="N883">INDEX('MTA 28-09'!U:U,MATCH(B883,'MTA 28-09'!A:A,0))</f>
        <v>Requisições Consumíveis 4/4</v>
      </c>
      <c r="O883" s="59">
        <f t="array" ref="O883">INDEX('MTA 28-09'!AC:AC,MATCH(B883,'MTA 28-09'!A:A,0))</f>
        <v>30000</v>
      </c>
      <c r="P883" s="32" t="str">
        <f t="array" ref="P883">INDEX('MTA 28-09'!N:N,MATCH(B883,'MTA 28-09'!A:A,0))</f>
        <v>FMS</v>
      </c>
      <c r="Q883" s="67" t="str">
        <f t="array" ref="Q883">INDEX('MTA 28-09'!Z:Z,MATCH(B883,'MTA 28-09'!A:A,0))</f>
        <v>339030</v>
      </c>
      <c r="R883" s="32" t="str">
        <f t="array" ref="R883">INDEX('MTA 28-09'!L:L,MATCH(B883,'MTA 28-09'!A:A,0))</f>
        <v>C</v>
      </c>
      <c r="S883" s="72" t="str">
        <f t="array" ref="S883">INDEX('MTA 28-09'!X:X,MATCH(B883,'MTA 28-09'!A:A,0))</f>
        <v>REQUISIÇÃO</v>
      </c>
      <c r="T883" s="72" t="str">
        <f t="array" ref="T883">INDEX('MTA 28-09'!W:W,MATCH(B883,'MTA 28-09'!A:A,0))</f>
        <v>Não</v>
      </c>
      <c r="U883" s="81">
        <f t="array" ref="U883">INDEX('MTA 28-09'!AE:AE,MATCH(B883,'MTA 28-09'!A:A,0))</f>
        <v>46352</v>
      </c>
      <c r="V883" s="12"/>
      <c r="W883" s="12"/>
      <c r="X883" s="12"/>
      <c r="Y883" s="12"/>
      <c r="Z883" s="12"/>
      <c r="AA883" s="12"/>
      <c r="AB883" s="12"/>
      <c r="AC883" s="12"/>
      <c r="AD883" s="12"/>
      <c r="AE883" s="12"/>
      <c r="AF883" s="12"/>
      <c r="AG883" s="12"/>
      <c r="AH883" s="12"/>
      <c r="AI883" s="12"/>
      <c r="AJ883" s="12"/>
      <c r="AK883" s="12"/>
      <c r="AL883" s="12"/>
      <c r="AM883" s="12"/>
    </row>
    <row r="884">
      <c r="A884" s="88" t="s">
        <v>48</v>
      </c>
      <c r="B884" s="98">
        <v>24820.0</v>
      </c>
      <c r="C884" s="92" t="str">
        <f t="array" ref="C884">INDEX('MTA 28-09'!B:B,MATCH(B884,'MTA 28-09'!A:A,0))</f>
        <v>NÃO</v>
      </c>
      <c r="D884" s="95" t="str">
        <f t="array" ref="D884">INDEX('MTA 28-09'!D:D,MATCH(B884,'MTA 28-09'!A:A,0))</f>
        <v/>
      </c>
      <c r="E884" s="98" t="str">
        <f t="array" ref="E884">INDEX('MTA 28-09'!F:F,MATCH(B884,'MTA 28-09'!A:A,0))</f>
        <v>BLOQUEIO</v>
      </c>
      <c r="F884" s="99" t="str">
        <f t="array" ref="F884">INDEX('MTA 28-09'!I:I,MATCH(B884,'MTA 28-09'!A:A,0))</f>
        <v/>
      </c>
      <c r="G884" s="100" t="str">
        <f t="array" ref="G884">INDEX('MTA 28-09'!J:J,MATCH(B884,'MTA 28-09'!A:A,0))</f>
        <v/>
      </c>
      <c r="H884" s="159" t="s">
        <v>157</v>
      </c>
      <c r="I884" s="430"/>
      <c r="J884" s="102"/>
      <c r="K884" s="103"/>
      <c r="L884" s="102" t="str">
        <f t="array" ref="L884">INDEX('MTA 28-09'!S:S,MATCH(B884,'MTA 28-09'!A:A,0))</f>
        <v>G-19</v>
      </c>
      <c r="M884" s="98" t="str">
        <f t="array" ref="M884">INDEX('MTA 28-09'!T:T,MATCH(B884,'MTA 28-09'!A:A,0))</f>
        <v>Requisição CABW</v>
      </c>
      <c r="N884" s="98" t="str">
        <f t="array" ref="N884">INDEX('MTA 28-09'!U:U,MATCH(B884,'MTA 28-09'!A:A,0))</f>
        <v>Requisições Consumíveis 4/8</v>
      </c>
      <c r="O884" s="104">
        <f t="array" ref="O884">INDEX('MTA 28-09'!AC:AC,MATCH(B884,'MTA 28-09'!A:A,0))</f>
        <v>50000</v>
      </c>
      <c r="P884" s="98" t="str">
        <f t="array" ref="P884">INDEX('MTA 28-09'!N:N,MATCH(B884,'MTA 28-09'!A:A,0))</f>
        <v>CABW</v>
      </c>
      <c r="Q884" s="105" t="str">
        <f t="array" ref="Q884">INDEX('MTA 28-09'!Z:Z,MATCH(B884,'MTA 28-09'!A:A,0))</f>
        <v>339030</v>
      </c>
      <c r="R884" s="98" t="str">
        <f t="array" ref="R884">INDEX('MTA 28-09'!L:L,MATCH(B884,'MTA 28-09'!A:A,0))</f>
        <v>B</v>
      </c>
      <c r="S884" s="107" t="str">
        <f t="array" ref="S884">INDEX('MTA 28-09'!X:X,MATCH(B884,'MTA 28-09'!A:A,0))</f>
        <v>REQUISIÇÃO</v>
      </c>
      <c r="T884" s="107" t="str">
        <f t="array" ref="T884">INDEX('MTA 28-09'!W:W,MATCH(B884,'MTA 28-09'!A:A,0))</f>
        <v>Não</v>
      </c>
      <c r="U884" s="109">
        <f t="array" ref="U884">INDEX('MTA 28-09'!AE:AE,MATCH(B884,'MTA 28-09'!A:A,0))</f>
        <v>46352</v>
      </c>
      <c r="V884" s="29"/>
      <c r="W884" s="29"/>
      <c r="X884" s="29"/>
      <c r="Y884" s="29"/>
      <c r="Z884" s="29"/>
      <c r="AA884" s="29"/>
      <c r="AB884" s="29"/>
      <c r="AC884" s="29"/>
      <c r="AD884" s="29"/>
      <c r="AE884" s="29"/>
      <c r="AF884" s="29"/>
      <c r="AG884" s="29"/>
      <c r="AH884" s="29"/>
      <c r="AI884" s="29"/>
      <c r="AJ884" s="29"/>
      <c r="AK884" s="29"/>
      <c r="AL884" s="29"/>
      <c r="AM884" s="29"/>
    </row>
    <row r="885">
      <c r="A885" s="31" t="s">
        <v>48</v>
      </c>
      <c r="B885" s="32">
        <v>24840.0</v>
      </c>
      <c r="C885" s="33" t="str">
        <f t="array" ref="C885">INDEX('MTA 28-09'!B:B,MATCH(B885,'MTA 28-09'!A:A,0))</f>
        <v>NÃO</v>
      </c>
      <c r="D885" s="34" t="str">
        <f t="array" ref="D885">INDEX('MTA 28-09'!D:D,MATCH(B885,'MTA 28-09'!A:A,0))</f>
        <v/>
      </c>
      <c r="E885" s="32" t="str">
        <f t="array" ref="E885">INDEX('MTA 28-09'!F:F,MATCH(B885,'MTA 28-09'!A:A,0))</f>
        <v/>
      </c>
      <c r="F885" s="35" t="str">
        <f t="array" ref="F885">INDEX('MTA 28-09'!I:I,MATCH(B885,'MTA 28-09'!A:A,0))</f>
        <v/>
      </c>
      <c r="G885" s="36" t="str">
        <f t="array" ref="G885">INDEX('MTA 28-09'!J:J,MATCH(B885,'MTA 28-09'!A:A,0))</f>
        <v/>
      </c>
      <c r="H885" s="287" t="s">
        <v>157</v>
      </c>
      <c r="I885" s="295"/>
      <c r="J885" s="39"/>
      <c r="K885" s="40"/>
      <c r="L885" s="39" t="str">
        <f t="array" ref="L885">INDEX('MTA 28-09'!S:S,MATCH(B885,'MTA 28-09'!A:A,0))</f>
        <v>G-19</v>
      </c>
      <c r="M885" s="32" t="str">
        <f t="array" ref="M885">INDEX('MTA 28-09'!T:T,MATCH(B885,'MTA 28-09'!A:A,0))</f>
        <v>Requisição CABW</v>
      </c>
      <c r="N885" s="32" t="str">
        <f t="array" ref="N885">INDEX('MTA 28-09'!U:U,MATCH(B885,'MTA 28-09'!A:A,0))</f>
        <v>Requisições Consumíveis 6/8</v>
      </c>
      <c r="O885" s="59">
        <f t="array" ref="O885">INDEX('MTA 28-09'!AC:AC,MATCH(B885,'MTA 28-09'!A:A,0))</f>
        <v>130000</v>
      </c>
      <c r="P885" s="32" t="str">
        <f t="array" ref="P885">INDEX('MTA 28-09'!N:N,MATCH(B885,'MTA 28-09'!A:A,0))</f>
        <v>CABW</v>
      </c>
      <c r="Q885" s="67" t="str">
        <f t="array" ref="Q885">INDEX('MTA 28-09'!Z:Z,MATCH(B885,'MTA 28-09'!A:A,0))</f>
        <v>339030</v>
      </c>
      <c r="R885" s="32" t="str">
        <f t="array" ref="R885">INDEX('MTA 28-09'!L:L,MATCH(B885,'MTA 28-09'!A:A,0))</f>
        <v>C</v>
      </c>
      <c r="S885" s="72" t="str">
        <f t="array" ref="S885">INDEX('MTA 28-09'!X:X,MATCH(B885,'MTA 28-09'!A:A,0))</f>
        <v>REQUISIÇÃO</v>
      </c>
      <c r="T885" s="72" t="str">
        <f t="array" ref="T885">INDEX('MTA 28-09'!W:W,MATCH(B885,'MTA 28-09'!A:A,0))</f>
        <v>Não</v>
      </c>
      <c r="U885" s="81">
        <f t="array" ref="U885">INDEX('MTA 28-09'!AE:AE,MATCH(B885,'MTA 28-09'!A:A,0))</f>
        <v>46352</v>
      </c>
      <c r="V885" s="12"/>
      <c r="W885" s="12"/>
      <c r="X885" s="12"/>
      <c r="Y885" s="12"/>
      <c r="Z885" s="12"/>
      <c r="AA885" s="12"/>
      <c r="AB885" s="12"/>
      <c r="AC885" s="12"/>
      <c r="AD885" s="12"/>
      <c r="AE885" s="12"/>
      <c r="AF885" s="12"/>
      <c r="AG885" s="12"/>
      <c r="AH885" s="12"/>
      <c r="AI885" s="12"/>
      <c r="AJ885" s="12"/>
      <c r="AK885" s="12"/>
      <c r="AL885" s="12"/>
      <c r="AM885" s="12"/>
    </row>
    <row r="886">
      <c r="A886" s="88" t="s">
        <v>48</v>
      </c>
      <c r="B886" s="98">
        <v>24860.0</v>
      </c>
      <c r="C886" s="92" t="str">
        <f t="array" ref="C886">INDEX('MTA 28-09'!B:B,MATCH(B886,'MTA 28-09'!A:A,0))</f>
        <v>NÃO</v>
      </c>
      <c r="D886" s="95" t="str">
        <f t="array" ref="D886">INDEX('MTA 28-09'!D:D,MATCH(B886,'MTA 28-09'!A:A,0))</f>
        <v/>
      </c>
      <c r="E886" s="98" t="str">
        <f t="array" ref="E886">INDEX('MTA 28-09'!F:F,MATCH(B886,'MTA 28-09'!A:A,0))</f>
        <v/>
      </c>
      <c r="F886" s="99" t="str">
        <f t="array" ref="F886">INDEX('MTA 28-09'!I:I,MATCH(B886,'MTA 28-09'!A:A,0))</f>
        <v/>
      </c>
      <c r="G886" s="100" t="str">
        <f t="array" ref="G886">INDEX('MTA 28-09'!J:J,MATCH(B886,'MTA 28-09'!A:A,0))</f>
        <v/>
      </c>
      <c r="H886" s="159" t="s">
        <v>157</v>
      </c>
      <c r="I886" s="296"/>
      <c r="J886" s="102"/>
      <c r="K886" s="103"/>
      <c r="L886" s="102" t="str">
        <f t="array" ref="L886">INDEX('MTA 28-09'!S:S,MATCH(B886,'MTA 28-09'!A:A,0))</f>
        <v>G-19</v>
      </c>
      <c r="M886" s="98" t="str">
        <f t="array" ref="M886">INDEX('MTA 28-09'!T:T,MATCH(B886,'MTA 28-09'!A:A,0))</f>
        <v>Requisição CABW</v>
      </c>
      <c r="N886" s="98" t="str">
        <f t="array" ref="N886">INDEX('MTA 28-09'!U:U,MATCH(B886,'MTA 28-09'!A:A,0))</f>
        <v>Requisições Consumíveis 8/8</v>
      </c>
      <c r="O886" s="104">
        <f t="array" ref="O886">INDEX('MTA 28-09'!AC:AC,MATCH(B886,'MTA 28-09'!A:A,0))</f>
        <v>130000</v>
      </c>
      <c r="P886" s="98" t="str">
        <f t="array" ref="P886">INDEX('MTA 28-09'!N:N,MATCH(B886,'MTA 28-09'!A:A,0))</f>
        <v>CABW</v>
      </c>
      <c r="Q886" s="105" t="str">
        <f t="array" ref="Q886">INDEX('MTA 28-09'!Z:Z,MATCH(B886,'MTA 28-09'!A:A,0))</f>
        <v>339030</v>
      </c>
      <c r="R886" s="98" t="str">
        <f t="array" ref="R886">INDEX('MTA 28-09'!L:L,MATCH(B886,'MTA 28-09'!A:A,0))</f>
        <v>C</v>
      </c>
      <c r="S886" s="107" t="str">
        <f t="array" ref="S886">INDEX('MTA 28-09'!X:X,MATCH(B886,'MTA 28-09'!A:A,0))</f>
        <v>REQUISIÇÃO</v>
      </c>
      <c r="T886" s="107" t="str">
        <f t="array" ref="T886">INDEX('MTA 28-09'!W:W,MATCH(B886,'MTA 28-09'!A:A,0))</f>
        <v>Não</v>
      </c>
      <c r="U886" s="109">
        <f t="array" ref="U886">INDEX('MTA 28-09'!AE:AE,MATCH(B886,'MTA 28-09'!A:A,0))</f>
        <v>46352</v>
      </c>
      <c r="V886" s="29"/>
      <c r="W886" s="29"/>
      <c r="X886" s="29"/>
      <c r="Y886" s="29"/>
      <c r="Z886" s="29"/>
      <c r="AA886" s="29"/>
      <c r="AB886" s="29"/>
      <c r="AC886" s="29"/>
      <c r="AD886" s="29"/>
      <c r="AE886" s="29"/>
      <c r="AF886" s="29"/>
      <c r="AG886" s="29"/>
      <c r="AH886" s="29"/>
      <c r="AI886" s="29"/>
      <c r="AJ886" s="29"/>
      <c r="AK886" s="29"/>
      <c r="AL886" s="29"/>
      <c r="AM886" s="29"/>
    </row>
    <row r="887">
      <c r="A887" s="31" t="s">
        <v>1574</v>
      </c>
      <c r="B887" s="32">
        <v>24880.0</v>
      </c>
      <c r="C887" s="33" t="str">
        <f t="array" ref="C887">INDEX('MTA 28-09'!B:B,MATCH(B887,'MTA 28-09'!A:A,0))</f>
        <v>NÃO</v>
      </c>
      <c r="D887" s="34" t="str">
        <f t="array" ref="D887">INDEX('MTA 28-09'!D:D,MATCH(B887,'MTA 28-09'!A:A,0))</f>
        <v/>
      </c>
      <c r="E887" s="32" t="str">
        <f t="array" ref="E887">INDEX('MTA 28-09'!F:F,MATCH(B887,'MTA 28-09'!A:A,0))</f>
        <v/>
      </c>
      <c r="F887" s="35" t="str">
        <f t="array" ref="F887">INDEX('MTA 28-09'!I:I,MATCH(B887,'MTA 28-09'!A:A,0))</f>
        <v/>
      </c>
      <c r="G887" s="36" t="str">
        <f t="array" ref="G887">INDEX('MTA 28-09'!J:J,MATCH(B887,'MTA 28-09'!A:A,0))</f>
        <v/>
      </c>
      <c r="H887" s="287" t="s">
        <v>157</v>
      </c>
      <c r="I887" s="295"/>
      <c r="J887" s="39"/>
      <c r="K887" s="40"/>
      <c r="L887" s="39" t="str">
        <f t="array" ref="L887">INDEX('MTA 28-09'!S:S,MATCH(B887,'MTA 28-09'!A:A,0))</f>
        <v>APOIO</v>
      </c>
      <c r="M887" s="32" t="str">
        <f t="array" ref="M887">INDEX('MTA 28-09'!T:T,MATCH(B887,'MTA 28-09'!A:A,0))</f>
        <v>Requisição CABW</v>
      </c>
      <c r="N887" s="32" t="str">
        <f t="array" ref="N887">INDEX('MTA 28-09'!U:U,MATCH(B887,'MTA 28-09'!A:A,0))</f>
        <v>Requisições Consumíveis 4/4</v>
      </c>
      <c r="O887" s="59">
        <f t="array" ref="O887">INDEX('MTA 28-09'!AC:AC,MATCH(B887,'MTA 28-09'!A:A,0))</f>
        <v>68000</v>
      </c>
      <c r="P887" s="32" t="str">
        <f t="array" ref="P887">INDEX('MTA 28-09'!N:N,MATCH(B887,'MTA 28-09'!A:A,0))</f>
        <v>CABW</v>
      </c>
      <c r="Q887" s="67" t="str">
        <f t="array" ref="Q887">INDEX('MTA 28-09'!Z:Z,MATCH(B887,'MTA 28-09'!A:A,0))</f>
        <v>339030</v>
      </c>
      <c r="R887" s="32" t="str">
        <f t="array" ref="R887">INDEX('MTA 28-09'!L:L,MATCH(B887,'MTA 28-09'!A:A,0))</f>
        <v>C</v>
      </c>
      <c r="S887" s="72" t="str">
        <f t="array" ref="S887">INDEX('MTA 28-09'!X:X,MATCH(B887,'MTA 28-09'!A:A,0))</f>
        <v>REQUISIÇÃO</v>
      </c>
      <c r="T887" s="72" t="str">
        <f t="array" ref="T887">INDEX('MTA 28-09'!W:W,MATCH(B887,'MTA 28-09'!A:A,0))</f>
        <v>NÃO</v>
      </c>
      <c r="U887" s="81">
        <f t="array" ref="U887">INDEX('MTA 28-09'!AE:AE,MATCH(B887,'MTA 28-09'!A:A,0))</f>
        <v>46352</v>
      </c>
      <c r="V887" s="12"/>
      <c r="W887" s="12"/>
      <c r="X887" s="12"/>
      <c r="Y887" s="12"/>
      <c r="Z887" s="12"/>
      <c r="AA887" s="12"/>
      <c r="AB887" s="12"/>
      <c r="AC887" s="12"/>
      <c r="AD887" s="12"/>
      <c r="AE887" s="12"/>
      <c r="AF887" s="12"/>
      <c r="AG887" s="12"/>
      <c r="AH887" s="12"/>
      <c r="AI887" s="12"/>
      <c r="AJ887" s="12"/>
      <c r="AK887" s="12"/>
      <c r="AL887" s="12"/>
      <c r="AM887" s="12"/>
    </row>
    <row r="888">
      <c r="A888" s="88" t="s">
        <v>1577</v>
      </c>
      <c r="B888" s="98">
        <v>24900.0</v>
      </c>
      <c r="C888" s="92" t="str">
        <f t="array" ref="C888">INDEX('MTA 28-09'!B:B,MATCH(B888,'MTA 28-09'!A:A,0))</f>
        <v>NÃO</v>
      </c>
      <c r="D888" s="95" t="str">
        <f t="array" ref="D888">INDEX('MTA 28-09'!D:D,MATCH(B888,'MTA 28-09'!A:A,0))</f>
        <v/>
      </c>
      <c r="E888" s="98" t="str">
        <f t="array" ref="E888">INDEX('MTA 28-09'!F:F,MATCH(B888,'MTA 28-09'!A:A,0))</f>
        <v/>
      </c>
      <c r="F888" s="99" t="str">
        <f t="array" ref="F888">INDEX('MTA 28-09'!I:I,MATCH(B888,'MTA 28-09'!A:A,0))</f>
        <v/>
      </c>
      <c r="G888" s="100" t="str">
        <f t="array" ref="G888">INDEX('MTA 28-09'!J:J,MATCH(B888,'MTA 28-09'!A:A,0))</f>
        <v/>
      </c>
      <c r="H888" s="159" t="s">
        <v>157</v>
      </c>
      <c r="I888" s="296"/>
      <c r="J888" s="102"/>
      <c r="K888" s="103"/>
      <c r="L888" s="102" t="str">
        <f t="array" ref="L888">INDEX('MTA 28-09'!S:S,MATCH(B888,'MTA 28-09'!A:A,0))</f>
        <v>APOIO</v>
      </c>
      <c r="M888" s="98" t="str">
        <f t="array" ref="M888">INDEX('MTA 28-09'!T:T,MATCH(B888,'MTA 28-09'!A:A,0))</f>
        <v>Requisição CABW</v>
      </c>
      <c r="N888" s="98" t="str">
        <f t="array" ref="N888">INDEX('MTA 28-09'!U:U,MATCH(B888,'MTA 28-09'!A:A,0))</f>
        <v>Requisições Consumíveis 4/4</v>
      </c>
      <c r="O888" s="104">
        <f t="array" ref="O888">INDEX('MTA 28-09'!AC:AC,MATCH(B888,'MTA 28-09'!A:A,0))</f>
        <v>497000</v>
      </c>
      <c r="P888" s="98" t="str">
        <f t="array" ref="P888">INDEX('MTA 28-09'!N:N,MATCH(B888,'MTA 28-09'!A:A,0))</f>
        <v>CABW</v>
      </c>
      <c r="Q888" s="105" t="str">
        <f t="array" ref="Q888">INDEX('MTA 28-09'!Z:Z,MATCH(B888,'MTA 28-09'!A:A,0))</f>
        <v>339030</v>
      </c>
      <c r="R888" s="98" t="str">
        <f t="array" ref="R888">INDEX('MTA 28-09'!L:L,MATCH(B888,'MTA 28-09'!A:A,0))</f>
        <v>C</v>
      </c>
      <c r="S888" s="107" t="str">
        <f t="array" ref="S888">INDEX('MTA 28-09'!X:X,MATCH(B888,'MTA 28-09'!A:A,0))</f>
        <v>REQUISIÇÃO</v>
      </c>
      <c r="T888" s="107" t="str">
        <f t="array" ref="T888">INDEX('MTA 28-09'!W:W,MATCH(B888,'MTA 28-09'!A:A,0))</f>
        <v>NÃO</v>
      </c>
      <c r="U888" s="109">
        <f t="array" ref="U888">INDEX('MTA 28-09'!AE:AE,MATCH(B888,'MTA 28-09'!A:A,0))</f>
        <v>46352</v>
      </c>
      <c r="V888" s="29"/>
      <c r="W888" s="29"/>
      <c r="X888" s="29"/>
      <c r="Y888" s="29"/>
      <c r="Z888" s="29"/>
      <c r="AA888" s="29"/>
      <c r="AB888" s="29"/>
      <c r="AC888" s="29"/>
      <c r="AD888" s="29"/>
      <c r="AE888" s="29"/>
      <c r="AF888" s="29"/>
      <c r="AG888" s="29"/>
      <c r="AH888" s="29"/>
      <c r="AI888" s="29"/>
      <c r="AJ888" s="29"/>
      <c r="AK888" s="29"/>
      <c r="AL888" s="29"/>
      <c r="AM888" s="29"/>
    </row>
    <row r="889">
      <c r="A889" s="31" t="s">
        <v>1572</v>
      </c>
      <c r="B889" s="32">
        <v>24920.0</v>
      </c>
      <c r="C889" s="33" t="str">
        <f t="array" ref="C889">INDEX('MTA 28-09'!B:B,MATCH(B889,'MTA 28-09'!A:A,0))</f>
        <v>NÃO</v>
      </c>
      <c r="D889" s="34" t="str">
        <f t="array" ref="D889">INDEX('MTA 28-09'!D:D,MATCH(B889,'MTA 28-09'!A:A,0))</f>
        <v/>
      </c>
      <c r="E889" s="32" t="str">
        <f t="array" ref="E889">INDEX('MTA 28-09'!F:F,MATCH(B889,'MTA 28-09'!A:A,0))</f>
        <v/>
      </c>
      <c r="F889" s="35" t="str">
        <f t="array" ref="F889">INDEX('MTA 28-09'!I:I,MATCH(B889,'MTA 28-09'!A:A,0))</f>
        <v/>
      </c>
      <c r="G889" s="36" t="str">
        <f t="array" ref="G889">INDEX('MTA 28-09'!J:J,MATCH(B889,'MTA 28-09'!A:A,0))</f>
        <v/>
      </c>
      <c r="H889" s="287" t="s">
        <v>157</v>
      </c>
      <c r="I889" s="295"/>
      <c r="J889" s="39"/>
      <c r="K889" s="40"/>
      <c r="L889" s="39" t="str">
        <f t="array" ref="L889">INDEX('MTA 28-09'!S:S,MATCH(B889,'MTA 28-09'!A:A,0))</f>
        <v>APOIO</v>
      </c>
      <c r="M889" s="32" t="str">
        <f t="array" ref="M889">INDEX('MTA 28-09'!T:T,MATCH(B889,'MTA 28-09'!A:A,0))</f>
        <v>Requisição CABW</v>
      </c>
      <c r="N889" s="32" t="str">
        <f t="array" ref="N889">INDEX('MTA 28-09'!U:U,MATCH(B889,'MTA 28-09'!A:A,0))</f>
        <v>Requisições Consumíveis 4/4</v>
      </c>
      <c r="O889" s="59">
        <f t="array" ref="O889">INDEX('MTA 28-09'!AC:AC,MATCH(B889,'MTA 28-09'!A:A,0))</f>
        <v>280000</v>
      </c>
      <c r="P889" s="32" t="str">
        <f t="array" ref="P889">INDEX('MTA 28-09'!N:N,MATCH(B889,'MTA 28-09'!A:A,0))</f>
        <v>CABW</v>
      </c>
      <c r="Q889" s="67" t="str">
        <f t="array" ref="Q889">INDEX('MTA 28-09'!Z:Z,MATCH(B889,'MTA 28-09'!A:A,0))</f>
        <v>339030</v>
      </c>
      <c r="R889" s="32" t="str">
        <f t="array" ref="R889">INDEX('MTA 28-09'!L:L,MATCH(B889,'MTA 28-09'!A:A,0))</f>
        <v>C</v>
      </c>
      <c r="S889" s="72" t="str">
        <f t="array" ref="S889">INDEX('MTA 28-09'!X:X,MATCH(B889,'MTA 28-09'!A:A,0))</f>
        <v>REQUISIÇÃO</v>
      </c>
      <c r="T889" s="72" t="str">
        <f t="array" ref="T889">INDEX('MTA 28-09'!W:W,MATCH(B889,'MTA 28-09'!A:A,0))</f>
        <v>NÃO</v>
      </c>
      <c r="U889" s="81">
        <f t="array" ref="U889">INDEX('MTA 28-09'!AE:AE,MATCH(B889,'MTA 28-09'!A:A,0))</f>
        <v>46352</v>
      </c>
      <c r="V889" s="12"/>
      <c r="W889" s="12"/>
      <c r="X889" s="12"/>
      <c r="Y889" s="12"/>
      <c r="Z889" s="12"/>
      <c r="AA889" s="12"/>
      <c r="AB889" s="12"/>
      <c r="AC889" s="12"/>
      <c r="AD889" s="12"/>
      <c r="AE889" s="12"/>
      <c r="AF889" s="12"/>
      <c r="AG889" s="12"/>
      <c r="AH889" s="12"/>
      <c r="AI889" s="12"/>
      <c r="AJ889" s="12"/>
      <c r="AK889" s="12"/>
      <c r="AL889" s="12"/>
      <c r="AM889" s="12"/>
    </row>
    <row r="890">
      <c r="A890" s="88" t="s">
        <v>1573</v>
      </c>
      <c r="B890" s="98">
        <v>24940.0</v>
      </c>
      <c r="C890" s="92" t="str">
        <f t="array" ref="C890">INDEX('MTA 28-09'!B:B,MATCH(B890,'MTA 28-09'!A:A,0))</f>
        <v>NÃO</v>
      </c>
      <c r="D890" s="95" t="str">
        <f t="array" ref="D890">INDEX('MTA 28-09'!D:D,MATCH(B890,'MTA 28-09'!A:A,0))</f>
        <v/>
      </c>
      <c r="E890" s="98" t="str">
        <f t="array" ref="E890">INDEX('MTA 28-09'!F:F,MATCH(B890,'MTA 28-09'!A:A,0))</f>
        <v/>
      </c>
      <c r="F890" s="99" t="str">
        <f t="array" ref="F890">INDEX('MTA 28-09'!I:I,MATCH(B890,'MTA 28-09'!A:A,0))</f>
        <v/>
      </c>
      <c r="G890" s="100" t="str">
        <f t="array" ref="G890">INDEX('MTA 28-09'!J:J,MATCH(B890,'MTA 28-09'!A:A,0))</f>
        <v/>
      </c>
      <c r="H890" s="159" t="s">
        <v>157</v>
      </c>
      <c r="I890" s="296"/>
      <c r="J890" s="102"/>
      <c r="K890" s="103"/>
      <c r="L890" s="102" t="str">
        <f t="array" ref="L890">INDEX('MTA 28-09'!S:S,MATCH(B890,'MTA 28-09'!A:A,0))</f>
        <v>APOIO</v>
      </c>
      <c r="M890" s="98" t="str">
        <f t="array" ref="M890">INDEX('MTA 28-09'!T:T,MATCH(B890,'MTA 28-09'!A:A,0))</f>
        <v>Requisição CABW</v>
      </c>
      <c r="N890" s="98" t="str">
        <f t="array" ref="N890">INDEX('MTA 28-09'!U:U,MATCH(B890,'MTA 28-09'!A:A,0))</f>
        <v>Requisições Consumíveis 4/4</v>
      </c>
      <c r="O890" s="104">
        <f t="array" ref="O890">INDEX('MTA 28-09'!AC:AC,MATCH(B890,'MTA 28-09'!A:A,0))</f>
        <v>250000</v>
      </c>
      <c r="P890" s="98" t="str">
        <f t="array" ref="P890">INDEX('MTA 28-09'!N:N,MATCH(B890,'MTA 28-09'!A:A,0))</f>
        <v>CABW</v>
      </c>
      <c r="Q890" s="105" t="str">
        <f t="array" ref="Q890">INDEX('MTA 28-09'!Z:Z,MATCH(B890,'MTA 28-09'!A:A,0))</f>
        <v>339030</v>
      </c>
      <c r="R890" s="98" t="str">
        <f t="array" ref="R890">INDEX('MTA 28-09'!L:L,MATCH(B890,'MTA 28-09'!A:A,0))</f>
        <v>C</v>
      </c>
      <c r="S890" s="107" t="str">
        <f t="array" ref="S890">INDEX('MTA 28-09'!X:X,MATCH(B890,'MTA 28-09'!A:A,0))</f>
        <v>REQUISIÇÃO</v>
      </c>
      <c r="T890" s="107" t="str">
        <f t="array" ref="T890">INDEX('MTA 28-09'!W:W,MATCH(B890,'MTA 28-09'!A:A,0))</f>
        <v>NÃO</v>
      </c>
      <c r="U890" s="109">
        <f t="array" ref="U890">INDEX('MTA 28-09'!AE:AE,MATCH(B890,'MTA 28-09'!A:A,0))</f>
        <v>46352</v>
      </c>
      <c r="V890" s="29"/>
      <c r="W890" s="29"/>
      <c r="X890" s="29"/>
      <c r="Y890" s="29"/>
      <c r="Z890" s="29"/>
      <c r="AA890" s="29"/>
      <c r="AB890" s="29"/>
      <c r="AC890" s="29"/>
      <c r="AD890" s="29"/>
      <c r="AE890" s="29"/>
      <c r="AF890" s="29"/>
      <c r="AG890" s="29"/>
      <c r="AH890" s="29"/>
      <c r="AI890" s="29"/>
      <c r="AJ890" s="29"/>
      <c r="AK890" s="29"/>
      <c r="AL890" s="29"/>
      <c r="AM890" s="29"/>
    </row>
    <row r="891">
      <c r="A891" s="31" t="s">
        <v>44</v>
      </c>
      <c r="B891" s="32">
        <v>24960.0</v>
      </c>
      <c r="C891" s="33" t="str">
        <f t="array" ref="C891">INDEX('MTA 28-09'!B:B,MATCH(B891,'MTA 28-09'!A:A,0))</f>
        <v>NÃO</v>
      </c>
      <c r="D891" s="34" t="str">
        <f t="array" ref="D891">INDEX('MTA 28-09'!D:D,MATCH(B891,'MTA 28-09'!A:A,0))</f>
        <v/>
      </c>
      <c r="E891" s="32" t="str">
        <f t="array" ref="E891">INDEX('MTA 28-09'!F:F,MATCH(B891,'MTA 28-09'!A:A,0))</f>
        <v/>
      </c>
      <c r="F891" s="35" t="str">
        <f t="array" ref="F891">INDEX('MTA 28-09'!I:I,MATCH(B891,'MTA 28-09'!A:A,0))</f>
        <v/>
      </c>
      <c r="G891" s="36" t="str">
        <f t="array" ref="G891">INDEX('MTA 28-09'!J:J,MATCH(B891,'MTA 28-09'!A:A,0))</f>
        <v/>
      </c>
      <c r="H891" s="287" t="s">
        <v>157</v>
      </c>
      <c r="I891" s="295"/>
      <c r="J891" s="39"/>
      <c r="K891" s="40"/>
      <c r="L891" s="39" t="str">
        <f t="array" ref="L891">INDEX('MTA 28-09'!S:S,MATCH(B891,'MTA 28-09'!A:A,0))</f>
        <v>C-97</v>
      </c>
      <c r="M891" s="32" t="str">
        <f t="array" ref="M891">INDEX('MTA 28-09'!T:T,MATCH(B891,'MTA 28-09'!A:A,0))</f>
        <v>CTT 096/CAE-PAMALS/2021 - CLS C-97</v>
      </c>
      <c r="N891" s="32" t="str">
        <f t="array" ref="N891">INDEX('MTA 28-09'!U:U,MATCH(B891,'MTA 28-09'!A:A,0))</f>
        <v>Manutenção na empresa - Inspeção 5A</v>
      </c>
      <c r="O891" s="59">
        <f t="array" ref="O891">INDEX('MTA 28-09'!AC:AC,MATCH(B891,'MTA 28-09'!A:A,0))</f>
        <v>504000</v>
      </c>
      <c r="P891" s="32" t="str">
        <f t="array" ref="P891">INDEX('MTA 28-09'!N:N,MATCH(B891,'MTA 28-09'!A:A,0))</f>
        <v>CELOG</v>
      </c>
      <c r="Q891" s="67" t="str">
        <f t="array" ref="Q891">INDEX('MTA 28-09'!Z:Z,MATCH(B891,'MTA 28-09'!A:A,0))</f>
        <v>339039</v>
      </c>
      <c r="R891" s="32" t="str">
        <f t="array" ref="R891">INDEX('MTA 28-09'!L:L,MATCH(B891,'MTA 28-09'!A:A,0))</f>
        <v>C</v>
      </c>
      <c r="S891" s="72" t="str">
        <f t="array" ref="S891">INDEX('MTA 28-09'!X:X,MATCH(B891,'MTA 28-09'!A:A,0))</f>
        <v>SOB DEMANDA</v>
      </c>
      <c r="T891" s="72" t="str">
        <f t="array" ref="T891">INDEX('MTA 28-09'!W:W,MATCH(B891,'MTA 28-09'!A:A,0))</f>
        <v>Não</v>
      </c>
      <c r="U891" s="81">
        <f t="array" ref="U891">INDEX('MTA 28-09'!AE:AE,MATCH(B891,'MTA 28-09'!A:A,0))</f>
        <v>46352</v>
      </c>
      <c r="V891" s="12"/>
      <c r="W891" s="12"/>
      <c r="X891" s="12"/>
      <c r="Y891" s="12"/>
      <c r="Z891" s="12"/>
      <c r="AA891" s="12"/>
      <c r="AB891" s="12"/>
      <c r="AC891" s="12"/>
      <c r="AD891" s="12"/>
      <c r="AE891" s="12"/>
      <c r="AF891" s="12"/>
      <c r="AG891" s="12"/>
      <c r="AH891" s="12"/>
      <c r="AI891" s="12"/>
      <c r="AJ891" s="12"/>
      <c r="AK891" s="12"/>
      <c r="AL891" s="12"/>
      <c r="AM891" s="12"/>
    </row>
    <row r="892">
      <c r="A892" s="88" t="s">
        <v>1574</v>
      </c>
      <c r="B892" s="98">
        <v>24980.0</v>
      </c>
      <c r="C892" s="92" t="str">
        <f t="array" ref="C892">INDEX('MTA 28-09'!B:B,MATCH(B892,'MTA 28-09'!A:A,0))</f>
        <v>NÃO</v>
      </c>
      <c r="D892" s="95" t="str">
        <f t="array" ref="D892">INDEX('MTA 28-09'!D:D,MATCH(B892,'MTA 28-09'!A:A,0))</f>
        <v/>
      </c>
      <c r="E892" s="98" t="str">
        <f t="array" ref="E892">INDEX('MTA 28-09'!F:F,MATCH(B892,'MTA 28-09'!A:A,0))</f>
        <v/>
      </c>
      <c r="F892" s="99" t="str">
        <f t="array" ref="F892">INDEX('MTA 28-09'!I:I,MATCH(B892,'MTA 28-09'!A:A,0))</f>
        <v/>
      </c>
      <c r="G892" s="100" t="str">
        <f t="array" ref="G892">INDEX('MTA 28-09'!J:J,MATCH(B892,'MTA 28-09'!A:A,0))</f>
        <v/>
      </c>
      <c r="H892" s="159" t="s">
        <v>157</v>
      </c>
      <c r="I892" s="296"/>
      <c r="J892" s="102"/>
      <c r="K892" s="103"/>
      <c r="L892" s="102" t="str">
        <f t="array" ref="L892">INDEX('MTA 28-09'!S:S,MATCH(B892,'MTA 28-09'!A:A,0))</f>
        <v>APOIO</v>
      </c>
      <c r="M892" s="98" t="str">
        <f t="array" ref="M892">INDEX('MTA 28-09'!T:T,MATCH(B892,'MTA 28-09'!A:A,0))</f>
        <v>CTT XXX/CELOG-PAMALS/2026 – Aquisição de Consumíveis</v>
      </c>
      <c r="N892" s="98" t="str">
        <f t="array" ref="N892">INDEX('MTA 28-09'!U:U,MATCH(B892,'MTA 28-09'!A:A,0))</f>
        <v>Aquisição de consumíveis 4/4</v>
      </c>
      <c r="O892" s="104">
        <f t="array" ref="O892">INDEX('MTA 28-09'!AC:AC,MATCH(B892,'MTA 28-09'!A:A,0))</f>
        <v>135000</v>
      </c>
      <c r="P892" s="98" t="str">
        <f t="array" ref="P892">INDEX('MTA 28-09'!N:N,MATCH(B892,'MTA 28-09'!A:A,0))</f>
        <v>CELOG</v>
      </c>
      <c r="Q892" s="105" t="str">
        <f t="array" ref="Q892">INDEX('MTA 28-09'!Z:Z,MATCH(B892,'MTA 28-09'!A:A,0))</f>
        <v>339030</v>
      </c>
      <c r="R892" s="98" t="str">
        <f t="array" ref="R892">INDEX('MTA 28-09'!L:L,MATCH(B892,'MTA 28-09'!A:A,0))</f>
        <v>C</v>
      </c>
      <c r="S892" s="107" t="str">
        <f t="array" ref="S892">INDEX('MTA 28-09'!X:X,MATCH(B892,'MTA 28-09'!A:A,0))</f>
        <v>SOB DEMANDA</v>
      </c>
      <c r="T892" s="107" t="str">
        <f t="array" ref="T892">INDEX('MTA 28-09'!W:W,MATCH(B892,'MTA 28-09'!A:A,0))</f>
        <v>NÃO</v>
      </c>
      <c r="U892" s="109">
        <f t="array" ref="U892">INDEX('MTA 28-09'!AE:AE,MATCH(B892,'MTA 28-09'!A:A,0))</f>
        <v>46352</v>
      </c>
      <c r="V892" s="29"/>
      <c r="W892" s="29"/>
      <c r="X892" s="29"/>
      <c r="Y892" s="29"/>
      <c r="Z892" s="29"/>
      <c r="AA892" s="29"/>
      <c r="AB892" s="29"/>
      <c r="AC892" s="29"/>
      <c r="AD892" s="29"/>
      <c r="AE892" s="29"/>
      <c r="AF892" s="29"/>
      <c r="AG892" s="29"/>
      <c r="AH892" s="29"/>
      <c r="AI892" s="29"/>
      <c r="AJ892" s="29"/>
      <c r="AK892" s="29"/>
      <c r="AL892" s="29"/>
      <c r="AM892" s="29"/>
    </row>
    <row r="893">
      <c r="A893" s="31" t="s">
        <v>1574</v>
      </c>
      <c r="B893" s="32">
        <v>25000.0</v>
      </c>
      <c r="C893" s="33" t="str">
        <f t="array" ref="C893">INDEX('MTA 28-09'!B:B,MATCH(B893,'MTA 28-09'!A:A,0))</f>
        <v>NÃO</v>
      </c>
      <c r="D893" s="34" t="str">
        <f t="array" ref="D893">INDEX('MTA 28-09'!D:D,MATCH(B893,'MTA 28-09'!A:A,0))</f>
        <v/>
      </c>
      <c r="E893" s="32" t="str">
        <f t="array" ref="E893">INDEX('MTA 28-09'!F:F,MATCH(B893,'MTA 28-09'!A:A,0))</f>
        <v/>
      </c>
      <c r="F893" s="35" t="str">
        <f t="array" ref="F893">INDEX('MTA 28-09'!I:I,MATCH(B893,'MTA 28-09'!A:A,0))</f>
        <v/>
      </c>
      <c r="G893" s="36" t="str">
        <f t="array" ref="G893">INDEX('MTA 28-09'!J:J,MATCH(B893,'MTA 28-09'!A:A,0))</f>
        <v/>
      </c>
      <c r="H893" s="287" t="s">
        <v>157</v>
      </c>
      <c r="I893" s="295"/>
      <c r="J893" s="39"/>
      <c r="K893" s="40"/>
      <c r="L893" s="39" t="str">
        <f t="array" ref="L893">INDEX('MTA 28-09'!S:S,MATCH(B893,'MTA 28-09'!A:A,0))</f>
        <v>APOIO</v>
      </c>
      <c r="M893" s="32" t="str">
        <f t="array" ref="M893">INDEX('MTA 28-09'!T:T,MATCH(B893,'MTA 28-09'!A:A,0))</f>
        <v>CTT XXX/CELOG-PAMALS/2026 – Aquisição de Consumíveis</v>
      </c>
      <c r="N893" s="32" t="str">
        <f t="array" ref="N893">INDEX('MTA 28-09'!U:U,MATCH(B893,'MTA 28-09'!A:A,0))</f>
        <v>Aquisição de consumíveis 4/4</v>
      </c>
      <c r="O893" s="59">
        <f t="array" ref="O893">INDEX('MTA 28-09'!AC:AC,MATCH(B893,'MTA 28-09'!A:A,0))</f>
        <v>135000</v>
      </c>
      <c r="P893" s="32" t="str">
        <f t="array" ref="P893">INDEX('MTA 28-09'!N:N,MATCH(B893,'MTA 28-09'!A:A,0))</f>
        <v>CELOG</v>
      </c>
      <c r="Q893" s="67" t="str">
        <f t="array" ref="Q893">INDEX('MTA 28-09'!Z:Z,MATCH(B893,'MTA 28-09'!A:A,0))</f>
        <v>339030</v>
      </c>
      <c r="R893" s="32" t="str">
        <f t="array" ref="R893">INDEX('MTA 28-09'!L:L,MATCH(B893,'MTA 28-09'!A:A,0))</f>
        <v>C</v>
      </c>
      <c r="S893" s="72" t="str">
        <f t="array" ref="S893">INDEX('MTA 28-09'!X:X,MATCH(B893,'MTA 28-09'!A:A,0))</f>
        <v>SOB DEMANDA</v>
      </c>
      <c r="T893" s="72" t="str">
        <f t="array" ref="T893">INDEX('MTA 28-09'!W:W,MATCH(B893,'MTA 28-09'!A:A,0))</f>
        <v>NÃO</v>
      </c>
      <c r="U893" s="81">
        <f t="array" ref="U893">INDEX('MTA 28-09'!AE:AE,MATCH(B893,'MTA 28-09'!A:A,0))</f>
        <v>46352</v>
      </c>
      <c r="V893" s="12"/>
      <c r="W893" s="12"/>
      <c r="X893" s="12"/>
      <c r="Y893" s="12"/>
      <c r="Z893" s="12"/>
      <c r="AA893" s="12"/>
      <c r="AB893" s="12"/>
      <c r="AC893" s="12"/>
      <c r="AD893" s="12"/>
      <c r="AE893" s="12"/>
      <c r="AF893" s="12"/>
      <c r="AG893" s="12"/>
      <c r="AH893" s="12"/>
      <c r="AI893" s="12"/>
      <c r="AJ893" s="12"/>
      <c r="AK893" s="12"/>
      <c r="AL893" s="12"/>
      <c r="AM893" s="12"/>
    </row>
    <row r="894">
      <c r="A894" s="88" t="s">
        <v>1575</v>
      </c>
      <c r="B894" s="98">
        <v>25020.0</v>
      </c>
      <c r="C894" s="92" t="str">
        <f t="array" ref="C894">INDEX('MTA 28-09'!B:B,MATCH(B894,'MTA 28-09'!A:A,0))</f>
        <v>NÃO</v>
      </c>
      <c r="D894" s="95" t="str">
        <f t="array" ref="D894">INDEX('MTA 28-09'!D:D,MATCH(B894,'MTA 28-09'!A:A,0))</f>
        <v/>
      </c>
      <c r="E894" s="98" t="str">
        <f t="array" ref="E894">INDEX('MTA 28-09'!F:F,MATCH(B894,'MTA 28-09'!A:A,0))</f>
        <v/>
      </c>
      <c r="F894" s="99" t="str">
        <f t="array" ref="F894">INDEX('MTA 28-09'!I:I,MATCH(B894,'MTA 28-09'!A:A,0))</f>
        <v/>
      </c>
      <c r="G894" s="100" t="str">
        <f t="array" ref="G894">INDEX('MTA 28-09'!J:J,MATCH(B894,'MTA 28-09'!A:A,0))</f>
        <v/>
      </c>
      <c r="H894" s="159" t="s">
        <v>157</v>
      </c>
      <c r="I894" s="296"/>
      <c r="J894" s="102"/>
      <c r="K894" s="103"/>
      <c r="L894" s="102" t="str">
        <f t="array" ref="L894">INDEX('MTA 28-09'!S:S,MATCH(B894,'MTA 28-09'!A:A,0))</f>
        <v>APOIO</v>
      </c>
      <c r="M894" s="98" t="str">
        <f t="array" ref="M894">INDEX('MTA 28-09'!T:T,MATCH(B894,'MTA 28-09'!A:A,0))</f>
        <v>CTT XXX/CELOG-PAMALS/2026 – Aquisição de Consumíveis</v>
      </c>
      <c r="N894" s="98" t="str">
        <f t="array" ref="N894">INDEX('MTA 28-09'!U:U,MATCH(B894,'MTA 28-09'!A:A,0))</f>
        <v>Aquisição de consumíveis 4/4</v>
      </c>
      <c r="O894" s="104">
        <f t="array" ref="O894">INDEX('MTA 28-09'!AC:AC,MATCH(B894,'MTA 28-09'!A:A,0))</f>
        <v>621000</v>
      </c>
      <c r="P894" s="98" t="str">
        <f t="array" ref="P894">INDEX('MTA 28-09'!N:N,MATCH(B894,'MTA 28-09'!A:A,0))</f>
        <v>CELOG</v>
      </c>
      <c r="Q894" s="105" t="str">
        <f t="array" ref="Q894">INDEX('MTA 28-09'!Z:Z,MATCH(B894,'MTA 28-09'!A:A,0))</f>
        <v>339030</v>
      </c>
      <c r="R894" s="98" t="str">
        <f t="array" ref="R894">INDEX('MTA 28-09'!L:L,MATCH(B894,'MTA 28-09'!A:A,0))</f>
        <v>C</v>
      </c>
      <c r="S894" s="107" t="str">
        <f t="array" ref="S894">INDEX('MTA 28-09'!X:X,MATCH(B894,'MTA 28-09'!A:A,0))</f>
        <v>SOB DEMANDA</v>
      </c>
      <c r="T894" s="107" t="str">
        <f t="array" ref="T894">INDEX('MTA 28-09'!W:W,MATCH(B894,'MTA 28-09'!A:A,0))</f>
        <v>NÃO</v>
      </c>
      <c r="U894" s="109">
        <f t="array" ref="U894">INDEX('MTA 28-09'!AE:AE,MATCH(B894,'MTA 28-09'!A:A,0))</f>
        <v>46352</v>
      </c>
      <c r="V894" s="29"/>
      <c r="W894" s="29"/>
      <c r="X894" s="29"/>
      <c r="Y894" s="29"/>
      <c r="Z894" s="29"/>
      <c r="AA894" s="29"/>
      <c r="AB894" s="29"/>
      <c r="AC894" s="29"/>
      <c r="AD894" s="29"/>
      <c r="AE894" s="29"/>
      <c r="AF894" s="29"/>
      <c r="AG894" s="29"/>
      <c r="AH894" s="29"/>
      <c r="AI894" s="29"/>
      <c r="AJ894" s="29"/>
      <c r="AK894" s="29"/>
      <c r="AL894" s="29"/>
      <c r="AM894" s="29"/>
    </row>
    <row r="895">
      <c r="A895" s="31" t="s">
        <v>1572</v>
      </c>
      <c r="B895" s="32">
        <v>25040.0</v>
      </c>
      <c r="C895" s="33" t="str">
        <f t="array" ref="C895">INDEX('MTA 28-09'!B:B,MATCH(B895,'MTA 28-09'!A:A,0))</f>
        <v>NÃO</v>
      </c>
      <c r="D895" s="34" t="str">
        <f t="array" ref="D895">INDEX('MTA 28-09'!D:D,MATCH(B895,'MTA 28-09'!A:A,0))</f>
        <v/>
      </c>
      <c r="E895" s="32" t="str">
        <f t="array" ref="E895">INDEX('MTA 28-09'!F:F,MATCH(B895,'MTA 28-09'!A:A,0))</f>
        <v/>
      </c>
      <c r="F895" s="35" t="str">
        <f t="array" ref="F895">INDEX('MTA 28-09'!I:I,MATCH(B895,'MTA 28-09'!A:A,0))</f>
        <v/>
      </c>
      <c r="G895" s="36" t="str">
        <f t="array" ref="G895">INDEX('MTA 28-09'!J:J,MATCH(B895,'MTA 28-09'!A:A,0))</f>
        <v/>
      </c>
      <c r="H895" s="287" t="s">
        <v>157</v>
      </c>
      <c r="I895" s="295"/>
      <c r="J895" s="39"/>
      <c r="K895" s="40"/>
      <c r="L895" s="39" t="str">
        <f t="array" ref="L895">INDEX('MTA 28-09'!S:S,MATCH(B895,'MTA 28-09'!A:A,0))</f>
        <v>APOIO</v>
      </c>
      <c r="M895" s="32" t="str">
        <f t="array" ref="M895">INDEX('MTA 28-09'!T:T,MATCH(B895,'MTA 28-09'!A:A,0))</f>
        <v>CTT XXX/CELOG-PAMALS/2026 – Aquisição de Consumíveis</v>
      </c>
      <c r="N895" s="32" t="str">
        <f t="array" ref="N895">INDEX('MTA 28-09'!U:U,MATCH(B895,'MTA 28-09'!A:A,0))</f>
        <v>Aquisição de consumíveis 4/4</v>
      </c>
      <c r="O895" s="59">
        <f t="array" ref="O895">INDEX('MTA 28-09'!AC:AC,MATCH(B895,'MTA 28-09'!A:A,0))</f>
        <v>430000</v>
      </c>
      <c r="P895" s="32" t="str">
        <f t="array" ref="P895">INDEX('MTA 28-09'!N:N,MATCH(B895,'MTA 28-09'!A:A,0))</f>
        <v>CELOG</v>
      </c>
      <c r="Q895" s="67" t="str">
        <f t="array" ref="Q895">INDEX('MTA 28-09'!Z:Z,MATCH(B895,'MTA 28-09'!A:A,0))</f>
        <v>339030</v>
      </c>
      <c r="R895" s="32" t="str">
        <f t="array" ref="R895">INDEX('MTA 28-09'!L:L,MATCH(B895,'MTA 28-09'!A:A,0))</f>
        <v>C</v>
      </c>
      <c r="S895" s="72" t="str">
        <f t="array" ref="S895">INDEX('MTA 28-09'!X:X,MATCH(B895,'MTA 28-09'!A:A,0))</f>
        <v>SOB DEMANDA</v>
      </c>
      <c r="T895" s="72" t="str">
        <f t="array" ref="T895">INDEX('MTA 28-09'!W:W,MATCH(B895,'MTA 28-09'!A:A,0))</f>
        <v>NÃO</v>
      </c>
      <c r="U895" s="81">
        <f t="array" ref="U895">INDEX('MTA 28-09'!AE:AE,MATCH(B895,'MTA 28-09'!A:A,0))</f>
        <v>46352</v>
      </c>
      <c r="V895" s="12"/>
      <c r="W895" s="12"/>
      <c r="X895" s="12"/>
      <c r="Y895" s="12"/>
      <c r="Z895" s="12"/>
      <c r="AA895" s="12"/>
      <c r="AB895" s="12"/>
      <c r="AC895" s="12"/>
      <c r="AD895" s="12"/>
      <c r="AE895" s="12"/>
      <c r="AF895" s="12"/>
      <c r="AG895" s="12"/>
      <c r="AH895" s="12"/>
      <c r="AI895" s="12"/>
      <c r="AJ895" s="12"/>
      <c r="AK895" s="12"/>
      <c r="AL895" s="12"/>
      <c r="AM895" s="12"/>
    </row>
    <row r="896">
      <c r="A896" s="88" t="s">
        <v>1573</v>
      </c>
      <c r="B896" s="98">
        <v>25060.0</v>
      </c>
      <c r="C896" s="92" t="str">
        <f t="array" ref="C896">INDEX('MTA 28-09'!B:B,MATCH(B896,'MTA 28-09'!A:A,0))</f>
        <v>NÃO</v>
      </c>
      <c r="D896" s="95" t="str">
        <f t="array" ref="D896">INDEX('MTA 28-09'!D:D,MATCH(B896,'MTA 28-09'!A:A,0))</f>
        <v/>
      </c>
      <c r="E896" s="98" t="str">
        <f t="array" ref="E896">INDEX('MTA 28-09'!F:F,MATCH(B896,'MTA 28-09'!A:A,0))</f>
        <v/>
      </c>
      <c r="F896" s="99" t="str">
        <f t="array" ref="F896">INDEX('MTA 28-09'!I:I,MATCH(B896,'MTA 28-09'!A:A,0))</f>
        <v/>
      </c>
      <c r="G896" s="100" t="str">
        <f t="array" ref="G896">INDEX('MTA 28-09'!J:J,MATCH(B896,'MTA 28-09'!A:A,0))</f>
        <v/>
      </c>
      <c r="H896" s="159" t="s">
        <v>157</v>
      </c>
      <c r="I896" s="296"/>
      <c r="J896" s="102"/>
      <c r="K896" s="103"/>
      <c r="L896" s="102" t="str">
        <f t="array" ref="L896">INDEX('MTA 28-09'!S:S,MATCH(B896,'MTA 28-09'!A:A,0))</f>
        <v>APOIO</v>
      </c>
      <c r="M896" s="98" t="str">
        <f t="array" ref="M896">INDEX('MTA 28-09'!T:T,MATCH(B896,'MTA 28-09'!A:A,0))</f>
        <v>CTT XXX/CELOG-PAMALS/2026 – Aquisição de Consumíveis</v>
      </c>
      <c r="N896" s="98" t="str">
        <f t="array" ref="N896">INDEX('MTA 28-09'!U:U,MATCH(B896,'MTA 28-09'!A:A,0))</f>
        <v>Aquisição de consumíveis 4/4</v>
      </c>
      <c r="O896" s="104">
        <f t="array" ref="O896">INDEX('MTA 28-09'!AC:AC,MATCH(B896,'MTA 28-09'!A:A,0))</f>
        <v>378000</v>
      </c>
      <c r="P896" s="98" t="str">
        <f t="array" ref="P896">INDEX('MTA 28-09'!N:N,MATCH(B896,'MTA 28-09'!A:A,0))</f>
        <v>CELOG</v>
      </c>
      <c r="Q896" s="105" t="str">
        <f t="array" ref="Q896">INDEX('MTA 28-09'!Z:Z,MATCH(B896,'MTA 28-09'!A:A,0))</f>
        <v>339030</v>
      </c>
      <c r="R896" s="98" t="str">
        <f t="array" ref="R896">INDEX('MTA 28-09'!L:L,MATCH(B896,'MTA 28-09'!A:A,0))</f>
        <v>C</v>
      </c>
      <c r="S896" s="107" t="str">
        <f t="array" ref="S896">INDEX('MTA 28-09'!X:X,MATCH(B896,'MTA 28-09'!A:A,0))</f>
        <v>SOB DEMANDA</v>
      </c>
      <c r="T896" s="107" t="str">
        <f t="array" ref="T896">INDEX('MTA 28-09'!W:W,MATCH(B896,'MTA 28-09'!A:A,0))</f>
        <v>NÃO</v>
      </c>
      <c r="U896" s="109">
        <f t="array" ref="U896">INDEX('MTA 28-09'!AE:AE,MATCH(B896,'MTA 28-09'!A:A,0))</f>
        <v>46352</v>
      </c>
      <c r="V896" s="29"/>
      <c r="W896" s="29"/>
      <c r="X896" s="29"/>
      <c r="Y896" s="29"/>
      <c r="Z896" s="29"/>
      <c r="AA896" s="29"/>
      <c r="AB896" s="29"/>
      <c r="AC896" s="29"/>
      <c r="AD896" s="29"/>
      <c r="AE896" s="29"/>
      <c r="AF896" s="29"/>
      <c r="AG896" s="29"/>
      <c r="AH896" s="29"/>
      <c r="AI896" s="29"/>
      <c r="AJ896" s="29"/>
      <c r="AK896" s="29"/>
      <c r="AL896" s="29"/>
      <c r="AM896" s="29"/>
    </row>
    <row r="897">
      <c r="A897" s="31" t="s">
        <v>39</v>
      </c>
      <c r="B897" s="32">
        <v>25080.0</v>
      </c>
      <c r="C897" s="33" t="str">
        <f t="array" ref="C897">INDEX('MTA 28-09'!B:B,MATCH(B897,'MTA 28-09'!A:A,0))</f>
        <v>SIM</v>
      </c>
      <c r="D897" s="34">
        <f t="array" ref="D897">INDEX('MTA 28-09'!D:D,MATCH(B897,'MTA 28-09'!A:A,0))</f>
        <v>2048</v>
      </c>
      <c r="E897" s="32" t="str">
        <f t="array" ref="E897">INDEX('MTA 28-09'!F:F,MATCH(B897,'MTA 28-09'!A:A,0))</f>
        <v>ATENDER</v>
      </c>
      <c r="F897" s="35" t="str">
        <f t="array" ref="F897">INDEX('MTA 28-09'!I:I,MATCH(B897,'MTA 28-09'!A:A,0))</f>
        <v/>
      </c>
      <c r="G897" s="36" t="str">
        <f t="array" ref="G897">INDEX('MTA 28-09'!J:J,MATCH(B897,'MTA 28-09'!A:A,0))</f>
        <v/>
      </c>
      <c r="H897" s="287" t="s">
        <v>157</v>
      </c>
      <c r="I897" s="295"/>
      <c r="J897" s="39"/>
      <c r="K897" s="40"/>
      <c r="L897" s="39" t="str">
        <f t="array" ref="L897">INDEX('MTA 28-09'!S:S,MATCH(B897,'MTA 28-09'!A:A,0))</f>
        <v>A-29</v>
      </c>
      <c r="M897" s="32" t="str">
        <f t="array" ref="M897">INDEX('MTA 28-09'!T:T,MATCH(B897,'MTA 28-09'!A:A,0))</f>
        <v>CNT 060/CELOG-PAMASP/2023 - PW - HSI/REPARO</v>
      </c>
      <c r="N897" s="32" t="str">
        <f t="array" ref="N897">INDEX('MTA 28-09'!U:U,MATCH(B897,'MTA 28-09'!A:A,0))</f>
        <v>HSI PT6A-68C 3/4</v>
      </c>
      <c r="O897" s="59">
        <f t="array" ref="O897">INDEX('MTA 28-09'!AC:AC,MATCH(B897,'MTA 28-09'!A:A,0))</f>
        <v>2500000</v>
      </c>
      <c r="P897" s="32" t="str">
        <f t="array" ref="P897">INDEX('MTA 28-09'!N:N,MATCH(B897,'MTA 28-09'!A:A,0))</f>
        <v>CELOG</v>
      </c>
      <c r="Q897" s="67" t="str">
        <f t="array" ref="Q897">INDEX('MTA 28-09'!Z:Z,MATCH(B897,'MTA 28-09'!A:A,0))</f>
        <v>339039</v>
      </c>
      <c r="R897" s="32" t="str">
        <f t="array" ref="R897">INDEX('MTA 28-09'!L:L,MATCH(B897,'MTA 28-09'!A:A,0))</f>
        <v>A</v>
      </c>
      <c r="S897" s="72" t="str">
        <f t="array" ref="S897">INDEX('MTA 28-09'!X:X,MATCH(B897,'MTA 28-09'!A:A,0))</f>
        <v>SOB DEMANDA</v>
      </c>
      <c r="T897" s="72" t="str">
        <f t="array" ref="T897">INDEX('MTA 28-09'!W:W,MATCH(B897,'MTA 28-09'!A:A,0))</f>
        <v>SIM</v>
      </c>
      <c r="U897" s="81">
        <f t="array" ref="U897">INDEX('MTA 28-09'!AE:AE,MATCH(B897,'MTA 28-09'!A:A,0))</f>
        <v>46321</v>
      </c>
      <c r="V897" s="12"/>
      <c r="W897" s="12"/>
      <c r="X897" s="12"/>
      <c r="Y897" s="12"/>
      <c r="Z897" s="12"/>
      <c r="AA897" s="12"/>
      <c r="AB897" s="12"/>
      <c r="AC897" s="12"/>
      <c r="AD897" s="12"/>
      <c r="AE897" s="12"/>
      <c r="AF897" s="12"/>
      <c r="AG897" s="12"/>
      <c r="AH897" s="12"/>
      <c r="AI897" s="12"/>
      <c r="AJ897" s="12"/>
      <c r="AK897" s="12"/>
      <c r="AL897" s="12"/>
      <c r="AM897" s="12"/>
    </row>
    <row r="898">
      <c r="A898" s="88" t="s">
        <v>43</v>
      </c>
      <c r="B898" s="98">
        <v>25100.0</v>
      </c>
      <c r="C898" s="92" t="str">
        <f t="array" ref="C898">INDEX('MTA 28-09'!B:B,MATCH(B898,'MTA 28-09'!A:A,0))</f>
        <v>SIM</v>
      </c>
      <c r="D898" s="95">
        <f t="array" ref="D898">INDEX('MTA 28-09'!D:D,MATCH(B898,'MTA 28-09'!A:A,0))</f>
        <v>2048</v>
      </c>
      <c r="E898" s="98" t="str">
        <f t="array" ref="E898">INDEX('MTA 28-09'!F:F,MATCH(B898,'MTA 28-09'!A:A,0))</f>
        <v>ATENDIDO</v>
      </c>
      <c r="F898" s="99">
        <f t="array" ref="F898">INDEX('MTA 28-09'!I:I,MATCH(B898,'MTA 28-09'!A:A,0))</f>
        <v>46255</v>
      </c>
      <c r="G898" s="100" t="str">
        <f t="array" ref="G898">INDEX('MTA 28-09'!J:J,MATCH(B898,'MTA 28-09'!A:A,0))</f>
        <v>C26310</v>
      </c>
      <c r="H898" s="159" t="s">
        <v>157</v>
      </c>
      <c r="I898" s="296"/>
      <c r="J898" s="102"/>
      <c r="K898" s="103"/>
      <c r="L898" s="102" t="str">
        <f t="array" ref="L898">INDEX('MTA 28-09'!S:S,MATCH(B898,'MTA 28-09'!A:A,0))</f>
        <v>C-95M</v>
      </c>
      <c r="M898" s="98" t="str">
        <f t="array" ref="M898">INDEX('MTA 28-09'!T:T,MATCH(B898,'MTA 28-09'!A:A,0))</f>
        <v>CNT 048/CELOG-PAMASP/2022 - PW - Material</v>
      </c>
      <c r="N898" s="98" t="str">
        <f t="array" ref="N898">INDEX('MTA 28-09'!U:U,MATCH(B898,'MTA 28-09'!A:A,0))</f>
        <v>Material reparo PT6A-34 (5/6)</v>
      </c>
      <c r="O898" s="104">
        <f t="array" ref="O898">INDEX('MTA 28-09'!AC:AC,MATCH(B898,'MTA 28-09'!A:A,0))</f>
        <v>861045.71</v>
      </c>
      <c r="P898" s="98" t="str">
        <f t="array" ref="P898">INDEX('MTA 28-09'!N:N,MATCH(B898,'MTA 28-09'!A:A,0))</f>
        <v>CELOG</v>
      </c>
      <c r="Q898" s="105" t="str">
        <f t="array" ref="Q898">INDEX('MTA 28-09'!Z:Z,MATCH(B898,'MTA 28-09'!A:A,0))</f>
        <v>339030</v>
      </c>
      <c r="R898" s="98" t="str">
        <f t="array" ref="R898">INDEX('MTA 28-09'!L:L,MATCH(B898,'MTA 28-09'!A:A,0))</f>
        <v>A</v>
      </c>
      <c r="S898" s="107" t="str">
        <f t="array" ref="S898">INDEX('MTA 28-09'!X:X,MATCH(B898,'MTA 28-09'!A:A,0))</f>
        <v>SOB DEMANDA</v>
      </c>
      <c r="T898" s="107" t="str">
        <f t="array" ref="T898">INDEX('MTA 28-09'!W:W,MATCH(B898,'MTA 28-09'!A:A,0))</f>
        <v>SIM</v>
      </c>
      <c r="U898" s="109">
        <f t="array" ref="U898">INDEX('MTA 28-09'!AE:AE,MATCH(B898,'MTA 28-09'!A:A,0))</f>
        <v>46291</v>
      </c>
      <c r="V898" s="29"/>
      <c r="W898" s="29"/>
      <c r="X898" s="29"/>
      <c r="Y898" s="29"/>
      <c r="Z898" s="29"/>
      <c r="AA898" s="29"/>
      <c r="AB898" s="29"/>
      <c r="AC898" s="29"/>
      <c r="AD898" s="29"/>
      <c r="AE898" s="29"/>
      <c r="AF898" s="29"/>
      <c r="AG898" s="29"/>
      <c r="AH898" s="29"/>
      <c r="AI898" s="29"/>
      <c r="AJ898" s="29"/>
      <c r="AK898" s="29"/>
      <c r="AL898" s="29"/>
      <c r="AM898" s="29"/>
    </row>
    <row r="899">
      <c r="A899" s="31" t="s">
        <v>43</v>
      </c>
      <c r="B899" s="32">
        <v>25120.0</v>
      </c>
      <c r="C899" s="33" t="str">
        <f t="array" ref="C899">INDEX('MTA 28-09'!B:B,MATCH(B899,'MTA 28-09'!A:A,0))</f>
        <v>NÃO</v>
      </c>
      <c r="D899" s="34" t="str">
        <f t="array" ref="D899">INDEX('MTA 28-09'!D:D,MATCH(B899,'MTA 28-09'!A:A,0))</f>
        <v/>
      </c>
      <c r="E899" s="32" t="str">
        <f t="array" ref="E899">INDEX('MTA 28-09'!F:F,MATCH(B899,'MTA 28-09'!A:A,0))</f>
        <v/>
      </c>
      <c r="F899" s="137" t="str">
        <f t="array" ref="F899">INDEX('MTA 28-09'!I:I,MATCH(B899,'MTA 28-09'!A:A,0))</f>
        <v/>
      </c>
      <c r="G899" s="36" t="str">
        <f t="array" ref="G899">INDEX('MTA 28-09'!J:J,MATCH(B899,'MTA 28-09'!A:A,0))</f>
        <v/>
      </c>
      <c r="H899" s="287" t="s">
        <v>157</v>
      </c>
      <c r="I899" s="295"/>
      <c r="J899" s="39"/>
      <c r="K899" s="40"/>
      <c r="L899" s="39" t="str">
        <f t="array" ref="L899">INDEX('MTA 28-09'!S:S,MATCH(B899,'MTA 28-09'!A:A,0))</f>
        <v>C-95M</v>
      </c>
      <c r="M899" s="32" t="str">
        <f t="array" ref="M899">INDEX('MTA 28-09'!T:T,MATCH(B899,'MTA 28-09'!A:A,0))</f>
        <v>Requisição CABW</v>
      </c>
      <c r="N899" s="32" t="str">
        <f t="array" ref="N899">INDEX('MTA 28-09'!U:U,MATCH(B899,'MTA 28-09'!A:A,0))</f>
        <v>Material reparo acessórios PT6A-34 (3/3)</v>
      </c>
      <c r="O899" s="59">
        <f t="array" ref="O899">INDEX('MTA 28-09'!AC:AC,MATCH(B899,'MTA 28-09'!A:A,0))</f>
        <v>600000</v>
      </c>
      <c r="P899" s="32" t="str">
        <f t="array" ref="P899">INDEX('MTA 28-09'!N:N,MATCH(B899,'MTA 28-09'!A:A,0))</f>
        <v>FMS</v>
      </c>
      <c r="Q899" s="67" t="str">
        <f t="array" ref="Q899">INDEX('MTA 28-09'!Z:Z,MATCH(B899,'MTA 28-09'!A:A,0))</f>
        <v>339030</v>
      </c>
      <c r="R899" s="32" t="str">
        <f t="array" ref="R899">INDEX('MTA 28-09'!L:L,MATCH(B899,'MTA 28-09'!A:A,0))</f>
        <v>C</v>
      </c>
      <c r="S899" s="72" t="str">
        <f t="array" ref="S899">INDEX('MTA 28-09'!X:X,MATCH(B899,'MTA 28-09'!A:A,0))</f>
        <v>REQUISIÇÃO</v>
      </c>
      <c r="T899" s="72" t="str">
        <f t="array" ref="T899">INDEX('MTA 28-09'!W:W,MATCH(B899,'MTA 28-09'!A:A,0))</f>
        <v>SIM</v>
      </c>
      <c r="U899" s="81">
        <f t="array" ref="U899">INDEX('MTA 28-09'!AE:AE,MATCH(B899,'MTA 28-09'!A:A,0))</f>
        <v>46321</v>
      </c>
      <c r="V899" s="12"/>
      <c r="W899" s="12"/>
      <c r="X899" s="12"/>
      <c r="Y899" s="12"/>
      <c r="Z899" s="12"/>
      <c r="AA899" s="12"/>
      <c r="AB899" s="12"/>
      <c r="AC899" s="12"/>
      <c r="AD899" s="12"/>
      <c r="AE899" s="12"/>
      <c r="AF899" s="12"/>
      <c r="AG899" s="12"/>
      <c r="AH899" s="12"/>
      <c r="AI899" s="12"/>
      <c r="AJ899" s="12"/>
      <c r="AK899" s="12"/>
      <c r="AL899" s="12"/>
      <c r="AM899" s="12"/>
    </row>
    <row r="900">
      <c r="A900" s="88" t="s">
        <v>99</v>
      </c>
      <c r="B900" s="98">
        <v>25140.0</v>
      </c>
      <c r="C900" s="92" t="str">
        <f t="array" ref="C900">INDEX('MTA 28-09'!B:B,MATCH(B900,'MTA 28-09'!A:A,0))</f>
        <v>NÃO</v>
      </c>
      <c r="D900" s="95" t="str">
        <f t="array" ref="D900">INDEX('MTA 28-09'!D:D,MATCH(B900,'MTA 28-09'!A:A,0))</f>
        <v/>
      </c>
      <c r="E900" s="98" t="str">
        <f t="array" ref="E900">INDEX('MTA 28-09'!F:F,MATCH(B900,'MTA 28-09'!A:A,0))</f>
        <v/>
      </c>
      <c r="F900" s="99" t="str">
        <f t="array" ref="F900">INDEX('MTA 28-09'!I:I,MATCH(B900,'MTA 28-09'!A:A,0))</f>
        <v/>
      </c>
      <c r="G900" s="100" t="str">
        <f t="array" ref="G900">INDEX('MTA 28-09'!J:J,MATCH(B900,'MTA 28-09'!A:A,0))</f>
        <v/>
      </c>
      <c r="H900" s="159" t="s">
        <v>157</v>
      </c>
      <c r="I900" s="296"/>
      <c r="J900" s="102"/>
      <c r="K900" s="103"/>
      <c r="L900" s="102" t="str">
        <f t="array" ref="L900">INDEX('MTA 28-09'!S:S,MATCH(B900,'MTA 28-09'!A:A,0))</f>
        <v>APOIO</v>
      </c>
      <c r="M900" s="98" t="str">
        <f t="array" ref="M900">INDEX('MTA 28-09'!T:T,MATCH(B900,'MTA 28-09'!A:A,0))</f>
        <v>PREGÃO GAP-LS - AQUISIÇÃO DE ITENS DE CLASSE GERAL</v>
      </c>
      <c r="N900" s="98" t="str">
        <f t="array" ref="N900">INDEX('MTA 28-09'!U:U,MATCH(B900,'MTA 28-09'!A:A,0))</f>
        <v>AQUISIÇÃO DE MATERIAL PARA OFICINAS INTERNAS, EM ATENDIMENTO AOS DIVERSOS PROJETOS DO PAMALS 4/4</v>
      </c>
      <c r="O900" s="104">
        <f t="array" ref="O900">INDEX('MTA 28-09'!AC:AC,MATCH(B900,'MTA 28-09'!A:A,0))</f>
        <v>54000</v>
      </c>
      <c r="P900" s="98" t="str">
        <f t="array" ref="P900">INDEX('MTA 28-09'!N:N,MATCH(B900,'MTA 28-09'!A:A,0))</f>
        <v>GAP-LS</v>
      </c>
      <c r="Q900" s="105" t="str">
        <f t="array" ref="Q900">INDEX('MTA 28-09'!Z:Z,MATCH(B900,'MTA 28-09'!A:A,0))</f>
        <v>339030</v>
      </c>
      <c r="R900" s="98" t="str">
        <f t="array" ref="R900">INDEX('MTA 28-09'!L:L,MATCH(B900,'MTA 28-09'!A:A,0))</f>
        <v>C</v>
      </c>
      <c r="S900" s="107" t="str">
        <f t="array" ref="S900">INDEX('MTA 28-09'!X:X,MATCH(B900,'MTA 28-09'!A:A,0))</f>
        <v>REQUISIÇÃO</v>
      </c>
      <c r="T900" s="107" t="str">
        <f t="array" ref="T900">INDEX('MTA 28-09'!W:W,MATCH(B900,'MTA 28-09'!A:A,0))</f>
        <v>NÃO</v>
      </c>
      <c r="U900" s="109">
        <f t="array" ref="U900">INDEX('MTA 28-09'!AE:AE,MATCH(B900,'MTA 28-09'!A:A,0))</f>
        <v>46382</v>
      </c>
      <c r="V900" s="29"/>
      <c r="W900" s="29"/>
      <c r="X900" s="29"/>
      <c r="Y900" s="29"/>
      <c r="Z900" s="29"/>
      <c r="AA900" s="29"/>
      <c r="AB900" s="29"/>
      <c r="AC900" s="29"/>
      <c r="AD900" s="29"/>
      <c r="AE900" s="29"/>
      <c r="AF900" s="29"/>
      <c r="AG900" s="29"/>
      <c r="AH900" s="29"/>
      <c r="AI900" s="29"/>
      <c r="AJ900" s="29"/>
      <c r="AK900" s="29"/>
      <c r="AL900" s="29"/>
      <c r="AM900" s="29"/>
    </row>
    <row r="901">
      <c r="A901" s="31" t="s">
        <v>107</v>
      </c>
      <c r="B901" s="32">
        <v>25160.0</v>
      </c>
      <c r="C901" s="33" t="str">
        <f t="array" ref="C901">INDEX('MTA 28-09'!B:B,MATCH(B901,'MTA 28-09'!A:A,0))</f>
        <v>NÃO</v>
      </c>
      <c r="D901" s="34" t="str">
        <f t="array" ref="D901">INDEX('MTA 28-09'!D:D,MATCH(B901,'MTA 28-09'!A:A,0))</f>
        <v/>
      </c>
      <c r="E901" s="32" t="str">
        <f t="array" ref="E901">INDEX('MTA 28-09'!F:F,MATCH(B901,'MTA 28-09'!A:A,0))</f>
        <v/>
      </c>
      <c r="F901" s="35" t="str">
        <f t="array" ref="F901">INDEX('MTA 28-09'!I:I,MATCH(B901,'MTA 28-09'!A:A,0))</f>
        <v/>
      </c>
      <c r="G901" s="36" t="str">
        <f t="array" ref="G901">INDEX('MTA 28-09'!J:J,MATCH(B901,'MTA 28-09'!A:A,0))</f>
        <v/>
      </c>
      <c r="H901" s="287" t="s">
        <v>157</v>
      </c>
      <c r="I901" s="295"/>
      <c r="J901" s="39"/>
      <c r="K901" s="40"/>
      <c r="L901" s="39" t="str">
        <f t="array" ref="L901">INDEX('MTA 28-09'!S:S,MATCH(B901,'MTA 28-09'!A:A,0))</f>
        <v>APOIO</v>
      </c>
      <c r="M901" s="32" t="str">
        <f t="array" ref="M901">INDEX('MTA 28-09'!T:T,MATCH(B901,'MTA 28-09'!A:A,0))</f>
        <v>ATA DE REGISTRO DE PREÇO PARA SSS</v>
      </c>
      <c r="N901" s="32" t="str">
        <f t="array" ref="N901">INDEX('MTA 28-09'!U:U,MATCH(B901,'MTA 28-09'!A:A,0))</f>
        <v>AQUISIÇÃO DE MATERIAL PERMANENTE</v>
      </c>
      <c r="O901" s="59">
        <f t="array" ref="O901">INDEX('MTA 28-09'!AC:AC,MATCH(B901,'MTA 28-09'!A:A,0))</f>
        <v>4059.97</v>
      </c>
      <c r="P901" s="32" t="str">
        <f t="array" ref="P901">INDEX('MTA 28-09'!N:N,MATCH(B901,'MTA 28-09'!A:A,0))</f>
        <v>GAP-LS</v>
      </c>
      <c r="Q901" s="67" t="str">
        <f t="array" ref="Q901">INDEX('MTA 28-09'!Z:Z,MATCH(B901,'MTA 28-09'!A:A,0))</f>
        <v>449052</v>
      </c>
      <c r="R901" s="32" t="str">
        <f t="array" ref="R901">INDEX('MTA 28-09'!L:L,MATCH(B901,'MTA 28-09'!A:A,0))</f>
        <v>C</v>
      </c>
      <c r="S901" s="72" t="str">
        <f t="array" ref="S901">INDEX('MTA 28-09'!X:X,MATCH(B901,'MTA 28-09'!A:A,0))</f>
        <v>REQUISIÇÃO</v>
      </c>
      <c r="T901" s="72" t="str">
        <f t="array" ref="T901">INDEX('MTA 28-09'!W:W,MATCH(B901,'MTA 28-09'!A:A,0))</f>
        <v>NÃO</v>
      </c>
      <c r="U901" s="81">
        <f t="array" ref="U901">INDEX('MTA 28-09'!AE:AE,MATCH(B901,'MTA 28-09'!A:A,0))</f>
        <v>46382</v>
      </c>
      <c r="V901" s="12"/>
      <c r="W901" s="12"/>
      <c r="X901" s="12"/>
      <c r="Y901" s="12"/>
      <c r="Z901" s="12"/>
      <c r="AA901" s="12"/>
      <c r="AB901" s="12"/>
      <c r="AC901" s="12"/>
      <c r="AD901" s="12"/>
      <c r="AE901" s="12"/>
      <c r="AF901" s="12"/>
      <c r="AG901" s="12"/>
      <c r="AH901" s="12"/>
      <c r="AI901" s="12"/>
      <c r="AJ901" s="12"/>
      <c r="AK901" s="12"/>
      <c r="AL901" s="12"/>
      <c r="AM901" s="12"/>
    </row>
    <row r="902">
      <c r="A902" s="88" t="s">
        <v>45</v>
      </c>
      <c r="B902" s="98">
        <v>25180.0</v>
      </c>
      <c r="C902" s="92" t="str">
        <f t="array" ref="C902">INDEX('MTA 28-09'!B:B,MATCH(B902,'MTA 28-09'!A:A,0))</f>
        <v>SIM</v>
      </c>
      <c r="D902" s="95">
        <f t="array" ref="D902">INDEX('MTA 28-09'!D:D,MATCH(B902,'MTA 28-09'!A:A,0))</f>
        <v>2048</v>
      </c>
      <c r="E902" s="98" t="str">
        <f t="array" ref="E902">INDEX('MTA 28-09'!F:F,MATCH(B902,'MTA 28-09'!A:A,0))</f>
        <v/>
      </c>
      <c r="F902" s="99" t="str">
        <f t="array" ref="F902">INDEX('MTA 28-09'!I:I,MATCH(B902,'MTA 28-09'!A:A,0))</f>
        <v/>
      </c>
      <c r="G902" s="100" t="str">
        <f t="array" ref="G902">INDEX('MTA 28-09'!J:J,MATCH(B902,'MTA 28-09'!A:A,0))</f>
        <v/>
      </c>
      <c r="H902" s="159" t="s">
        <v>157</v>
      </c>
      <c r="I902" s="296"/>
      <c r="J902" s="102"/>
      <c r="K902" s="103"/>
      <c r="L902" s="102" t="str">
        <f t="array" ref="L902">INDEX('MTA 28-09'!S:S,MATCH(B902,'MTA 28-09'!A:A,0))</f>
        <v>C-98</v>
      </c>
      <c r="M902" s="98" t="str">
        <f t="array" ref="M902">INDEX('MTA 28-09'!T:T,MATCH(B902,'MTA 28-09'!A:A,0))</f>
        <v>CNT XXX/CELOG-PAMASP/2026 - Material</v>
      </c>
      <c r="N902" s="98" t="str">
        <f t="array" ref="N902">INDEX('MTA 28-09'!U:U,MATCH(B902,'MTA 28-09'!A:A,0))</f>
        <v>Material reparo PT6A-114A (3/4)</v>
      </c>
      <c r="O902" s="104">
        <f t="array" ref="O902">INDEX('MTA 28-09'!AC:AC,MATCH(B902,'MTA 28-09'!A:A,0))</f>
        <v>1000000</v>
      </c>
      <c r="P902" s="98" t="str">
        <f t="array" ref="P902">INDEX('MTA 28-09'!N:N,MATCH(B902,'MTA 28-09'!A:A,0))</f>
        <v>CELOG</v>
      </c>
      <c r="Q902" s="105" t="str">
        <f t="array" ref="Q902">INDEX('MTA 28-09'!Z:Z,MATCH(B902,'MTA 28-09'!A:A,0))</f>
        <v>339030</v>
      </c>
      <c r="R902" s="98" t="str">
        <f t="array" ref="R902">INDEX('MTA 28-09'!L:L,MATCH(B902,'MTA 28-09'!A:A,0))</f>
        <v>A</v>
      </c>
      <c r="S902" s="107" t="str">
        <f t="array" ref="S902">INDEX('MTA 28-09'!X:X,MATCH(B902,'MTA 28-09'!A:A,0))</f>
        <v>SOB DEMANDA</v>
      </c>
      <c r="T902" s="107" t="str">
        <f t="array" ref="T902">INDEX('MTA 28-09'!W:W,MATCH(B902,'MTA 28-09'!A:A,0))</f>
        <v>SIM</v>
      </c>
      <c r="U902" s="109">
        <f t="array" ref="U902">INDEX('MTA 28-09'!AE:AE,MATCH(B902,'MTA 28-09'!A:A,0))</f>
        <v>46382</v>
      </c>
      <c r="V902" s="29"/>
      <c r="W902" s="29"/>
      <c r="X902" s="29"/>
      <c r="Y902" s="29"/>
      <c r="Z902" s="29"/>
      <c r="AA902" s="29"/>
      <c r="AB902" s="29"/>
      <c r="AC902" s="29"/>
      <c r="AD902" s="29"/>
      <c r="AE902" s="29"/>
      <c r="AF902" s="29"/>
      <c r="AG902" s="29"/>
      <c r="AH902" s="29"/>
      <c r="AI902" s="29"/>
      <c r="AJ902" s="29"/>
      <c r="AK902" s="29"/>
      <c r="AL902" s="29"/>
      <c r="AM902" s="29"/>
    </row>
    <row r="903">
      <c r="A903" s="31" t="s">
        <v>1577</v>
      </c>
      <c r="B903" s="32">
        <v>25200.0</v>
      </c>
      <c r="C903" s="33" t="str">
        <f t="array" ref="C903">INDEX('MTA 28-09'!B:B,MATCH(B903,'MTA 28-09'!A:A,0))</f>
        <v>NÃO</v>
      </c>
      <c r="D903" s="34" t="str">
        <f t="array" ref="D903">INDEX('MTA 28-09'!D:D,MATCH(B903,'MTA 28-09'!A:A,0))</f>
        <v/>
      </c>
      <c r="E903" s="32" t="str">
        <f t="array" ref="E903">INDEX('MTA 28-09'!F:F,MATCH(B903,'MTA 28-09'!A:A,0))</f>
        <v/>
      </c>
      <c r="F903" s="137" t="str">
        <f t="array" ref="F903">INDEX('MTA 28-09'!I:I,MATCH(B903,'MTA 28-09'!A:A,0))</f>
        <v/>
      </c>
      <c r="G903" s="36" t="str">
        <f t="array" ref="G903">INDEX('MTA 28-09'!J:J,MATCH(B903,'MTA 28-09'!A:A,0))</f>
        <v/>
      </c>
      <c r="H903" s="287" t="s">
        <v>157</v>
      </c>
      <c r="I903" s="295"/>
      <c r="J903" s="39"/>
      <c r="K903" s="40"/>
      <c r="L903" s="39" t="str">
        <f t="array" ref="L903">INDEX('MTA 28-09'!S:S,MATCH(B903,'MTA 28-09'!A:A,0))</f>
        <v>APOIO</v>
      </c>
      <c r="M903" s="32" t="str">
        <f t="array" ref="M903">INDEX('MTA 28-09'!T:T,MATCH(B903,'MTA 28-09'!A:A,0))</f>
        <v>Requisição FMS</v>
      </c>
      <c r="N903" s="32" t="str">
        <f t="array" ref="N903">INDEX('MTA 28-09'!U:U,MATCH(B903,'MTA 28-09'!A:A,0))</f>
        <v>Requisições Consumíveis 3/3</v>
      </c>
      <c r="O903" s="59">
        <f t="array" ref="O903">INDEX('MTA 28-09'!AC:AC,MATCH(B903,'MTA 28-09'!A:A,0))</f>
        <v>500000</v>
      </c>
      <c r="P903" s="32" t="str">
        <f t="array" ref="P903">INDEX('MTA 28-09'!N:N,MATCH(B903,'MTA 28-09'!A:A,0))</f>
        <v>FMS</v>
      </c>
      <c r="Q903" s="67" t="str">
        <f t="array" ref="Q903">INDEX('MTA 28-09'!Z:Z,MATCH(B903,'MTA 28-09'!A:A,0))</f>
        <v>339030</v>
      </c>
      <c r="R903" s="32" t="str">
        <f t="array" ref="R903">INDEX('MTA 28-09'!L:L,MATCH(B903,'MTA 28-09'!A:A,0))</f>
        <v>C</v>
      </c>
      <c r="S903" s="72" t="str">
        <f t="array" ref="S903">INDEX('MTA 28-09'!X:X,MATCH(B903,'MTA 28-09'!A:A,0))</f>
        <v>REQUISIÇÃO</v>
      </c>
      <c r="T903" s="72" t="str">
        <f t="array" ref="T903">INDEX('MTA 28-09'!W:W,MATCH(B903,'MTA 28-09'!A:A,0))</f>
        <v>NÃO</v>
      </c>
      <c r="U903" s="81">
        <f t="array" ref="U903">INDEX('MTA 28-09'!AE:AE,MATCH(B903,'MTA 28-09'!A:A,0))</f>
        <v>46382</v>
      </c>
      <c r="V903" s="12"/>
      <c r="W903" s="12"/>
      <c r="X903" s="12"/>
      <c r="Y903" s="12"/>
      <c r="Z903" s="12"/>
      <c r="AA903" s="12"/>
      <c r="AB903" s="12"/>
      <c r="AC903" s="12"/>
      <c r="AD903" s="12"/>
      <c r="AE903" s="12"/>
      <c r="AF903" s="12"/>
      <c r="AG903" s="12"/>
      <c r="AH903" s="12"/>
      <c r="AI903" s="12"/>
      <c r="AJ903" s="12"/>
      <c r="AK903" s="12"/>
      <c r="AL903" s="12"/>
      <c r="AM903" s="12"/>
    </row>
    <row r="904">
      <c r="A904" s="88" t="s">
        <v>46</v>
      </c>
      <c r="B904" s="98">
        <v>25220.0</v>
      </c>
      <c r="C904" s="92" t="str">
        <f t="array" ref="C904">INDEX('MTA 28-09'!B:B,MATCH(B904,'MTA 28-09'!A:A,0))</f>
        <v>NÃO</v>
      </c>
      <c r="D904" s="95" t="str">
        <f t="array" ref="D904">INDEX('MTA 28-09'!D:D,MATCH(B904,'MTA 28-09'!A:A,0))</f>
        <v/>
      </c>
      <c r="E904" s="98" t="str">
        <f t="array" ref="E904">INDEX('MTA 28-09'!F:F,MATCH(B904,'MTA 28-09'!A:A,0))</f>
        <v/>
      </c>
      <c r="F904" s="144" t="str">
        <f t="array" ref="F904">INDEX('MTA 28-09'!I:I,MATCH(B904,'MTA 28-09'!A:A,0))</f>
        <v/>
      </c>
      <c r="G904" s="100" t="str">
        <f t="array" ref="G904">INDEX('MTA 28-09'!J:J,MATCH(B904,'MTA 28-09'!A:A,0))</f>
        <v/>
      </c>
      <c r="H904" s="159" t="s">
        <v>157</v>
      </c>
      <c r="I904" s="296"/>
      <c r="J904" s="102"/>
      <c r="K904" s="103"/>
      <c r="L904" s="102" t="str">
        <f t="array" ref="L904">INDEX('MTA 28-09'!S:S,MATCH(B904,'MTA 28-09'!A:A,0))</f>
        <v>T-27</v>
      </c>
      <c r="M904" s="98" t="str">
        <f t="array" ref="M904">INDEX('MTA 28-09'!T:T,MATCH(B904,'MTA 28-09'!A:A,0))</f>
        <v>CTT 009/CELOG-PAMALS/2025 – Aquisição de Consumíveis</v>
      </c>
      <c r="N904" s="98" t="str">
        <f t="array" ref="N904">INDEX('MTA 28-09'!U:U,MATCH(B904,'MTA 28-09'!A:A,0))</f>
        <v>Sob demanda 5/8</v>
      </c>
      <c r="O904" s="104">
        <f t="array" ref="O904">INDEX('MTA 28-09'!AC:AC,MATCH(B904,'MTA 28-09'!A:A,0))</f>
        <v>1130000</v>
      </c>
      <c r="P904" s="98" t="str">
        <f t="array" ref="P904">INDEX('MTA 28-09'!N:N,MATCH(B904,'MTA 28-09'!A:A,0))</f>
        <v>CELOG</v>
      </c>
      <c r="Q904" s="105" t="str">
        <f t="array" ref="Q904">INDEX('MTA 28-09'!Z:Z,MATCH(B904,'MTA 28-09'!A:A,0))</f>
        <v>339030</v>
      </c>
      <c r="R904" s="98" t="str">
        <f t="array" ref="R904">INDEX('MTA 28-09'!L:L,MATCH(B904,'MTA 28-09'!A:A,0))</f>
        <v>C</v>
      </c>
      <c r="S904" s="107" t="str">
        <f t="array" ref="S904">INDEX('MTA 28-09'!X:X,MATCH(B904,'MTA 28-09'!A:A,0))</f>
        <v>SOB DEMANDA</v>
      </c>
      <c r="T904" s="107" t="str">
        <f t="array" ref="T904">INDEX('MTA 28-09'!W:W,MATCH(B904,'MTA 28-09'!A:A,0))</f>
        <v>Não</v>
      </c>
      <c r="U904" s="109">
        <f t="array" ref="U904">INDEX('MTA 28-09'!AE:AE,MATCH(B904,'MTA 28-09'!A:A,0))</f>
        <v>46382</v>
      </c>
      <c r="V904" s="29"/>
      <c r="W904" s="29"/>
      <c r="X904" s="29"/>
      <c r="Y904" s="29"/>
      <c r="Z904" s="29"/>
      <c r="AA904" s="29"/>
      <c r="AB904" s="29"/>
      <c r="AC904" s="29"/>
      <c r="AD904" s="29"/>
      <c r="AE904" s="29"/>
      <c r="AF904" s="29"/>
      <c r="AG904" s="29"/>
      <c r="AH904" s="29"/>
      <c r="AI904" s="29"/>
      <c r="AJ904" s="29"/>
      <c r="AK904" s="29"/>
      <c r="AL904" s="29"/>
      <c r="AM904" s="29"/>
    </row>
    <row r="905">
      <c r="A905" s="31" t="s">
        <v>46</v>
      </c>
      <c r="B905" s="32">
        <v>25240.0</v>
      </c>
      <c r="C905" s="33" t="str">
        <f t="array" ref="C905">INDEX('MTA 28-09'!B:B,MATCH(B905,'MTA 28-09'!A:A,0))</f>
        <v>NÃO</v>
      </c>
      <c r="D905" s="34" t="str">
        <f t="array" ref="D905">INDEX('MTA 28-09'!D:D,MATCH(B905,'MTA 28-09'!A:A,0))</f>
        <v/>
      </c>
      <c r="E905" s="32" t="str">
        <f t="array" ref="E905">INDEX('MTA 28-09'!F:F,MATCH(B905,'MTA 28-09'!A:A,0))</f>
        <v/>
      </c>
      <c r="F905" s="35" t="str">
        <f t="array" ref="F905">INDEX('MTA 28-09'!I:I,MATCH(B905,'MTA 28-09'!A:A,0))</f>
        <v/>
      </c>
      <c r="G905" s="36" t="str">
        <f t="array" ref="G905">INDEX('MTA 28-09'!J:J,MATCH(B905,'MTA 28-09'!A:A,0))</f>
        <v/>
      </c>
      <c r="H905" s="287" t="s">
        <v>157</v>
      </c>
      <c r="I905" s="295"/>
      <c r="J905" s="39"/>
      <c r="K905" s="40"/>
      <c r="L905" s="39" t="str">
        <f t="array" ref="L905">INDEX('MTA 28-09'!S:S,MATCH(B905,'MTA 28-09'!A:A,0))</f>
        <v>T-27</v>
      </c>
      <c r="M905" s="32" t="str">
        <f t="array" ref="M905">INDEX('MTA 28-09'!T:T,MATCH(B905,'MTA 28-09'!A:A,0))</f>
        <v>CTT 009/CELOG-PAMALS/2025 – Aquisição de Consumíveis</v>
      </c>
      <c r="N905" s="32" t="str">
        <f t="array" ref="N905">INDEX('MTA 28-09'!U:U,MATCH(B905,'MTA 28-09'!A:A,0))</f>
        <v>Sob demanda 6/8</v>
      </c>
      <c r="O905" s="59">
        <f t="array" ref="O905">INDEX('MTA 28-09'!AC:AC,MATCH(B905,'MTA 28-09'!A:A,0))</f>
        <v>1130000</v>
      </c>
      <c r="P905" s="32" t="str">
        <f t="array" ref="P905">INDEX('MTA 28-09'!N:N,MATCH(B905,'MTA 28-09'!A:A,0))</f>
        <v>CELOG</v>
      </c>
      <c r="Q905" s="67" t="str">
        <f t="array" ref="Q905">INDEX('MTA 28-09'!Z:Z,MATCH(B905,'MTA 28-09'!A:A,0))</f>
        <v>339030</v>
      </c>
      <c r="R905" s="32" t="str">
        <f t="array" ref="R905">INDEX('MTA 28-09'!L:L,MATCH(B905,'MTA 28-09'!A:A,0))</f>
        <v>C</v>
      </c>
      <c r="S905" s="72" t="str">
        <f t="array" ref="S905">INDEX('MTA 28-09'!X:X,MATCH(B905,'MTA 28-09'!A:A,0))</f>
        <v>SOB DEMANDA</v>
      </c>
      <c r="T905" s="72" t="str">
        <f t="array" ref="T905">INDEX('MTA 28-09'!W:W,MATCH(B905,'MTA 28-09'!A:A,0))</f>
        <v>Não</v>
      </c>
      <c r="U905" s="81">
        <f t="array" ref="U905">INDEX('MTA 28-09'!AE:AE,MATCH(B905,'MTA 28-09'!A:A,0))</f>
        <v>46382</v>
      </c>
      <c r="V905" s="12"/>
      <c r="W905" s="12"/>
      <c r="X905" s="12"/>
      <c r="Y905" s="12"/>
      <c r="Z905" s="12"/>
      <c r="AA905" s="12"/>
      <c r="AB905" s="12"/>
      <c r="AC905" s="12"/>
      <c r="AD905" s="12"/>
      <c r="AE905" s="12"/>
      <c r="AF905" s="12"/>
      <c r="AG905" s="12"/>
      <c r="AH905" s="12"/>
      <c r="AI905" s="12"/>
      <c r="AJ905" s="12"/>
      <c r="AK905" s="12"/>
      <c r="AL905" s="12"/>
      <c r="AM905" s="12"/>
    </row>
    <row r="906">
      <c r="A906" s="88" t="s">
        <v>46</v>
      </c>
      <c r="B906" s="98">
        <v>25260.0</v>
      </c>
      <c r="C906" s="92" t="str">
        <f t="array" ref="C906">INDEX('MTA 28-09'!B:B,MATCH(B906,'MTA 28-09'!A:A,0))</f>
        <v>NÃO</v>
      </c>
      <c r="D906" s="95" t="str">
        <f t="array" ref="D906">INDEX('MTA 28-09'!D:D,MATCH(B906,'MTA 28-09'!A:A,0))</f>
        <v/>
      </c>
      <c r="E906" s="98" t="str">
        <f t="array" ref="E906">INDEX('MTA 28-09'!F:F,MATCH(B906,'MTA 28-09'!A:A,0))</f>
        <v/>
      </c>
      <c r="F906" s="99" t="str">
        <f t="array" ref="F906">INDEX('MTA 28-09'!I:I,MATCH(B906,'MTA 28-09'!A:A,0))</f>
        <v/>
      </c>
      <c r="G906" s="100" t="str">
        <f t="array" ref="G906">INDEX('MTA 28-09'!J:J,MATCH(B906,'MTA 28-09'!A:A,0))</f>
        <v/>
      </c>
      <c r="H906" s="159" t="s">
        <v>157</v>
      </c>
      <c r="I906" s="428"/>
      <c r="J906" s="102"/>
      <c r="K906" s="103"/>
      <c r="L906" s="102" t="str">
        <f t="array" ref="L906">INDEX('MTA 28-09'!S:S,MATCH(B906,'MTA 28-09'!A:A,0))</f>
        <v>T-27</v>
      </c>
      <c r="M906" s="98" t="str">
        <f t="array" ref="M906">INDEX('MTA 28-09'!T:T,MATCH(B906,'MTA 28-09'!A:A,0))</f>
        <v>CTT 009/CELOG-PAMALS/2025 – Aquisição de Consumíveis</v>
      </c>
      <c r="N906" s="98" t="str">
        <f t="array" ref="N906">INDEX('MTA 28-09'!U:U,MATCH(B906,'MTA 28-09'!A:A,0))</f>
        <v>Sob demanda 7/8</v>
      </c>
      <c r="O906" s="104">
        <f t="array" ref="O906">INDEX('MTA 28-09'!AC:AC,MATCH(B906,'MTA 28-09'!A:A,0))</f>
        <v>1130000</v>
      </c>
      <c r="P906" s="98" t="str">
        <f t="array" ref="P906">INDEX('MTA 28-09'!N:N,MATCH(B906,'MTA 28-09'!A:A,0))</f>
        <v>CELOG</v>
      </c>
      <c r="Q906" s="105" t="str">
        <f t="array" ref="Q906">INDEX('MTA 28-09'!Z:Z,MATCH(B906,'MTA 28-09'!A:A,0))</f>
        <v>339030</v>
      </c>
      <c r="R906" s="98" t="str">
        <f t="array" ref="R906">INDEX('MTA 28-09'!L:L,MATCH(B906,'MTA 28-09'!A:A,0))</f>
        <v>C</v>
      </c>
      <c r="S906" s="107" t="str">
        <f t="array" ref="S906">INDEX('MTA 28-09'!X:X,MATCH(B906,'MTA 28-09'!A:A,0))</f>
        <v>SOB DEMANDA</v>
      </c>
      <c r="T906" s="107" t="str">
        <f t="array" ref="T906">INDEX('MTA 28-09'!W:W,MATCH(B906,'MTA 28-09'!A:A,0))</f>
        <v>Não</v>
      </c>
      <c r="U906" s="109">
        <f t="array" ref="U906">INDEX('MTA 28-09'!AE:AE,MATCH(B906,'MTA 28-09'!A:A,0))</f>
        <v>46382</v>
      </c>
      <c r="V906" s="29"/>
      <c r="W906" s="29"/>
      <c r="X906" s="29"/>
      <c r="Y906" s="29"/>
      <c r="Z906" s="29"/>
      <c r="AA906" s="29"/>
      <c r="AB906" s="29"/>
      <c r="AC906" s="29"/>
      <c r="AD906" s="29"/>
      <c r="AE906" s="29"/>
      <c r="AF906" s="29"/>
      <c r="AG906" s="29"/>
      <c r="AH906" s="29"/>
      <c r="AI906" s="29"/>
      <c r="AJ906" s="29"/>
      <c r="AK906" s="29"/>
      <c r="AL906" s="29"/>
      <c r="AM906" s="29"/>
    </row>
    <row r="907">
      <c r="A907" s="31" t="s">
        <v>46</v>
      </c>
      <c r="B907" s="32">
        <v>25280.0</v>
      </c>
      <c r="C907" s="33" t="str">
        <f t="array" ref="C907">INDEX('MTA 28-09'!B:B,MATCH(B907,'MTA 28-09'!A:A,0))</f>
        <v>NÃO</v>
      </c>
      <c r="D907" s="34" t="str">
        <f t="array" ref="D907">INDEX('MTA 28-09'!D:D,MATCH(B907,'MTA 28-09'!A:A,0))</f>
        <v/>
      </c>
      <c r="E907" s="32" t="str">
        <f t="array" ref="E907">INDEX('MTA 28-09'!F:F,MATCH(B907,'MTA 28-09'!A:A,0))</f>
        <v/>
      </c>
      <c r="F907" s="35" t="str">
        <f t="array" ref="F907">INDEX('MTA 28-09'!I:I,MATCH(B907,'MTA 28-09'!A:A,0))</f>
        <v/>
      </c>
      <c r="G907" s="36" t="str">
        <f t="array" ref="G907">INDEX('MTA 28-09'!J:J,MATCH(B907,'MTA 28-09'!A:A,0))</f>
        <v/>
      </c>
      <c r="H907" s="287" t="s">
        <v>157</v>
      </c>
      <c r="I907" s="295"/>
      <c r="J907" s="39"/>
      <c r="K907" s="40"/>
      <c r="L907" s="39" t="str">
        <f t="array" ref="L907">INDEX('MTA 28-09'!S:S,MATCH(B907,'MTA 28-09'!A:A,0))</f>
        <v>T-27</v>
      </c>
      <c r="M907" s="32" t="str">
        <f t="array" ref="M907">INDEX('MTA 28-09'!T:T,MATCH(B907,'MTA 28-09'!A:A,0))</f>
        <v>CTT 009/CELOG-PAMALS/2025 – Aquisição de Consumíveis</v>
      </c>
      <c r="N907" s="32" t="str">
        <f t="array" ref="N907">INDEX('MTA 28-09'!U:U,MATCH(B907,'MTA 28-09'!A:A,0))</f>
        <v>Sob demanda 8/8</v>
      </c>
      <c r="O907" s="59">
        <f t="array" ref="O907">INDEX('MTA 28-09'!AC:AC,MATCH(B907,'MTA 28-09'!A:A,0))</f>
        <v>1130000</v>
      </c>
      <c r="P907" s="32" t="str">
        <f t="array" ref="P907">INDEX('MTA 28-09'!N:N,MATCH(B907,'MTA 28-09'!A:A,0))</f>
        <v>CELOG</v>
      </c>
      <c r="Q907" s="67" t="str">
        <f t="array" ref="Q907">INDEX('MTA 28-09'!Z:Z,MATCH(B907,'MTA 28-09'!A:A,0))</f>
        <v>339030</v>
      </c>
      <c r="R907" s="32" t="str">
        <f t="array" ref="R907">INDEX('MTA 28-09'!L:L,MATCH(B907,'MTA 28-09'!A:A,0))</f>
        <v>C</v>
      </c>
      <c r="S907" s="72" t="str">
        <f t="array" ref="S907">INDEX('MTA 28-09'!X:X,MATCH(B907,'MTA 28-09'!A:A,0))</f>
        <v>SOB DEMANDA</v>
      </c>
      <c r="T907" s="72" t="str">
        <f t="array" ref="T907">INDEX('MTA 28-09'!W:W,MATCH(B907,'MTA 28-09'!A:A,0))</f>
        <v>Não</v>
      </c>
      <c r="U907" s="81">
        <f t="array" ref="U907">INDEX('MTA 28-09'!AE:AE,MATCH(B907,'MTA 28-09'!A:A,0))</f>
        <v>46382</v>
      </c>
      <c r="V907" s="12"/>
      <c r="W907" s="12"/>
      <c r="X907" s="12"/>
      <c r="Y907" s="12"/>
      <c r="Z907" s="12"/>
      <c r="AA907" s="12"/>
      <c r="AB907" s="12"/>
      <c r="AC907" s="12"/>
      <c r="AD907" s="12"/>
      <c r="AE907" s="12"/>
      <c r="AF907" s="12"/>
      <c r="AG907" s="12"/>
      <c r="AH907" s="12"/>
      <c r="AI907" s="12"/>
      <c r="AJ907" s="12"/>
      <c r="AK907" s="12"/>
      <c r="AL907" s="12"/>
      <c r="AM907" s="12"/>
    </row>
    <row r="908">
      <c r="A908" s="88" t="s">
        <v>39</v>
      </c>
      <c r="B908" s="98">
        <v>25300.0</v>
      </c>
      <c r="C908" s="92" t="str">
        <f t="array" ref="C908">INDEX('MTA 28-09'!B:B,MATCH(B908,'MTA 28-09'!A:A,0))</f>
        <v>NÃO</v>
      </c>
      <c r="D908" s="95" t="str">
        <f t="array" ref="D908">INDEX('MTA 28-09'!D:D,MATCH(B908,'MTA 28-09'!A:A,0))</f>
        <v/>
      </c>
      <c r="E908" s="98" t="str">
        <f t="array" ref="E908">INDEX('MTA 28-09'!F:F,MATCH(B908,'MTA 28-09'!A:A,0))</f>
        <v/>
      </c>
      <c r="F908" s="99" t="str">
        <f t="array" ref="F908">INDEX('MTA 28-09'!I:I,MATCH(B908,'MTA 28-09'!A:A,0))</f>
        <v/>
      </c>
      <c r="G908" s="100" t="str">
        <f t="array" ref="G908">INDEX('MTA 28-09'!J:J,MATCH(B908,'MTA 28-09'!A:A,0))</f>
        <v/>
      </c>
      <c r="H908" s="159" t="s">
        <v>157</v>
      </c>
      <c r="I908" s="296"/>
      <c r="J908" s="102"/>
      <c r="K908" s="103"/>
      <c r="L908" s="102" t="str">
        <f t="array" ref="L908">INDEX('MTA 28-09'!S:S,MATCH(B908,'MTA 28-09'!A:A,0))</f>
        <v>A-29</v>
      </c>
      <c r="M908" s="98" t="str">
        <f t="array" ref="M908">INDEX('MTA 28-09'!T:T,MATCH(B908,'MTA 28-09'!A:A,0))</f>
        <v>CTT 102/CELOG-PAMALS/2023 – EMBRAER - PSLI</v>
      </c>
      <c r="N908" s="98" t="str">
        <f t="array" ref="N908">INDEX('MTA 28-09'!U:U,MATCH(B908,'MTA 28-09'!A:A,0))</f>
        <v>Módulo Extra - Montagem 5929</v>
      </c>
      <c r="O908" s="104">
        <f t="array" ref="O908">INDEX('MTA 28-09'!AC:AC,MATCH(B908,'MTA 28-09'!A:A,0))</f>
        <v>5945588.05</v>
      </c>
      <c r="P908" s="98" t="str">
        <f t="array" ref="P908">INDEX('MTA 28-09'!N:N,MATCH(B908,'MTA 28-09'!A:A,0))</f>
        <v>CELOG</v>
      </c>
      <c r="Q908" s="105" t="str">
        <f t="array" ref="Q908">INDEX('MTA 28-09'!Z:Z,MATCH(B908,'MTA 28-09'!A:A,0))</f>
        <v>339039</v>
      </c>
      <c r="R908" s="98" t="str">
        <f t="array" ref="R908">INDEX('MTA 28-09'!L:L,MATCH(B908,'MTA 28-09'!A:A,0))</f>
        <v>C</v>
      </c>
      <c r="S908" s="107" t="str">
        <f t="array" ref="S908">INDEX('MTA 28-09'!X:X,MATCH(B908,'MTA 28-09'!A:A,0))</f>
        <v>SOB DEMANDA</v>
      </c>
      <c r="T908" s="107" t="str">
        <f t="array" ref="T908">INDEX('MTA 28-09'!W:W,MATCH(B908,'MTA 28-09'!A:A,0))</f>
        <v>Não</v>
      </c>
      <c r="U908" s="109">
        <f t="array" ref="U908">INDEX('MTA 28-09'!AE:AE,MATCH(B908,'MTA 28-09'!A:A,0))</f>
        <v>46382</v>
      </c>
      <c r="V908" s="29"/>
      <c r="W908" s="29"/>
      <c r="X908" s="29"/>
      <c r="Y908" s="29"/>
      <c r="Z908" s="29"/>
      <c r="AA908" s="29"/>
      <c r="AB908" s="29"/>
      <c r="AC908" s="29"/>
      <c r="AD908" s="29"/>
      <c r="AE908" s="29"/>
      <c r="AF908" s="29"/>
      <c r="AG908" s="29"/>
      <c r="AH908" s="29"/>
      <c r="AI908" s="29"/>
      <c r="AJ908" s="29"/>
      <c r="AK908" s="29"/>
      <c r="AL908" s="29"/>
      <c r="AM908" s="29"/>
    </row>
    <row r="909">
      <c r="A909" s="31" t="s">
        <v>39</v>
      </c>
      <c r="B909" s="32">
        <v>25320.0</v>
      </c>
      <c r="C909" s="33" t="str">
        <f t="array" ref="C909">INDEX('MTA 28-09'!B:B,MATCH(B909,'MTA 28-09'!A:A,0))</f>
        <v>NÃO</v>
      </c>
      <c r="D909" s="34" t="str">
        <f t="array" ref="D909">INDEX('MTA 28-09'!D:D,MATCH(B909,'MTA 28-09'!A:A,0))</f>
        <v/>
      </c>
      <c r="E909" s="32" t="str">
        <f t="array" ref="E909">INDEX('MTA 28-09'!F:F,MATCH(B909,'MTA 28-09'!A:A,0))</f>
        <v/>
      </c>
      <c r="F909" s="35" t="str">
        <f t="array" ref="F909">INDEX('MTA 28-09'!I:I,MATCH(B909,'MTA 28-09'!A:A,0))</f>
        <v/>
      </c>
      <c r="G909" s="36" t="str">
        <f t="array" ref="G909">INDEX('MTA 28-09'!J:J,MATCH(B909,'MTA 28-09'!A:A,0))</f>
        <v/>
      </c>
      <c r="H909" s="287" t="s">
        <v>157</v>
      </c>
      <c r="I909" s="38"/>
      <c r="J909" s="39"/>
      <c r="K909" s="40"/>
      <c r="L909" s="39" t="str">
        <f t="array" ref="L909">INDEX('MTA 28-09'!S:S,MATCH(B909,'MTA 28-09'!A:A,0))</f>
        <v>A-29</v>
      </c>
      <c r="M909" s="32" t="str">
        <f t="array" ref="M909">INDEX('MTA 28-09'!T:T,MATCH(B909,'MTA 28-09'!A:A,0))</f>
        <v>CTT 102/CELOG-PAMALS/2023 – EMBRAER - PSLI</v>
      </c>
      <c r="N909" s="32" t="str">
        <f t="array" ref="N909">INDEX('MTA 28-09'!U:U,MATCH(B909,'MTA 28-09'!A:A,0))</f>
        <v>Módulo Extra - Montagem 5710</v>
      </c>
      <c r="O909" s="59">
        <f t="array" ref="O909">INDEX('MTA 28-09'!AC:AC,MATCH(B909,'MTA 28-09'!A:A,0))</f>
        <v>16010000</v>
      </c>
      <c r="P909" s="32" t="str">
        <f t="array" ref="P909">INDEX('MTA 28-09'!N:N,MATCH(B909,'MTA 28-09'!A:A,0))</f>
        <v>CELOG</v>
      </c>
      <c r="Q909" s="67" t="str">
        <f t="array" ref="Q909">INDEX('MTA 28-09'!Z:Z,MATCH(B909,'MTA 28-09'!A:A,0))</f>
        <v>339039</v>
      </c>
      <c r="R909" s="32" t="str">
        <f t="array" ref="R909">INDEX('MTA 28-09'!L:L,MATCH(B909,'MTA 28-09'!A:A,0))</f>
        <v>C</v>
      </c>
      <c r="S909" s="72" t="str">
        <f t="array" ref="S909">INDEX('MTA 28-09'!X:X,MATCH(B909,'MTA 28-09'!A:A,0))</f>
        <v>SOB DEMANDA</v>
      </c>
      <c r="T909" s="72" t="str">
        <f t="array" ref="T909">INDEX('MTA 28-09'!W:W,MATCH(B909,'MTA 28-09'!A:A,0))</f>
        <v>Não</v>
      </c>
      <c r="U909" s="81">
        <f t="array" ref="U909">INDEX('MTA 28-09'!AE:AE,MATCH(B909,'MTA 28-09'!A:A,0))</f>
        <v>46382</v>
      </c>
      <c r="V909" s="12"/>
      <c r="W909" s="12"/>
      <c r="X909" s="12"/>
      <c r="Y909" s="12"/>
      <c r="Z909" s="12"/>
      <c r="AA909" s="12"/>
      <c r="AB909" s="12"/>
      <c r="AC909" s="12"/>
      <c r="AD909" s="12"/>
      <c r="AE909" s="12"/>
      <c r="AF909" s="12"/>
      <c r="AG909" s="12"/>
      <c r="AH909" s="12"/>
      <c r="AI909" s="12"/>
      <c r="AJ909" s="12"/>
      <c r="AK909" s="12"/>
      <c r="AL909" s="12"/>
      <c r="AM909" s="12"/>
    </row>
    <row r="910">
      <c r="A910" s="88" t="s">
        <v>39</v>
      </c>
      <c r="B910" s="98">
        <v>25340.0</v>
      </c>
      <c r="C910" s="92" t="str">
        <f t="array" ref="C910">INDEX('MTA 28-09'!B:B,MATCH(B910,'MTA 28-09'!A:A,0))</f>
        <v>SIM</v>
      </c>
      <c r="D910" s="95">
        <f t="array" ref="D910">INDEX('MTA 28-09'!D:D,MATCH(B910,'MTA 28-09'!A:A,0))</f>
        <v>2048</v>
      </c>
      <c r="E910" s="98" t="str">
        <f t="array" ref="E910">INDEX('MTA 28-09'!F:F,MATCH(B910,'MTA 28-09'!A:A,0))</f>
        <v>ATENDER</v>
      </c>
      <c r="F910" s="99" t="str">
        <f t="array" ref="F910">INDEX('MTA 28-09'!I:I,MATCH(B910,'MTA 28-09'!A:A,0))</f>
        <v/>
      </c>
      <c r="G910" s="100" t="str">
        <f t="array" ref="G910">INDEX('MTA 28-09'!J:J,MATCH(B910,'MTA 28-09'!A:A,0))</f>
        <v/>
      </c>
      <c r="H910" s="159">
        <v>46276.0</v>
      </c>
      <c r="I910" s="90" t="s">
        <v>705</v>
      </c>
      <c r="J910" s="102"/>
      <c r="K910" s="103"/>
      <c r="L910" s="102" t="str">
        <f t="array" ref="L910">INDEX('MTA 28-09'!S:S,MATCH(B910,'MTA 28-09'!A:A,0))</f>
        <v>A-29</v>
      </c>
      <c r="M910" s="98" t="str">
        <f t="array" ref="M910">INDEX('MTA 28-09'!T:T,MATCH(B910,'MTA 28-09'!A:A,0))</f>
        <v>CTT 102/CELOG-PAMALS/2023 – EMBRAER - PSLI</v>
      </c>
      <c r="N910" s="98" t="str">
        <f t="array" ref="N910">INDEX('MTA 28-09'!U:U,MATCH(B910,'MTA 28-09'!A:A,0))</f>
        <v>Módulo Extra - Sob demanda 4/4</v>
      </c>
      <c r="O910" s="104">
        <f t="array" ref="O910">INDEX('MTA 28-09'!AC:AC,MATCH(B910,'MTA 28-09'!A:A,0))</f>
        <v>1000000</v>
      </c>
      <c r="P910" s="98" t="str">
        <f t="array" ref="P910">INDEX('MTA 28-09'!N:N,MATCH(B910,'MTA 28-09'!A:A,0))</f>
        <v>CELOG</v>
      </c>
      <c r="Q910" s="105" t="str">
        <f t="array" ref="Q910">INDEX('MTA 28-09'!Z:Z,MATCH(B910,'MTA 28-09'!A:A,0))</f>
        <v>339030</v>
      </c>
      <c r="R910" s="98" t="str">
        <f t="array" ref="R910">INDEX('MTA 28-09'!L:L,MATCH(B910,'MTA 28-09'!A:A,0))</f>
        <v>A</v>
      </c>
      <c r="S910" s="107" t="str">
        <f t="array" ref="S910">INDEX('MTA 28-09'!X:X,MATCH(B910,'MTA 28-09'!A:A,0))</f>
        <v>SOB DEMANDA</v>
      </c>
      <c r="T910" s="107" t="str">
        <f t="array" ref="T910">INDEX('MTA 28-09'!W:W,MATCH(B910,'MTA 28-09'!A:A,0))</f>
        <v>Não</v>
      </c>
      <c r="U910" s="109">
        <f t="array" ref="U910">INDEX('MTA 28-09'!AE:AE,MATCH(B910,'MTA 28-09'!A:A,0))</f>
        <v>46382</v>
      </c>
      <c r="V910" s="29"/>
      <c r="W910" s="29"/>
      <c r="X910" s="29"/>
      <c r="Y910" s="29"/>
      <c r="Z910" s="29"/>
      <c r="AA910" s="29"/>
      <c r="AB910" s="29"/>
      <c r="AC910" s="29"/>
      <c r="AD910" s="29"/>
      <c r="AE910" s="29"/>
      <c r="AF910" s="29"/>
      <c r="AG910" s="29"/>
      <c r="AH910" s="29"/>
      <c r="AI910" s="29"/>
      <c r="AJ910" s="29"/>
      <c r="AK910" s="29"/>
      <c r="AL910" s="29"/>
      <c r="AM910" s="29"/>
    </row>
    <row r="911">
      <c r="A911" s="31" t="s">
        <v>43</v>
      </c>
      <c r="B911" s="32">
        <v>25360.0</v>
      </c>
      <c r="C911" s="33" t="str">
        <f t="array" ref="C911">INDEX('MTA 28-09'!B:B,MATCH(B911,'MTA 28-09'!A:A,0))</f>
        <v>NÃO</v>
      </c>
      <c r="D911" s="34" t="str">
        <f t="array" ref="D911">INDEX('MTA 28-09'!D:D,MATCH(B911,'MTA 28-09'!A:A,0))</f>
        <v/>
      </c>
      <c r="E911" s="32" t="str">
        <f t="array" ref="E911">INDEX('MTA 28-09'!F:F,MATCH(B911,'MTA 28-09'!A:A,0))</f>
        <v/>
      </c>
      <c r="F911" s="35" t="str">
        <f t="array" ref="F911">INDEX('MTA 28-09'!I:I,MATCH(B911,'MTA 28-09'!A:A,0))</f>
        <v/>
      </c>
      <c r="G911" s="36" t="str">
        <f t="array" ref="G911">INDEX('MTA 28-09'!J:J,MATCH(B911,'MTA 28-09'!A:A,0))</f>
        <v/>
      </c>
      <c r="H911" s="287" t="s">
        <v>157</v>
      </c>
      <c r="I911" s="38"/>
      <c r="J911" s="39"/>
      <c r="K911" s="40"/>
      <c r="L911" s="39" t="str">
        <f t="array" ref="L911">INDEX('MTA 28-09'!S:S,MATCH(B911,'MTA 28-09'!A:A,0))</f>
        <v>C-95M</v>
      </c>
      <c r="M911" s="32" t="str">
        <f t="array" ref="M911">INDEX('MTA 28-09'!T:T,MATCH(B911,'MTA 28-09'!A:A,0))</f>
        <v>CTT 049/CELOG-PAMALS/2024 – Aquisição de Consumíveis</v>
      </c>
      <c r="N911" s="32" t="str">
        <f t="array" ref="N911">INDEX('MTA 28-09'!U:U,MATCH(B911,'MTA 28-09'!A:A,0))</f>
        <v>Sob demanda 5/6</v>
      </c>
      <c r="O911" s="59">
        <f t="array" ref="O911">INDEX('MTA 28-09'!AC:AC,MATCH(B911,'MTA 28-09'!A:A,0))</f>
        <v>1360000</v>
      </c>
      <c r="P911" s="32" t="str">
        <f t="array" ref="P911">INDEX('MTA 28-09'!N:N,MATCH(B911,'MTA 28-09'!A:A,0))</f>
        <v>CELOG</v>
      </c>
      <c r="Q911" s="67" t="str">
        <f t="array" ref="Q911">INDEX('MTA 28-09'!Z:Z,MATCH(B911,'MTA 28-09'!A:A,0))</f>
        <v>339030</v>
      </c>
      <c r="R911" s="32" t="str">
        <f t="array" ref="R911">INDEX('MTA 28-09'!L:L,MATCH(B911,'MTA 28-09'!A:A,0))</f>
        <v>C</v>
      </c>
      <c r="S911" s="72" t="str">
        <f t="array" ref="S911">INDEX('MTA 28-09'!X:X,MATCH(B911,'MTA 28-09'!A:A,0))</f>
        <v>SOB DEMANDA</v>
      </c>
      <c r="T911" s="72" t="str">
        <f t="array" ref="T911">INDEX('MTA 28-09'!W:W,MATCH(B911,'MTA 28-09'!A:A,0))</f>
        <v>Não</v>
      </c>
      <c r="U911" s="81">
        <f t="array" ref="U911">INDEX('MTA 28-09'!AE:AE,MATCH(B911,'MTA 28-09'!A:A,0))</f>
        <v>46382</v>
      </c>
      <c r="V911" s="12"/>
      <c r="W911" s="12"/>
      <c r="X911" s="12"/>
      <c r="Y911" s="12"/>
      <c r="Z911" s="12"/>
      <c r="AA911" s="12"/>
      <c r="AB911" s="12"/>
      <c r="AC911" s="12"/>
      <c r="AD911" s="12"/>
      <c r="AE911" s="12"/>
      <c r="AF911" s="12"/>
      <c r="AG911" s="12"/>
      <c r="AH911" s="12"/>
      <c r="AI911" s="12"/>
      <c r="AJ911" s="12"/>
      <c r="AK911" s="12"/>
      <c r="AL911" s="12"/>
      <c r="AM911" s="12"/>
    </row>
    <row r="912">
      <c r="A912" s="88" t="s">
        <v>43</v>
      </c>
      <c r="B912" s="98">
        <v>25380.0</v>
      </c>
      <c r="C912" s="92" t="str">
        <f t="array" ref="C912">INDEX('MTA 28-09'!B:B,MATCH(B912,'MTA 28-09'!A:A,0))</f>
        <v>NÃO</v>
      </c>
      <c r="D912" s="95" t="str">
        <f t="array" ref="D912">INDEX('MTA 28-09'!D:D,MATCH(B912,'MTA 28-09'!A:A,0))</f>
        <v/>
      </c>
      <c r="E912" s="98" t="str">
        <f t="array" ref="E912">INDEX('MTA 28-09'!F:F,MATCH(B912,'MTA 28-09'!A:A,0))</f>
        <v/>
      </c>
      <c r="F912" s="99" t="str">
        <f t="array" ref="F912">INDEX('MTA 28-09'!I:I,MATCH(B912,'MTA 28-09'!A:A,0))</f>
        <v/>
      </c>
      <c r="G912" s="100" t="str">
        <f t="array" ref="G912">INDEX('MTA 28-09'!J:J,MATCH(B912,'MTA 28-09'!A:A,0))</f>
        <v/>
      </c>
      <c r="H912" s="159" t="s">
        <v>157</v>
      </c>
      <c r="I912" s="296"/>
      <c r="J912" s="102"/>
      <c r="K912" s="103"/>
      <c r="L912" s="102" t="str">
        <f t="array" ref="L912">INDEX('MTA 28-09'!S:S,MATCH(B912,'MTA 28-09'!A:A,0))</f>
        <v>C-95M</v>
      </c>
      <c r="M912" s="98" t="str">
        <f t="array" ref="M912">INDEX('MTA 28-09'!T:T,MATCH(B912,'MTA 28-09'!A:A,0))</f>
        <v>CTT 049/CELOG-PAMALS/2024 – Aquisição de Consumíveis</v>
      </c>
      <c r="N912" s="98" t="str">
        <f t="array" ref="N912">INDEX('MTA 28-09'!U:U,MATCH(B912,'MTA 28-09'!A:A,0))</f>
        <v>Sob demanda 6/6</v>
      </c>
      <c r="O912" s="104">
        <f t="array" ref="O912">INDEX('MTA 28-09'!AC:AC,MATCH(B912,'MTA 28-09'!A:A,0))</f>
        <v>1360000</v>
      </c>
      <c r="P912" s="98" t="str">
        <f t="array" ref="P912">INDEX('MTA 28-09'!N:N,MATCH(B912,'MTA 28-09'!A:A,0))</f>
        <v>CELOG</v>
      </c>
      <c r="Q912" s="105" t="str">
        <f t="array" ref="Q912">INDEX('MTA 28-09'!Z:Z,MATCH(B912,'MTA 28-09'!A:A,0))</f>
        <v>339030</v>
      </c>
      <c r="R912" s="98" t="str">
        <f t="array" ref="R912">INDEX('MTA 28-09'!L:L,MATCH(B912,'MTA 28-09'!A:A,0))</f>
        <v>C</v>
      </c>
      <c r="S912" s="107" t="str">
        <f t="array" ref="S912">INDEX('MTA 28-09'!X:X,MATCH(B912,'MTA 28-09'!A:A,0))</f>
        <v>SOB DEMANDA</v>
      </c>
      <c r="T912" s="107" t="str">
        <f t="array" ref="T912">INDEX('MTA 28-09'!W:W,MATCH(B912,'MTA 28-09'!A:A,0))</f>
        <v>Não</v>
      </c>
      <c r="U912" s="109">
        <f t="array" ref="U912">INDEX('MTA 28-09'!AE:AE,MATCH(B912,'MTA 28-09'!A:A,0))</f>
        <v>46382</v>
      </c>
      <c r="V912" s="29"/>
      <c r="W912" s="29"/>
      <c r="X912" s="29"/>
      <c r="Y912" s="29"/>
      <c r="Z912" s="29"/>
      <c r="AA912" s="29"/>
      <c r="AB912" s="29"/>
      <c r="AC912" s="29"/>
      <c r="AD912" s="29"/>
      <c r="AE912" s="29"/>
      <c r="AF912" s="29"/>
      <c r="AG912" s="29"/>
      <c r="AH912" s="29"/>
      <c r="AI912" s="29"/>
      <c r="AJ912" s="29"/>
      <c r="AK912" s="29"/>
      <c r="AL912" s="29"/>
      <c r="AM912" s="29"/>
    </row>
    <row r="913">
      <c r="A913" s="31" t="s">
        <v>43</v>
      </c>
      <c r="B913" s="32">
        <v>25400.0</v>
      </c>
      <c r="C913" s="33" t="str">
        <f t="array" ref="C913">INDEX('MTA 28-09'!B:B,MATCH(B913,'MTA 28-09'!A:A,0))</f>
        <v>NÃO</v>
      </c>
      <c r="D913" s="34" t="str">
        <f t="array" ref="D913">INDEX('MTA 28-09'!D:D,MATCH(B913,'MTA 28-09'!A:A,0))</f>
        <v/>
      </c>
      <c r="E913" s="32" t="str">
        <f t="array" ref="E913">INDEX('MTA 28-09'!F:F,MATCH(B913,'MTA 28-09'!A:A,0))</f>
        <v/>
      </c>
      <c r="F913" s="35" t="str">
        <f t="array" ref="F913">INDEX('MTA 28-09'!I:I,MATCH(B913,'MTA 28-09'!A:A,0))</f>
        <v/>
      </c>
      <c r="G913" s="36" t="str">
        <f t="array" ref="G913">INDEX('MTA 28-09'!J:J,MATCH(B913,'MTA 28-09'!A:A,0))</f>
        <v/>
      </c>
      <c r="H913" s="287" t="s">
        <v>157</v>
      </c>
      <c r="I913" s="295"/>
      <c r="J913" s="39"/>
      <c r="K913" s="40"/>
      <c r="L913" s="39" t="str">
        <f t="array" ref="L913">INDEX('MTA 28-09'!S:S,MATCH(B913,'MTA 28-09'!A:A,0))</f>
        <v>C-95M</v>
      </c>
      <c r="M913" s="32" t="str">
        <f t="array" ref="M913">INDEX('MTA 28-09'!T:T,MATCH(B913,'MTA 28-09'!A:A,0))</f>
        <v>CTT XXX/CELOG-PAMALS/2026 - Reforma de Interiores</v>
      </c>
      <c r="N913" s="32" t="str">
        <f t="array" ref="N913">INDEX('MTA 28-09'!U:U,MATCH(B913,'MTA 28-09'!A:A,0))</f>
        <v>Sob demanda 2/2</v>
      </c>
      <c r="O913" s="59">
        <f t="array" ref="O913">INDEX('MTA 28-09'!AC:AC,MATCH(B913,'MTA 28-09'!A:A,0))</f>
        <v>750000</v>
      </c>
      <c r="P913" s="32" t="str">
        <f t="array" ref="P913">INDEX('MTA 28-09'!N:N,MATCH(B913,'MTA 28-09'!A:A,0))</f>
        <v>CELOG</v>
      </c>
      <c r="Q913" s="67" t="str">
        <f t="array" ref="Q913">INDEX('MTA 28-09'!Z:Z,MATCH(B913,'MTA 28-09'!A:A,0))</f>
        <v>339039</v>
      </c>
      <c r="R913" s="32" t="str">
        <f t="array" ref="R913">INDEX('MTA 28-09'!L:L,MATCH(B913,'MTA 28-09'!A:A,0))</f>
        <v>C</v>
      </c>
      <c r="S913" s="72" t="str">
        <f t="array" ref="S913">INDEX('MTA 28-09'!X:X,MATCH(B913,'MTA 28-09'!A:A,0))</f>
        <v>SOB DEMANDA</v>
      </c>
      <c r="T913" s="72" t="str">
        <f t="array" ref="T913">INDEX('MTA 28-09'!W:W,MATCH(B913,'MTA 28-09'!A:A,0))</f>
        <v>Não</v>
      </c>
      <c r="U913" s="81">
        <f t="array" ref="U913">INDEX('MTA 28-09'!AE:AE,MATCH(B913,'MTA 28-09'!A:A,0))</f>
        <v>46382</v>
      </c>
      <c r="V913" s="12"/>
      <c r="W913" s="12"/>
      <c r="X913" s="12"/>
      <c r="Y913" s="12"/>
      <c r="Z913" s="12"/>
      <c r="AA913" s="12"/>
      <c r="AB913" s="12"/>
      <c r="AC913" s="12"/>
      <c r="AD913" s="12"/>
      <c r="AE913" s="12"/>
      <c r="AF913" s="12"/>
      <c r="AG913" s="12"/>
      <c r="AH913" s="12"/>
      <c r="AI913" s="12"/>
      <c r="AJ913" s="12"/>
      <c r="AK913" s="12"/>
      <c r="AL913" s="12"/>
      <c r="AM913" s="12"/>
    </row>
    <row r="914">
      <c r="A914" s="88" t="s">
        <v>99</v>
      </c>
      <c r="B914" s="98">
        <v>25420.0</v>
      </c>
      <c r="C914" s="92" t="str">
        <f t="array" ref="C914">INDEX('MTA 28-09'!B:B,MATCH(B914,'MTA 28-09'!A:A,0))</f>
        <v>NÃO</v>
      </c>
      <c r="D914" s="95" t="str">
        <f t="array" ref="D914">INDEX('MTA 28-09'!D:D,MATCH(B914,'MTA 28-09'!A:A,0))</f>
        <v/>
      </c>
      <c r="E914" s="98" t="str">
        <f t="array" ref="E914">INDEX('MTA 28-09'!F:F,MATCH(B914,'MTA 28-09'!A:A,0))</f>
        <v/>
      </c>
      <c r="F914" s="99" t="str">
        <f t="array" ref="F914">INDEX('MTA 28-09'!I:I,MATCH(B914,'MTA 28-09'!A:A,0))</f>
        <v/>
      </c>
      <c r="G914" s="100" t="str">
        <f t="array" ref="G914">INDEX('MTA 28-09'!J:J,MATCH(B914,'MTA 28-09'!A:A,0))</f>
        <v/>
      </c>
      <c r="H914" s="159" t="s">
        <v>157</v>
      </c>
      <c r="I914" s="296"/>
      <c r="J914" s="102"/>
      <c r="K914" s="103"/>
      <c r="L914" s="102" t="str">
        <f t="array" ref="L914">INDEX('MTA 28-09'!S:S,MATCH(B914,'MTA 28-09'!A:A,0))</f>
        <v>APOIO</v>
      </c>
      <c r="M914" s="98" t="str">
        <f t="array" ref="M914">INDEX('MTA 28-09'!T:T,MATCH(B914,'MTA 28-09'!A:A,0))</f>
        <v>CNT XXX/GAPLS/2026 - Revisão/Manutenção de maquinários da TOFI - Serviço</v>
      </c>
      <c r="N914" s="98" t="str">
        <f t="array" ref="N914">INDEX('MTA 28-09'!U:U,MATCH(B914,'MTA 28-09'!A:A,0))</f>
        <v>Serviço de revisão/manutenção preventiva e corretiva dos maquinários da TOFI 5/6</v>
      </c>
      <c r="O914" s="104">
        <f t="array" ref="O914">INDEX('MTA 28-09'!AC:AC,MATCH(B914,'MTA 28-09'!A:A,0))</f>
        <v>324000</v>
      </c>
      <c r="P914" s="98" t="str">
        <f t="array" ref="P914">INDEX('MTA 28-09'!N:N,MATCH(B914,'MTA 28-09'!A:A,0))</f>
        <v>GAP-LS</v>
      </c>
      <c r="Q914" s="105" t="str">
        <f t="array" ref="Q914">INDEX('MTA 28-09'!Z:Z,MATCH(B914,'MTA 28-09'!A:A,0))</f>
        <v>339039</v>
      </c>
      <c r="R914" s="98" t="str">
        <f t="array" ref="R914">INDEX('MTA 28-09'!L:L,MATCH(B914,'MTA 28-09'!A:A,0))</f>
        <v>C</v>
      </c>
      <c r="S914" s="107" t="str">
        <f t="array" ref="S914">INDEX('MTA 28-09'!X:X,MATCH(B914,'MTA 28-09'!A:A,0))</f>
        <v>SOB DEMANDA</v>
      </c>
      <c r="T914" s="107" t="str">
        <f t="array" ref="T914">INDEX('MTA 28-09'!W:W,MATCH(B914,'MTA 28-09'!A:A,0))</f>
        <v>NÃO</v>
      </c>
      <c r="U914" s="109">
        <f t="array" ref="U914">INDEX('MTA 28-09'!AE:AE,MATCH(B914,'MTA 28-09'!A:A,0))</f>
        <v>46382</v>
      </c>
      <c r="V914" s="29"/>
      <c r="W914" s="29"/>
      <c r="X914" s="29"/>
      <c r="Y914" s="29"/>
      <c r="Z914" s="29"/>
      <c r="AA914" s="29"/>
      <c r="AB914" s="29"/>
      <c r="AC914" s="29"/>
      <c r="AD914" s="29"/>
      <c r="AE914" s="29"/>
      <c r="AF914" s="29"/>
      <c r="AG914" s="29"/>
      <c r="AH914" s="29"/>
      <c r="AI914" s="29"/>
      <c r="AJ914" s="29"/>
      <c r="AK914" s="29"/>
      <c r="AL914" s="29"/>
      <c r="AM914" s="29"/>
    </row>
    <row r="915">
      <c r="A915" s="31" t="s">
        <v>44</v>
      </c>
      <c r="B915" s="32">
        <v>25440.0</v>
      </c>
      <c r="C915" s="33" t="str">
        <f t="array" ref="C915">INDEX('MTA 28-09'!B:B,MATCH(B915,'MTA 28-09'!A:A,0))</f>
        <v>NÃO</v>
      </c>
      <c r="D915" s="34" t="str">
        <f t="array" ref="D915">INDEX('MTA 28-09'!D:D,MATCH(B915,'MTA 28-09'!A:A,0))</f>
        <v/>
      </c>
      <c r="E915" s="32" t="str">
        <f t="array" ref="E915">INDEX('MTA 28-09'!F:F,MATCH(B915,'MTA 28-09'!A:A,0))</f>
        <v/>
      </c>
      <c r="F915" s="35" t="str">
        <f t="array" ref="F915">INDEX('MTA 28-09'!I:I,MATCH(B915,'MTA 28-09'!A:A,0))</f>
        <v/>
      </c>
      <c r="G915" s="36" t="str">
        <f t="array" ref="G915">INDEX('MTA 28-09'!J:J,MATCH(B915,'MTA 28-09'!A:A,0))</f>
        <v/>
      </c>
      <c r="H915" s="287" t="s">
        <v>157</v>
      </c>
      <c r="I915" s="295"/>
      <c r="J915" s="39"/>
      <c r="K915" s="40"/>
      <c r="L915" s="39" t="str">
        <f t="array" ref="L915">INDEX('MTA 28-09'!S:S,MATCH(B915,'MTA 28-09'!A:A,0))</f>
        <v>C-97</v>
      </c>
      <c r="M915" s="32" t="str">
        <f t="array" ref="M915">INDEX('MTA 28-09'!T:T,MATCH(B915,'MTA 28-09'!A:A,0))</f>
        <v>CTT 096/CAE-PAMALS/2021 - CLS C-97</v>
      </c>
      <c r="N915" s="32" t="str">
        <f t="array" ref="N915">INDEX('MTA 28-09'!U:U,MATCH(B915,'MTA 28-09'!A:A,0))</f>
        <v>Manutenção na empresa - Inspeção A</v>
      </c>
      <c r="O915" s="59">
        <f t="array" ref="O915">INDEX('MTA 28-09'!AC:AC,MATCH(B915,'MTA 28-09'!A:A,0))</f>
        <v>252000</v>
      </c>
      <c r="P915" s="32" t="str">
        <f t="array" ref="P915">INDEX('MTA 28-09'!N:N,MATCH(B915,'MTA 28-09'!A:A,0))</f>
        <v>CELOG</v>
      </c>
      <c r="Q915" s="67" t="str">
        <f t="array" ref="Q915">INDEX('MTA 28-09'!Z:Z,MATCH(B915,'MTA 28-09'!A:A,0))</f>
        <v>339039</v>
      </c>
      <c r="R915" s="32" t="str">
        <f t="array" ref="R915">INDEX('MTA 28-09'!L:L,MATCH(B915,'MTA 28-09'!A:A,0))</f>
        <v>C</v>
      </c>
      <c r="S915" s="72" t="str">
        <f t="array" ref="S915">INDEX('MTA 28-09'!X:X,MATCH(B915,'MTA 28-09'!A:A,0))</f>
        <v>SOB DEMANDA</v>
      </c>
      <c r="T915" s="72" t="str">
        <f t="array" ref="T915">INDEX('MTA 28-09'!W:W,MATCH(B915,'MTA 28-09'!A:A,0))</f>
        <v>Não</v>
      </c>
      <c r="U915" s="81">
        <f t="array" ref="U915">INDEX('MTA 28-09'!AE:AE,MATCH(B915,'MTA 28-09'!A:A,0))</f>
        <v>46382</v>
      </c>
      <c r="V915" s="12"/>
      <c r="W915" s="12"/>
      <c r="X915" s="12"/>
      <c r="Y915" s="12"/>
      <c r="Z915" s="12"/>
      <c r="AA915" s="12"/>
      <c r="AB915" s="12"/>
      <c r="AC915" s="12"/>
      <c r="AD915" s="12"/>
      <c r="AE915" s="12"/>
      <c r="AF915" s="12"/>
      <c r="AG915" s="12"/>
      <c r="AH915" s="12"/>
      <c r="AI915" s="12"/>
      <c r="AJ915" s="12"/>
      <c r="AK915" s="12"/>
      <c r="AL915" s="12"/>
      <c r="AM915" s="12"/>
    </row>
    <row r="916">
      <c r="A916" s="88" t="s">
        <v>44</v>
      </c>
      <c r="B916" s="98">
        <v>25460.0</v>
      </c>
      <c r="C916" s="92" t="str">
        <f t="array" ref="C916">INDEX('MTA 28-09'!B:B,MATCH(B916,'MTA 28-09'!A:A,0))</f>
        <v>NÃO</v>
      </c>
      <c r="D916" s="95" t="str">
        <f t="array" ref="D916">INDEX('MTA 28-09'!D:D,MATCH(B916,'MTA 28-09'!A:A,0))</f>
        <v/>
      </c>
      <c r="E916" s="98" t="str">
        <f t="array" ref="E916">INDEX('MTA 28-09'!F:F,MATCH(B916,'MTA 28-09'!A:A,0))</f>
        <v/>
      </c>
      <c r="F916" s="99" t="str">
        <f t="array" ref="F916">INDEX('MTA 28-09'!I:I,MATCH(B916,'MTA 28-09'!A:A,0))</f>
        <v/>
      </c>
      <c r="G916" s="100" t="str">
        <f t="array" ref="G916">INDEX('MTA 28-09'!J:J,MATCH(B916,'MTA 28-09'!A:A,0))</f>
        <v/>
      </c>
      <c r="H916" s="159" t="s">
        <v>157</v>
      </c>
      <c r="I916" s="296"/>
      <c r="J916" s="102"/>
      <c r="K916" s="103"/>
      <c r="L916" s="102" t="str">
        <f t="array" ref="L916">INDEX('MTA 28-09'!S:S,MATCH(B916,'MTA 28-09'!A:A,0))</f>
        <v>C-97</v>
      </c>
      <c r="M916" s="98" t="str">
        <f t="array" ref="M916">INDEX('MTA 28-09'!T:T,MATCH(B916,'MTA 28-09'!A:A,0))</f>
        <v>CTT 096/CAE-PAMALS/2021 - CLS C-97</v>
      </c>
      <c r="N916" s="98" t="str">
        <f t="array" ref="N916">INDEX('MTA 28-09'!U:U,MATCH(B916,'MTA 28-09'!A:A,0))</f>
        <v>Sob demanda 2/2</v>
      </c>
      <c r="O916" s="104">
        <f t="array" ref="O916">INDEX('MTA 28-09'!AC:AC,MATCH(B916,'MTA 28-09'!A:A,0))</f>
        <v>750000</v>
      </c>
      <c r="P916" s="98" t="str">
        <f t="array" ref="P916">INDEX('MTA 28-09'!N:N,MATCH(B916,'MTA 28-09'!A:A,0))</f>
        <v>CELOG</v>
      </c>
      <c r="Q916" s="105" t="str">
        <f t="array" ref="Q916">INDEX('MTA 28-09'!Z:Z,MATCH(B916,'MTA 28-09'!A:A,0))</f>
        <v>339039</v>
      </c>
      <c r="R916" s="98" t="str">
        <f t="array" ref="R916">INDEX('MTA 28-09'!L:L,MATCH(B916,'MTA 28-09'!A:A,0))</f>
        <v>C</v>
      </c>
      <c r="S916" s="107" t="str">
        <f t="array" ref="S916">INDEX('MTA 28-09'!X:X,MATCH(B916,'MTA 28-09'!A:A,0))</f>
        <v>SOB DEMANDA</v>
      </c>
      <c r="T916" s="107" t="str">
        <f t="array" ref="T916">INDEX('MTA 28-09'!W:W,MATCH(B916,'MTA 28-09'!A:A,0))</f>
        <v>Não</v>
      </c>
      <c r="U916" s="109">
        <f t="array" ref="U916">INDEX('MTA 28-09'!AE:AE,MATCH(B916,'MTA 28-09'!A:A,0))</f>
        <v>46382</v>
      </c>
      <c r="V916" s="29"/>
      <c r="W916" s="29"/>
      <c r="X916" s="29"/>
      <c r="Y916" s="29"/>
      <c r="Z916" s="29"/>
      <c r="AA916" s="29"/>
      <c r="AB916" s="29"/>
      <c r="AC916" s="29"/>
      <c r="AD916" s="29"/>
      <c r="AE916" s="29"/>
      <c r="AF916" s="29"/>
      <c r="AG916" s="29"/>
      <c r="AH916" s="29"/>
      <c r="AI916" s="29"/>
      <c r="AJ916" s="29"/>
      <c r="AK916" s="29"/>
      <c r="AL916" s="29"/>
      <c r="AM916" s="29"/>
    </row>
    <row r="917">
      <c r="A917" s="31" t="s">
        <v>44</v>
      </c>
      <c r="B917" s="32">
        <v>25480.0</v>
      </c>
      <c r="C917" s="33" t="str">
        <f t="array" ref="C917">INDEX('MTA 28-09'!B:B,MATCH(B917,'MTA 28-09'!A:A,0))</f>
        <v>NÃO</v>
      </c>
      <c r="D917" s="34" t="str">
        <f t="array" ref="D917">INDEX('MTA 28-09'!D:D,MATCH(B917,'MTA 28-09'!A:A,0))</f>
        <v/>
      </c>
      <c r="E917" s="32" t="str">
        <f t="array" ref="E917">INDEX('MTA 28-09'!F:F,MATCH(B917,'MTA 28-09'!A:A,0))</f>
        <v/>
      </c>
      <c r="F917" s="35" t="str">
        <f t="array" ref="F917">INDEX('MTA 28-09'!I:I,MATCH(B917,'MTA 28-09'!A:A,0))</f>
        <v/>
      </c>
      <c r="G917" s="36" t="str">
        <f t="array" ref="G917">INDEX('MTA 28-09'!J:J,MATCH(B917,'MTA 28-09'!A:A,0))</f>
        <v/>
      </c>
      <c r="H917" s="287" t="s">
        <v>157</v>
      </c>
      <c r="I917" s="295"/>
      <c r="J917" s="39"/>
      <c r="K917" s="40"/>
      <c r="L917" s="39" t="str">
        <f t="array" ref="L917">INDEX('MTA 28-09'!S:S,MATCH(B917,'MTA 28-09'!A:A,0))</f>
        <v>C-97</v>
      </c>
      <c r="M917" s="32" t="str">
        <f t="array" ref="M917">INDEX('MTA 28-09'!T:T,MATCH(B917,'MTA 28-09'!A:A,0))</f>
        <v>CTT XXX/CELOG-PAMALS/2026 - Montagem de matrícula</v>
      </c>
      <c r="N917" s="32" t="str">
        <f t="array" ref="N917">INDEX('MTA 28-09'!U:U,MATCH(B917,'MTA 28-09'!A:A,0))</f>
        <v>Montagem 2005 - RT LS-007/TENG/25</v>
      </c>
      <c r="O917" s="59">
        <f t="array" ref="O917">INDEX('MTA 28-09'!AC:AC,MATCH(B917,'MTA 28-09'!A:A,0))</f>
        <v>15710000</v>
      </c>
      <c r="P917" s="32" t="str">
        <f t="array" ref="P917">INDEX('MTA 28-09'!N:N,MATCH(B917,'MTA 28-09'!A:A,0))</f>
        <v>CELOG</v>
      </c>
      <c r="Q917" s="67" t="str">
        <f t="array" ref="Q917">INDEX('MTA 28-09'!Z:Z,MATCH(B917,'MTA 28-09'!A:A,0))</f>
        <v>339039</v>
      </c>
      <c r="R917" s="32" t="str">
        <f t="array" ref="R917">INDEX('MTA 28-09'!L:L,MATCH(B917,'MTA 28-09'!A:A,0))</f>
        <v>C</v>
      </c>
      <c r="S917" s="72" t="str">
        <f t="array" ref="S917">INDEX('MTA 28-09'!X:X,MATCH(B917,'MTA 28-09'!A:A,0))</f>
        <v>SOB DEMANDA</v>
      </c>
      <c r="T917" s="72" t="str">
        <f t="array" ref="T917">INDEX('MTA 28-09'!W:W,MATCH(B917,'MTA 28-09'!A:A,0))</f>
        <v>Não</v>
      </c>
      <c r="U917" s="81">
        <f t="array" ref="U917">INDEX('MTA 28-09'!AE:AE,MATCH(B917,'MTA 28-09'!A:A,0))</f>
        <v>46382</v>
      </c>
      <c r="V917" s="12"/>
      <c r="W917" s="12"/>
      <c r="X917" s="12"/>
      <c r="Y917" s="12"/>
      <c r="Z917" s="12"/>
      <c r="AA917" s="12"/>
      <c r="AB917" s="12"/>
      <c r="AC917" s="12"/>
      <c r="AD917" s="12"/>
      <c r="AE917" s="12"/>
      <c r="AF917" s="12"/>
      <c r="AG917" s="12"/>
      <c r="AH917" s="12"/>
      <c r="AI917" s="12"/>
      <c r="AJ917" s="12"/>
      <c r="AK917" s="12"/>
      <c r="AL917" s="12"/>
      <c r="AM917" s="12"/>
    </row>
    <row r="918">
      <c r="A918" s="88" t="s">
        <v>44</v>
      </c>
      <c r="B918" s="98">
        <v>25500.0</v>
      </c>
      <c r="C918" s="92" t="str">
        <f t="array" ref="C918">INDEX('MTA 28-09'!B:B,MATCH(B918,'MTA 28-09'!A:A,0))</f>
        <v>NÃO</v>
      </c>
      <c r="D918" s="95" t="str">
        <f t="array" ref="D918">INDEX('MTA 28-09'!D:D,MATCH(B918,'MTA 28-09'!A:A,0))</f>
        <v/>
      </c>
      <c r="E918" s="98" t="str">
        <f t="array" ref="E918">INDEX('MTA 28-09'!F:F,MATCH(B918,'MTA 28-09'!A:A,0))</f>
        <v/>
      </c>
      <c r="F918" s="99" t="str">
        <f t="array" ref="F918">INDEX('MTA 28-09'!I:I,MATCH(B918,'MTA 28-09'!A:A,0))</f>
        <v/>
      </c>
      <c r="G918" s="100" t="str">
        <f t="array" ref="G918">INDEX('MTA 28-09'!J:J,MATCH(B918,'MTA 28-09'!A:A,0))</f>
        <v/>
      </c>
      <c r="H918" s="159" t="s">
        <v>157</v>
      </c>
      <c r="I918" s="428"/>
      <c r="J918" s="102"/>
      <c r="K918" s="103"/>
      <c r="L918" s="102" t="str">
        <f t="array" ref="L918">INDEX('MTA 28-09'!S:S,MATCH(B918,'MTA 28-09'!A:A,0))</f>
        <v>C-97</v>
      </c>
      <c r="M918" s="98" t="str">
        <f t="array" ref="M918">INDEX('MTA 28-09'!T:T,MATCH(B918,'MTA 28-09'!A:A,0))</f>
        <v>CTT 096/CAE-PAMALS/2021 - CLS C-97</v>
      </c>
      <c r="N918" s="98" t="str">
        <f t="array" ref="N918">INDEX('MTA 28-09'!U:U,MATCH(B918,'MTA 28-09'!A:A,0))</f>
        <v>Manutenção na empresa - Inspeção 4Y</v>
      </c>
      <c r="O918" s="104">
        <f t="array" ref="O918">INDEX('MTA 28-09'!AC:AC,MATCH(B918,'MTA 28-09'!A:A,0))</f>
        <v>216000</v>
      </c>
      <c r="P918" s="98" t="str">
        <f t="array" ref="P918">INDEX('MTA 28-09'!N:N,MATCH(B918,'MTA 28-09'!A:A,0))</f>
        <v>CELOG</v>
      </c>
      <c r="Q918" s="105" t="str">
        <f t="array" ref="Q918">INDEX('MTA 28-09'!Z:Z,MATCH(B918,'MTA 28-09'!A:A,0))</f>
        <v>339039</v>
      </c>
      <c r="R918" s="98" t="str">
        <f t="array" ref="R918">INDEX('MTA 28-09'!L:L,MATCH(B918,'MTA 28-09'!A:A,0))</f>
        <v>C</v>
      </c>
      <c r="S918" s="107" t="str">
        <f t="array" ref="S918">INDEX('MTA 28-09'!X:X,MATCH(B918,'MTA 28-09'!A:A,0))</f>
        <v>SOB DEMANDA</v>
      </c>
      <c r="T918" s="107" t="str">
        <f t="array" ref="T918">INDEX('MTA 28-09'!W:W,MATCH(B918,'MTA 28-09'!A:A,0))</f>
        <v>Não</v>
      </c>
      <c r="U918" s="109">
        <f t="array" ref="U918">INDEX('MTA 28-09'!AE:AE,MATCH(B918,'MTA 28-09'!A:A,0))</f>
        <v>46382</v>
      </c>
      <c r="V918" s="29"/>
      <c r="W918" s="29"/>
      <c r="X918" s="29"/>
      <c r="Y918" s="29"/>
      <c r="Z918" s="29"/>
      <c r="AA918" s="29"/>
      <c r="AB918" s="29"/>
      <c r="AC918" s="29"/>
      <c r="AD918" s="29"/>
      <c r="AE918" s="29"/>
      <c r="AF918" s="29"/>
      <c r="AG918" s="29"/>
      <c r="AH918" s="29"/>
      <c r="AI918" s="29"/>
      <c r="AJ918" s="29"/>
      <c r="AK918" s="29"/>
      <c r="AL918" s="29"/>
      <c r="AM918" s="29"/>
    </row>
    <row r="919">
      <c r="A919" s="31" t="s">
        <v>43</v>
      </c>
      <c r="B919" s="32">
        <v>25520.0</v>
      </c>
      <c r="C919" s="33" t="str">
        <f t="array" ref="C919">INDEX('MTA 28-09'!B:B,MATCH(B919,'MTA 28-09'!A:A,0))</f>
        <v>NÃO</v>
      </c>
      <c r="D919" s="34" t="str">
        <f t="array" ref="D919">INDEX('MTA 28-09'!D:D,MATCH(B919,'MTA 28-09'!A:A,0))</f>
        <v/>
      </c>
      <c r="E919" s="32" t="str">
        <f t="array" ref="E919">INDEX('MTA 28-09'!F:F,MATCH(B919,'MTA 28-09'!A:A,0))</f>
        <v/>
      </c>
      <c r="F919" s="35" t="str">
        <f t="array" ref="F919">INDEX('MTA 28-09'!I:I,MATCH(B919,'MTA 28-09'!A:A,0))</f>
        <v/>
      </c>
      <c r="G919" s="36" t="str">
        <f t="array" ref="G919">INDEX('MTA 28-09'!J:J,MATCH(B919,'MTA 28-09'!A:A,0))</f>
        <v/>
      </c>
      <c r="H919" s="287" t="s">
        <v>157</v>
      </c>
      <c r="I919" s="295"/>
      <c r="J919" s="39"/>
      <c r="K919" s="40"/>
      <c r="L919" s="39" t="str">
        <f t="array" ref="L919">INDEX('MTA 28-09'!S:S,MATCH(B919,'MTA 28-09'!A:A,0))</f>
        <v>C-95M</v>
      </c>
      <c r="M919" s="32" t="str">
        <f t="array" ref="M919">INDEX('MTA 28-09'!T:T,MATCH(B919,'MTA 28-09'!A:A,0))</f>
        <v>CNT XXX/CELOG-PAMASP/2026 - XXX - Material</v>
      </c>
      <c r="N919" s="32" t="str">
        <f t="array" ref="N919">INDEX('MTA 28-09'!U:U,MATCH(B919,'MTA 28-09'!A:A,0))</f>
        <v>Material reparo PT6A-34 (6/6)</v>
      </c>
      <c r="O919" s="59">
        <f t="array" ref="O919">INDEX('MTA 28-09'!AC:AC,MATCH(B919,'MTA 28-09'!A:A,0))</f>
        <v>1000000</v>
      </c>
      <c r="P919" s="32" t="str">
        <f t="array" ref="P919">INDEX('MTA 28-09'!N:N,MATCH(B919,'MTA 28-09'!A:A,0))</f>
        <v>CELOG</v>
      </c>
      <c r="Q919" s="67" t="str">
        <f t="array" ref="Q919">INDEX('MTA 28-09'!Z:Z,MATCH(B919,'MTA 28-09'!A:A,0))</f>
        <v>339030</v>
      </c>
      <c r="R919" s="32" t="str">
        <f t="array" ref="R919">INDEX('MTA 28-09'!L:L,MATCH(B919,'MTA 28-09'!A:A,0))</f>
        <v>C</v>
      </c>
      <c r="S919" s="72" t="str">
        <f t="array" ref="S919">INDEX('MTA 28-09'!X:X,MATCH(B919,'MTA 28-09'!A:A,0))</f>
        <v>SOB DEMANDA</v>
      </c>
      <c r="T919" s="72" t="str">
        <f t="array" ref="T919">INDEX('MTA 28-09'!W:W,MATCH(B919,'MTA 28-09'!A:A,0))</f>
        <v>SIM</v>
      </c>
      <c r="U919" s="81">
        <f t="array" ref="U919">INDEX('MTA 28-09'!AE:AE,MATCH(B919,'MTA 28-09'!A:A,0))</f>
        <v>46321</v>
      </c>
      <c r="V919" s="12"/>
      <c r="W919" s="12"/>
      <c r="X919" s="12"/>
      <c r="Y919" s="12"/>
      <c r="Z919" s="12"/>
      <c r="AA919" s="12"/>
      <c r="AB919" s="12"/>
      <c r="AC919" s="12"/>
      <c r="AD919" s="12"/>
      <c r="AE919" s="12"/>
      <c r="AF919" s="12"/>
      <c r="AG919" s="12"/>
      <c r="AH919" s="12"/>
      <c r="AI919" s="12"/>
      <c r="AJ919" s="12"/>
      <c r="AK919" s="12"/>
      <c r="AL919" s="12"/>
      <c r="AM919" s="12"/>
    </row>
    <row r="920">
      <c r="A920" s="88" t="s">
        <v>43</v>
      </c>
      <c r="B920" s="98">
        <v>25540.0</v>
      </c>
      <c r="C920" s="92" t="str">
        <f t="array" ref="C920">INDEX('MTA 28-09'!B:B,MATCH(B920,'MTA 28-09'!A:A,0))</f>
        <v>NÃO</v>
      </c>
      <c r="D920" s="95" t="str">
        <f t="array" ref="D920">INDEX('MTA 28-09'!D:D,MATCH(B920,'MTA 28-09'!A:A,0))</f>
        <v/>
      </c>
      <c r="E920" s="98" t="str">
        <f t="array" ref="E920">INDEX('MTA 28-09'!F:F,MATCH(B920,'MTA 28-09'!A:A,0))</f>
        <v/>
      </c>
      <c r="F920" s="99" t="str">
        <f t="array" ref="F920">INDEX('MTA 28-09'!I:I,MATCH(B920,'MTA 28-09'!A:A,0))</f>
        <v/>
      </c>
      <c r="G920" s="100" t="str">
        <f t="array" ref="G920">INDEX('MTA 28-09'!J:J,MATCH(B920,'MTA 28-09'!A:A,0))</f>
        <v/>
      </c>
      <c r="H920" s="159" t="s">
        <v>157</v>
      </c>
      <c r="I920" s="296"/>
      <c r="J920" s="102"/>
      <c r="K920" s="103"/>
      <c r="L920" s="102" t="str">
        <f t="array" ref="L920">INDEX('MTA 28-09'!S:S,MATCH(B920,'MTA 28-09'!A:A,0))</f>
        <v>C-95M</v>
      </c>
      <c r="M920" s="98" t="str">
        <f t="array" ref="M920">INDEX('MTA 28-09'!T:T,MATCH(B920,'MTA 28-09'!A:A,0))</f>
        <v>Contrato de reparáveis</v>
      </c>
      <c r="N920" s="98" t="str">
        <f t="array" ref="N920">INDEX('MTA 28-09'!U:U,MATCH(B920,'MTA 28-09'!A:A,0))</f>
        <v>Reparo sob demanda 6/8</v>
      </c>
      <c r="O920" s="104">
        <f t="array" ref="O920">INDEX('MTA 28-09'!AC:AC,MATCH(B920,'MTA 28-09'!A:A,0))</f>
        <v>1000000</v>
      </c>
      <c r="P920" s="98" t="str">
        <f t="array" ref="P920">INDEX('MTA 28-09'!N:N,MATCH(B920,'MTA 28-09'!A:A,0))</f>
        <v>CELOG</v>
      </c>
      <c r="Q920" s="105" t="str">
        <f t="array" ref="Q920">INDEX('MTA 28-09'!Z:Z,MATCH(B920,'MTA 28-09'!A:A,0))</f>
        <v>339039</v>
      </c>
      <c r="R920" s="98" t="str">
        <f t="array" ref="R920">INDEX('MTA 28-09'!L:L,MATCH(B920,'MTA 28-09'!A:A,0))</f>
        <v>C</v>
      </c>
      <c r="S920" s="107" t="str">
        <f t="array" ref="S920">INDEX('MTA 28-09'!X:X,MATCH(B920,'MTA 28-09'!A:A,0))</f>
        <v>SOB DEMANDA</v>
      </c>
      <c r="T920" s="107" t="str">
        <f t="array" ref="T920">INDEX('MTA 28-09'!W:W,MATCH(B920,'MTA 28-09'!A:A,0))</f>
        <v>Não</v>
      </c>
      <c r="U920" s="109">
        <f t="array" ref="U920">INDEX('MTA 28-09'!AE:AE,MATCH(B920,'MTA 28-09'!A:A,0))</f>
        <v>46382</v>
      </c>
      <c r="V920" s="29"/>
      <c r="W920" s="29"/>
      <c r="X920" s="29"/>
      <c r="Y920" s="29"/>
      <c r="Z920" s="29"/>
      <c r="AA920" s="29"/>
      <c r="AB920" s="29"/>
      <c r="AC920" s="29"/>
      <c r="AD920" s="29"/>
      <c r="AE920" s="29"/>
      <c r="AF920" s="29"/>
      <c r="AG920" s="29"/>
      <c r="AH920" s="29"/>
      <c r="AI920" s="29"/>
      <c r="AJ920" s="29"/>
      <c r="AK920" s="29"/>
      <c r="AL920" s="29"/>
      <c r="AM920" s="29"/>
    </row>
    <row r="921">
      <c r="A921" s="31" t="s">
        <v>43</v>
      </c>
      <c r="B921" s="32">
        <v>25560.0</v>
      </c>
      <c r="C921" s="33" t="str">
        <f t="array" ref="C921">INDEX('MTA 28-09'!B:B,MATCH(B921,'MTA 28-09'!A:A,0))</f>
        <v>NÃO</v>
      </c>
      <c r="D921" s="34" t="str">
        <f t="array" ref="D921">INDEX('MTA 28-09'!D:D,MATCH(B921,'MTA 28-09'!A:A,0))</f>
        <v/>
      </c>
      <c r="E921" s="32" t="str">
        <f t="array" ref="E921">INDEX('MTA 28-09'!F:F,MATCH(B921,'MTA 28-09'!A:A,0))</f>
        <v/>
      </c>
      <c r="F921" s="294" t="str">
        <f t="array" ref="F921">INDEX('MTA 28-09'!I:I,MATCH(B921,'MTA 28-09'!A:A,0))</f>
        <v/>
      </c>
      <c r="G921" s="36" t="str">
        <f t="array" ref="G921">INDEX('MTA 28-09'!J:J,MATCH(B921,'MTA 28-09'!A:A,0))</f>
        <v/>
      </c>
      <c r="H921" s="287" t="s">
        <v>157</v>
      </c>
      <c r="I921" s="295"/>
      <c r="J921" s="39"/>
      <c r="K921" s="40"/>
      <c r="L921" s="39" t="str">
        <f t="array" ref="L921">INDEX('MTA 28-09'!S:S,MATCH(B921,'MTA 28-09'!A:A,0))</f>
        <v>C-95M</v>
      </c>
      <c r="M921" s="32" t="str">
        <f t="array" ref="M921">INDEX('MTA 28-09'!T:T,MATCH(B921,'MTA 28-09'!A:A,0))</f>
        <v>Contrato de reparáveis</v>
      </c>
      <c r="N921" s="32" t="str">
        <f t="array" ref="N921">INDEX('MTA 28-09'!U:U,MATCH(B921,'MTA 28-09'!A:A,0))</f>
        <v>Reparo sob demanda 7/8</v>
      </c>
      <c r="O921" s="59">
        <f t="array" ref="O921">INDEX('MTA 28-09'!AC:AC,MATCH(B921,'MTA 28-09'!A:A,0))</f>
        <v>1000000</v>
      </c>
      <c r="P921" s="32" t="str">
        <f t="array" ref="P921">INDEX('MTA 28-09'!N:N,MATCH(B921,'MTA 28-09'!A:A,0))</f>
        <v>CELOG</v>
      </c>
      <c r="Q921" s="67" t="str">
        <f t="array" ref="Q921">INDEX('MTA 28-09'!Z:Z,MATCH(B921,'MTA 28-09'!A:A,0))</f>
        <v>339039</v>
      </c>
      <c r="R921" s="32" t="str">
        <f t="array" ref="R921">INDEX('MTA 28-09'!L:L,MATCH(B921,'MTA 28-09'!A:A,0))</f>
        <v>C</v>
      </c>
      <c r="S921" s="72" t="str">
        <f t="array" ref="S921">INDEX('MTA 28-09'!X:X,MATCH(B921,'MTA 28-09'!A:A,0))</f>
        <v>SOB DEMANDA</v>
      </c>
      <c r="T921" s="72" t="str">
        <f t="array" ref="T921">INDEX('MTA 28-09'!W:W,MATCH(B921,'MTA 28-09'!A:A,0))</f>
        <v>Não</v>
      </c>
      <c r="U921" s="81">
        <f t="array" ref="U921">INDEX('MTA 28-09'!AE:AE,MATCH(B921,'MTA 28-09'!A:A,0))</f>
        <v>46382</v>
      </c>
      <c r="V921" s="12"/>
      <c r="W921" s="12"/>
      <c r="X921" s="12"/>
      <c r="Y921" s="12"/>
      <c r="Z921" s="12"/>
      <c r="AA921" s="12"/>
      <c r="AB921" s="12"/>
      <c r="AC921" s="12"/>
      <c r="AD921" s="12"/>
      <c r="AE921" s="12"/>
      <c r="AF921" s="12"/>
      <c r="AG921" s="12"/>
      <c r="AH921" s="12"/>
      <c r="AI921" s="12"/>
      <c r="AJ921" s="12"/>
      <c r="AK921" s="12"/>
      <c r="AL921" s="12"/>
      <c r="AM921" s="12"/>
    </row>
    <row r="922">
      <c r="A922" s="88" t="s">
        <v>43</v>
      </c>
      <c r="B922" s="98">
        <v>25580.0</v>
      </c>
      <c r="C922" s="92" t="str">
        <f t="array" ref="C922">INDEX('MTA 28-09'!B:B,MATCH(B922,'MTA 28-09'!A:A,0))</f>
        <v>NÃO</v>
      </c>
      <c r="D922" s="95" t="str">
        <f t="array" ref="D922">INDEX('MTA 28-09'!D:D,MATCH(B922,'MTA 28-09'!A:A,0))</f>
        <v/>
      </c>
      <c r="E922" s="98" t="str">
        <f t="array" ref="E922">INDEX('MTA 28-09'!F:F,MATCH(B922,'MTA 28-09'!A:A,0))</f>
        <v/>
      </c>
      <c r="F922" s="289" t="str">
        <f t="array" ref="F922">INDEX('MTA 28-09'!I:I,MATCH(B922,'MTA 28-09'!A:A,0))</f>
        <v/>
      </c>
      <c r="G922" s="100" t="str">
        <f t="array" ref="G922">INDEX('MTA 28-09'!J:J,MATCH(B922,'MTA 28-09'!A:A,0))</f>
        <v/>
      </c>
      <c r="H922" s="159" t="s">
        <v>157</v>
      </c>
      <c r="I922" s="296"/>
      <c r="J922" s="102"/>
      <c r="K922" s="103"/>
      <c r="L922" s="102" t="str">
        <f t="array" ref="L922">INDEX('MTA 28-09'!S:S,MATCH(B922,'MTA 28-09'!A:A,0))</f>
        <v>C-95M</v>
      </c>
      <c r="M922" s="98" t="str">
        <f t="array" ref="M922">INDEX('MTA 28-09'!T:T,MATCH(B922,'MTA 28-09'!A:A,0))</f>
        <v>Contrato de reparáveis</v>
      </c>
      <c r="N922" s="98" t="str">
        <f t="array" ref="N922">INDEX('MTA 28-09'!U:U,MATCH(B922,'MTA 28-09'!A:A,0))</f>
        <v>Reparo sob demanda 8/8</v>
      </c>
      <c r="O922" s="104">
        <f t="array" ref="O922">INDEX('MTA 28-09'!AC:AC,MATCH(B922,'MTA 28-09'!A:A,0))</f>
        <v>1000000</v>
      </c>
      <c r="P922" s="98" t="str">
        <f t="array" ref="P922">INDEX('MTA 28-09'!N:N,MATCH(B922,'MTA 28-09'!A:A,0))</f>
        <v>CELOG</v>
      </c>
      <c r="Q922" s="105" t="str">
        <f t="array" ref="Q922">INDEX('MTA 28-09'!Z:Z,MATCH(B922,'MTA 28-09'!A:A,0))</f>
        <v>339039</v>
      </c>
      <c r="R922" s="98" t="str">
        <f t="array" ref="R922">INDEX('MTA 28-09'!L:L,MATCH(B922,'MTA 28-09'!A:A,0))</f>
        <v>C</v>
      </c>
      <c r="S922" s="107" t="str">
        <f t="array" ref="S922">INDEX('MTA 28-09'!X:X,MATCH(B922,'MTA 28-09'!A:A,0))</f>
        <v>SOB DEMANDA</v>
      </c>
      <c r="T922" s="107" t="str">
        <f t="array" ref="T922">INDEX('MTA 28-09'!W:W,MATCH(B922,'MTA 28-09'!A:A,0))</f>
        <v>Não</v>
      </c>
      <c r="U922" s="109">
        <f t="array" ref="U922">INDEX('MTA 28-09'!AE:AE,MATCH(B922,'MTA 28-09'!A:A,0))</f>
        <v>46382</v>
      </c>
      <c r="V922" s="29"/>
      <c r="W922" s="29"/>
      <c r="X922" s="29"/>
      <c r="Y922" s="29"/>
      <c r="Z922" s="29"/>
      <c r="AA922" s="29"/>
      <c r="AB922" s="29"/>
      <c r="AC922" s="29"/>
      <c r="AD922" s="29"/>
      <c r="AE922" s="29"/>
      <c r="AF922" s="29"/>
      <c r="AG922" s="29"/>
      <c r="AH922" s="29"/>
      <c r="AI922" s="29"/>
      <c r="AJ922" s="29"/>
      <c r="AK922" s="29"/>
      <c r="AL922" s="29"/>
      <c r="AM922" s="29"/>
    </row>
    <row r="923">
      <c r="A923" s="31" t="s">
        <v>44</v>
      </c>
      <c r="B923" s="32">
        <v>25600.0</v>
      </c>
      <c r="C923" s="33" t="str">
        <f t="array" ref="C923">INDEX('MTA 28-09'!B:B,MATCH(B923,'MTA 28-09'!A:A,0))</f>
        <v>NÃO</v>
      </c>
      <c r="D923" s="34" t="str">
        <f t="array" ref="D923">INDEX('MTA 28-09'!D:D,MATCH(B923,'MTA 28-09'!A:A,0))</f>
        <v/>
      </c>
      <c r="E923" s="32" t="str">
        <f t="array" ref="E923">INDEX('MTA 28-09'!F:F,MATCH(B923,'MTA 28-09'!A:A,0))</f>
        <v/>
      </c>
      <c r="F923" s="294" t="str">
        <f t="array" ref="F923">INDEX('MTA 28-09'!I:I,MATCH(B923,'MTA 28-09'!A:A,0))</f>
        <v/>
      </c>
      <c r="G923" s="36" t="str">
        <f t="array" ref="G923">INDEX('MTA 28-09'!J:J,MATCH(B923,'MTA 28-09'!A:A,0))</f>
        <v/>
      </c>
      <c r="H923" s="287" t="s">
        <v>157</v>
      </c>
      <c r="I923" s="295"/>
      <c r="J923" s="39"/>
      <c r="K923" s="40"/>
      <c r="L923" s="39" t="str">
        <f t="array" ref="L923">INDEX('MTA 28-09'!S:S,MATCH(B923,'MTA 28-09'!A:A,0))</f>
        <v>C-97</v>
      </c>
      <c r="M923" s="32" t="str">
        <f t="array" ref="M923">INDEX('MTA 28-09'!T:T,MATCH(B923,'MTA 28-09'!A:A,0))</f>
        <v>CTT 096/CAE-PAMALS/2021 - CLS C-97</v>
      </c>
      <c r="N923" s="32" t="str">
        <f t="array" ref="N923">INDEX('MTA 28-09'!U:U,MATCH(B923,'MTA 28-09'!A:A,0))</f>
        <v>Manutenção na empresa - Inspeção Y</v>
      </c>
      <c r="O923" s="59">
        <f t="array" ref="O923">INDEX('MTA 28-09'!AC:AC,MATCH(B923,'MTA 28-09'!A:A,0))</f>
        <v>72000</v>
      </c>
      <c r="P923" s="32" t="str">
        <f t="array" ref="P923">INDEX('MTA 28-09'!N:N,MATCH(B923,'MTA 28-09'!A:A,0))</f>
        <v>CELOG</v>
      </c>
      <c r="Q923" s="67" t="str">
        <f t="array" ref="Q923">INDEX('MTA 28-09'!Z:Z,MATCH(B923,'MTA 28-09'!A:A,0))</f>
        <v>339039</v>
      </c>
      <c r="R923" s="32" t="str">
        <f t="array" ref="R923">INDEX('MTA 28-09'!L:L,MATCH(B923,'MTA 28-09'!A:A,0))</f>
        <v>C</v>
      </c>
      <c r="S923" s="72" t="str">
        <f t="array" ref="S923">INDEX('MTA 28-09'!X:X,MATCH(B923,'MTA 28-09'!A:A,0))</f>
        <v>SOB DEMANDA</v>
      </c>
      <c r="T923" s="72" t="str">
        <f t="array" ref="T923">INDEX('MTA 28-09'!W:W,MATCH(B923,'MTA 28-09'!A:A,0))</f>
        <v>Não</v>
      </c>
      <c r="U923" s="81">
        <f t="array" ref="U923">INDEX('MTA 28-09'!AE:AE,MATCH(B923,'MTA 28-09'!A:A,0))</f>
        <v>46049</v>
      </c>
      <c r="V923" s="12"/>
      <c r="W923" s="12"/>
      <c r="X923" s="12"/>
      <c r="Y923" s="12"/>
      <c r="Z923" s="12"/>
      <c r="AA923" s="12"/>
      <c r="AB923" s="12"/>
      <c r="AC923" s="12"/>
      <c r="AD923" s="12"/>
      <c r="AE923" s="12"/>
      <c r="AF923" s="12"/>
      <c r="AG923" s="12"/>
      <c r="AH923" s="12"/>
      <c r="AI923" s="12"/>
      <c r="AJ923" s="12"/>
      <c r="AK923" s="12"/>
      <c r="AL923" s="12"/>
      <c r="AM923" s="12"/>
    </row>
    <row r="924">
      <c r="A924" s="88" t="s">
        <v>44</v>
      </c>
      <c r="B924" s="98">
        <v>25620.0</v>
      </c>
      <c r="C924" s="92" t="str">
        <f t="array" ref="C924">INDEX('MTA 28-09'!B:B,MATCH(B924,'MTA 28-09'!A:A,0))</f>
        <v>NÃO</v>
      </c>
      <c r="D924" s="95" t="str">
        <f t="array" ref="D924">INDEX('MTA 28-09'!D:D,MATCH(B924,'MTA 28-09'!A:A,0))</f>
        <v/>
      </c>
      <c r="E924" s="98" t="str">
        <f t="array" ref="E924">INDEX('MTA 28-09'!F:F,MATCH(B924,'MTA 28-09'!A:A,0))</f>
        <v/>
      </c>
      <c r="F924" s="99" t="str">
        <f t="array" ref="F924">INDEX('MTA 28-09'!I:I,MATCH(B924,'MTA 28-09'!A:A,0))</f>
        <v/>
      </c>
      <c r="G924" s="100" t="str">
        <f t="array" ref="G924">INDEX('MTA 28-09'!J:J,MATCH(B924,'MTA 28-09'!A:A,0))</f>
        <v/>
      </c>
      <c r="H924" s="159" t="s">
        <v>157</v>
      </c>
      <c r="I924" s="296"/>
      <c r="J924" s="102"/>
      <c r="K924" s="103"/>
      <c r="L924" s="102" t="str">
        <f t="array" ref="L924">INDEX('MTA 28-09'!S:S,MATCH(B924,'MTA 28-09'!A:A,0))</f>
        <v>C-97</v>
      </c>
      <c r="M924" s="98" t="str">
        <f t="array" ref="M924">INDEX('MTA 28-09'!T:T,MATCH(B924,'MTA 28-09'!A:A,0))</f>
        <v>CTT 096/CAE-PAMALS/2021 - CLS C-97</v>
      </c>
      <c r="N924" s="98" t="str">
        <f t="array" ref="N924">INDEX('MTA 28-09'!U:U,MATCH(B924,'MTA 28-09'!A:A,0))</f>
        <v>Manutenção na empresa - Inspeção 5A</v>
      </c>
      <c r="O924" s="104">
        <f t="array" ref="O924">INDEX('MTA 28-09'!AC:AC,MATCH(B924,'MTA 28-09'!A:A,0))</f>
        <v>504000</v>
      </c>
      <c r="P924" s="98" t="str">
        <f t="array" ref="P924">INDEX('MTA 28-09'!N:N,MATCH(B924,'MTA 28-09'!A:A,0))</f>
        <v>CELOG</v>
      </c>
      <c r="Q924" s="105" t="str">
        <f t="array" ref="Q924">INDEX('MTA 28-09'!Z:Z,MATCH(B924,'MTA 28-09'!A:A,0))</f>
        <v>339039</v>
      </c>
      <c r="R924" s="98" t="str">
        <f t="array" ref="R924">INDEX('MTA 28-09'!L:L,MATCH(B924,'MTA 28-09'!A:A,0))</f>
        <v>C</v>
      </c>
      <c r="S924" s="107" t="str">
        <f t="array" ref="S924">INDEX('MTA 28-09'!X:X,MATCH(B924,'MTA 28-09'!A:A,0))</f>
        <v>SOB DEMANDA</v>
      </c>
      <c r="T924" s="107" t="str">
        <f t="array" ref="T924">INDEX('MTA 28-09'!W:W,MATCH(B924,'MTA 28-09'!A:A,0))</f>
        <v>Não</v>
      </c>
      <c r="U924" s="109">
        <f t="array" ref="U924">INDEX('MTA 28-09'!AE:AE,MATCH(B924,'MTA 28-09'!A:A,0))</f>
        <v>46049</v>
      </c>
      <c r="V924" s="29"/>
      <c r="W924" s="29"/>
      <c r="X924" s="29"/>
      <c r="Y924" s="29"/>
      <c r="Z924" s="29"/>
      <c r="AA924" s="29"/>
      <c r="AB924" s="29"/>
      <c r="AC924" s="29"/>
      <c r="AD924" s="29"/>
      <c r="AE924" s="29"/>
      <c r="AF924" s="29"/>
      <c r="AG924" s="29"/>
      <c r="AH924" s="29"/>
      <c r="AI924" s="29"/>
      <c r="AJ924" s="29"/>
      <c r="AK924" s="29"/>
      <c r="AL924" s="29"/>
      <c r="AM924" s="29"/>
    </row>
    <row r="925">
      <c r="A925" s="31" t="s">
        <v>99</v>
      </c>
      <c r="B925" s="32">
        <v>25640.0</v>
      </c>
      <c r="C925" s="33" t="str">
        <f t="array" ref="C925">INDEX('MTA 28-09'!B:B,MATCH(B925,'MTA 28-09'!A:A,0))</f>
        <v>NÃO</v>
      </c>
      <c r="D925" s="34" t="str">
        <f t="array" ref="D925">INDEX('MTA 28-09'!D:D,MATCH(B925,'MTA 28-09'!A:A,0))</f>
        <v/>
      </c>
      <c r="E925" s="32" t="str">
        <f t="array" ref="E925">INDEX('MTA 28-09'!F:F,MATCH(B925,'MTA 28-09'!A:A,0))</f>
        <v/>
      </c>
      <c r="F925" s="294" t="str">
        <f t="array" ref="F925">INDEX('MTA 28-09'!I:I,MATCH(B925,'MTA 28-09'!A:A,0))</f>
        <v/>
      </c>
      <c r="G925" s="36" t="str">
        <f t="array" ref="G925">INDEX('MTA 28-09'!J:J,MATCH(B925,'MTA 28-09'!A:A,0))</f>
        <v/>
      </c>
      <c r="H925" s="287" t="s">
        <v>157</v>
      </c>
      <c r="I925" s="295"/>
      <c r="J925" s="39"/>
      <c r="K925" s="40"/>
      <c r="L925" s="39" t="str">
        <f t="array" ref="L925">INDEX('MTA 28-09'!S:S,MATCH(B925,'MTA 28-09'!A:A,0))</f>
        <v>APOIO</v>
      </c>
      <c r="M925" s="32" t="str">
        <f t="array" ref="M925">INDEX('MTA 28-09'!T:T,MATCH(B925,'MTA 28-09'!A:A,0))</f>
        <v>CNT XXX/GAPLS/2026 - Revisão/Manutenção de maquinários da TOFI - Serviço</v>
      </c>
      <c r="N925" s="32" t="str">
        <f t="array" ref="N925">INDEX('MTA 28-09'!U:U,MATCH(B925,'MTA 28-09'!A:A,0))</f>
        <v>Serviço de revisão/manutenção preventiva e corretiva dos maquinários da TOFI 6/6</v>
      </c>
      <c r="O925" s="59">
        <f t="array" ref="O925">INDEX('MTA 28-09'!AC:AC,MATCH(B925,'MTA 28-09'!A:A,0))</f>
        <v>324000</v>
      </c>
      <c r="P925" s="32" t="str">
        <f t="array" ref="P925">INDEX('MTA 28-09'!N:N,MATCH(B925,'MTA 28-09'!A:A,0))</f>
        <v>GAP-LS</v>
      </c>
      <c r="Q925" s="67" t="str">
        <f t="array" ref="Q925">INDEX('MTA 28-09'!Z:Z,MATCH(B925,'MTA 28-09'!A:A,0))</f>
        <v>339039</v>
      </c>
      <c r="R925" s="32" t="str">
        <f t="array" ref="R925">INDEX('MTA 28-09'!L:L,MATCH(B925,'MTA 28-09'!A:A,0))</f>
        <v>C</v>
      </c>
      <c r="S925" s="72" t="str">
        <f t="array" ref="S925">INDEX('MTA 28-09'!X:X,MATCH(B925,'MTA 28-09'!A:A,0))</f>
        <v>SOB DEMANDA</v>
      </c>
      <c r="T925" s="72" t="str">
        <f t="array" ref="T925">INDEX('MTA 28-09'!W:W,MATCH(B925,'MTA 28-09'!A:A,0))</f>
        <v>NÃO</v>
      </c>
      <c r="U925" s="81">
        <f t="array" ref="U925">INDEX('MTA 28-09'!AE:AE,MATCH(B925,'MTA 28-09'!A:A,0))</f>
        <v>46080</v>
      </c>
      <c r="V925" s="12"/>
      <c r="W925" s="12"/>
      <c r="X925" s="12"/>
      <c r="Y925" s="12"/>
      <c r="Z925" s="12"/>
      <c r="AA925" s="12"/>
      <c r="AB925" s="12"/>
      <c r="AC925" s="12"/>
      <c r="AD925" s="12"/>
      <c r="AE925" s="12"/>
      <c r="AF925" s="12"/>
      <c r="AG925" s="12"/>
      <c r="AH925" s="12"/>
      <c r="AI925" s="12"/>
      <c r="AJ925" s="12"/>
      <c r="AK925" s="12"/>
      <c r="AL925" s="12"/>
      <c r="AM925" s="12"/>
    </row>
    <row r="926">
      <c r="A926" s="88" t="s">
        <v>1576</v>
      </c>
      <c r="B926" s="98">
        <v>25660.0</v>
      </c>
      <c r="C926" s="92" t="str">
        <f t="array" ref="C926">INDEX('MTA 28-09'!B:B,MATCH(B926,'MTA 28-09'!A:A,0))</f>
        <v>NÃO</v>
      </c>
      <c r="D926" s="95" t="str">
        <f t="array" ref="D926">INDEX('MTA 28-09'!D:D,MATCH(B926,'MTA 28-09'!A:A,0))</f>
        <v/>
      </c>
      <c r="E926" s="98" t="str">
        <f t="array" ref="E926">INDEX('MTA 28-09'!F:F,MATCH(B926,'MTA 28-09'!A:A,0))</f>
        <v/>
      </c>
      <c r="F926" s="289" t="str">
        <f t="array" ref="F926">INDEX('MTA 28-09'!I:I,MATCH(B926,'MTA 28-09'!A:A,0))</f>
        <v/>
      </c>
      <c r="G926" s="100" t="str">
        <f t="array" ref="G926">INDEX('MTA 28-09'!J:J,MATCH(B926,'MTA 28-09'!A:A,0))</f>
        <v/>
      </c>
      <c r="H926" s="159" t="s">
        <v>157</v>
      </c>
      <c r="I926" s="428"/>
      <c r="J926" s="102"/>
      <c r="K926" s="103"/>
      <c r="L926" s="102" t="str">
        <f t="array" ref="L926">INDEX('MTA 28-09'!S:S,MATCH(B926,'MTA 28-09'!A:A,0))</f>
        <v>APOIO</v>
      </c>
      <c r="M926" s="98" t="str">
        <f t="array" ref="M926">INDEX('MTA 28-09'!T:T,MATCH(B926,'MTA 28-09'!A:A,0))</f>
        <v>CTT XXX/GAPLS-PAMALS/2026 – Gestão de Frota</v>
      </c>
      <c r="N926" s="98" t="str">
        <f t="array" ref="N926">INDEX('MTA 28-09'!U:U,MATCH(B926,'MTA 28-09'!A:A,0))</f>
        <v>Serviço de Reparo 4/4</v>
      </c>
      <c r="O926" s="104">
        <f t="array" ref="O926">INDEX('MTA 28-09'!AC:AC,MATCH(B926,'MTA 28-09'!A:A,0))</f>
        <v>21600</v>
      </c>
      <c r="P926" s="98" t="str">
        <f t="array" ref="P926">INDEX('MTA 28-09'!N:N,MATCH(B926,'MTA 28-09'!A:A,0))</f>
        <v>GAP-LS</v>
      </c>
      <c r="Q926" s="105" t="str">
        <f t="array" ref="Q926">INDEX('MTA 28-09'!Z:Z,MATCH(B926,'MTA 28-09'!A:A,0))</f>
        <v>339039</v>
      </c>
      <c r="R926" s="98" t="str">
        <f t="array" ref="R926">INDEX('MTA 28-09'!L:L,MATCH(B926,'MTA 28-09'!A:A,0))</f>
        <v>C</v>
      </c>
      <c r="S926" s="107" t="str">
        <f t="array" ref="S926">INDEX('MTA 28-09'!X:X,MATCH(B926,'MTA 28-09'!A:A,0))</f>
        <v>SOB DEMANDA</v>
      </c>
      <c r="T926" s="107" t="str">
        <f t="array" ref="T926">INDEX('MTA 28-09'!W:W,MATCH(B926,'MTA 28-09'!A:A,0))</f>
        <v>NÃO</v>
      </c>
      <c r="U926" s="109">
        <f t="array" ref="U926">INDEX('MTA 28-09'!AE:AE,MATCH(B926,'MTA 28-09'!A:A,0))</f>
        <v>46080</v>
      </c>
      <c r="V926" s="29"/>
      <c r="W926" s="29"/>
      <c r="X926" s="29"/>
      <c r="Y926" s="29"/>
      <c r="Z926" s="29"/>
      <c r="AA926" s="29"/>
      <c r="AB926" s="29"/>
      <c r="AC926" s="29"/>
      <c r="AD926" s="29"/>
      <c r="AE926" s="29"/>
      <c r="AF926" s="29"/>
      <c r="AG926" s="29"/>
      <c r="AH926" s="29"/>
      <c r="AI926" s="29"/>
      <c r="AJ926" s="29"/>
      <c r="AK926" s="29"/>
      <c r="AL926" s="29"/>
      <c r="AM926" s="29"/>
    </row>
    <row r="927">
      <c r="A927" s="31" t="s">
        <v>1572</v>
      </c>
      <c r="B927" s="32">
        <v>25680.0</v>
      </c>
      <c r="C927" s="33" t="str">
        <f t="array" ref="C927">INDEX('MTA 28-09'!B:B,MATCH(B927,'MTA 28-09'!A:A,0))</f>
        <v>NÃO</v>
      </c>
      <c r="D927" s="34" t="str">
        <f t="array" ref="D927">INDEX('MTA 28-09'!D:D,MATCH(B927,'MTA 28-09'!A:A,0))</f>
        <v/>
      </c>
      <c r="E927" s="32" t="str">
        <f t="array" ref="E927">INDEX('MTA 28-09'!F:F,MATCH(B927,'MTA 28-09'!A:A,0))</f>
        <v/>
      </c>
      <c r="F927" s="294" t="str">
        <f t="array" ref="F927">INDEX('MTA 28-09'!I:I,MATCH(B927,'MTA 28-09'!A:A,0))</f>
        <v/>
      </c>
      <c r="G927" s="36" t="str">
        <f t="array" ref="G927">INDEX('MTA 28-09'!J:J,MATCH(B927,'MTA 28-09'!A:A,0))</f>
        <v/>
      </c>
      <c r="H927" s="287" t="s">
        <v>157</v>
      </c>
      <c r="I927" s="295"/>
      <c r="J927" s="39"/>
      <c r="K927" s="40"/>
      <c r="L927" s="39" t="str">
        <f t="array" ref="L927">INDEX('MTA 28-09'!S:S,MATCH(B927,'MTA 28-09'!A:A,0))</f>
        <v>APOIO</v>
      </c>
      <c r="M927" s="32" t="str">
        <f t="array" ref="M927">INDEX('MTA 28-09'!T:T,MATCH(B927,'MTA 28-09'!A:A,0))</f>
        <v>CTT XXX/GAPLS-PAMALS/2026 – Gestão de Frota</v>
      </c>
      <c r="N927" s="32" t="str">
        <f t="array" ref="N927">INDEX('MTA 28-09'!U:U,MATCH(B927,'MTA 28-09'!A:A,0))</f>
        <v>Serviço de Reparo 4/4</v>
      </c>
      <c r="O927" s="59">
        <f t="array" ref="O927">INDEX('MTA 28-09'!AC:AC,MATCH(B927,'MTA 28-09'!A:A,0))</f>
        <v>70000</v>
      </c>
      <c r="P927" s="32" t="str">
        <f t="array" ref="P927">INDEX('MTA 28-09'!N:N,MATCH(B927,'MTA 28-09'!A:A,0))</f>
        <v>GAP-LS</v>
      </c>
      <c r="Q927" s="67" t="str">
        <f t="array" ref="Q927">INDEX('MTA 28-09'!Z:Z,MATCH(B927,'MTA 28-09'!A:A,0))</f>
        <v>339039</v>
      </c>
      <c r="R927" s="32" t="str">
        <f t="array" ref="R927">INDEX('MTA 28-09'!L:L,MATCH(B927,'MTA 28-09'!A:A,0))</f>
        <v>C</v>
      </c>
      <c r="S927" s="72" t="str">
        <f t="array" ref="S927">INDEX('MTA 28-09'!X:X,MATCH(B927,'MTA 28-09'!A:A,0))</f>
        <v>SOB DEMANDA</v>
      </c>
      <c r="T927" s="72" t="str">
        <f t="array" ref="T927">INDEX('MTA 28-09'!W:W,MATCH(B927,'MTA 28-09'!A:A,0))</f>
        <v>NÃO</v>
      </c>
      <c r="U927" s="81">
        <f t="array" ref="U927">INDEX('MTA 28-09'!AE:AE,MATCH(B927,'MTA 28-09'!A:A,0))</f>
        <v>46080</v>
      </c>
      <c r="V927" s="12"/>
      <c r="W927" s="12"/>
      <c r="X927" s="12"/>
      <c r="Y927" s="12"/>
      <c r="Z927" s="12"/>
      <c r="AA927" s="12"/>
      <c r="AB927" s="12"/>
      <c r="AC927" s="12"/>
      <c r="AD927" s="12"/>
      <c r="AE927" s="12"/>
      <c r="AF927" s="12"/>
      <c r="AG927" s="12"/>
      <c r="AH927" s="12"/>
      <c r="AI927" s="12"/>
      <c r="AJ927" s="12"/>
      <c r="AK927" s="12"/>
      <c r="AL927" s="12"/>
      <c r="AM927" s="12"/>
    </row>
    <row r="928">
      <c r="A928" s="88" t="s">
        <v>1574</v>
      </c>
      <c r="B928" s="98">
        <v>25700.0</v>
      </c>
      <c r="C928" s="92" t="str">
        <f t="array" ref="C928">INDEX('MTA 28-09'!B:B,MATCH(B928,'MTA 28-09'!A:A,0))</f>
        <v>NÃO</v>
      </c>
      <c r="D928" s="95" t="str">
        <f t="array" ref="D928">INDEX('MTA 28-09'!D:D,MATCH(B928,'MTA 28-09'!A:A,0))</f>
        <v/>
      </c>
      <c r="E928" s="98" t="str">
        <f t="array" ref="E928">INDEX('MTA 28-09'!F:F,MATCH(B928,'MTA 28-09'!A:A,0))</f>
        <v/>
      </c>
      <c r="F928" s="289" t="str">
        <f t="array" ref="F928">INDEX('MTA 28-09'!I:I,MATCH(B928,'MTA 28-09'!A:A,0))</f>
        <v/>
      </c>
      <c r="G928" s="100" t="str">
        <f t="array" ref="G928">INDEX('MTA 28-09'!J:J,MATCH(B928,'MTA 28-09'!A:A,0))</f>
        <v/>
      </c>
      <c r="H928" s="159" t="s">
        <v>157</v>
      </c>
      <c r="I928" s="296"/>
      <c r="J928" s="102"/>
      <c r="K928" s="103"/>
      <c r="L928" s="102" t="str">
        <f t="array" ref="L928">INDEX('MTA 28-09'!S:S,MATCH(B928,'MTA 28-09'!A:A,0))</f>
        <v>APOIO</v>
      </c>
      <c r="M928" s="98" t="str">
        <f t="array" ref="M928">INDEX('MTA 28-09'!T:T,MATCH(B928,'MTA 28-09'!A:A,0))</f>
        <v>CTT XXX/GAPLS-PAMALS/2026 – Gestão de Frota</v>
      </c>
      <c r="N928" s="98" t="str">
        <f t="array" ref="N928">INDEX('MTA 28-09'!U:U,MATCH(B928,'MTA 28-09'!A:A,0))</f>
        <v>Serviço de Reparo 4/4</v>
      </c>
      <c r="O928" s="104">
        <f t="array" ref="O928">INDEX('MTA 28-09'!AC:AC,MATCH(B928,'MTA 28-09'!A:A,0))</f>
        <v>10800</v>
      </c>
      <c r="P928" s="98" t="str">
        <f t="array" ref="P928">INDEX('MTA 28-09'!N:N,MATCH(B928,'MTA 28-09'!A:A,0))</f>
        <v>GAP-LS</v>
      </c>
      <c r="Q928" s="105" t="str">
        <f t="array" ref="Q928">INDEX('MTA 28-09'!Z:Z,MATCH(B928,'MTA 28-09'!A:A,0))</f>
        <v>339039</v>
      </c>
      <c r="R928" s="98" t="str">
        <f t="array" ref="R928">INDEX('MTA 28-09'!L:L,MATCH(B928,'MTA 28-09'!A:A,0))</f>
        <v>C</v>
      </c>
      <c r="S928" s="107" t="str">
        <f t="array" ref="S928">INDEX('MTA 28-09'!X:X,MATCH(B928,'MTA 28-09'!A:A,0))</f>
        <v>SOB DEMANDA</v>
      </c>
      <c r="T928" s="107" t="str">
        <f t="array" ref="T928">INDEX('MTA 28-09'!W:W,MATCH(B928,'MTA 28-09'!A:A,0))</f>
        <v>NÃO</v>
      </c>
      <c r="U928" s="109">
        <f t="array" ref="U928">INDEX('MTA 28-09'!AE:AE,MATCH(B928,'MTA 28-09'!A:A,0))</f>
        <v>46080</v>
      </c>
      <c r="V928" s="29"/>
      <c r="W928" s="29"/>
      <c r="X928" s="29"/>
      <c r="Y928" s="29"/>
      <c r="Z928" s="29"/>
      <c r="AA928" s="29"/>
      <c r="AB928" s="29"/>
      <c r="AC928" s="29"/>
      <c r="AD928" s="29"/>
      <c r="AE928" s="29"/>
      <c r="AF928" s="29"/>
      <c r="AG928" s="29"/>
      <c r="AH928" s="29"/>
      <c r="AI928" s="29"/>
      <c r="AJ928" s="29"/>
      <c r="AK928" s="29"/>
      <c r="AL928" s="29"/>
      <c r="AM928" s="29"/>
    </row>
    <row r="929">
      <c r="A929" s="31" t="s">
        <v>1575</v>
      </c>
      <c r="B929" s="32">
        <v>25720.0</v>
      </c>
      <c r="C929" s="33" t="str">
        <f t="array" ref="C929">INDEX('MTA 28-09'!B:B,MATCH(B929,'MTA 28-09'!A:A,0))</f>
        <v>NÃO</v>
      </c>
      <c r="D929" s="34" t="str">
        <f t="array" ref="D929">INDEX('MTA 28-09'!D:D,MATCH(B929,'MTA 28-09'!A:A,0))</f>
        <v/>
      </c>
      <c r="E929" s="32" t="str">
        <f t="array" ref="E929">INDEX('MTA 28-09'!F:F,MATCH(B929,'MTA 28-09'!A:A,0))</f>
        <v/>
      </c>
      <c r="F929" s="35" t="str">
        <f t="array" ref="F929">INDEX('MTA 28-09'!I:I,MATCH(B929,'MTA 28-09'!A:A,0))</f>
        <v/>
      </c>
      <c r="G929" s="36" t="str">
        <f t="array" ref="G929">INDEX('MTA 28-09'!J:J,MATCH(B929,'MTA 28-09'!A:A,0))</f>
        <v/>
      </c>
      <c r="H929" s="287" t="s">
        <v>157</v>
      </c>
      <c r="I929" s="295"/>
      <c r="J929" s="39"/>
      <c r="K929" s="40"/>
      <c r="L929" s="39" t="str">
        <f t="array" ref="L929">INDEX('MTA 28-09'!S:S,MATCH(B929,'MTA 28-09'!A:A,0))</f>
        <v>APOIO</v>
      </c>
      <c r="M929" s="32" t="str">
        <f t="array" ref="M929">INDEX('MTA 28-09'!T:T,MATCH(B929,'MTA 28-09'!A:A,0))</f>
        <v>CTT XXX/GAPLS-PAMALS/2026 – Gestão de Frota</v>
      </c>
      <c r="N929" s="32" t="str">
        <f t="array" ref="N929">INDEX('MTA 28-09'!U:U,MATCH(B929,'MTA 28-09'!A:A,0))</f>
        <v>Serviço de Reparo 4/4</v>
      </c>
      <c r="O929" s="59">
        <f t="array" ref="O929">INDEX('MTA 28-09'!AC:AC,MATCH(B929,'MTA 28-09'!A:A,0))</f>
        <v>25000</v>
      </c>
      <c r="P929" s="32" t="str">
        <f t="array" ref="P929">INDEX('MTA 28-09'!N:N,MATCH(B929,'MTA 28-09'!A:A,0))</f>
        <v>GAP-LS</v>
      </c>
      <c r="Q929" s="67" t="str">
        <f t="array" ref="Q929">INDEX('MTA 28-09'!Z:Z,MATCH(B929,'MTA 28-09'!A:A,0))</f>
        <v>339039</v>
      </c>
      <c r="R929" s="32" t="str">
        <f t="array" ref="R929">INDEX('MTA 28-09'!L:L,MATCH(B929,'MTA 28-09'!A:A,0))</f>
        <v>C</v>
      </c>
      <c r="S929" s="72" t="str">
        <f t="array" ref="S929">INDEX('MTA 28-09'!X:X,MATCH(B929,'MTA 28-09'!A:A,0))</f>
        <v>SOB DEMANDA</v>
      </c>
      <c r="T929" s="72" t="str">
        <f t="array" ref="T929">INDEX('MTA 28-09'!W:W,MATCH(B929,'MTA 28-09'!A:A,0))</f>
        <v>NÃO</v>
      </c>
      <c r="U929" s="81">
        <f t="array" ref="U929">INDEX('MTA 28-09'!AE:AE,MATCH(B929,'MTA 28-09'!A:A,0))</f>
        <v>46080</v>
      </c>
      <c r="V929" s="12"/>
      <c r="W929" s="12"/>
      <c r="X929" s="12"/>
      <c r="Y929" s="12"/>
      <c r="Z929" s="12"/>
      <c r="AA929" s="12"/>
      <c r="AB929" s="12"/>
      <c r="AC929" s="12"/>
      <c r="AD929" s="12"/>
      <c r="AE929" s="12"/>
      <c r="AF929" s="12"/>
      <c r="AG929" s="12"/>
      <c r="AH929" s="12"/>
      <c r="AI929" s="12"/>
      <c r="AJ929" s="12"/>
      <c r="AK929" s="12"/>
      <c r="AL929" s="12"/>
      <c r="AM929" s="12"/>
    </row>
    <row r="930">
      <c r="A930" s="88" t="s">
        <v>1573</v>
      </c>
      <c r="B930" s="98">
        <v>25740.0</v>
      </c>
      <c r="C930" s="92" t="str">
        <f t="array" ref="C930">INDEX('MTA 28-09'!B:B,MATCH(B930,'MTA 28-09'!A:A,0))</f>
        <v>NÃO</v>
      </c>
      <c r="D930" s="95" t="str">
        <f t="array" ref="D930">INDEX('MTA 28-09'!D:D,MATCH(B930,'MTA 28-09'!A:A,0))</f>
        <v/>
      </c>
      <c r="E930" s="98" t="str">
        <f t="array" ref="E930">INDEX('MTA 28-09'!F:F,MATCH(B930,'MTA 28-09'!A:A,0))</f>
        <v/>
      </c>
      <c r="F930" s="99" t="str">
        <f t="array" ref="F930">INDEX('MTA 28-09'!I:I,MATCH(B930,'MTA 28-09'!A:A,0))</f>
        <v/>
      </c>
      <c r="G930" s="100" t="str">
        <f t="array" ref="G930">INDEX('MTA 28-09'!J:J,MATCH(B930,'MTA 28-09'!A:A,0))</f>
        <v/>
      </c>
      <c r="H930" s="159" t="s">
        <v>157</v>
      </c>
      <c r="I930" s="296"/>
      <c r="J930" s="102"/>
      <c r="K930" s="103"/>
      <c r="L930" s="102" t="str">
        <f t="array" ref="L930">INDEX('MTA 28-09'!S:S,MATCH(B930,'MTA 28-09'!A:A,0))</f>
        <v>APOIO</v>
      </c>
      <c r="M930" s="98" t="str">
        <f t="array" ref="M930">INDEX('MTA 28-09'!T:T,MATCH(B930,'MTA 28-09'!A:A,0))</f>
        <v>CTT XXX/GAPLS-PAMALS/2026 – Gestão de Frota</v>
      </c>
      <c r="N930" s="98" t="str">
        <f t="array" ref="N930">INDEX('MTA 28-09'!U:U,MATCH(B930,'MTA 28-09'!A:A,0))</f>
        <v>Serviço de Reparo 4/4</v>
      </c>
      <c r="O930" s="104">
        <f t="array" ref="O930">INDEX('MTA 28-09'!AC:AC,MATCH(B930,'MTA 28-09'!A:A,0))</f>
        <v>21600</v>
      </c>
      <c r="P930" s="98" t="str">
        <f t="array" ref="P930">INDEX('MTA 28-09'!N:N,MATCH(B930,'MTA 28-09'!A:A,0))</f>
        <v>GAP-LS</v>
      </c>
      <c r="Q930" s="105" t="str">
        <f t="array" ref="Q930">INDEX('MTA 28-09'!Z:Z,MATCH(B930,'MTA 28-09'!A:A,0))</f>
        <v>339039</v>
      </c>
      <c r="R930" s="98" t="str">
        <f t="array" ref="R930">INDEX('MTA 28-09'!L:L,MATCH(B930,'MTA 28-09'!A:A,0))</f>
        <v>C</v>
      </c>
      <c r="S930" s="107" t="str">
        <f t="array" ref="S930">INDEX('MTA 28-09'!X:X,MATCH(B930,'MTA 28-09'!A:A,0))</f>
        <v>SOB DEMANDA</v>
      </c>
      <c r="T930" s="107" t="str">
        <f t="array" ref="T930">INDEX('MTA 28-09'!W:W,MATCH(B930,'MTA 28-09'!A:A,0))</f>
        <v>NÃO</v>
      </c>
      <c r="U930" s="109">
        <f t="array" ref="U930">INDEX('MTA 28-09'!AE:AE,MATCH(B930,'MTA 28-09'!A:A,0))</f>
        <v>46080</v>
      </c>
      <c r="V930" s="29"/>
      <c r="W930" s="29"/>
      <c r="X930" s="29"/>
      <c r="Y930" s="29"/>
      <c r="Z930" s="29"/>
      <c r="AA930" s="29"/>
      <c r="AB930" s="29"/>
      <c r="AC930" s="29"/>
      <c r="AD930" s="29"/>
      <c r="AE930" s="29"/>
      <c r="AF930" s="29"/>
      <c r="AG930" s="29"/>
      <c r="AH930" s="29"/>
      <c r="AI930" s="29"/>
      <c r="AJ930" s="29"/>
      <c r="AK930" s="29"/>
      <c r="AL930" s="29"/>
      <c r="AM930" s="29"/>
    </row>
    <row r="931">
      <c r="A931" s="31" t="s">
        <v>39</v>
      </c>
      <c r="B931" s="32">
        <v>25760.0</v>
      </c>
      <c r="C931" s="33" t="str">
        <f t="array" ref="C931">INDEX('MTA 28-09'!B:B,MATCH(B931,'MTA 28-09'!A:A,0))</f>
        <v>SIM</v>
      </c>
      <c r="D931" s="34" t="str">
        <f t="array" ref="D931">INDEX('MTA 28-09'!D:D,MATCH(B931,'MTA 28-09'!A:A,0))</f>
        <v>RAP</v>
      </c>
      <c r="E931" s="32" t="str">
        <f t="array" ref="E931">INDEX('MTA 28-09'!F:F,MATCH(B931,'MTA 28-09'!A:A,0))</f>
        <v>PROCESSADO</v>
      </c>
      <c r="F931" s="35" t="str">
        <f t="array" ref="F931">INDEX('MTA 28-09'!I:I,MATCH(B931,'MTA 28-09'!A:A,0))</f>
        <v/>
      </c>
      <c r="G931" s="36" t="str">
        <f t="array" ref="G931">INDEX('MTA 28-09'!J:J,MATCH(B931,'MTA 28-09'!A:A,0))</f>
        <v/>
      </c>
      <c r="H931" s="287" t="s">
        <v>157</v>
      </c>
      <c r="I931" s="295"/>
      <c r="J931" s="39"/>
      <c r="K931" s="40"/>
      <c r="L931" s="39" t="str">
        <f t="array" ref="L931">INDEX('MTA 28-09'!S:S,MATCH(B931,'MTA 28-09'!A:A,0))</f>
        <v>A-29</v>
      </c>
      <c r="M931" s="32" t="str">
        <f t="array" ref="M931">INDEX('MTA 28-09'!T:T,MATCH(B931,'MTA 28-09'!A:A,0))</f>
        <v>CNT 040/CELOG-PAMALS/2022 - AEL - CLS AVIONICO</v>
      </c>
      <c r="N931" s="32" t="str">
        <f t="array" ref="N931">INDEX('MTA 28-09'!U:U,MATCH(B931,'MTA 28-09'!A:A,0))</f>
        <v>Hora de Voo 01/10 - 1000 HV</v>
      </c>
      <c r="O931" s="59">
        <f t="array" ref="O931">INDEX('MTA 28-09'!AC:AC,MATCH(B931,'MTA 28-09'!A:A,0))</f>
        <v>1057110</v>
      </c>
      <c r="P931" s="32" t="str">
        <f t="array" ref="P931">INDEX('MTA 28-09'!N:N,MATCH(B931,'MTA 28-09'!A:A,0))</f>
        <v>CELOG</v>
      </c>
      <c r="Q931" s="67" t="str">
        <f t="array" ref="Q931">INDEX('MTA 28-09'!Z:Z,MATCH(B931,'MTA 28-09'!A:A,0))</f>
        <v>339039</v>
      </c>
      <c r="R931" s="32" t="str">
        <f t="array" ref="R931">INDEX('MTA 28-09'!L:L,MATCH(B931,'MTA 28-09'!A:A,0))</f>
        <v>RAP</v>
      </c>
      <c r="S931" s="72" t="str">
        <f t="array" ref="S931">INDEX('MTA 28-09'!X:X,MATCH(B931,'MTA 28-09'!A:A,0))</f>
        <v>HORA DE VOO</v>
      </c>
      <c r="T931" s="72" t="str">
        <f t="array" ref="T931">INDEX('MTA 28-09'!W:W,MATCH(B931,'MTA 28-09'!A:A,0))</f>
        <v>Não</v>
      </c>
      <c r="U931" s="81">
        <f t="array" ref="U931">INDEX('MTA 28-09'!AE:AE,MATCH(B931,'MTA 28-09'!A:A,0))</f>
        <v>46107</v>
      </c>
      <c r="V931" s="12"/>
      <c r="W931" s="12"/>
      <c r="X931" s="12"/>
      <c r="Y931" s="12"/>
      <c r="Z931" s="12"/>
      <c r="AA931" s="12"/>
      <c r="AB931" s="12"/>
      <c r="AC931" s="12"/>
      <c r="AD931" s="12"/>
      <c r="AE931" s="12"/>
      <c r="AF931" s="12"/>
      <c r="AG931" s="12"/>
      <c r="AH931" s="12"/>
      <c r="AI931" s="12"/>
      <c r="AJ931" s="12"/>
      <c r="AK931" s="12"/>
      <c r="AL931" s="12"/>
      <c r="AM931" s="12"/>
    </row>
    <row r="932">
      <c r="A932" s="88" t="s">
        <v>39</v>
      </c>
      <c r="B932" s="98">
        <v>25780.0</v>
      </c>
      <c r="C932" s="92" t="str">
        <f t="array" ref="C932">INDEX('MTA 28-09'!B:B,MATCH(B932,'MTA 28-09'!A:A,0))</f>
        <v>SIM</v>
      </c>
      <c r="D932" s="95" t="str">
        <f t="array" ref="D932">INDEX('MTA 28-09'!D:D,MATCH(B932,'MTA 28-09'!A:A,0))</f>
        <v>RAP</v>
      </c>
      <c r="E932" s="98" t="str">
        <f t="array" ref="E932">INDEX('MTA 28-09'!F:F,MATCH(B932,'MTA 28-09'!A:A,0))</f>
        <v>PROCESSADO</v>
      </c>
      <c r="F932" s="99" t="str">
        <f t="array" ref="F932">INDEX('MTA 28-09'!I:I,MATCH(B932,'MTA 28-09'!A:A,0))</f>
        <v/>
      </c>
      <c r="G932" s="100" t="str">
        <f t="array" ref="G932">INDEX('MTA 28-09'!J:J,MATCH(B932,'MTA 28-09'!A:A,0))</f>
        <v/>
      </c>
      <c r="H932" s="159" t="s">
        <v>157</v>
      </c>
      <c r="I932" s="296"/>
      <c r="J932" s="102"/>
      <c r="K932" s="103"/>
      <c r="L932" s="102" t="str">
        <f t="array" ref="L932">INDEX('MTA 28-09'!S:S,MATCH(B932,'MTA 28-09'!A:A,0))</f>
        <v>A-29</v>
      </c>
      <c r="M932" s="98" t="str">
        <f t="array" ref="M932">INDEX('MTA 28-09'!T:T,MATCH(B932,'MTA 28-09'!A:A,0))</f>
        <v>CNT 051/CELOG-PAMASP/2024 - STANDARD AERO - REVISÃO GERAL</v>
      </c>
      <c r="N932" s="98" t="str">
        <f t="array" ref="N932">INDEX('MTA 28-09'!U:U,MATCH(B932,'MTA 28-09'!A:A,0))</f>
        <v>Revisão Geral PT6A-68C 01/20</v>
      </c>
      <c r="O932" s="104">
        <f t="array" ref="O932">INDEX('MTA 28-09'!AC:AC,MATCH(B932,'MTA 28-09'!A:A,0))</f>
        <v>8000000</v>
      </c>
      <c r="P932" s="98" t="str">
        <f t="array" ref="P932">INDEX('MTA 28-09'!N:N,MATCH(B932,'MTA 28-09'!A:A,0))</f>
        <v>CABW</v>
      </c>
      <c r="Q932" s="105" t="str">
        <f t="array" ref="Q932">INDEX('MTA 28-09'!Z:Z,MATCH(B932,'MTA 28-09'!A:A,0))</f>
        <v>339039</v>
      </c>
      <c r="R932" s="98" t="str">
        <f t="array" ref="R932">INDEX('MTA 28-09'!L:L,MATCH(B932,'MTA 28-09'!A:A,0))</f>
        <v>RAP</v>
      </c>
      <c r="S932" s="107" t="str">
        <f t="array" ref="S932">INDEX('MTA 28-09'!X:X,MATCH(B932,'MTA 28-09'!A:A,0))</f>
        <v>SOB DEMANDA</v>
      </c>
      <c r="T932" s="107" t="str">
        <f t="array" ref="T932">INDEX('MTA 28-09'!W:W,MATCH(B932,'MTA 28-09'!A:A,0))</f>
        <v>SIM</v>
      </c>
      <c r="U932" s="109">
        <f t="array" ref="U932">INDEX('MTA 28-09'!AE:AE,MATCH(B932,'MTA 28-09'!A:A,0))</f>
        <v>46079</v>
      </c>
      <c r="V932" s="29"/>
      <c r="W932" s="29"/>
      <c r="X932" s="29"/>
      <c r="Y932" s="29"/>
      <c r="Z932" s="29"/>
      <c r="AA932" s="29"/>
      <c r="AB932" s="29"/>
      <c r="AC932" s="29"/>
      <c r="AD932" s="29"/>
      <c r="AE932" s="29"/>
      <c r="AF932" s="29"/>
      <c r="AG932" s="29"/>
      <c r="AH932" s="29"/>
      <c r="AI932" s="29"/>
      <c r="AJ932" s="29"/>
      <c r="AK932" s="29"/>
      <c r="AL932" s="29"/>
      <c r="AM932" s="29"/>
    </row>
    <row r="933">
      <c r="A933" s="31" t="s">
        <v>39</v>
      </c>
      <c r="B933" s="32">
        <v>25800.0</v>
      </c>
      <c r="C933" s="33" t="str">
        <f t="array" ref="C933">INDEX('MTA 28-09'!B:B,MATCH(B933,'MTA 28-09'!A:A,0))</f>
        <v>SIM</v>
      </c>
      <c r="D933" s="34" t="str">
        <f t="array" ref="D933">INDEX('MTA 28-09'!D:D,MATCH(B933,'MTA 28-09'!A:A,0))</f>
        <v>RAP</v>
      </c>
      <c r="E933" s="32" t="str">
        <f t="array" ref="E933">INDEX('MTA 28-09'!F:F,MATCH(B933,'MTA 28-09'!A:A,0))</f>
        <v>PROCESSADO</v>
      </c>
      <c r="F933" s="35" t="str">
        <f t="array" ref="F933">INDEX('MTA 28-09'!I:I,MATCH(B933,'MTA 28-09'!A:A,0))</f>
        <v/>
      </c>
      <c r="G933" s="36" t="str">
        <f t="array" ref="G933">INDEX('MTA 28-09'!J:J,MATCH(B933,'MTA 28-09'!A:A,0))</f>
        <v/>
      </c>
      <c r="H933" s="287" t="s">
        <v>157</v>
      </c>
      <c r="I933" s="295"/>
      <c r="J933" s="39"/>
      <c r="K933" s="40"/>
      <c r="L933" s="39" t="str">
        <f t="array" ref="L933">INDEX('MTA 28-09'!S:S,MATCH(B933,'MTA 28-09'!A:A,0))</f>
        <v>A-29</v>
      </c>
      <c r="M933" s="32" t="str">
        <f t="array" ref="M933">INDEX('MTA 28-09'!T:T,MATCH(B933,'MTA 28-09'!A:A,0))</f>
        <v>CNT 051/CELOG-PAMASP/2024 - STANDARD AERO - REVISÃO GERAL</v>
      </c>
      <c r="N933" s="32" t="str">
        <f t="array" ref="N933">INDEX('MTA 28-09'!U:U,MATCH(B933,'MTA 28-09'!A:A,0))</f>
        <v>Revisão Geral PT6A-68C 02/20</v>
      </c>
      <c r="O933" s="59">
        <f t="array" ref="O933">INDEX('MTA 28-09'!AC:AC,MATCH(B933,'MTA 28-09'!A:A,0))</f>
        <v>8000000</v>
      </c>
      <c r="P933" s="32" t="str">
        <f t="array" ref="P933">INDEX('MTA 28-09'!N:N,MATCH(B933,'MTA 28-09'!A:A,0))</f>
        <v>CABW</v>
      </c>
      <c r="Q933" s="67" t="str">
        <f t="array" ref="Q933">INDEX('MTA 28-09'!Z:Z,MATCH(B933,'MTA 28-09'!A:A,0))</f>
        <v>339039</v>
      </c>
      <c r="R933" s="32" t="str">
        <f t="array" ref="R933">INDEX('MTA 28-09'!L:L,MATCH(B933,'MTA 28-09'!A:A,0))</f>
        <v>RAP</v>
      </c>
      <c r="S933" s="72" t="str">
        <f t="array" ref="S933">INDEX('MTA 28-09'!X:X,MATCH(B933,'MTA 28-09'!A:A,0))</f>
        <v>SOB DEMANDA</v>
      </c>
      <c r="T933" s="72" t="str">
        <f t="array" ref="T933">INDEX('MTA 28-09'!W:W,MATCH(B933,'MTA 28-09'!A:A,0))</f>
        <v>SIM</v>
      </c>
      <c r="U933" s="81">
        <f t="array" ref="U933">INDEX('MTA 28-09'!AE:AE,MATCH(B933,'MTA 28-09'!A:A,0))</f>
        <v>46079</v>
      </c>
      <c r="V933" s="12"/>
      <c r="W933" s="12"/>
      <c r="X933" s="12"/>
      <c r="Y933" s="12"/>
      <c r="Z933" s="12"/>
      <c r="AA933" s="12"/>
      <c r="AB933" s="12"/>
      <c r="AC933" s="12"/>
      <c r="AD933" s="12"/>
      <c r="AE933" s="12"/>
      <c r="AF933" s="12"/>
      <c r="AG933" s="12"/>
      <c r="AH933" s="12"/>
      <c r="AI933" s="12"/>
      <c r="AJ933" s="12"/>
      <c r="AK933" s="12"/>
      <c r="AL933" s="12"/>
      <c r="AM933" s="12"/>
    </row>
    <row r="934">
      <c r="A934" s="88" t="s">
        <v>39</v>
      </c>
      <c r="B934" s="98">
        <v>25820.0</v>
      </c>
      <c r="C934" s="92" t="str">
        <f t="array" ref="C934">INDEX('MTA 28-09'!B:B,MATCH(B934,'MTA 28-09'!A:A,0))</f>
        <v>SIM</v>
      </c>
      <c r="D934" s="95" t="str">
        <f t="array" ref="D934">INDEX('MTA 28-09'!D:D,MATCH(B934,'MTA 28-09'!A:A,0))</f>
        <v>RAP</v>
      </c>
      <c r="E934" s="98" t="str">
        <f t="array" ref="E934">INDEX('MTA 28-09'!F:F,MATCH(B934,'MTA 28-09'!A:A,0))</f>
        <v>PROCESSADO</v>
      </c>
      <c r="F934" s="99" t="str">
        <f t="array" ref="F934">INDEX('MTA 28-09'!I:I,MATCH(B934,'MTA 28-09'!A:A,0))</f>
        <v/>
      </c>
      <c r="G934" s="100" t="str">
        <f t="array" ref="G934">INDEX('MTA 28-09'!J:J,MATCH(B934,'MTA 28-09'!A:A,0))</f>
        <v/>
      </c>
      <c r="H934" s="159" t="s">
        <v>157</v>
      </c>
      <c r="I934" s="296"/>
      <c r="J934" s="102"/>
      <c r="K934" s="103"/>
      <c r="L934" s="102" t="str">
        <f t="array" ref="L934">INDEX('MTA 28-09'!S:S,MATCH(B934,'MTA 28-09'!A:A,0))</f>
        <v>A-29</v>
      </c>
      <c r="M934" s="98" t="str">
        <f t="array" ref="M934">INDEX('MTA 28-09'!T:T,MATCH(B934,'MTA 28-09'!A:A,0))</f>
        <v>CNT 051/CELOG-PAMASP/2024 - STANDARD AERO - REVISÃO GERAL</v>
      </c>
      <c r="N934" s="98" t="str">
        <f t="array" ref="N934">INDEX('MTA 28-09'!U:U,MATCH(B934,'MTA 28-09'!A:A,0))</f>
        <v>Revisão Geral PT6A-68C 03/20</v>
      </c>
      <c r="O934" s="104">
        <f t="array" ref="O934">INDEX('MTA 28-09'!AC:AC,MATCH(B934,'MTA 28-09'!A:A,0))</f>
        <v>8000000</v>
      </c>
      <c r="P934" s="98" t="str">
        <f t="array" ref="P934">INDEX('MTA 28-09'!N:N,MATCH(B934,'MTA 28-09'!A:A,0))</f>
        <v>CABW</v>
      </c>
      <c r="Q934" s="105" t="str">
        <f t="array" ref="Q934">INDEX('MTA 28-09'!Z:Z,MATCH(B934,'MTA 28-09'!A:A,0))</f>
        <v>339039</v>
      </c>
      <c r="R934" s="98" t="str">
        <f t="array" ref="R934">INDEX('MTA 28-09'!L:L,MATCH(B934,'MTA 28-09'!A:A,0))</f>
        <v>RAP</v>
      </c>
      <c r="S934" s="107" t="str">
        <f t="array" ref="S934">INDEX('MTA 28-09'!X:X,MATCH(B934,'MTA 28-09'!A:A,0))</f>
        <v>SOB DEMANDA</v>
      </c>
      <c r="T934" s="107" t="str">
        <f t="array" ref="T934">INDEX('MTA 28-09'!W:W,MATCH(B934,'MTA 28-09'!A:A,0))</f>
        <v>SIM</v>
      </c>
      <c r="U934" s="109">
        <f t="array" ref="U934">INDEX('MTA 28-09'!AE:AE,MATCH(B934,'MTA 28-09'!A:A,0))</f>
        <v>46107</v>
      </c>
      <c r="V934" s="29"/>
      <c r="W934" s="29"/>
      <c r="X934" s="29"/>
      <c r="Y934" s="29"/>
      <c r="Z934" s="29"/>
      <c r="AA934" s="29"/>
      <c r="AB934" s="29"/>
      <c r="AC934" s="29"/>
      <c r="AD934" s="29"/>
      <c r="AE934" s="29"/>
      <c r="AF934" s="29"/>
      <c r="AG934" s="29"/>
      <c r="AH934" s="29"/>
      <c r="AI934" s="29"/>
      <c r="AJ934" s="29"/>
      <c r="AK934" s="29"/>
      <c r="AL934" s="29"/>
      <c r="AM934" s="29"/>
    </row>
    <row r="935">
      <c r="A935" s="31" t="s">
        <v>39</v>
      </c>
      <c r="B935" s="32">
        <v>25840.0</v>
      </c>
      <c r="C935" s="33" t="str">
        <f t="array" ref="C935">INDEX('MTA 28-09'!B:B,MATCH(B935,'MTA 28-09'!A:A,0))</f>
        <v>SIM</v>
      </c>
      <c r="D935" s="34" t="str">
        <f t="array" ref="D935">INDEX('MTA 28-09'!D:D,MATCH(B935,'MTA 28-09'!A:A,0))</f>
        <v>RAP</v>
      </c>
      <c r="E935" s="32" t="str">
        <f t="array" ref="E935">INDEX('MTA 28-09'!F:F,MATCH(B935,'MTA 28-09'!A:A,0))</f>
        <v>PROCESSADO</v>
      </c>
      <c r="F935" s="35" t="str">
        <f t="array" ref="F935">INDEX('MTA 28-09'!I:I,MATCH(B935,'MTA 28-09'!A:A,0))</f>
        <v/>
      </c>
      <c r="G935" s="36" t="str">
        <f t="array" ref="G935">INDEX('MTA 28-09'!J:J,MATCH(B935,'MTA 28-09'!A:A,0))</f>
        <v/>
      </c>
      <c r="H935" s="287" t="s">
        <v>157</v>
      </c>
      <c r="I935" s="295"/>
      <c r="J935" s="39"/>
      <c r="K935" s="40"/>
      <c r="L935" s="39" t="str">
        <f t="array" ref="L935">INDEX('MTA 28-09'!S:S,MATCH(B935,'MTA 28-09'!A:A,0))</f>
        <v>A-29</v>
      </c>
      <c r="M935" s="32" t="str">
        <f t="array" ref="M935">INDEX('MTA 28-09'!T:T,MATCH(B935,'MTA 28-09'!A:A,0))</f>
        <v>CNT 060/CELOG-PAMASP/2023 - PW - HSI/REPARO</v>
      </c>
      <c r="N935" s="32" t="str">
        <f t="array" ref="N935">INDEX('MTA 28-09'!U:U,MATCH(B935,'MTA 28-09'!A:A,0))</f>
        <v>Reparo PT6A-68C 1/9</v>
      </c>
      <c r="O935" s="59">
        <f t="array" ref="O935">INDEX('MTA 28-09'!AC:AC,MATCH(B935,'MTA 28-09'!A:A,0))</f>
        <v>1800000</v>
      </c>
      <c r="P935" s="32" t="str">
        <f t="array" ref="P935">INDEX('MTA 28-09'!N:N,MATCH(B935,'MTA 28-09'!A:A,0))</f>
        <v>CELOG</v>
      </c>
      <c r="Q935" s="67" t="str">
        <f t="array" ref="Q935">INDEX('MTA 28-09'!Z:Z,MATCH(B935,'MTA 28-09'!A:A,0))</f>
        <v>339039</v>
      </c>
      <c r="R935" s="32" t="str">
        <f t="array" ref="R935">INDEX('MTA 28-09'!L:L,MATCH(B935,'MTA 28-09'!A:A,0))</f>
        <v>RAP</v>
      </c>
      <c r="S935" s="72" t="str">
        <f t="array" ref="S935">INDEX('MTA 28-09'!X:X,MATCH(B935,'MTA 28-09'!A:A,0))</f>
        <v>SOB DEMANDA</v>
      </c>
      <c r="T935" s="72" t="str">
        <f t="array" ref="T935">INDEX('MTA 28-09'!W:W,MATCH(B935,'MTA 28-09'!A:A,0))</f>
        <v>SIM</v>
      </c>
      <c r="U935" s="81">
        <f t="array" ref="U935">INDEX('MTA 28-09'!AE:AE,MATCH(B935,'MTA 28-09'!A:A,0))</f>
        <v>46229</v>
      </c>
      <c r="V935" s="12"/>
      <c r="W935" s="12"/>
      <c r="X935" s="12"/>
      <c r="Y935" s="12"/>
      <c r="Z935" s="12"/>
      <c r="AA935" s="12"/>
      <c r="AB935" s="12"/>
      <c r="AC935" s="12"/>
      <c r="AD935" s="12"/>
      <c r="AE935" s="12"/>
      <c r="AF935" s="12"/>
      <c r="AG935" s="12"/>
      <c r="AH935" s="12"/>
      <c r="AI935" s="12"/>
      <c r="AJ935" s="12"/>
      <c r="AK935" s="12"/>
      <c r="AL935" s="12"/>
      <c r="AM935" s="12"/>
    </row>
    <row r="936">
      <c r="A936" s="88" t="s">
        <v>39</v>
      </c>
      <c r="B936" s="98">
        <v>25860.0</v>
      </c>
      <c r="C936" s="92" t="str">
        <f t="array" ref="C936">INDEX('MTA 28-09'!B:B,MATCH(B936,'MTA 28-09'!A:A,0))</f>
        <v>SIM</v>
      </c>
      <c r="D936" s="95" t="str">
        <f t="array" ref="D936">INDEX('MTA 28-09'!D:D,MATCH(B936,'MTA 28-09'!A:A,0))</f>
        <v>RAP</v>
      </c>
      <c r="E936" s="98" t="str">
        <f t="array" ref="E936">INDEX('MTA 28-09'!F:F,MATCH(B936,'MTA 28-09'!A:A,0))</f>
        <v>PROCESSADO</v>
      </c>
      <c r="F936" s="99" t="str">
        <f t="array" ref="F936">INDEX('MTA 28-09'!I:I,MATCH(B936,'MTA 28-09'!A:A,0))</f>
        <v/>
      </c>
      <c r="G936" s="100" t="str">
        <f t="array" ref="G936">INDEX('MTA 28-09'!J:J,MATCH(B936,'MTA 28-09'!A:A,0))</f>
        <v/>
      </c>
      <c r="H936" s="159" t="s">
        <v>157</v>
      </c>
      <c r="I936" s="296"/>
      <c r="J936" s="102"/>
      <c r="K936" s="103"/>
      <c r="L936" s="102" t="str">
        <f t="array" ref="L936">INDEX('MTA 28-09'!S:S,MATCH(B936,'MTA 28-09'!A:A,0))</f>
        <v>A-29</v>
      </c>
      <c r="M936" s="98" t="str">
        <f t="array" ref="M936">INDEX('MTA 28-09'!T:T,MATCH(B936,'MTA 28-09'!A:A,0))</f>
        <v>CTT 102/CELOG-PAMALS/2023 – EMBRAER - PSLI</v>
      </c>
      <c r="N936" s="98" t="str">
        <f t="array" ref="N936">INDEX('MTA 28-09'!U:U,MATCH(B936,'MTA 28-09'!A:A,0))</f>
        <v>Hora de Voo 01/10 - 1000 HV</v>
      </c>
      <c r="O936" s="104">
        <f t="array" ref="O936">INDEX('MTA 28-09'!AC:AC,MATCH(B936,'MTA 28-09'!A:A,0))</f>
        <v>2229061.4</v>
      </c>
      <c r="P936" s="98" t="str">
        <f t="array" ref="P936">INDEX('MTA 28-09'!N:N,MATCH(B936,'MTA 28-09'!A:A,0))</f>
        <v>CELOG</v>
      </c>
      <c r="Q936" s="105" t="str">
        <f t="array" ref="Q936">INDEX('MTA 28-09'!Z:Z,MATCH(B936,'MTA 28-09'!A:A,0))</f>
        <v>339039</v>
      </c>
      <c r="R936" s="98" t="str">
        <f t="array" ref="R936">INDEX('MTA 28-09'!L:L,MATCH(B936,'MTA 28-09'!A:A,0))</f>
        <v>RAP</v>
      </c>
      <c r="S936" s="107" t="str">
        <f t="array" ref="S936">INDEX('MTA 28-09'!X:X,MATCH(B936,'MTA 28-09'!A:A,0))</f>
        <v>HORA DE VOO</v>
      </c>
      <c r="T936" s="107" t="str">
        <f t="array" ref="T936">INDEX('MTA 28-09'!W:W,MATCH(B936,'MTA 28-09'!A:A,0))</f>
        <v>Não</v>
      </c>
      <c r="U936" s="109">
        <f t="array" ref="U936">INDEX('MTA 28-09'!AE:AE,MATCH(B936,'MTA 28-09'!A:A,0))</f>
        <v>46107</v>
      </c>
      <c r="V936" s="29"/>
      <c r="W936" s="29"/>
      <c r="X936" s="29"/>
      <c r="Y936" s="29"/>
      <c r="Z936" s="29"/>
      <c r="AA936" s="29"/>
      <c r="AB936" s="29"/>
      <c r="AC936" s="29"/>
      <c r="AD936" s="29"/>
      <c r="AE936" s="29"/>
      <c r="AF936" s="29"/>
      <c r="AG936" s="29"/>
      <c r="AH936" s="29"/>
      <c r="AI936" s="29"/>
      <c r="AJ936" s="29"/>
      <c r="AK936" s="29"/>
      <c r="AL936" s="29"/>
      <c r="AM936" s="29"/>
    </row>
    <row r="937">
      <c r="A937" s="31" t="s">
        <v>43</v>
      </c>
      <c r="B937" s="32">
        <v>25880.0</v>
      </c>
      <c r="C937" s="33" t="str">
        <f t="array" ref="C937">INDEX('MTA 28-09'!B:B,MATCH(B937,'MTA 28-09'!A:A,0))</f>
        <v>SIM</v>
      </c>
      <c r="D937" s="34" t="str">
        <f t="array" ref="D937">INDEX('MTA 28-09'!D:D,MATCH(B937,'MTA 28-09'!A:A,0))</f>
        <v>RAP</v>
      </c>
      <c r="E937" s="32" t="str">
        <f t="array" ref="E937">INDEX('MTA 28-09'!F:F,MATCH(B937,'MTA 28-09'!A:A,0))</f>
        <v>PROCESSADO</v>
      </c>
      <c r="F937" s="35" t="str">
        <f t="array" ref="F937">INDEX('MTA 28-09'!I:I,MATCH(B937,'MTA 28-09'!A:A,0))</f>
        <v/>
      </c>
      <c r="G937" s="36" t="str">
        <f t="array" ref="G937">INDEX('MTA 28-09'!J:J,MATCH(B937,'MTA 28-09'!A:A,0))</f>
        <v/>
      </c>
      <c r="H937" s="287" t="s">
        <v>157</v>
      </c>
      <c r="I937" s="38"/>
      <c r="J937" s="39"/>
      <c r="K937" s="40"/>
      <c r="L937" s="39" t="str">
        <f t="array" ref="L937">INDEX('MTA 28-09'!S:S,MATCH(B937,'MTA 28-09'!A:A,0))</f>
        <v>C-95M</v>
      </c>
      <c r="M937" s="32" t="str">
        <f t="array" ref="M937">INDEX('MTA 28-09'!T:T,MATCH(B937,'MTA 28-09'!A:A,0))</f>
        <v>CTT 028/CELOG-PAMALS/2025 – CLS AVIÔNICOS</v>
      </c>
      <c r="N937" s="32" t="str">
        <f t="array" ref="N937">INDEX('MTA 28-09'!U:U,MATCH(B937,'MTA 28-09'!A:A,0))</f>
        <v>Hora de Voo 01/09 - 1000 HV</v>
      </c>
      <c r="O937" s="59">
        <f t="array" ref="O937">INDEX('MTA 28-09'!AC:AC,MATCH(B937,'MTA 28-09'!A:A,0))</f>
        <v>602869.11</v>
      </c>
      <c r="P937" s="32" t="str">
        <f t="array" ref="P937">INDEX('MTA 28-09'!N:N,MATCH(B937,'MTA 28-09'!A:A,0))</f>
        <v>CELOG</v>
      </c>
      <c r="Q937" s="67" t="str">
        <f t="array" ref="Q937">INDEX('MTA 28-09'!Z:Z,MATCH(B937,'MTA 28-09'!A:A,0))</f>
        <v>339039</v>
      </c>
      <c r="R937" s="32" t="str">
        <f t="array" ref="R937">INDEX('MTA 28-09'!L:L,MATCH(B937,'MTA 28-09'!A:A,0))</f>
        <v>RAP</v>
      </c>
      <c r="S937" s="72" t="str">
        <f t="array" ref="S937">INDEX('MTA 28-09'!X:X,MATCH(B937,'MTA 28-09'!A:A,0))</f>
        <v>HORA DE VOO</v>
      </c>
      <c r="T937" s="72" t="str">
        <f t="array" ref="T937">INDEX('MTA 28-09'!W:W,MATCH(B937,'MTA 28-09'!A:A,0))</f>
        <v>Não</v>
      </c>
      <c r="U937" s="81">
        <f t="array" ref="U937">INDEX('MTA 28-09'!AE:AE,MATCH(B937,'MTA 28-09'!A:A,0))</f>
        <v>46107</v>
      </c>
      <c r="V937" s="12"/>
      <c r="W937" s="12"/>
      <c r="X937" s="12"/>
      <c r="Y937" s="12"/>
      <c r="Z937" s="12"/>
      <c r="AA937" s="12"/>
      <c r="AB937" s="12"/>
      <c r="AC937" s="12"/>
      <c r="AD937" s="12"/>
      <c r="AE937" s="12"/>
      <c r="AF937" s="12"/>
      <c r="AG937" s="12"/>
      <c r="AH937" s="12"/>
      <c r="AI937" s="12"/>
      <c r="AJ937" s="12"/>
      <c r="AK937" s="12"/>
      <c r="AL937" s="12"/>
      <c r="AM937" s="12"/>
    </row>
    <row r="938">
      <c r="A938" s="88" t="s">
        <v>45</v>
      </c>
      <c r="B938" s="98">
        <v>25900.0</v>
      </c>
      <c r="C938" s="92" t="str">
        <f t="array" ref="C938">INDEX('MTA 28-09'!B:B,MATCH(B938,'MTA 28-09'!A:A,0))</f>
        <v>SIM</v>
      </c>
      <c r="D938" s="95" t="str">
        <f t="array" ref="D938">INDEX('MTA 28-09'!D:D,MATCH(B938,'MTA 28-09'!A:A,0))</f>
        <v>RAP</v>
      </c>
      <c r="E938" s="98" t="str">
        <f t="array" ref="E938">INDEX('MTA 28-09'!F:F,MATCH(B938,'MTA 28-09'!A:A,0))</f>
        <v>PROCESSADO</v>
      </c>
      <c r="F938" s="99" t="str">
        <f t="array" ref="F938">INDEX('MTA 28-09'!I:I,MATCH(B938,'MTA 28-09'!A:A,0))</f>
        <v/>
      </c>
      <c r="G938" s="100" t="str">
        <f t="array" ref="G938">INDEX('MTA 28-09'!J:J,MATCH(B938,'MTA 28-09'!A:A,0))</f>
        <v/>
      </c>
      <c r="H938" s="159" t="s">
        <v>157</v>
      </c>
      <c r="I938" s="296"/>
      <c r="J938" s="102"/>
      <c r="K938" s="103"/>
      <c r="L938" s="102" t="str">
        <f t="array" ref="L938">INDEX('MTA 28-09'!S:S,MATCH(B938,'MTA 28-09'!A:A,0))</f>
        <v>C-98</v>
      </c>
      <c r="M938" s="98" t="str">
        <f t="array" ref="M938">INDEX('MTA 28-09'!T:T,MATCH(B938,'MTA 28-09'!A:A,0))</f>
        <v>CNT 005/CELOG-PAMALS/2025 - VEE ONE</v>
      </c>
      <c r="N938" s="98" t="str">
        <f t="array" ref="N938">INDEX('MTA 28-09'!U:U,MATCH(B938,'MTA 28-09'!A:A,0))</f>
        <v>Hora de Voo 01/10 - 1000 HV</v>
      </c>
      <c r="O938" s="104">
        <f t="array" ref="O938">INDEX('MTA 28-09'!AC:AC,MATCH(B938,'MTA 28-09'!A:A,0))</f>
        <v>1704503</v>
      </c>
      <c r="P938" s="98" t="str">
        <f t="array" ref="P938">INDEX('MTA 28-09'!N:N,MATCH(B938,'MTA 28-09'!A:A,0))</f>
        <v>CELOG</v>
      </c>
      <c r="Q938" s="105" t="str">
        <f t="array" ref="Q938">INDEX('MTA 28-09'!Z:Z,MATCH(B938,'MTA 28-09'!A:A,0))</f>
        <v>339039</v>
      </c>
      <c r="R938" s="98" t="str">
        <f t="array" ref="R938">INDEX('MTA 28-09'!L:L,MATCH(B938,'MTA 28-09'!A:A,0))</f>
        <v>RAP</v>
      </c>
      <c r="S938" s="107" t="str">
        <f t="array" ref="S938">INDEX('MTA 28-09'!X:X,MATCH(B938,'MTA 28-09'!A:A,0))</f>
        <v>HORA DE VOO</v>
      </c>
      <c r="T938" s="107" t="str">
        <f t="array" ref="T938">INDEX('MTA 28-09'!W:W,MATCH(B938,'MTA 28-09'!A:A,0))</f>
        <v>Não</v>
      </c>
      <c r="U938" s="109">
        <f t="array" ref="U938">INDEX('MTA 28-09'!AE:AE,MATCH(B938,'MTA 28-09'!A:A,0))</f>
        <v>46107</v>
      </c>
      <c r="V938" s="29"/>
      <c r="W938" s="29"/>
      <c r="X938" s="29"/>
      <c r="Y938" s="29"/>
      <c r="Z938" s="29"/>
      <c r="AA938" s="29"/>
      <c r="AB938" s="29"/>
      <c r="AC938" s="29"/>
      <c r="AD938" s="29"/>
      <c r="AE938" s="29"/>
      <c r="AF938" s="29"/>
      <c r="AG938" s="29"/>
      <c r="AH938" s="29"/>
      <c r="AI938" s="29"/>
      <c r="AJ938" s="29"/>
      <c r="AK938" s="29"/>
      <c r="AL938" s="29"/>
      <c r="AM938" s="29"/>
    </row>
    <row r="939">
      <c r="A939" s="31" t="s">
        <v>45</v>
      </c>
      <c r="B939" s="32">
        <v>25920.0</v>
      </c>
      <c r="C939" s="33" t="str">
        <f t="array" ref="C939">INDEX('MTA 28-09'!B:B,MATCH(B939,'MTA 28-09'!A:A,0))</f>
        <v>SIM</v>
      </c>
      <c r="D939" s="34" t="str">
        <f t="array" ref="D939">INDEX('MTA 28-09'!D:D,MATCH(B939,'MTA 28-09'!A:A,0))</f>
        <v>RAP</v>
      </c>
      <c r="E939" s="32" t="str">
        <f t="array" ref="E939">INDEX('MTA 28-09'!F:F,MATCH(B939,'MTA 28-09'!A:A,0))</f>
        <v>PROCESSADO</v>
      </c>
      <c r="F939" s="35" t="str">
        <f t="array" ref="F939">INDEX('MTA 28-09'!I:I,MATCH(B939,'MTA 28-09'!A:A,0))</f>
        <v/>
      </c>
      <c r="G939" s="36" t="str">
        <f t="array" ref="G939">INDEX('MTA 28-09'!J:J,MATCH(B939,'MTA 28-09'!A:A,0))</f>
        <v/>
      </c>
      <c r="H939" s="287" t="s">
        <v>157</v>
      </c>
      <c r="I939" s="295"/>
      <c r="J939" s="39"/>
      <c r="K939" s="40"/>
      <c r="L939" s="39" t="str">
        <f t="array" ref="L939">INDEX('MTA 28-09'!S:S,MATCH(B939,'MTA 28-09'!A:A,0))</f>
        <v>C-98</v>
      </c>
      <c r="M939" s="32" t="str">
        <f t="array" ref="M939">INDEX('MTA 28-09'!T:T,MATCH(B939,'MTA 28-09'!A:A,0))</f>
        <v>CNT 005/CELOG-PAMALS/2025 - VEE ONE</v>
      </c>
      <c r="N939" s="32" t="str">
        <f t="array" ref="N939">INDEX('MTA 28-09'!U:U,MATCH(B939,'MTA 28-09'!A:A,0))</f>
        <v>Hora de Voo 02/10 - 1000 HV</v>
      </c>
      <c r="O939" s="59">
        <f t="array" ref="O939">INDEX('MTA 28-09'!AC:AC,MATCH(B939,'MTA 28-09'!A:A,0))</f>
        <v>1638125.5</v>
      </c>
      <c r="P939" s="32" t="str">
        <f t="array" ref="P939">INDEX('MTA 28-09'!N:N,MATCH(B939,'MTA 28-09'!A:A,0))</f>
        <v>CELOG</v>
      </c>
      <c r="Q939" s="67" t="str">
        <f t="array" ref="Q939">INDEX('MTA 28-09'!Z:Z,MATCH(B939,'MTA 28-09'!A:A,0))</f>
        <v>339039</v>
      </c>
      <c r="R939" s="32" t="str">
        <f t="array" ref="R939">INDEX('MTA 28-09'!L:L,MATCH(B939,'MTA 28-09'!A:A,0))</f>
        <v>RAP</v>
      </c>
      <c r="S939" s="72" t="str">
        <f t="array" ref="S939">INDEX('MTA 28-09'!X:X,MATCH(B939,'MTA 28-09'!A:A,0))</f>
        <v>HORA DE VOO</v>
      </c>
      <c r="T939" s="72" t="str">
        <f t="array" ref="T939">INDEX('MTA 28-09'!W:W,MATCH(B939,'MTA 28-09'!A:A,0))</f>
        <v>Não</v>
      </c>
      <c r="U939" s="81">
        <f t="array" ref="U939">INDEX('MTA 28-09'!AE:AE,MATCH(B939,'MTA 28-09'!A:A,0))</f>
        <v>46138</v>
      </c>
      <c r="V939" s="12"/>
      <c r="W939" s="12"/>
      <c r="X939" s="12"/>
      <c r="Y939" s="12"/>
      <c r="Z939" s="12"/>
      <c r="AA939" s="12"/>
      <c r="AB939" s="12"/>
      <c r="AC939" s="12"/>
      <c r="AD939" s="12"/>
      <c r="AE939" s="12"/>
      <c r="AF939" s="12"/>
      <c r="AG939" s="12"/>
      <c r="AH939" s="12"/>
      <c r="AI939" s="12"/>
      <c r="AJ939" s="12"/>
      <c r="AK939" s="12"/>
      <c r="AL939" s="12"/>
      <c r="AM939" s="12"/>
    </row>
    <row r="940">
      <c r="A940" s="88" t="s">
        <v>45</v>
      </c>
      <c r="B940" s="98">
        <v>25940.0</v>
      </c>
      <c r="C940" s="92" t="str">
        <f t="array" ref="C940">INDEX('MTA 28-09'!B:B,MATCH(B940,'MTA 28-09'!A:A,0))</f>
        <v>SIM</v>
      </c>
      <c r="D940" s="95" t="str">
        <f t="array" ref="D940">INDEX('MTA 28-09'!D:D,MATCH(B940,'MTA 28-09'!A:A,0))</f>
        <v>RAP</v>
      </c>
      <c r="E940" s="98" t="str">
        <f t="array" ref="E940">INDEX('MTA 28-09'!F:F,MATCH(B940,'MTA 28-09'!A:A,0))</f>
        <v>PROCESSADO</v>
      </c>
      <c r="F940" s="99" t="str">
        <f t="array" ref="F940">INDEX('MTA 28-09'!I:I,MATCH(B940,'MTA 28-09'!A:A,0))</f>
        <v/>
      </c>
      <c r="G940" s="100" t="str">
        <f t="array" ref="G940">INDEX('MTA 28-09'!J:J,MATCH(B940,'MTA 28-09'!A:A,0))</f>
        <v/>
      </c>
      <c r="H940" s="159" t="s">
        <v>157</v>
      </c>
      <c r="I940" s="296"/>
      <c r="J940" s="102"/>
      <c r="K940" s="103"/>
      <c r="L940" s="102" t="str">
        <f t="array" ref="L940">INDEX('MTA 28-09'!S:S,MATCH(B940,'MTA 28-09'!A:A,0))</f>
        <v>C-98</v>
      </c>
      <c r="M940" s="98" t="str">
        <f t="array" ref="M940">INDEX('MTA 28-09'!T:T,MATCH(B940,'MTA 28-09'!A:A,0))</f>
        <v>CNT 031/CELOG-PAMASP/2022 - PW - RG</v>
      </c>
      <c r="N940" s="98" t="str">
        <f t="array" ref="N940">INDEX('MTA 28-09'!U:U,MATCH(B940,'MTA 28-09'!A:A,0))</f>
        <v>Revisão Geral PT6A-114A (1/6)</v>
      </c>
      <c r="O940" s="104">
        <f t="array" ref="O940">INDEX('MTA 28-09'!AC:AC,MATCH(B940,'MTA 28-09'!A:A,0))</f>
        <v>3800000</v>
      </c>
      <c r="P940" s="98" t="str">
        <f t="array" ref="P940">INDEX('MTA 28-09'!N:N,MATCH(B940,'MTA 28-09'!A:A,0))</f>
        <v>CELOG</v>
      </c>
      <c r="Q940" s="105" t="str">
        <f t="array" ref="Q940">INDEX('MTA 28-09'!Z:Z,MATCH(B940,'MTA 28-09'!A:A,0))</f>
        <v>339039</v>
      </c>
      <c r="R940" s="98" t="str">
        <f t="array" ref="R940">INDEX('MTA 28-09'!L:L,MATCH(B940,'MTA 28-09'!A:A,0))</f>
        <v>RAP</v>
      </c>
      <c r="S940" s="107" t="str">
        <f t="array" ref="S940">INDEX('MTA 28-09'!X:X,MATCH(B940,'MTA 28-09'!A:A,0))</f>
        <v>SOB DEMANDA</v>
      </c>
      <c r="T940" s="107" t="str">
        <f t="array" ref="T940">INDEX('MTA 28-09'!W:W,MATCH(B940,'MTA 28-09'!A:A,0))</f>
        <v>SIM</v>
      </c>
      <c r="U940" s="109">
        <f t="array" ref="U940">INDEX('MTA 28-09'!AE:AE,MATCH(B940,'MTA 28-09'!A:A,0))</f>
        <v>46260</v>
      </c>
      <c r="V940" s="29"/>
      <c r="W940" s="29"/>
      <c r="X940" s="29"/>
      <c r="Y940" s="29"/>
      <c r="Z940" s="29"/>
      <c r="AA940" s="29"/>
      <c r="AB940" s="29"/>
      <c r="AC940" s="29"/>
      <c r="AD940" s="29"/>
      <c r="AE940" s="29"/>
      <c r="AF940" s="29"/>
      <c r="AG940" s="29"/>
      <c r="AH940" s="29"/>
      <c r="AI940" s="29"/>
      <c r="AJ940" s="29"/>
      <c r="AK940" s="29"/>
      <c r="AL940" s="29"/>
      <c r="AM940" s="29"/>
    </row>
    <row r="941">
      <c r="A941" s="31" t="s">
        <v>45</v>
      </c>
      <c r="B941" s="32">
        <v>25960.0</v>
      </c>
      <c r="C941" s="33" t="str">
        <f t="array" ref="C941">INDEX('MTA 28-09'!B:B,MATCH(B941,'MTA 28-09'!A:A,0))</f>
        <v>SIM</v>
      </c>
      <c r="D941" s="34" t="str">
        <f t="array" ref="D941">INDEX('MTA 28-09'!D:D,MATCH(B941,'MTA 28-09'!A:A,0))</f>
        <v>RAP</v>
      </c>
      <c r="E941" s="32" t="str">
        <f t="array" ref="E941">INDEX('MTA 28-09'!F:F,MATCH(B941,'MTA 28-09'!A:A,0))</f>
        <v>PROCESSADO</v>
      </c>
      <c r="F941" s="35" t="str">
        <f t="array" ref="F941">INDEX('MTA 28-09'!I:I,MATCH(B941,'MTA 28-09'!A:A,0))</f>
        <v/>
      </c>
      <c r="G941" s="36" t="str">
        <f t="array" ref="G941">INDEX('MTA 28-09'!J:J,MATCH(B941,'MTA 28-09'!A:A,0))</f>
        <v/>
      </c>
      <c r="H941" s="287" t="s">
        <v>157</v>
      </c>
      <c r="I941" s="295"/>
      <c r="J941" s="39"/>
      <c r="K941" s="40"/>
      <c r="L941" s="39" t="str">
        <f t="array" ref="L941">INDEX('MTA 28-09'!S:S,MATCH(B941,'MTA 28-09'!A:A,0))</f>
        <v>C-98</v>
      </c>
      <c r="M941" s="32" t="str">
        <f t="array" ref="M941">INDEX('MTA 28-09'!T:T,MATCH(B941,'MTA 28-09'!A:A,0))</f>
        <v>CNT 031/CELOG-PAMASP/2022 - PW - RG</v>
      </c>
      <c r="N941" s="32" t="str">
        <f t="array" ref="N941">INDEX('MTA 28-09'!U:U,MATCH(B941,'MTA 28-09'!A:A,0))</f>
        <v>Revisão Geral PT6A-114A (2/6)</v>
      </c>
      <c r="O941" s="59">
        <f t="array" ref="O941">INDEX('MTA 28-09'!AC:AC,MATCH(B941,'MTA 28-09'!A:A,0))</f>
        <v>3800000</v>
      </c>
      <c r="P941" s="32" t="str">
        <f t="array" ref="P941">INDEX('MTA 28-09'!N:N,MATCH(B941,'MTA 28-09'!A:A,0))</f>
        <v>CELOG</v>
      </c>
      <c r="Q941" s="67" t="str">
        <f t="array" ref="Q941">INDEX('MTA 28-09'!Z:Z,MATCH(B941,'MTA 28-09'!A:A,0))</f>
        <v>339039</v>
      </c>
      <c r="R941" s="32" t="str">
        <f t="array" ref="R941">INDEX('MTA 28-09'!L:L,MATCH(B941,'MTA 28-09'!A:A,0))</f>
        <v>RAP</v>
      </c>
      <c r="S941" s="72" t="str">
        <f t="array" ref="S941">INDEX('MTA 28-09'!X:X,MATCH(B941,'MTA 28-09'!A:A,0))</f>
        <v>SOB DEMANDA</v>
      </c>
      <c r="T941" s="72" t="str">
        <f t="array" ref="T941">INDEX('MTA 28-09'!W:W,MATCH(B941,'MTA 28-09'!A:A,0))</f>
        <v>SIM</v>
      </c>
      <c r="U941" s="81">
        <f t="array" ref="U941">INDEX('MTA 28-09'!AE:AE,MATCH(B941,'MTA 28-09'!A:A,0))</f>
        <v>46260</v>
      </c>
      <c r="V941" s="12"/>
      <c r="W941" s="12"/>
      <c r="X941" s="12"/>
      <c r="Y941" s="12"/>
      <c r="Z941" s="12"/>
      <c r="AA941" s="12"/>
      <c r="AB941" s="12"/>
      <c r="AC941" s="12"/>
      <c r="AD941" s="12"/>
      <c r="AE941" s="12"/>
      <c r="AF941" s="12"/>
      <c r="AG941" s="12"/>
      <c r="AH941" s="12"/>
      <c r="AI941" s="12"/>
      <c r="AJ941" s="12"/>
      <c r="AK941" s="12"/>
      <c r="AL941" s="12"/>
      <c r="AM941" s="12"/>
    </row>
    <row r="942">
      <c r="A942" s="88" t="s">
        <v>49</v>
      </c>
      <c r="B942" s="98">
        <v>25980.0</v>
      </c>
      <c r="C942" s="92" t="str">
        <f t="array" ref="C942">INDEX('MTA 28-09'!B:B,MATCH(B942,'MTA 28-09'!A:A,0))</f>
        <v>SIM</v>
      </c>
      <c r="D942" s="95" t="str">
        <f t="array" ref="D942">INDEX('MTA 28-09'!D:D,MATCH(B942,'MTA 28-09'!A:A,0))</f>
        <v>RAP</v>
      </c>
      <c r="E942" s="98" t="str">
        <f t="array" ref="E942">INDEX('MTA 28-09'!F:F,MATCH(B942,'MTA 28-09'!A:A,0))</f>
        <v>PROCESSADO</v>
      </c>
      <c r="F942" s="99" t="str">
        <f t="array" ref="F942">INDEX('MTA 28-09'!I:I,MATCH(B942,'MTA 28-09'!A:A,0))</f>
        <v/>
      </c>
      <c r="G942" s="100" t="str">
        <f t="array" ref="G942">INDEX('MTA 28-09'!J:J,MATCH(B942,'MTA 28-09'!A:A,0))</f>
        <v/>
      </c>
      <c r="H942" s="159" t="s">
        <v>157</v>
      </c>
      <c r="I942" s="296"/>
      <c r="J942" s="102"/>
      <c r="K942" s="103"/>
      <c r="L942" s="102" t="str">
        <f t="array" ref="L942">INDEX('MTA 28-09'!S:S,MATCH(B942,'MTA 28-09'!A:A,0))</f>
        <v>IU-93M</v>
      </c>
      <c r="M942" s="98" t="str">
        <f t="array" ref="M942">INDEX('MTA 28-09'!T:T,MATCH(B942,'MTA 28-09'!A:A,0))</f>
        <v>CNT 024/CELOG-PAMALS/2022 - VEE ONE</v>
      </c>
      <c r="N942" s="98" t="str">
        <f t="array" ref="N942">INDEX('MTA 28-09'!U:U,MATCH(B942,'MTA 28-09'!A:A,0))</f>
        <v>Hora de Voo 01/12 (100HV)</v>
      </c>
      <c r="O942" s="104">
        <f t="array" ref="O942">INDEX('MTA 28-09'!AC:AC,MATCH(B942,'MTA 28-09'!A:A,0))</f>
        <v>1892821</v>
      </c>
      <c r="P942" s="98" t="str">
        <f t="array" ref="P942">INDEX('MTA 28-09'!N:N,MATCH(B942,'MTA 28-09'!A:A,0))</f>
        <v>CELOG</v>
      </c>
      <c r="Q942" s="105" t="str">
        <f t="array" ref="Q942">INDEX('MTA 28-09'!Z:Z,MATCH(B942,'MTA 28-09'!A:A,0))</f>
        <v>339039</v>
      </c>
      <c r="R942" s="98" t="str">
        <f t="array" ref="R942">INDEX('MTA 28-09'!L:L,MATCH(B942,'MTA 28-09'!A:A,0))</f>
        <v>RAP</v>
      </c>
      <c r="S942" s="107" t="str">
        <f t="array" ref="S942">INDEX('MTA 28-09'!X:X,MATCH(B942,'MTA 28-09'!A:A,0))</f>
        <v>HORA DE VOO</v>
      </c>
      <c r="T942" s="107" t="str">
        <f t="array" ref="T942">INDEX('MTA 28-09'!W:W,MATCH(B942,'MTA 28-09'!A:A,0))</f>
        <v>Não</v>
      </c>
      <c r="U942" s="109">
        <f t="array" ref="U942">INDEX('MTA 28-09'!AE:AE,MATCH(B942,'MTA 28-09'!A:A,0))</f>
        <v>46107</v>
      </c>
      <c r="V942" s="29"/>
      <c r="W942" s="29"/>
      <c r="X942" s="29"/>
      <c r="Y942" s="29"/>
      <c r="Z942" s="29"/>
      <c r="AA942" s="29"/>
      <c r="AB942" s="29"/>
      <c r="AC942" s="29"/>
      <c r="AD942" s="29"/>
      <c r="AE942" s="29"/>
      <c r="AF942" s="29"/>
      <c r="AG942" s="29"/>
      <c r="AH942" s="29"/>
      <c r="AI942" s="29"/>
      <c r="AJ942" s="29"/>
      <c r="AK942" s="29"/>
      <c r="AL942" s="29"/>
      <c r="AM942" s="29"/>
    </row>
    <row r="943">
      <c r="A943" s="31" t="s">
        <v>49</v>
      </c>
      <c r="B943" s="32">
        <v>26000.0</v>
      </c>
      <c r="C943" s="33" t="str">
        <f t="array" ref="C943">INDEX('MTA 28-09'!B:B,MATCH(B943,'MTA 28-09'!A:A,0))</f>
        <v>SIM</v>
      </c>
      <c r="D943" s="34" t="str">
        <f t="array" ref="D943">INDEX('MTA 28-09'!D:D,MATCH(B943,'MTA 28-09'!A:A,0))</f>
        <v>RAP</v>
      </c>
      <c r="E943" s="32" t="str">
        <f t="array" ref="E943">INDEX('MTA 28-09'!F:F,MATCH(B943,'MTA 28-09'!A:A,0))</f>
        <v>PROCESSADO</v>
      </c>
      <c r="F943" s="35" t="str">
        <f t="array" ref="F943">INDEX('MTA 28-09'!I:I,MATCH(B943,'MTA 28-09'!A:A,0))</f>
        <v/>
      </c>
      <c r="G943" s="36" t="str">
        <f t="array" ref="G943">INDEX('MTA 28-09'!J:J,MATCH(B943,'MTA 28-09'!A:A,0))</f>
        <v/>
      </c>
      <c r="H943" s="287" t="s">
        <v>157</v>
      </c>
      <c r="I943" s="295"/>
      <c r="J943" s="39"/>
      <c r="K943" s="40"/>
      <c r="L943" s="39" t="str">
        <f t="array" ref="L943">INDEX('MTA 28-09'!S:S,MATCH(B943,'MTA 28-09'!A:A,0))</f>
        <v>IU-93M</v>
      </c>
      <c r="M943" s="32" t="str">
        <f t="array" ref="M943">INDEX('MTA 28-09'!T:T,MATCH(B943,'MTA 28-09'!A:A,0))</f>
        <v>CNT 024/CELOG-PAMALS/2022 - VEE ONE</v>
      </c>
      <c r="N943" s="32" t="str">
        <f t="array" ref="N943">INDEX('MTA 28-09'!U:U,MATCH(B943,'MTA 28-09'!A:A,0))</f>
        <v>Hora de Voo 02/12 (100HV)</v>
      </c>
      <c r="O943" s="59">
        <f t="array" ref="O943">INDEX('MTA 28-09'!AC:AC,MATCH(B943,'MTA 28-09'!A:A,0))</f>
        <v>1482179</v>
      </c>
      <c r="P943" s="32" t="str">
        <f t="array" ref="P943">INDEX('MTA 28-09'!N:N,MATCH(B943,'MTA 28-09'!A:A,0))</f>
        <v>CELOG</v>
      </c>
      <c r="Q943" s="67" t="str">
        <f t="array" ref="Q943">INDEX('MTA 28-09'!Z:Z,MATCH(B943,'MTA 28-09'!A:A,0))</f>
        <v>339039</v>
      </c>
      <c r="R943" s="32" t="str">
        <f t="array" ref="R943">INDEX('MTA 28-09'!L:L,MATCH(B943,'MTA 28-09'!A:A,0))</f>
        <v>RAP</v>
      </c>
      <c r="S943" s="72" t="str">
        <f t="array" ref="S943">INDEX('MTA 28-09'!X:X,MATCH(B943,'MTA 28-09'!A:A,0))</f>
        <v>HORA DE VOO</v>
      </c>
      <c r="T943" s="72" t="str">
        <f t="array" ref="T943">INDEX('MTA 28-09'!W:W,MATCH(B943,'MTA 28-09'!A:A,0))</f>
        <v>Não</v>
      </c>
      <c r="U943" s="81">
        <f t="array" ref="U943">INDEX('MTA 28-09'!AE:AE,MATCH(B943,'MTA 28-09'!A:A,0))</f>
        <v>46138</v>
      </c>
      <c r="V943" s="12"/>
      <c r="W943" s="12"/>
      <c r="X943" s="12"/>
      <c r="Y943" s="12"/>
      <c r="Z943" s="12"/>
      <c r="AA943" s="12"/>
      <c r="AB943" s="12"/>
      <c r="AC943" s="12"/>
      <c r="AD943" s="12"/>
      <c r="AE943" s="12"/>
      <c r="AF943" s="12"/>
      <c r="AG943" s="12"/>
      <c r="AH943" s="12"/>
      <c r="AI943" s="12"/>
      <c r="AJ943" s="12"/>
      <c r="AK943" s="12"/>
      <c r="AL943" s="12"/>
      <c r="AM943" s="12"/>
    </row>
    <row r="944">
      <c r="A944" s="88" t="s">
        <v>46</v>
      </c>
      <c r="B944" s="98">
        <v>26020.0</v>
      </c>
      <c r="C944" s="92" t="str">
        <f t="array" ref="C944">INDEX('MTA 28-09'!B:B,MATCH(B944,'MTA 28-09'!A:A,0))</f>
        <v>SIM</v>
      </c>
      <c r="D944" s="95" t="str">
        <f t="array" ref="D944">INDEX('MTA 28-09'!D:D,MATCH(B944,'MTA 28-09'!A:A,0))</f>
        <v>RAP</v>
      </c>
      <c r="E944" s="98" t="str">
        <f t="array" ref="E944">INDEX('MTA 28-09'!F:F,MATCH(B944,'MTA 28-09'!A:A,0))</f>
        <v>PROCESSADO</v>
      </c>
      <c r="F944" s="99" t="str">
        <f t="array" ref="F944">INDEX('MTA 28-09'!I:I,MATCH(B944,'MTA 28-09'!A:A,0))</f>
        <v/>
      </c>
      <c r="G944" s="100" t="str">
        <f t="array" ref="G944">INDEX('MTA 28-09'!J:J,MATCH(B944,'MTA 28-09'!A:A,0))</f>
        <v/>
      </c>
      <c r="H944" s="159" t="s">
        <v>157</v>
      </c>
      <c r="I944" s="296"/>
      <c r="J944" s="102"/>
      <c r="K944" s="103"/>
      <c r="L944" s="102" t="str">
        <f t="array" ref="L944">INDEX('MTA 28-09'!S:S,MATCH(B944,'MTA 28-09'!A:A,0))</f>
        <v>T-27</v>
      </c>
      <c r="M944" s="98" t="str">
        <f t="array" ref="M944">INDEX('MTA 28-09'!T:T,MATCH(B944,'MTA 28-09'!A:A,0))</f>
        <v>CNT 031/CELOG-PAMASP/2022 - PW - RG</v>
      </c>
      <c r="N944" s="98" t="str">
        <f t="array" ref="N944">INDEX('MTA 28-09'!U:U,MATCH(B944,'MTA 28-09'!A:A,0))</f>
        <v>Revisão Geral PT6A-25C (1/5)</v>
      </c>
      <c r="O944" s="104">
        <f t="array" ref="O944">INDEX('MTA 28-09'!AC:AC,MATCH(B944,'MTA 28-09'!A:A,0))</f>
        <v>4800000</v>
      </c>
      <c r="P944" s="98" t="str">
        <f t="array" ref="P944">INDEX('MTA 28-09'!N:N,MATCH(B944,'MTA 28-09'!A:A,0))</f>
        <v>CELOG</v>
      </c>
      <c r="Q944" s="105" t="str">
        <f t="array" ref="Q944">INDEX('MTA 28-09'!Z:Z,MATCH(B944,'MTA 28-09'!A:A,0))</f>
        <v>339039</v>
      </c>
      <c r="R944" s="98" t="str">
        <f t="array" ref="R944">INDEX('MTA 28-09'!L:L,MATCH(B944,'MTA 28-09'!A:A,0))</f>
        <v>RAP</v>
      </c>
      <c r="S944" s="107" t="str">
        <f t="array" ref="S944">INDEX('MTA 28-09'!X:X,MATCH(B944,'MTA 28-09'!A:A,0))</f>
        <v>SOB DEMANDA</v>
      </c>
      <c r="T944" s="107" t="str">
        <f t="array" ref="T944">INDEX('MTA 28-09'!W:W,MATCH(B944,'MTA 28-09'!A:A,0))</f>
        <v>SIM</v>
      </c>
      <c r="U944" s="109">
        <f t="array" ref="U944">INDEX('MTA 28-09'!AE:AE,MATCH(B944,'MTA 28-09'!A:A,0))</f>
        <v>46168</v>
      </c>
      <c r="V944" s="29"/>
      <c r="W944" s="29"/>
      <c r="X944" s="29"/>
      <c r="Y944" s="29"/>
      <c r="Z944" s="29"/>
      <c r="AA944" s="29"/>
      <c r="AB944" s="29"/>
      <c r="AC944" s="29"/>
      <c r="AD944" s="29"/>
      <c r="AE944" s="29"/>
      <c r="AF944" s="29"/>
      <c r="AG944" s="29"/>
      <c r="AH944" s="29"/>
      <c r="AI944" s="29"/>
      <c r="AJ944" s="29"/>
      <c r="AK944" s="29"/>
      <c r="AL944" s="29"/>
      <c r="AM944" s="29"/>
    </row>
    <row r="945">
      <c r="A945" s="31" t="s">
        <v>44</v>
      </c>
      <c r="B945" s="32">
        <v>62900.0</v>
      </c>
      <c r="C945" s="33" t="str">
        <f t="array" ref="C945">INDEX('MTA 28-09'!B:B,MATCH(B945,'MTA 28-09'!A:A,0))</f>
        <v>SIM</v>
      </c>
      <c r="D945" s="34">
        <f t="array" ref="D945">INDEX('MTA 28-09'!D:D,MATCH(B945,'MTA 28-09'!A:A,0))</f>
        <v>2048</v>
      </c>
      <c r="E945" s="32" t="str">
        <f t="array" ref="E945">INDEX('MTA 28-09'!F:F,MATCH(B945,'MTA 28-09'!A:A,0))</f>
        <v>CANCELADO</v>
      </c>
      <c r="F945" s="35" t="str">
        <f t="array" ref="F945">INDEX('MTA 28-09'!I:I,MATCH(B945,'MTA 28-09'!A:A,0))</f>
        <v/>
      </c>
      <c r="G945" s="36" t="str">
        <f t="array" ref="G945">INDEX('MTA 28-09'!J:J,MATCH(B945,'MTA 28-09'!A:A,0))</f>
        <v/>
      </c>
      <c r="H945" s="156">
        <v>46276.0</v>
      </c>
      <c r="I945" s="157" t="s">
        <v>1628</v>
      </c>
      <c r="J945" s="39"/>
      <c r="K945" s="40"/>
      <c r="L945" s="39" t="str">
        <f t="array" ref="L945">INDEX('MTA 28-09'!S:S,MATCH(B945,'MTA 28-09'!A:A,0))</f>
        <v>C-97</v>
      </c>
      <c r="M945" s="32" t="str">
        <f t="array" ref="M945">INDEX('MTA 28-09'!T:T,MATCH(B945,'MTA 28-09'!A:A,0))</f>
        <v>CTT 096/CAE-PAMALS/2021 - CLS C-97</v>
      </c>
      <c r="N945" s="32" t="str">
        <f t="array" ref="N945">INDEX('MTA 28-09'!U:U,MATCH(B945,'MTA 28-09'!A:A,0))</f>
        <v>Hora de Voo 08/10 (500HV)</v>
      </c>
      <c r="O945" s="59" t="str">
        <f t="array" ref="O945">INDEX('MTA 28-09'!AC:AC,MATCH(B945,'MTA 28-09'!A:A,0))</f>
        <v> -</v>
      </c>
      <c r="P945" s="32" t="str">
        <f t="array" ref="P945">INDEX('MTA 28-09'!N:N,MATCH(B945,'MTA 28-09'!A:A,0))</f>
        <v>CELOG</v>
      </c>
      <c r="Q945" s="67" t="str">
        <f t="array" ref="Q945">INDEX('MTA 28-09'!Z:Z,MATCH(B945,'MTA 28-09'!A:A,0))</f>
        <v>339039</v>
      </c>
      <c r="R945" s="32" t="str">
        <f t="array" ref="R945">INDEX('MTA 28-09'!L:L,MATCH(B945,'MTA 28-09'!A:A,0))</f>
        <v>A</v>
      </c>
      <c r="S945" s="72" t="str">
        <f t="array" ref="S945">INDEX('MTA 28-09'!X:X,MATCH(B945,'MTA 28-09'!A:A,0))</f>
        <v>HORA DE VOO</v>
      </c>
      <c r="T945" s="72" t="str">
        <f t="array" ref="T945">INDEX('MTA 28-09'!W:W,MATCH(B945,'MTA 28-09'!A:A,0))</f>
        <v>Não</v>
      </c>
      <c r="U945" s="81">
        <f t="array" ref="U945">INDEX('MTA 28-09'!AE:AE,MATCH(B945,'MTA 28-09'!A:A,0))</f>
        <v>46352</v>
      </c>
      <c r="V945" s="12"/>
      <c r="W945" s="12"/>
      <c r="X945" s="12"/>
      <c r="Y945" s="12"/>
      <c r="Z945" s="12"/>
      <c r="AA945" s="12"/>
      <c r="AB945" s="12"/>
      <c r="AC945" s="12"/>
      <c r="AD945" s="12"/>
      <c r="AE945" s="12"/>
      <c r="AF945" s="12"/>
      <c r="AG945" s="12"/>
      <c r="AH945" s="12"/>
      <c r="AI945" s="12"/>
      <c r="AJ945" s="12"/>
      <c r="AK945" s="12"/>
      <c r="AL945" s="12"/>
      <c r="AM945" s="12"/>
    </row>
    <row r="946">
      <c r="A946" s="88" t="s">
        <v>44</v>
      </c>
      <c r="B946" s="98">
        <v>62920.0</v>
      </c>
      <c r="C946" s="92" t="str">
        <f t="array" ref="C946">INDEX('MTA 28-09'!B:B,MATCH(B946,'MTA 28-09'!A:A,0))</f>
        <v>NÃO</v>
      </c>
      <c r="D946" s="95" t="str">
        <f t="array" ref="D946">INDEX('MTA 28-09'!D:D,MATCH(B946,'MTA 28-09'!A:A,0))</f>
        <v/>
      </c>
      <c r="E946" s="98" t="str">
        <f t="array" ref="E946">INDEX('MTA 28-09'!F:F,MATCH(B946,'MTA 28-09'!A:A,0))</f>
        <v/>
      </c>
      <c r="F946" s="99" t="str">
        <f t="array" ref="F946">INDEX('MTA 28-09'!I:I,MATCH(B946,'MTA 28-09'!A:A,0))</f>
        <v/>
      </c>
      <c r="G946" s="100" t="str">
        <f t="array" ref="G946">INDEX('MTA 28-09'!J:J,MATCH(B946,'MTA 28-09'!A:A,0))</f>
        <v/>
      </c>
      <c r="H946" s="159" t="s">
        <v>157</v>
      </c>
      <c r="I946" s="90"/>
      <c r="J946" s="102"/>
      <c r="K946" s="103"/>
      <c r="L946" s="102" t="str">
        <f t="array" ref="L946">INDEX('MTA 28-09'!S:S,MATCH(B946,'MTA 28-09'!A:A,0))</f>
        <v>C-97</v>
      </c>
      <c r="M946" s="98" t="str">
        <f t="array" ref="M946">INDEX('MTA 28-09'!T:T,MATCH(B946,'MTA 28-09'!A:A,0))</f>
        <v>CTT 096/CAE-PAMALS/2021 - CLS C-97</v>
      </c>
      <c r="N946" s="98" t="str">
        <f t="array" ref="N946">INDEX('MTA 28-09'!U:U,MATCH(B946,'MTA 28-09'!A:A,0))</f>
        <v>Hora de Voo 09/10 (500HV)</v>
      </c>
      <c r="O946" s="104">
        <f t="array" ref="O946">INDEX('MTA 28-09'!AC:AC,MATCH(B946,'MTA 28-09'!A:A,0))</f>
        <v>2572500</v>
      </c>
      <c r="P946" s="98" t="str">
        <f t="array" ref="P946">INDEX('MTA 28-09'!N:N,MATCH(B946,'MTA 28-09'!A:A,0))</f>
        <v>CELOG</v>
      </c>
      <c r="Q946" s="105" t="str">
        <f t="array" ref="Q946">INDEX('MTA 28-09'!Z:Z,MATCH(B946,'MTA 28-09'!A:A,0))</f>
        <v>339039</v>
      </c>
      <c r="R946" s="98" t="str">
        <f t="array" ref="R946">INDEX('MTA 28-09'!L:L,MATCH(B946,'MTA 28-09'!A:A,0))</f>
        <v>B</v>
      </c>
      <c r="S946" s="107" t="str">
        <f t="array" ref="S946">INDEX('MTA 28-09'!X:X,MATCH(B946,'MTA 28-09'!A:A,0))</f>
        <v>HORA DE VOO</v>
      </c>
      <c r="T946" s="107" t="str">
        <f t="array" ref="T946">INDEX('MTA 28-09'!W:W,MATCH(B946,'MTA 28-09'!A:A,0))</f>
        <v>Não</v>
      </c>
      <c r="U946" s="109">
        <f t="array" ref="U946">INDEX('MTA 28-09'!AE:AE,MATCH(B946,'MTA 28-09'!A:A,0))</f>
        <v>46382</v>
      </c>
      <c r="V946" s="29"/>
      <c r="W946" s="29"/>
      <c r="X946" s="29"/>
      <c r="Y946" s="29"/>
      <c r="Z946" s="29"/>
      <c r="AA946" s="29"/>
      <c r="AB946" s="29"/>
      <c r="AC946" s="29"/>
      <c r="AD946" s="29"/>
      <c r="AE946" s="29"/>
      <c r="AF946" s="29"/>
      <c r="AG946" s="29"/>
      <c r="AH946" s="29"/>
      <c r="AI946" s="29"/>
      <c r="AJ946" s="29"/>
      <c r="AK946" s="29"/>
      <c r="AL946" s="29"/>
      <c r="AM946" s="29"/>
    </row>
    <row r="947">
      <c r="A947" s="31" t="s">
        <v>46</v>
      </c>
      <c r="B947" s="32">
        <v>63000.0</v>
      </c>
      <c r="C947" s="33" t="str">
        <f t="array" ref="C947">INDEX('MTA 28-09'!B:B,MATCH(B947,'MTA 28-09'!A:A,0))</f>
        <v>NÃO</v>
      </c>
      <c r="D947" s="34" t="str">
        <f t="array" ref="D947">INDEX('MTA 28-09'!D:D,MATCH(B947,'MTA 28-09'!A:A,0))</f>
        <v/>
      </c>
      <c r="E947" s="32" t="str">
        <f t="array" ref="E947">INDEX('MTA 28-09'!F:F,MATCH(B947,'MTA 28-09'!A:A,0))</f>
        <v/>
      </c>
      <c r="F947" s="35" t="str">
        <f t="array" ref="F947">INDEX('MTA 28-09'!I:I,MATCH(B947,'MTA 28-09'!A:A,0))</f>
        <v/>
      </c>
      <c r="G947" s="36" t="str">
        <f t="array" ref="G947">INDEX('MTA 28-09'!J:J,MATCH(B947,'MTA 28-09'!A:A,0))</f>
        <v/>
      </c>
      <c r="H947" s="287" t="s">
        <v>157</v>
      </c>
      <c r="I947" s="295"/>
      <c r="J947" s="39"/>
      <c r="K947" s="40"/>
      <c r="L947" s="39" t="str">
        <f t="array" ref="L947">INDEX('MTA 28-09'!S:S,MATCH(B947,'MTA 28-09'!A:A,0))</f>
        <v>T-27</v>
      </c>
      <c r="M947" s="32" t="str">
        <f t="array" ref="M947">INDEX('MTA 28-09'!T:T,MATCH(B947,'MTA 28-09'!A:A,0))</f>
        <v>CNT 005/CELOG-PAMASP/2026 - STANDARDAERO - RG</v>
      </c>
      <c r="N947" s="32" t="str">
        <f t="array" ref="N947">INDEX('MTA 28-09'!U:U,MATCH(B947,'MTA 28-09'!A:A,0))</f>
        <v>Revisão Geral PT6A-25C</v>
      </c>
      <c r="O947" s="59">
        <f t="array" ref="O947">INDEX('MTA 28-09'!AC:AC,MATCH(B947,'MTA 28-09'!A:A,0))</f>
        <v>4800000</v>
      </c>
      <c r="P947" s="32" t="str">
        <f t="array" ref="P947">INDEX('MTA 28-09'!N:N,MATCH(B947,'MTA 28-09'!A:A,0))</f>
        <v>CABW</v>
      </c>
      <c r="Q947" s="67" t="str">
        <f t="array" ref="Q947">INDEX('MTA 28-09'!Z:Z,MATCH(B947,'MTA 28-09'!A:A,0))</f>
        <v>339039</v>
      </c>
      <c r="R947" s="32" t="str">
        <f t="array" ref="R947">INDEX('MTA 28-09'!L:L,MATCH(B947,'MTA 28-09'!A:A,0))</f>
        <v>C</v>
      </c>
      <c r="S947" s="72" t="str">
        <f t="array" ref="S947">INDEX('MTA 28-09'!X:X,MATCH(B947,'MTA 28-09'!A:A,0))</f>
        <v>SOB DEMANDA</v>
      </c>
      <c r="T947" s="72" t="str">
        <f t="array" ref="T947">INDEX('MTA 28-09'!W:W,MATCH(B947,'MTA 28-09'!A:A,0))</f>
        <v>SIM</v>
      </c>
      <c r="U947" s="81">
        <f t="array" ref="U947">INDEX('MTA 28-09'!AE:AE,MATCH(B947,'MTA 28-09'!A:A,0))</f>
        <v>46291</v>
      </c>
      <c r="V947" s="12"/>
      <c r="W947" s="12"/>
      <c r="X947" s="12"/>
      <c r="Y947" s="12"/>
      <c r="Z947" s="12"/>
      <c r="AA947" s="12"/>
      <c r="AB947" s="12"/>
      <c r="AC947" s="12"/>
      <c r="AD947" s="12"/>
      <c r="AE947" s="12"/>
      <c r="AF947" s="12"/>
      <c r="AG947" s="12"/>
      <c r="AH947" s="12"/>
      <c r="AI947" s="12"/>
      <c r="AJ947" s="12"/>
      <c r="AK947" s="12"/>
      <c r="AL947" s="12"/>
      <c r="AM947" s="12"/>
    </row>
    <row r="948">
      <c r="A948" s="88" t="s">
        <v>46</v>
      </c>
      <c r="B948" s="98">
        <v>63020.0</v>
      </c>
      <c r="C948" s="92" t="str">
        <f t="array" ref="C948">INDEX('MTA 28-09'!B:B,MATCH(B948,'MTA 28-09'!A:A,0))</f>
        <v>NÃO</v>
      </c>
      <c r="D948" s="95" t="str">
        <f t="array" ref="D948">INDEX('MTA 28-09'!D:D,MATCH(B948,'MTA 28-09'!A:A,0))</f>
        <v/>
      </c>
      <c r="E948" s="98" t="str">
        <f t="array" ref="E948">INDEX('MTA 28-09'!F:F,MATCH(B948,'MTA 28-09'!A:A,0))</f>
        <v/>
      </c>
      <c r="F948" s="99" t="str">
        <f t="array" ref="F948">INDEX('MTA 28-09'!I:I,MATCH(B948,'MTA 28-09'!A:A,0))</f>
        <v/>
      </c>
      <c r="G948" s="100" t="str">
        <f t="array" ref="G948">INDEX('MTA 28-09'!J:J,MATCH(B948,'MTA 28-09'!A:A,0))</f>
        <v/>
      </c>
      <c r="H948" s="159" t="s">
        <v>157</v>
      </c>
      <c r="I948" s="296"/>
      <c r="J948" s="102"/>
      <c r="K948" s="103"/>
      <c r="L948" s="102" t="str">
        <f t="array" ref="L948">INDEX('MTA 28-09'!S:S,MATCH(B948,'MTA 28-09'!A:A,0))</f>
        <v>T-27</v>
      </c>
      <c r="M948" s="98" t="str">
        <f t="array" ref="M948">INDEX('MTA 28-09'!T:T,MATCH(B948,'MTA 28-09'!A:A,0))</f>
        <v>CNT 005/CELOG-PAMASP/2026 - STANDARDAERO - RG</v>
      </c>
      <c r="N948" s="98" t="str">
        <f t="array" ref="N948">INDEX('MTA 28-09'!U:U,MATCH(B948,'MTA 28-09'!A:A,0))</f>
        <v>Revisão Geral PT6A-25C</v>
      </c>
      <c r="O948" s="104">
        <f t="array" ref="O948">INDEX('MTA 28-09'!AC:AC,MATCH(B948,'MTA 28-09'!A:A,0))</f>
        <v>4800000</v>
      </c>
      <c r="P948" s="98" t="str">
        <f t="array" ref="P948">INDEX('MTA 28-09'!N:N,MATCH(B948,'MTA 28-09'!A:A,0))</f>
        <v>CABW</v>
      </c>
      <c r="Q948" s="105" t="str">
        <f t="array" ref="Q948">INDEX('MTA 28-09'!Z:Z,MATCH(B948,'MTA 28-09'!A:A,0))</f>
        <v>339039</v>
      </c>
      <c r="R948" s="98" t="str">
        <f t="array" ref="R948">INDEX('MTA 28-09'!L:L,MATCH(B948,'MTA 28-09'!A:A,0))</f>
        <v>C</v>
      </c>
      <c r="S948" s="107" t="str">
        <f t="array" ref="S948">INDEX('MTA 28-09'!X:X,MATCH(B948,'MTA 28-09'!A:A,0))</f>
        <v>SOB DEMANDA</v>
      </c>
      <c r="T948" s="107" t="str">
        <f t="array" ref="T948">INDEX('MTA 28-09'!W:W,MATCH(B948,'MTA 28-09'!A:A,0))</f>
        <v>SIM</v>
      </c>
      <c r="U948" s="109">
        <f t="array" ref="U948">INDEX('MTA 28-09'!AE:AE,MATCH(B948,'MTA 28-09'!A:A,0))</f>
        <v>46321</v>
      </c>
      <c r="V948" s="29"/>
      <c r="W948" s="29"/>
      <c r="X948" s="29"/>
      <c r="Y948" s="29"/>
      <c r="Z948" s="29"/>
      <c r="AA948" s="29"/>
      <c r="AB948" s="29"/>
      <c r="AC948" s="29"/>
      <c r="AD948" s="29"/>
      <c r="AE948" s="29"/>
      <c r="AF948" s="29"/>
      <c r="AG948" s="29"/>
      <c r="AH948" s="29"/>
      <c r="AI948" s="29"/>
      <c r="AJ948" s="29"/>
      <c r="AK948" s="29"/>
      <c r="AL948" s="29"/>
      <c r="AM948" s="29"/>
    </row>
    <row r="949">
      <c r="A949" s="31" t="s">
        <v>46</v>
      </c>
      <c r="B949" s="32">
        <v>63040.0</v>
      </c>
      <c r="C949" s="33" t="str">
        <f t="array" ref="C949">INDEX('MTA 28-09'!B:B,MATCH(B949,'MTA 28-09'!A:A,0))</f>
        <v>NÃO</v>
      </c>
      <c r="D949" s="34" t="str">
        <f t="array" ref="D949">INDEX('MTA 28-09'!D:D,MATCH(B949,'MTA 28-09'!A:A,0))</f>
        <v/>
      </c>
      <c r="E949" s="32" t="str">
        <f t="array" ref="E949">INDEX('MTA 28-09'!F:F,MATCH(B949,'MTA 28-09'!A:A,0))</f>
        <v/>
      </c>
      <c r="F949" s="35" t="str">
        <f t="array" ref="F949">INDEX('MTA 28-09'!I:I,MATCH(B949,'MTA 28-09'!A:A,0))</f>
        <v/>
      </c>
      <c r="G949" s="36" t="str">
        <f t="array" ref="G949">INDEX('MTA 28-09'!J:J,MATCH(B949,'MTA 28-09'!A:A,0))</f>
        <v/>
      </c>
      <c r="H949" s="287" t="s">
        <v>157</v>
      </c>
      <c r="I949" s="295"/>
      <c r="J949" s="39"/>
      <c r="K949" s="40"/>
      <c r="L949" s="39" t="str">
        <f t="array" ref="L949">INDEX('MTA 28-09'!S:S,MATCH(B949,'MTA 28-09'!A:A,0))</f>
        <v>T-27</v>
      </c>
      <c r="M949" s="32" t="str">
        <f t="array" ref="M949">INDEX('MTA 28-09'!T:T,MATCH(B949,'MTA 28-09'!A:A,0))</f>
        <v>CNT 005/CELOG-PAMASP/2026 - STANDARDAERO - RG</v>
      </c>
      <c r="N949" s="32" t="str">
        <f t="array" ref="N949">INDEX('MTA 28-09'!U:U,MATCH(B949,'MTA 28-09'!A:A,0))</f>
        <v>Revisão Geral PT6A-25C</v>
      </c>
      <c r="O949" s="59">
        <f t="array" ref="O949">INDEX('MTA 28-09'!AC:AC,MATCH(B949,'MTA 28-09'!A:A,0))</f>
        <v>4800000</v>
      </c>
      <c r="P949" s="32" t="str">
        <f t="array" ref="P949">INDEX('MTA 28-09'!N:N,MATCH(B949,'MTA 28-09'!A:A,0))</f>
        <v>CABW</v>
      </c>
      <c r="Q949" s="67" t="str">
        <f t="array" ref="Q949">INDEX('MTA 28-09'!Z:Z,MATCH(B949,'MTA 28-09'!A:A,0))</f>
        <v>339039</v>
      </c>
      <c r="R949" s="32" t="str">
        <f t="array" ref="R949">INDEX('MTA 28-09'!L:L,MATCH(B949,'MTA 28-09'!A:A,0))</f>
        <v>C</v>
      </c>
      <c r="S949" s="72" t="str">
        <f t="array" ref="S949">INDEX('MTA 28-09'!X:X,MATCH(B949,'MTA 28-09'!A:A,0))</f>
        <v>SOB DEMANDA</v>
      </c>
      <c r="T949" s="72" t="str">
        <f t="array" ref="T949">INDEX('MTA 28-09'!W:W,MATCH(B949,'MTA 28-09'!A:A,0))</f>
        <v>SIM</v>
      </c>
      <c r="U949" s="81">
        <f t="array" ref="U949">INDEX('MTA 28-09'!AE:AE,MATCH(B949,'MTA 28-09'!A:A,0))</f>
        <v>46352</v>
      </c>
      <c r="V949" s="12"/>
      <c r="W949" s="12"/>
      <c r="X949" s="12"/>
      <c r="Y949" s="12"/>
      <c r="Z949" s="12"/>
      <c r="AA949" s="12"/>
      <c r="AB949" s="12"/>
      <c r="AC949" s="12"/>
      <c r="AD949" s="12"/>
      <c r="AE949" s="12"/>
      <c r="AF949" s="12"/>
      <c r="AG949" s="12"/>
      <c r="AH949" s="12"/>
      <c r="AI949" s="12"/>
      <c r="AJ949" s="12"/>
      <c r="AK949" s="12"/>
      <c r="AL949" s="12"/>
      <c r="AM949" s="12"/>
    </row>
    <row r="950">
      <c r="A950" s="88" t="s">
        <v>46</v>
      </c>
      <c r="B950" s="98">
        <v>63060.0</v>
      </c>
      <c r="C950" s="92" t="str">
        <f t="array" ref="C950">INDEX('MTA 28-09'!B:B,MATCH(B950,'MTA 28-09'!A:A,0))</f>
        <v>NÃO</v>
      </c>
      <c r="D950" s="95" t="str">
        <f t="array" ref="D950">INDEX('MTA 28-09'!D:D,MATCH(B950,'MTA 28-09'!A:A,0))</f>
        <v/>
      </c>
      <c r="E950" s="98" t="str">
        <f t="array" ref="E950">INDEX('MTA 28-09'!F:F,MATCH(B950,'MTA 28-09'!A:A,0))</f>
        <v/>
      </c>
      <c r="F950" s="99" t="str">
        <f t="array" ref="F950">INDEX('MTA 28-09'!I:I,MATCH(B950,'MTA 28-09'!A:A,0))</f>
        <v/>
      </c>
      <c r="G950" s="100" t="str">
        <f t="array" ref="G950">INDEX('MTA 28-09'!J:J,MATCH(B950,'MTA 28-09'!A:A,0))</f>
        <v/>
      </c>
      <c r="H950" s="159" t="s">
        <v>157</v>
      </c>
      <c r="I950" s="296"/>
      <c r="J950" s="102"/>
      <c r="K950" s="103"/>
      <c r="L950" s="102" t="str">
        <f t="array" ref="L950">INDEX('MTA 28-09'!S:S,MATCH(B950,'MTA 28-09'!A:A,0))</f>
        <v>T-27</v>
      </c>
      <c r="M950" s="98" t="str">
        <f t="array" ref="M950">INDEX('MTA 28-09'!T:T,MATCH(B950,'MTA 28-09'!A:A,0))</f>
        <v>CNT 005/CELOG-PAMASP/2026 - STANDARDAERO - RG</v>
      </c>
      <c r="N950" s="98" t="str">
        <f t="array" ref="N950">INDEX('MTA 28-09'!U:U,MATCH(B950,'MTA 28-09'!A:A,0))</f>
        <v>Revisão Geral PT6A-25C</v>
      </c>
      <c r="O950" s="104">
        <f t="array" ref="O950">INDEX('MTA 28-09'!AC:AC,MATCH(B950,'MTA 28-09'!A:A,0))</f>
        <v>4800000</v>
      </c>
      <c r="P950" s="98" t="str">
        <f t="array" ref="P950">INDEX('MTA 28-09'!N:N,MATCH(B950,'MTA 28-09'!A:A,0))</f>
        <v>CABW</v>
      </c>
      <c r="Q950" s="105" t="str">
        <f t="array" ref="Q950">INDEX('MTA 28-09'!Z:Z,MATCH(B950,'MTA 28-09'!A:A,0))</f>
        <v>339039</v>
      </c>
      <c r="R950" s="98" t="str">
        <f t="array" ref="R950">INDEX('MTA 28-09'!L:L,MATCH(B950,'MTA 28-09'!A:A,0))</f>
        <v>C</v>
      </c>
      <c r="S950" s="107" t="str">
        <f t="array" ref="S950">INDEX('MTA 28-09'!X:X,MATCH(B950,'MTA 28-09'!A:A,0))</f>
        <v>SOB DEMANDA</v>
      </c>
      <c r="T950" s="107" t="str">
        <f t="array" ref="T950">INDEX('MTA 28-09'!W:W,MATCH(B950,'MTA 28-09'!A:A,0))</f>
        <v>SIM</v>
      </c>
      <c r="U950" s="109">
        <f t="array" ref="U950">INDEX('MTA 28-09'!AE:AE,MATCH(B950,'MTA 28-09'!A:A,0))</f>
        <v>46382</v>
      </c>
      <c r="V950" s="29"/>
      <c r="W950" s="29"/>
      <c r="X950" s="29"/>
      <c r="Y950" s="29"/>
      <c r="Z950" s="29"/>
      <c r="AA950" s="29"/>
      <c r="AB950" s="29"/>
      <c r="AC950" s="29"/>
      <c r="AD950" s="29"/>
      <c r="AE950" s="29"/>
      <c r="AF950" s="29"/>
      <c r="AG950" s="29"/>
      <c r="AH950" s="29"/>
      <c r="AI950" s="29"/>
      <c r="AJ950" s="29"/>
      <c r="AK950" s="29"/>
      <c r="AL950" s="29"/>
      <c r="AM950" s="29"/>
    </row>
    <row r="951">
      <c r="A951" s="31" t="s">
        <v>46</v>
      </c>
      <c r="B951" s="32">
        <v>63080.0</v>
      </c>
      <c r="C951" s="33" t="str">
        <f t="array" ref="C951">INDEX('MTA 28-09'!B:B,MATCH(B951,'MTA 28-09'!A:A,0))</f>
        <v>NÃO</v>
      </c>
      <c r="D951" s="34" t="str">
        <f t="array" ref="D951">INDEX('MTA 28-09'!D:D,MATCH(B951,'MTA 28-09'!A:A,0))</f>
        <v/>
      </c>
      <c r="E951" s="32" t="str">
        <f t="array" ref="E951">INDEX('MTA 28-09'!F:F,MATCH(B951,'MTA 28-09'!A:A,0))</f>
        <v/>
      </c>
      <c r="F951" s="35" t="str">
        <f t="array" ref="F951">INDEX('MTA 28-09'!I:I,MATCH(B951,'MTA 28-09'!A:A,0))</f>
        <v/>
      </c>
      <c r="G951" s="36" t="str">
        <f t="array" ref="G951">INDEX('MTA 28-09'!J:J,MATCH(B951,'MTA 28-09'!A:A,0))</f>
        <v/>
      </c>
      <c r="H951" s="287" t="s">
        <v>157</v>
      </c>
      <c r="I951" s="295"/>
      <c r="J951" s="39"/>
      <c r="K951" s="40"/>
      <c r="L951" s="39" t="str">
        <f t="array" ref="L951">INDEX('MTA 28-09'!S:S,MATCH(B951,'MTA 28-09'!A:A,0))</f>
        <v>T-27</v>
      </c>
      <c r="M951" s="32" t="str">
        <f t="array" ref="M951">INDEX('MTA 28-09'!T:T,MATCH(B951,'MTA 28-09'!A:A,0))</f>
        <v>CNT 005/CELOG-PAMASP/2026 - STANDARDAERO - RG</v>
      </c>
      <c r="N951" s="32" t="str">
        <f t="array" ref="N951">INDEX('MTA 28-09'!U:U,MATCH(B951,'MTA 28-09'!A:A,0))</f>
        <v>Revisão Geral PT6A-25C (5/5)</v>
      </c>
      <c r="O951" s="59">
        <f t="array" ref="O951">INDEX('MTA 28-09'!AC:AC,MATCH(B951,'MTA 28-09'!A:A,0))</f>
        <v>4800000</v>
      </c>
      <c r="P951" s="32" t="str">
        <f t="array" ref="P951">INDEX('MTA 28-09'!N:N,MATCH(B951,'MTA 28-09'!A:A,0))</f>
        <v>CABW</v>
      </c>
      <c r="Q951" s="67" t="str">
        <f t="array" ref="Q951">INDEX('MTA 28-09'!Z:Z,MATCH(B951,'MTA 28-09'!A:A,0))</f>
        <v>339039</v>
      </c>
      <c r="R951" s="32" t="str">
        <f t="array" ref="R951">INDEX('MTA 28-09'!L:L,MATCH(B951,'MTA 28-09'!A:A,0))</f>
        <v>C</v>
      </c>
      <c r="S951" s="72" t="str">
        <f t="array" ref="S951">INDEX('MTA 28-09'!X:X,MATCH(B951,'MTA 28-09'!A:A,0))</f>
        <v>SOB DEMANDA</v>
      </c>
      <c r="T951" s="72" t="str">
        <f t="array" ref="T951">INDEX('MTA 28-09'!W:W,MATCH(B951,'MTA 28-09'!A:A,0))</f>
        <v>SIM</v>
      </c>
      <c r="U951" s="81">
        <f t="array" ref="U951">INDEX('MTA 28-09'!AE:AE,MATCH(B951,'MTA 28-09'!A:A,0))</f>
        <v>46321</v>
      </c>
      <c r="V951" s="12"/>
      <c r="W951" s="12"/>
      <c r="X951" s="12"/>
      <c r="Y951" s="12"/>
      <c r="Z951" s="12"/>
      <c r="AA951" s="12"/>
      <c r="AB951" s="12"/>
      <c r="AC951" s="12"/>
      <c r="AD951" s="12"/>
      <c r="AE951" s="12"/>
      <c r="AF951" s="12"/>
      <c r="AG951" s="12"/>
      <c r="AH951" s="12"/>
      <c r="AI951" s="12"/>
      <c r="AJ951" s="12"/>
      <c r="AK951" s="12"/>
      <c r="AL951" s="12"/>
      <c r="AM951" s="12"/>
    </row>
    <row r="952">
      <c r="A952" s="88" t="s">
        <v>46</v>
      </c>
      <c r="B952" s="98">
        <v>63100.0</v>
      </c>
      <c r="C952" s="92" t="str">
        <f t="array" ref="C952">INDEX('MTA 28-09'!B:B,MATCH(B952,'MTA 28-09'!A:A,0))</f>
        <v>SIM</v>
      </c>
      <c r="D952" s="95" t="str">
        <f t="array" ref="D952">INDEX('MTA 28-09'!D:D,MATCH(B952,'MTA 28-09'!A:A,0))</f>
        <v>RAP</v>
      </c>
      <c r="E952" s="98" t="str">
        <f t="array" ref="E952">INDEX('MTA 28-09'!F:F,MATCH(B952,'MTA 28-09'!A:A,0))</f>
        <v>PROCESSADO</v>
      </c>
      <c r="F952" s="99" t="str">
        <f t="array" ref="F952">INDEX('MTA 28-09'!I:I,MATCH(B952,'MTA 28-09'!A:A,0))</f>
        <v/>
      </c>
      <c r="G952" s="100" t="str">
        <f t="array" ref="G952">INDEX('MTA 28-09'!J:J,MATCH(B952,'MTA 28-09'!A:A,0))</f>
        <v/>
      </c>
      <c r="H952" s="159" t="s">
        <v>157</v>
      </c>
      <c r="I952" s="90"/>
      <c r="J952" s="102"/>
      <c r="K952" s="103"/>
      <c r="L952" s="102" t="str">
        <f t="array" ref="L952">INDEX('MTA 28-09'!S:S,MATCH(B952,'MTA 28-09'!A:A,0))</f>
        <v>T-27</v>
      </c>
      <c r="M952" s="98" t="str">
        <f t="array" ref="M952">INDEX('MTA 28-09'!T:T,MATCH(B952,'MTA 28-09'!A:A,0))</f>
        <v>CNT 031/CELOG-PAMASP/2022 - PW - RG</v>
      </c>
      <c r="N952" s="98" t="str">
        <f t="array" ref="N952">INDEX('MTA 28-09'!U:U,MATCH(B952,'MTA 28-09'!A:A,0))</f>
        <v>Revisão Geral PT6A-25C</v>
      </c>
      <c r="O952" s="104">
        <f t="array" ref="O952">INDEX('MTA 28-09'!AC:AC,MATCH(B952,'MTA 28-09'!A:A,0))</f>
        <v>4800000</v>
      </c>
      <c r="P952" s="98" t="str">
        <f t="array" ref="P952">INDEX('MTA 28-09'!N:N,MATCH(B952,'MTA 28-09'!A:A,0))</f>
        <v>CELOG</v>
      </c>
      <c r="Q952" s="105" t="str">
        <f t="array" ref="Q952">INDEX('MTA 28-09'!Z:Z,MATCH(B952,'MTA 28-09'!A:A,0))</f>
        <v>339039</v>
      </c>
      <c r="R952" s="98" t="str">
        <f t="array" ref="R952">INDEX('MTA 28-09'!L:L,MATCH(B952,'MTA 28-09'!A:A,0))</f>
        <v>RAP</v>
      </c>
      <c r="S952" s="107" t="str">
        <f t="array" ref="S952">INDEX('MTA 28-09'!X:X,MATCH(B952,'MTA 28-09'!A:A,0))</f>
        <v>SOB DEMANDA</v>
      </c>
      <c r="T952" s="107" t="str">
        <f t="array" ref="T952">INDEX('MTA 28-09'!W:W,MATCH(B952,'MTA 28-09'!A:A,0))</f>
        <v>SIM</v>
      </c>
      <c r="U952" s="109">
        <f t="array" ref="U952">INDEX('MTA 28-09'!AE:AE,MATCH(B952,'MTA 28-09'!A:A,0))</f>
        <v>46260</v>
      </c>
      <c r="V952" s="29"/>
      <c r="W952" s="29"/>
      <c r="X952" s="29"/>
      <c r="Y952" s="29"/>
      <c r="Z952" s="29"/>
      <c r="AA952" s="29"/>
      <c r="AB952" s="29"/>
      <c r="AC952" s="29"/>
      <c r="AD952" s="29"/>
      <c r="AE952" s="29"/>
      <c r="AF952" s="29"/>
      <c r="AG952" s="29"/>
      <c r="AH952" s="29"/>
      <c r="AI952" s="29"/>
      <c r="AJ952" s="29"/>
      <c r="AK952" s="29"/>
      <c r="AL952" s="29"/>
      <c r="AM952" s="29"/>
    </row>
    <row r="953">
      <c r="A953" s="31" t="s">
        <v>45</v>
      </c>
      <c r="B953" s="32">
        <v>63120.0</v>
      </c>
      <c r="C953" s="33" t="str">
        <f t="array" ref="C953">INDEX('MTA 28-09'!B:B,MATCH(B953,'MTA 28-09'!A:A,0))</f>
        <v>NÃO</v>
      </c>
      <c r="D953" s="34" t="str">
        <f t="array" ref="D953">INDEX('MTA 28-09'!D:D,MATCH(B953,'MTA 28-09'!A:A,0))</f>
        <v/>
      </c>
      <c r="E953" s="32" t="str">
        <f t="array" ref="E953">INDEX('MTA 28-09'!F:F,MATCH(B953,'MTA 28-09'!A:A,0))</f>
        <v/>
      </c>
      <c r="F953" s="35" t="str">
        <f t="array" ref="F953">INDEX('MTA 28-09'!I:I,MATCH(B953,'MTA 28-09'!A:A,0))</f>
        <v/>
      </c>
      <c r="G953" s="36" t="str">
        <f t="array" ref="G953">INDEX('MTA 28-09'!J:J,MATCH(B953,'MTA 28-09'!A:A,0))</f>
        <v/>
      </c>
      <c r="H953" s="37" t="s">
        <v>1629</v>
      </c>
      <c r="I953" s="38" t="s">
        <v>1630</v>
      </c>
      <c r="J953" s="39"/>
      <c r="K953" s="40"/>
      <c r="L953" s="39" t="str">
        <f t="array" ref="L953">INDEX('MTA 28-09'!S:S,MATCH(B953,'MTA 28-09'!A:A,0))</f>
        <v>C-98</v>
      </c>
      <c r="M953" s="32" t="str">
        <f t="array" ref="M953">INDEX('MTA 28-09'!T:T,MATCH(B953,'MTA 28-09'!A:A,0))</f>
        <v>CNT 006/CELOG-PAMASP/2026 - PW - RG</v>
      </c>
      <c r="N953" s="32" t="str">
        <f t="array" ref="N953">INDEX('MTA 28-09'!U:U,MATCH(B953,'MTA 28-09'!A:A,0))</f>
        <v>Revisão Geral PT6A-114A</v>
      </c>
      <c r="O953" s="59">
        <f t="array" ref="O953">INDEX('MTA 28-09'!AC:AC,MATCH(B953,'MTA 28-09'!A:A,0))</f>
        <v>3800000</v>
      </c>
      <c r="P953" s="32" t="str">
        <f t="array" ref="P953">INDEX('MTA 28-09'!N:N,MATCH(B953,'MTA 28-09'!A:A,0))</f>
        <v>CELOG</v>
      </c>
      <c r="Q953" s="67" t="str">
        <f t="array" ref="Q953">INDEX('MTA 28-09'!Z:Z,MATCH(B953,'MTA 28-09'!A:A,0))</f>
        <v>339039</v>
      </c>
      <c r="R953" s="32" t="str">
        <f t="array" ref="R953">INDEX('MTA 28-09'!L:L,MATCH(B953,'MTA 28-09'!A:A,0))</f>
        <v>C</v>
      </c>
      <c r="S953" s="72" t="str">
        <f t="array" ref="S953">INDEX('MTA 28-09'!X:X,MATCH(B953,'MTA 28-09'!A:A,0))</f>
        <v>SOB DEMANDA</v>
      </c>
      <c r="T953" s="72" t="str">
        <f t="array" ref="T953">INDEX('MTA 28-09'!W:W,MATCH(B953,'MTA 28-09'!A:A,0))</f>
        <v>SIM</v>
      </c>
      <c r="U953" s="81">
        <f t="array" ref="U953">INDEX('MTA 28-09'!AE:AE,MATCH(B953,'MTA 28-09'!A:A,0))</f>
        <v>46108</v>
      </c>
      <c r="V953" s="12"/>
      <c r="W953" s="12"/>
      <c r="X953" s="12"/>
      <c r="Y953" s="12"/>
      <c r="Z953" s="12"/>
      <c r="AA953" s="12"/>
      <c r="AB953" s="12"/>
      <c r="AC953" s="12"/>
      <c r="AD953" s="12"/>
      <c r="AE953" s="12"/>
      <c r="AF953" s="12"/>
      <c r="AG953" s="12"/>
      <c r="AH953" s="12"/>
      <c r="AI953" s="12"/>
      <c r="AJ953" s="12"/>
      <c r="AK953" s="12"/>
      <c r="AL953" s="12"/>
      <c r="AM953" s="12"/>
    </row>
    <row r="954">
      <c r="A954" s="88" t="s">
        <v>45</v>
      </c>
      <c r="B954" s="98">
        <v>63140.0</v>
      </c>
      <c r="C954" s="92" t="str">
        <f t="array" ref="C954">INDEX('MTA 28-09'!B:B,MATCH(B954,'MTA 28-09'!A:A,0))</f>
        <v>SIM</v>
      </c>
      <c r="D954" s="95" t="str">
        <f t="array" ref="D954">INDEX('MTA 28-09'!D:D,MATCH(B954,'MTA 28-09'!A:A,0))</f>
        <v/>
      </c>
      <c r="E954" s="98" t="str">
        <f t="array" ref="E954">INDEX('MTA 28-09'!F:F,MATCH(B954,'MTA 28-09'!A:A,0))</f>
        <v/>
      </c>
      <c r="F954" s="99" t="str">
        <f t="array" ref="F954">INDEX('MTA 28-09'!I:I,MATCH(B954,'MTA 28-09'!A:A,0))</f>
        <v/>
      </c>
      <c r="G954" s="100" t="str">
        <f t="array" ref="G954">INDEX('MTA 28-09'!J:J,MATCH(B954,'MTA 28-09'!A:A,0))</f>
        <v/>
      </c>
      <c r="H954" s="159" t="s">
        <v>157</v>
      </c>
      <c r="I954" s="296"/>
      <c r="J954" s="102"/>
      <c r="K954" s="103"/>
      <c r="L954" s="102" t="str">
        <f t="array" ref="L954">INDEX('MTA 28-09'!S:S,MATCH(B954,'MTA 28-09'!A:A,0))</f>
        <v>C-98</v>
      </c>
      <c r="M954" s="98" t="str">
        <f t="array" ref="M954">INDEX('MTA 28-09'!T:T,MATCH(B954,'MTA 28-09'!A:A,0))</f>
        <v>CNT XXX/CABW-PAMASP/2026 - XX- Exchange</v>
      </c>
      <c r="N954" s="98" t="str">
        <f t="array" ref="N954">INDEX('MTA 28-09'!U:U,MATCH(B954,'MTA 28-09'!A:A,0))</f>
        <v>Exchange PT6A-114A</v>
      </c>
      <c r="O954" s="104">
        <f t="array" ref="O954">INDEX('MTA 28-09'!AC:AC,MATCH(B954,'MTA 28-09'!A:A,0))</f>
        <v>4394700</v>
      </c>
      <c r="P954" s="98" t="str">
        <f t="array" ref="P954">INDEX('MTA 28-09'!N:N,MATCH(B954,'MTA 28-09'!A:A,0))</f>
        <v>CABW</v>
      </c>
      <c r="Q954" s="105" t="str">
        <f t="array" ref="Q954">INDEX('MTA 28-09'!Z:Z,MATCH(B954,'MTA 28-09'!A:A,0))</f>
        <v>339030</v>
      </c>
      <c r="R954" s="98" t="str">
        <f t="array" ref="R954">INDEX('MTA 28-09'!L:L,MATCH(B954,'MTA 28-09'!A:A,0))</f>
        <v>C</v>
      </c>
      <c r="S954" s="107" t="str">
        <f t="array" ref="S954">INDEX('MTA 28-09'!X:X,MATCH(B954,'MTA 28-09'!A:A,0))</f>
        <v>SOB DEMANDA</v>
      </c>
      <c r="T954" s="107" t="str">
        <f t="array" ref="T954">INDEX('MTA 28-09'!W:W,MATCH(B954,'MTA 28-09'!A:A,0))</f>
        <v>SIM</v>
      </c>
      <c r="U954" s="109">
        <f t="array" ref="U954">INDEX('MTA 28-09'!AE:AE,MATCH(B954,'MTA 28-09'!A:A,0))</f>
        <v>46108</v>
      </c>
      <c r="V954" s="29"/>
      <c r="W954" s="29"/>
      <c r="X954" s="29"/>
      <c r="Y954" s="29"/>
      <c r="Z954" s="29"/>
      <c r="AA954" s="29"/>
      <c r="AB954" s="29"/>
      <c r="AC954" s="29"/>
      <c r="AD954" s="29"/>
      <c r="AE954" s="29"/>
      <c r="AF954" s="29"/>
      <c r="AG954" s="29"/>
      <c r="AH954" s="29"/>
      <c r="AI954" s="29"/>
      <c r="AJ954" s="29"/>
      <c r="AK954" s="29"/>
      <c r="AL954" s="29"/>
      <c r="AM954" s="29"/>
    </row>
    <row r="955">
      <c r="A955" s="31" t="s">
        <v>39</v>
      </c>
      <c r="B955" s="32">
        <v>63200.0</v>
      </c>
      <c r="C955" s="33" t="str">
        <f t="array" ref="C955">INDEX('MTA 28-09'!B:B,MATCH(B955,'MTA 28-09'!A:A,0))</f>
        <v>SIM</v>
      </c>
      <c r="D955" s="34" t="str">
        <f t="array" ref="D955">INDEX('MTA 28-09'!D:D,MATCH(B955,'MTA 28-09'!A:A,0))</f>
        <v>RAP</v>
      </c>
      <c r="E955" s="32" t="str">
        <f t="array" ref="E955">INDEX('MTA 28-09'!F:F,MATCH(B955,'MTA 28-09'!A:A,0))</f>
        <v>PROCESSADO</v>
      </c>
      <c r="F955" s="35" t="str">
        <f t="array" ref="F955">INDEX('MTA 28-09'!I:I,MATCH(B955,'MTA 28-09'!A:A,0))</f>
        <v/>
      </c>
      <c r="G955" s="36" t="str">
        <f t="array" ref="G955">INDEX('MTA 28-09'!J:J,MATCH(B955,'MTA 28-09'!A:A,0))</f>
        <v/>
      </c>
      <c r="H955" s="287" t="s">
        <v>157</v>
      </c>
      <c r="I955" s="295"/>
      <c r="J955" s="39"/>
      <c r="K955" s="40"/>
      <c r="L955" s="39" t="str">
        <f t="array" ref="L955">INDEX('MTA 28-09'!S:S,MATCH(B955,'MTA 28-09'!A:A,0))</f>
        <v>A-29</v>
      </c>
      <c r="M955" s="32" t="str">
        <f t="array" ref="M955">INDEX('MTA 28-09'!T:T,MATCH(B955,'MTA 28-09'!A:A,0))</f>
        <v>CNT 051/CELOG-PAMASP/2024 - STANDARD AERO - REVISÃO GERAL</v>
      </c>
      <c r="N955" s="32" t="str">
        <f t="array" ref="N955">INDEX('MTA 28-09'!U:U,MATCH(B955,'MTA 28-09'!A:A,0))</f>
        <v>Revisão Geral PT6A-68C 04/20</v>
      </c>
      <c r="O955" s="59">
        <f t="array" ref="O955">INDEX('MTA 28-09'!AC:AC,MATCH(B955,'MTA 28-09'!A:A,0))</f>
        <v>8000000</v>
      </c>
      <c r="P955" s="32" t="str">
        <f t="array" ref="P955">INDEX('MTA 28-09'!N:N,MATCH(B955,'MTA 28-09'!A:A,0))</f>
        <v>CABW</v>
      </c>
      <c r="Q955" s="67" t="str">
        <f t="array" ref="Q955">INDEX('MTA 28-09'!Z:Z,MATCH(B955,'MTA 28-09'!A:A,0))</f>
        <v>339039</v>
      </c>
      <c r="R955" s="32" t="str">
        <f t="array" ref="R955">INDEX('MTA 28-09'!L:L,MATCH(B955,'MTA 28-09'!A:A,0))</f>
        <v>RAP</v>
      </c>
      <c r="S955" s="72" t="str">
        <f t="array" ref="S955">INDEX('MTA 28-09'!X:X,MATCH(B955,'MTA 28-09'!A:A,0))</f>
        <v>SOB DEMANDA</v>
      </c>
      <c r="T955" s="72" t="str">
        <f t="array" ref="T955">INDEX('MTA 28-09'!W:W,MATCH(B955,'MTA 28-09'!A:A,0))</f>
        <v>SIM</v>
      </c>
      <c r="U955" s="81">
        <f t="array" ref="U955">INDEX('MTA 28-09'!AE:AE,MATCH(B955,'MTA 28-09'!A:A,0))</f>
        <v>46107</v>
      </c>
      <c r="V955" s="12"/>
      <c r="W955" s="12"/>
      <c r="X955" s="12"/>
      <c r="Y955" s="12"/>
      <c r="Z955" s="12"/>
      <c r="AA955" s="12"/>
      <c r="AB955" s="12"/>
      <c r="AC955" s="12"/>
      <c r="AD955" s="12"/>
      <c r="AE955" s="12"/>
      <c r="AF955" s="12"/>
      <c r="AG955" s="12"/>
      <c r="AH955" s="12"/>
      <c r="AI955" s="12"/>
      <c r="AJ955" s="12"/>
      <c r="AK955" s="12"/>
      <c r="AL955" s="12"/>
      <c r="AM955" s="12"/>
    </row>
    <row r="956">
      <c r="A956" s="88" t="s">
        <v>39</v>
      </c>
      <c r="B956" s="98">
        <v>63220.0</v>
      </c>
      <c r="C956" s="92" t="str">
        <f t="array" ref="C956">INDEX('MTA 28-09'!B:B,MATCH(B956,'MTA 28-09'!A:A,0))</f>
        <v>SIM</v>
      </c>
      <c r="D956" s="95" t="str">
        <f t="array" ref="D956">INDEX('MTA 28-09'!D:D,MATCH(B956,'MTA 28-09'!A:A,0))</f>
        <v>RAP</v>
      </c>
      <c r="E956" s="98" t="str">
        <f t="array" ref="E956">INDEX('MTA 28-09'!F:F,MATCH(B956,'MTA 28-09'!A:A,0))</f>
        <v>PROCESSADO</v>
      </c>
      <c r="F956" s="99" t="str">
        <f t="array" ref="F956">INDEX('MTA 28-09'!I:I,MATCH(B956,'MTA 28-09'!A:A,0))</f>
        <v/>
      </c>
      <c r="G956" s="100" t="str">
        <f t="array" ref="G956">INDEX('MTA 28-09'!J:J,MATCH(B956,'MTA 28-09'!A:A,0))</f>
        <v/>
      </c>
      <c r="H956" s="159" t="s">
        <v>157</v>
      </c>
      <c r="I956" s="296"/>
      <c r="J956" s="102"/>
      <c r="K956" s="103"/>
      <c r="L956" s="102" t="str">
        <f t="array" ref="L956">INDEX('MTA 28-09'!S:S,MATCH(B956,'MTA 28-09'!A:A,0))</f>
        <v>A-29</v>
      </c>
      <c r="M956" s="98" t="str">
        <f t="array" ref="M956">INDEX('MTA 28-09'!T:T,MATCH(B956,'MTA 28-09'!A:A,0))</f>
        <v>CNT 051/CELOG-PAMASP/2024 - STANDARD AERO - REVISÃO GERAL</v>
      </c>
      <c r="N956" s="98" t="str">
        <f t="array" ref="N956">INDEX('MTA 28-09'!U:U,MATCH(B956,'MTA 28-09'!A:A,0))</f>
        <v>Revisão Geral PT6A-68C 05/20</v>
      </c>
      <c r="O956" s="104">
        <f t="array" ref="O956">INDEX('MTA 28-09'!AC:AC,MATCH(B956,'MTA 28-09'!A:A,0))</f>
        <v>8000000</v>
      </c>
      <c r="P956" s="98" t="str">
        <f t="array" ref="P956">INDEX('MTA 28-09'!N:N,MATCH(B956,'MTA 28-09'!A:A,0))</f>
        <v>CABW</v>
      </c>
      <c r="Q956" s="105" t="str">
        <f t="array" ref="Q956">INDEX('MTA 28-09'!Z:Z,MATCH(B956,'MTA 28-09'!A:A,0))</f>
        <v>339039</v>
      </c>
      <c r="R956" s="98" t="str">
        <f t="array" ref="R956">INDEX('MTA 28-09'!L:L,MATCH(B956,'MTA 28-09'!A:A,0))</f>
        <v>RAP</v>
      </c>
      <c r="S956" s="107" t="str">
        <f t="array" ref="S956">INDEX('MTA 28-09'!X:X,MATCH(B956,'MTA 28-09'!A:A,0))</f>
        <v>SOB DEMANDA</v>
      </c>
      <c r="T956" s="107" t="str">
        <f t="array" ref="T956">INDEX('MTA 28-09'!W:W,MATCH(B956,'MTA 28-09'!A:A,0))</f>
        <v>SIM</v>
      </c>
      <c r="U956" s="109">
        <f t="array" ref="U956">INDEX('MTA 28-09'!AE:AE,MATCH(B956,'MTA 28-09'!A:A,0))</f>
        <v>46138</v>
      </c>
      <c r="V956" s="29"/>
      <c r="W956" s="29"/>
      <c r="X956" s="29"/>
      <c r="Y956" s="29"/>
      <c r="Z956" s="29"/>
      <c r="AA956" s="29"/>
      <c r="AB956" s="29"/>
      <c r="AC956" s="29"/>
      <c r="AD956" s="29"/>
      <c r="AE956" s="29"/>
      <c r="AF956" s="29"/>
      <c r="AG956" s="29"/>
      <c r="AH956" s="29"/>
      <c r="AI956" s="29"/>
      <c r="AJ956" s="29"/>
      <c r="AK956" s="29"/>
      <c r="AL956" s="29"/>
      <c r="AM956" s="29"/>
    </row>
    <row r="957">
      <c r="A957" s="31" t="s">
        <v>39</v>
      </c>
      <c r="B957" s="32">
        <v>63240.0</v>
      </c>
      <c r="C957" s="33" t="str">
        <f t="array" ref="C957">INDEX('MTA 28-09'!B:B,MATCH(B957,'MTA 28-09'!A:A,0))</f>
        <v>SIM</v>
      </c>
      <c r="D957" s="34" t="str">
        <f t="array" ref="D957">INDEX('MTA 28-09'!D:D,MATCH(B957,'MTA 28-09'!A:A,0))</f>
        <v/>
      </c>
      <c r="E957" s="32" t="str">
        <f t="array" ref="E957">INDEX('MTA 28-09'!F:F,MATCH(B957,'MTA 28-09'!A:A,0))</f>
        <v/>
      </c>
      <c r="F957" s="35" t="str">
        <f t="array" ref="F957">INDEX('MTA 28-09'!I:I,MATCH(B957,'MTA 28-09'!A:A,0))</f>
        <v/>
      </c>
      <c r="G957" s="36" t="str">
        <f t="array" ref="G957">INDEX('MTA 28-09'!J:J,MATCH(B957,'MTA 28-09'!A:A,0))</f>
        <v/>
      </c>
      <c r="H957" s="287" t="s">
        <v>157</v>
      </c>
      <c r="I957" s="295"/>
      <c r="J957" s="39"/>
      <c r="K957" s="40"/>
      <c r="L957" s="39" t="str">
        <f t="array" ref="L957">INDEX('MTA 28-09'!S:S,MATCH(B957,'MTA 28-09'!A:A,0))</f>
        <v>A-29</v>
      </c>
      <c r="M957" s="32" t="str">
        <f t="array" ref="M957">INDEX('MTA 28-09'!T:T,MATCH(B957,'MTA 28-09'!A:A,0))</f>
        <v>CNT 051/CELOG-PAMASP/2024 - STANDARD AERO - REVISÃO GERAL</v>
      </c>
      <c r="N957" s="32" t="str">
        <f t="array" ref="N957">INDEX('MTA 28-09'!U:U,MATCH(B957,'MTA 28-09'!A:A,0))</f>
        <v>Revisão Geral PT6A-68C 19/20</v>
      </c>
      <c r="O957" s="59">
        <f t="array" ref="O957">INDEX('MTA 28-09'!AC:AC,MATCH(B957,'MTA 28-09'!A:A,0))</f>
        <v>8000000</v>
      </c>
      <c r="P957" s="32" t="str">
        <f t="array" ref="P957">INDEX('MTA 28-09'!N:N,MATCH(B957,'MTA 28-09'!A:A,0))</f>
        <v>CABW</v>
      </c>
      <c r="Q957" s="67" t="str">
        <f t="array" ref="Q957">INDEX('MTA 28-09'!Z:Z,MATCH(B957,'MTA 28-09'!A:A,0))</f>
        <v>339039</v>
      </c>
      <c r="R957" s="32" t="str">
        <f t="array" ref="R957">INDEX('MTA 28-09'!L:L,MATCH(B957,'MTA 28-09'!A:A,0))</f>
        <v>C</v>
      </c>
      <c r="S957" s="72" t="str">
        <f t="array" ref="S957">INDEX('MTA 28-09'!X:X,MATCH(B957,'MTA 28-09'!A:A,0))</f>
        <v>SOB DEMANDA</v>
      </c>
      <c r="T957" s="72" t="str">
        <f t="array" ref="T957">INDEX('MTA 28-09'!W:W,MATCH(B957,'MTA 28-09'!A:A,0))</f>
        <v>SIM</v>
      </c>
      <c r="U957" s="81">
        <f t="array" ref="U957">INDEX('MTA 28-09'!AE:AE,MATCH(B957,'MTA 28-09'!A:A,0))</f>
        <v>46049</v>
      </c>
      <c r="V957" s="12"/>
      <c r="W957" s="12"/>
      <c r="X957" s="12"/>
      <c r="Y957" s="12"/>
      <c r="Z957" s="12"/>
      <c r="AA957" s="12"/>
      <c r="AB957" s="12"/>
      <c r="AC957" s="12"/>
      <c r="AD957" s="12"/>
      <c r="AE957" s="12"/>
      <c r="AF957" s="12"/>
      <c r="AG957" s="12"/>
      <c r="AH957" s="12"/>
      <c r="AI957" s="12"/>
      <c r="AJ957" s="12"/>
      <c r="AK957" s="12"/>
      <c r="AL957" s="12"/>
      <c r="AM957" s="12"/>
    </row>
    <row r="958">
      <c r="A958" s="88" t="s">
        <v>39</v>
      </c>
      <c r="B958" s="98">
        <v>63260.0</v>
      </c>
      <c r="C958" s="92" t="str">
        <f t="array" ref="C958">INDEX('MTA 28-09'!B:B,MATCH(B958,'MTA 28-09'!A:A,0))</f>
        <v>SIM</v>
      </c>
      <c r="D958" s="95" t="str">
        <f t="array" ref="D958">INDEX('MTA 28-09'!D:D,MATCH(B958,'MTA 28-09'!A:A,0))</f>
        <v/>
      </c>
      <c r="E958" s="98" t="str">
        <f t="array" ref="E958">INDEX('MTA 28-09'!F:F,MATCH(B958,'MTA 28-09'!A:A,0))</f>
        <v/>
      </c>
      <c r="F958" s="99" t="str">
        <f t="array" ref="F958">INDEX('MTA 28-09'!I:I,MATCH(B958,'MTA 28-09'!A:A,0))</f>
        <v/>
      </c>
      <c r="G958" s="100" t="str">
        <f t="array" ref="G958">INDEX('MTA 28-09'!J:J,MATCH(B958,'MTA 28-09'!A:A,0))</f>
        <v/>
      </c>
      <c r="H958" s="159" t="s">
        <v>157</v>
      </c>
      <c r="I958" s="296"/>
      <c r="J958" s="102"/>
      <c r="K958" s="103"/>
      <c r="L958" s="102" t="str">
        <f t="array" ref="L958">INDEX('MTA 28-09'!S:S,MATCH(B958,'MTA 28-09'!A:A,0))</f>
        <v>A-29</v>
      </c>
      <c r="M958" s="98" t="str">
        <f t="array" ref="M958">INDEX('MTA 28-09'!T:T,MATCH(B958,'MTA 28-09'!A:A,0))</f>
        <v>CNT 051/CELOG-PAMASP/2024 - STANDARD AERO - REVISÃO GERAL</v>
      </c>
      <c r="N958" s="98" t="str">
        <f t="array" ref="N958">INDEX('MTA 28-09'!U:U,MATCH(B958,'MTA 28-09'!A:A,0))</f>
        <v>Revisão Geral PT6A-68C 20/20</v>
      </c>
      <c r="O958" s="104">
        <f t="array" ref="O958">INDEX('MTA 28-09'!AC:AC,MATCH(B958,'MTA 28-09'!A:A,0))</f>
        <v>8000000</v>
      </c>
      <c r="P958" s="98" t="str">
        <f t="array" ref="P958">INDEX('MTA 28-09'!N:N,MATCH(B958,'MTA 28-09'!A:A,0))</f>
        <v>CABW</v>
      </c>
      <c r="Q958" s="105" t="str">
        <f t="array" ref="Q958">INDEX('MTA 28-09'!Z:Z,MATCH(B958,'MTA 28-09'!A:A,0))</f>
        <v>339039</v>
      </c>
      <c r="R958" s="98" t="str">
        <f t="array" ref="R958">INDEX('MTA 28-09'!L:L,MATCH(B958,'MTA 28-09'!A:A,0))</f>
        <v>C</v>
      </c>
      <c r="S958" s="107" t="str">
        <f t="array" ref="S958">INDEX('MTA 28-09'!X:X,MATCH(B958,'MTA 28-09'!A:A,0))</f>
        <v>SOB DEMANDA</v>
      </c>
      <c r="T958" s="107" t="str">
        <f t="array" ref="T958">INDEX('MTA 28-09'!W:W,MATCH(B958,'MTA 28-09'!A:A,0))</f>
        <v>SIM</v>
      </c>
      <c r="U958" s="109">
        <f t="array" ref="U958">INDEX('MTA 28-09'!AE:AE,MATCH(B958,'MTA 28-09'!A:A,0))</f>
        <v>46049</v>
      </c>
      <c r="V958" s="29"/>
      <c r="W958" s="29"/>
      <c r="X958" s="29"/>
      <c r="Y958" s="29"/>
      <c r="Z958" s="29"/>
      <c r="AA958" s="29"/>
      <c r="AB958" s="29"/>
      <c r="AC958" s="29"/>
      <c r="AD958" s="29"/>
      <c r="AE958" s="29"/>
      <c r="AF958" s="29"/>
      <c r="AG958" s="29"/>
      <c r="AH958" s="29"/>
      <c r="AI958" s="29"/>
      <c r="AJ958" s="29"/>
      <c r="AK958" s="29"/>
      <c r="AL958" s="29"/>
      <c r="AM958" s="29"/>
    </row>
    <row r="959">
      <c r="A959" s="31" t="s">
        <v>39</v>
      </c>
      <c r="B959" s="32">
        <v>63300.0</v>
      </c>
      <c r="C959" s="33" t="str">
        <f t="array" ref="C959">INDEX('MTA 28-09'!B:B,MATCH(B959,'MTA 28-09'!A:A,0))</f>
        <v>SIM</v>
      </c>
      <c r="D959" s="34">
        <f t="array" ref="D959">INDEX('MTA 28-09'!D:D,MATCH(B959,'MTA 28-09'!A:A,0))</f>
        <v>2048</v>
      </c>
      <c r="E959" s="32" t="str">
        <f t="array" ref="E959">INDEX('MTA 28-09'!F:F,MATCH(B959,'MTA 28-09'!A:A,0))</f>
        <v>ATENDIDO</v>
      </c>
      <c r="F959" s="35">
        <f t="array" ref="F959">INDEX('MTA 28-09'!I:I,MATCH(B959,'MTA 28-09'!A:A,0))</f>
        <v>46258</v>
      </c>
      <c r="G959" s="36" t="str">
        <f t="array" ref="G959">INDEX('MTA 28-09'!J:J,MATCH(B959,'MTA 28-09'!A:A,0))</f>
        <v>C26205</v>
      </c>
      <c r="H959" s="287" t="s">
        <v>157</v>
      </c>
      <c r="I959" s="295"/>
      <c r="J959" s="39"/>
      <c r="K959" s="40"/>
      <c r="L959" s="39" t="str">
        <f t="array" ref="L959">INDEX('MTA 28-09'!S:S,MATCH(B959,'MTA 28-09'!A:A,0))</f>
        <v>A-29</v>
      </c>
      <c r="M959" s="32" t="str">
        <f t="array" ref="M959">INDEX('MTA 28-09'!T:T,MATCH(B959,'MTA 28-09'!A:A,0))</f>
        <v>CNT 060/CELOG-PAMASP/2023 - PW - HSI/REPARO</v>
      </c>
      <c r="N959" s="32" t="str">
        <f t="array" ref="N959">INDEX('MTA 28-09'!U:U,MATCH(B959,'MTA 28-09'!A:A,0))</f>
        <v>HSI PT6A-68C 4/4</v>
      </c>
      <c r="O959" s="59">
        <f t="array" ref="O959">INDEX('MTA 28-09'!AC:AC,MATCH(B959,'MTA 28-09'!A:A,0))</f>
        <v>2500000</v>
      </c>
      <c r="P959" s="32" t="str">
        <f t="array" ref="P959">INDEX('MTA 28-09'!N:N,MATCH(B959,'MTA 28-09'!A:A,0))</f>
        <v>CELOG</v>
      </c>
      <c r="Q959" s="67" t="str">
        <f t="array" ref="Q959">INDEX('MTA 28-09'!Z:Z,MATCH(B959,'MTA 28-09'!A:A,0))</f>
        <v>339039</v>
      </c>
      <c r="R959" s="32" t="str">
        <f t="array" ref="R959">INDEX('MTA 28-09'!L:L,MATCH(B959,'MTA 28-09'!A:A,0))</f>
        <v>A</v>
      </c>
      <c r="S959" s="72" t="str">
        <f t="array" ref="S959">INDEX('MTA 28-09'!X:X,MATCH(B959,'MTA 28-09'!A:A,0))</f>
        <v>SOB DEMANDA</v>
      </c>
      <c r="T959" s="72" t="str">
        <f t="array" ref="T959">INDEX('MTA 28-09'!W:W,MATCH(B959,'MTA 28-09'!A:A,0))</f>
        <v>SIM</v>
      </c>
      <c r="U959" s="81">
        <f t="array" ref="U959">INDEX('MTA 28-09'!AE:AE,MATCH(B959,'MTA 28-09'!A:A,0))</f>
        <v>46382</v>
      </c>
      <c r="V959" s="12"/>
      <c r="W959" s="12"/>
      <c r="X959" s="12"/>
      <c r="Y959" s="12"/>
      <c r="Z959" s="12"/>
      <c r="AA959" s="12"/>
      <c r="AB959" s="12"/>
      <c r="AC959" s="12"/>
      <c r="AD959" s="12"/>
      <c r="AE959" s="12"/>
      <c r="AF959" s="12"/>
      <c r="AG959" s="12"/>
      <c r="AH959" s="12"/>
      <c r="AI959" s="12"/>
      <c r="AJ959" s="12"/>
      <c r="AK959" s="12"/>
      <c r="AL959" s="12"/>
      <c r="AM959" s="12"/>
    </row>
    <row r="960">
      <c r="A960" s="88" t="s">
        <v>39</v>
      </c>
      <c r="B960" s="90">
        <v>63301.0</v>
      </c>
      <c r="C960" s="92" t="str">
        <f t="array" ref="C960">INDEX('MTA 28-09'!B:B,MATCH(B960,'MTA 28-09'!A:A,0))</f>
        <v>NÃO</v>
      </c>
      <c r="D960" s="95" t="str">
        <f t="array" ref="D960">INDEX('MTA 28-09'!D:D,MATCH(B960,'MTA 28-09'!A:A,0))</f>
        <v/>
      </c>
      <c r="E960" s="98" t="str">
        <f t="array" ref="E960">INDEX('MTA 28-09'!F:F,MATCH(B960,'MTA 28-09'!A:A,0))</f>
        <v>CANCELADO</v>
      </c>
      <c r="F960" s="99" t="str">
        <f t="array" ref="F960">INDEX('MTA 28-09'!I:I,MATCH(B960,'MTA 28-09'!A:A,0))</f>
        <v/>
      </c>
      <c r="G960" s="100" t="str">
        <f t="array" ref="G960">INDEX('MTA 28-09'!J:J,MATCH(B960,'MTA 28-09'!A:A,0))</f>
        <v/>
      </c>
      <c r="H960" s="159" t="s">
        <v>157</v>
      </c>
      <c r="I960" s="296"/>
      <c r="J960" s="102"/>
      <c r="K960" s="103"/>
      <c r="L960" s="102" t="str">
        <f t="array" ref="L960">INDEX('MTA 28-09'!S:S,MATCH(B960,'MTA 28-09'!A:A,0))</f>
        <v>A-29</v>
      </c>
      <c r="M960" s="98" t="str">
        <f t="array" ref="M960">INDEX('MTA 28-09'!T:T,MATCH(B960,'MTA 28-09'!A:A,0))</f>
        <v>CNT 060/CELOG-PAMASP/2023 - PW - HSI/REPARO</v>
      </c>
      <c r="N960" s="98" t="str">
        <f t="array" ref="N960">INDEX('MTA 28-09'!U:U,MATCH(B960,'MTA 28-09'!A:A,0))</f>
        <v>HSI PT6A-68C 4/4</v>
      </c>
      <c r="O960" s="104" t="str">
        <f t="array" ref="O960">INDEX('MTA 28-09'!AC:AC,MATCH(B960,'MTA 28-09'!A:A,0))</f>
        <v> -</v>
      </c>
      <c r="P960" s="98" t="str">
        <f t="array" ref="P960">INDEX('MTA 28-09'!N:N,MATCH(B960,'MTA 28-09'!A:A,0))</f>
        <v>CELOG</v>
      </c>
      <c r="Q960" s="105" t="str">
        <f t="array" ref="Q960">INDEX('MTA 28-09'!Z:Z,MATCH(B960,'MTA 28-09'!A:A,0))</f>
        <v>339039</v>
      </c>
      <c r="R960" s="98" t="str">
        <f t="array" ref="R960">INDEX('MTA 28-09'!L:L,MATCH(B960,'MTA 28-09'!A:A,0))</f>
        <v>B</v>
      </c>
      <c r="S960" s="107" t="str">
        <f t="array" ref="S960">INDEX('MTA 28-09'!X:X,MATCH(B960,'MTA 28-09'!A:A,0))</f>
        <v>SOB DEMANDA</v>
      </c>
      <c r="T960" s="107" t="str">
        <f t="array" ref="T960">INDEX('MTA 28-09'!W:W,MATCH(B960,'MTA 28-09'!A:A,0))</f>
        <v>SIM</v>
      </c>
      <c r="U960" s="109">
        <f t="array" ref="U960">INDEX('MTA 28-09'!AE:AE,MATCH(B960,'MTA 28-09'!A:A,0))</f>
        <v>46382</v>
      </c>
      <c r="V960" s="29"/>
      <c r="W960" s="29"/>
      <c r="X960" s="29"/>
      <c r="Y960" s="29"/>
      <c r="Z960" s="29"/>
      <c r="AA960" s="29"/>
      <c r="AB960" s="29"/>
      <c r="AC960" s="29"/>
      <c r="AD960" s="29"/>
      <c r="AE960" s="29"/>
      <c r="AF960" s="29"/>
      <c r="AG960" s="29"/>
      <c r="AH960" s="29"/>
      <c r="AI960" s="29"/>
      <c r="AJ960" s="29"/>
      <c r="AK960" s="29"/>
      <c r="AL960" s="29"/>
      <c r="AM960" s="29"/>
    </row>
    <row r="961">
      <c r="A961" s="31" t="s">
        <v>39</v>
      </c>
      <c r="B961" s="32">
        <v>63320.0</v>
      </c>
      <c r="C961" s="33" t="str">
        <f t="array" ref="C961">INDEX('MTA 28-09'!B:B,MATCH(B961,'MTA 28-09'!A:A,0))</f>
        <v>SIM</v>
      </c>
      <c r="D961" s="34">
        <f t="array" ref="D961">INDEX('MTA 28-09'!D:D,MATCH(B961,'MTA 28-09'!A:A,0))</f>
        <v>2048</v>
      </c>
      <c r="E961" s="32" t="str">
        <f t="array" ref="E961">INDEX('MTA 28-09'!F:F,MATCH(B961,'MTA 28-09'!A:A,0))</f>
        <v>ATENDIDO</v>
      </c>
      <c r="F961" s="35">
        <f t="array" ref="F961">INDEX('MTA 28-09'!I:I,MATCH(B961,'MTA 28-09'!A:A,0))</f>
        <v>46099</v>
      </c>
      <c r="G961" s="36" t="str">
        <f t="array" ref="G961">INDEX('MTA 28-09'!J:J,MATCH(B961,'MTA 28-09'!A:A,0))</f>
        <v>C26169</v>
      </c>
      <c r="H961" s="287" t="s">
        <v>157</v>
      </c>
      <c r="I961" s="295"/>
      <c r="J961" s="39"/>
      <c r="K961" s="40"/>
      <c r="L961" s="39" t="str">
        <f t="array" ref="L961">INDEX('MTA 28-09'!S:S,MATCH(B961,'MTA 28-09'!A:A,0))</f>
        <v>A-29</v>
      </c>
      <c r="M961" s="32" t="str">
        <f t="array" ref="M961">INDEX('MTA 28-09'!T:T,MATCH(B961,'MTA 28-09'!A:A,0))</f>
        <v>CNT 048/CELOG-PAMASP/2022 - PW - Material</v>
      </c>
      <c r="N961" s="32" t="str">
        <f t="array" ref="N961">INDEX('MTA 28-09'!U:U,MATCH(B961,'MTA 28-09'!A:A,0))</f>
        <v>Material HSI PT6A-34 (10/10)</v>
      </c>
      <c r="O961" s="59">
        <f t="array" ref="O961">INDEX('MTA 28-09'!AC:AC,MATCH(B961,'MTA 28-09'!A:A,0))</f>
        <v>260000</v>
      </c>
      <c r="P961" s="32" t="str">
        <f t="array" ref="P961">INDEX('MTA 28-09'!N:N,MATCH(B961,'MTA 28-09'!A:A,0))</f>
        <v>CELOG</v>
      </c>
      <c r="Q961" s="67" t="str">
        <f t="array" ref="Q961">INDEX('MTA 28-09'!Z:Z,MATCH(B961,'MTA 28-09'!A:A,0))</f>
        <v>339030</v>
      </c>
      <c r="R961" s="32" t="str">
        <f t="array" ref="R961">INDEX('MTA 28-09'!L:L,MATCH(B961,'MTA 28-09'!A:A,0))</f>
        <v>A</v>
      </c>
      <c r="S961" s="72" t="str">
        <f t="array" ref="S961">INDEX('MTA 28-09'!X:X,MATCH(B961,'MTA 28-09'!A:A,0))</f>
        <v>SOB DEMANDA</v>
      </c>
      <c r="T961" s="72" t="str">
        <f t="array" ref="T961">INDEX('MTA 28-09'!W:W,MATCH(B961,'MTA 28-09'!A:A,0))</f>
        <v>SIM</v>
      </c>
      <c r="U961" s="81">
        <f t="array" ref="U961">INDEX('MTA 28-09'!AE:AE,MATCH(B961,'MTA 28-09'!A:A,0))</f>
        <v>46138</v>
      </c>
      <c r="V961" s="12"/>
      <c r="W961" s="12"/>
      <c r="X961" s="12"/>
      <c r="Y961" s="12"/>
      <c r="Z961" s="12"/>
      <c r="AA961" s="12"/>
      <c r="AB961" s="12"/>
      <c r="AC961" s="12"/>
      <c r="AD961" s="12"/>
      <c r="AE961" s="12"/>
      <c r="AF961" s="12"/>
      <c r="AG961" s="12"/>
      <c r="AH961" s="12"/>
      <c r="AI961" s="12"/>
      <c r="AJ961" s="12"/>
      <c r="AK961" s="12"/>
      <c r="AL961" s="12"/>
      <c r="AM961" s="12"/>
    </row>
    <row r="962">
      <c r="A962" s="88" t="s">
        <v>43</v>
      </c>
      <c r="B962" s="98">
        <v>63340.0</v>
      </c>
      <c r="C962" s="92" t="str">
        <f t="array" ref="C962">INDEX('MTA 28-09'!B:B,MATCH(B962,'MTA 28-09'!A:A,0))</f>
        <v>SIM</v>
      </c>
      <c r="D962" s="95">
        <f t="array" ref="D962">INDEX('MTA 28-09'!D:D,MATCH(B962,'MTA 28-09'!A:A,0))</f>
        <v>2048</v>
      </c>
      <c r="E962" s="98" t="str">
        <f t="array" ref="E962">INDEX('MTA 28-09'!F:F,MATCH(B962,'MTA 28-09'!A:A,0))</f>
        <v>ATENDIDO</v>
      </c>
      <c r="F962" s="99">
        <f t="array" ref="F962">INDEX('MTA 28-09'!I:I,MATCH(B962,'MTA 28-09'!A:A,0))</f>
        <v>46099</v>
      </c>
      <c r="G962" s="100" t="str">
        <f t="array" ref="G962">INDEX('MTA 28-09'!J:J,MATCH(B962,'MTA 28-09'!A:A,0))</f>
        <v>C26166</v>
      </c>
      <c r="H962" s="159" t="s">
        <v>157</v>
      </c>
      <c r="I962" s="296"/>
      <c r="J962" s="102"/>
      <c r="K962" s="103"/>
      <c r="L962" s="102" t="str">
        <f t="array" ref="L962">INDEX('MTA 28-09'!S:S,MATCH(B962,'MTA 28-09'!A:A,0))</f>
        <v>C-95M</v>
      </c>
      <c r="M962" s="98" t="str">
        <f t="array" ref="M962">INDEX('MTA 28-09'!T:T,MATCH(B962,'MTA 28-09'!A:A,0))</f>
        <v>CNT 048/CELOG-PAMASP/2022 - PW - Material</v>
      </c>
      <c r="N962" s="98" t="str">
        <f t="array" ref="N962">INDEX('MTA 28-09'!U:U,MATCH(B962,'MTA 28-09'!A:A,0))</f>
        <v>Material HSI PT6A-34 (3/10)</v>
      </c>
      <c r="O962" s="104">
        <f t="array" ref="O962">INDEX('MTA 28-09'!AC:AC,MATCH(B962,'MTA 28-09'!A:A,0))</f>
        <v>260000</v>
      </c>
      <c r="P962" s="98" t="str">
        <f t="array" ref="P962">INDEX('MTA 28-09'!N:N,MATCH(B962,'MTA 28-09'!A:A,0))</f>
        <v>CELOG</v>
      </c>
      <c r="Q962" s="105" t="str">
        <f t="array" ref="Q962">INDEX('MTA 28-09'!Z:Z,MATCH(B962,'MTA 28-09'!A:A,0))</f>
        <v>339030</v>
      </c>
      <c r="R962" s="98" t="str">
        <f t="array" ref="R962">INDEX('MTA 28-09'!L:L,MATCH(B962,'MTA 28-09'!A:A,0))</f>
        <v>A</v>
      </c>
      <c r="S962" s="107" t="str">
        <f t="array" ref="S962">INDEX('MTA 28-09'!X:X,MATCH(B962,'MTA 28-09'!A:A,0))</f>
        <v>SOB DEMANDA</v>
      </c>
      <c r="T962" s="107" t="str">
        <f t="array" ref="T962">INDEX('MTA 28-09'!W:W,MATCH(B962,'MTA 28-09'!A:A,0))</f>
        <v>SIM</v>
      </c>
      <c r="U962" s="109">
        <f t="array" ref="U962">INDEX('MTA 28-09'!AE:AE,MATCH(B962,'MTA 28-09'!A:A,0))</f>
        <v>46138</v>
      </c>
      <c r="V962" s="29"/>
      <c r="W962" s="29"/>
      <c r="X962" s="29"/>
      <c r="Y962" s="29"/>
      <c r="Z962" s="29"/>
      <c r="AA962" s="29"/>
      <c r="AB962" s="29"/>
      <c r="AC962" s="29"/>
      <c r="AD962" s="29"/>
      <c r="AE962" s="29"/>
      <c r="AF962" s="29"/>
      <c r="AG962" s="29"/>
      <c r="AH962" s="29"/>
      <c r="AI962" s="29"/>
      <c r="AJ962" s="29"/>
      <c r="AK962" s="29"/>
      <c r="AL962" s="29"/>
      <c r="AM962" s="29"/>
    </row>
    <row r="963">
      <c r="A963" s="31" t="s">
        <v>43</v>
      </c>
      <c r="B963" s="32">
        <v>63360.0</v>
      </c>
      <c r="C963" s="33" t="str">
        <f t="array" ref="C963">INDEX('MTA 28-09'!B:B,MATCH(B963,'MTA 28-09'!A:A,0))</f>
        <v>SIM</v>
      </c>
      <c r="D963" s="34">
        <f t="array" ref="D963">INDEX('MTA 28-09'!D:D,MATCH(B963,'MTA 28-09'!A:A,0))</f>
        <v>2048</v>
      </c>
      <c r="E963" s="32" t="str">
        <f t="array" ref="E963">INDEX('MTA 28-09'!F:F,MATCH(B963,'MTA 28-09'!A:A,0))</f>
        <v>ATENDIDO</v>
      </c>
      <c r="F963" s="35">
        <f t="array" ref="F963">INDEX('MTA 28-09'!I:I,MATCH(B963,'MTA 28-09'!A:A,0))</f>
        <v>46099</v>
      </c>
      <c r="G963" s="36" t="str">
        <f t="array" ref="G963">INDEX('MTA 28-09'!J:J,MATCH(B963,'MTA 28-09'!A:A,0))</f>
        <v>C26166</v>
      </c>
      <c r="H963" s="287" t="s">
        <v>157</v>
      </c>
      <c r="I963" s="295"/>
      <c r="J963" s="39"/>
      <c r="K963" s="40"/>
      <c r="L963" s="39" t="str">
        <f t="array" ref="L963">INDEX('MTA 28-09'!S:S,MATCH(B963,'MTA 28-09'!A:A,0))</f>
        <v>C-95M</v>
      </c>
      <c r="M963" s="32" t="str">
        <f t="array" ref="M963">INDEX('MTA 28-09'!T:T,MATCH(B963,'MTA 28-09'!A:A,0))</f>
        <v>CNT 048/CELOG-PAMASP/2022 - PW - Material</v>
      </c>
      <c r="N963" s="32" t="str">
        <f t="array" ref="N963">INDEX('MTA 28-09'!U:U,MATCH(B963,'MTA 28-09'!A:A,0))</f>
        <v>Material HSI PT6A-34 (4/10)</v>
      </c>
      <c r="O963" s="59">
        <f t="array" ref="O963">INDEX('MTA 28-09'!AC:AC,MATCH(B963,'MTA 28-09'!A:A,0))</f>
        <v>260000</v>
      </c>
      <c r="P963" s="32" t="str">
        <f t="array" ref="P963">INDEX('MTA 28-09'!N:N,MATCH(B963,'MTA 28-09'!A:A,0))</f>
        <v>CELOG</v>
      </c>
      <c r="Q963" s="67" t="str">
        <f t="array" ref="Q963">INDEX('MTA 28-09'!Z:Z,MATCH(B963,'MTA 28-09'!A:A,0))</f>
        <v>339030</v>
      </c>
      <c r="R963" s="32" t="str">
        <f t="array" ref="R963">INDEX('MTA 28-09'!L:L,MATCH(B963,'MTA 28-09'!A:A,0))</f>
        <v>A</v>
      </c>
      <c r="S963" s="72" t="str">
        <f t="array" ref="S963">INDEX('MTA 28-09'!X:X,MATCH(B963,'MTA 28-09'!A:A,0))</f>
        <v>SOB DEMANDA</v>
      </c>
      <c r="T963" s="72" t="str">
        <f t="array" ref="T963">INDEX('MTA 28-09'!W:W,MATCH(B963,'MTA 28-09'!A:A,0))</f>
        <v>SIM</v>
      </c>
      <c r="U963" s="81">
        <f t="array" ref="U963">INDEX('MTA 28-09'!AE:AE,MATCH(B963,'MTA 28-09'!A:A,0))</f>
        <v>46138</v>
      </c>
      <c r="V963" s="12"/>
      <c r="W963" s="12"/>
      <c r="X963" s="12"/>
      <c r="Y963" s="12"/>
      <c r="Z963" s="12"/>
      <c r="AA963" s="12"/>
      <c r="AB963" s="12"/>
      <c r="AC963" s="12"/>
      <c r="AD963" s="12"/>
      <c r="AE963" s="12"/>
      <c r="AF963" s="12"/>
      <c r="AG963" s="12"/>
      <c r="AH963" s="12"/>
      <c r="AI963" s="12"/>
      <c r="AJ963" s="12"/>
      <c r="AK963" s="12"/>
      <c r="AL963" s="12"/>
      <c r="AM963" s="12"/>
    </row>
    <row r="964">
      <c r="A964" s="88" t="s">
        <v>43</v>
      </c>
      <c r="B964" s="98">
        <v>63380.0</v>
      </c>
      <c r="C964" s="92" t="str">
        <f t="array" ref="C964">INDEX('MTA 28-09'!B:B,MATCH(B964,'MTA 28-09'!A:A,0))</f>
        <v>SIM</v>
      </c>
      <c r="D964" s="95">
        <f t="array" ref="D964">INDEX('MTA 28-09'!D:D,MATCH(B964,'MTA 28-09'!A:A,0))</f>
        <v>2048</v>
      </c>
      <c r="E964" s="98" t="str">
        <f t="array" ref="E964">INDEX('MTA 28-09'!F:F,MATCH(B964,'MTA 28-09'!A:A,0))</f>
        <v>ATENDIDO</v>
      </c>
      <c r="F964" s="99">
        <f t="array" ref="F964">INDEX('MTA 28-09'!I:I,MATCH(B964,'MTA 28-09'!A:A,0))</f>
        <v>46099</v>
      </c>
      <c r="G964" s="100" t="str">
        <f t="array" ref="G964">INDEX('MTA 28-09'!J:J,MATCH(B964,'MTA 28-09'!A:A,0))</f>
        <v>C26166</v>
      </c>
      <c r="H964" s="159" t="s">
        <v>157</v>
      </c>
      <c r="I964" s="296"/>
      <c r="J964" s="102"/>
      <c r="K964" s="103"/>
      <c r="L964" s="102" t="str">
        <f t="array" ref="L964">INDEX('MTA 28-09'!S:S,MATCH(B964,'MTA 28-09'!A:A,0))</f>
        <v>C-95M</v>
      </c>
      <c r="M964" s="98" t="str">
        <f t="array" ref="M964">INDEX('MTA 28-09'!T:T,MATCH(B964,'MTA 28-09'!A:A,0))</f>
        <v>CNT 048/CELOG-PAMASP/2022 - PW - Material</v>
      </c>
      <c r="N964" s="98" t="str">
        <f t="array" ref="N964">INDEX('MTA 28-09'!U:U,MATCH(B964,'MTA 28-09'!A:A,0))</f>
        <v>Material HSI PT6A-34 (5/10)</v>
      </c>
      <c r="O964" s="104">
        <f t="array" ref="O964">INDEX('MTA 28-09'!AC:AC,MATCH(B964,'MTA 28-09'!A:A,0))</f>
        <v>260000</v>
      </c>
      <c r="P964" s="98" t="str">
        <f t="array" ref="P964">INDEX('MTA 28-09'!N:N,MATCH(B964,'MTA 28-09'!A:A,0))</f>
        <v>CELOG</v>
      </c>
      <c r="Q964" s="105" t="str">
        <f t="array" ref="Q964">INDEX('MTA 28-09'!Z:Z,MATCH(B964,'MTA 28-09'!A:A,0))</f>
        <v>339030</v>
      </c>
      <c r="R964" s="98" t="str">
        <f t="array" ref="R964">INDEX('MTA 28-09'!L:L,MATCH(B964,'MTA 28-09'!A:A,0))</f>
        <v>A</v>
      </c>
      <c r="S964" s="107" t="str">
        <f t="array" ref="S964">INDEX('MTA 28-09'!X:X,MATCH(B964,'MTA 28-09'!A:A,0))</f>
        <v>SOB DEMANDA</v>
      </c>
      <c r="T964" s="107" t="str">
        <f t="array" ref="T964">INDEX('MTA 28-09'!W:W,MATCH(B964,'MTA 28-09'!A:A,0))</f>
        <v>SIM</v>
      </c>
      <c r="U964" s="422">
        <f t="array" ref="U964">INDEX('MTA 28-09'!AE:AE,MATCH(B964,'MTA 28-09'!A:A,0))</f>
        <v>46138</v>
      </c>
      <c r="V964" s="29"/>
      <c r="W964" s="29"/>
      <c r="X964" s="29"/>
      <c r="Y964" s="29"/>
      <c r="Z964" s="29"/>
      <c r="AA964" s="29"/>
      <c r="AB964" s="29"/>
      <c r="AC964" s="29"/>
      <c r="AD964" s="29"/>
      <c r="AE964" s="29"/>
      <c r="AF964" s="29"/>
      <c r="AG964" s="29"/>
      <c r="AH964" s="29"/>
      <c r="AI964" s="29"/>
      <c r="AJ964" s="29"/>
      <c r="AK964" s="29"/>
      <c r="AL964" s="29"/>
      <c r="AM964" s="29"/>
    </row>
    <row r="965">
      <c r="A965" s="31" t="s">
        <v>43</v>
      </c>
      <c r="B965" s="32">
        <v>63400.0</v>
      </c>
      <c r="C965" s="33" t="str">
        <f t="array" ref="C965">INDEX('MTA 28-09'!B:B,MATCH(B965,'MTA 28-09'!A:A,0))</f>
        <v>SIM</v>
      </c>
      <c r="D965" s="34">
        <f t="array" ref="D965">INDEX('MTA 28-09'!D:D,MATCH(B965,'MTA 28-09'!A:A,0))</f>
        <v>2048</v>
      </c>
      <c r="E965" s="32" t="str">
        <f t="array" ref="E965">INDEX('MTA 28-09'!F:F,MATCH(B965,'MTA 28-09'!A:A,0))</f>
        <v>ATENDIDO</v>
      </c>
      <c r="F965" s="35">
        <f t="array" ref="F965">INDEX('MTA 28-09'!I:I,MATCH(B965,'MTA 28-09'!A:A,0))</f>
        <v>46099</v>
      </c>
      <c r="G965" s="36" t="str">
        <f t="array" ref="G965">INDEX('MTA 28-09'!J:J,MATCH(B965,'MTA 28-09'!A:A,0))</f>
        <v>C26166</v>
      </c>
      <c r="H965" s="287" t="s">
        <v>157</v>
      </c>
      <c r="I965" s="295"/>
      <c r="J965" s="39"/>
      <c r="K965" s="40"/>
      <c r="L965" s="39" t="str">
        <f t="array" ref="L965">INDEX('MTA 28-09'!S:S,MATCH(B965,'MTA 28-09'!A:A,0))</f>
        <v>C-95M</v>
      </c>
      <c r="M965" s="32" t="str">
        <f t="array" ref="M965">INDEX('MTA 28-09'!T:T,MATCH(B965,'MTA 28-09'!A:A,0))</f>
        <v>CNT 048/CELOG-PAMASP/2022 - PW - Material</v>
      </c>
      <c r="N965" s="32" t="str">
        <f t="array" ref="N965">INDEX('MTA 28-09'!U:U,MATCH(B965,'MTA 28-09'!A:A,0))</f>
        <v>Material HSI PT6A-34 (6/10)</v>
      </c>
      <c r="O965" s="59">
        <f t="array" ref="O965">INDEX('MTA 28-09'!AC:AC,MATCH(B965,'MTA 28-09'!A:A,0))</f>
        <v>260000</v>
      </c>
      <c r="P965" s="32" t="str">
        <f t="array" ref="P965">INDEX('MTA 28-09'!N:N,MATCH(B965,'MTA 28-09'!A:A,0))</f>
        <v>CELOG</v>
      </c>
      <c r="Q965" s="67" t="str">
        <f t="array" ref="Q965">INDEX('MTA 28-09'!Z:Z,MATCH(B965,'MTA 28-09'!A:A,0))</f>
        <v>339030</v>
      </c>
      <c r="R965" s="32" t="str">
        <f t="array" ref="R965">INDEX('MTA 28-09'!L:L,MATCH(B965,'MTA 28-09'!A:A,0))</f>
        <v>A</v>
      </c>
      <c r="S965" s="72" t="str">
        <f t="array" ref="S965">INDEX('MTA 28-09'!X:X,MATCH(B965,'MTA 28-09'!A:A,0))</f>
        <v>SOB DEMANDA</v>
      </c>
      <c r="T965" s="72" t="str">
        <f t="array" ref="T965">INDEX('MTA 28-09'!W:W,MATCH(B965,'MTA 28-09'!A:A,0))</f>
        <v>SIM</v>
      </c>
      <c r="U965" s="81">
        <f t="array" ref="U965">INDEX('MTA 28-09'!AE:AE,MATCH(B965,'MTA 28-09'!A:A,0))</f>
        <v>46138</v>
      </c>
      <c r="V965" s="12"/>
      <c r="W965" s="12"/>
      <c r="X965" s="12"/>
      <c r="Y965" s="12"/>
      <c r="Z965" s="12"/>
      <c r="AA965" s="12"/>
      <c r="AB965" s="12"/>
      <c r="AC965" s="12"/>
      <c r="AD965" s="12"/>
      <c r="AE965" s="12"/>
      <c r="AF965" s="12"/>
      <c r="AG965" s="12"/>
      <c r="AH965" s="12"/>
      <c r="AI965" s="12"/>
      <c r="AJ965" s="12"/>
      <c r="AK965" s="12"/>
      <c r="AL965" s="12"/>
      <c r="AM965" s="12"/>
    </row>
    <row r="966">
      <c r="A966" s="88" t="s">
        <v>43</v>
      </c>
      <c r="B966" s="98">
        <v>63420.0</v>
      </c>
      <c r="C966" s="92" t="str">
        <f t="array" ref="C966">INDEX('MTA 28-09'!B:B,MATCH(B966,'MTA 28-09'!A:A,0))</f>
        <v>SIM</v>
      </c>
      <c r="D966" s="95">
        <f t="array" ref="D966">INDEX('MTA 28-09'!D:D,MATCH(B966,'MTA 28-09'!A:A,0))</f>
        <v>2048</v>
      </c>
      <c r="E966" s="98" t="str">
        <f t="array" ref="E966">INDEX('MTA 28-09'!F:F,MATCH(B966,'MTA 28-09'!A:A,0))</f>
        <v>ATENDIDO</v>
      </c>
      <c r="F966" s="99">
        <f t="array" ref="F966">INDEX('MTA 28-09'!I:I,MATCH(B966,'MTA 28-09'!A:A,0))</f>
        <v>46099</v>
      </c>
      <c r="G966" s="100" t="str">
        <f t="array" ref="G966">INDEX('MTA 28-09'!J:J,MATCH(B966,'MTA 28-09'!A:A,0))</f>
        <v>C26166</v>
      </c>
      <c r="H966" s="159" t="s">
        <v>157</v>
      </c>
      <c r="I966" s="296"/>
      <c r="J966" s="102"/>
      <c r="K966" s="103"/>
      <c r="L966" s="102" t="str">
        <f t="array" ref="L966">INDEX('MTA 28-09'!S:S,MATCH(B966,'MTA 28-09'!A:A,0))</f>
        <v>C-95M</v>
      </c>
      <c r="M966" s="98" t="str">
        <f t="array" ref="M966">INDEX('MTA 28-09'!T:T,MATCH(B966,'MTA 28-09'!A:A,0))</f>
        <v>CNT 048/CELOG-PAMASP/2022 - PW - Material</v>
      </c>
      <c r="N966" s="98" t="str">
        <f t="array" ref="N966">INDEX('MTA 28-09'!U:U,MATCH(B966,'MTA 28-09'!A:A,0))</f>
        <v>Material HSI PT6A-34 (7/10)</v>
      </c>
      <c r="O966" s="104">
        <f t="array" ref="O966">INDEX('MTA 28-09'!AC:AC,MATCH(B966,'MTA 28-09'!A:A,0))</f>
        <v>260000</v>
      </c>
      <c r="P966" s="98" t="str">
        <f t="array" ref="P966">INDEX('MTA 28-09'!N:N,MATCH(B966,'MTA 28-09'!A:A,0))</f>
        <v>CELOG</v>
      </c>
      <c r="Q966" s="105" t="str">
        <f t="array" ref="Q966">INDEX('MTA 28-09'!Z:Z,MATCH(B966,'MTA 28-09'!A:A,0))</f>
        <v>339030</v>
      </c>
      <c r="R966" s="98" t="str">
        <f t="array" ref="R966">INDEX('MTA 28-09'!L:L,MATCH(B966,'MTA 28-09'!A:A,0))</f>
        <v>A</v>
      </c>
      <c r="S966" s="107" t="str">
        <f t="array" ref="S966">INDEX('MTA 28-09'!X:X,MATCH(B966,'MTA 28-09'!A:A,0))</f>
        <v>SOB DEMANDA</v>
      </c>
      <c r="T966" s="107" t="str">
        <f t="array" ref="T966">INDEX('MTA 28-09'!W:W,MATCH(B966,'MTA 28-09'!A:A,0))</f>
        <v>SIM</v>
      </c>
      <c r="U966" s="109">
        <f t="array" ref="U966">INDEX('MTA 28-09'!AE:AE,MATCH(B966,'MTA 28-09'!A:A,0))</f>
        <v>46138</v>
      </c>
      <c r="V966" s="29"/>
      <c r="W966" s="29"/>
      <c r="X966" s="29"/>
      <c r="Y966" s="29"/>
      <c r="Z966" s="29"/>
      <c r="AA966" s="29"/>
      <c r="AB966" s="29"/>
      <c r="AC966" s="29"/>
      <c r="AD966" s="29"/>
      <c r="AE966" s="29"/>
      <c r="AF966" s="29"/>
      <c r="AG966" s="29"/>
      <c r="AH966" s="29"/>
      <c r="AI966" s="29"/>
      <c r="AJ966" s="29"/>
      <c r="AK966" s="29"/>
      <c r="AL966" s="29"/>
      <c r="AM966" s="29"/>
    </row>
    <row r="967">
      <c r="A967" s="31" t="s">
        <v>43</v>
      </c>
      <c r="B967" s="32">
        <v>63440.0</v>
      </c>
      <c r="C967" s="33" t="str">
        <f t="array" ref="C967">INDEX('MTA 28-09'!B:B,MATCH(B967,'MTA 28-09'!A:A,0))</f>
        <v>SIM</v>
      </c>
      <c r="D967" s="34">
        <f t="array" ref="D967">INDEX('MTA 28-09'!D:D,MATCH(B967,'MTA 28-09'!A:A,0))</f>
        <v>2048</v>
      </c>
      <c r="E967" s="32" t="str">
        <f t="array" ref="E967">INDEX('MTA 28-09'!F:F,MATCH(B967,'MTA 28-09'!A:A,0))</f>
        <v>ATENDIDO</v>
      </c>
      <c r="F967" s="35">
        <f t="array" ref="F967">INDEX('MTA 28-09'!I:I,MATCH(B967,'MTA 28-09'!A:A,0))</f>
        <v>46099</v>
      </c>
      <c r="G967" s="36" t="str">
        <f t="array" ref="G967">INDEX('MTA 28-09'!J:J,MATCH(B967,'MTA 28-09'!A:A,0))</f>
        <v>C26166</v>
      </c>
      <c r="H967" s="287" t="s">
        <v>157</v>
      </c>
      <c r="I967" s="295"/>
      <c r="J967" s="39"/>
      <c r="K967" s="40"/>
      <c r="L967" s="39" t="str">
        <f t="array" ref="L967">INDEX('MTA 28-09'!S:S,MATCH(B967,'MTA 28-09'!A:A,0))</f>
        <v>C-95M</v>
      </c>
      <c r="M967" s="32" t="str">
        <f t="array" ref="M967">INDEX('MTA 28-09'!T:T,MATCH(B967,'MTA 28-09'!A:A,0))</f>
        <v>CNT 048/CELOG-PAMASP/2022 - PW - Material</v>
      </c>
      <c r="N967" s="32" t="str">
        <f t="array" ref="N967">INDEX('MTA 28-09'!U:U,MATCH(B967,'MTA 28-09'!A:A,0))</f>
        <v>Material HSI PT6A-34 (8/10)</v>
      </c>
      <c r="O967" s="59">
        <f t="array" ref="O967">INDEX('MTA 28-09'!AC:AC,MATCH(B967,'MTA 28-09'!A:A,0))</f>
        <v>260000</v>
      </c>
      <c r="P967" s="32" t="str">
        <f t="array" ref="P967">INDEX('MTA 28-09'!N:N,MATCH(B967,'MTA 28-09'!A:A,0))</f>
        <v>CELOG</v>
      </c>
      <c r="Q967" s="67" t="str">
        <f t="array" ref="Q967">INDEX('MTA 28-09'!Z:Z,MATCH(B967,'MTA 28-09'!A:A,0))</f>
        <v>339030</v>
      </c>
      <c r="R967" s="32" t="str">
        <f t="array" ref="R967">INDEX('MTA 28-09'!L:L,MATCH(B967,'MTA 28-09'!A:A,0))</f>
        <v>A</v>
      </c>
      <c r="S967" s="72" t="str">
        <f t="array" ref="S967">INDEX('MTA 28-09'!X:X,MATCH(B967,'MTA 28-09'!A:A,0))</f>
        <v>SOB DEMANDA</v>
      </c>
      <c r="T967" s="72" t="str">
        <f t="array" ref="T967">INDEX('MTA 28-09'!W:W,MATCH(B967,'MTA 28-09'!A:A,0))</f>
        <v>SIM</v>
      </c>
      <c r="U967" s="413">
        <f t="array" ref="U967">INDEX('MTA 28-09'!AE:AE,MATCH(B967,'MTA 28-09'!A:A,0))</f>
        <v>46138</v>
      </c>
      <c r="V967" s="12"/>
      <c r="W967" s="12"/>
      <c r="X967" s="12"/>
      <c r="Y967" s="12"/>
      <c r="Z967" s="12"/>
      <c r="AA967" s="12"/>
      <c r="AB967" s="12"/>
      <c r="AC967" s="12"/>
      <c r="AD967" s="12"/>
      <c r="AE967" s="12"/>
      <c r="AF967" s="12"/>
      <c r="AG967" s="12"/>
      <c r="AH967" s="12"/>
      <c r="AI967" s="12"/>
      <c r="AJ967" s="12"/>
      <c r="AK967" s="12"/>
      <c r="AL967" s="12"/>
      <c r="AM967" s="12"/>
    </row>
    <row r="968">
      <c r="A968" s="88" t="s">
        <v>43</v>
      </c>
      <c r="B968" s="98">
        <v>63460.0</v>
      </c>
      <c r="C968" s="92" t="str">
        <f t="array" ref="C968">INDEX('MTA 28-09'!B:B,MATCH(B968,'MTA 28-09'!A:A,0))</f>
        <v>SIM</v>
      </c>
      <c r="D968" s="95">
        <f t="array" ref="D968">INDEX('MTA 28-09'!D:D,MATCH(B968,'MTA 28-09'!A:A,0))</f>
        <v>2048</v>
      </c>
      <c r="E968" s="98" t="str">
        <f t="array" ref="E968">INDEX('MTA 28-09'!F:F,MATCH(B968,'MTA 28-09'!A:A,0))</f>
        <v>ATENDIDO</v>
      </c>
      <c r="F968" s="99">
        <f t="array" ref="F968">INDEX('MTA 28-09'!I:I,MATCH(B968,'MTA 28-09'!A:A,0))</f>
        <v>46099</v>
      </c>
      <c r="G968" s="100" t="str">
        <f t="array" ref="G968">INDEX('MTA 28-09'!J:J,MATCH(B968,'MTA 28-09'!A:A,0))</f>
        <v>C26166</v>
      </c>
      <c r="H968" s="159" t="s">
        <v>157</v>
      </c>
      <c r="I968" s="296"/>
      <c r="J968" s="102"/>
      <c r="K968" s="103"/>
      <c r="L968" s="102" t="str">
        <f t="array" ref="L968">INDEX('MTA 28-09'!S:S,MATCH(B968,'MTA 28-09'!A:A,0))</f>
        <v>C-95M</v>
      </c>
      <c r="M968" s="98" t="str">
        <f t="array" ref="M968">INDEX('MTA 28-09'!T:T,MATCH(B968,'MTA 28-09'!A:A,0))</f>
        <v>CNT 048/CELOG-PAMASP/2022 - PW - Material</v>
      </c>
      <c r="N968" s="98" t="str">
        <f t="array" ref="N968">INDEX('MTA 28-09'!U:U,MATCH(B968,'MTA 28-09'!A:A,0))</f>
        <v>Material HSI PT6A-34 (9/10)</v>
      </c>
      <c r="O968" s="104">
        <f t="array" ref="O968">INDEX('MTA 28-09'!AC:AC,MATCH(B968,'MTA 28-09'!A:A,0))</f>
        <v>260000</v>
      </c>
      <c r="P968" s="98" t="str">
        <f t="array" ref="P968">INDEX('MTA 28-09'!N:N,MATCH(B968,'MTA 28-09'!A:A,0))</f>
        <v>CELOG</v>
      </c>
      <c r="Q968" s="105" t="str">
        <f t="array" ref="Q968">INDEX('MTA 28-09'!Z:Z,MATCH(B968,'MTA 28-09'!A:A,0))</f>
        <v>339030</v>
      </c>
      <c r="R968" s="98" t="str">
        <f t="array" ref="R968">INDEX('MTA 28-09'!L:L,MATCH(B968,'MTA 28-09'!A:A,0))</f>
        <v>A</v>
      </c>
      <c r="S968" s="107" t="str">
        <f t="array" ref="S968">INDEX('MTA 28-09'!X:X,MATCH(B968,'MTA 28-09'!A:A,0))</f>
        <v>SOB DEMANDA</v>
      </c>
      <c r="T968" s="107" t="str">
        <f t="array" ref="T968">INDEX('MTA 28-09'!W:W,MATCH(B968,'MTA 28-09'!A:A,0))</f>
        <v>SIM</v>
      </c>
      <c r="U968" s="422">
        <f t="array" ref="U968">INDEX('MTA 28-09'!AE:AE,MATCH(B968,'MTA 28-09'!A:A,0))</f>
        <v>46138</v>
      </c>
      <c r="V968" s="29"/>
      <c r="W968" s="29"/>
      <c r="X968" s="29"/>
      <c r="Y968" s="29"/>
      <c r="Z968" s="29"/>
      <c r="AA968" s="29"/>
      <c r="AB968" s="29"/>
      <c r="AC968" s="29"/>
      <c r="AD968" s="29"/>
      <c r="AE968" s="29"/>
      <c r="AF968" s="29"/>
      <c r="AG968" s="29"/>
      <c r="AH968" s="29"/>
      <c r="AI968" s="29"/>
      <c r="AJ968" s="29"/>
      <c r="AK968" s="29"/>
      <c r="AL968" s="29"/>
      <c r="AM968" s="29"/>
    </row>
    <row r="969">
      <c r="A969" s="31" t="s">
        <v>46</v>
      </c>
      <c r="B969" s="32">
        <v>63480.0</v>
      </c>
      <c r="C969" s="33" t="str">
        <f t="array" ref="C969">INDEX('MTA 28-09'!B:B,MATCH(B969,'MTA 28-09'!A:A,0))</f>
        <v>NÃO</v>
      </c>
      <c r="D969" s="34" t="str">
        <f t="array" ref="D969">INDEX('MTA 28-09'!D:D,MATCH(B969,'MTA 28-09'!A:A,0))</f>
        <v/>
      </c>
      <c r="E969" s="32" t="str">
        <f t="array" ref="E969">INDEX('MTA 28-09'!F:F,MATCH(B969,'MTA 28-09'!A:A,0))</f>
        <v>BLOQUEIO</v>
      </c>
      <c r="F969" s="35" t="str">
        <f t="array" ref="F969">INDEX('MTA 28-09'!I:I,MATCH(B969,'MTA 28-09'!A:A,0))</f>
        <v/>
      </c>
      <c r="G969" s="36" t="str">
        <f t="array" ref="G969">INDEX('MTA 28-09'!J:J,MATCH(B969,'MTA 28-09'!A:A,0))</f>
        <v/>
      </c>
      <c r="H969" s="287" t="s">
        <v>157</v>
      </c>
      <c r="I969" s="295"/>
      <c r="J969" s="39"/>
      <c r="K969" s="40"/>
      <c r="L969" s="39" t="str">
        <f t="array" ref="L969">INDEX('MTA 28-09'!S:S,MATCH(B969,'MTA 28-09'!A:A,0))</f>
        <v>T-27</v>
      </c>
      <c r="M969" s="32" t="str">
        <f t="array" ref="M969">INDEX('MTA 28-09'!T:T,MATCH(B969,'MTA 28-09'!A:A,0))</f>
        <v>CNT XXX/CELOG-PAMASP/2026 - XX - Material</v>
      </c>
      <c r="N969" s="32" t="str">
        <f t="array" ref="N969">INDEX('MTA 28-09'!U:U,MATCH(B969,'MTA 28-09'!A:A,0))</f>
        <v>Material HSI PT6A-25C (6/7)</v>
      </c>
      <c r="O969" s="59">
        <f t="array" ref="O969">INDEX('MTA 28-09'!AC:AC,MATCH(B969,'MTA 28-09'!A:A,0))</f>
        <v>750000</v>
      </c>
      <c r="P969" s="32" t="str">
        <f t="array" ref="P969">INDEX('MTA 28-09'!N:N,MATCH(B969,'MTA 28-09'!A:A,0))</f>
        <v>CELOG</v>
      </c>
      <c r="Q969" s="67" t="str">
        <f t="array" ref="Q969">INDEX('MTA 28-09'!Z:Z,MATCH(B969,'MTA 28-09'!A:A,0))</f>
        <v>339030</v>
      </c>
      <c r="R969" s="32" t="str">
        <f t="array" ref="R969">INDEX('MTA 28-09'!L:L,MATCH(B969,'MTA 28-09'!A:A,0))</f>
        <v>B</v>
      </c>
      <c r="S969" s="72" t="str">
        <f t="array" ref="S969">INDEX('MTA 28-09'!X:X,MATCH(B969,'MTA 28-09'!A:A,0))</f>
        <v>SOB DEMANDA</v>
      </c>
      <c r="T969" s="72" t="str">
        <f t="array" ref="T969">INDEX('MTA 28-09'!W:W,MATCH(B969,'MTA 28-09'!A:A,0))</f>
        <v>SIM</v>
      </c>
      <c r="U969" s="81">
        <f t="array" ref="U969">INDEX('MTA 28-09'!AE:AE,MATCH(B969,'MTA 28-09'!A:A,0))</f>
        <v>46382</v>
      </c>
      <c r="V969" s="12"/>
      <c r="W969" s="12"/>
      <c r="X969" s="12"/>
      <c r="Y969" s="12"/>
      <c r="Z969" s="12"/>
      <c r="AA969" s="12"/>
      <c r="AB969" s="12"/>
      <c r="AC969" s="12"/>
      <c r="AD969" s="12"/>
      <c r="AE969" s="12"/>
      <c r="AF969" s="12"/>
      <c r="AG969" s="12"/>
      <c r="AH969" s="12"/>
      <c r="AI969" s="12"/>
      <c r="AJ969" s="12"/>
      <c r="AK969" s="12"/>
      <c r="AL969" s="12"/>
      <c r="AM969" s="12"/>
    </row>
    <row r="970">
      <c r="A970" s="88" t="s">
        <v>46</v>
      </c>
      <c r="B970" s="98">
        <v>63500.0</v>
      </c>
      <c r="C970" s="92" t="str">
        <f t="array" ref="C970">INDEX('MTA 28-09'!B:B,MATCH(B970,'MTA 28-09'!A:A,0))</f>
        <v>NÃO</v>
      </c>
      <c r="D970" s="95" t="str">
        <f t="array" ref="D970">INDEX('MTA 28-09'!D:D,MATCH(B970,'MTA 28-09'!A:A,0))</f>
        <v/>
      </c>
      <c r="E970" s="98" t="str">
        <f t="array" ref="E970">INDEX('MTA 28-09'!F:F,MATCH(B970,'MTA 28-09'!A:A,0))</f>
        <v>BLOQUEIO</v>
      </c>
      <c r="F970" s="99" t="str">
        <f t="array" ref="F970">INDEX('MTA 28-09'!I:I,MATCH(B970,'MTA 28-09'!A:A,0))</f>
        <v/>
      </c>
      <c r="G970" s="100" t="str">
        <f t="array" ref="G970">INDEX('MTA 28-09'!J:J,MATCH(B970,'MTA 28-09'!A:A,0))</f>
        <v/>
      </c>
      <c r="H970" s="159" t="s">
        <v>157</v>
      </c>
      <c r="I970" s="296"/>
      <c r="J970" s="102"/>
      <c r="K970" s="103"/>
      <c r="L970" s="102" t="str">
        <f t="array" ref="L970">INDEX('MTA 28-09'!S:S,MATCH(B970,'MTA 28-09'!A:A,0))</f>
        <v>T-27</v>
      </c>
      <c r="M970" s="98" t="str">
        <f t="array" ref="M970">INDEX('MTA 28-09'!T:T,MATCH(B970,'MTA 28-09'!A:A,0))</f>
        <v>CNT XXX/CELOG-PAMASP/2026 - XX - Material</v>
      </c>
      <c r="N970" s="98" t="str">
        <f t="array" ref="N970">INDEX('MTA 28-09'!U:U,MATCH(B970,'MTA 28-09'!A:A,0))</f>
        <v>Material HSI PT6A-25C (7/7)</v>
      </c>
      <c r="O970" s="104">
        <f t="array" ref="O970">INDEX('MTA 28-09'!AC:AC,MATCH(B970,'MTA 28-09'!A:A,0))</f>
        <v>750000</v>
      </c>
      <c r="P970" s="98" t="str">
        <f t="array" ref="P970">INDEX('MTA 28-09'!N:N,MATCH(B970,'MTA 28-09'!A:A,0))</f>
        <v>CELOG</v>
      </c>
      <c r="Q970" s="105" t="str">
        <f t="array" ref="Q970">INDEX('MTA 28-09'!Z:Z,MATCH(B970,'MTA 28-09'!A:A,0))</f>
        <v>339030</v>
      </c>
      <c r="R970" s="98" t="str">
        <f t="array" ref="R970">INDEX('MTA 28-09'!L:L,MATCH(B970,'MTA 28-09'!A:A,0))</f>
        <v>B</v>
      </c>
      <c r="S970" s="107" t="str">
        <f t="array" ref="S970">INDEX('MTA 28-09'!X:X,MATCH(B970,'MTA 28-09'!A:A,0))</f>
        <v>SOB DEMANDA</v>
      </c>
      <c r="T970" s="107" t="str">
        <f t="array" ref="T970">INDEX('MTA 28-09'!W:W,MATCH(B970,'MTA 28-09'!A:A,0))</f>
        <v>SIM</v>
      </c>
      <c r="U970" s="109">
        <f t="array" ref="U970">INDEX('MTA 28-09'!AE:AE,MATCH(B970,'MTA 28-09'!A:A,0))</f>
        <v>46049</v>
      </c>
      <c r="V970" s="29"/>
      <c r="W970" s="29"/>
      <c r="X970" s="29"/>
      <c r="Y970" s="29"/>
      <c r="Z970" s="29"/>
      <c r="AA970" s="29"/>
      <c r="AB970" s="29"/>
      <c r="AC970" s="29"/>
      <c r="AD970" s="29"/>
      <c r="AE970" s="29"/>
      <c r="AF970" s="29"/>
      <c r="AG970" s="29"/>
      <c r="AH970" s="29"/>
      <c r="AI970" s="29"/>
      <c r="AJ970" s="29"/>
      <c r="AK970" s="29"/>
      <c r="AL970" s="29"/>
      <c r="AM970" s="29"/>
    </row>
    <row r="971">
      <c r="A971" s="31" t="s">
        <v>46</v>
      </c>
      <c r="B971" s="32">
        <v>63520.0</v>
      </c>
      <c r="C971" s="33" t="str">
        <f t="array" ref="C971">INDEX('MTA 28-09'!B:B,MATCH(B971,'MTA 28-09'!A:A,0))</f>
        <v>NÃO</v>
      </c>
      <c r="D971" s="34" t="str">
        <f t="array" ref="D971">INDEX('MTA 28-09'!D:D,MATCH(B971,'MTA 28-09'!A:A,0))</f>
        <v/>
      </c>
      <c r="E971" s="32" t="str">
        <f t="array" ref="E971">INDEX('MTA 28-09'!F:F,MATCH(B971,'MTA 28-09'!A:A,0))</f>
        <v>BLOQUEIO</v>
      </c>
      <c r="F971" s="35" t="str">
        <f t="array" ref="F971">INDEX('MTA 28-09'!I:I,MATCH(B971,'MTA 28-09'!A:A,0))</f>
        <v/>
      </c>
      <c r="G971" s="36" t="str">
        <f t="array" ref="G971">INDEX('MTA 28-09'!J:J,MATCH(B971,'MTA 28-09'!A:A,0))</f>
        <v/>
      </c>
      <c r="H971" s="287" t="s">
        <v>157</v>
      </c>
      <c r="I971" s="295"/>
      <c r="J971" s="39"/>
      <c r="K971" s="40"/>
      <c r="L971" s="39" t="str">
        <f t="array" ref="L971">INDEX('MTA 28-09'!S:S,MATCH(B971,'MTA 28-09'!A:A,0))</f>
        <v>T-27</v>
      </c>
      <c r="M971" s="32" t="str">
        <f t="array" ref="M971">INDEX('MTA 28-09'!T:T,MATCH(B971,'MTA 28-09'!A:A,0))</f>
        <v>CNT XXX/CELOG-PAMASP/2026 - XX - Material</v>
      </c>
      <c r="N971" s="32" t="str">
        <f t="array" ref="N971">INDEX('MTA 28-09'!U:U,MATCH(B971,'MTA 28-09'!A:A,0))</f>
        <v>Material reparo PT6A-25C (4/4)</v>
      </c>
      <c r="O971" s="59">
        <f t="array" ref="O971">INDEX('MTA 28-09'!AC:AC,MATCH(B971,'MTA 28-09'!A:A,0))</f>
        <v>750000</v>
      </c>
      <c r="P971" s="32" t="str">
        <f t="array" ref="P971">INDEX('MTA 28-09'!N:N,MATCH(B971,'MTA 28-09'!A:A,0))</f>
        <v>CELOG</v>
      </c>
      <c r="Q971" s="67" t="str">
        <f t="array" ref="Q971">INDEX('MTA 28-09'!Z:Z,MATCH(B971,'MTA 28-09'!A:A,0))</f>
        <v>339030</v>
      </c>
      <c r="R971" s="32" t="str">
        <f t="array" ref="R971">INDEX('MTA 28-09'!L:L,MATCH(B971,'MTA 28-09'!A:A,0))</f>
        <v>B</v>
      </c>
      <c r="S971" s="72" t="str">
        <f t="array" ref="S971">INDEX('MTA 28-09'!X:X,MATCH(B971,'MTA 28-09'!A:A,0))</f>
        <v>SOB DEMANDA</v>
      </c>
      <c r="T971" s="72" t="str">
        <f t="array" ref="T971">INDEX('MTA 28-09'!W:W,MATCH(B971,'MTA 28-09'!A:A,0))</f>
        <v>SIM</v>
      </c>
      <c r="U971" s="413">
        <f t="array" ref="U971">INDEX('MTA 28-09'!AE:AE,MATCH(B971,'MTA 28-09'!A:A,0))</f>
        <v>46291</v>
      </c>
      <c r="V971" s="12"/>
      <c r="W971" s="12"/>
      <c r="X971" s="12"/>
      <c r="Y971" s="12"/>
      <c r="Z971" s="12"/>
      <c r="AA971" s="12"/>
      <c r="AB971" s="12"/>
      <c r="AC971" s="12"/>
      <c r="AD971" s="12"/>
      <c r="AE971" s="12"/>
      <c r="AF971" s="12"/>
      <c r="AG971" s="12"/>
      <c r="AH971" s="12"/>
      <c r="AI971" s="12"/>
      <c r="AJ971" s="12"/>
      <c r="AK971" s="12"/>
      <c r="AL971" s="12"/>
      <c r="AM971" s="12"/>
    </row>
    <row r="972">
      <c r="A972" s="88" t="s">
        <v>44</v>
      </c>
      <c r="B972" s="98">
        <v>63920.0</v>
      </c>
      <c r="C972" s="92" t="str">
        <f t="array" ref="C972">INDEX('MTA 28-09'!B:B,MATCH(B972,'MTA 28-09'!A:A,0))</f>
        <v>NÃO</v>
      </c>
      <c r="D972" s="95" t="str">
        <f t="array" ref="D972">INDEX('MTA 28-09'!D:D,MATCH(B972,'MTA 28-09'!A:A,0))</f>
        <v/>
      </c>
      <c r="E972" s="98" t="str">
        <f t="array" ref="E972">INDEX('MTA 28-09'!F:F,MATCH(B972,'MTA 28-09'!A:A,0))</f>
        <v/>
      </c>
      <c r="F972" s="99" t="str">
        <f t="array" ref="F972">INDEX('MTA 28-09'!I:I,MATCH(B972,'MTA 28-09'!A:A,0))</f>
        <v/>
      </c>
      <c r="G972" s="100" t="str">
        <f t="array" ref="G972">INDEX('MTA 28-09'!J:J,MATCH(B972,'MTA 28-09'!A:A,0))</f>
        <v/>
      </c>
      <c r="H972" s="159" t="s">
        <v>157</v>
      </c>
      <c r="I972" s="90"/>
      <c r="J972" s="102"/>
      <c r="K972" s="103"/>
      <c r="L972" s="102" t="str">
        <f t="array" ref="L972">INDEX('MTA 28-09'!S:S,MATCH(B972,'MTA 28-09'!A:A,0))</f>
        <v>C-97</v>
      </c>
      <c r="M972" s="98" t="str">
        <f t="array" ref="M972">INDEX('MTA 28-09'!T:T,MATCH(B972,'MTA 28-09'!A:A,0))</f>
        <v>CTT 096/CAE-PAMALS/2021 - CLS C-97</v>
      </c>
      <c r="N972" s="98" t="str">
        <f t="array" ref="N972">INDEX('MTA 28-09'!U:U,MATCH(B972,'MTA 28-09'!A:A,0))</f>
        <v>Hora de Voo 10/10 (500HV)</v>
      </c>
      <c r="O972" s="104">
        <f t="array" ref="O972">INDEX('MTA 28-09'!AC:AC,MATCH(B972,'MTA 28-09'!A:A,0))</f>
        <v>2572500</v>
      </c>
      <c r="P972" s="98" t="str">
        <f t="array" ref="P972">INDEX('MTA 28-09'!N:N,MATCH(B972,'MTA 28-09'!A:A,0))</f>
        <v>CELOG</v>
      </c>
      <c r="Q972" s="105" t="str">
        <f t="array" ref="Q972">INDEX('MTA 28-09'!Z:Z,MATCH(B972,'MTA 28-09'!A:A,0))</f>
        <v>339039</v>
      </c>
      <c r="R972" s="98" t="str">
        <f t="array" ref="R972">INDEX('MTA 28-09'!L:L,MATCH(B972,'MTA 28-09'!A:A,0))</f>
        <v>B</v>
      </c>
      <c r="S972" s="107" t="str">
        <f t="array" ref="S972">INDEX('MTA 28-09'!X:X,MATCH(B972,'MTA 28-09'!A:A,0))</f>
        <v>HORA DE VOO</v>
      </c>
      <c r="T972" s="107" t="str">
        <f t="array" ref="T972">INDEX('MTA 28-09'!W:W,MATCH(B972,'MTA 28-09'!A:A,0))</f>
        <v>Não</v>
      </c>
      <c r="U972" s="109">
        <f t="array" ref="U972">INDEX('MTA 28-09'!AE:AE,MATCH(B972,'MTA 28-09'!A:A,0))</f>
        <v>46049</v>
      </c>
      <c r="V972" s="29"/>
      <c r="W972" s="29"/>
      <c r="X972" s="29"/>
      <c r="Y972" s="29"/>
      <c r="Z972" s="29"/>
      <c r="AA972" s="29"/>
      <c r="AB972" s="29"/>
      <c r="AC972" s="29"/>
      <c r="AD972" s="29"/>
      <c r="AE972" s="29"/>
      <c r="AF972" s="29"/>
      <c r="AG972" s="29"/>
      <c r="AH972" s="29"/>
      <c r="AI972" s="29"/>
      <c r="AJ972" s="29"/>
      <c r="AK972" s="29"/>
      <c r="AL972" s="29"/>
      <c r="AM972" s="29"/>
    </row>
    <row r="973">
      <c r="A973" s="31" t="s">
        <v>45</v>
      </c>
      <c r="B973" s="32">
        <v>63940.0</v>
      </c>
      <c r="C973" s="33" t="str">
        <f t="array" ref="C973">INDEX('MTA 28-09'!B:B,MATCH(B973,'MTA 28-09'!A:A,0))</f>
        <v>SIM</v>
      </c>
      <c r="D973" s="34">
        <f t="array" ref="D973">INDEX('MTA 28-09'!D:D,MATCH(B973,'MTA 28-09'!A:A,0))</f>
        <v>2048</v>
      </c>
      <c r="E973" s="32" t="str">
        <f t="array" ref="E973">INDEX('MTA 28-09'!F:F,MATCH(B973,'MTA 28-09'!A:A,0))</f>
        <v/>
      </c>
      <c r="F973" s="35" t="str">
        <f t="array" ref="F973">INDEX('MTA 28-09'!I:I,MATCH(B973,'MTA 28-09'!A:A,0))</f>
        <v/>
      </c>
      <c r="G973" s="36" t="str">
        <f t="array" ref="G973">INDEX('MTA 28-09'!J:J,MATCH(B973,'MTA 28-09'!A:A,0))</f>
        <v/>
      </c>
      <c r="H973" s="287">
        <v>46276.0</v>
      </c>
      <c r="I973" s="38" t="s">
        <v>152</v>
      </c>
      <c r="J973" s="39"/>
      <c r="K973" s="40"/>
      <c r="L973" s="39" t="str">
        <f t="array" ref="L973">INDEX('MTA 28-09'!S:S,MATCH(B973,'MTA 28-09'!A:A,0))</f>
        <v>C-98</v>
      </c>
      <c r="M973" s="32" t="str">
        <f t="array" ref="M973">INDEX('MTA 28-09'!T:T,MATCH(B973,'MTA 28-09'!A:A,0))</f>
        <v>CNT 005/CELOG-PAMALS/2025 - VEE ONE</v>
      </c>
      <c r="N973" s="32" t="str">
        <f t="array" ref="N973">INDEX('MTA 28-09'!U:U,MATCH(B973,'MTA 28-09'!A:A,0))</f>
        <v>MÓDULO EXTRA - SOB DEMANDA</v>
      </c>
      <c r="O973" s="59">
        <f t="array" ref="O973">INDEX('MTA 28-09'!AC:AC,MATCH(B973,'MTA 28-09'!A:A,0))</f>
        <v>528395.93</v>
      </c>
      <c r="P973" s="32" t="str">
        <f t="array" ref="P973">INDEX('MTA 28-09'!N:N,MATCH(B973,'MTA 28-09'!A:A,0))</f>
        <v>CELOG</v>
      </c>
      <c r="Q973" s="67" t="str">
        <f t="array" ref="Q973">INDEX('MTA 28-09'!Z:Z,MATCH(B973,'MTA 28-09'!A:A,0))</f>
        <v>339039</v>
      </c>
      <c r="R973" s="32" t="str">
        <f t="array" ref="R973">INDEX('MTA 28-09'!L:L,MATCH(B973,'MTA 28-09'!A:A,0))</f>
        <v>A</v>
      </c>
      <c r="S973" s="72" t="str">
        <f t="array" ref="S973">INDEX('MTA 28-09'!X:X,MATCH(B973,'MTA 28-09'!A:A,0))</f>
        <v>HORA DE VOO</v>
      </c>
      <c r="T973" s="72" t="str">
        <f t="array" ref="T973">INDEX('MTA 28-09'!W:W,MATCH(B973,'MTA 28-09'!A:A,0))</f>
        <v>Não</v>
      </c>
      <c r="U973" s="81">
        <f t="array" ref="U973">INDEX('MTA 28-09'!AE:AE,MATCH(B973,'MTA 28-09'!A:A,0))</f>
        <v>46080</v>
      </c>
      <c r="V973" s="12"/>
      <c r="W973" s="12"/>
      <c r="X973" s="12"/>
      <c r="Y973" s="12"/>
      <c r="Z973" s="12"/>
      <c r="AA973" s="12"/>
      <c r="AB973" s="12"/>
      <c r="AC973" s="12"/>
      <c r="AD973" s="12"/>
      <c r="AE973" s="12"/>
      <c r="AF973" s="12"/>
      <c r="AG973" s="12"/>
      <c r="AH973" s="12"/>
      <c r="AI973" s="12"/>
      <c r="AJ973" s="12"/>
      <c r="AK973" s="12"/>
      <c r="AL973" s="12"/>
      <c r="AM973" s="12"/>
    </row>
    <row r="974">
      <c r="A974" s="88" t="s">
        <v>45</v>
      </c>
      <c r="B974" s="98">
        <v>63960.0</v>
      </c>
      <c r="C974" s="92" t="str">
        <f t="array" ref="C974">INDEX('MTA 28-09'!B:B,MATCH(B974,'MTA 28-09'!A:A,0))</f>
        <v>SIM</v>
      </c>
      <c r="D974" s="95">
        <f t="array" ref="D974">INDEX('MTA 28-09'!D:D,MATCH(B974,'MTA 28-09'!A:A,0))</f>
        <v>2048</v>
      </c>
      <c r="E974" s="98" t="str">
        <f t="array" ref="E974">INDEX('MTA 28-09'!F:F,MATCH(B974,'MTA 28-09'!A:A,0))</f>
        <v/>
      </c>
      <c r="F974" s="99" t="str">
        <f t="array" ref="F974">INDEX('MTA 28-09'!I:I,MATCH(B974,'MTA 28-09'!A:A,0))</f>
        <v/>
      </c>
      <c r="G974" s="100" t="str">
        <f t="array" ref="G974">INDEX('MTA 28-09'!J:J,MATCH(B974,'MTA 28-09'!A:A,0))</f>
        <v/>
      </c>
      <c r="H974" s="159" t="s">
        <v>157</v>
      </c>
      <c r="I974" s="296"/>
      <c r="J974" s="102"/>
      <c r="K974" s="103"/>
      <c r="L974" s="102" t="str">
        <f t="array" ref="L974">INDEX('MTA 28-09'!S:S,MATCH(B974,'MTA 28-09'!A:A,0))</f>
        <v>C-98</v>
      </c>
      <c r="M974" s="98" t="str">
        <f t="array" ref="M974">INDEX('MTA 28-09'!T:T,MATCH(B974,'MTA 28-09'!A:A,0))</f>
        <v>CNT XXX/CELOG-PAMASP/2026 - Material</v>
      </c>
      <c r="N974" s="98" t="str">
        <f t="array" ref="N974">INDEX('MTA 28-09'!U:U,MATCH(B974,'MTA 28-09'!A:A,0))</f>
        <v>Material reparo PT6A-114A (4/4)</v>
      </c>
      <c r="O974" s="104">
        <f t="array" ref="O974">INDEX('MTA 28-09'!AC:AC,MATCH(B974,'MTA 28-09'!A:A,0))</f>
        <v>1000000</v>
      </c>
      <c r="P974" s="98" t="str">
        <f t="array" ref="P974">INDEX('MTA 28-09'!N:N,MATCH(B974,'MTA 28-09'!A:A,0))</f>
        <v>CELOG</v>
      </c>
      <c r="Q974" s="105" t="str">
        <f t="array" ref="Q974">INDEX('MTA 28-09'!Z:Z,MATCH(B974,'MTA 28-09'!A:A,0))</f>
        <v>339030</v>
      </c>
      <c r="R974" s="98" t="str">
        <f t="array" ref="R974">INDEX('MTA 28-09'!L:L,MATCH(B974,'MTA 28-09'!A:A,0))</f>
        <v>A</v>
      </c>
      <c r="S974" s="107" t="str">
        <f t="array" ref="S974">INDEX('MTA 28-09'!X:X,MATCH(B974,'MTA 28-09'!A:A,0))</f>
        <v>SOB DEMANDA</v>
      </c>
      <c r="T974" s="107" t="str">
        <f t="array" ref="T974">INDEX('MTA 28-09'!W:W,MATCH(B974,'MTA 28-09'!A:A,0))</f>
        <v>SIM</v>
      </c>
      <c r="U974" s="109">
        <f t="array" ref="U974">INDEX('MTA 28-09'!AE:AE,MATCH(B974,'MTA 28-09'!A:A,0))</f>
        <v>46382</v>
      </c>
      <c r="V974" s="29"/>
      <c r="W974" s="29"/>
      <c r="X974" s="29"/>
      <c r="Y974" s="29"/>
      <c r="Z974" s="29"/>
      <c r="AA974" s="29"/>
      <c r="AB974" s="29"/>
      <c r="AC974" s="29"/>
      <c r="AD974" s="29"/>
      <c r="AE974" s="29"/>
      <c r="AF974" s="29"/>
      <c r="AG974" s="29"/>
      <c r="AH974" s="29"/>
      <c r="AI974" s="29"/>
      <c r="AJ974" s="29"/>
      <c r="AK974" s="29"/>
      <c r="AL974" s="29"/>
      <c r="AM974" s="29"/>
    </row>
    <row r="975">
      <c r="A975" s="31" t="s">
        <v>107</v>
      </c>
      <c r="B975" s="38">
        <v>64260.0</v>
      </c>
      <c r="C975" s="33" t="str">
        <f t="array" ref="C975">INDEX('MTA 28-09'!B:B,MATCH(B975,'MTA 28-09'!A:A,0))</f>
        <v>SIM</v>
      </c>
      <c r="D975" s="34" t="str">
        <f t="array" ref="D975">INDEX('MTA 28-09'!D:D,MATCH(B975,'MTA 28-09'!A:A,0))</f>
        <v/>
      </c>
      <c r="E975" s="32" t="str">
        <f t="array" ref="E975">INDEX('MTA 28-09'!F:F,MATCH(B975,'MTA 28-09'!A:A,0))</f>
        <v/>
      </c>
      <c r="F975" s="35" t="str">
        <f t="array" ref="F975">INDEX('MTA 28-09'!I:I,MATCH(B975,'MTA 28-09'!A:A,0))</f>
        <v/>
      </c>
      <c r="G975" s="36" t="str">
        <f t="array" ref="G975">INDEX('MTA 28-09'!J:J,MATCH(B975,'MTA 28-09'!A:A,0))</f>
        <v/>
      </c>
      <c r="H975" s="287">
        <v>46276.0</v>
      </c>
      <c r="I975" s="38" t="s">
        <v>1631</v>
      </c>
      <c r="J975" s="39"/>
      <c r="K975" s="40"/>
      <c r="L975" s="39" t="str">
        <f t="array" ref="L975">INDEX('MTA 28-09'!S:S,MATCH(B975,'MTA 28-09'!A:A,0))</f>
        <v>SSS</v>
      </c>
      <c r="M975" s="32" t="str">
        <f t="array" ref="M975">INDEX('MTA 28-09'!T:T,MATCH(B975,'MTA 28-09'!A:A,0))</f>
        <v>Aquisição de Capacetes de Voo HGU-56/P para os novos helicópteros H-125</v>
      </c>
      <c r="N975" s="32" t="str">
        <f t="array" ref="N975">INDEX('MTA 28-09'!U:U,MATCH(B975,'MTA 28-09'!A:A,0))</f>
        <v>Aquisição de capacetes HGU-56/P - Ofício nº 4/TSSG/3102 (ZWG3IJ9)</v>
      </c>
      <c r="O975" s="59">
        <f t="array" ref="O975">INDEX('MTA 28-09'!AC:AC,MATCH(B975,'MTA 28-09'!A:A,0))</f>
        <v>2400078.48</v>
      </c>
      <c r="P975" s="32" t="str">
        <f t="array" ref="P975">INDEX('MTA 28-09'!N:N,MATCH(B975,'MTA 28-09'!A:A,0))</f>
        <v>CABW</v>
      </c>
      <c r="Q975" s="67" t="str">
        <f t="array" ref="Q975">INDEX('MTA 28-09'!Z:Z,MATCH(B975,'MTA 28-09'!A:A,0))</f>
        <v>339030</v>
      </c>
      <c r="R975" s="32" t="str">
        <f t="array" ref="R975">INDEX('MTA 28-09'!L:L,MATCH(B975,'MTA 28-09'!A:A,0))</f>
        <v>C</v>
      </c>
      <c r="S975" s="72" t="str">
        <f t="array" ref="S975">INDEX('MTA 28-09'!X:X,MATCH(B975,'MTA 28-09'!A:A,0))</f>
        <v>REQUISIÇÃO</v>
      </c>
      <c r="T975" s="72" t="str">
        <f t="array" ref="T975">INDEX('MTA 28-09'!W:W,MATCH(B975,'MTA 28-09'!A:A,0))</f>
        <v>NÃO</v>
      </c>
      <c r="U975" s="81">
        <f t="array" ref="U975">INDEX('MTA 28-09'!AE:AE,MATCH(B975,'MTA 28-09'!A:A,0))</f>
        <v>46382</v>
      </c>
      <c r="V975" s="12"/>
      <c r="W975" s="12"/>
      <c r="X975" s="12"/>
      <c r="Y975" s="12"/>
      <c r="Z975" s="12"/>
      <c r="AA975" s="12"/>
      <c r="AB975" s="12"/>
      <c r="AC975" s="12"/>
      <c r="AD975" s="12"/>
      <c r="AE975" s="12"/>
      <c r="AF975" s="12"/>
      <c r="AG975" s="12"/>
      <c r="AH975" s="12"/>
      <c r="AI975" s="12"/>
      <c r="AJ975" s="12"/>
      <c r="AK975" s="12"/>
      <c r="AL975" s="12"/>
      <c r="AM975" s="12"/>
    </row>
    <row r="976">
      <c r="A976" s="88" t="s">
        <v>45</v>
      </c>
      <c r="B976" s="90">
        <v>64340.0</v>
      </c>
      <c r="C976" s="92" t="str">
        <f t="array" ref="C976">INDEX('MTA 28-09'!B:B,MATCH(B976,'MTA 28-09'!A:A,0))</f>
        <v>SIM</v>
      </c>
      <c r="D976" s="95" t="str">
        <f t="array" ref="D976">INDEX('MTA 28-09'!D:D,MATCH(B976,'MTA 28-09'!A:A,0))</f>
        <v/>
      </c>
      <c r="E976" s="98" t="str">
        <f t="array" ref="E976">INDEX('MTA 28-09'!F:F,MATCH(B976,'MTA 28-09'!A:A,0))</f>
        <v/>
      </c>
      <c r="F976" s="99" t="str">
        <f t="array" ref="F976">INDEX('MTA 28-09'!I:I,MATCH(B976,'MTA 28-09'!A:A,0))</f>
        <v/>
      </c>
      <c r="G976" s="100" t="str">
        <f t="array" ref="G976">INDEX('MTA 28-09'!J:J,MATCH(B976,'MTA 28-09'!A:A,0))</f>
        <v/>
      </c>
      <c r="H976" s="159" t="s">
        <v>157</v>
      </c>
      <c r="I976" s="296"/>
      <c r="J976" s="102"/>
      <c r="K976" s="103"/>
      <c r="L976" s="102" t="str">
        <f t="array" ref="L976">INDEX('MTA 28-09'!S:S,MATCH(B976,'MTA 28-09'!A:A,0))</f>
        <v>C-98</v>
      </c>
      <c r="M976" s="98" t="str">
        <f t="array" ref="M976">INDEX('MTA 28-09'!T:T,MATCH(B976,'MTA 28-09'!A:A,0))</f>
        <v>CNT XXX/CABW-PAMASP/2026 - XX- Exchange</v>
      </c>
      <c r="N976" s="98" t="str">
        <f t="array" ref="N976">INDEX('MTA 28-09'!U:U,MATCH(B976,'MTA 28-09'!A:A,0))</f>
        <v>Exchange PT6A-114A</v>
      </c>
      <c r="O976" s="104">
        <f t="array" ref="O976">INDEX('MTA 28-09'!AC:AC,MATCH(B976,'MTA 28-09'!A:A,0))</f>
        <v>4394700</v>
      </c>
      <c r="P976" s="98" t="str">
        <f t="array" ref="P976">INDEX('MTA 28-09'!N:N,MATCH(B976,'MTA 28-09'!A:A,0))</f>
        <v>CABW</v>
      </c>
      <c r="Q976" s="105" t="str">
        <f t="array" ref="Q976">INDEX('MTA 28-09'!Z:Z,MATCH(B976,'MTA 28-09'!A:A,0))</f>
        <v>339030</v>
      </c>
      <c r="R976" s="98" t="str">
        <f t="array" ref="R976">INDEX('MTA 28-09'!L:L,MATCH(B976,'MTA 28-09'!A:A,0))</f>
        <v>C</v>
      </c>
      <c r="S976" s="107" t="str">
        <f t="array" ref="S976">INDEX('MTA 28-09'!X:X,MATCH(B976,'MTA 28-09'!A:A,0))</f>
        <v>SOB DEMANDA</v>
      </c>
      <c r="T976" s="107" t="str">
        <f t="array" ref="T976">INDEX('MTA 28-09'!W:W,MATCH(B976,'MTA 28-09'!A:A,0))</f>
        <v>SIM</v>
      </c>
      <c r="U976" s="109">
        <f t="array" ref="U976">INDEX('MTA 28-09'!AE:AE,MATCH(B976,'MTA 28-09'!A:A,0))</f>
        <v>46108</v>
      </c>
      <c r="V976" s="29"/>
      <c r="W976" s="29"/>
      <c r="X976" s="29"/>
      <c r="Y976" s="29"/>
      <c r="Z976" s="29"/>
      <c r="AA976" s="29"/>
      <c r="AB976" s="29"/>
      <c r="AC976" s="29"/>
      <c r="AD976" s="29"/>
      <c r="AE976" s="29"/>
      <c r="AF976" s="29"/>
      <c r="AG976" s="29"/>
      <c r="AH976" s="29"/>
      <c r="AI976" s="29"/>
      <c r="AJ976" s="29"/>
      <c r="AK976" s="29"/>
      <c r="AL976" s="29"/>
      <c r="AM976" s="29"/>
    </row>
    <row r="977">
      <c r="A977" s="31" t="s">
        <v>45</v>
      </c>
      <c r="B977" s="38">
        <v>64760.0</v>
      </c>
      <c r="C977" s="33" t="str">
        <f t="array" ref="C977">INDEX('MTA 28-09'!B:B,MATCH(B977,'MTA 28-09'!A:A,0))</f>
        <v>SIM</v>
      </c>
      <c r="D977" s="34" t="str">
        <f t="array" ref="D977">INDEX('MTA 28-09'!D:D,MATCH(B977,'MTA 28-09'!A:A,0))</f>
        <v>RAP</v>
      </c>
      <c r="E977" s="32" t="str">
        <f t="array" ref="E977">INDEX('MTA 28-09'!F:F,MATCH(B977,'MTA 28-09'!A:A,0))</f>
        <v>PROCESSADO</v>
      </c>
      <c r="F977" s="32" t="str">
        <f t="array" ref="F977">INDEX('MTA 28-09'!I:I,MATCH(B977,'MTA 28-09'!A:A,0))</f>
        <v/>
      </c>
      <c r="G977" s="36" t="str">
        <f t="array" ref="G977">INDEX('MTA 28-09'!J:J,MATCH(B977,'MTA 28-09'!A:A,0))</f>
        <v/>
      </c>
      <c r="H977" s="287" t="s">
        <v>157</v>
      </c>
      <c r="I977" s="295"/>
      <c r="J977" s="39"/>
      <c r="K977" s="40"/>
      <c r="L977" s="39" t="str">
        <f t="array" ref="L977">INDEX('MTA 28-09'!S:S,MATCH(B977,'MTA 28-09'!A:A,0))</f>
        <v>C-98</v>
      </c>
      <c r="M977" s="32" t="str">
        <f t="array" ref="M977">INDEX('MTA 28-09'!T:T,MATCH(B977,'MTA 28-09'!A:A,0))</f>
        <v>Exchange PT6A-114A</v>
      </c>
      <c r="N977" s="32" t="str">
        <f t="array" ref="N977">INDEX('MTA 28-09'!U:U,MATCH(B977,'MTA 28-09'!A:A,0))</f>
        <v>Exchange PT6A-114A</v>
      </c>
      <c r="O977" s="59">
        <f t="array" ref="O977">INDEX('MTA 28-09'!AC:AC,MATCH(B977,'MTA 28-09'!A:A,0))</f>
        <v>3306000</v>
      </c>
      <c r="P977" s="32" t="str">
        <f t="array" ref="P977">INDEX('MTA 28-09'!N:N,MATCH(B977,'MTA 28-09'!A:A,0))</f>
        <v>CABW</v>
      </c>
      <c r="Q977" s="67" t="str">
        <f t="array" ref="Q977">INDEX('MTA 28-09'!Z:Z,MATCH(B977,'MTA 28-09'!A:A,0))</f>
        <v>339030</v>
      </c>
      <c r="R977" s="32" t="str">
        <f t="array" ref="R977">INDEX('MTA 28-09'!L:L,MATCH(B977,'MTA 28-09'!A:A,0))</f>
        <v>RAP</v>
      </c>
      <c r="S977" s="72" t="str">
        <f t="array" ref="S977">INDEX('MTA 28-09'!X:X,MATCH(B977,'MTA 28-09'!A:A,0))</f>
        <v>SOB DEMANDA</v>
      </c>
      <c r="T977" s="72" t="str">
        <f t="array" ref="T977">INDEX('MTA 28-09'!W:W,MATCH(B977,'MTA 28-09'!A:A,0))</f>
        <v>SIM</v>
      </c>
      <c r="U977" s="419" t="str">
        <f t="array" ref="U977">INDEX('MTA 28-09'!AE:AE,MATCH(B977,'MTA 28-09'!A:A,0))</f>
        <v>-</v>
      </c>
      <c r="V977" s="12"/>
      <c r="W977" s="12"/>
      <c r="X977" s="12"/>
      <c r="Y977" s="12"/>
      <c r="Z977" s="12"/>
      <c r="AA977" s="12"/>
      <c r="AB977" s="12"/>
      <c r="AC977" s="12"/>
      <c r="AD977" s="12"/>
      <c r="AE977" s="12"/>
      <c r="AF977" s="12"/>
      <c r="AG977" s="12"/>
      <c r="AH977" s="12"/>
      <c r="AI977" s="12"/>
      <c r="AJ977" s="12"/>
      <c r="AK977" s="12"/>
      <c r="AL977" s="12"/>
      <c r="AM977" s="12"/>
    </row>
    <row r="978">
      <c r="A978" s="88" t="s">
        <v>45</v>
      </c>
      <c r="B978" s="90">
        <v>64780.0</v>
      </c>
      <c r="C978" s="92" t="str">
        <f t="array" ref="C978">INDEX('MTA 28-09'!B:B,MATCH(B978,'MTA 28-09'!A:A,0))</f>
        <v>SIM</v>
      </c>
      <c r="D978" s="95" t="str">
        <f t="array" ref="D978">INDEX('MTA 28-09'!D:D,MATCH(B978,'MTA 28-09'!A:A,0))</f>
        <v>RAP</v>
      </c>
      <c r="E978" s="98" t="str">
        <f t="array" ref="E978">INDEX('MTA 28-09'!F:F,MATCH(B978,'MTA 28-09'!A:A,0))</f>
        <v>PROCESSADO</v>
      </c>
      <c r="F978" s="98" t="str">
        <f t="array" ref="F978">INDEX('MTA 28-09'!I:I,MATCH(B978,'MTA 28-09'!A:A,0))</f>
        <v/>
      </c>
      <c r="G978" s="100" t="str">
        <f t="array" ref="G978">INDEX('MTA 28-09'!J:J,MATCH(B978,'MTA 28-09'!A:A,0))</f>
        <v/>
      </c>
      <c r="H978" s="159" t="s">
        <v>157</v>
      </c>
      <c r="I978" s="296"/>
      <c r="J978" s="102"/>
      <c r="K978" s="103"/>
      <c r="L978" s="102" t="str">
        <f t="array" ref="L978">INDEX('MTA 28-09'!S:S,MATCH(B978,'MTA 28-09'!A:A,0))</f>
        <v>C-98</v>
      </c>
      <c r="M978" s="98" t="str">
        <f t="array" ref="M978">INDEX('MTA 28-09'!T:T,MATCH(B978,'MTA 28-09'!A:A,0))</f>
        <v>Exchange PT6A-114A</v>
      </c>
      <c r="N978" s="98" t="str">
        <f t="array" ref="N978">INDEX('MTA 28-09'!U:U,MATCH(B978,'MTA 28-09'!A:A,0))</f>
        <v>Exchange PT6A-114A</v>
      </c>
      <c r="O978" s="104">
        <f t="array" ref="O978">INDEX('MTA 28-09'!AC:AC,MATCH(B978,'MTA 28-09'!A:A,0))</f>
        <v>3306000</v>
      </c>
      <c r="P978" s="98" t="str">
        <f t="array" ref="P978">INDEX('MTA 28-09'!N:N,MATCH(B978,'MTA 28-09'!A:A,0))</f>
        <v>CABW</v>
      </c>
      <c r="Q978" s="105" t="str">
        <f t="array" ref="Q978">INDEX('MTA 28-09'!Z:Z,MATCH(B978,'MTA 28-09'!A:A,0))</f>
        <v>339030</v>
      </c>
      <c r="R978" s="98" t="str">
        <f t="array" ref="R978">INDEX('MTA 28-09'!L:L,MATCH(B978,'MTA 28-09'!A:A,0))</f>
        <v>RAP</v>
      </c>
      <c r="S978" s="107" t="str">
        <f t="array" ref="S978">INDEX('MTA 28-09'!X:X,MATCH(B978,'MTA 28-09'!A:A,0))</f>
        <v>SOB DEMANDA</v>
      </c>
      <c r="T978" s="107" t="str">
        <f t="array" ref="T978">INDEX('MTA 28-09'!W:W,MATCH(B978,'MTA 28-09'!A:A,0))</f>
        <v>SIM</v>
      </c>
      <c r="U978" s="418" t="str">
        <f t="array" ref="U978">INDEX('MTA 28-09'!AE:AE,MATCH(B978,'MTA 28-09'!A:A,0))</f>
        <v>-</v>
      </c>
      <c r="V978" s="29"/>
      <c r="W978" s="29"/>
      <c r="X978" s="29"/>
      <c r="Y978" s="29"/>
      <c r="Z978" s="29"/>
      <c r="AA978" s="29"/>
      <c r="AB978" s="29"/>
      <c r="AC978" s="29"/>
      <c r="AD978" s="29"/>
      <c r="AE978" s="29"/>
      <c r="AF978" s="29"/>
      <c r="AG978" s="29"/>
      <c r="AH978" s="29"/>
      <c r="AI978" s="29"/>
      <c r="AJ978" s="29"/>
      <c r="AK978" s="29"/>
      <c r="AL978" s="29"/>
      <c r="AM978" s="29"/>
    </row>
    <row r="979">
      <c r="A979" s="31" t="s">
        <v>46</v>
      </c>
      <c r="B979" s="38">
        <v>64800.0</v>
      </c>
      <c r="C979" s="33" t="str">
        <f t="array" ref="C979">INDEX('MTA 28-09'!B:B,MATCH(B979,'MTA 28-09'!A:A,0))</f>
        <v>SIM</v>
      </c>
      <c r="D979" s="34">
        <f t="array" ref="D979">INDEX('MTA 28-09'!D:D,MATCH(B979,'MTA 28-09'!A:A,0))</f>
        <v>2048</v>
      </c>
      <c r="E979" s="32" t="str">
        <f t="array" ref="E979">INDEX('MTA 28-09'!F:F,MATCH(B979,'MTA 28-09'!A:A,0))</f>
        <v/>
      </c>
      <c r="F979" s="35" t="str">
        <f t="array" ref="F979">INDEX('MTA 28-09'!I:I,MATCH(B979,'MTA 28-09'!A:A,0))</f>
        <v/>
      </c>
      <c r="G979" s="36" t="str">
        <f t="array" ref="G979">INDEX('MTA 28-09'!J:J,MATCH(B979,'MTA 28-09'!A:A,0))</f>
        <v/>
      </c>
      <c r="H979" s="287" t="s">
        <v>157</v>
      </c>
      <c r="I979" s="157" t="s">
        <v>1585</v>
      </c>
      <c r="J979" s="39"/>
      <c r="K979" s="40"/>
      <c r="L979" s="39" t="str">
        <f t="array" ref="L979">INDEX('MTA 28-09'!S:S,MATCH(B979,'MTA 28-09'!A:A,0))</f>
        <v>T-27</v>
      </c>
      <c r="M979" s="32" t="str">
        <f t="array" ref="M979">INDEX('MTA 28-09'!T:T,MATCH(B979,'MTA 28-09'!A:A,0))</f>
        <v>CNT 018/CELOG-PAMASP/2026 - SERVIÇO - TOFI</v>
      </c>
      <c r="N979" s="32" t="str">
        <f t="array" ref="N979">INDEX('MTA 28-09'!U:U,MATCH(B979,'MTA 28-09'!A:A,0))</f>
        <v>Reparo de estatores dos geradores DO C95/T/27 - TOEG</v>
      </c>
      <c r="O979" s="59">
        <f t="array" ref="O979">INDEX('MTA 28-09'!AC:AC,MATCH(B979,'MTA 28-09'!A:A,0))</f>
        <v>212577</v>
      </c>
      <c r="P979" s="32" t="str">
        <f t="array" ref="P979">INDEX('MTA 28-09'!N:N,MATCH(B979,'MTA 28-09'!A:A,0))</f>
        <v>CELOG</v>
      </c>
      <c r="Q979" s="67" t="str">
        <f t="array" ref="Q979">INDEX('MTA 28-09'!Z:Z,MATCH(B979,'MTA 28-09'!A:A,0))</f>
        <v>339039</v>
      </c>
      <c r="R979" s="32" t="str">
        <f t="array" ref="R979">INDEX('MTA 28-09'!L:L,MATCH(B979,'MTA 28-09'!A:A,0))</f>
        <v>A</v>
      </c>
      <c r="S979" s="72" t="str">
        <f t="array" ref="S979">INDEX('MTA 28-09'!X:X,MATCH(B979,'MTA 28-09'!A:A,0))</f>
        <v>PARCELA FIXA</v>
      </c>
      <c r="T979" s="72" t="str">
        <f t="array" ref="T979">INDEX('MTA 28-09'!W:W,MATCH(B979,'MTA 28-09'!A:A,0))</f>
        <v>NÃO</v>
      </c>
      <c r="U979" s="81">
        <f t="array" ref="U979">INDEX('MTA 28-09'!AE:AE,MATCH(B979,'MTA 28-09'!A:A,0))</f>
        <v>46382</v>
      </c>
      <c r="V979" s="12"/>
      <c r="W979" s="12"/>
      <c r="X979" s="12"/>
      <c r="Y979" s="12"/>
      <c r="Z979" s="12"/>
      <c r="AA979" s="12"/>
      <c r="AB979" s="12"/>
      <c r="AC979" s="12"/>
      <c r="AD979" s="12"/>
      <c r="AE979" s="12"/>
      <c r="AF979" s="12"/>
      <c r="AG979" s="12"/>
      <c r="AH979" s="12"/>
      <c r="AI979" s="12"/>
      <c r="AJ979" s="12"/>
      <c r="AK979" s="12"/>
      <c r="AL979" s="12"/>
      <c r="AM979" s="12"/>
    </row>
    <row r="980">
      <c r="A980" s="88" t="s">
        <v>45</v>
      </c>
      <c r="B980" s="90">
        <v>64840.0</v>
      </c>
      <c r="C980" s="92" t="str">
        <f t="array" ref="C980">INDEX('MTA 28-09'!B:B,MATCH(B980,'MTA 28-09'!A:A,0))</f>
        <v>SIM</v>
      </c>
      <c r="D980" s="95">
        <f t="array" ref="D980">INDEX('MTA 28-09'!D:D,MATCH(B980,'MTA 28-09'!A:A,0))</f>
        <v>2048</v>
      </c>
      <c r="E980" s="98" t="str">
        <f t="array" ref="E980">INDEX('MTA 28-09'!F:F,MATCH(B980,'MTA 28-09'!A:A,0))</f>
        <v/>
      </c>
      <c r="F980" s="99" t="str">
        <f t="array" ref="F980">INDEX('MTA 28-09'!I:I,MATCH(B980,'MTA 28-09'!A:A,0))</f>
        <v/>
      </c>
      <c r="G980" s="100" t="str">
        <f t="array" ref="G980">INDEX('MTA 28-09'!J:J,MATCH(B980,'MTA 28-09'!A:A,0))</f>
        <v/>
      </c>
      <c r="H980" s="159" t="s">
        <v>157</v>
      </c>
      <c r="I980" s="296"/>
      <c r="J980" s="102"/>
      <c r="K980" s="103"/>
      <c r="L980" s="102" t="str">
        <f t="array" ref="L980">INDEX('MTA 28-09'!S:S,MATCH(B980,'MTA 28-09'!A:A,0))</f>
        <v>C-98</v>
      </c>
      <c r="M980" s="98" t="str">
        <f t="array" ref="M980">INDEX('MTA 28-09'!T:T,MATCH(B980,'MTA 28-09'!A:A,0))</f>
        <v>CNT 001/CABW-PAMASP/2025 - EXCHANGE - FLORIDA SUPPLY</v>
      </c>
      <c r="N980" s="98" t="str">
        <f t="array" ref="N980">INDEX('MTA 28-09'!U:U,MATCH(B980,'MTA 28-09'!A:A,0))</f>
        <v>Pagar avaliação dos cores</v>
      </c>
      <c r="O980" s="104">
        <f t="array" ref="O980">INDEX('MTA 28-09'!AC:AC,MATCH(B980,'MTA 28-09'!A:A,0))</f>
        <v>470820</v>
      </c>
      <c r="P980" s="98" t="str">
        <f t="array" ref="P980">INDEX('MTA 28-09'!N:N,MATCH(B980,'MTA 28-09'!A:A,0))</f>
        <v>CABW</v>
      </c>
      <c r="Q980" s="105" t="str">
        <f t="array" ref="Q980">INDEX('MTA 28-09'!Z:Z,MATCH(B980,'MTA 28-09'!A:A,0))</f>
        <v>339030</v>
      </c>
      <c r="R980" s="98" t="str">
        <f t="array" ref="R980">INDEX('MTA 28-09'!L:L,MATCH(B980,'MTA 28-09'!A:A,0))</f>
        <v>A</v>
      </c>
      <c r="S980" s="107" t="str">
        <f t="array" ref="S980">INDEX('MTA 28-09'!X:X,MATCH(B980,'MTA 28-09'!A:A,0))</f>
        <v>CONTRATO</v>
      </c>
      <c r="T980" s="107" t="str">
        <f t="array" ref="T980">INDEX('MTA 28-09'!W:W,MATCH(B980,'MTA 28-09'!A:A,0))</f>
        <v>SIM</v>
      </c>
      <c r="U980" s="109">
        <f t="array" ref="U980">INDEX('MTA 28-09'!AE:AE,MATCH(B980,'MTA 28-09'!A:A,0))</f>
        <v>46321</v>
      </c>
      <c r="V980" s="29"/>
      <c r="W980" s="29"/>
      <c r="X980" s="29"/>
      <c r="Y980" s="29"/>
      <c r="Z980" s="29"/>
      <c r="AA980" s="29"/>
      <c r="AB980" s="29"/>
      <c r="AC980" s="29"/>
      <c r="AD980" s="29"/>
      <c r="AE980" s="29"/>
      <c r="AF980" s="29"/>
      <c r="AG980" s="29"/>
      <c r="AH980" s="29"/>
      <c r="AI980" s="29"/>
      <c r="AJ980" s="29"/>
      <c r="AK980" s="29"/>
      <c r="AL980" s="29"/>
      <c r="AM980" s="29"/>
    </row>
    <row r="981">
      <c r="A981" s="31" t="s">
        <v>99</v>
      </c>
      <c r="B981" s="38">
        <v>64860.0</v>
      </c>
      <c r="C981" s="33" t="str">
        <f t="array" ref="C981">INDEX('MTA 28-09'!B:B,MATCH(B981,'MTA 28-09'!A:A,0))</f>
        <v>SIM</v>
      </c>
      <c r="D981" s="34">
        <f t="array" ref="D981">INDEX('MTA 28-09'!D:D,MATCH(B981,'MTA 28-09'!A:A,0))</f>
        <v>2048</v>
      </c>
      <c r="E981" s="32" t="str">
        <f t="array" ref="E981">INDEX('MTA 28-09'!F:F,MATCH(B981,'MTA 28-09'!A:A,0))</f>
        <v>ATENDIDO</v>
      </c>
      <c r="F981" s="35">
        <f t="array" ref="F981">INDEX('MTA 28-09'!I:I,MATCH(B981,'MTA 28-09'!A:A,0))</f>
        <v>46265</v>
      </c>
      <c r="G981" s="36" t="str">
        <f t="array" ref="G981">INDEX('MTA 28-09'!J:J,MATCH(B981,'MTA 28-09'!A:A,0))</f>
        <v>C26146</v>
      </c>
      <c r="H981" s="287" t="s">
        <v>157</v>
      </c>
      <c r="I981" s="295"/>
      <c r="J981" s="39"/>
      <c r="K981" s="40"/>
      <c r="L981" s="39" t="str">
        <f t="array" ref="L981">INDEX('MTA 28-09'!S:S,MATCH(B981,'MTA 28-09'!A:A,0))</f>
        <v>APOIO</v>
      </c>
      <c r="M981" s="32" t="str">
        <f t="array" ref="M981">INDEX('MTA 28-09'!T:T,MATCH(B981,'MTA 28-09'!A:A,0))</f>
        <v>MANUTENÇÃO DAS INSTALAÇÕES</v>
      </c>
      <c r="N981" s="32" t="str">
        <f t="array" ref="N981">INDEX('MTA 28-09'!U:U,MATCH(B981,'MTA 28-09'!A:A,0))</f>
        <v>INFRAESTRUTURA - Recuperação das instalações da Divisão Técnica do PAMALS</v>
      </c>
      <c r="O981" s="59">
        <f t="array" ref="O981">INDEX('MTA 28-09'!AC:AC,MATCH(B981,'MTA 28-09'!A:A,0))</f>
        <v>157198</v>
      </c>
      <c r="P981" s="32" t="str">
        <f t="array" ref="P981">INDEX('MTA 28-09'!N:N,MATCH(B981,'MTA 28-09'!A:A,0))</f>
        <v>GAP-LS</v>
      </c>
      <c r="Q981" s="67" t="str">
        <f t="array" ref="Q981">INDEX('MTA 28-09'!Z:Z,MATCH(B981,'MTA 28-09'!A:A,0))</f>
        <v>339039</v>
      </c>
      <c r="R981" s="32" t="str">
        <f t="array" ref="R981">INDEX('MTA 28-09'!L:L,MATCH(B981,'MTA 28-09'!A:A,0))</f>
        <v>A</v>
      </c>
      <c r="S981" s="72" t="str">
        <f t="array" ref="S981">INDEX('MTA 28-09'!X:X,MATCH(B981,'MTA 28-09'!A:A,0))</f>
        <v>SOB DEMANDA</v>
      </c>
      <c r="T981" s="72" t="str">
        <f t="array" ref="T981">INDEX('MTA 28-09'!W:W,MATCH(B981,'MTA 28-09'!A:A,0))</f>
        <v>NÃO</v>
      </c>
      <c r="U981" s="81">
        <f t="array" ref="U981">INDEX('MTA 28-09'!AE:AE,MATCH(B981,'MTA 28-09'!A:A,0))</f>
        <v>46352</v>
      </c>
      <c r="V981" s="12"/>
      <c r="W981" s="12"/>
      <c r="X981" s="12"/>
      <c r="Y981" s="12"/>
      <c r="Z981" s="12"/>
      <c r="AA981" s="12"/>
      <c r="AB981" s="12"/>
      <c r="AC981" s="12"/>
      <c r="AD981" s="12"/>
      <c r="AE981" s="12"/>
      <c r="AF981" s="12"/>
      <c r="AG981" s="12"/>
      <c r="AH981" s="12"/>
      <c r="AI981" s="12"/>
      <c r="AJ981" s="12"/>
      <c r="AK981" s="12"/>
      <c r="AL981" s="12"/>
      <c r="AM981" s="12"/>
    </row>
    <row r="982">
      <c r="A982" s="88" t="s">
        <v>99</v>
      </c>
      <c r="B982" s="90">
        <v>64880.0</v>
      </c>
      <c r="C982" s="92" t="str">
        <f t="array" ref="C982">INDEX('MTA 28-09'!B:B,MATCH(B982,'MTA 28-09'!A:A,0))</f>
        <v>SIM</v>
      </c>
      <c r="D982" s="95">
        <f t="array" ref="D982">INDEX('MTA 28-09'!D:D,MATCH(B982,'MTA 28-09'!A:A,0))</f>
        <v>2048</v>
      </c>
      <c r="E982" s="98" t="str">
        <f t="array" ref="E982">INDEX('MTA 28-09'!F:F,MATCH(B982,'MTA 28-09'!A:A,0))</f>
        <v/>
      </c>
      <c r="F982" s="98" t="str">
        <f t="array" ref="F982">INDEX('MTA 28-09'!I:I,MATCH(B982,'MTA 28-09'!A:A,0))</f>
        <v/>
      </c>
      <c r="G982" s="100" t="str">
        <f t="array" ref="G982">INDEX('MTA 28-09'!J:J,MATCH(B982,'MTA 28-09'!A:A,0))</f>
        <v/>
      </c>
      <c r="H982" s="296">
        <v>46262.0</v>
      </c>
      <c r="I982" s="90" t="s">
        <v>293</v>
      </c>
      <c r="J982" s="102"/>
      <c r="K982" s="103"/>
      <c r="L982" s="102" t="str">
        <f t="array" ref="L982">INDEX('MTA 28-09'!S:S,MATCH(B982,'MTA 28-09'!A:A,0))</f>
        <v>APOIO</v>
      </c>
      <c r="M982" s="98" t="str">
        <f t="array" ref="M982">INDEX('MTA 28-09'!T:T,MATCH(B982,'MTA 28-09'!A:A,0))</f>
        <v>MANUTENÇÃO DAS INSTALAÇÕES</v>
      </c>
      <c r="N982" s="98" t="str">
        <f t="array" ref="N982">INDEX('MTA 28-09'!U:U,MATCH(B982,'MTA 28-09'!A:A,0))</f>
        <v>INFRAESTRUTURA - Recuperação das instalações da Divisão Técnica do PAMALS</v>
      </c>
      <c r="O982" s="104">
        <f t="array" ref="O982">INDEX('MTA 28-09'!AC:AC,MATCH(B982,'MTA 28-09'!A:A,0))</f>
        <v>1510643.96</v>
      </c>
      <c r="P982" s="98" t="str">
        <f t="array" ref="P982">INDEX('MTA 28-09'!N:N,MATCH(B982,'MTA 28-09'!A:A,0))</f>
        <v>GAP-LS</v>
      </c>
      <c r="Q982" s="105" t="str">
        <f t="array" ref="Q982">INDEX('MTA 28-09'!Z:Z,MATCH(B982,'MTA 28-09'!A:A,0))</f>
        <v>339039</v>
      </c>
      <c r="R982" s="98" t="str">
        <f t="array" ref="R982">INDEX('MTA 28-09'!L:L,MATCH(B982,'MTA 28-09'!A:A,0))</f>
        <v>A</v>
      </c>
      <c r="S982" s="107" t="str">
        <f t="array" ref="S982">INDEX('MTA 28-09'!X:X,MATCH(B982,'MTA 28-09'!A:A,0))</f>
        <v>SOB DEMANDA</v>
      </c>
      <c r="T982" s="107" t="str">
        <f t="array" ref="T982">INDEX('MTA 28-09'!W:W,MATCH(B982,'MTA 28-09'!A:A,0))</f>
        <v>NÃO</v>
      </c>
      <c r="U982" s="109">
        <f t="array" ref="U982">INDEX('MTA 28-09'!AE:AE,MATCH(B982,'MTA 28-09'!A:A,0))</f>
        <v>46352</v>
      </c>
      <c r="V982" s="29"/>
      <c r="W982" s="29"/>
      <c r="X982" s="29"/>
      <c r="Y982" s="29"/>
      <c r="Z982" s="29"/>
      <c r="AA982" s="29"/>
      <c r="AB982" s="29"/>
      <c r="AC982" s="29"/>
      <c r="AD982" s="29"/>
      <c r="AE982" s="29"/>
      <c r="AF982" s="29"/>
      <c r="AG982" s="29"/>
      <c r="AH982" s="29"/>
      <c r="AI982" s="29"/>
      <c r="AJ982" s="29"/>
      <c r="AK982" s="29"/>
      <c r="AL982" s="29"/>
      <c r="AM982" s="29"/>
    </row>
    <row r="983">
      <c r="A983" s="31" t="s">
        <v>107</v>
      </c>
      <c r="B983" s="38">
        <v>64900.0</v>
      </c>
      <c r="C983" s="33" t="str">
        <f t="array" ref="C983">INDEX('MTA 28-09'!B:B,MATCH(B983,'MTA 28-09'!A:A,0))</f>
        <v>SIM</v>
      </c>
      <c r="D983" s="34">
        <f t="array" ref="D983">INDEX('MTA 28-09'!D:D,MATCH(B983,'MTA 28-09'!A:A,0))</f>
        <v>2048</v>
      </c>
      <c r="E983" s="32" t="str">
        <f t="array" ref="E983">INDEX('MTA 28-09'!F:F,MATCH(B983,'MTA 28-09'!A:A,0))</f>
        <v/>
      </c>
      <c r="F983" s="32" t="str">
        <f t="array" ref="F983">INDEX('MTA 28-09'!I:I,MATCH(B983,'MTA 28-09'!A:A,0))</f>
        <v/>
      </c>
      <c r="G983" s="36" t="str">
        <f t="array" ref="G983">INDEX('MTA 28-09'!J:J,MATCH(B983,'MTA 28-09'!A:A,0))</f>
        <v/>
      </c>
      <c r="H983" s="295"/>
      <c r="I983" s="431" t="s">
        <v>1632</v>
      </c>
      <c r="J983" s="39"/>
      <c r="K983" s="40"/>
      <c r="L983" s="39"/>
      <c r="M983" s="32" t="str">
        <f t="array" ref="M983">INDEX('MTA 28-09'!T:T,MATCH(B983,'MTA 28-09'!A:A,0))</f>
        <v>REQUISIÇÃO PTA SSS</v>
      </c>
      <c r="N983" s="32" t="str">
        <f t="array" ref="N983">INDEX('MTA 28-09'!U:U,MATCH(B983,'MTA 28-09'!A:A,0))</f>
        <v>AQUISIÇÃO ITENS SSS COM TEMPO LIMITE DE VIDA (CABW)</v>
      </c>
      <c r="O983" s="59">
        <f t="array" ref="O983">INDEX('MTA 28-09'!AC:AC,MATCH(B983,'MTA 28-09'!A:A,0))</f>
        <v>720550.54</v>
      </c>
      <c r="P983" s="32" t="str">
        <f t="array" ref="P983">INDEX('MTA 28-09'!N:N,MATCH(B983,'MTA 28-09'!A:A,0))</f>
        <v>CELOG</v>
      </c>
      <c r="Q983" s="67" t="str">
        <f t="array" ref="Q983">INDEX('MTA 28-09'!Z:Z,MATCH(B983,'MTA 28-09'!A:A,0))</f>
        <v>339030</v>
      </c>
      <c r="R983" s="32" t="str">
        <f t="array" ref="R983">INDEX('MTA 28-09'!L:L,MATCH(B983,'MTA 28-09'!A:A,0))</f>
        <v>A</v>
      </c>
      <c r="S983" s="72" t="str">
        <f t="array" ref="S983">INDEX('MTA 28-09'!X:X,MATCH(B983,'MTA 28-09'!A:A,0))</f>
        <v>REQUISIÇÃO</v>
      </c>
      <c r="T983" s="72" t="str">
        <f t="array" ref="T983">INDEX('MTA 28-09'!W:W,MATCH(B983,'MTA 28-09'!A:A,0))</f>
        <v>NÃO</v>
      </c>
      <c r="U983" s="81">
        <f t="array" ref="U983">INDEX('MTA 28-09'!AE:AE,MATCH(B983,'MTA 28-09'!A:A,0))</f>
        <v>46382</v>
      </c>
      <c r="V983" s="12"/>
      <c r="W983" s="12"/>
      <c r="X983" s="12"/>
      <c r="Y983" s="12"/>
      <c r="Z983" s="12"/>
      <c r="AA983" s="12"/>
      <c r="AB983" s="12"/>
      <c r="AC983" s="12"/>
      <c r="AD983" s="12"/>
      <c r="AE983" s="12"/>
      <c r="AF983" s="12"/>
      <c r="AG983" s="12"/>
      <c r="AH983" s="12"/>
      <c r="AI983" s="12"/>
      <c r="AJ983" s="12"/>
      <c r="AK983" s="12"/>
      <c r="AL983" s="12"/>
      <c r="AM983" s="12"/>
    </row>
    <row r="984">
      <c r="A984" s="88" t="s">
        <v>39</v>
      </c>
      <c r="B984" s="90">
        <v>64920.0</v>
      </c>
      <c r="C984" s="92" t="str">
        <f t="array" ref="C984">INDEX('MTA 28-09'!B:B,MATCH(B984,'MTA 28-09'!A:A,0))</f>
        <v>SIM</v>
      </c>
      <c r="D984" s="95">
        <f t="array" ref="D984">INDEX('MTA 28-09'!D:D,MATCH(B984,'MTA 28-09'!A:A,0))</f>
        <v>2048</v>
      </c>
      <c r="E984" s="98" t="str">
        <f t="array" ref="E984">INDEX('MTA 28-09'!F:F,MATCH(B984,'MTA 28-09'!A:A,0))</f>
        <v>ATENDER</v>
      </c>
      <c r="F984" s="98" t="str">
        <f t="array" ref="F984">INDEX('MTA 28-09'!I:I,MATCH(B984,'MTA 28-09'!A:A,0))</f>
        <v/>
      </c>
      <c r="G984" s="100" t="str">
        <f t="array" ref="G984">INDEX('MTA 28-09'!J:J,MATCH(B984,'MTA 28-09'!A:A,0))</f>
        <v/>
      </c>
      <c r="H984" s="296">
        <v>46276.0</v>
      </c>
      <c r="I984" s="90" t="s">
        <v>705</v>
      </c>
      <c r="J984" s="102"/>
      <c r="K984" s="103"/>
      <c r="L984" s="102"/>
      <c r="M984" s="98" t="str">
        <f t="array" ref="M984">INDEX('MTA 28-09'!T:T,MATCH(B984,'MTA 28-09'!A:A,0))</f>
        <v>Requisição CABW</v>
      </c>
      <c r="N984" s="98" t="str">
        <f t="array" ref="N984">INDEX('MTA 28-09'!U:U,MATCH(B984,'MTA 28-09'!A:A,0))</f>
        <v>Atualização de GPS</v>
      </c>
      <c r="O984" s="104">
        <f t="array" ref="O984">INDEX('MTA 28-09'!AC:AC,MATCH(B984,'MTA 28-09'!A:A,0))</f>
        <v>11400</v>
      </c>
      <c r="P984" s="98" t="str">
        <f t="array" ref="P984">INDEX('MTA 28-09'!N:N,MATCH(B984,'MTA 28-09'!A:A,0))</f>
        <v>CABW</v>
      </c>
      <c r="Q984" s="105" t="str">
        <f t="array" ref="Q984">INDEX('MTA 28-09'!Z:Z,MATCH(B984,'MTA 28-09'!A:A,0))</f>
        <v>339039</v>
      </c>
      <c r="R984" s="98" t="str">
        <f t="array" ref="R984">INDEX('MTA 28-09'!L:L,MATCH(B984,'MTA 28-09'!A:A,0))</f>
        <v>A</v>
      </c>
      <c r="S984" s="107" t="str">
        <f t="array" ref="S984">INDEX('MTA 28-09'!X:X,MATCH(B984,'MTA 28-09'!A:A,0))</f>
        <v>REQUISIÇÃO</v>
      </c>
      <c r="T984" s="107" t="str">
        <f t="array" ref="T984">INDEX('MTA 28-09'!W:W,MATCH(B984,'MTA 28-09'!A:A,0))</f>
        <v>Não</v>
      </c>
      <c r="U984" s="109">
        <f t="array" ref="U984">INDEX('MTA 28-09'!AE:AE,MATCH(B984,'MTA 28-09'!A:A,0))</f>
        <v>46382</v>
      </c>
      <c r="V984" s="29"/>
      <c r="W984" s="29"/>
      <c r="X984" s="29"/>
      <c r="Y984" s="29"/>
      <c r="Z984" s="29"/>
      <c r="AA984" s="29"/>
      <c r="AB984" s="29"/>
      <c r="AC984" s="29"/>
      <c r="AD984" s="29"/>
      <c r="AE984" s="29"/>
      <c r="AF984" s="29"/>
      <c r="AG984" s="29"/>
      <c r="AH984" s="29"/>
      <c r="AI984" s="29"/>
      <c r="AJ984" s="29"/>
      <c r="AK984" s="29"/>
      <c r="AL984" s="29"/>
      <c r="AM984" s="29"/>
    </row>
    <row r="985">
      <c r="A985" s="31" t="s">
        <v>46</v>
      </c>
      <c r="B985" s="38">
        <v>64940.0</v>
      </c>
      <c r="C985" s="33" t="str">
        <f t="array" ref="C985">INDEX('MTA 28-09'!B:B,MATCH(B985,'MTA 28-09'!A:A,0))</f>
        <v>SIM</v>
      </c>
      <c r="D985" s="34">
        <f t="array" ref="D985">INDEX('MTA 28-09'!D:D,MATCH(B985,'MTA 28-09'!A:A,0))</f>
        <v>2048</v>
      </c>
      <c r="E985" s="32" t="str">
        <f t="array" ref="E985">INDEX('MTA 28-09'!F:F,MATCH(B985,'MTA 28-09'!A:A,0))</f>
        <v/>
      </c>
      <c r="F985" s="32" t="str">
        <f t="array" ref="F985">INDEX('MTA 28-09'!I:I,MATCH(B985,'MTA 28-09'!A:A,0))</f>
        <v/>
      </c>
      <c r="G985" s="36" t="str">
        <f t="array" ref="G985">INDEX('MTA 28-09'!J:J,MATCH(B985,'MTA 28-09'!A:A,0))</f>
        <v/>
      </c>
      <c r="H985" s="295"/>
      <c r="I985" s="38"/>
      <c r="J985" s="39"/>
      <c r="K985" s="40"/>
      <c r="L985" s="39"/>
      <c r="M985" s="32" t="str">
        <f t="array" ref="M985">INDEX('MTA 28-09'!T:T,MATCH(B985,'MTA 28-09'!A:A,0))</f>
        <v>Contrato de reparáveis</v>
      </c>
      <c r="N985" s="32" t="str">
        <f t="array" ref="N985">INDEX('MTA 28-09'!U:U,MATCH(B985,'MTA 28-09'!A:A,0))</f>
        <v>Reparo sob demanda</v>
      </c>
      <c r="O985" s="59">
        <f t="array" ref="O985">INDEX('MTA 28-09'!AC:AC,MATCH(B985,'MTA 28-09'!A:A,0))</f>
        <v>130000</v>
      </c>
      <c r="P985" s="32" t="str">
        <f t="array" ref="P985">INDEX('MTA 28-09'!N:N,MATCH(B985,'MTA 28-09'!A:A,0))</f>
        <v>CELOG</v>
      </c>
      <c r="Q985" s="67" t="str">
        <f t="array" ref="Q985">INDEX('MTA 28-09'!Z:Z,MATCH(B985,'MTA 28-09'!A:A,0))</f>
        <v>339039</v>
      </c>
      <c r="R985" s="32" t="str">
        <f t="array" ref="R985">INDEX('MTA 28-09'!L:L,MATCH(B985,'MTA 28-09'!A:A,0))</f>
        <v>A</v>
      </c>
      <c r="S985" s="72" t="str">
        <f t="array" ref="S985">INDEX('MTA 28-09'!X:X,MATCH(B985,'MTA 28-09'!A:A,0))</f>
        <v>SOB DEMANDA</v>
      </c>
      <c r="T985" s="72" t="str">
        <f t="array" ref="T985">INDEX('MTA 28-09'!W:W,MATCH(B985,'MTA 28-09'!A:A,0))</f>
        <v>Não</v>
      </c>
      <c r="U985" s="81">
        <f t="array" ref="U985">INDEX('MTA 28-09'!AE:AE,MATCH(B985,'MTA 28-09'!A:A,0))</f>
        <v>46382</v>
      </c>
      <c r="V985" s="12"/>
      <c r="W985" s="12"/>
      <c r="X985" s="12"/>
      <c r="Y985" s="12"/>
      <c r="Z985" s="12"/>
      <c r="AA985" s="12"/>
      <c r="AB985" s="12"/>
      <c r="AC985" s="12"/>
      <c r="AD985" s="12"/>
      <c r="AE985" s="12"/>
      <c r="AF985" s="12"/>
      <c r="AG985" s="12"/>
      <c r="AH985" s="12"/>
      <c r="AI985" s="12"/>
      <c r="AJ985" s="12"/>
      <c r="AK985" s="12"/>
      <c r="AL985" s="12"/>
      <c r="AM985" s="12"/>
    </row>
    <row r="986">
      <c r="A986" s="88" t="s">
        <v>44</v>
      </c>
      <c r="B986" s="90">
        <v>64960.0</v>
      </c>
      <c r="C986" s="92" t="str">
        <f t="array" ref="C986">INDEX('MTA 28-09'!B:B,MATCH(B986,'MTA 28-09'!A:A,0))</f>
        <v>SIM</v>
      </c>
      <c r="D986" s="95">
        <f t="array" ref="D986">INDEX('MTA 28-09'!D:D,MATCH(B986,'MTA 28-09'!A:A,0))</f>
        <v>2048</v>
      </c>
      <c r="E986" s="98" t="str">
        <f t="array" ref="E986">INDEX('MTA 28-09'!F:F,MATCH(B986,'MTA 28-09'!A:A,0))</f>
        <v/>
      </c>
      <c r="F986" s="98" t="str">
        <f t="array" ref="F986">INDEX('MTA 28-09'!I:I,MATCH(B986,'MTA 28-09'!A:A,0))</f>
        <v/>
      </c>
      <c r="G986" s="100" t="str">
        <f t="array" ref="G986">INDEX('MTA 28-09'!J:J,MATCH(B986,'MTA 28-09'!A:A,0))</f>
        <v/>
      </c>
      <c r="H986" s="296"/>
      <c r="I986" s="90" t="s">
        <v>293</v>
      </c>
      <c r="J986" s="102"/>
      <c r="K986" s="103"/>
      <c r="L986" s="102"/>
      <c r="M986" s="98" t="str">
        <f t="array" ref="M986">INDEX('MTA 28-09'!T:T,MATCH(B986,'MTA 28-09'!A:A,0))</f>
        <v>Requisição CABW</v>
      </c>
      <c r="N986" s="98" t="str">
        <f t="array" ref="N986">INDEX('MTA 28-09'!U:U,MATCH(B986,'MTA 28-09'!A:A,0))</f>
        <v>Requisições Consumíveis</v>
      </c>
      <c r="O986" s="104">
        <f t="array" ref="O986">INDEX('MTA 28-09'!AC:AC,MATCH(B986,'MTA 28-09'!A:A,0))</f>
        <v>1040000</v>
      </c>
      <c r="P986" s="98" t="str">
        <f t="array" ref="P986">INDEX('MTA 28-09'!N:N,MATCH(B986,'MTA 28-09'!A:A,0))</f>
        <v>CABW</v>
      </c>
      <c r="Q986" s="105" t="str">
        <f t="array" ref="Q986">INDEX('MTA 28-09'!Z:Z,MATCH(B986,'MTA 28-09'!A:A,0))</f>
        <v>339030</v>
      </c>
      <c r="R986" s="98" t="str">
        <f t="array" ref="R986">INDEX('MTA 28-09'!L:L,MATCH(B986,'MTA 28-09'!A:A,0))</f>
        <v>A</v>
      </c>
      <c r="S986" s="107" t="str">
        <f t="array" ref="S986">INDEX('MTA 28-09'!X:X,MATCH(B986,'MTA 28-09'!A:A,0))</f>
        <v>REQUISIÇÃO</v>
      </c>
      <c r="T986" s="107" t="str">
        <f t="array" ref="T986">INDEX('MTA 28-09'!W:W,MATCH(B986,'MTA 28-09'!A:A,0))</f>
        <v>Não</v>
      </c>
      <c r="U986" s="109">
        <f t="array" ref="U986">INDEX('MTA 28-09'!AE:AE,MATCH(B986,'MTA 28-09'!A:A,0))</f>
        <v>46382</v>
      </c>
      <c r="V986" s="29"/>
      <c r="W986" s="29"/>
      <c r="X986" s="29"/>
      <c r="Y986" s="29"/>
      <c r="Z986" s="29"/>
      <c r="AA986" s="29"/>
      <c r="AB986" s="29"/>
      <c r="AC986" s="29"/>
      <c r="AD986" s="29"/>
      <c r="AE986" s="29"/>
      <c r="AF986" s="29"/>
      <c r="AG986" s="29"/>
      <c r="AH986" s="29"/>
      <c r="AI986" s="29"/>
      <c r="AJ986" s="29"/>
      <c r="AK986" s="29"/>
      <c r="AL986" s="29"/>
      <c r="AM986" s="29"/>
    </row>
    <row r="987">
      <c r="A987" s="31" t="s">
        <v>107</v>
      </c>
      <c r="B987" s="38">
        <v>64980.0</v>
      </c>
      <c r="C987" s="33" t="str">
        <f t="array" ref="C987">INDEX('MTA 28-09'!B:B,MATCH(B987,'MTA 28-09'!A:A,0))</f>
        <v>SIM</v>
      </c>
      <c r="D987" s="34">
        <f t="array" ref="D987">INDEX('MTA 28-09'!D:D,MATCH(B987,'MTA 28-09'!A:A,0))</f>
        <v>2048</v>
      </c>
      <c r="E987" s="32" t="str">
        <f t="array" ref="E987">INDEX('MTA 28-09'!F:F,MATCH(B987,'MTA 28-09'!A:A,0))</f>
        <v/>
      </c>
      <c r="F987" s="32" t="str">
        <f t="array" ref="F987">INDEX('MTA 28-09'!I:I,MATCH(B987,'MTA 28-09'!A:A,0))</f>
        <v/>
      </c>
      <c r="G987" s="36" t="str">
        <f t="array" ref="G987">INDEX('MTA 28-09'!J:J,MATCH(B987,'MTA 28-09'!A:A,0))</f>
        <v/>
      </c>
      <c r="H987" s="295"/>
      <c r="I987" s="38"/>
      <c r="J987" s="39"/>
      <c r="K987" s="40"/>
      <c r="L987" s="39"/>
      <c r="M987" s="32" t="str">
        <f t="array" ref="M987">INDEX('MTA 28-09'!T:T,MATCH(B987,'MTA 28-09'!A:A,0))</f>
        <v>REQUISIÇÃO PTA SSS</v>
      </c>
      <c r="N987" s="32" t="str">
        <f t="array" ref="N987">INDEX('MTA 28-09'!U:U,MATCH(B987,'MTA 28-09'!A:A,0))</f>
        <v>AQUISIÇÃO ITENS SSS COM TEMPO LIMITE DE VIDA (CABW)</v>
      </c>
      <c r="O987" s="59">
        <f t="array" ref="O987">INDEX('MTA 28-09'!AC:AC,MATCH(B987,'MTA 28-09'!A:A,0))</f>
        <v>328080.6</v>
      </c>
      <c r="P987" s="32" t="str">
        <f t="array" ref="P987">INDEX('MTA 28-09'!N:N,MATCH(B987,'MTA 28-09'!A:A,0))</f>
        <v>CABW</v>
      </c>
      <c r="Q987" s="67" t="str">
        <f t="array" ref="Q987">INDEX('MTA 28-09'!Z:Z,MATCH(B987,'MTA 28-09'!A:A,0))</f>
        <v>339030</v>
      </c>
      <c r="R987" s="32" t="str">
        <f t="array" ref="R987">INDEX('MTA 28-09'!L:L,MATCH(B987,'MTA 28-09'!A:A,0))</f>
        <v>A</v>
      </c>
      <c r="S987" s="72" t="str">
        <f t="array" ref="S987">INDEX('MTA 28-09'!X:X,MATCH(B987,'MTA 28-09'!A:A,0))</f>
        <v>REQUISIÇÃO</v>
      </c>
      <c r="T987" s="72" t="str">
        <f t="array" ref="T987">INDEX('MTA 28-09'!W:W,MATCH(B987,'MTA 28-09'!A:A,0))</f>
        <v>NÃO</v>
      </c>
      <c r="U987" s="81">
        <f t="array" ref="U987">INDEX('MTA 28-09'!AE:AE,MATCH(B987,'MTA 28-09'!A:A,0))</f>
        <v>46382</v>
      </c>
      <c r="V987" s="12"/>
      <c r="W987" s="12"/>
      <c r="X987" s="12"/>
      <c r="Y987" s="12"/>
      <c r="Z987" s="12"/>
      <c r="AA987" s="12"/>
      <c r="AB987" s="12"/>
      <c r="AC987" s="12"/>
      <c r="AD987" s="12"/>
      <c r="AE987" s="12"/>
      <c r="AF987" s="12"/>
      <c r="AG987" s="12"/>
      <c r="AH987" s="12"/>
      <c r="AI987" s="12"/>
      <c r="AJ987" s="12"/>
      <c r="AK987" s="12"/>
      <c r="AL987" s="12"/>
      <c r="AM987" s="12"/>
    </row>
    <row r="988">
      <c r="A988" s="88" t="s">
        <v>44</v>
      </c>
      <c r="B988" s="90">
        <v>65000.0</v>
      </c>
      <c r="C988" s="92" t="str">
        <f t="array" ref="C988">INDEX('MTA 28-09'!B:B,MATCH(B988,'MTA 28-09'!A:A,0))</f>
        <v>SIM</v>
      </c>
      <c r="D988" s="95">
        <f t="array" ref="D988">INDEX('MTA 28-09'!D:D,MATCH(B988,'MTA 28-09'!A:A,0))</f>
        <v>2048</v>
      </c>
      <c r="E988" s="98" t="str">
        <f t="array" ref="E988">INDEX('MTA 28-09'!F:F,MATCH(B988,'MTA 28-09'!A:A,0))</f>
        <v/>
      </c>
      <c r="F988" s="98" t="str">
        <f t="array" ref="F988">INDEX('MTA 28-09'!I:I,MATCH(B988,'MTA 28-09'!A:A,0))</f>
        <v/>
      </c>
      <c r="G988" s="100" t="str">
        <f t="array" ref="G988">INDEX('MTA 28-09'!J:J,MATCH(B988,'MTA 28-09'!A:A,0))</f>
        <v/>
      </c>
      <c r="H988" s="296"/>
      <c r="I988" s="90" t="s">
        <v>293</v>
      </c>
      <c r="J988" s="102"/>
      <c r="K988" s="103"/>
      <c r="L988" s="102"/>
      <c r="M988" s="98" t="str">
        <f t="array" ref="M988">INDEX('MTA 28-09'!T:T,MATCH(B988,'MTA 28-09'!A:A,0))</f>
        <v>Requisição CABW</v>
      </c>
      <c r="N988" s="98" t="str">
        <f t="array" ref="N988">INDEX('MTA 28-09'!U:U,MATCH(B988,'MTA 28-09'!A:A,0))</f>
        <v>Requisições Consumíveis</v>
      </c>
      <c r="O988" s="104">
        <f t="array" ref="O988">INDEX('MTA 28-09'!AC:AC,MATCH(B988,'MTA 28-09'!A:A,0))</f>
        <v>1040000</v>
      </c>
      <c r="P988" s="98" t="str">
        <f t="array" ref="P988">INDEX('MTA 28-09'!N:N,MATCH(B988,'MTA 28-09'!A:A,0))</f>
        <v>CABW</v>
      </c>
      <c r="Q988" s="105" t="str">
        <f t="array" ref="Q988">INDEX('MTA 28-09'!Z:Z,MATCH(B988,'MTA 28-09'!A:A,0))</f>
        <v>339030</v>
      </c>
      <c r="R988" s="98" t="str">
        <f t="array" ref="R988">INDEX('MTA 28-09'!L:L,MATCH(B988,'MTA 28-09'!A:A,0))</f>
        <v>A</v>
      </c>
      <c r="S988" s="107" t="str">
        <f t="array" ref="S988">INDEX('MTA 28-09'!X:X,MATCH(B988,'MTA 28-09'!A:A,0))</f>
        <v>REQUISIÇÃO</v>
      </c>
      <c r="T988" s="107" t="str">
        <f t="array" ref="T988">INDEX('MTA 28-09'!W:W,MATCH(B988,'MTA 28-09'!A:A,0))</f>
        <v>Não</v>
      </c>
      <c r="U988" s="109">
        <f t="array" ref="U988">INDEX('MTA 28-09'!AE:AE,MATCH(B988,'MTA 28-09'!A:A,0))</f>
        <v>46382</v>
      </c>
      <c r="V988" s="29"/>
      <c r="W988" s="29"/>
      <c r="X988" s="29"/>
      <c r="Y988" s="29"/>
      <c r="Z988" s="29"/>
      <c r="AA988" s="29"/>
      <c r="AB988" s="29"/>
      <c r="AC988" s="29"/>
      <c r="AD988" s="29"/>
      <c r="AE988" s="29"/>
      <c r="AF988" s="29"/>
      <c r="AG988" s="29"/>
      <c r="AH988" s="29"/>
      <c r="AI988" s="29"/>
      <c r="AJ988" s="29"/>
      <c r="AK988" s="29"/>
      <c r="AL988" s="29"/>
      <c r="AM988" s="29"/>
    </row>
    <row r="989">
      <c r="A989" s="31" t="s">
        <v>44</v>
      </c>
      <c r="B989" s="38">
        <v>65020.0</v>
      </c>
      <c r="C989" s="33" t="str">
        <f t="array" ref="C989">INDEX('MTA 28-09'!B:B,MATCH(B989,'MTA 28-09'!A:A,0))</f>
        <v>SIM</v>
      </c>
      <c r="D989" s="34">
        <f t="array" ref="D989">INDEX('MTA 28-09'!D:D,MATCH(B989,'MTA 28-09'!A:A,0))</f>
        <v>2048</v>
      </c>
      <c r="E989" s="32" t="str">
        <f t="array" ref="E989">INDEX('MTA 28-09'!F:F,MATCH(B989,'MTA 28-09'!A:A,0))</f>
        <v/>
      </c>
      <c r="F989" s="32" t="str">
        <f t="array" ref="F989">INDEX('MTA 28-09'!I:I,MATCH(B989,'MTA 28-09'!A:A,0))</f>
        <v/>
      </c>
      <c r="G989" s="36" t="str">
        <f t="array" ref="G989">INDEX('MTA 28-09'!J:J,MATCH(B989,'MTA 28-09'!A:A,0))</f>
        <v/>
      </c>
      <c r="H989" s="295"/>
      <c r="I989" s="38" t="s">
        <v>293</v>
      </c>
      <c r="J989" s="39"/>
      <c r="K989" s="40"/>
      <c r="L989" s="39"/>
      <c r="M989" s="32" t="str">
        <f t="array" ref="M989">INDEX('MTA 28-09'!T:T,MATCH(B989,'MTA 28-09'!A:A,0))</f>
        <v>Requisição CABW</v>
      </c>
      <c r="N989" s="32" t="str">
        <f t="array" ref="N989">INDEX('MTA 28-09'!U:U,MATCH(B989,'MTA 28-09'!A:A,0))</f>
        <v>Requisições Consumíveis</v>
      </c>
      <c r="O989" s="59">
        <f t="array" ref="O989">INDEX('MTA 28-09'!AC:AC,MATCH(B989,'MTA 28-09'!A:A,0))</f>
        <v>1040000</v>
      </c>
      <c r="P989" s="32" t="str">
        <f t="array" ref="P989">INDEX('MTA 28-09'!N:N,MATCH(B989,'MTA 28-09'!A:A,0))</f>
        <v>CABW</v>
      </c>
      <c r="Q989" s="67" t="str">
        <f t="array" ref="Q989">INDEX('MTA 28-09'!Z:Z,MATCH(B989,'MTA 28-09'!A:A,0))</f>
        <v>339030</v>
      </c>
      <c r="R989" s="32" t="str">
        <f t="array" ref="R989">INDEX('MTA 28-09'!L:L,MATCH(B989,'MTA 28-09'!A:A,0))</f>
        <v>A</v>
      </c>
      <c r="S989" s="72" t="str">
        <f t="array" ref="S989">INDEX('MTA 28-09'!X:X,MATCH(B989,'MTA 28-09'!A:A,0))</f>
        <v>REQUISIÇÃO</v>
      </c>
      <c r="T989" s="72" t="str">
        <f t="array" ref="T989">INDEX('MTA 28-09'!W:W,MATCH(B989,'MTA 28-09'!A:A,0))</f>
        <v>Não</v>
      </c>
      <c r="U989" s="81">
        <f t="array" ref="U989">INDEX('MTA 28-09'!AE:AE,MATCH(B989,'MTA 28-09'!A:A,0))</f>
        <v>46382</v>
      </c>
      <c r="V989" s="12"/>
      <c r="W989" s="12"/>
      <c r="X989" s="12"/>
      <c r="Y989" s="12"/>
      <c r="Z989" s="12"/>
      <c r="AA989" s="12"/>
      <c r="AB989" s="12"/>
      <c r="AC989" s="12"/>
      <c r="AD989" s="12"/>
      <c r="AE989" s="12"/>
      <c r="AF989" s="12"/>
      <c r="AG989" s="12"/>
      <c r="AH989" s="12"/>
      <c r="AI989" s="12"/>
      <c r="AJ989" s="12"/>
      <c r="AK989" s="12"/>
      <c r="AL989" s="12"/>
      <c r="AM989" s="12"/>
    </row>
    <row r="990">
      <c r="A990" s="88" t="s">
        <v>44</v>
      </c>
      <c r="B990" s="90">
        <v>65040.0</v>
      </c>
      <c r="C990" s="92" t="str">
        <f t="array" ref="C990">INDEX('MTA 28-09'!B:B,MATCH(B990,'MTA 28-09'!A:A,0))</f>
        <v>SIM</v>
      </c>
      <c r="D990" s="95">
        <f t="array" ref="D990">INDEX('MTA 28-09'!D:D,MATCH(B990,'MTA 28-09'!A:A,0))</f>
        <v>2048</v>
      </c>
      <c r="E990" s="98" t="str">
        <f t="array" ref="E990">INDEX('MTA 28-09'!F:F,MATCH(B990,'MTA 28-09'!A:A,0))</f>
        <v/>
      </c>
      <c r="F990" s="98" t="str">
        <f t="array" ref="F990">INDEX('MTA 28-09'!I:I,MATCH(B990,'MTA 28-09'!A:A,0))</f>
        <v/>
      </c>
      <c r="G990" s="100" t="str">
        <f t="array" ref="G990">INDEX('MTA 28-09'!J:J,MATCH(B990,'MTA 28-09'!A:A,0))</f>
        <v/>
      </c>
      <c r="H990" s="296"/>
      <c r="I990" s="90" t="s">
        <v>293</v>
      </c>
      <c r="J990" s="102"/>
      <c r="K990" s="103"/>
      <c r="L990" s="102"/>
      <c r="M990" s="98" t="str">
        <f t="array" ref="M990">INDEX('MTA 28-09'!T:T,MATCH(B990,'MTA 28-09'!A:A,0))</f>
        <v>Requisição CABW</v>
      </c>
      <c r="N990" s="98" t="str">
        <f t="array" ref="N990">INDEX('MTA 28-09'!U:U,MATCH(B990,'MTA 28-09'!A:A,0))</f>
        <v>Requisições Consumíveis</v>
      </c>
      <c r="O990" s="104">
        <f t="array" ref="O990">INDEX('MTA 28-09'!AC:AC,MATCH(B990,'MTA 28-09'!A:A,0))</f>
        <v>1040000</v>
      </c>
      <c r="P990" s="98" t="str">
        <f t="array" ref="P990">INDEX('MTA 28-09'!N:N,MATCH(B990,'MTA 28-09'!A:A,0))</f>
        <v>CABW</v>
      </c>
      <c r="Q990" s="105" t="str">
        <f t="array" ref="Q990">INDEX('MTA 28-09'!Z:Z,MATCH(B990,'MTA 28-09'!A:A,0))</f>
        <v>339030</v>
      </c>
      <c r="R990" s="98" t="str">
        <f t="array" ref="R990">INDEX('MTA 28-09'!L:L,MATCH(B990,'MTA 28-09'!A:A,0))</f>
        <v>A</v>
      </c>
      <c r="S990" s="107" t="str">
        <f t="array" ref="S990">INDEX('MTA 28-09'!X:X,MATCH(B990,'MTA 28-09'!A:A,0))</f>
        <v>REQUISIÇÃO</v>
      </c>
      <c r="T990" s="107" t="str">
        <f t="array" ref="T990">INDEX('MTA 28-09'!W:W,MATCH(B990,'MTA 28-09'!A:A,0))</f>
        <v>Não</v>
      </c>
      <c r="U990" s="109">
        <f t="array" ref="U990">INDEX('MTA 28-09'!AE:AE,MATCH(B990,'MTA 28-09'!A:A,0))</f>
        <v>46382</v>
      </c>
      <c r="V990" s="29"/>
      <c r="W990" s="29"/>
      <c r="X990" s="29"/>
      <c r="Y990" s="29"/>
      <c r="Z990" s="29"/>
      <c r="AA990" s="29"/>
      <c r="AB990" s="29"/>
      <c r="AC990" s="29"/>
      <c r="AD990" s="29"/>
      <c r="AE990" s="29"/>
      <c r="AF990" s="29"/>
      <c r="AG990" s="29"/>
      <c r="AH990" s="29"/>
      <c r="AI990" s="29"/>
      <c r="AJ990" s="29"/>
      <c r="AK990" s="29"/>
      <c r="AL990" s="29"/>
      <c r="AM990" s="29"/>
    </row>
    <row r="991">
      <c r="A991" s="31" t="s">
        <v>44</v>
      </c>
      <c r="B991" s="38">
        <v>65060.0</v>
      </c>
      <c r="C991" s="33" t="str">
        <f t="array" ref="C991">INDEX('MTA 28-09'!B:B,MATCH(B991,'MTA 28-09'!A:A,0))</f>
        <v>SIM</v>
      </c>
      <c r="D991" s="34">
        <f t="array" ref="D991">INDEX('MTA 28-09'!D:D,MATCH(B991,'MTA 28-09'!A:A,0))</f>
        <v>2048</v>
      </c>
      <c r="E991" s="32" t="str">
        <f t="array" ref="E991">INDEX('MTA 28-09'!F:F,MATCH(B991,'MTA 28-09'!A:A,0))</f>
        <v/>
      </c>
      <c r="F991" s="32" t="str">
        <f t="array" ref="F991">INDEX('MTA 28-09'!I:I,MATCH(B991,'MTA 28-09'!A:A,0))</f>
        <v/>
      </c>
      <c r="G991" s="36" t="str">
        <f t="array" ref="G991">INDEX('MTA 28-09'!J:J,MATCH(B991,'MTA 28-09'!A:A,0))</f>
        <v/>
      </c>
      <c r="H991" s="295"/>
      <c r="I991" s="38" t="s">
        <v>293</v>
      </c>
      <c r="J991" s="39"/>
      <c r="K991" s="40"/>
      <c r="L991" s="39"/>
      <c r="M991" s="32" t="str">
        <f t="array" ref="M991">INDEX('MTA 28-09'!T:T,MATCH(B991,'MTA 28-09'!A:A,0))</f>
        <v>Requisição CABW</v>
      </c>
      <c r="N991" s="32" t="str">
        <f t="array" ref="N991">INDEX('MTA 28-09'!U:U,MATCH(B991,'MTA 28-09'!A:A,0))</f>
        <v>Requisições Consumíveis</v>
      </c>
      <c r="O991" s="59">
        <f t="array" ref="O991">INDEX('MTA 28-09'!AC:AC,MATCH(B991,'MTA 28-09'!A:A,0))</f>
        <v>1040000</v>
      </c>
      <c r="P991" s="32" t="str">
        <f t="array" ref="P991">INDEX('MTA 28-09'!N:N,MATCH(B991,'MTA 28-09'!A:A,0))</f>
        <v>CABW</v>
      </c>
      <c r="Q991" s="67" t="str">
        <f t="array" ref="Q991">INDEX('MTA 28-09'!Z:Z,MATCH(B991,'MTA 28-09'!A:A,0))</f>
        <v>339030</v>
      </c>
      <c r="R991" s="32" t="str">
        <f t="array" ref="R991">INDEX('MTA 28-09'!L:L,MATCH(B991,'MTA 28-09'!A:A,0))</f>
        <v>A</v>
      </c>
      <c r="S991" s="72" t="str">
        <f t="array" ref="S991">INDEX('MTA 28-09'!X:X,MATCH(B991,'MTA 28-09'!A:A,0))</f>
        <v>REQUISIÇÃO</v>
      </c>
      <c r="T991" s="72" t="str">
        <f t="array" ref="T991">INDEX('MTA 28-09'!W:W,MATCH(B991,'MTA 28-09'!A:A,0))</f>
        <v>Não</v>
      </c>
      <c r="U991" s="81">
        <f t="array" ref="U991">INDEX('MTA 28-09'!AE:AE,MATCH(B991,'MTA 28-09'!A:A,0))</f>
        <v>46382</v>
      </c>
      <c r="V991" s="12"/>
      <c r="W991" s="12"/>
      <c r="X991" s="12"/>
      <c r="Y991" s="12"/>
      <c r="Z991" s="12"/>
      <c r="AA991" s="12"/>
      <c r="AB991" s="12"/>
      <c r="AC991" s="12"/>
      <c r="AD991" s="12"/>
      <c r="AE991" s="12"/>
      <c r="AF991" s="12"/>
      <c r="AG991" s="12"/>
      <c r="AH991" s="12"/>
      <c r="AI991" s="12"/>
      <c r="AJ991" s="12"/>
      <c r="AK991" s="12"/>
      <c r="AL991" s="12"/>
      <c r="AM991" s="12"/>
    </row>
    <row r="992">
      <c r="A992" s="88" t="s">
        <v>43</v>
      </c>
      <c r="B992" s="90">
        <v>65080.0</v>
      </c>
      <c r="C992" s="92" t="str">
        <f t="array" ref="C992">INDEX('MTA 28-09'!B:B,MATCH(B992,'MTA 28-09'!A:A,0))</f>
        <v>SIM</v>
      </c>
      <c r="D992" s="95">
        <f t="array" ref="D992">INDEX('MTA 28-09'!D:D,MATCH(B992,'MTA 28-09'!A:A,0))</f>
        <v>2048</v>
      </c>
      <c r="E992" s="98" t="str">
        <f t="array" ref="E992">INDEX('MTA 28-09'!F:F,MATCH(B992,'MTA 28-09'!A:A,0))</f>
        <v/>
      </c>
      <c r="F992" s="98" t="str">
        <f t="array" ref="F992">INDEX('MTA 28-09'!I:I,MATCH(B992,'MTA 28-09'!A:A,0))</f>
        <v/>
      </c>
      <c r="G992" s="100" t="str">
        <f t="array" ref="G992">INDEX('MTA 28-09'!J:J,MATCH(B992,'MTA 28-09'!A:A,0))</f>
        <v/>
      </c>
      <c r="H992" s="296"/>
      <c r="I992" s="90" t="s">
        <v>293</v>
      </c>
      <c r="J992" s="102"/>
      <c r="K992" s="103"/>
      <c r="L992" s="102"/>
      <c r="M992" s="98" t="str">
        <f t="array" ref="M992">INDEX('MTA 28-09'!T:T,MATCH(B992,'MTA 28-09'!A:A,0))</f>
        <v>Requisição CABW</v>
      </c>
      <c r="N992" s="98" t="str">
        <f t="array" ref="N992">INDEX('MTA 28-09'!U:U,MATCH(B992,'MTA 28-09'!A:A,0))</f>
        <v>Requisições Consumíveis</v>
      </c>
      <c r="O992" s="104">
        <f t="array" ref="O992">INDEX('MTA 28-09'!AC:AC,MATCH(B992,'MTA 28-09'!A:A,0))</f>
        <v>1000000</v>
      </c>
      <c r="P992" s="98" t="str">
        <f t="array" ref="P992">INDEX('MTA 28-09'!N:N,MATCH(B992,'MTA 28-09'!A:A,0))</f>
        <v>CABW</v>
      </c>
      <c r="Q992" s="105" t="str">
        <f t="array" ref="Q992">INDEX('MTA 28-09'!Z:Z,MATCH(B992,'MTA 28-09'!A:A,0))</f>
        <v>339030</v>
      </c>
      <c r="R992" s="98" t="str">
        <f t="array" ref="R992">INDEX('MTA 28-09'!L:L,MATCH(B992,'MTA 28-09'!A:A,0))</f>
        <v>A</v>
      </c>
      <c r="S992" s="107" t="str">
        <f t="array" ref="S992">INDEX('MTA 28-09'!X:X,MATCH(B992,'MTA 28-09'!A:A,0))</f>
        <v>REQUISIÇÃO</v>
      </c>
      <c r="T992" s="107" t="str">
        <f t="array" ref="T992">INDEX('MTA 28-09'!W:W,MATCH(B992,'MTA 28-09'!A:A,0))</f>
        <v>Não</v>
      </c>
      <c r="U992" s="109">
        <f t="array" ref="U992">INDEX('MTA 28-09'!AE:AE,MATCH(B992,'MTA 28-09'!A:A,0))</f>
        <v>46382</v>
      </c>
      <c r="V992" s="29"/>
      <c r="W992" s="29"/>
      <c r="X992" s="29"/>
      <c r="Y992" s="29"/>
      <c r="Z992" s="29"/>
      <c r="AA992" s="29"/>
      <c r="AB992" s="29"/>
      <c r="AC992" s="29"/>
      <c r="AD992" s="29"/>
      <c r="AE992" s="29"/>
      <c r="AF992" s="29"/>
      <c r="AG992" s="29"/>
      <c r="AH992" s="29"/>
      <c r="AI992" s="29"/>
      <c r="AJ992" s="29"/>
      <c r="AK992" s="29"/>
      <c r="AL992" s="29"/>
      <c r="AM992" s="29"/>
    </row>
    <row r="993">
      <c r="A993" s="31" t="s">
        <v>47</v>
      </c>
      <c r="B993" s="38">
        <v>66000.0</v>
      </c>
      <c r="C993" s="33" t="str">
        <f t="array" ref="C993">INDEX('MTA 28-09'!B:B,MATCH(B993,'MTA 28-09'!A:A,0))</f>
        <v>SIM</v>
      </c>
      <c r="D993" s="34">
        <f t="array" ref="D993">INDEX('MTA 28-09'!D:D,MATCH(B993,'MTA 28-09'!A:A,0))</f>
        <v>2048</v>
      </c>
      <c r="E993" s="32" t="str">
        <f t="array" ref="E993">INDEX('MTA 28-09'!F:F,MATCH(B993,'MTA 28-09'!A:A,0))</f>
        <v/>
      </c>
      <c r="F993" s="32" t="str">
        <f t="array" ref="F993">INDEX('MTA 28-09'!I:I,MATCH(B993,'MTA 28-09'!A:A,0))</f>
        <v/>
      </c>
      <c r="G993" s="36" t="str">
        <f t="array" ref="G993">INDEX('MTA 28-09'!J:J,MATCH(B993,'MTA 28-09'!A:A,0))</f>
        <v/>
      </c>
      <c r="H993" s="295"/>
      <c r="I993" s="38" t="s">
        <v>293</v>
      </c>
      <c r="J993" s="39"/>
      <c r="K993" s="40"/>
      <c r="L993" s="39"/>
      <c r="M993" s="32" t="str">
        <f t="array" ref="M993">INDEX('MTA 28-09'!T:T,MATCH(B993,'MTA 28-09'!A:A,0))</f>
        <v>Requisição CABW</v>
      </c>
      <c r="N993" s="32" t="str">
        <f t="array" ref="N993">INDEX('MTA 28-09'!U:U,MATCH(B993,'MTA 28-09'!A:A,0))</f>
        <v>Requisições Consumíveis</v>
      </c>
      <c r="O993" s="59">
        <f t="array" ref="O993">INDEX('MTA 28-09'!AC:AC,MATCH(B993,'MTA 28-09'!A:A,0))</f>
        <v>310000</v>
      </c>
      <c r="P993" s="32" t="str">
        <f t="array" ref="P993">INDEX('MTA 28-09'!N:N,MATCH(B993,'MTA 28-09'!A:A,0))</f>
        <v>CABW</v>
      </c>
      <c r="Q993" s="67" t="str">
        <f t="array" ref="Q993">INDEX('MTA 28-09'!Z:Z,MATCH(B993,'MTA 28-09'!A:A,0))</f>
        <v>339030</v>
      </c>
      <c r="R993" s="32" t="str">
        <f t="array" ref="R993">INDEX('MTA 28-09'!L:L,MATCH(B993,'MTA 28-09'!A:A,0))</f>
        <v>A</v>
      </c>
      <c r="S993" s="72" t="str">
        <f t="array" ref="S993">INDEX('MTA 28-09'!X:X,MATCH(B993,'MTA 28-09'!A:A,0))</f>
        <v>REQUISIÇÃO</v>
      </c>
      <c r="T993" s="72" t="str">
        <f t="array" ref="T993">INDEX('MTA 28-09'!W:W,MATCH(B993,'MTA 28-09'!A:A,0))</f>
        <v>Não</v>
      </c>
      <c r="U993" s="81">
        <f t="array" ref="U993">INDEX('MTA 28-09'!AE:AE,MATCH(B993,'MTA 28-09'!A:A,0))</f>
        <v>46382</v>
      </c>
      <c r="V993" s="12"/>
      <c r="W993" s="12"/>
      <c r="X993" s="12"/>
      <c r="Y993" s="12"/>
      <c r="Z993" s="12"/>
      <c r="AA993" s="12"/>
      <c r="AB993" s="12"/>
      <c r="AC993" s="12"/>
      <c r="AD993" s="12"/>
      <c r="AE993" s="12"/>
      <c r="AF993" s="12"/>
      <c r="AG993" s="12"/>
      <c r="AH993" s="12"/>
      <c r="AI993" s="12"/>
      <c r="AJ993" s="12"/>
      <c r="AK993" s="12"/>
      <c r="AL993" s="12"/>
      <c r="AM993" s="12"/>
    </row>
    <row r="994">
      <c r="A994" s="88" t="s">
        <v>47</v>
      </c>
      <c r="B994" s="90">
        <v>66020.0</v>
      </c>
      <c r="C994" s="92" t="str">
        <f t="array" ref="C994">INDEX('MTA 28-09'!B:B,MATCH(B994,'MTA 28-09'!A:A,0))</f>
        <v>SIM</v>
      </c>
      <c r="D994" s="95">
        <f t="array" ref="D994">INDEX('MTA 28-09'!D:D,MATCH(B994,'MTA 28-09'!A:A,0))</f>
        <v>2048</v>
      </c>
      <c r="E994" s="98" t="str">
        <f t="array" ref="E994">INDEX('MTA 28-09'!F:F,MATCH(B994,'MTA 28-09'!A:A,0))</f>
        <v/>
      </c>
      <c r="F994" s="98" t="str">
        <f t="array" ref="F994">INDEX('MTA 28-09'!I:I,MATCH(B994,'MTA 28-09'!A:A,0))</f>
        <v/>
      </c>
      <c r="G994" s="100" t="str">
        <f t="array" ref="G994">INDEX('MTA 28-09'!J:J,MATCH(B994,'MTA 28-09'!A:A,0))</f>
        <v/>
      </c>
      <c r="H994" s="296"/>
      <c r="I994" s="90" t="s">
        <v>293</v>
      </c>
      <c r="J994" s="102"/>
      <c r="K994" s="103"/>
      <c r="L994" s="102"/>
      <c r="M994" s="98" t="str">
        <f t="array" ref="M994">INDEX('MTA 28-09'!T:T,MATCH(B994,'MTA 28-09'!A:A,0))</f>
        <v>Requisição CABW</v>
      </c>
      <c r="N994" s="98" t="str">
        <f t="array" ref="N994">INDEX('MTA 28-09'!U:U,MATCH(B994,'MTA 28-09'!A:A,0))</f>
        <v>Requisições Consumíveis</v>
      </c>
      <c r="O994" s="104">
        <f t="array" ref="O994">INDEX('MTA 28-09'!AC:AC,MATCH(B994,'MTA 28-09'!A:A,0))</f>
        <v>310000</v>
      </c>
      <c r="P994" s="98" t="str">
        <f t="array" ref="P994">INDEX('MTA 28-09'!N:N,MATCH(B994,'MTA 28-09'!A:A,0))</f>
        <v>CABW</v>
      </c>
      <c r="Q994" s="105" t="str">
        <f t="array" ref="Q994">INDEX('MTA 28-09'!Z:Z,MATCH(B994,'MTA 28-09'!A:A,0))</f>
        <v>339030</v>
      </c>
      <c r="R994" s="98" t="str">
        <f t="array" ref="R994">INDEX('MTA 28-09'!L:L,MATCH(B994,'MTA 28-09'!A:A,0))</f>
        <v>A</v>
      </c>
      <c r="S994" s="107" t="str">
        <f t="array" ref="S994">INDEX('MTA 28-09'!X:X,MATCH(B994,'MTA 28-09'!A:A,0))</f>
        <v>REQUISIÇÃO</v>
      </c>
      <c r="T994" s="107" t="str">
        <f t="array" ref="T994">INDEX('MTA 28-09'!W:W,MATCH(B994,'MTA 28-09'!A:A,0))</f>
        <v>Não</v>
      </c>
      <c r="U994" s="109">
        <f t="array" ref="U994">INDEX('MTA 28-09'!AE:AE,MATCH(B994,'MTA 28-09'!A:A,0))</f>
        <v>46382</v>
      </c>
      <c r="V994" s="29"/>
      <c r="W994" s="29"/>
      <c r="X994" s="29"/>
      <c r="Y994" s="29"/>
      <c r="Z994" s="29"/>
      <c r="AA994" s="29"/>
      <c r="AB994" s="29"/>
      <c r="AC994" s="29"/>
      <c r="AD994" s="29"/>
      <c r="AE994" s="29"/>
      <c r="AF994" s="29"/>
      <c r="AG994" s="29"/>
      <c r="AH994" s="29"/>
      <c r="AI994" s="29"/>
      <c r="AJ994" s="29"/>
      <c r="AK994" s="29"/>
      <c r="AL994" s="29"/>
      <c r="AM994" s="29"/>
    </row>
    <row r="995">
      <c r="A995" s="31" t="s">
        <v>107</v>
      </c>
      <c r="B995" s="38">
        <v>66040.0</v>
      </c>
      <c r="C995" s="33" t="str">
        <f t="array" ref="C995">INDEX('MTA 28-09'!B:B,MATCH(B995,'MTA 28-09'!A:A,0))</f>
        <v>SIM</v>
      </c>
      <c r="D995" s="34">
        <f t="array" ref="D995">INDEX('MTA 28-09'!D:D,MATCH(B995,'MTA 28-09'!A:A,0))</f>
        <v>2048</v>
      </c>
      <c r="E995" s="32" t="str">
        <f t="array" ref="E995">INDEX('MTA 28-09'!F:F,MATCH(B995,'MTA 28-09'!A:A,0))</f>
        <v/>
      </c>
      <c r="F995" s="32" t="str">
        <f t="array" ref="F995">INDEX('MTA 28-09'!I:I,MATCH(B995,'MTA 28-09'!A:A,0))</f>
        <v/>
      </c>
      <c r="G995" s="36" t="str">
        <f t="array" ref="G995">INDEX('MTA 28-09'!J:J,MATCH(B995,'MTA 28-09'!A:A,0))</f>
        <v/>
      </c>
      <c r="H995" s="295"/>
      <c r="I995" s="38" t="s">
        <v>293</v>
      </c>
      <c r="J995" s="39"/>
      <c r="K995" s="40"/>
      <c r="L995" s="39"/>
      <c r="M995" s="32" t="str">
        <f t="array" ref="M995">INDEX('MTA 28-09'!T:T,MATCH(B995,'MTA 28-09'!A:A,0))</f>
        <v>Requisição PTA SSS</v>
      </c>
      <c r="N995" s="32" t="str">
        <f t="array" ref="N995">INDEX('MTA 28-09'!U:U,MATCH(B995,'MTA 28-09'!A:A,0))</f>
        <v>Aquisição de Itens SSS Cumprir PTA</v>
      </c>
      <c r="O995" s="59">
        <f t="array" ref="O995">INDEX('MTA 28-09'!AC:AC,MATCH(B995,'MTA 28-09'!A:A,0))</f>
        <v>156154.05</v>
      </c>
      <c r="P995" s="32" t="str">
        <f t="array" ref="P995">INDEX('MTA 28-09'!N:N,MATCH(B995,'MTA 28-09'!A:A,0))</f>
        <v>CABW</v>
      </c>
      <c r="Q995" s="67" t="str">
        <f t="array" ref="Q995">INDEX('MTA 28-09'!Z:Z,MATCH(B995,'MTA 28-09'!A:A,0))</f>
        <v>339030</v>
      </c>
      <c r="R995" s="32" t="str">
        <f t="array" ref="R995">INDEX('MTA 28-09'!L:L,MATCH(B995,'MTA 28-09'!A:A,0))</f>
        <v>A</v>
      </c>
      <c r="S995" s="72" t="str">
        <f t="array" ref="S995">INDEX('MTA 28-09'!X:X,MATCH(B995,'MTA 28-09'!A:A,0))</f>
        <v>REQUISIÇÃO</v>
      </c>
      <c r="T995" s="72" t="str">
        <f t="array" ref="T995">INDEX('MTA 28-09'!W:W,MATCH(B995,'MTA 28-09'!A:A,0))</f>
        <v>NÃO</v>
      </c>
      <c r="U995" s="81">
        <f t="array" ref="U995">INDEX('MTA 28-09'!AE:AE,MATCH(B995,'MTA 28-09'!A:A,0))</f>
        <v>46291</v>
      </c>
      <c r="V995" s="12"/>
      <c r="W995" s="12"/>
      <c r="X995" s="12"/>
      <c r="Y995" s="12"/>
      <c r="Z995" s="12"/>
      <c r="AA995" s="12"/>
      <c r="AB995" s="12"/>
      <c r="AC995" s="12"/>
      <c r="AD995" s="12"/>
      <c r="AE995" s="12"/>
      <c r="AF995" s="12"/>
      <c r="AG995" s="12"/>
      <c r="AH995" s="12"/>
      <c r="AI995" s="12"/>
      <c r="AJ995" s="12"/>
      <c r="AK995" s="12"/>
      <c r="AL995" s="12"/>
      <c r="AM995" s="12"/>
    </row>
    <row r="996">
      <c r="A996" s="88" t="s">
        <v>48</v>
      </c>
      <c r="B996" s="90">
        <v>66060.0</v>
      </c>
      <c r="C996" s="92" t="str">
        <f t="array" ref="C996">INDEX('MTA 28-09'!B:B,MATCH(B996,'MTA 28-09'!A:A,0))</f>
        <v>SIM</v>
      </c>
      <c r="D996" s="95">
        <f t="array" ref="D996">INDEX('MTA 28-09'!D:D,MATCH(B996,'MTA 28-09'!A:A,0))</f>
        <v>2048</v>
      </c>
      <c r="E996" s="98" t="str">
        <f t="array" ref="E996">INDEX('MTA 28-09'!F:F,MATCH(B996,'MTA 28-09'!A:A,0))</f>
        <v/>
      </c>
      <c r="F996" s="98" t="str">
        <f t="array" ref="F996">INDEX('MTA 28-09'!I:I,MATCH(B996,'MTA 28-09'!A:A,0))</f>
        <v/>
      </c>
      <c r="G996" s="100" t="str">
        <f t="array" ref="G996">INDEX('MTA 28-09'!J:J,MATCH(B996,'MTA 28-09'!A:A,0))</f>
        <v/>
      </c>
      <c r="H996" s="296"/>
      <c r="I996" s="90" t="s">
        <v>1633</v>
      </c>
      <c r="J996" s="102"/>
      <c r="K996" s="103"/>
      <c r="L996" s="102"/>
      <c r="M996" s="98" t="str">
        <f t="array" ref="M996">INDEX('MTA 28-09'!T:T,MATCH(B996,'MTA 28-09'!A:A,0))</f>
        <v>Requisição CABW</v>
      </c>
      <c r="N996" s="98" t="str">
        <f t="array" ref="N996">INDEX('MTA 28-09'!U:U,MATCH(B996,'MTA 28-09'!A:A,0))</f>
        <v>Requisições Consumíveis</v>
      </c>
      <c r="O996" s="104">
        <f t="array" ref="O996">INDEX('MTA 28-09'!AC:AC,MATCH(B996,'MTA 28-09'!A:A,0))</f>
        <v>20000</v>
      </c>
      <c r="P996" s="98" t="str">
        <f t="array" ref="P996">INDEX('MTA 28-09'!N:N,MATCH(B996,'MTA 28-09'!A:A,0))</f>
        <v>CABW</v>
      </c>
      <c r="Q996" s="105" t="str">
        <f t="array" ref="Q996">INDEX('MTA 28-09'!Z:Z,MATCH(B996,'MTA 28-09'!A:A,0))</f>
        <v>339030</v>
      </c>
      <c r="R996" s="98" t="str">
        <f t="array" ref="R996">INDEX('MTA 28-09'!L:L,MATCH(B996,'MTA 28-09'!A:A,0))</f>
        <v>A</v>
      </c>
      <c r="S996" s="107" t="str">
        <f t="array" ref="S996">INDEX('MTA 28-09'!X:X,MATCH(B996,'MTA 28-09'!A:A,0))</f>
        <v>REQUISIÇÃO</v>
      </c>
      <c r="T996" s="107" t="str">
        <f t="array" ref="T996">INDEX('MTA 28-09'!W:W,MATCH(B996,'MTA 28-09'!A:A,0))</f>
        <v>Não</v>
      </c>
      <c r="U996" s="109">
        <f t="array" ref="U996">INDEX('MTA 28-09'!AE:AE,MATCH(B996,'MTA 28-09'!A:A,0))</f>
        <v>46382</v>
      </c>
      <c r="V996" s="29"/>
      <c r="W996" s="29"/>
      <c r="X996" s="29"/>
      <c r="Y996" s="29"/>
      <c r="Z996" s="29"/>
      <c r="AA996" s="29"/>
      <c r="AB996" s="29"/>
      <c r="AC996" s="29"/>
      <c r="AD996" s="29"/>
      <c r="AE996" s="29"/>
      <c r="AF996" s="29"/>
      <c r="AG996" s="29"/>
      <c r="AH996" s="29"/>
      <c r="AI996" s="29"/>
      <c r="AJ996" s="29"/>
      <c r="AK996" s="29"/>
      <c r="AL996" s="29"/>
      <c r="AM996" s="29"/>
    </row>
    <row r="997">
      <c r="A997" s="31" t="s">
        <v>43</v>
      </c>
      <c r="B997" s="38">
        <v>66080.0</v>
      </c>
      <c r="C997" s="33" t="str">
        <f t="array" ref="C997">INDEX('MTA 28-09'!B:B,MATCH(B997,'MTA 28-09'!A:A,0))</f>
        <v>SIM</v>
      </c>
      <c r="D997" s="34">
        <f t="array" ref="D997">INDEX('MTA 28-09'!D:D,MATCH(B997,'MTA 28-09'!A:A,0))</f>
        <v>2048</v>
      </c>
      <c r="E997" s="32" t="str">
        <f t="array" ref="E997">INDEX('MTA 28-09'!F:F,MATCH(B997,'MTA 28-09'!A:A,0))</f>
        <v/>
      </c>
      <c r="F997" s="32" t="str">
        <f t="array" ref="F997">INDEX('MTA 28-09'!I:I,MATCH(B997,'MTA 28-09'!A:A,0))</f>
        <v/>
      </c>
      <c r="G997" s="36" t="str">
        <f t="array" ref="G997">INDEX('MTA 28-09'!J:J,MATCH(B997,'MTA 28-09'!A:A,0))</f>
        <v/>
      </c>
      <c r="H997" s="295"/>
      <c r="I997" s="38" t="s">
        <v>293</v>
      </c>
      <c r="J997" s="39"/>
      <c r="K997" s="40"/>
      <c r="L997" s="39"/>
      <c r="M997" s="32" t="str">
        <f t="array" ref="M997">INDEX('MTA 28-09'!T:T,MATCH(B997,'MTA 28-09'!A:A,0))</f>
        <v>Requisição CABW</v>
      </c>
      <c r="N997" s="32" t="str">
        <f t="array" ref="N997">INDEX('MTA 28-09'!U:U,MATCH(B997,'MTA 28-09'!A:A,0))</f>
        <v>Requisições Consumíveis</v>
      </c>
      <c r="O997" s="59">
        <f t="array" ref="O997">INDEX('MTA 28-09'!AC:AC,MATCH(B997,'MTA 28-09'!A:A,0))</f>
        <v>1000000</v>
      </c>
      <c r="P997" s="32" t="str">
        <f t="array" ref="P997">INDEX('MTA 28-09'!N:N,MATCH(B997,'MTA 28-09'!A:A,0))</f>
        <v>CABW</v>
      </c>
      <c r="Q997" s="67" t="str">
        <f t="array" ref="Q997">INDEX('MTA 28-09'!Z:Z,MATCH(B997,'MTA 28-09'!A:A,0))</f>
        <v>339030</v>
      </c>
      <c r="R997" s="32" t="str">
        <f t="array" ref="R997">INDEX('MTA 28-09'!L:L,MATCH(B997,'MTA 28-09'!A:A,0))</f>
        <v>A</v>
      </c>
      <c r="S997" s="72" t="str">
        <f t="array" ref="S997">INDEX('MTA 28-09'!X:X,MATCH(B997,'MTA 28-09'!A:A,0))</f>
        <v>SOB DEMANDA</v>
      </c>
      <c r="T997" s="72" t="str">
        <f t="array" ref="T997">INDEX('MTA 28-09'!W:W,MATCH(B997,'MTA 28-09'!A:A,0))</f>
        <v>Não</v>
      </c>
      <c r="U997" s="81">
        <f t="array" ref="U997">INDEX('MTA 28-09'!AE:AE,MATCH(B997,'MTA 28-09'!A:A,0))</f>
        <v>46049</v>
      </c>
      <c r="V997" s="12"/>
      <c r="W997" s="12"/>
      <c r="X997" s="12"/>
      <c r="Y997" s="12"/>
      <c r="Z997" s="12"/>
      <c r="AA997" s="12"/>
      <c r="AB997" s="12"/>
      <c r="AC997" s="12"/>
      <c r="AD997" s="12"/>
      <c r="AE997" s="12"/>
      <c r="AF997" s="12"/>
      <c r="AG997" s="12"/>
      <c r="AH997" s="12"/>
      <c r="AI997" s="12"/>
      <c r="AJ997" s="12"/>
      <c r="AK997" s="12"/>
      <c r="AL997" s="12"/>
      <c r="AM997" s="12"/>
    </row>
    <row r="998">
      <c r="A998" s="88" t="s">
        <v>47</v>
      </c>
      <c r="B998" s="90">
        <v>67000.0</v>
      </c>
      <c r="C998" s="92" t="str">
        <f t="array" ref="C998">INDEX('MTA 28-09'!B:B,MATCH(B998,'MTA 28-09'!A:A,0))</f>
        <v>SIM</v>
      </c>
      <c r="D998" s="95">
        <f t="array" ref="D998">INDEX('MTA 28-09'!D:D,MATCH(B998,'MTA 28-09'!A:A,0))</f>
        <v>2048</v>
      </c>
      <c r="E998" s="98" t="str">
        <f t="array" ref="E998">INDEX('MTA 28-09'!F:F,MATCH(B998,'MTA 28-09'!A:A,0))</f>
        <v/>
      </c>
      <c r="F998" s="98" t="str">
        <f t="array" ref="F998">INDEX('MTA 28-09'!I:I,MATCH(B998,'MTA 28-09'!A:A,0))</f>
        <v/>
      </c>
      <c r="G998" s="100" t="str">
        <f t="array" ref="G998">INDEX('MTA 28-09'!J:J,MATCH(B998,'MTA 28-09'!A:A,0))</f>
        <v/>
      </c>
      <c r="H998" s="296"/>
      <c r="I998" s="90" t="s">
        <v>293</v>
      </c>
      <c r="J998" s="102"/>
      <c r="K998" s="103"/>
      <c r="L998" s="102"/>
      <c r="M998" s="98" t="str">
        <f t="array" ref="M998">INDEX('MTA 28-09'!T:T,MATCH(B998,'MTA 28-09'!A:A,0))</f>
        <v>Requisição CABW</v>
      </c>
      <c r="N998" s="98" t="str">
        <f t="array" ref="N998">INDEX('MTA 28-09'!U:U,MATCH(B998,'MTA 28-09'!A:A,0))</f>
        <v>Requisições Consumíveis</v>
      </c>
      <c r="O998" s="104">
        <f t="array" ref="O998">INDEX('MTA 28-09'!AC:AC,MATCH(B998,'MTA 28-09'!A:A,0))</f>
        <v>310000</v>
      </c>
      <c r="P998" s="98" t="str">
        <f t="array" ref="P998">INDEX('MTA 28-09'!N:N,MATCH(B998,'MTA 28-09'!A:A,0))</f>
        <v>CABW</v>
      </c>
      <c r="Q998" s="105" t="str">
        <f t="array" ref="Q998">INDEX('MTA 28-09'!Z:Z,MATCH(B998,'MTA 28-09'!A:A,0))</f>
        <v>339030</v>
      </c>
      <c r="R998" s="98" t="str">
        <f t="array" ref="R998">INDEX('MTA 28-09'!L:L,MATCH(B998,'MTA 28-09'!A:A,0))</f>
        <v>A</v>
      </c>
      <c r="S998" s="107" t="str">
        <f t="array" ref="S998">INDEX('MTA 28-09'!X:X,MATCH(B998,'MTA 28-09'!A:A,0))</f>
        <v>SOB DEMANDA</v>
      </c>
      <c r="T998" s="107" t="str">
        <f t="array" ref="T998">INDEX('MTA 28-09'!W:W,MATCH(B998,'MTA 28-09'!A:A,0))</f>
        <v>Não</v>
      </c>
      <c r="U998" s="109">
        <f t="array" ref="U998">INDEX('MTA 28-09'!AE:AE,MATCH(B998,'MTA 28-09'!A:A,0))</f>
        <v>46382</v>
      </c>
      <c r="V998" s="29"/>
      <c r="W998" s="29"/>
      <c r="X998" s="29"/>
      <c r="Y998" s="29"/>
      <c r="Z998" s="29"/>
      <c r="AA998" s="29"/>
      <c r="AB998" s="29"/>
      <c r="AC998" s="29"/>
      <c r="AD998" s="29"/>
      <c r="AE998" s="29"/>
      <c r="AF998" s="29"/>
      <c r="AG998" s="29"/>
      <c r="AH998" s="29"/>
      <c r="AI998" s="29"/>
      <c r="AJ998" s="29"/>
      <c r="AK998" s="29"/>
      <c r="AL998" s="29"/>
      <c r="AM998" s="29"/>
    </row>
    <row r="999">
      <c r="A999" s="31" t="s">
        <v>44</v>
      </c>
      <c r="B999" s="38">
        <v>67020.0</v>
      </c>
      <c r="C999" s="33" t="str">
        <f t="array" ref="C999">INDEX('MTA 28-09'!B:B,MATCH(B999,'MTA 28-09'!A:A,0))</f>
        <v>SIM</v>
      </c>
      <c r="D999" s="34">
        <f t="array" ref="D999">INDEX('MTA 28-09'!D:D,MATCH(B999,'MTA 28-09'!A:A,0))</f>
        <v>2048</v>
      </c>
      <c r="E999" s="32" t="str">
        <f t="array" ref="E999">INDEX('MTA 28-09'!F:F,MATCH(B999,'MTA 28-09'!A:A,0))</f>
        <v/>
      </c>
      <c r="F999" s="32" t="str">
        <f t="array" ref="F999">INDEX('MTA 28-09'!I:I,MATCH(B999,'MTA 28-09'!A:A,0))</f>
        <v/>
      </c>
      <c r="G999" s="36" t="str">
        <f t="array" ref="G999">INDEX('MTA 28-09'!J:J,MATCH(B999,'MTA 28-09'!A:A,0))</f>
        <v/>
      </c>
      <c r="H999" s="295"/>
      <c r="I999" s="38" t="s">
        <v>293</v>
      </c>
      <c r="J999" s="39"/>
      <c r="K999" s="40"/>
      <c r="L999" s="39"/>
      <c r="M999" s="32" t="str">
        <f t="array" ref="M999">INDEX('MTA 28-09'!T:T,MATCH(B999,'MTA 28-09'!A:A,0))</f>
        <v>Requisição CABW</v>
      </c>
      <c r="N999" s="32" t="str">
        <f t="array" ref="N999">INDEX('MTA 28-09'!U:U,MATCH(B999,'MTA 28-09'!A:A,0))</f>
        <v>Requisições Consumíveis</v>
      </c>
      <c r="O999" s="59">
        <f t="array" ref="O999">INDEX('MTA 28-09'!AC:AC,MATCH(B999,'MTA 28-09'!A:A,0))</f>
        <v>332718.75</v>
      </c>
      <c r="P999" s="32" t="str">
        <f t="array" ref="P999">INDEX('MTA 28-09'!N:N,MATCH(B999,'MTA 28-09'!A:A,0))</f>
        <v>CABW</v>
      </c>
      <c r="Q999" s="67" t="str">
        <f t="array" ref="Q999">INDEX('MTA 28-09'!Z:Z,MATCH(B999,'MTA 28-09'!A:A,0))</f>
        <v>339030</v>
      </c>
      <c r="R999" s="32" t="str">
        <f t="array" ref="R999">INDEX('MTA 28-09'!L:L,MATCH(B999,'MTA 28-09'!A:A,0))</f>
        <v>A</v>
      </c>
      <c r="S999" s="72" t="str">
        <f t="array" ref="S999">INDEX('MTA 28-09'!X:X,MATCH(B999,'MTA 28-09'!A:A,0))</f>
        <v>REQUISIÇÃO</v>
      </c>
      <c r="T999" s="72" t="str">
        <f t="array" ref="T999">INDEX('MTA 28-09'!W:W,MATCH(B999,'MTA 28-09'!A:A,0))</f>
        <v>Não</v>
      </c>
      <c r="U999" s="81">
        <f t="array" ref="U999">INDEX('MTA 28-09'!AE:AE,MATCH(B999,'MTA 28-09'!A:A,0))</f>
        <v>46382</v>
      </c>
      <c r="V999" s="12"/>
      <c r="W999" s="12"/>
      <c r="X999" s="12"/>
      <c r="Y999" s="12"/>
      <c r="Z999" s="12"/>
      <c r="AA999" s="12"/>
      <c r="AB999" s="12"/>
      <c r="AC999" s="12"/>
      <c r="AD999" s="12"/>
      <c r="AE999" s="12"/>
      <c r="AF999" s="12"/>
      <c r="AG999" s="12"/>
      <c r="AH999" s="12"/>
      <c r="AI999" s="12"/>
      <c r="AJ999" s="12"/>
      <c r="AK999" s="12"/>
      <c r="AL999" s="12"/>
      <c r="AM999" s="12"/>
    </row>
    <row r="1000">
      <c r="A1000" s="88" t="s">
        <v>44</v>
      </c>
      <c r="B1000" s="90">
        <v>67040.0</v>
      </c>
      <c r="C1000" s="92" t="str">
        <f t="array" ref="C1000">INDEX('MTA 28-09'!B:B,MATCH(B1000,'MTA 28-09'!A:A,0))</f>
        <v>SIM</v>
      </c>
      <c r="D1000" s="95">
        <f t="array" ref="D1000">INDEX('MTA 28-09'!D:D,MATCH(B1000,'MTA 28-09'!A:A,0))</f>
        <v>2048</v>
      </c>
      <c r="E1000" s="98" t="str">
        <f t="array" ref="E1000">INDEX('MTA 28-09'!F:F,MATCH(B1000,'MTA 28-09'!A:A,0))</f>
        <v/>
      </c>
      <c r="F1000" s="98" t="str">
        <f t="array" ref="F1000">INDEX('MTA 28-09'!I:I,MATCH(B1000,'MTA 28-09'!A:A,0))</f>
        <v/>
      </c>
      <c r="G1000" s="100" t="str">
        <f t="array" ref="G1000">INDEX('MTA 28-09'!J:J,MATCH(B1000,'MTA 28-09'!A:A,0))</f>
        <v/>
      </c>
      <c r="H1000" s="296"/>
      <c r="I1000" s="90" t="s">
        <v>293</v>
      </c>
      <c r="J1000" s="102"/>
      <c r="K1000" s="103"/>
      <c r="L1000" s="102"/>
      <c r="M1000" s="98" t="str">
        <f t="array" ref="M1000">INDEX('MTA 28-09'!T:T,MATCH(B1000,'MTA 28-09'!A:A,0))</f>
        <v>Requisição CABW</v>
      </c>
      <c r="N1000" s="98" t="str">
        <f t="array" ref="N1000">INDEX('MTA 28-09'!U:U,MATCH(B1000,'MTA 28-09'!A:A,0))</f>
        <v>Requisições Consumíveis</v>
      </c>
      <c r="O1000" s="104">
        <f t="array" ref="O1000">INDEX('MTA 28-09'!AC:AC,MATCH(B1000,'MTA 28-09'!A:A,0))</f>
        <v>332718.75</v>
      </c>
      <c r="P1000" s="98" t="str">
        <f t="array" ref="P1000">INDEX('MTA 28-09'!N:N,MATCH(B1000,'MTA 28-09'!A:A,0))</f>
        <v>CABW</v>
      </c>
      <c r="Q1000" s="105" t="str">
        <f t="array" ref="Q1000">INDEX('MTA 28-09'!Z:Z,MATCH(B1000,'MTA 28-09'!A:A,0))</f>
        <v>339030</v>
      </c>
      <c r="R1000" s="98" t="str">
        <f t="array" ref="R1000">INDEX('MTA 28-09'!L:L,MATCH(B1000,'MTA 28-09'!A:A,0))</f>
        <v>A</v>
      </c>
      <c r="S1000" s="107" t="str">
        <f t="array" ref="S1000">INDEX('MTA 28-09'!X:X,MATCH(B1000,'MTA 28-09'!A:A,0))</f>
        <v>REQUISIÇÃO</v>
      </c>
      <c r="T1000" s="107" t="str">
        <f t="array" ref="T1000">INDEX('MTA 28-09'!W:W,MATCH(B1000,'MTA 28-09'!A:A,0))</f>
        <v>Não</v>
      </c>
      <c r="U1000" s="109">
        <f t="array" ref="U1000">INDEX('MTA 28-09'!AE:AE,MATCH(B1000,'MTA 28-09'!A:A,0))</f>
        <v>46382</v>
      </c>
      <c r="V1000" s="29"/>
      <c r="W1000" s="29"/>
      <c r="X1000" s="29"/>
      <c r="Y1000" s="29"/>
      <c r="Z1000" s="29"/>
      <c r="AA1000" s="29"/>
      <c r="AB1000" s="29"/>
      <c r="AC1000" s="29"/>
      <c r="AD1000" s="29"/>
      <c r="AE1000" s="29"/>
      <c r="AF1000" s="29"/>
      <c r="AG1000" s="29"/>
      <c r="AH1000" s="29"/>
      <c r="AI1000" s="29"/>
      <c r="AJ1000" s="29"/>
      <c r="AK1000" s="29"/>
      <c r="AL1000" s="29"/>
      <c r="AM1000" s="29"/>
    </row>
    <row r="1001">
      <c r="A1001" s="31" t="s">
        <v>44</v>
      </c>
      <c r="B1001" s="38">
        <v>67060.0</v>
      </c>
      <c r="C1001" s="33" t="str">
        <f t="array" ref="C1001">INDEX('MTA 28-09'!B:B,MATCH(B1001,'MTA 28-09'!A:A,0))</f>
        <v>SIM</v>
      </c>
      <c r="D1001" s="34">
        <f t="array" ref="D1001">INDEX('MTA 28-09'!D:D,MATCH(B1001,'MTA 28-09'!A:A,0))</f>
        <v>2048</v>
      </c>
      <c r="E1001" s="32" t="str">
        <f t="array" ref="E1001">INDEX('MTA 28-09'!F:F,MATCH(B1001,'MTA 28-09'!A:A,0))</f>
        <v/>
      </c>
      <c r="F1001" s="32" t="str">
        <f t="array" ref="F1001">INDEX('MTA 28-09'!I:I,MATCH(B1001,'MTA 28-09'!A:A,0))</f>
        <v/>
      </c>
      <c r="G1001" s="36" t="str">
        <f t="array" ref="G1001">INDEX('MTA 28-09'!J:J,MATCH(B1001,'MTA 28-09'!A:A,0))</f>
        <v/>
      </c>
      <c r="H1001" s="295"/>
      <c r="I1001" s="38" t="s">
        <v>293</v>
      </c>
      <c r="J1001" s="39"/>
      <c r="K1001" s="40"/>
      <c r="L1001" s="39"/>
      <c r="M1001" s="32" t="str">
        <f t="array" ref="M1001">INDEX('MTA 28-09'!T:T,MATCH(B1001,'MTA 28-09'!A:A,0))</f>
        <v>Requisição CABW</v>
      </c>
      <c r="N1001" s="32" t="str">
        <f t="array" ref="N1001">INDEX('MTA 28-09'!U:U,MATCH(B1001,'MTA 28-09'!A:A,0))</f>
        <v>Requisições Consumíveis</v>
      </c>
      <c r="O1001" s="59">
        <f t="array" ref="O1001">INDEX('MTA 28-09'!AC:AC,MATCH(B1001,'MTA 28-09'!A:A,0))</f>
        <v>595246.31</v>
      </c>
      <c r="P1001" s="32" t="str">
        <f t="array" ref="P1001">INDEX('MTA 28-09'!N:N,MATCH(B1001,'MTA 28-09'!A:A,0))</f>
        <v>CABW</v>
      </c>
      <c r="Q1001" s="67" t="str">
        <f t="array" ref="Q1001">INDEX('MTA 28-09'!Z:Z,MATCH(B1001,'MTA 28-09'!A:A,0))</f>
        <v>339030</v>
      </c>
      <c r="R1001" s="32" t="str">
        <f t="array" ref="R1001">INDEX('MTA 28-09'!L:L,MATCH(B1001,'MTA 28-09'!A:A,0))</f>
        <v>A</v>
      </c>
      <c r="S1001" s="72" t="str">
        <f t="array" ref="S1001">INDEX('MTA 28-09'!X:X,MATCH(B1001,'MTA 28-09'!A:A,0))</f>
        <v>REQUISIÇÃO</v>
      </c>
      <c r="T1001" s="72" t="str">
        <f t="array" ref="T1001">INDEX('MTA 28-09'!W:W,MATCH(B1001,'MTA 28-09'!A:A,0))</f>
        <v>Não</v>
      </c>
      <c r="U1001" s="81">
        <f t="array" ref="U1001">INDEX('MTA 28-09'!AE:AE,MATCH(B1001,'MTA 28-09'!A:A,0))</f>
        <v>46382</v>
      </c>
      <c r="V1001" s="12"/>
      <c r="W1001" s="12"/>
      <c r="X1001" s="12"/>
      <c r="Y1001" s="12"/>
      <c r="Z1001" s="12"/>
      <c r="AA1001" s="12"/>
      <c r="AB1001" s="12"/>
      <c r="AC1001" s="12"/>
      <c r="AD1001" s="12"/>
      <c r="AE1001" s="12"/>
      <c r="AF1001" s="12"/>
      <c r="AG1001" s="12"/>
      <c r="AH1001" s="12"/>
      <c r="AI1001" s="12"/>
      <c r="AJ1001" s="12"/>
      <c r="AK1001" s="12"/>
      <c r="AL1001" s="12"/>
      <c r="AM1001" s="12"/>
    </row>
    <row r="1002">
      <c r="A1002" s="88" t="s">
        <v>44</v>
      </c>
      <c r="B1002" s="90">
        <v>67080.0</v>
      </c>
      <c r="C1002" s="92" t="str">
        <f t="array" ref="C1002">INDEX('MTA 28-09'!B:B,MATCH(B1002,'MTA 28-09'!A:A,0))</f>
        <v>SIM</v>
      </c>
      <c r="D1002" s="95">
        <f t="array" ref="D1002">INDEX('MTA 28-09'!D:D,MATCH(B1002,'MTA 28-09'!A:A,0))</f>
        <v>2048</v>
      </c>
      <c r="E1002" s="98" t="str">
        <f t="array" ref="E1002">INDEX('MTA 28-09'!F:F,MATCH(B1002,'MTA 28-09'!A:A,0))</f>
        <v/>
      </c>
      <c r="F1002" s="98" t="str">
        <f t="array" ref="F1002">INDEX('MTA 28-09'!I:I,MATCH(B1002,'MTA 28-09'!A:A,0))</f>
        <v/>
      </c>
      <c r="G1002" s="100" t="str">
        <f t="array" ref="G1002">INDEX('MTA 28-09'!J:J,MATCH(B1002,'MTA 28-09'!A:A,0))</f>
        <v/>
      </c>
      <c r="H1002" s="296"/>
      <c r="I1002" s="90" t="s">
        <v>293</v>
      </c>
      <c r="J1002" s="102"/>
      <c r="K1002" s="103"/>
      <c r="L1002" s="102"/>
      <c r="M1002" s="98" t="str">
        <f t="array" ref="M1002">INDEX('MTA 28-09'!T:T,MATCH(B1002,'MTA 28-09'!A:A,0))</f>
        <v>Requisição CABW</v>
      </c>
      <c r="N1002" s="98" t="str">
        <f t="array" ref="N1002">INDEX('MTA 28-09'!U:U,MATCH(B1002,'MTA 28-09'!A:A,0))</f>
        <v>Requisições Consumíveis</v>
      </c>
      <c r="O1002" s="104">
        <f t="array" ref="O1002">INDEX('MTA 28-09'!AC:AC,MATCH(B1002,'MTA 28-09'!A:A,0))</f>
        <v>332718.75</v>
      </c>
      <c r="P1002" s="98" t="str">
        <f t="array" ref="P1002">INDEX('MTA 28-09'!N:N,MATCH(B1002,'MTA 28-09'!A:A,0))</f>
        <v>CABW</v>
      </c>
      <c r="Q1002" s="105" t="str">
        <f t="array" ref="Q1002">INDEX('MTA 28-09'!Z:Z,MATCH(B1002,'MTA 28-09'!A:A,0))</f>
        <v>339030</v>
      </c>
      <c r="R1002" s="98" t="str">
        <f t="array" ref="R1002">INDEX('MTA 28-09'!L:L,MATCH(B1002,'MTA 28-09'!A:A,0))</f>
        <v>A</v>
      </c>
      <c r="S1002" s="107" t="str">
        <f t="array" ref="S1002">INDEX('MTA 28-09'!X:X,MATCH(B1002,'MTA 28-09'!A:A,0))</f>
        <v>REQUISIÇÃO</v>
      </c>
      <c r="T1002" s="107" t="str">
        <f t="array" ref="T1002">INDEX('MTA 28-09'!W:W,MATCH(B1002,'MTA 28-09'!A:A,0))</f>
        <v>Não</v>
      </c>
      <c r="U1002" s="109">
        <f t="array" ref="U1002">INDEX('MTA 28-09'!AE:AE,MATCH(B1002,'MTA 28-09'!A:A,0))</f>
        <v>46382</v>
      </c>
      <c r="V1002" s="29"/>
      <c r="W1002" s="29"/>
      <c r="X1002" s="29"/>
      <c r="Y1002" s="29"/>
      <c r="Z1002" s="29"/>
      <c r="AA1002" s="29"/>
      <c r="AB1002" s="29"/>
      <c r="AC1002" s="29"/>
      <c r="AD1002" s="29"/>
      <c r="AE1002" s="29"/>
      <c r="AF1002" s="29"/>
      <c r="AG1002" s="29"/>
      <c r="AH1002" s="29"/>
      <c r="AI1002" s="29"/>
      <c r="AJ1002" s="29"/>
      <c r="AK1002" s="29"/>
      <c r="AL1002" s="29"/>
      <c r="AM1002" s="29"/>
    </row>
    <row r="1003">
      <c r="A1003" s="31" t="s">
        <v>44</v>
      </c>
      <c r="B1003" s="38">
        <v>68000.0</v>
      </c>
      <c r="C1003" s="33" t="str">
        <f t="array" ref="C1003">INDEX('MTA 28-09'!B:B,MATCH(B1003,'MTA 28-09'!A:A,0))</f>
        <v>SIM</v>
      </c>
      <c r="D1003" s="34">
        <f t="array" ref="D1003">INDEX('MTA 28-09'!D:D,MATCH(B1003,'MTA 28-09'!A:A,0))</f>
        <v>2048</v>
      </c>
      <c r="E1003" s="32" t="str">
        <f t="array" ref="E1003">INDEX('MTA 28-09'!F:F,MATCH(B1003,'MTA 28-09'!A:A,0))</f>
        <v/>
      </c>
      <c r="F1003" s="32" t="str">
        <f t="array" ref="F1003">INDEX('MTA 28-09'!I:I,MATCH(B1003,'MTA 28-09'!A:A,0))</f>
        <v/>
      </c>
      <c r="G1003" s="36" t="str">
        <f t="array" ref="G1003">INDEX('MTA 28-09'!J:J,MATCH(B1003,'MTA 28-09'!A:A,0))</f>
        <v/>
      </c>
      <c r="H1003" s="295"/>
      <c r="I1003" s="38" t="s">
        <v>293</v>
      </c>
      <c r="J1003" s="39"/>
      <c r="K1003" s="40"/>
      <c r="L1003" s="39"/>
      <c r="M1003" s="32" t="str">
        <f t="array" ref="M1003">INDEX('MTA 28-09'!T:T,MATCH(B1003,'MTA 28-09'!A:A,0))</f>
        <v>Requisição CABW</v>
      </c>
      <c r="N1003" s="32" t="str">
        <f t="array" ref="N1003">INDEX('MTA 28-09'!U:U,MATCH(B1003,'MTA 28-09'!A:A,0))</f>
        <v>Requisições Consumíveis</v>
      </c>
      <c r="O1003" s="59">
        <f t="array" ref="O1003">INDEX('MTA 28-09'!AC:AC,MATCH(B1003,'MTA 28-09'!A:A,0))</f>
        <v>332718.75</v>
      </c>
      <c r="P1003" s="32" t="str">
        <f t="array" ref="P1003">INDEX('MTA 28-09'!N:N,MATCH(B1003,'MTA 28-09'!A:A,0))</f>
        <v>CABW</v>
      </c>
      <c r="Q1003" s="67" t="str">
        <f t="array" ref="Q1003">INDEX('MTA 28-09'!Z:Z,MATCH(B1003,'MTA 28-09'!A:A,0))</f>
        <v>339030</v>
      </c>
      <c r="R1003" s="32" t="str">
        <f t="array" ref="R1003">INDEX('MTA 28-09'!L:L,MATCH(B1003,'MTA 28-09'!A:A,0))</f>
        <v>A</v>
      </c>
      <c r="S1003" s="72" t="str">
        <f t="array" ref="S1003">INDEX('MTA 28-09'!X:X,MATCH(B1003,'MTA 28-09'!A:A,0))</f>
        <v>REQUISIÇÃO</v>
      </c>
      <c r="T1003" s="72" t="str">
        <f t="array" ref="T1003">INDEX('MTA 28-09'!W:W,MATCH(B1003,'MTA 28-09'!A:A,0))</f>
        <v>Não</v>
      </c>
      <c r="U1003" s="81">
        <f t="array" ref="U1003">INDEX('MTA 28-09'!AE:AE,MATCH(B1003,'MTA 28-09'!A:A,0))</f>
        <v>46382</v>
      </c>
      <c r="V1003" s="12"/>
      <c r="W1003" s="12"/>
      <c r="X1003" s="12"/>
      <c r="Y1003" s="12"/>
      <c r="Z1003" s="12"/>
      <c r="AA1003" s="12"/>
      <c r="AB1003" s="12"/>
      <c r="AC1003" s="12"/>
      <c r="AD1003" s="12"/>
      <c r="AE1003" s="12"/>
      <c r="AF1003" s="12"/>
      <c r="AG1003" s="12"/>
      <c r="AH1003" s="12"/>
      <c r="AI1003" s="12"/>
      <c r="AJ1003" s="12"/>
      <c r="AK1003" s="12"/>
      <c r="AL1003" s="12"/>
      <c r="AM1003" s="12"/>
    </row>
    <row r="1004">
      <c r="A1004" s="88" t="s">
        <v>44</v>
      </c>
      <c r="B1004" s="90">
        <v>68020.0</v>
      </c>
      <c r="C1004" s="92" t="str">
        <f t="array" ref="C1004">INDEX('MTA 28-09'!B:B,MATCH(B1004,'MTA 28-09'!A:A,0))</f>
        <v>SIM</v>
      </c>
      <c r="D1004" s="95">
        <f t="array" ref="D1004">INDEX('MTA 28-09'!D:D,MATCH(B1004,'MTA 28-09'!A:A,0))</f>
        <v>2048</v>
      </c>
      <c r="E1004" s="98" t="str">
        <f t="array" ref="E1004">INDEX('MTA 28-09'!F:F,MATCH(B1004,'MTA 28-09'!A:A,0))</f>
        <v/>
      </c>
      <c r="F1004" s="98" t="str">
        <f t="array" ref="F1004">INDEX('MTA 28-09'!I:I,MATCH(B1004,'MTA 28-09'!A:A,0))</f>
        <v/>
      </c>
      <c r="G1004" s="100" t="str">
        <f t="array" ref="G1004">INDEX('MTA 28-09'!J:J,MATCH(B1004,'MTA 28-09'!A:A,0))</f>
        <v/>
      </c>
      <c r="H1004" s="296"/>
      <c r="I1004" s="90" t="s">
        <v>293</v>
      </c>
      <c r="J1004" s="102"/>
      <c r="K1004" s="103"/>
      <c r="L1004" s="102"/>
      <c r="M1004" s="98" t="str">
        <f t="array" ref="M1004">INDEX('MTA 28-09'!T:T,MATCH(B1004,'MTA 28-09'!A:A,0))</f>
        <v>Requisição CABW</v>
      </c>
      <c r="N1004" s="98" t="str">
        <f t="array" ref="N1004">INDEX('MTA 28-09'!U:U,MATCH(B1004,'MTA 28-09'!A:A,0))</f>
        <v>Requisições Consumíveis</v>
      </c>
      <c r="O1004" s="104">
        <f t="array" ref="O1004">INDEX('MTA 28-09'!AC:AC,MATCH(B1004,'MTA 28-09'!A:A,0))</f>
        <v>51450</v>
      </c>
      <c r="P1004" s="98" t="str">
        <f t="array" ref="P1004">INDEX('MTA 28-09'!N:N,MATCH(B1004,'MTA 28-09'!A:A,0))</f>
        <v>CABW</v>
      </c>
      <c r="Q1004" s="105" t="str">
        <f t="array" ref="Q1004">INDEX('MTA 28-09'!Z:Z,MATCH(B1004,'MTA 28-09'!A:A,0))</f>
        <v>339030</v>
      </c>
      <c r="R1004" s="98" t="str">
        <f t="array" ref="R1004">INDEX('MTA 28-09'!L:L,MATCH(B1004,'MTA 28-09'!A:A,0))</f>
        <v>A</v>
      </c>
      <c r="S1004" s="107" t="str">
        <f t="array" ref="S1004">INDEX('MTA 28-09'!X:X,MATCH(B1004,'MTA 28-09'!A:A,0))</f>
        <v>REQUISIÇÃO</v>
      </c>
      <c r="T1004" s="107" t="str">
        <f t="array" ref="T1004">INDEX('MTA 28-09'!W:W,MATCH(B1004,'MTA 28-09'!A:A,0))</f>
        <v>Não</v>
      </c>
      <c r="U1004" s="109">
        <f t="array" ref="U1004">INDEX('MTA 28-09'!AE:AE,MATCH(B1004,'MTA 28-09'!A:A,0))</f>
        <v>46382</v>
      </c>
      <c r="V1004" s="29"/>
      <c r="W1004" s="29"/>
      <c r="X1004" s="29"/>
      <c r="Y1004" s="29"/>
      <c r="Z1004" s="29"/>
      <c r="AA1004" s="29"/>
      <c r="AB1004" s="29"/>
      <c r="AC1004" s="29"/>
      <c r="AD1004" s="29"/>
      <c r="AE1004" s="29"/>
      <c r="AF1004" s="29"/>
      <c r="AG1004" s="29"/>
      <c r="AH1004" s="29"/>
      <c r="AI1004" s="29"/>
      <c r="AJ1004" s="29"/>
      <c r="AK1004" s="29"/>
      <c r="AL1004" s="29"/>
      <c r="AM1004" s="29"/>
    </row>
    <row r="1005">
      <c r="A1005" s="31" t="s">
        <v>44</v>
      </c>
      <c r="B1005" s="38">
        <v>68040.0</v>
      </c>
      <c r="C1005" s="33" t="str">
        <f t="array" ref="C1005">INDEX('MTA 28-09'!B:B,MATCH(B1005,'MTA 28-09'!A:A,0))</f>
        <v>SIM</v>
      </c>
      <c r="D1005" s="34">
        <f t="array" ref="D1005">INDEX('MTA 28-09'!D:D,MATCH(B1005,'MTA 28-09'!A:A,0))</f>
        <v>2048</v>
      </c>
      <c r="E1005" s="32" t="str">
        <f t="array" ref="E1005">INDEX('MTA 28-09'!F:F,MATCH(B1005,'MTA 28-09'!A:A,0))</f>
        <v/>
      </c>
      <c r="F1005" s="32" t="str">
        <f t="array" ref="F1005">INDEX('MTA 28-09'!I:I,MATCH(B1005,'MTA 28-09'!A:A,0))</f>
        <v/>
      </c>
      <c r="G1005" s="36" t="str">
        <f t="array" ref="G1005">INDEX('MTA 28-09'!J:J,MATCH(B1005,'MTA 28-09'!A:A,0))</f>
        <v/>
      </c>
      <c r="H1005" s="295"/>
      <c r="I1005" s="38" t="s">
        <v>1614</v>
      </c>
      <c r="J1005" s="39"/>
      <c r="K1005" s="40"/>
      <c r="L1005" s="39"/>
      <c r="M1005" s="32" t="str">
        <f t="array" ref="M1005">INDEX('MTA 28-09'!T:T,MATCH(B1005,'MTA 28-09'!A:A,0))</f>
        <v>Requisição CABW</v>
      </c>
      <c r="N1005" s="32" t="str">
        <f t="array" ref="N1005">INDEX('MTA 28-09'!U:U,MATCH(B1005,'MTA 28-09'!A:A,0))</f>
        <v>Requisições Consumíveis</v>
      </c>
      <c r="O1005" s="59">
        <f t="array" ref="O1005">INDEX('MTA 28-09'!AC:AC,MATCH(B1005,'MTA 28-09'!A:A,0))</f>
        <v>1091079.68</v>
      </c>
      <c r="P1005" s="32" t="str">
        <f t="array" ref="P1005">INDEX('MTA 28-09'!N:N,MATCH(B1005,'MTA 28-09'!A:A,0))</f>
        <v>CABW</v>
      </c>
      <c r="Q1005" s="67" t="str">
        <f t="array" ref="Q1005">INDEX('MTA 28-09'!Z:Z,MATCH(B1005,'MTA 28-09'!A:A,0))</f>
        <v>339030</v>
      </c>
      <c r="R1005" s="32" t="str">
        <f t="array" ref="R1005">INDEX('MTA 28-09'!L:L,MATCH(B1005,'MTA 28-09'!A:A,0))</f>
        <v>A</v>
      </c>
      <c r="S1005" s="72" t="str">
        <f t="array" ref="S1005">INDEX('MTA 28-09'!X:X,MATCH(B1005,'MTA 28-09'!A:A,0))</f>
        <v>REQUISIÇÃO</v>
      </c>
      <c r="T1005" s="72" t="str">
        <f t="array" ref="T1005">INDEX('MTA 28-09'!W:W,MATCH(B1005,'MTA 28-09'!A:A,0))</f>
        <v>Não</v>
      </c>
      <c r="U1005" s="81">
        <f t="array" ref="U1005">INDEX('MTA 28-09'!AE:AE,MATCH(B1005,'MTA 28-09'!A:A,0))</f>
        <v>46382</v>
      </c>
      <c r="V1005" s="12"/>
      <c r="W1005" s="12"/>
      <c r="X1005" s="12"/>
      <c r="Y1005" s="12"/>
      <c r="Z1005" s="12"/>
      <c r="AA1005" s="12"/>
      <c r="AB1005" s="12"/>
      <c r="AC1005" s="12"/>
      <c r="AD1005" s="12"/>
      <c r="AE1005" s="12"/>
      <c r="AF1005" s="12"/>
      <c r="AG1005" s="12"/>
      <c r="AH1005" s="12"/>
      <c r="AI1005" s="12"/>
      <c r="AJ1005" s="12"/>
      <c r="AK1005" s="12"/>
      <c r="AL1005" s="12"/>
      <c r="AM1005" s="12"/>
    </row>
    <row r="1006">
      <c r="A1006" s="88" t="s">
        <v>44</v>
      </c>
      <c r="B1006" s="90">
        <v>68060.0</v>
      </c>
      <c r="C1006" s="92" t="str">
        <f t="array" ref="C1006">INDEX('MTA 28-09'!B:B,MATCH(B1006,'MTA 28-09'!A:A,0))</f>
        <v>SIM</v>
      </c>
      <c r="D1006" s="95">
        <f t="array" ref="D1006">INDEX('MTA 28-09'!D:D,MATCH(B1006,'MTA 28-09'!A:A,0))</f>
        <v>2048</v>
      </c>
      <c r="E1006" s="98" t="str">
        <f t="array" ref="E1006">INDEX('MTA 28-09'!F:F,MATCH(B1006,'MTA 28-09'!A:A,0))</f>
        <v/>
      </c>
      <c r="F1006" s="98" t="str">
        <f t="array" ref="F1006">INDEX('MTA 28-09'!I:I,MATCH(B1006,'MTA 28-09'!A:A,0))</f>
        <v/>
      </c>
      <c r="G1006" s="100" t="str">
        <f t="array" ref="G1006">INDEX('MTA 28-09'!J:J,MATCH(B1006,'MTA 28-09'!A:A,0))</f>
        <v/>
      </c>
      <c r="H1006" s="296"/>
      <c r="I1006" s="90" t="s">
        <v>293</v>
      </c>
      <c r="J1006" s="102"/>
      <c r="K1006" s="103"/>
      <c r="L1006" s="102"/>
      <c r="M1006" s="98" t="str">
        <f t="array" ref="M1006">INDEX('MTA 28-09'!T:T,MATCH(B1006,'MTA 28-09'!A:A,0))</f>
        <v>Requisição CABW</v>
      </c>
      <c r="N1006" s="98" t="str">
        <f t="array" ref="N1006">INDEX('MTA 28-09'!U:U,MATCH(B1006,'MTA 28-09'!A:A,0))</f>
        <v>Requisições Consumíveis</v>
      </c>
      <c r="O1006" s="104">
        <f t="array" ref="O1006">INDEX('MTA 28-09'!AC:AC,MATCH(B1006,'MTA 28-09'!A:A,0))</f>
        <v>2572500</v>
      </c>
      <c r="P1006" s="98" t="str">
        <f t="array" ref="P1006">INDEX('MTA 28-09'!N:N,MATCH(B1006,'MTA 28-09'!A:A,0))</f>
        <v>CABW</v>
      </c>
      <c r="Q1006" s="105" t="str">
        <f t="array" ref="Q1006">INDEX('MTA 28-09'!Z:Z,MATCH(B1006,'MTA 28-09'!A:A,0))</f>
        <v>339030</v>
      </c>
      <c r="R1006" s="98" t="str">
        <f t="array" ref="R1006">INDEX('MTA 28-09'!L:L,MATCH(B1006,'MTA 28-09'!A:A,0))</f>
        <v>A</v>
      </c>
      <c r="S1006" s="107" t="str">
        <f t="array" ref="S1006">INDEX('MTA 28-09'!X:X,MATCH(B1006,'MTA 28-09'!A:A,0))</f>
        <v>REQUISIÇÃO</v>
      </c>
      <c r="T1006" s="107" t="str">
        <f t="array" ref="T1006">INDEX('MTA 28-09'!W:W,MATCH(B1006,'MTA 28-09'!A:A,0))</f>
        <v>Não</v>
      </c>
      <c r="U1006" s="109">
        <f t="array" ref="U1006">INDEX('MTA 28-09'!AE:AE,MATCH(B1006,'MTA 28-09'!A:A,0))</f>
        <v>46382</v>
      </c>
      <c r="V1006" s="29"/>
      <c r="W1006" s="29"/>
      <c r="X1006" s="29"/>
      <c r="Y1006" s="29"/>
      <c r="Z1006" s="29"/>
      <c r="AA1006" s="29"/>
      <c r="AB1006" s="29"/>
      <c r="AC1006" s="29"/>
      <c r="AD1006" s="29"/>
      <c r="AE1006" s="29"/>
      <c r="AF1006" s="29"/>
      <c r="AG1006" s="29"/>
      <c r="AH1006" s="29"/>
      <c r="AI1006" s="29"/>
      <c r="AJ1006" s="29"/>
      <c r="AK1006" s="29"/>
      <c r="AL1006" s="29"/>
      <c r="AM1006" s="29"/>
    </row>
    <row r="1007">
      <c r="A1007" s="31" t="s">
        <v>39</v>
      </c>
      <c r="B1007" s="38">
        <v>68080.0</v>
      </c>
      <c r="C1007" s="33" t="str">
        <f t="array" ref="C1007">INDEX('MTA 28-09'!B:B,MATCH(B1007,'MTA 28-09'!A:A,0))</f>
        <v>SIM</v>
      </c>
      <c r="D1007" s="34">
        <f t="array" ref="D1007">INDEX('MTA 28-09'!D:D,MATCH(B1007,'MTA 28-09'!A:A,0))</f>
        <v>2048</v>
      </c>
      <c r="E1007" s="32" t="str">
        <f t="array" ref="E1007">INDEX('MTA 28-09'!F:F,MATCH(B1007,'MTA 28-09'!A:A,0))</f>
        <v/>
      </c>
      <c r="F1007" s="32" t="str">
        <f t="array" ref="F1007">INDEX('MTA 28-09'!I:I,MATCH(B1007,'MTA 28-09'!A:A,0))</f>
        <v/>
      </c>
      <c r="G1007" s="36" t="str">
        <f t="array" ref="G1007">INDEX('MTA 28-09'!J:J,MATCH(B1007,'MTA 28-09'!A:A,0))</f>
        <v/>
      </c>
      <c r="H1007" s="295"/>
      <c r="I1007" s="38" t="s">
        <v>1183</v>
      </c>
      <c r="J1007" s="39"/>
      <c r="K1007" s="40"/>
      <c r="L1007" s="39"/>
      <c r="M1007" s="32" t="str">
        <f t="array" ref="M1007">INDEX('MTA 28-09'!T:T,MATCH(B1007,'MTA 28-09'!A:A,0))</f>
        <v>CNT XXX/CABE-PAMALS/2026 - MARTIN BAKER - SUPORTE EJEÇÃO</v>
      </c>
      <c r="N1007" s="32" t="str">
        <f t="array" ref="N1007">INDEX('MTA 28-09'!U:U,MATCH(B1007,'MTA 28-09'!A:A,0))</f>
        <v>Aquisição de consumíveis para inspeção de assentos</v>
      </c>
      <c r="O1007" s="59">
        <f t="array" ref="O1007">INDEX('MTA 28-09'!AC:AC,MATCH(B1007,'MTA 28-09'!A:A,0))</f>
        <v>1587815.74</v>
      </c>
      <c r="P1007" s="32" t="str">
        <f t="array" ref="P1007">INDEX('MTA 28-09'!N:N,MATCH(B1007,'MTA 28-09'!A:A,0))</f>
        <v>CABE</v>
      </c>
      <c r="Q1007" s="67" t="str">
        <f t="array" ref="Q1007">INDEX('MTA 28-09'!Z:Z,MATCH(B1007,'MTA 28-09'!A:A,0))</f>
        <v>339030</v>
      </c>
      <c r="R1007" s="32" t="str">
        <f t="array" ref="R1007">INDEX('MTA 28-09'!L:L,MATCH(B1007,'MTA 28-09'!A:A,0))</f>
        <v>A</v>
      </c>
      <c r="S1007" s="72" t="str">
        <f t="array" ref="S1007">INDEX('MTA 28-09'!X:X,MATCH(B1007,'MTA 28-09'!A:A,0))</f>
        <v>PARCELA FIXA</v>
      </c>
      <c r="T1007" s="72" t="str">
        <f t="array" ref="T1007">INDEX('MTA 28-09'!W:W,MATCH(B1007,'MTA 28-09'!A:A,0))</f>
        <v>Não</v>
      </c>
      <c r="U1007" s="81">
        <f t="array" ref="U1007">INDEX('MTA 28-09'!AE:AE,MATCH(B1007,'MTA 28-09'!A:A,0))</f>
        <v>46080</v>
      </c>
      <c r="V1007" s="12"/>
      <c r="W1007" s="12"/>
      <c r="X1007" s="12"/>
      <c r="Y1007" s="12"/>
      <c r="Z1007" s="12"/>
      <c r="AA1007" s="12"/>
      <c r="AB1007" s="12"/>
      <c r="AC1007" s="12"/>
      <c r="AD1007" s="12"/>
      <c r="AE1007" s="12"/>
      <c r="AF1007" s="12"/>
      <c r="AG1007" s="12"/>
      <c r="AH1007" s="12"/>
      <c r="AI1007" s="12"/>
      <c r="AJ1007" s="12"/>
      <c r="AK1007" s="12"/>
      <c r="AL1007" s="12"/>
      <c r="AM1007" s="12"/>
    </row>
    <row r="1008">
      <c r="A1008" s="88" t="s">
        <v>39</v>
      </c>
      <c r="B1008" s="90">
        <v>68100.0</v>
      </c>
      <c r="C1008" s="92" t="str">
        <f t="array" ref="C1008">INDEX('MTA 28-09'!B:B,MATCH(B1008,'MTA 28-09'!A:A,0))</f>
        <v>SIM</v>
      </c>
      <c r="D1008" s="95">
        <f t="array" ref="D1008">INDEX('MTA 28-09'!D:D,MATCH(B1008,'MTA 28-09'!A:A,0))</f>
        <v>2048</v>
      </c>
      <c r="E1008" s="98" t="str">
        <f t="array" ref="E1008">INDEX('MTA 28-09'!F:F,MATCH(B1008,'MTA 28-09'!A:A,0))</f>
        <v>ATENDER</v>
      </c>
      <c r="F1008" s="99" t="str">
        <f t="array" ref="F1008">INDEX('MTA 28-09'!I:I,MATCH(B1008,'MTA 28-09'!A:A,0))</f>
        <v/>
      </c>
      <c r="G1008" s="100" t="str">
        <f t="array" ref="G1008">INDEX('MTA 28-09'!J:J,MATCH(B1008,'MTA 28-09'!A:A,0))</f>
        <v/>
      </c>
      <c r="H1008" s="296"/>
      <c r="I1008" s="90"/>
      <c r="J1008" s="102"/>
      <c r="K1008" s="103"/>
      <c r="L1008" s="102"/>
      <c r="M1008" s="98" t="str">
        <f t="array" ref="M1008">INDEX('MTA 28-09'!T:T,MATCH(B1008,'MTA 28-09'!A:A,0))</f>
        <v>CNT 051/CELOG-PAMASP/2024 - STANDARD AERO - REVISÃO GERAL</v>
      </c>
      <c r="N1008" s="98" t="str">
        <f t="array" ref="N1008">INDEX('MTA 28-09'!U:U,MATCH(B1008,'MTA 28-09'!A:A,0))</f>
        <v>Aquisição SKID-BASE</v>
      </c>
      <c r="O1008" s="104">
        <f t="array" ref="O1008">INDEX('MTA 28-09'!AC:AC,MATCH(B1008,'MTA 28-09'!A:A,0))</f>
        <v>684000</v>
      </c>
      <c r="P1008" s="98" t="str">
        <f t="array" ref="P1008">INDEX('MTA 28-09'!N:N,MATCH(B1008,'MTA 28-09'!A:A,0))</f>
        <v>CABW</v>
      </c>
      <c r="Q1008" s="105" t="str">
        <f t="array" ref="Q1008">INDEX('MTA 28-09'!Z:Z,MATCH(B1008,'MTA 28-09'!A:A,0))</f>
        <v>339039</v>
      </c>
      <c r="R1008" s="98" t="str">
        <f t="array" ref="R1008">INDEX('MTA 28-09'!L:L,MATCH(B1008,'MTA 28-09'!A:A,0))</f>
        <v>A</v>
      </c>
      <c r="S1008" s="107" t="str">
        <f t="array" ref="S1008">INDEX('MTA 28-09'!X:X,MATCH(B1008,'MTA 28-09'!A:A,0))</f>
        <v>SOB DEMANDA</v>
      </c>
      <c r="T1008" s="107" t="str">
        <f t="array" ref="T1008">INDEX('MTA 28-09'!W:W,MATCH(B1008,'MTA 28-09'!A:A,0))</f>
        <v>SIM</v>
      </c>
      <c r="U1008" s="109">
        <f t="array" ref="U1008">INDEX('MTA 28-09'!AE:AE,MATCH(B1008,'MTA 28-09'!A:A,0))</f>
        <v>46382</v>
      </c>
      <c r="V1008" s="29"/>
      <c r="W1008" s="29"/>
      <c r="X1008" s="29"/>
      <c r="Y1008" s="29"/>
      <c r="Z1008" s="29"/>
      <c r="AA1008" s="29"/>
      <c r="AB1008" s="29"/>
      <c r="AC1008" s="29"/>
      <c r="AD1008" s="29"/>
      <c r="AE1008" s="29"/>
      <c r="AF1008" s="29"/>
      <c r="AG1008" s="29"/>
      <c r="AH1008" s="29"/>
      <c r="AI1008" s="29"/>
      <c r="AJ1008" s="29"/>
      <c r="AK1008" s="29"/>
      <c r="AL1008" s="29"/>
      <c r="AM1008" s="29"/>
    </row>
    <row r="1009">
      <c r="A1009" s="31" t="s">
        <v>43</v>
      </c>
      <c r="B1009" s="38">
        <v>68120.0</v>
      </c>
      <c r="C1009" s="33" t="str">
        <f t="array" ref="C1009">INDEX('MTA 28-09'!B:B,MATCH(B1009,'MTA 28-09'!A:A,0))</f>
        <v>SIM</v>
      </c>
      <c r="D1009" s="34">
        <f t="array" ref="D1009">INDEX('MTA 28-09'!D:D,MATCH(B1009,'MTA 28-09'!A:A,0))</f>
        <v>2048</v>
      </c>
      <c r="E1009" s="32" t="str">
        <f t="array" ref="E1009">INDEX('MTA 28-09'!F:F,MATCH(B1009,'MTA 28-09'!A:A,0))</f>
        <v/>
      </c>
      <c r="F1009" s="35" t="str">
        <f t="array" ref="F1009">INDEX('MTA 28-09'!I:I,MATCH(B1009,'MTA 28-09'!A:A,0))</f>
        <v/>
      </c>
      <c r="G1009" s="36" t="str">
        <f t="array" ref="G1009">INDEX('MTA 28-09'!J:J,MATCH(B1009,'MTA 28-09'!A:A,0))</f>
        <v/>
      </c>
      <c r="H1009" s="295"/>
      <c r="I1009" s="38"/>
      <c r="J1009" s="39"/>
      <c r="K1009" s="40"/>
      <c r="L1009" s="39"/>
      <c r="M1009" s="32" t="str">
        <f t="array" ref="M1009">INDEX('MTA 28-09'!T:T,MATCH(B1009,'MTA 28-09'!A:A,0))</f>
        <v>CNT 006/CELOG-PAMASP/2026 - PW - RG</v>
      </c>
      <c r="N1009" s="32" t="str">
        <f t="array" ref="N1009">INDEX('MTA 28-09'!U:U,MATCH(B1009,'MTA 28-09'!A:A,0))</f>
        <v>Aquisição material</v>
      </c>
      <c r="O1009" s="59">
        <f t="array" ref="O1009">INDEX('MTA 28-09'!AC:AC,MATCH(B1009,'MTA 28-09'!A:A,0))</f>
        <v>1395309.06</v>
      </c>
      <c r="P1009" s="32" t="str">
        <f t="array" ref="P1009">INDEX('MTA 28-09'!N:N,MATCH(B1009,'MTA 28-09'!A:A,0))</f>
        <v>CELOG</v>
      </c>
      <c r="Q1009" s="67" t="str">
        <f t="array" ref="Q1009">INDEX('MTA 28-09'!Z:Z,MATCH(B1009,'MTA 28-09'!A:A,0))</f>
        <v>339030</v>
      </c>
      <c r="R1009" s="32" t="str">
        <f t="array" ref="R1009">INDEX('MTA 28-09'!L:L,MATCH(B1009,'MTA 28-09'!A:A,0))</f>
        <v>A</v>
      </c>
      <c r="S1009" s="72" t="str">
        <f t="array" ref="S1009">INDEX('MTA 28-09'!X:X,MATCH(B1009,'MTA 28-09'!A:A,0))</f>
        <v>SOB DEMANDA</v>
      </c>
      <c r="T1009" s="72" t="str">
        <f t="array" ref="T1009">INDEX('MTA 28-09'!W:W,MATCH(B1009,'MTA 28-09'!A:A,0))</f>
        <v>SIM</v>
      </c>
      <c r="U1009" s="81">
        <f t="array" ref="U1009">INDEX('MTA 28-09'!AE:AE,MATCH(B1009,'MTA 28-09'!A:A,0))</f>
        <v>46382</v>
      </c>
      <c r="V1009" s="12"/>
      <c r="W1009" s="12"/>
      <c r="X1009" s="12"/>
      <c r="Y1009" s="12"/>
      <c r="Z1009" s="12"/>
      <c r="AA1009" s="12"/>
      <c r="AB1009" s="12"/>
      <c r="AC1009" s="12"/>
      <c r="AD1009" s="12"/>
      <c r="AE1009" s="12"/>
      <c r="AF1009" s="12"/>
      <c r="AG1009" s="12"/>
      <c r="AH1009" s="12"/>
      <c r="AI1009" s="12"/>
      <c r="AJ1009" s="12"/>
      <c r="AK1009" s="12"/>
      <c r="AL1009" s="12"/>
      <c r="AM1009" s="12"/>
    </row>
    <row r="1010">
      <c r="A1010" s="88" t="s">
        <v>43</v>
      </c>
      <c r="B1010" s="90">
        <v>68140.0</v>
      </c>
      <c r="C1010" s="92" t="str">
        <f t="array" ref="C1010">INDEX('MTA 28-09'!B:B,MATCH(B1010,'MTA 28-09'!A:A,0))</f>
        <v>SIM</v>
      </c>
      <c r="D1010" s="95">
        <f t="array" ref="D1010">INDEX('MTA 28-09'!D:D,MATCH(B1010,'MTA 28-09'!A:A,0))</f>
        <v>2048</v>
      </c>
      <c r="E1010" s="98" t="str">
        <f t="array" ref="E1010">INDEX('MTA 28-09'!F:F,MATCH(B1010,'MTA 28-09'!A:A,0))</f>
        <v/>
      </c>
      <c r="F1010" s="99" t="str">
        <f t="array" ref="F1010">INDEX('MTA 28-09'!I:I,MATCH(B1010,'MTA 28-09'!A:A,0))</f>
        <v/>
      </c>
      <c r="G1010" s="100" t="str">
        <f t="array" ref="G1010">INDEX('MTA 28-09'!J:J,MATCH(B1010,'MTA 28-09'!A:A,0))</f>
        <v/>
      </c>
      <c r="H1010" s="296"/>
      <c r="I1010" s="90"/>
      <c r="J1010" s="102"/>
      <c r="K1010" s="103"/>
      <c r="L1010" s="102"/>
      <c r="M1010" s="98" t="str">
        <f t="array" ref="M1010">INDEX('MTA 28-09'!T:T,MATCH(B1010,'MTA 28-09'!A:A,0))</f>
        <v>CNT 005/CELOG-PAMASP/2026 - PW - RG</v>
      </c>
      <c r="N1010" s="98" t="str">
        <f t="array" ref="N1010">INDEX('MTA 28-09'!U:U,MATCH(B1010,'MTA 28-09'!A:A,0))</f>
        <v>Aquisição SKID-BASE</v>
      </c>
      <c r="O1010" s="104">
        <f t="array" ref="O1010">INDEX('MTA 28-09'!AC:AC,MATCH(B1010,'MTA 28-09'!A:A,0))</f>
        <v>570000</v>
      </c>
      <c r="P1010" s="98" t="str">
        <f t="array" ref="P1010">INDEX('MTA 28-09'!N:N,MATCH(B1010,'MTA 28-09'!A:A,0))</f>
        <v>CABW</v>
      </c>
      <c r="Q1010" s="105" t="str">
        <f t="array" ref="Q1010">INDEX('MTA 28-09'!Z:Z,MATCH(B1010,'MTA 28-09'!A:A,0))</f>
        <v>339039</v>
      </c>
      <c r="R1010" s="98" t="str">
        <f t="array" ref="R1010">INDEX('MTA 28-09'!L:L,MATCH(B1010,'MTA 28-09'!A:A,0))</f>
        <v>A</v>
      </c>
      <c r="S1010" s="107" t="str">
        <f t="array" ref="S1010">INDEX('MTA 28-09'!X:X,MATCH(B1010,'MTA 28-09'!A:A,0))</f>
        <v>SOB DEMANDA</v>
      </c>
      <c r="T1010" s="107" t="str">
        <f t="array" ref="T1010">INDEX('MTA 28-09'!W:W,MATCH(B1010,'MTA 28-09'!A:A,0))</f>
        <v>SIM</v>
      </c>
      <c r="U1010" s="109">
        <f t="array" ref="U1010">INDEX('MTA 28-09'!AE:AE,MATCH(B1010,'MTA 28-09'!A:A,0))</f>
        <v>46382</v>
      </c>
      <c r="V1010" s="29"/>
      <c r="W1010" s="29"/>
      <c r="X1010" s="29"/>
      <c r="Y1010" s="29"/>
      <c r="Z1010" s="29"/>
      <c r="AA1010" s="29"/>
      <c r="AB1010" s="29"/>
      <c r="AC1010" s="29"/>
      <c r="AD1010" s="29"/>
      <c r="AE1010" s="29"/>
      <c r="AF1010" s="29"/>
      <c r="AG1010" s="29"/>
      <c r="AH1010" s="29"/>
      <c r="AI1010" s="29"/>
      <c r="AJ1010" s="29"/>
      <c r="AK1010" s="29"/>
      <c r="AL1010" s="29"/>
      <c r="AM1010" s="29"/>
    </row>
    <row r="1011">
      <c r="A1011" s="31" t="s">
        <v>45</v>
      </c>
      <c r="B1011" s="38">
        <v>68160.0</v>
      </c>
      <c r="C1011" s="33" t="str">
        <f t="array" ref="C1011">INDEX('MTA 28-09'!B:B,MATCH(B1011,'MTA 28-09'!A:A,0))</f>
        <v>SIM</v>
      </c>
      <c r="D1011" s="34">
        <f t="array" ref="D1011">INDEX('MTA 28-09'!D:D,MATCH(B1011,'MTA 28-09'!A:A,0))</f>
        <v>2048</v>
      </c>
      <c r="E1011" s="32" t="str">
        <f t="array" ref="E1011">INDEX('MTA 28-09'!F:F,MATCH(B1011,'MTA 28-09'!A:A,0))</f>
        <v/>
      </c>
      <c r="F1011" s="32" t="str">
        <f t="array" ref="F1011">INDEX('MTA 28-09'!I:I,MATCH(B1011,'MTA 28-09'!A:A,0))</f>
        <v/>
      </c>
      <c r="G1011" s="36" t="str">
        <f t="array" ref="G1011">INDEX('MTA 28-09'!J:J,MATCH(B1011,'MTA 28-09'!A:A,0))</f>
        <v/>
      </c>
      <c r="H1011" s="295"/>
      <c r="I1011" s="38"/>
      <c r="J1011" s="39"/>
      <c r="K1011" s="40"/>
      <c r="L1011" s="39"/>
      <c r="M1011" s="32" t="str">
        <f t="array" ref="M1011">INDEX('MTA 28-09'!T:T,MATCH(B1011,'MTA 28-09'!A:A,0))</f>
        <v>CNT 006/CELOG-PAMASP/2026 - PW - RG</v>
      </c>
      <c r="N1011" s="32" t="str">
        <f t="array" ref="N1011">INDEX('MTA 28-09'!U:U,MATCH(B1011,'MTA 28-09'!A:A,0))</f>
        <v>Aquisição material</v>
      </c>
      <c r="O1011" s="59">
        <f t="array" ref="O1011">INDEX('MTA 28-09'!AC:AC,MATCH(B1011,'MTA 28-09'!A:A,0))</f>
        <v>2297180</v>
      </c>
      <c r="P1011" s="32" t="str">
        <f t="array" ref="P1011">INDEX('MTA 28-09'!N:N,MATCH(B1011,'MTA 28-09'!A:A,0))</f>
        <v>CELOG</v>
      </c>
      <c r="Q1011" s="67" t="str">
        <f t="array" ref="Q1011">INDEX('MTA 28-09'!Z:Z,MATCH(B1011,'MTA 28-09'!A:A,0))</f>
        <v>339030</v>
      </c>
      <c r="R1011" s="32" t="str">
        <f t="array" ref="R1011">INDEX('MTA 28-09'!L:L,MATCH(B1011,'MTA 28-09'!A:A,0))</f>
        <v>A</v>
      </c>
      <c r="S1011" s="72" t="str">
        <f t="array" ref="S1011">INDEX('MTA 28-09'!X:X,MATCH(B1011,'MTA 28-09'!A:A,0))</f>
        <v>SOB DEMANDA</v>
      </c>
      <c r="T1011" s="72" t="str">
        <f t="array" ref="T1011">INDEX('MTA 28-09'!W:W,MATCH(B1011,'MTA 28-09'!A:A,0))</f>
        <v>SIM</v>
      </c>
      <c r="U1011" s="81">
        <f t="array" ref="U1011">INDEX('MTA 28-09'!AE:AE,MATCH(B1011,'MTA 28-09'!A:A,0))</f>
        <v>46382</v>
      </c>
      <c r="V1011" s="12"/>
      <c r="W1011" s="12"/>
      <c r="X1011" s="12"/>
      <c r="Y1011" s="12"/>
      <c r="Z1011" s="12"/>
      <c r="AA1011" s="12"/>
      <c r="AB1011" s="12"/>
      <c r="AC1011" s="12"/>
      <c r="AD1011" s="12"/>
      <c r="AE1011" s="12"/>
      <c r="AF1011" s="12"/>
      <c r="AG1011" s="12"/>
      <c r="AH1011" s="12"/>
      <c r="AI1011" s="12"/>
      <c r="AJ1011" s="12"/>
      <c r="AK1011" s="12"/>
      <c r="AL1011" s="12"/>
      <c r="AM1011" s="12"/>
    </row>
    <row r="1012">
      <c r="A1012" s="88" t="s">
        <v>46</v>
      </c>
      <c r="B1012" s="90">
        <v>68180.0</v>
      </c>
      <c r="C1012" s="92" t="str">
        <f t="array" ref="C1012">INDEX('MTA 28-09'!B:B,MATCH(B1012,'MTA 28-09'!A:A,0))</f>
        <v>SIM</v>
      </c>
      <c r="D1012" s="95">
        <f t="array" ref="D1012">INDEX('MTA 28-09'!D:D,MATCH(B1012,'MTA 28-09'!A:A,0))</f>
        <v>2048</v>
      </c>
      <c r="E1012" s="98" t="str">
        <f t="array" ref="E1012">INDEX('MTA 28-09'!F:F,MATCH(B1012,'MTA 28-09'!A:A,0))</f>
        <v/>
      </c>
      <c r="F1012" s="98" t="str">
        <f t="array" ref="F1012">INDEX('MTA 28-09'!I:I,MATCH(B1012,'MTA 28-09'!A:A,0))</f>
        <v/>
      </c>
      <c r="G1012" s="100" t="str">
        <f t="array" ref="G1012">INDEX('MTA 28-09'!J:J,MATCH(B1012,'MTA 28-09'!A:A,0))</f>
        <v/>
      </c>
      <c r="H1012" s="296"/>
      <c r="I1012" s="90"/>
      <c r="J1012" s="102"/>
      <c r="K1012" s="103"/>
      <c r="L1012" s="102"/>
      <c r="M1012" s="98" t="str">
        <f t="array" ref="M1012">INDEX('MTA 28-09'!T:T,MATCH(B1012,'MTA 28-09'!A:A,0))</f>
        <v>CNT 005/CELOG-PAMASP/2026 - PW - RG</v>
      </c>
      <c r="N1012" s="98" t="str">
        <f t="array" ref="N1012">INDEX('MTA 28-09'!U:U,MATCH(B1012,'MTA 28-09'!A:A,0))</f>
        <v>Aquisição de SKID-BASE</v>
      </c>
      <c r="O1012" s="104">
        <f t="array" ref="O1012">INDEX('MTA 28-09'!AC:AC,MATCH(B1012,'MTA 28-09'!A:A,0))</f>
        <v>135000</v>
      </c>
      <c r="P1012" s="98" t="str">
        <f t="array" ref="P1012">INDEX('MTA 28-09'!N:N,MATCH(B1012,'MTA 28-09'!A:A,0))</f>
        <v>CABW</v>
      </c>
      <c r="Q1012" s="105" t="str">
        <f t="array" ref="Q1012">INDEX('MTA 28-09'!Z:Z,MATCH(B1012,'MTA 28-09'!A:A,0))</f>
        <v>339039</v>
      </c>
      <c r="R1012" s="98" t="str">
        <f t="array" ref="R1012">INDEX('MTA 28-09'!L:L,MATCH(B1012,'MTA 28-09'!A:A,0))</f>
        <v>A</v>
      </c>
      <c r="S1012" s="107" t="str">
        <f t="array" ref="S1012">INDEX('MTA 28-09'!X:X,MATCH(B1012,'MTA 28-09'!A:A,0))</f>
        <v>SOB DEMANDA</v>
      </c>
      <c r="T1012" s="107" t="str">
        <f t="array" ref="T1012">INDEX('MTA 28-09'!W:W,MATCH(B1012,'MTA 28-09'!A:A,0))</f>
        <v>SIM</v>
      </c>
      <c r="U1012" s="109">
        <f t="array" ref="U1012">INDEX('MTA 28-09'!AE:AE,MATCH(B1012,'MTA 28-09'!A:A,0))</f>
        <v>46382</v>
      </c>
      <c r="V1012" s="29"/>
      <c r="W1012" s="29"/>
      <c r="X1012" s="29"/>
      <c r="Y1012" s="29"/>
      <c r="Z1012" s="29"/>
      <c r="AA1012" s="29"/>
      <c r="AB1012" s="29"/>
      <c r="AC1012" s="29"/>
      <c r="AD1012" s="29"/>
      <c r="AE1012" s="29"/>
      <c r="AF1012" s="29"/>
      <c r="AG1012" s="29"/>
      <c r="AH1012" s="29"/>
      <c r="AI1012" s="29"/>
      <c r="AJ1012" s="29"/>
      <c r="AK1012" s="29"/>
      <c r="AL1012" s="29"/>
      <c r="AM1012" s="29"/>
    </row>
    <row r="1013">
      <c r="A1013" s="432" t="s">
        <v>50</v>
      </c>
      <c r="B1013" s="38">
        <v>68320.0</v>
      </c>
      <c r="C1013" s="33" t="str">
        <f t="array" ref="C1013">INDEX('MTA 28-09'!B:B,MATCH(B1013,'MTA 28-09'!A:A,0))</f>
        <v>SIM</v>
      </c>
      <c r="D1013" s="34">
        <f t="array" ref="D1013">INDEX('MTA 28-09'!D:D,MATCH(B1013,'MTA 28-09'!A:A,0))</f>
        <v>2048</v>
      </c>
      <c r="E1013" s="32" t="str">
        <f t="array" ref="E1013">INDEX('MTA 28-09'!F:F,MATCH(B1013,'MTA 28-09'!A:A,0))</f>
        <v/>
      </c>
      <c r="F1013" s="32" t="str">
        <f t="array" ref="F1013">INDEX('MTA 28-09'!I:I,MATCH(B1013,'MTA 28-09'!A:A,0))</f>
        <v/>
      </c>
      <c r="G1013" s="36" t="str">
        <f t="array" ref="G1013">INDEX('MTA 28-09'!J:J,MATCH(B1013,'MTA 28-09'!A:A,0))</f>
        <v/>
      </c>
      <c r="H1013" s="295">
        <v>46288.0</v>
      </c>
      <c r="I1013" s="38" t="s">
        <v>152</v>
      </c>
      <c r="J1013" s="39"/>
      <c r="K1013" s="40"/>
      <c r="L1013" s="39"/>
      <c r="M1013" s="32" t="str">
        <f t="array" ref="M1013">INDEX('MTA 28-09'!T:T,MATCH(B1013,'MTA 28-09'!A:A,0))</f>
        <v>Aquisição de PN Z-60 FE</v>
      </c>
      <c r="N1013" s="32" t="str">
        <f t="array" ref="N1013">INDEX('MTA 28-09'!U:U,MATCH(B1013,'MTA 28-09'!A:A,0))</f>
        <v>PN Z-60 FE - ARTICULATING Z BOOMS</v>
      </c>
      <c r="O1013" s="59">
        <f t="array" ref="O1013">INDEX('MTA 28-09'!AC:AC,MATCH(B1013,'MTA 28-09'!A:A,0))</f>
        <v>993002.02</v>
      </c>
      <c r="P1013" s="32" t="str">
        <f t="array" ref="P1013">INDEX('MTA 28-09'!N:N,MATCH(B1013,'MTA 28-09'!A:A,0))</f>
        <v>CABW</v>
      </c>
      <c r="Q1013" s="67" t="str">
        <f t="array" ref="Q1013">INDEX('MTA 28-09'!Z:Z,MATCH(B1013,'MTA 28-09'!A:A,0))</f>
        <v>449052</v>
      </c>
      <c r="R1013" s="32" t="str">
        <f t="array" ref="R1013">INDEX('MTA 28-09'!L:L,MATCH(B1013,'MTA 28-09'!A:A,0))</f>
        <v>C</v>
      </c>
      <c r="S1013" s="72" t="str">
        <f t="array" ref="S1013">INDEX('MTA 28-09'!X:X,MATCH(B1013,'MTA 28-09'!A:A,0))</f>
        <v>REQUISIÇÃO</v>
      </c>
      <c r="T1013" s="72" t="str">
        <f t="array" ref="T1013">INDEX('MTA 28-09'!W:W,MATCH(B1013,'MTA 28-09'!A:A,0))</f>
        <v>NÃO</v>
      </c>
      <c r="U1013" s="81">
        <f t="array" ref="U1013">INDEX('MTA 28-09'!AE:AE,MATCH(B1013,'MTA 28-09'!A:A,0))</f>
        <v>46382</v>
      </c>
      <c r="V1013" s="12"/>
      <c r="W1013" s="12"/>
      <c r="X1013" s="12"/>
      <c r="Y1013" s="12"/>
      <c r="Z1013" s="12"/>
      <c r="AA1013" s="12"/>
      <c r="AB1013" s="12"/>
      <c r="AC1013" s="12"/>
      <c r="AD1013" s="12"/>
      <c r="AE1013" s="12"/>
      <c r="AF1013" s="12"/>
      <c r="AG1013" s="12"/>
      <c r="AH1013" s="12"/>
      <c r="AI1013" s="12"/>
      <c r="AJ1013" s="12"/>
      <c r="AK1013" s="12"/>
      <c r="AL1013" s="12"/>
      <c r="AM1013" s="12"/>
    </row>
    <row r="1014">
      <c r="A1014" s="433" t="s">
        <v>50</v>
      </c>
      <c r="B1014" s="434">
        <v>68340.0</v>
      </c>
      <c r="C1014" s="92" t="str">
        <f t="array" ref="C1014">INDEX('MTA 28-09'!B:B,MATCH(B1014,'MTA 28-09'!A:A,0))</f>
        <v>SIM</v>
      </c>
      <c r="D1014" s="95">
        <f t="array" ref="D1014">INDEX('MTA 28-09'!D:D,MATCH(B1014,'MTA 28-09'!A:A,0))</f>
        <v>2048</v>
      </c>
      <c r="E1014" s="98" t="str">
        <f t="array" ref="E1014">INDEX('MTA 28-09'!F:F,MATCH(B1014,'MTA 28-09'!A:A,0))</f>
        <v>ATENDIDO</v>
      </c>
      <c r="F1014" s="99">
        <f t="array" ref="F1014">INDEX('MTA 28-09'!I:I,MATCH(B1014,'MTA 28-09'!A:A,0))</f>
        <v>46289</v>
      </c>
      <c r="G1014" s="100" t="str">
        <f t="array" ref="G1014">INDEX('MTA 28-09'!J:J,MATCH(B1014,'MTA 28-09'!A:A,0))</f>
        <v>C26158</v>
      </c>
      <c r="H1014" s="296">
        <v>46288.0</v>
      </c>
      <c r="I1014" s="90" t="s">
        <v>152</v>
      </c>
      <c r="J1014" s="102"/>
      <c r="K1014" s="103"/>
      <c r="L1014" s="102"/>
      <c r="M1014" s="98" t="str">
        <f t="array" ref="M1014">INDEX('MTA 28-09'!T:T,MATCH(B1014,'MTA 28-09'!A:A,0))</f>
        <v>Pregão GAPLS - Aquisição de equipamentos para a Divisão Técnica</v>
      </c>
      <c r="N1014" s="98" t="str">
        <f t="array" ref="N1014">INDEX('MTA 28-09'!U:U,MATCH(B1014,'MTA 28-09'!A:A,0))</f>
        <v>AQUISIÇÃO DE MATERIAL PARA AS OFICINAS E SETORES ADMINISTRATIVOS DA DT</v>
      </c>
      <c r="O1014" s="104">
        <f t="array" ref="O1014">INDEX('MTA 28-09'!AC:AC,MATCH(B1014,'MTA 28-09'!A:A,0))</f>
        <v>104525.68</v>
      </c>
      <c r="P1014" s="98" t="str">
        <f t="array" ref="P1014">INDEX('MTA 28-09'!N:N,MATCH(B1014,'MTA 28-09'!A:A,0))</f>
        <v>GAP-LS</v>
      </c>
      <c r="Q1014" s="105" t="str">
        <f t="array" ref="Q1014">INDEX('MTA 28-09'!Z:Z,MATCH(B1014,'MTA 28-09'!A:A,0))</f>
        <v>449052</v>
      </c>
      <c r="R1014" s="98" t="str">
        <f t="array" ref="R1014">INDEX('MTA 28-09'!L:L,MATCH(B1014,'MTA 28-09'!A:A,0))</f>
        <v>C</v>
      </c>
      <c r="S1014" s="107" t="str">
        <f t="array" ref="S1014">INDEX('MTA 28-09'!X:X,MATCH(B1014,'MTA 28-09'!A:A,0))</f>
        <v>SOB DEMANDA</v>
      </c>
      <c r="T1014" s="107" t="str">
        <f t="array" ref="T1014">INDEX('MTA 28-09'!W:W,MATCH(B1014,'MTA 28-09'!A:A,0))</f>
        <v>NÃO</v>
      </c>
      <c r="U1014" s="109">
        <f t="array" ref="U1014">INDEX('MTA 28-09'!AE:AE,MATCH(B1014,'MTA 28-09'!A:A,0))</f>
        <v>46382</v>
      </c>
      <c r="V1014" s="29"/>
      <c r="W1014" s="29"/>
      <c r="X1014" s="29"/>
      <c r="Y1014" s="29"/>
      <c r="Z1014" s="29"/>
      <c r="AA1014" s="29"/>
      <c r="AB1014" s="29"/>
      <c r="AC1014" s="29"/>
      <c r="AD1014" s="29"/>
      <c r="AE1014" s="29"/>
      <c r="AF1014" s="29"/>
      <c r="AG1014" s="29"/>
      <c r="AH1014" s="29"/>
      <c r="AI1014" s="29"/>
      <c r="AJ1014" s="29"/>
      <c r="AK1014" s="29"/>
      <c r="AL1014" s="29"/>
      <c r="AM1014" s="29"/>
    </row>
    <row r="1015">
      <c r="A1015" s="435" t="s">
        <v>50</v>
      </c>
      <c r="B1015" s="429">
        <v>68341.0</v>
      </c>
      <c r="C1015" s="33" t="str">
        <f t="array" ref="C1015">INDEX('MTA 28-09'!B:B,MATCH(B1015,'MTA 28-09'!A:A,0))</f>
        <v>SIM</v>
      </c>
      <c r="D1015" s="34">
        <f t="array" ref="D1015">INDEX('MTA 28-09'!D:D,MATCH(B1015,'MTA 28-09'!A:A,0))</f>
        <v>2048</v>
      </c>
      <c r="E1015" s="32" t="str">
        <f t="array" ref="E1015">INDEX('MTA 28-09'!F:F,MATCH(B1015,'MTA 28-09'!A:A,0))</f>
        <v>EM TRÂMITE</v>
      </c>
      <c r="F1015" s="35">
        <f t="array" ref="F1015">INDEX('MTA 28-09'!I:I,MATCH(B1015,'MTA 28-09'!A:A,0))</f>
        <v>46290</v>
      </c>
      <c r="G1015" s="36" t="str">
        <f t="array" ref="G1015">INDEX('MTA 28-09'!J:J,MATCH(B1015,'MTA 28-09'!A:A,0))</f>
        <v/>
      </c>
      <c r="H1015" s="287"/>
      <c r="I1015" s="295"/>
      <c r="J1015" s="39"/>
      <c r="K1015" s="40"/>
      <c r="L1015" s="39"/>
      <c r="M1015" s="32" t="str">
        <f t="array" ref="M1015">INDEX('MTA 28-09'!T:T,MATCH(B1015,'MTA 28-09'!A:A,0))</f>
        <v>Pregão GAPLS - Aquisição de equipamentos para a Divisão Técnica</v>
      </c>
      <c r="N1015" s="32" t="str">
        <f t="array" ref="N1015">INDEX('MTA 28-09'!U:U,MATCH(B1015,'MTA 28-09'!A:A,0))</f>
        <v>AQUISIÇÃO DE MATERIAL PARA AS OFICINAS E SETORES ADMINISTRATIVOS DA DT</v>
      </c>
      <c r="O1015" s="59">
        <f t="array" ref="O1015">INDEX('MTA 28-09'!AC:AC,MATCH(B1015,'MTA 28-09'!A:A,0))</f>
        <v>43493.84</v>
      </c>
      <c r="P1015" s="32" t="str">
        <f t="array" ref="P1015">INDEX('MTA 28-09'!N:N,MATCH(B1015,'MTA 28-09'!A:A,0))</f>
        <v>GAP-LS</v>
      </c>
      <c r="Q1015" s="67" t="str">
        <f t="array" ref="Q1015">INDEX('MTA 28-09'!Z:Z,MATCH(B1015,'MTA 28-09'!A:A,0))</f>
        <v>449052</v>
      </c>
      <c r="R1015" s="32" t="str">
        <f t="array" ref="R1015">INDEX('MTA 28-09'!L:L,MATCH(B1015,'MTA 28-09'!A:A,0))</f>
        <v>C</v>
      </c>
      <c r="S1015" s="72" t="str">
        <f t="array" ref="S1015">INDEX('MTA 28-09'!X:X,MATCH(B1015,'MTA 28-09'!A:A,0))</f>
        <v>SOB DEMANDA</v>
      </c>
      <c r="T1015" s="72" t="str">
        <f t="array" ref="T1015">INDEX('MTA 28-09'!W:W,MATCH(B1015,'MTA 28-09'!A:A,0))</f>
        <v>NÃO</v>
      </c>
      <c r="U1015" s="81">
        <f t="array" ref="U1015">INDEX('MTA 28-09'!AE:AE,MATCH(B1015,'MTA 28-09'!A:A,0))</f>
        <v>46382</v>
      </c>
      <c r="V1015" s="12"/>
      <c r="W1015" s="12"/>
      <c r="X1015" s="12"/>
      <c r="Y1015" s="12"/>
      <c r="Z1015" s="12"/>
      <c r="AA1015" s="12"/>
      <c r="AB1015" s="12"/>
      <c r="AC1015" s="12"/>
      <c r="AD1015" s="12"/>
      <c r="AE1015" s="12"/>
      <c r="AF1015" s="12"/>
      <c r="AG1015" s="12"/>
      <c r="AH1015" s="12"/>
      <c r="AI1015" s="12"/>
      <c r="AJ1015" s="12"/>
      <c r="AK1015" s="12"/>
      <c r="AL1015" s="12"/>
      <c r="AM1015" s="12"/>
    </row>
    <row r="1016">
      <c r="A1016" s="88" t="s">
        <v>43</v>
      </c>
      <c r="B1016" s="98">
        <v>91840.0</v>
      </c>
      <c r="C1016" s="92" t="str">
        <f t="array" ref="C1016">INDEX('MTA 28-09'!B:B,MATCH(B1016,'MTA 28-09'!A:A,0))</f>
        <v>NÃO</v>
      </c>
      <c r="D1016" s="95" t="str">
        <f t="array" ref="D1016">INDEX('MTA 28-09'!D:D,MATCH(B1016,'MTA 28-09'!A:A,0))</f>
        <v/>
      </c>
      <c r="E1016" s="98" t="str">
        <f t="array" ref="E1016">INDEX('MTA 28-09'!F:F,MATCH(B1016,'MTA 28-09'!A:A,0))</f>
        <v/>
      </c>
      <c r="F1016" s="99" t="str">
        <f t="array" ref="F1016">INDEX('MTA 28-09'!I:I,MATCH(B1016,'MTA 28-09'!A:A,0))</f>
        <v/>
      </c>
      <c r="G1016" s="100" t="str">
        <f t="array" ref="G1016">INDEX('MTA 28-09'!J:J,MATCH(B1016,'MTA 28-09'!A:A,0))</f>
        <v/>
      </c>
      <c r="H1016" s="159" t="s">
        <v>157</v>
      </c>
      <c r="I1016" s="296"/>
      <c r="J1016" s="102"/>
      <c r="K1016" s="103"/>
      <c r="L1016" s="102" t="str">
        <f t="array" ref="L1016">INDEX('MTA 28-09'!S:S,MATCH(B1016,'MTA 28-09'!A:A,0))</f>
        <v>C-95M</v>
      </c>
      <c r="M1016" s="98" t="str">
        <f t="array" ref="M1016">INDEX('MTA 28-09'!T:T,MATCH(B1016,'MTA 28-09'!A:A,0))</f>
        <v>CNT XXX/CELOG-PAMASP/2026 - XXX - FEP</v>
      </c>
      <c r="N1016" s="98" t="str">
        <f t="array" ref="N1016">INDEX('MTA 28-09'!U:U,MATCH(B1016,'MTA 28-09'!A:A,0))</f>
        <v>FEP PT6A-34</v>
      </c>
      <c r="O1016" s="104">
        <f t="array" ref="O1016">INDEX('MTA 28-09'!AC:AC,MATCH(B1016,'MTA 28-09'!A:A,0))</f>
        <v>4600000</v>
      </c>
      <c r="P1016" s="98" t="str">
        <f t="array" ref="P1016">INDEX('MTA 28-09'!N:N,MATCH(B1016,'MTA 28-09'!A:A,0))</f>
        <v>CELOG</v>
      </c>
      <c r="Q1016" s="105" t="str">
        <f t="array" ref="Q1016">INDEX('MTA 28-09'!Z:Z,MATCH(B1016,'MTA 28-09'!A:A,0))</f>
        <v>339039</v>
      </c>
      <c r="R1016" s="98" t="str">
        <f t="array" ref="R1016">INDEX('MTA 28-09'!L:L,MATCH(B1016,'MTA 28-09'!A:A,0))</f>
        <v>C</v>
      </c>
      <c r="S1016" s="107" t="str">
        <f t="array" ref="S1016">INDEX('MTA 28-09'!X:X,MATCH(B1016,'MTA 28-09'!A:A,0))</f>
        <v>SOB DEMANDA</v>
      </c>
      <c r="T1016" s="107" t="str">
        <f t="array" ref="T1016">INDEX('MTA 28-09'!W:W,MATCH(B1016,'MTA 28-09'!A:A,0))</f>
        <v>SIM</v>
      </c>
      <c r="U1016" s="109">
        <f t="array" ref="U1016">INDEX('MTA 28-09'!AE:AE,MATCH(B1016,'MTA 28-09'!A:A,0))</f>
        <v>46382</v>
      </c>
      <c r="V1016" s="29"/>
      <c r="W1016" s="29"/>
      <c r="X1016" s="29"/>
      <c r="Y1016" s="29"/>
      <c r="Z1016" s="29"/>
      <c r="AA1016" s="29"/>
      <c r="AB1016" s="29"/>
      <c r="AC1016" s="29"/>
      <c r="AD1016" s="29"/>
      <c r="AE1016" s="29"/>
      <c r="AF1016" s="29"/>
      <c r="AG1016" s="29"/>
      <c r="AH1016" s="29"/>
      <c r="AI1016" s="29"/>
      <c r="AJ1016" s="29"/>
      <c r="AK1016" s="29"/>
      <c r="AL1016" s="29"/>
      <c r="AM1016" s="29"/>
    </row>
    <row r="1017">
      <c r="A1017" s="31" t="s">
        <v>43</v>
      </c>
      <c r="B1017" s="32">
        <v>91860.0</v>
      </c>
      <c r="C1017" s="33" t="str">
        <f t="array" ref="C1017">INDEX('MTA 28-09'!B:B,MATCH(B1017,'MTA 28-09'!A:A,0))</f>
        <v>NÃO</v>
      </c>
      <c r="D1017" s="34" t="str">
        <f t="array" ref="D1017">INDEX('MTA 28-09'!D:D,MATCH(B1017,'MTA 28-09'!A:A,0))</f>
        <v/>
      </c>
      <c r="E1017" s="32" t="str">
        <f t="array" ref="E1017">INDEX('MTA 28-09'!F:F,MATCH(B1017,'MTA 28-09'!A:A,0))</f>
        <v/>
      </c>
      <c r="F1017" s="35" t="str">
        <f t="array" ref="F1017">INDEX('MTA 28-09'!I:I,MATCH(B1017,'MTA 28-09'!A:A,0))</f>
        <v/>
      </c>
      <c r="G1017" s="36" t="str">
        <f t="array" ref="G1017">INDEX('MTA 28-09'!J:J,MATCH(B1017,'MTA 28-09'!A:A,0))</f>
        <v/>
      </c>
      <c r="H1017" s="287" t="s">
        <v>157</v>
      </c>
      <c r="I1017" s="295"/>
      <c r="J1017" s="39"/>
      <c r="K1017" s="40"/>
      <c r="L1017" s="39" t="str">
        <f t="array" ref="L1017">INDEX('MTA 28-09'!S:S,MATCH(B1017,'MTA 28-09'!A:A,0))</f>
        <v>C-95M</v>
      </c>
      <c r="M1017" s="32" t="str">
        <f t="array" ref="M1017">INDEX('MTA 28-09'!T:T,MATCH(B1017,'MTA 28-09'!A:A,0))</f>
        <v>CNT XXX/CELOG-PAMASP/2026 - XXX - FEP</v>
      </c>
      <c r="N1017" s="32" t="str">
        <f t="array" ref="N1017">INDEX('MTA 28-09'!U:U,MATCH(B1017,'MTA 28-09'!A:A,0))</f>
        <v>FEP PT6A-34</v>
      </c>
      <c r="O1017" s="59">
        <f t="array" ref="O1017">INDEX('MTA 28-09'!AC:AC,MATCH(B1017,'MTA 28-09'!A:A,0))</f>
        <v>4600000</v>
      </c>
      <c r="P1017" s="32" t="str">
        <f t="array" ref="P1017">INDEX('MTA 28-09'!N:N,MATCH(B1017,'MTA 28-09'!A:A,0))</f>
        <v>CELOG</v>
      </c>
      <c r="Q1017" s="67" t="str">
        <f t="array" ref="Q1017">INDEX('MTA 28-09'!Z:Z,MATCH(B1017,'MTA 28-09'!A:A,0))</f>
        <v>339039</v>
      </c>
      <c r="R1017" s="32" t="str">
        <f t="array" ref="R1017">INDEX('MTA 28-09'!L:L,MATCH(B1017,'MTA 28-09'!A:A,0))</f>
        <v>C</v>
      </c>
      <c r="S1017" s="72" t="str">
        <f t="array" ref="S1017">INDEX('MTA 28-09'!X:X,MATCH(B1017,'MTA 28-09'!A:A,0))</f>
        <v>SOB DEMANDA</v>
      </c>
      <c r="T1017" s="72" t="str">
        <f t="array" ref="T1017">INDEX('MTA 28-09'!W:W,MATCH(B1017,'MTA 28-09'!A:A,0))</f>
        <v>SIM</v>
      </c>
      <c r="U1017" s="81">
        <f t="array" ref="U1017">INDEX('MTA 28-09'!AE:AE,MATCH(B1017,'MTA 28-09'!A:A,0))</f>
        <v>46382</v>
      </c>
      <c r="V1017" s="12"/>
      <c r="W1017" s="12"/>
      <c r="X1017" s="12"/>
      <c r="Y1017" s="12"/>
      <c r="Z1017" s="12"/>
      <c r="AA1017" s="12"/>
      <c r="AB1017" s="12"/>
      <c r="AC1017" s="12"/>
      <c r="AD1017" s="12"/>
      <c r="AE1017" s="12"/>
      <c r="AF1017" s="12"/>
      <c r="AG1017" s="12"/>
      <c r="AH1017" s="12"/>
      <c r="AI1017" s="12"/>
      <c r="AJ1017" s="12"/>
      <c r="AK1017" s="12"/>
      <c r="AL1017" s="12"/>
      <c r="AM1017" s="12"/>
    </row>
    <row r="1018">
      <c r="A1018" s="88" t="s">
        <v>43</v>
      </c>
      <c r="B1018" s="436">
        <v>100240.0</v>
      </c>
      <c r="C1018" s="92" t="str">
        <f t="array" ref="C1018">INDEX('MTA 28-09'!B:B,MATCH(B1018,'MTA 28-09'!A:A,0))</f>
        <v>SIM</v>
      </c>
      <c r="D1018" s="95">
        <f t="array" ref="D1018">INDEX('MTA 28-09'!D:D,MATCH(B1018,'MTA 28-09'!A:A,0))</f>
        <v>2048</v>
      </c>
      <c r="E1018" s="98" t="str">
        <f t="array" ref="E1018">INDEX('MTA 28-09'!F:F,MATCH(B1018,'MTA 28-09'!A:A,0))</f>
        <v>ATENDIDO</v>
      </c>
      <c r="F1018" s="99">
        <f t="array" ref="F1018">INDEX('MTA 28-09'!I:I,MATCH(B1018,'MTA 28-09'!A:A,0))</f>
        <v>46255</v>
      </c>
      <c r="G1018" s="100" t="str">
        <f t="array" ref="G1018">INDEX('MTA 28-09'!J:J,MATCH(B1018,'MTA 28-09'!A:A,0))</f>
        <v>C26180</v>
      </c>
      <c r="H1018" s="159" t="s">
        <v>157</v>
      </c>
      <c r="I1018" s="428"/>
      <c r="J1018" s="437"/>
      <c r="K1018" s="436"/>
      <c r="L1018" s="102" t="str">
        <f t="array" ref="L1018">INDEX('MTA 28-09'!S:S,MATCH(B1018,'MTA 28-09'!A:A,0))</f>
        <v>C-95M</v>
      </c>
      <c r="M1018" s="98" t="str">
        <f t="array" ref="M1018">INDEX('MTA 28-09'!T:T,MATCH(B1018,'MTA 28-09'!A:A,0))</f>
        <v>REQUISIÇÃO CONSUMO</v>
      </c>
      <c r="N1018" s="98" t="str">
        <f t="array" ref="N1018">INDEX('MTA 28-09'!U:U,MATCH(B1018,'MTA 28-09'!A:A,0))</f>
        <v>REQUISIÇÃO EMERGENCIAL</v>
      </c>
      <c r="O1018" s="104">
        <f t="array" ref="O1018">INDEX('MTA 28-09'!AC:AC,MATCH(B1018,'MTA 28-09'!A:A,0))</f>
        <v>32527.64</v>
      </c>
      <c r="P1018" s="98" t="str">
        <f t="array" ref="P1018">INDEX('MTA 28-09'!N:N,MATCH(B1018,'MTA 28-09'!A:A,0))</f>
        <v>CABW</v>
      </c>
      <c r="Q1018" s="105" t="str">
        <f t="array" ref="Q1018">INDEX('MTA 28-09'!Z:Z,MATCH(B1018,'MTA 28-09'!A:A,0))</f>
        <v>339030</v>
      </c>
      <c r="R1018" s="98" t="str">
        <f t="array" ref="R1018">INDEX('MTA 28-09'!L:L,MATCH(B1018,'MTA 28-09'!A:A,0))</f>
        <v>A</v>
      </c>
      <c r="S1018" s="107" t="str">
        <f t="array" ref="S1018">INDEX('MTA 28-09'!X:X,MATCH(B1018,'MTA 28-09'!A:A,0))</f>
        <v>REQUISIÇÃO</v>
      </c>
      <c r="T1018" s="107" t="str">
        <f t="array" ref="T1018">INDEX('MTA 28-09'!W:W,MATCH(B1018,'MTA 28-09'!A:A,0))</f>
        <v>SIM</v>
      </c>
      <c r="U1018" s="109">
        <f t="array" ref="U1018">INDEX('MTA 28-09'!AE:AE,MATCH(B1018,'MTA 28-09'!A:A,0))</f>
        <v>46108</v>
      </c>
      <c r="V1018" s="29"/>
      <c r="W1018" s="29"/>
      <c r="X1018" s="29"/>
      <c r="Y1018" s="29"/>
      <c r="Z1018" s="29"/>
      <c r="AA1018" s="29"/>
      <c r="AB1018" s="29"/>
      <c r="AC1018" s="29"/>
      <c r="AD1018" s="29"/>
      <c r="AE1018" s="29"/>
      <c r="AF1018" s="29"/>
      <c r="AG1018" s="29"/>
      <c r="AH1018" s="29"/>
      <c r="AI1018" s="29"/>
      <c r="AJ1018" s="29"/>
      <c r="AK1018" s="29"/>
      <c r="AL1018" s="29"/>
      <c r="AM1018" s="29"/>
    </row>
    <row r="1019">
      <c r="A1019" s="31" t="s">
        <v>43</v>
      </c>
      <c r="B1019" s="429">
        <v>100241.0</v>
      </c>
      <c r="C1019" s="33" t="str">
        <f t="array" ref="C1019">INDEX('MTA 28-09'!B:B,MATCH(B1019,'MTA 28-09'!A:A,0))</f>
        <v>SIM</v>
      </c>
      <c r="D1019" s="34">
        <f t="array" ref="D1019">INDEX('MTA 28-09'!D:D,MATCH(B1019,'MTA 28-09'!A:A,0))</f>
        <v>2048</v>
      </c>
      <c r="E1019" s="32" t="str">
        <f t="array" ref="E1019">INDEX('MTA 28-09'!F:F,MATCH(B1019,'MTA 28-09'!A:A,0))</f>
        <v>ATENDIDO</v>
      </c>
      <c r="F1019" s="35">
        <f t="array" ref="F1019">INDEX('MTA 28-09'!I:I,MATCH(B1019,'MTA 28-09'!A:A,0))</f>
        <v>46255</v>
      </c>
      <c r="G1019" s="36" t="str">
        <f t="array" ref="G1019">INDEX('MTA 28-09'!J:J,MATCH(B1019,'MTA 28-09'!A:A,0))</f>
        <v>C26180</v>
      </c>
      <c r="H1019" s="287" t="s">
        <v>157</v>
      </c>
      <c r="I1019" s="425"/>
      <c r="J1019" s="438"/>
      <c r="K1019" s="429"/>
      <c r="L1019" s="39" t="str">
        <f t="array" ref="L1019">INDEX('MTA 28-09'!S:S,MATCH(B1019,'MTA 28-09'!A:A,0))</f>
        <v>C-95M</v>
      </c>
      <c r="M1019" s="32" t="str">
        <f t="array" ref="M1019">INDEX('MTA 28-09'!T:T,MATCH(B1019,'MTA 28-09'!A:A,0))</f>
        <v>REQUISIÇÃO CONSUMO</v>
      </c>
      <c r="N1019" s="32" t="str">
        <f t="array" ref="N1019">INDEX('MTA 28-09'!U:U,MATCH(B1019,'MTA 28-09'!A:A,0))</f>
        <v>Material para FCU</v>
      </c>
      <c r="O1019" s="59">
        <f t="array" ref="O1019">INDEX('MTA 28-09'!AC:AC,MATCH(B1019,'MTA 28-09'!A:A,0))</f>
        <v>176798.8</v>
      </c>
      <c r="P1019" s="32" t="str">
        <f t="array" ref="P1019">INDEX('MTA 28-09'!N:N,MATCH(B1019,'MTA 28-09'!A:A,0))</f>
        <v>CABW</v>
      </c>
      <c r="Q1019" s="67" t="str">
        <f t="array" ref="Q1019">INDEX('MTA 28-09'!Z:Z,MATCH(B1019,'MTA 28-09'!A:A,0))</f>
        <v>339030</v>
      </c>
      <c r="R1019" s="32" t="str">
        <f t="array" ref="R1019">INDEX('MTA 28-09'!L:L,MATCH(B1019,'MTA 28-09'!A:A,0))</f>
        <v>A</v>
      </c>
      <c r="S1019" s="72" t="str">
        <f t="array" ref="S1019">INDEX('MTA 28-09'!X:X,MATCH(B1019,'MTA 28-09'!A:A,0))</f>
        <v>REQUISIÇÃO</v>
      </c>
      <c r="T1019" s="72" t="str">
        <f t="array" ref="T1019">INDEX('MTA 28-09'!W:W,MATCH(B1019,'MTA 28-09'!A:A,0))</f>
        <v>SIM</v>
      </c>
      <c r="U1019" s="81">
        <f t="array" ref="U1019">INDEX('MTA 28-09'!AE:AE,MATCH(B1019,'MTA 28-09'!A:A,0))</f>
        <v>46108</v>
      </c>
      <c r="V1019" s="12"/>
      <c r="W1019" s="12"/>
      <c r="X1019" s="12"/>
      <c r="Y1019" s="12"/>
      <c r="Z1019" s="12"/>
      <c r="AA1019" s="12"/>
      <c r="AB1019" s="12"/>
      <c r="AC1019" s="12"/>
      <c r="AD1019" s="12"/>
      <c r="AE1019" s="12"/>
      <c r="AF1019" s="12"/>
      <c r="AG1019" s="12"/>
      <c r="AH1019" s="12"/>
      <c r="AI1019" s="12"/>
      <c r="AJ1019" s="12"/>
      <c r="AK1019" s="12"/>
      <c r="AL1019" s="12"/>
      <c r="AM1019" s="12"/>
    </row>
    <row r="1020">
      <c r="A1020" s="437" t="s">
        <v>46</v>
      </c>
      <c r="B1020" s="436">
        <v>100620.0</v>
      </c>
      <c r="C1020" s="92" t="str">
        <f t="array" ref="C1020">INDEX('MTA 28-09'!B:B,MATCH(B1020,'MTA 28-09'!A:A,0))</f>
        <v>SIM</v>
      </c>
      <c r="D1020" s="95">
        <f t="array" ref="D1020">INDEX('MTA 28-09'!D:D,MATCH(B1020,'MTA 28-09'!A:A,0))</f>
        <v>2048</v>
      </c>
      <c r="E1020" s="98" t="str">
        <f t="array" ref="E1020">INDEX('MTA 28-09'!F:F,MATCH(B1020,'MTA 28-09'!A:A,0))</f>
        <v>ATENDIDO</v>
      </c>
      <c r="F1020" s="99">
        <f t="array" ref="F1020">INDEX('MTA 28-09'!I:I,MATCH(B1020,'MTA 28-09'!A:A,0))</f>
        <v>46289</v>
      </c>
      <c r="G1020" s="100" t="str">
        <f t="array" ref="G1020">INDEX('MTA 28-09'!J:J,MATCH(B1020,'MTA 28-09'!A:A,0))</f>
        <v>C26206</v>
      </c>
      <c r="H1020" s="439"/>
      <c r="I1020" s="428"/>
      <c r="J1020" s="437"/>
      <c r="K1020" s="436"/>
      <c r="L1020" s="437"/>
      <c r="M1020" s="98" t="str">
        <f t="array" ref="M1020">INDEX('MTA 28-09'!T:T,MATCH(B1020,'MTA 28-09'!A:A,0))</f>
        <v>CNT 005/CELOG-PAMASP/2026 - STANDARDAERO - RG
 Revisão Geral PT6A-25C (4/5)</v>
      </c>
      <c r="N1020" s="98" t="str">
        <f t="array" ref="N1020">INDEX('MTA 28-09'!U:U,MATCH(B1020,'MTA 28-09'!A:A,0))</f>
        <v>Revisão Geral PT6A-25C (4/5)</v>
      </c>
      <c r="O1020" s="104">
        <f t="array" ref="O1020">INDEX('MTA 28-09'!AC:AC,MATCH(B1020,'MTA 28-09'!A:A,0))</f>
        <v>248730.88</v>
      </c>
      <c r="P1020" s="98" t="str">
        <f t="array" ref="P1020">INDEX('MTA 28-09'!N:N,MATCH(B1020,'MTA 28-09'!A:A,0))</f>
        <v>CABW</v>
      </c>
      <c r="Q1020" s="105" t="str">
        <f t="array" ref="Q1020">INDEX('MTA 28-09'!Z:Z,MATCH(B1020,'MTA 28-09'!A:A,0))</f>
        <v>339039</v>
      </c>
      <c r="R1020" s="98" t="str">
        <f t="array" ref="R1020">INDEX('MTA 28-09'!L:L,MATCH(B1020,'MTA 28-09'!A:A,0))</f>
        <v>A</v>
      </c>
      <c r="S1020" s="107" t="str">
        <f t="array" ref="S1020">INDEX('MTA 28-09'!X:X,MATCH(B1020,'MTA 28-09'!A:A,0))</f>
        <v>SOB DEMANDA</v>
      </c>
      <c r="T1020" s="107" t="str">
        <f t="array" ref="T1020">INDEX('MTA 28-09'!W:W,MATCH(B1020,'MTA 28-09'!A:A,0))</f>
        <v>SIM</v>
      </c>
      <c r="U1020" s="109">
        <f t="array" ref="U1020">INDEX('MTA 28-09'!AE:AE,MATCH(B1020,'MTA 28-09'!A:A,0))</f>
        <v>46352</v>
      </c>
      <c r="V1020" s="29"/>
      <c r="W1020" s="29"/>
      <c r="X1020" s="29"/>
      <c r="Y1020" s="29"/>
      <c r="Z1020" s="29"/>
      <c r="AA1020" s="29"/>
      <c r="AB1020" s="29"/>
      <c r="AC1020" s="29"/>
      <c r="AD1020" s="29"/>
      <c r="AE1020" s="29"/>
      <c r="AF1020" s="29"/>
      <c r="AG1020" s="29"/>
      <c r="AH1020" s="29"/>
      <c r="AI1020" s="29"/>
      <c r="AJ1020" s="29"/>
      <c r="AK1020" s="29"/>
      <c r="AL1020" s="29"/>
      <c r="AM1020" s="29"/>
    </row>
    <row r="1021">
      <c r="A1021" s="438" t="s">
        <v>46</v>
      </c>
      <c r="B1021" s="429">
        <v>100640.0</v>
      </c>
      <c r="C1021" s="33" t="str">
        <f t="array" ref="C1021">INDEX('MTA 28-09'!B:B,MATCH(B1021,'MTA 28-09'!A:A,0))</f>
        <v>SIM</v>
      </c>
      <c r="D1021" s="34">
        <f t="array" ref="D1021">INDEX('MTA 28-09'!D:D,MATCH(B1021,'MTA 28-09'!A:A,0))</f>
        <v>2048</v>
      </c>
      <c r="E1021" s="32" t="str">
        <f t="array" ref="E1021">INDEX('MTA 28-09'!F:F,MATCH(B1021,'MTA 28-09'!A:A,0))</f>
        <v>ATENDIDO</v>
      </c>
      <c r="F1021" s="35">
        <f t="array" ref="F1021">INDEX('MTA 28-09'!I:I,MATCH(B1021,'MTA 28-09'!A:A,0))</f>
        <v>46289</v>
      </c>
      <c r="G1021" s="36" t="str">
        <f t="array" ref="G1021">INDEX('MTA 28-09'!J:J,MATCH(B1021,'MTA 28-09'!A:A,0))</f>
        <v>C26207</v>
      </c>
      <c r="H1021" s="440"/>
      <c r="I1021" s="425"/>
      <c r="J1021" s="438"/>
      <c r="K1021" s="429"/>
      <c r="L1021" s="438"/>
      <c r="M1021" s="32" t="str">
        <f t="array" ref="M1021">INDEX('MTA 28-09'!T:T,MATCH(B1021,'MTA 28-09'!A:A,0))</f>
        <v>CNT 005/CELOG-PAMASP/2026 - STANDARDAERO - RG</v>
      </c>
      <c r="N1021" s="32" t="str">
        <f t="array" ref="N1021">INDEX('MTA 28-09'!U:U,MATCH(B1021,'MTA 28-09'!A:A,0))</f>
        <v>Revisão Geral PT6A-25C (4/5)</v>
      </c>
      <c r="O1021" s="59">
        <f t="array" ref="O1021">INDEX('MTA 28-09'!AC:AC,MATCH(B1021,'MTA 28-09'!A:A,0))</f>
        <v>201014.79</v>
      </c>
      <c r="P1021" s="32" t="str">
        <f t="array" ref="P1021">INDEX('MTA 28-09'!N:N,MATCH(B1021,'MTA 28-09'!A:A,0))</f>
        <v>CABW</v>
      </c>
      <c r="Q1021" s="67" t="str">
        <f t="array" ref="Q1021">INDEX('MTA 28-09'!Z:Z,MATCH(B1021,'MTA 28-09'!A:A,0))</f>
        <v>339039</v>
      </c>
      <c r="R1021" s="32" t="str">
        <f t="array" ref="R1021">INDEX('MTA 28-09'!L:L,MATCH(B1021,'MTA 28-09'!A:A,0))</f>
        <v>A</v>
      </c>
      <c r="S1021" s="72" t="str">
        <f t="array" ref="S1021">INDEX('MTA 28-09'!X:X,MATCH(B1021,'MTA 28-09'!A:A,0))</f>
        <v>SOB DEMANDA</v>
      </c>
      <c r="T1021" s="72" t="str">
        <f t="array" ref="T1021">INDEX('MTA 28-09'!W:W,MATCH(B1021,'MTA 28-09'!A:A,0))</f>
        <v>SIM</v>
      </c>
      <c r="U1021" s="81">
        <f t="array" ref="U1021">INDEX('MTA 28-09'!AE:AE,MATCH(B1021,'MTA 28-09'!A:A,0))</f>
        <v>46352</v>
      </c>
      <c r="V1021" s="12"/>
      <c r="W1021" s="12"/>
      <c r="X1021" s="12"/>
      <c r="Y1021" s="12"/>
      <c r="Z1021" s="12"/>
      <c r="AA1021" s="12"/>
      <c r="AB1021" s="12"/>
      <c r="AC1021" s="12"/>
      <c r="AD1021" s="12"/>
      <c r="AE1021" s="12"/>
      <c r="AF1021" s="12"/>
      <c r="AG1021" s="12"/>
      <c r="AH1021" s="12"/>
      <c r="AI1021" s="12"/>
      <c r="AJ1021" s="12"/>
      <c r="AK1021" s="12"/>
      <c r="AL1021" s="12"/>
      <c r="AM1021" s="12"/>
    </row>
    <row r="1022">
      <c r="A1022" s="437" t="s">
        <v>44</v>
      </c>
      <c r="B1022" s="436">
        <v>100680.0</v>
      </c>
      <c r="C1022" s="92" t="str">
        <f t="array" ref="C1022">INDEX('MTA 28-09'!B:B,MATCH(B1022,'MTA 28-09'!A:A,0))</f>
        <v>SIM</v>
      </c>
      <c r="D1022" s="95">
        <f t="array" ref="D1022">INDEX('MTA 28-09'!D:D,MATCH(B1022,'MTA 28-09'!A:A,0))</f>
        <v>2048</v>
      </c>
      <c r="E1022" s="98" t="str">
        <f t="array" ref="E1022">INDEX('MTA 28-09'!F:F,MATCH(B1022,'MTA 28-09'!A:A,0))</f>
        <v>EM TRÂMITE</v>
      </c>
      <c r="F1022" s="99">
        <f t="array" ref="F1022">INDEX('MTA 28-09'!I:I,MATCH(B1022,'MTA 28-09'!A:A,0))</f>
        <v>46290</v>
      </c>
      <c r="G1022" s="100" t="str">
        <f t="array" ref="G1022">INDEX('MTA 28-09'!J:J,MATCH(B1022,'MTA 28-09'!A:A,0))</f>
        <v/>
      </c>
      <c r="H1022" s="439"/>
      <c r="I1022" s="90" t="s">
        <v>293</v>
      </c>
      <c r="J1022" s="437"/>
      <c r="K1022" s="436"/>
      <c r="L1022" s="437"/>
      <c r="M1022" s="98" t="str">
        <f t="array" ref="M1022">INDEX('MTA 28-09'!T:T,MATCH(B1022,'MTA 28-09'!A:A,0))</f>
        <v>Requisição CABW</v>
      </c>
      <c r="N1022" s="98" t="str">
        <f t="array" ref="N1022">INDEX('MTA 28-09'!U:U,MATCH(B1022,'MTA 28-09'!A:A,0))</f>
        <v>Requisição Consumíveis</v>
      </c>
      <c r="O1022" s="104">
        <f t="array" ref="O1022">INDEX('MTA 28-09'!AC:AC,MATCH(B1022,'MTA 28-09'!A:A,0))</f>
        <v>1405022.04</v>
      </c>
      <c r="P1022" s="98" t="str">
        <f t="array" ref="P1022">INDEX('MTA 28-09'!N:N,MATCH(B1022,'MTA 28-09'!A:A,0))</f>
        <v>CABW</v>
      </c>
      <c r="Q1022" s="105" t="str">
        <f t="array" ref="Q1022">INDEX('MTA 28-09'!Z:Z,MATCH(B1022,'MTA 28-09'!A:A,0))</f>
        <v>339030</v>
      </c>
      <c r="R1022" s="98" t="str">
        <f t="array" ref="R1022">INDEX('MTA 28-09'!L:L,MATCH(B1022,'MTA 28-09'!A:A,0))</f>
        <v>A</v>
      </c>
      <c r="S1022" s="107" t="str">
        <f t="array" ref="S1022">INDEX('MTA 28-09'!X:X,MATCH(B1022,'MTA 28-09'!A:A,0))</f>
        <v/>
      </c>
      <c r="T1022" s="107" t="str">
        <f t="array" ref="T1022">INDEX('MTA 28-09'!W:W,MATCH(B1022,'MTA 28-09'!A:A,0))</f>
        <v/>
      </c>
      <c r="U1022" s="441" t="str">
        <f t="array" ref="U1022">INDEX('MTA 28-09'!AE:AE,MATCH(B1022,'MTA 28-09'!A:A,0))</f>
        <v/>
      </c>
      <c r="V1022" s="29"/>
      <c r="W1022" s="29"/>
      <c r="X1022" s="29"/>
      <c r="Y1022" s="29"/>
      <c r="Z1022" s="29"/>
      <c r="AA1022" s="29"/>
      <c r="AB1022" s="29"/>
      <c r="AC1022" s="29"/>
      <c r="AD1022" s="29"/>
      <c r="AE1022" s="29"/>
      <c r="AF1022" s="29"/>
      <c r="AG1022" s="29"/>
      <c r="AH1022" s="29"/>
      <c r="AI1022" s="29"/>
      <c r="AJ1022" s="29"/>
      <c r="AK1022" s="29"/>
      <c r="AL1022" s="29"/>
      <c r="AM1022" s="29"/>
    </row>
    <row r="1023">
      <c r="A1023" s="438" t="s">
        <v>44</v>
      </c>
      <c r="B1023" s="429">
        <v>100681.0</v>
      </c>
      <c r="C1023" s="33" t="str">
        <f t="array" ref="C1023">INDEX('MTA 28-09'!B:B,MATCH(B1023,'MTA 28-09'!A:A,0))</f>
        <v>SIM</v>
      </c>
      <c r="D1023" s="34">
        <f t="array" ref="D1023">INDEX('MTA 28-09'!D:D,MATCH(B1023,'MTA 28-09'!A:A,0))</f>
        <v>2048</v>
      </c>
      <c r="E1023" s="32" t="str">
        <f t="array" ref="E1023">INDEX('MTA 28-09'!F:F,MATCH(B1023,'MTA 28-09'!A:A,0))</f>
        <v>EM TRÂMITE</v>
      </c>
      <c r="F1023" s="35">
        <f t="array" ref="F1023">INDEX('MTA 28-09'!I:I,MATCH(B1023,'MTA 28-09'!A:A,0))</f>
        <v>46290</v>
      </c>
      <c r="G1023" s="36" t="str">
        <f t="array" ref="G1023">INDEX('MTA 28-09'!J:J,MATCH(B1023,'MTA 28-09'!A:A,0))</f>
        <v/>
      </c>
      <c r="H1023" s="440"/>
      <c r="I1023" s="38" t="s">
        <v>293</v>
      </c>
      <c r="J1023" s="438"/>
      <c r="K1023" s="429"/>
      <c r="L1023" s="438"/>
      <c r="M1023" s="32" t="str">
        <f t="array" ref="M1023">INDEX('MTA 28-09'!T:T,MATCH(B1023,'MTA 28-09'!A:A,0))</f>
        <v>Requisição CABW</v>
      </c>
      <c r="N1023" s="32" t="str">
        <f t="array" ref="N1023">INDEX('MTA 28-09'!U:U,MATCH(B1023,'MTA 28-09'!A:A,0))</f>
        <v>Requisição Consumíveis</v>
      </c>
      <c r="O1023" s="59">
        <f t="array" ref="O1023">INDEX('MTA 28-09'!AC:AC,MATCH(B1023,'MTA 28-09'!A:A,0))</f>
        <v>572231.65</v>
      </c>
      <c r="P1023" s="32" t="str">
        <f t="array" ref="P1023">INDEX('MTA 28-09'!N:N,MATCH(B1023,'MTA 28-09'!A:A,0))</f>
        <v>CABW</v>
      </c>
      <c r="Q1023" s="67" t="str">
        <f t="array" ref="Q1023">INDEX('MTA 28-09'!Z:Z,MATCH(B1023,'MTA 28-09'!A:A,0))</f>
        <v>339030</v>
      </c>
      <c r="R1023" s="32" t="str">
        <f t="array" ref="R1023">INDEX('MTA 28-09'!L:L,MATCH(B1023,'MTA 28-09'!A:A,0))</f>
        <v>A</v>
      </c>
      <c r="S1023" s="72" t="str">
        <f t="array" ref="S1023">INDEX('MTA 28-09'!X:X,MATCH(B1023,'MTA 28-09'!A:A,0))</f>
        <v/>
      </c>
      <c r="T1023" s="72" t="str">
        <f t="array" ref="T1023">INDEX('MTA 28-09'!W:W,MATCH(B1023,'MTA 28-09'!A:A,0))</f>
        <v/>
      </c>
      <c r="U1023" s="442" t="str">
        <f t="array" ref="U1023">INDEX('MTA 28-09'!AE:AE,MATCH(B1023,'MTA 28-09'!A:A,0))</f>
        <v/>
      </c>
      <c r="V1023" s="12"/>
      <c r="W1023" s="12"/>
      <c r="X1023" s="12"/>
      <c r="Y1023" s="12"/>
      <c r="Z1023" s="12"/>
      <c r="AA1023" s="12"/>
      <c r="AB1023" s="12"/>
      <c r="AC1023" s="12"/>
      <c r="AD1023" s="12"/>
      <c r="AE1023" s="12"/>
      <c r="AF1023" s="12"/>
      <c r="AG1023" s="12"/>
      <c r="AH1023" s="12"/>
      <c r="AI1023" s="12"/>
      <c r="AJ1023" s="12"/>
      <c r="AK1023" s="12"/>
      <c r="AL1023" s="12"/>
      <c r="AM1023" s="12"/>
    </row>
  </sheetData>
  <customSheetViews>
    <customSheetView guid="{56D0FCDC-0A6C-44EB-8E57-3BE9A60F9788}" filter="1" showAutoFilter="1">
      <autoFilter ref="$A$2:$AM$1023">
        <filterColumn colId="4">
          <filters blank="1">
            <filter val="20XV 2027"/>
            <filter val="ATENDER"/>
            <filter val="ATENDIDO"/>
          </filters>
        </filterColumn>
        <filterColumn colId="11">
          <filters blank="1">
            <filter val="A-29"/>
          </filters>
        </filterColumn>
      </autoFilter>
    </customSheetView>
    <customSheetView guid="{7EB356EA-F2B7-41ED-B35D-E275AF890E5A}" filter="1" showAutoFilter="1">
      <autoFilter ref="$A$2:$AM$1023">
        <filterColumn colId="0">
          <filters>
            <filter val="MOD T-25"/>
            <filter val="T-25"/>
            <filter val="APOIO"/>
          </filters>
        </filterColumn>
        <filterColumn colId="2">
          <filters>
            <filter val="SIM"/>
          </filters>
        </filterColumn>
        <filterColumn colId="4">
          <filters blank="1">
            <filter val="BLOQUEIO"/>
            <filter val="CANCELADO"/>
            <filter val="20XV 2027"/>
            <filter val="EM TRÂMITE"/>
            <filter val="ATENDER"/>
            <filter val="PROCESSADO"/>
          </filters>
        </filterColumn>
      </autoFilter>
    </customSheetView>
    <customSheetView guid="{F940DA81-AF26-435A-B6B5-52C5FCBCC8C6}" filter="1" showAutoFilter="1">
      <autoFilter ref="$A$2:$AM$614">
        <filterColumn colId="4">
          <filters>
            <filter val="ATENDER"/>
            <filter val="ATENDIDO"/>
          </filters>
        </filterColumn>
      </autoFilter>
    </customSheetView>
    <customSheetView guid="{E2DA4580-85C8-4F38-9252-AEB856D7987F}" filter="1" showAutoFilter="1">
      <autoFilter ref="$A$2:$AM$961">
        <filterColumn colId="4">
          <filters>
            <filter val="20XV 2027"/>
            <filter val="EM TRÂMITE"/>
            <filter val="ATENDER"/>
            <filter val="ATENDIDO"/>
            <filter val="PROCESSADO"/>
          </filters>
        </filterColumn>
        <filterColumn colId="17">
          <filters>
            <filter val="D"/>
          </filters>
        </filterColumn>
        <filterColumn colId="11">
          <filters blank="1">
            <filter val="C-95M"/>
            <filter val="IU-93M"/>
            <filter val="T-27"/>
            <filter val="A-29"/>
            <filter val="G-19"/>
            <filter val="APOIO"/>
          </filters>
        </filterColumn>
      </autoFilter>
    </customSheetView>
    <customSheetView guid="{37CE52F4-DC25-47C7-A784-E0D0D3310A06}" filter="1" showAutoFilter="1">
      <autoFilter ref="$A$2:$AM$591">
        <filterColumn colId="0">
          <filters>
            <filter val="MOD T-25"/>
            <filter val="T-25"/>
          </filters>
        </filterColumn>
        <filterColumn colId="2">
          <filters>
            <filter val="SIM"/>
          </filters>
        </filterColumn>
        <filterColumn colId="4">
          <filters blank="1">
            <filter val="BLOQUEIO"/>
            <filter val="CANCELADO"/>
            <filter val="ATENDER"/>
            <filter val="PROCESSADO"/>
          </filters>
        </filterColumn>
        <filterColumn colId="17">
          <filters>
            <filter val="A"/>
            <filter val="B"/>
            <filter val="C"/>
          </filters>
        </filterColumn>
      </autoFilter>
    </customSheetView>
    <customSheetView guid="{EA39167F-EE8A-47A8-A55A-7401F35D6ACC}" filter="1" showAutoFilter="1">
      <autoFilter ref="$A$2:$AM$1023">
        <filterColumn colId="4">
          <filters>
            <filter val="20XV 2027"/>
            <filter val="ATENDER"/>
            <filter val="ATENDIDO"/>
          </filters>
        </filterColumn>
        <filterColumn colId="8">
          <filters>
            <filter val="SOLICITAR CONTEMPLAÇÃO (Console de Oxigênio em Grande Altitude)"/>
            <filter val="ATENDER com 20XV"/>
            <filter val="Atender R$ 2.6mi com saldo da linha 18760"/>
            <filter val="Remanejar para a linha 19020"/>
            <filter val="AGD COORDENADOR"/>
            <filter val="Foi trocado para a linha 18501"/>
            <filter val="Atender em FEV/2027."/>
            <filter val="Foi trocada pela linha 66040."/>
            <filter val="Atender R$ 85.689,70 em FEV/2028."/>
            <filter val="Foi trocado para a linha 66020"/>
            <filter val="Atender US$ 6.720,00 e remanejar residual."/>
            <filter val="ATENDER CABW OUT"/>
            <filter val="Foi trocado para a linha 66060"/>
            <filter val="Foi trocado para a linha 68040"/>
            <filter val="Foi trocada pela linha 65080"/>
            <filter val="Foi trocado pela linha 67080"/>
            <filter val="ATENDER (Indução autorizada pela DIRMAB conforme e-mail 11/09)"/>
            <filter val="Foi trocado pela linha 67040"/>
            <filter val="AGD FMS"/>
            <filter val="ATENDER SET"/>
            <filter val="Foi trocado para a linha 67060"/>
            <filter val="AGD PREGÃO"/>
            <filter val="2024NE001610, 2024NE002042, 2024NE001873"/>
            <filter val="Remanejar R$ 1.462.977,67 para a linha 19020 e ATENDER R$ 500.000,00"/>
            <filter val="Foi trocada pela linha 66080"/>
            <filter val="Atender SET"/>
            <filter val="ATENDER OUT"/>
            <filter val="Foi trocado pela linha 68000"/>
            <filter val="Atender NOV"/>
            <filter val="Foi trocado para a linha 66000"/>
            <filter val="REMANEJAR&#10;ATENDER $ 2.000,00 E MUDAR PARA ATUALIZAR GPS PJT A-29. Remanejar R$ 130.000,00 para o ctt 048 Willian"/>
            <filter val="ATENDER NOV"/>
            <filter val="Atender OUT"/>
            <filter val="ATENDER"/>
            <filter val="Foi trocado para a linha 68020"/>
            <filter val="Remanejar R$ 2.6000.000,00 para linha 18881 e R$ 100.000,00 para a linha 19020"/>
            <filter val="Foi trocado para a linha 68060"/>
            <filter val="Atender USD 423.528,00 para console de oxigênio (não será nessa linha)"/>
            <filter val="Anular o empenho e Remanejar para CABW. Foi enviado e-mail em 22/09"/>
            <filter val="Atender em FEV/2028."/>
            <filter val="ATENDER U$ 421066,40. (Indução autorizada pela DIRMAB conforme e-mail 11/09)"/>
            <filter val="Quebrar e Atender R$ 5.376.888,00. Utilizar R$ 0.1mi da linha 18760, valor integral da linha 19420, 19242 e R$ 1.462.977,67 da linha 19240."/>
            <filter val="Foi trocado para a linha 67000"/>
            <filter val="Atender R$ 85.689,70 em FEV/2027."/>
            <filter val="Atender novembro"/>
            <filter val="Atender"/>
            <filter val="Foi trocado pela linha 67020"/>
          </filters>
        </filterColumn>
      </autoFilter>
    </customSheetView>
    <customSheetView guid="{5E6BAC90-186F-4673-9FCC-B5AE5773EDE7}" filter="1" showAutoFilter="1">
      <autoFilter ref="$A$2:$AM$1023">
        <filterColumn colId="0">
          <filters>
            <filter val="MOD T-27"/>
            <filter val="T-27"/>
            <filter val="APOIO"/>
          </filters>
        </filterColumn>
        <filterColumn colId="2">
          <filters>
            <filter val="SIM"/>
          </filters>
        </filterColumn>
        <filterColumn colId="19">
          <filters blank="1">
            <filter val="Não"/>
            <filter val="NÃO"/>
          </filters>
        </filterColumn>
      </autoFilter>
    </customSheetView>
    <customSheetView guid="{383FC807-906E-4F0B-B431-CFA2479E5802}" filter="1" showAutoFilter="1">
      <autoFilter ref="$A$2:$AK$1023">
        <filterColumn colId="3">
          <filters blank="1">
            <filter val="RAP"/>
            <filter val="HOLDING ACCOUNT"/>
            <filter val="2048 PO 02"/>
            <filter val="DESTQ19"/>
            <filter val="20IH"/>
            <filter val="DESTQ38"/>
            <filter val="DESTQ14"/>
            <filter val="DESTQ34"/>
            <filter val="DESTQ11"/>
            <filter val="DESTQ32"/>
            <filter val="DESTQ31"/>
            <filter val="DESTQ30"/>
            <filter val="DESTQ51"/>
            <filter val="2048"/>
            <filter val="DESTQ50"/>
            <filter val="20XV SUP"/>
            <filter val="DESTQ09"/>
            <filter val="DESTQ08"/>
            <filter val="DESTQ29"/>
            <filter val="DESTQ28"/>
            <filter val="20XV"/>
            <filter val="DESTQ25"/>
            <filter val="DESTQ02"/>
            <filter val="DESTQ24"/>
            <filter val="DESTQ23"/>
            <filter val="DESTQ22"/>
            <filter val="20XV EXTRA"/>
            <filter val="DESTQ21"/>
            <filter val="DESTQ20"/>
          </filters>
        </filterColumn>
        <filterColumn colId="4">
          <filters blank="1">
            <filter val="BLOQUEIO"/>
            <filter val="CANCELADO"/>
            <filter val="20XV 2027"/>
            <filter val="EM TRÂMITE"/>
            <filter val="ATENDER"/>
            <filter val="PROCESSADO"/>
          </filters>
        </filterColumn>
        <filterColumn colId="11">
          <filters blank="1">
            <filter val="C-95M"/>
            <filter val="IU-93M"/>
            <filter val="T-27"/>
            <filter val="APOIO"/>
          </filters>
        </filterColumn>
        <filterColumn colId="16">
          <filters>
            <filter val="449052"/>
          </filters>
        </filterColumn>
        <filterColumn colId="15">
          <filters>
            <filter val="EEAR"/>
            <filter val="CELOG"/>
            <filter val="CAE"/>
            <filter val="GAPLS"/>
            <filter val="BANT"/>
            <filter val="BAPV"/>
            <filter val="AFA"/>
            <filter val="GAP-LS"/>
            <filter val="GAP-SJ"/>
          </filters>
        </filterColumn>
        <sortState ref="A2:AK1023">
          <sortCondition ref="B2:B1023"/>
        </sortState>
      </autoFilter>
    </customSheetView>
    <customSheetView guid="{A2A50DF2-D631-4154-84B9-4F77C2A463C6}" filter="1" showAutoFilter="1">
      <autoFilter ref="$B$1:$U$1023">
        <filterColumn colId="2">
          <filters blank="1">
            <filter val="RAP"/>
            <filter val="HOLDING ACCOUNT"/>
            <filter val="2048 PO 02"/>
            <filter val="DESTQ19"/>
            <filter val="20IH"/>
            <filter val="DESTQ38"/>
            <filter val="DESTQ14"/>
            <filter val="DESTQ34"/>
            <filter val="DESTQ11"/>
            <filter val="DESTQ32"/>
            <filter val="DESTQ31"/>
            <filter val="Ação"/>
            <filter val="DESTQ30"/>
            <filter val="DESTQ51"/>
            <filter val="2048"/>
            <filter val="DESTQ50"/>
            <filter val="20XV SUP"/>
            <filter val="DESTQ09"/>
            <filter val="DESTQ08"/>
            <filter val="DESTQ29"/>
            <filter val="DESTQ28"/>
            <filter val="20XV"/>
            <filter val="DESTQ25"/>
            <filter val="DESTQ02"/>
            <filter val="DESTQ24"/>
            <filter val="DESTQ23"/>
            <filter val="DESTQ22"/>
            <filter val="20XV EXTRA"/>
            <filter val="DESTQ21"/>
            <filter val="DESTQ20"/>
          </filters>
        </filterColumn>
        <filterColumn colId="10">
          <filters blank="1">
            <filter val="C-95M"/>
            <filter val="IU-93M"/>
            <filter val="A-29"/>
            <filter val="APOIO"/>
          </filters>
        </filterColumn>
      </autoFilter>
    </customSheetView>
    <customSheetView guid="{720EA56E-F81C-411E-BB64-8AEFE77BF47D}" filter="1" showAutoFilter="1">
      <autoFilter ref="$A$2:$AM$535">
        <filterColumn colId="0">
          <filters>
            <filter val="MOD T-25"/>
            <filter val="T-25"/>
          </filters>
        </filterColumn>
        <filterColumn colId="2">
          <filters>
            <filter val="SIM"/>
          </filters>
        </filterColumn>
      </autoFilter>
    </customSheetView>
    <customSheetView guid="{F9F45A3A-6773-4340-B18E-D88D41C0E938}" filter="1" showAutoFilter="1">
      <autoFilter ref="$A$2:$AM$1023">
        <filterColumn colId="17">
          <filters>
            <filter val="D"/>
          </filters>
        </filterColumn>
        <filterColumn colId="11">
          <filters blank="1">
            <filter val="C-95M"/>
            <filter val="SSS"/>
            <filter val="IU-93M"/>
            <filter val="T-27"/>
            <filter val="G-19"/>
            <filter val="APOIO"/>
          </filters>
        </filterColumn>
      </autoFilter>
    </customSheetView>
  </customSheetViews>
  <mergeCells count="1">
    <mergeCell ref="J1:K1"/>
  </mergeCells>
  <conditionalFormatting sqref="B1:B1013 E1:E1023 B1015:B1023">
    <cfRule type="cellIs" dxfId="7" priority="1" operator="equal">
      <formula>"EM TRÂMITE"</formula>
    </cfRule>
  </conditionalFormatting>
  <conditionalFormatting sqref="B1:B1013 E1:E1023 B1015:B1023">
    <cfRule type="cellIs" dxfId="8" priority="2" operator="equal">
      <formula>"ATENDIDO"</formula>
    </cfRule>
  </conditionalFormatting>
  <conditionalFormatting sqref="A3:A1012 B3:B1013 C3:U1023 B1015:B1023 A1016:A1023">
    <cfRule type="expression" dxfId="6" priority="3">
      <formula>$E3&lt;&gt;""</formula>
    </cfRule>
  </conditionalFormatting>
  <conditionalFormatting sqref="I3:I1023">
    <cfRule type="containsText" dxfId="9" priority="4" operator="containsText" text="ATENDER">
      <formula>NOT(ISERROR(SEARCH(("ATENDER"),(I3))))</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3" width="47.5"/>
  </cols>
  <sheetData>
    <row r="1">
      <c r="A1" s="13"/>
      <c r="B1" s="14" t="s">
        <v>1</v>
      </c>
      <c r="C1" s="14" t="s">
        <v>2</v>
      </c>
    </row>
    <row r="2">
      <c r="A2" s="14" t="s">
        <v>3</v>
      </c>
      <c r="B2" s="15">
        <v>0.0</v>
      </c>
      <c r="C2" s="15">
        <v>1752159.15</v>
      </c>
    </row>
    <row r="3">
      <c r="A3" s="14" t="s">
        <v>4</v>
      </c>
      <c r="B3" s="15">
        <v>1500000.0</v>
      </c>
      <c r="C3" s="15">
        <v>1125839.42</v>
      </c>
    </row>
    <row r="4">
      <c r="A4" s="14" t="s">
        <v>5</v>
      </c>
      <c r="B4" s="15">
        <v>0.0</v>
      </c>
      <c r="C4" s="15">
        <v>222000.98</v>
      </c>
    </row>
    <row r="5">
      <c r="A5" s="14" t="s">
        <v>7</v>
      </c>
      <c r="B5" s="15">
        <v>26866.71</v>
      </c>
      <c r="C5" s="15">
        <v>2318718.03</v>
      </c>
    </row>
    <row r="6">
      <c r="A6" s="14" t="s">
        <v>9</v>
      </c>
      <c r="B6" s="15">
        <v>390000.0</v>
      </c>
      <c r="C6" s="15">
        <v>0.0</v>
      </c>
    </row>
    <row r="7">
      <c r="A7" s="14" t="s">
        <v>10</v>
      </c>
      <c r="B7" s="15"/>
      <c r="C7" s="15"/>
    </row>
    <row r="8">
      <c r="A8" s="14" t="s">
        <v>12</v>
      </c>
      <c r="B8" s="15">
        <v>0.0</v>
      </c>
      <c r="C8" s="15">
        <v>2.66848035E7</v>
      </c>
    </row>
    <row r="9">
      <c r="A9" s="14" t="s">
        <v>13</v>
      </c>
      <c r="B9" s="15">
        <f>20000+50000+40000+180000*20+1500000+460000+1000000</f>
        <v>6670000</v>
      </c>
      <c r="C9" s="15">
        <f>6833000+5756655+600000+500000+150000</f>
        <v>13839655</v>
      </c>
    </row>
    <row r="10">
      <c r="A10" s="14" t="s">
        <v>22</v>
      </c>
      <c r="B10" s="15">
        <v>242000.0</v>
      </c>
      <c r="C10" s="15">
        <v>288553.0</v>
      </c>
    </row>
    <row r="11">
      <c r="A11" s="14" t="s">
        <v>23</v>
      </c>
      <c r="B11" s="15">
        <v>0.0</v>
      </c>
      <c r="C11" s="30">
        <v>3671861.82</v>
      </c>
    </row>
    <row r="12">
      <c r="A12" s="14" t="s">
        <v>33</v>
      </c>
      <c r="B12" s="15">
        <v>0.0</v>
      </c>
      <c r="C12" s="15">
        <v>5882093.5</v>
      </c>
    </row>
    <row r="13">
      <c r="A13" s="14" t="s">
        <v>34</v>
      </c>
      <c r="B13" s="15">
        <v>0.0</v>
      </c>
      <c r="C13" s="15">
        <v>4185411.57</v>
      </c>
    </row>
    <row r="14">
      <c r="A14" s="14" t="s">
        <v>35</v>
      </c>
      <c r="B14" s="15">
        <v>0.0</v>
      </c>
      <c r="C14" s="15">
        <v>0.0</v>
      </c>
    </row>
    <row r="15">
      <c r="A15" s="14" t="s">
        <v>36</v>
      </c>
      <c r="B15" s="15">
        <v>0.0</v>
      </c>
      <c r="C15" s="15">
        <v>3251894.34</v>
      </c>
    </row>
    <row r="16">
      <c r="A16" s="14" t="s">
        <v>37</v>
      </c>
      <c r="B16" s="15">
        <v>0.0</v>
      </c>
      <c r="C16" s="15">
        <v>28666.97</v>
      </c>
    </row>
    <row r="17">
      <c r="A17" s="14" t="s">
        <v>38</v>
      </c>
      <c r="B17" s="15">
        <v>0.0</v>
      </c>
      <c r="C17" s="15">
        <v>350432.0</v>
      </c>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10" width="16.38"/>
  </cols>
  <sheetData>
    <row r="1">
      <c r="A1" s="149" t="s">
        <v>40</v>
      </c>
      <c r="B1" s="43"/>
      <c r="C1" s="43"/>
      <c r="D1" s="43"/>
      <c r="E1" s="43"/>
      <c r="F1" s="43"/>
      <c r="G1" s="43"/>
      <c r="H1" s="43"/>
      <c r="I1" s="43"/>
      <c r="J1" s="44"/>
    </row>
    <row r="2">
      <c r="A2" s="47"/>
      <c r="B2" s="48" t="s">
        <v>144</v>
      </c>
      <c r="C2" s="48" t="s">
        <v>145</v>
      </c>
      <c r="D2" s="48" t="s">
        <v>146</v>
      </c>
      <c r="E2" s="48" t="s">
        <v>147</v>
      </c>
      <c r="F2" s="48" t="s">
        <v>148</v>
      </c>
      <c r="G2" s="48" t="s">
        <v>149</v>
      </c>
      <c r="H2" s="48" t="s">
        <v>150</v>
      </c>
      <c r="I2" s="48" t="s">
        <v>151</v>
      </c>
      <c r="J2" s="49" t="s">
        <v>41</v>
      </c>
    </row>
    <row r="3">
      <c r="A3" s="150" t="s">
        <v>39</v>
      </c>
      <c r="B3" s="151">
        <f>SUMIFS('Solicitações'!$O:$O,'Solicitações'!$L:$L,$A3,'Solicitações'!$R:$R,B$2,'Solicitações'!$T:$T,"NÃO")-SUMIFS('Solicitações'!$O:$O,'Solicitações'!$L:$L,$A3,'Solicitações'!$R:$R,B$2,'Solicitações'!$T:$T,"NÃO",'Solicitações'!$C:$C,"RAP)")</f>
        <v>100939713.2</v>
      </c>
      <c r="C3" s="151">
        <f>SUMIFS('Solicitações'!$O:$O,'Solicitações'!$L:$L,$A3,'Solicitações'!$R:$R,C$2,'Solicitações'!$T:$T,"NÃO")-SUMIFS('Solicitações'!$O:$O,'Solicitações'!$L:$L,$A3,'Solicitações'!$R:$R,C$2,'Solicitações'!$T:$T,"NÃO",'Solicitações'!$C:$C,"RAP)")</f>
        <v>150000</v>
      </c>
      <c r="D3" s="151">
        <f>SUMIFS('Solicitações'!$O:$O,'Solicitações'!$L:$L,$A3,'Solicitações'!$R:$R,D$2,'Solicitações'!$T:$T,"NÃO")-SUMIFS('Solicitações'!$O:$O,'Solicitações'!$L:$L,$A3,'Solicitações'!$R:$R,D$2,'Solicitações'!$T:$T,"NÃO",'Solicitações'!$C:$C,"RAP)")</f>
        <v>23712543.17</v>
      </c>
      <c r="E3" s="151">
        <f>SUMIFS('Solicitações'!$O:$O,'Solicitações'!$L:$L,$A3,'Solicitações'!$R:$R,E$2,'Solicitações'!$T:$T,"NÃO")-SUMIFS('Solicitações'!$O:$O,'Solicitações'!$L:$L,$A3,'Solicitações'!$R:$R,E$2,'Solicitações'!$T:$T,"NÃO",'Solicitações'!$C:$C,"RAP)")</f>
        <v>8561736.69</v>
      </c>
      <c r="F3" s="151">
        <f>SUMIFS('Solicitações'!$O:$O,'Solicitações'!$L:$L,$A3,'Solicitações'!$T:$T,"NÃO",'Solicitações'!E:E,"ATENDIDO")-SUMIFS('Solicitações'!$O:$O,'Solicitações'!$L:$L,$A3,'Solicitações'!$T:$T,"NÃO",'Solicitações'!E:E,"ATENDIDO",'Solicitações'!$R:$R,"RAP")</f>
        <v>68490678.93</v>
      </c>
      <c r="G3" s="151">
        <f>SUMIFS('Solicitações'!$O:$O,'Solicitações'!$L:$L,$A3,'Solicitações'!$T:$T,"NÃO",'Solicitações'!C:C,"SIM")-SUMIFS('Solicitações'!$O:$O,'Solicitações'!$L:$L,$A3,'Solicitações'!$R:$R,"RAP",'Solicitações'!$T:$T,"NÃO")</f>
        <v>109501449.9</v>
      </c>
      <c r="H3" s="151">
        <f>SUMIFS('Solicitações'!$O:$O,'Solicitações'!$L:$L,$A3,'Solicitações'!$T:$T,"NÃO",'Solicitações'!E:E,"&lt;&gt;ATENDIDO",'Solicitações'!I:I,"&lt;&gt;",'Solicitações'!C:C,"SIM")</f>
        <v>38672034.26</v>
      </c>
      <c r="I3" s="151">
        <f>SUMIFS('Solicitações'!$O:$O,'Solicitações'!$L:$L,$A3,'Solicitações'!$T:$T,"NÃO",'Solicitações'!E:E,"&lt;&gt;ATENDIDO",'Solicitações'!I:I,"",'Solicitações'!S:S,"HORA DE VOO",'Solicitações'!C:C,"SIM")+SUMIFS('Solicitações'!$O:$O,'Solicitações'!$L:$L,$A3,'Solicitações'!$T:$T,"NÃO",'Solicitações'!E:E,"&lt;&gt;ATENDIDO",'Solicitações'!I:I,"",'Solicitações'!S:S,"PARCELA FIXA",'Solicitações'!C:C,"SIM")-(SUMIFS('Solicitações'!$O:$O,'Solicitações'!$L:$L,$A3,'Solicitações'!$T:$T,"NÃO",'Solicitações'!E:E,"&lt;&gt;ATENDIDO",'Solicitações'!I:I,"",'Solicitações'!S:S,"HORA DE VOO",'Solicitações'!C:C,"SIM",'Solicitações'!$R:$R,"RAP")+SUMIFS('Solicitações'!$O:$O,'Solicitações'!$L:$L,$A3,'Solicitações'!$T:$T,"NÃO",'Solicitações'!E:E,"&lt;&gt;ATENDIDO",'Solicitações'!I:I,"",'Solicitações'!S:S,"PARCELA FIXA",'Solicitações'!C:C,"SIM",'Solicitações'!$R:$R,"RAP"))</f>
        <v>2310000</v>
      </c>
      <c r="J3" s="158">
        <f t="shared" ref="J3:J11" si="1">G3-F3-H3-I3</f>
        <v>28736.69</v>
      </c>
    </row>
    <row r="4">
      <c r="A4" s="150" t="s">
        <v>43</v>
      </c>
      <c r="B4" s="151">
        <f>SUMIFS('Solicitações'!$O:$O,'Solicitações'!$L:$L,$A4,'Solicitações'!$R:$R,B$2,'Solicitações'!$T:$T,"NÃO")-SUMIFS('Solicitações'!$O:$O,'Solicitações'!$L:$L,$A4,'Solicitações'!$R:$R,B$2,'Solicitações'!$T:$T,"NÃO",'Solicitações'!$C:$C,"RAP)")</f>
        <v>20604592.99</v>
      </c>
      <c r="C4" s="151">
        <f>SUMIFS('Solicitações'!$O:$O,'Solicitações'!$L:$L,$A4,'Solicitações'!$R:$R,C$2,'Solicitações'!$T:$T,"NÃO")-SUMIFS('Solicitações'!$O:$O,'Solicitações'!$L:$L,$A4,'Solicitações'!$R:$R,C$2,'Solicitações'!$T:$T,"NÃO",'Solicitações'!$C:$C,"RAP)")</f>
        <v>8657582.34</v>
      </c>
      <c r="D4" s="151">
        <f>SUMIFS('Solicitações'!$O:$O,'Solicitações'!$L:$L,$A4,'Solicitações'!$R:$R,D$2,'Solicitações'!$T:$T,"NÃO")-SUMIFS('Solicitações'!$O:$O,'Solicitações'!$L:$L,$A4,'Solicitações'!$R:$R,D$2,'Solicitações'!$T:$T,"NÃO",'Solicitações'!$C:$C,"RAP)")</f>
        <v>15993894.16</v>
      </c>
      <c r="E4" s="151">
        <f>SUMIFS('Solicitações'!$O:$O,'Solicitações'!$L:$L,$A4,'Solicitações'!$R:$R,E$2,'Solicitações'!$T:$T,"NÃO")-SUMIFS('Solicitações'!$O:$O,'Solicitações'!$L:$L,$A4,'Solicitações'!$R:$R,E$2,'Solicitações'!$T:$T,"NÃO",'Solicitações'!$C:$C,"RAP)")</f>
        <v>0</v>
      </c>
      <c r="F4" s="151">
        <f>SUMIFS('Solicitações'!$O:$O,'Solicitações'!$L:$L,$A4,'Solicitações'!$T:$T,"NÃO",'Solicitações'!E:E,"ATENDIDO")-SUMIFS('Solicitações'!$O:$O,'Solicitações'!$L:$L,$A4,'Solicitações'!$T:$T,"NÃO",'Solicitações'!E:E,"ATENDIDO",'Solicitações'!$R:$R,"RAP")</f>
        <v>18284398.59</v>
      </c>
      <c r="G4" s="151">
        <f>SUMIFS('Solicitações'!$O:$O,'Solicitações'!$L:$L,$A4,'Solicitações'!$T:$T,"NÃO",'Solicitações'!C:C,"SIM")-SUMIFS('Solicitações'!$O:$O,'Solicitações'!$L:$L,$A4,'Solicitações'!$R:$R,"RAP",'Solicitações'!$T:$T,"NÃO")</f>
        <v>20604592.99</v>
      </c>
      <c r="H4" s="151">
        <f>SUMIFS('Solicitações'!$O:$O,'Solicitações'!$L:$L,$A4,'Solicitações'!$T:$T,"NÃO",'Solicitações'!E:E,"&lt;&gt;ATENDIDO",'Solicitações'!I:I,"&lt;&gt;",'Solicitações'!C:C,"SIM")</f>
        <v>2320194.4</v>
      </c>
      <c r="I4" s="151">
        <f>SUMIFS('Solicitações'!$O:$O,'Solicitações'!$L:$L,$A4,'Solicitações'!$T:$T,"NÃO",'Solicitações'!E:E,"&lt;&gt;ATENDIDO",'Solicitações'!I:I,"",'Solicitações'!S:S,"HORA DE VOO",'Solicitações'!C:C,"SIM")+SUMIFS('Solicitações'!$O:$O,'Solicitações'!$L:$L,$A4,'Solicitações'!$T:$T,"NÃO",'Solicitações'!E:E,"&lt;&gt;ATENDIDO",'Solicitações'!I:I,"",'Solicitações'!S:S,"PARCELA FIXA",'Solicitações'!C:C,"SIM")-(SUMIFS('Solicitações'!$O:$O,'Solicitações'!$L:$L,$A4,'Solicitações'!$T:$T,"NÃO",'Solicitações'!E:E,"&lt;&gt;ATENDIDO",'Solicitações'!I:I,"",'Solicitações'!S:S,"HORA DE VOO",'Solicitações'!C:C,"SIM",'Solicitações'!$R:$R,"RAP")+SUMIFS('Solicitações'!$O:$O,'Solicitações'!$L:$L,$A4,'Solicitações'!$T:$T,"NÃO",'Solicitações'!E:E,"&lt;&gt;ATENDIDO",'Solicitações'!I:I,"",'Solicitações'!S:S,"PARCELA FIXA",'Solicitações'!C:C,"SIM",'Solicitações'!$R:$R,"RAP"))</f>
        <v>0</v>
      </c>
      <c r="J4" s="158">
        <f t="shared" si="1"/>
        <v>0.000000002328306437</v>
      </c>
    </row>
    <row r="5">
      <c r="A5" s="150" t="s">
        <v>44</v>
      </c>
      <c r="B5" s="151">
        <f>SUMIFS('Solicitações'!$O:$O,'Solicitações'!$L:$L,$A5,'Solicitações'!$R:$R,B$2,'Solicitações'!$T:$T,"NÃO")-SUMIFS('Solicitações'!$O:$O,'Solicitações'!$L:$L,$A5,'Solicitações'!$R:$R,B$2,'Solicitações'!$T:$T,"NÃO",'Solicitações'!$C:$C,"RAP)")</f>
        <v>21882444</v>
      </c>
      <c r="C5" s="151">
        <f>SUMIFS('Solicitações'!$O:$O,'Solicitações'!$L:$L,$A5,'Solicitações'!$R:$R,C$2,'Solicitações'!$T:$T,"NÃO")-SUMIFS('Solicitações'!$O:$O,'Solicitações'!$L:$L,$A5,'Solicitações'!$R:$R,C$2,'Solicitações'!$T:$T,"NÃO",'Solicitações'!$C:$C,"RAP)")</f>
        <v>9805560.94</v>
      </c>
      <c r="D5" s="151">
        <f>SUMIFS('Solicitações'!$O:$O,'Solicitações'!$L:$L,$A5,'Solicitações'!$R:$R,D$2,'Solicitações'!$T:$T,"NÃO")-SUMIFS('Solicitações'!$O:$O,'Solicitações'!$L:$L,$A5,'Solicitações'!$R:$R,D$2,'Solicitações'!$T:$T,"NÃO",'Solicitações'!$C:$C,"RAP)")</f>
        <v>23958627.43</v>
      </c>
      <c r="E5" s="151">
        <f>SUMIFS('Solicitações'!$O:$O,'Solicitações'!$L:$L,$A5,'Solicitações'!$R:$R,E$2,'Solicitações'!$T:$T,"NÃO")-SUMIFS('Solicitações'!$O:$O,'Solicitações'!$L:$L,$A5,'Solicitações'!$R:$R,E$2,'Solicitações'!$T:$T,"NÃO",'Solicitações'!$C:$C,"RAP)")</f>
        <v>10120307.63</v>
      </c>
      <c r="F5" s="151">
        <f>SUMIFS('Solicitações'!$O:$O,'Solicitações'!$L:$L,$A5,'Solicitações'!$T:$T,"NÃO",'Solicitações'!E:E,"ATENDIDO")-SUMIFS('Solicitações'!$O:$O,'Solicitações'!$L:$L,$A5,'Solicitações'!$T:$T,"NÃO",'Solicitações'!E:E,"ATENDIDO",'Solicitações'!$R:$R,"RAP")</f>
        <v>27192693.92</v>
      </c>
      <c r="G5" s="151">
        <f>SUMIFS('Solicitações'!$O:$O,'Solicitações'!$L:$L,$A5,'Solicitações'!$T:$T,"NÃO",'Solicitações'!C:C,"SIM")-SUMIFS('Solicitações'!$O:$O,'Solicitações'!$L:$L,$A5,'Solicitações'!$R:$R,"RAP",'Solicitações'!$T:$T,"NÃO")</f>
        <v>29512751.63</v>
      </c>
      <c r="H5" s="151">
        <f>SUMIFS('Solicitações'!$O:$O,'Solicitações'!$L:$L,$A5,'Solicitações'!$T:$T,"NÃO",'Solicitações'!E:E,"&lt;&gt;ATENDIDO",'Solicitações'!I:I,"&lt;&gt;",'Solicitações'!C:C,"SIM")</f>
        <v>345782.57</v>
      </c>
      <c r="I5" s="151">
        <f>SUMIFS('Solicitações'!$O:$O,'Solicitações'!$L:$L,$A5,'Solicitações'!$T:$T,"NÃO",'Solicitações'!E:E,"&lt;&gt;ATENDIDO",'Solicitações'!I:I,"",'Solicitações'!S:S,"HORA DE VOO",'Solicitações'!C:C,"SIM")+SUMIFS('Solicitações'!$O:$O,'Solicitações'!$L:$L,$A5,'Solicitações'!$T:$T,"NÃO",'Solicitações'!E:E,"&lt;&gt;ATENDIDO",'Solicitações'!I:I,"",'Solicitações'!S:S,"PARCELA FIXA",'Solicitações'!C:C,"SIM")-(SUMIFS('Solicitações'!$O:$O,'Solicitações'!$L:$L,$A5,'Solicitações'!$T:$T,"NÃO",'Solicitações'!E:E,"&lt;&gt;ATENDIDO",'Solicitações'!I:I,"",'Solicitações'!S:S,"HORA DE VOO",'Solicitações'!C:C,"SIM",'Solicitações'!$R:$R,"RAP")+SUMIFS('Solicitações'!$O:$O,'Solicitações'!$L:$L,$A5,'Solicitações'!$T:$T,"NÃO",'Solicitações'!E:E,"&lt;&gt;ATENDIDO",'Solicitações'!I:I,"",'Solicitações'!S:S,"PARCELA FIXA",'Solicitações'!C:C,"SIM",'Solicitações'!$R:$R,"RAP"))</f>
        <v>0</v>
      </c>
      <c r="J5" s="158">
        <f t="shared" si="1"/>
        <v>1974275.14</v>
      </c>
    </row>
    <row r="6">
      <c r="A6" s="150" t="s">
        <v>45</v>
      </c>
      <c r="B6" s="151">
        <f>SUMIFS('Solicitações'!$O:$O,'Solicitações'!$L:$L,$A6,'Solicitações'!$R:$R,B$2,'Solicitações'!$T:$T,"NÃO")-SUMIFS('Solicitações'!$O:$O,'Solicitações'!$L:$L,$A6,'Solicitações'!$R:$R,B$2,'Solicitações'!$T:$T,"NÃO",'Solicitações'!$C:$C,"RAP)")</f>
        <v>18111549.87</v>
      </c>
      <c r="C6" s="151">
        <f>SUMIFS('Solicitações'!$O:$O,'Solicitações'!$L:$L,$A6,'Solicitações'!$R:$R,C$2,'Solicitações'!$T:$T,"NÃO")-SUMIFS('Solicitações'!$O:$O,'Solicitações'!$L:$L,$A6,'Solicitações'!$R:$R,C$2,'Solicitações'!$T:$T,"NÃO",'Solicitações'!$C:$C,"RAP)")</f>
        <v>0</v>
      </c>
      <c r="D6" s="151">
        <f>SUMIFS('Solicitações'!$O:$O,'Solicitações'!$L:$L,$A6,'Solicitações'!$R:$R,D$2,'Solicitações'!$T:$T,"NÃO")-SUMIFS('Solicitações'!$O:$O,'Solicitações'!$L:$L,$A6,'Solicitações'!$R:$R,D$2,'Solicitações'!$T:$T,"NÃO",'Solicitações'!$C:$C,"RAP)")</f>
        <v>3129713.46</v>
      </c>
      <c r="E6" s="151">
        <f>SUMIFS('Solicitações'!$O:$O,'Solicitações'!$L:$L,$A6,'Solicitações'!$R:$R,E$2,'Solicitações'!$T:$T,"NÃO")-SUMIFS('Solicitações'!$O:$O,'Solicitações'!$L:$L,$A6,'Solicitações'!$R:$R,E$2,'Solicitações'!$T:$T,"NÃO",'Solicitações'!$C:$C,"RAP)")</f>
        <v>4460068.67</v>
      </c>
      <c r="F6" s="151">
        <f>SUMIFS('Solicitações'!$O:$O,'Solicitações'!$L:$L,$A6,'Solicitações'!$T:$T,"NÃO",'Solicitações'!E:E,"ATENDIDO")-SUMIFS('Solicitações'!$O:$O,'Solicitações'!$L:$L,$A6,'Solicitações'!$T:$T,"NÃO",'Solicitações'!E:E,"ATENDIDO",'Solicitações'!$R:$R,"RAP")</f>
        <v>8992525.34</v>
      </c>
      <c r="G6" s="151">
        <f>SUMIFS('Solicitações'!$O:$O,'Solicitações'!$L:$L,$A6,'Solicitações'!$T:$T,"NÃO",'Solicitações'!C:C,"SIM")-SUMIFS('Solicitações'!$O:$O,'Solicitações'!$L:$L,$A6,'Solicitações'!$R:$R,"RAP",'Solicitações'!$T:$T,"NÃO")</f>
        <v>20074527.54</v>
      </c>
      <c r="H6" s="151">
        <f>SUMIFS('Solicitações'!$O:$O,'Solicitações'!$L:$L,$A6,'Solicitações'!$T:$T,"NÃO",'Solicitações'!E:E,"&lt;&gt;ATENDIDO",'Solicitações'!I:I,"&lt;&gt;",'Solicitações'!C:C,"SIM")</f>
        <v>11082002.2</v>
      </c>
      <c r="I6" s="151">
        <f>SUMIFS('Solicitações'!$O:$O,'Solicitações'!$L:$L,$A6,'Solicitações'!$T:$T,"NÃO",'Solicitações'!E:E,"&lt;&gt;ATENDIDO",'Solicitações'!I:I,"",'Solicitações'!S:S,"HORA DE VOO",'Solicitações'!C:C,"SIM")+SUMIFS('Solicitações'!$O:$O,'Solicitações'!$L:$L,$A6,'Solicitações'!$T:$T,"NÃO",'Solicitações'!E:E,"&lt;&gt;ATENDIDO",'Solicitações'!I:I,"",'Solicitações'!S:S,"PARCELA FIXA",'Solicitações'!C:C,"SIM")-(SUMIFS('Solicitações'!$O:$O,'Solicitações'!$L:$L,$A6,'Solicitações'!$T:$T,"NÃO",'Solicitações'!E:E,"&lt;&gt;ATENDIDO",'Solicitações'!I:I,"",'Solicitações'!S:S,"HORA DE VOO",'Solicitações'!C:C,"SIM",'Solicitações'!$R:$R,"RAP")+SUMIFS('Solicitações'!$O:$O,'Solicitações'!$L:$L,$A6,'Solicitações'!$T:$T,"NÃO",'Solicitações'!E:E,"&lt;&gt;ATENDIDO",'Solicitações'!I:I,"",'Solicitações'!S:S,"PARCELA FIXA",'Solicitações'!C:C,"SIM",'Solicitações'!$R:$R,"RAP"))</f>
        <v>0</v>
      </c>
      <c r="J6" s="158">
        <f t="shared" si="1"/>
        <v>0</v>
      </c>
    </row>
    <row r="7">
      <c r="A7" s="150" t="s">
        <v>46</v>
      </c>
      <c r="B7" s="151">
        <f>SUMIFS('Solicitações'!$O:$O,'Solicitações'!$L:$L,$A7,'Solicitações'!$R:$R,B$2,'Solicitações'!$T:$T,"NÃO")-SUMIFS('Solicitações'!$O:$O,'Solicitações'!$L:$L,$A7,'Solicitações'!$R:$R,B$2,'Solicitações'!$T:$T,"NÃO",'Solicitações'!$C:$C,"RAP)")</f>
        <v>14322282.67</v>
      </c>
      <c r="C7" s="151">
        <f>SUMIFS('Solicitações'!$O:$O,'Solicitações'!$L:$L,$A7,'Solicitações'!$R:$R,C$2,'Solicitações'!$T:$T,"NÃO")-SUMIFS('Solicitações'!$O:$O,'Solicitações'!$L:$L,$A7,'Solicitações'!$R:$R,C$2,'Solicitações'!$T:$T,"NÃO",'Solicitações'!$C:$C,"RAP)")</f>
        <v>0</v>
      </c>
      <c r="D7" s="151">
        <f>SUMIFS('Solicitações'!$O:$O,'Solicitações'!$L:$L,$A7,'Solicitações'!$R:$R,D$2,'Solicitações'!$T:$T,"NÃO")-SUMIFS('Solicitações'!$O:$O,'Solicitações'!$L:$L,$A7,'Solicitações'!$R:$R,D$2,'Solicitações'!$T:$T,"NÃO",'Solicitações'!$C:$C,"RAP)")</f>
        <v>4613603.12</v>
      </c>
      <c r="E7" s="151">
        <f>SUMIFS('Solicitações'!$O:$O,'Solicitações'!$L:$L,$A7,'Solicitações'!$R:$R,E$2,'Solicitações'!$T:$T,"NÃO")-SUMIFS('Solicitações'!$O:$O,'Solicitações'!$L:$L,$A7,'Solicitações'!$R:$R,E$2,'Solicitações'!$T:$T,"NÃO",'Solicitações'!$C:$C,"RAP)")</f>
        <v>5073979</v>
      </c>
      <c r="F7" s="151">
        <f>SUMIFS('Solicitações'!$O:$O,'Solicitações'!$L:$L,$A7,'Solicitações'!$T:$T,"NÃO",'Solicitações'!E:E,"ATENDIDO")-SUMIFS('Solicitações'!$O:$O,'Solicitações'!$L:$L,$A7,'Solicitações'!$T:$T,"NÃO",'Solicitações'!E:E,"ATENDIDO",'Solicitações'!$R:$R,"RAP")</f>
        <v>9714849.51</v>
      </c>
      <c r="G7" s="151">
        <f>SUMIFS('Solicitações'!$O:$O,'Solicitações'!$L:$L,$A7,'Solicitações'!$T:$T,"NÃO",'Solicitações'!C:C,"SIM")-SUMIFS('Solicitações'!$O:$O,'Solicitações'!$L:$L,$A7,'Solicitações'!$R:$R,"RAP",'Solicitações'!$T:$T,"NÃO")</f>
        <v>19396261.67</v>
      </c>
      <c r="H7" s="151">
        <f>SUMIFS('Solicitações'!$O:$O,'Solicitações'!$L:$L,$A7,'Solicitações'!$T:$T,"NÃO",'Solicitações'!E:E,"&lt;&gt;ATENDIDO",'Solicitações'!I:I,"&lt;&gt;",'Solicitações'!C:C,"SIM")</f>
        <v>9681412.16</v>
      </c>
      <c r="I7" s="151">
        <f>SUMIFS('Solicitações'!$O:$O,'Solicitações'!$L:$L,$A7,'Solicitações'!$T:$T,"NÃO",'Solicitações'!E:E,"&lt;&gt;ATENDIDO",'Solicitações'!I:I,"",'Solicitações'!S:S,"HORA DE VOO",'Solicitações'!C:C,"SIM")+SUMIFS('Solicitações'!$O:$O,'Solicitações'!$L:$L,$A7,'Solicitações'!$T:$T,"NÃO",'Solicitações'!E:E,"&lt;&gt;ATENDIDO",'Solicitações'!I:I,"",'Solicitações'!S:S,"PARCELA FIXA",'Solicitações'!C:C,"SIM")-(SUMIFS('Solicitações'!$O:$O,'Solicitações'!$L:$L,$A7,'Solicitações'!$T:$T,"NÃO",'Solicitações'!E:E,"&lt;&gt;ATENDIDO",'Solicitações'!I:I,"",'Solicitações'!S:S,"HORA DE VOO",'Solicitações'!C:C,"SIM",'Solicitações'!$R:$R,"RAP")+SUMIFS('Solicitações'!$O:$O,'Solicitações'!$L:$L,$A7,'Solicitações'!$T:$T,"NÃO",'Solicitações'!E:E,"&lt;&gt;ATENDIDO",'Solicitações'!I:I,"",'Solicitações'!S:S,"PARCELA FIXA",'Solicitações'!C:C,"SIM",'Solicitações'!$R:$R,"RAP"))</f>
        <v>0</v>
      </c>
      <c r="J7" s="158">
        <f t="shared" si="1"/>
        <v>0.000000001862645149</v>
      </c>
    </row>
    <row r="8">
      <c r="A8" s="150" t="s">
        <v>47</v>
      </c>
      <c r="B8" s="151">
        <f>SUMIFS('Solicitações'!$O:$O,'Solicitações'!$L:$L,$A8,'Solicitações'!$R:$R,B$2,'Solicitações'!$T:$T,"NÃO")-SUMIFS('Solicitações'!$O:$O,'Solicitações'!$L:$L,$A8,'Solicitações'!$R:$R,B$2,'Solicitações'!$T:$T,"NÃO",'Solicitações'!$C:$C,"RAP)")</f>
        <v>5680758.8</v>
      </c>
      <c r="C8" s="151">
        <f>SUMIFS('Solicitações'!$O:$O,'Solicitações'!$L:$L,$A8,'Solicitações'!$R:$R,C$2,'Solicitações'!$T:$T,"NÃO")-SUMIFS('Solicitações'!$O:$O,'Solicitações'!$L:$L,$A8,'Solicitações'!$R:$R,C$2,'Solicitações'!$T:$T,"NÃO",'Solicitações'!$C:$C,"RAP)")</f>
        <v>5930000</v>
      </c>
      <c r="D8" s="151">
        <f>SUMIFS('Solicitações'!$O:$O,'Solicitações'!$L:$L,$A8,'Solicitações'!$R:$R,D$2,'Solicitações'!$T:$T,"NÃO")-SUMIFS('Solicitações'!$O:$O,'Solicitações'!$L:$L,$A8,'Solicitações'!$R:$R,D$2,'Solicitações'!$T:$T,"NÃO",'Solicitações'!$C:$C,"RAP)")</f>
        <v>450000</v>
      </c>
      <c r="E8" s="151">
        <f>SUMIFS('Solicitações'!$O:$O,'Solicitações'!$L:$L,$A8,'Solicitações'!$R:$R,E$2,'Solicitações'!$T:$T,"NÃO")-SUMIFS('Solicitações'!$O:$O,'Solicitações'!$L:$L,$A8,'Solicitações'!$R:$R,E$2,'Solicitações'!$T:$T,"NÃO",'Solicitações'!$C:$C,"RAP)")</f>
        <v>34900000</v>
      </c>
      <c r="F8" s="151">
        <f>SUMIFS('Solicitações'!$O:$O,'Solicitações'!$L:$L,$A8,'Solicitações'!$T:$T,"NÃO",'Solicitações'!E:E,"ATENDIDO")-SUMIFS('Solicitações'!$O:$O,'Solicitações'!$L:$L,$A8,'Solicitações'!$T:$T,"NÃO",'Solicitações'!E:E,"ATENDIDO",'Solicitações'!$R:$R,"RAP")</f>
        <v>9079089.47</v>
      </c>
      <c r="G8" s="151">
        <f>SUMIFS('Solicitações'!$O:$O,'Solicitações'!$L:$L,$A8,'Solicitações'!$T:$T,"NÃO",'Solicitações'!C:C,"SIM")-SUMIFS('Solicitações'!$O:$O,'Solicitações'!$L:$L,$A8,'Solicitações'!$R:$R,"RAP",'Solicitações'!$T:$T,"NÃO")</f>
        <v>9935639.8</v>
      </c>
      <c r="H8" s="151">
        <f>SUMIFS('Solicitações'!$O:$O,'Solicitações'!$L:$L,$A8,'Solicitações'!$T:$T,"NÃO",'Solicitações'!E:E,"&lt;&gt;ATENDIDO",'Solicitações'!I:I,"&lt;&gt;",'Solicitações'!C:C,"SIM")</f>
        <v>856550.33</v>
      </c>
      <c r="I8" s="151">
        <f>SUMIFS('Solicitações'!$O:$O,'Solicitações'!$L:$L,$A8,'Solicitações'!$T:$T,"NÃO",'Solicitações'!E:E,"&lt;&gt;ATENDIDO",'Solicitações'!I:I,"",'Solicitações'!S:S,"HORA DE VOO",'Solicitações'!C:C,"SIM")+SUMIFS('Solicitações'!$O:$O,'Solicitações'!$L:$L,$A8,'Solicitações'!$T:$T,"NÃO",'Solicitações'!E:E,"&lt;&gt;ATENDIDO",'Solicitações'!I:I,"",'Solicitações'!S:S,"PARCELA FIXA",'Solicitações'!C:C,"SIM")-(SUMIFS('Solicitações'!$O:$O,'Solicitações'!$L:$L,$A8,'Solicitações'!$T:$T,"NÃO",'Solicitações'!E:E,"&lt;&gt;ATENDIDO",'Solicitações'!I:I,"",'Solicitações'!S:S,"HORA DE VOO",'Solicitações'!C:C,"SIM",'Solicitações'!$R:$R,"RAP")+SUMIFS('Solicitações'!$O:$O,'Solicitações'!$L:$L,$A8,'Solicitações'!$T:$T,"NÃO",'Solicitações'!E:E,"&lt;&gt;ATENDIDO",'Solicitações'!I:I,"",'Solicitações'!S:S,"PARCELA FIXA",'Solicitações'!C:C,"SIM",'Solicitações'!$R:$R,"RAP"))</f>
        <v>0</v>
      </c>
      <c r="J8" s="158">
        <f t="shared" si="1"/>
        <v>0</v>
      </c>
    </row>
    <row r="9">
      <c r="A9" s="150" t="s">
        <v>48</v>
      </c>
      <c r="B9" s="151">
        <f>SUMIFS('Solicitações'!$O:$O,'Solicitações'!$L:$L,$A9,'Solicitações'!$R:$R,B$2,'Solicitações'!$T:$T,"NÃO")-SUMIFS('Solicitações'!$O:$O,'Solicitações'!$L:$L,$A9,'Solicitações'!$R:$R,B$2,'Solicitações'!$T:$T,"NÃO",'Solicitações'!$C:$C,"RAP)")</f>
        <v>437136.29</v>
      </c>
      <c r="C9" s="151">
        <f>SUMIFS('Solicitações'!$O:$O,'Solicitações'!$L:$L,$A9,'Solicitações'!$R:$R,C$2,'Solicitações'!$T:$T,"NÃO")-SUMIFS('Solicitações'!$O:$O,'Solicitações'!$L:$L,$A9,'Solicitações'!$R:$R,C$2,'Solicitações'!$T:$T,"NÃO",'Solicitações'!$C:$C,"RAP)")</f>
        <v>90000</v>
      </c>
      <c r="D9" s="151">
        <f>SUMIFS('Solicitações'!$O:$O,'Solicitações'!$L:$L,$A9,'Solicitações'!$R:$R,D$2,'Solicitações'!$T:$T,"NÃO")-SUMIFS('Solicitações'!$O:$O,'Solicitações'!$L:$L,$A9,'Solicitações'!$R:$R,D$2,'Solicitações'!$T:$T,"NÃO",'Solicitações'!$C:$C,"RAP)")</f>
        <v>520000</v>
      </c>
      <c r="E9" s="151">
        <f>SUMIFS('Solicitações'!$O:$O,'Solicitações'!$L:$L,$A9,'Solicitações'!$R:$R,E$2,'Solicitações'!$T:$T,"NÃO")-SUMIFS('Solicitações'!$O:$O,'Solicitações'!$L:$L,$A9,'Solicitações'!$R:$R,E$2,'Solicitações'!$T:$T,"NÃO",'Solicitações'!$C:$C,"RAP)")</f>
        <v>0</v>
      </c>
      <c r="F9" s="151">
        <f>SUMIFS('Solicitações'!$O:$O,'Solicitações'!$L:$L,$A9,'Solicitações'!$T:$T,"NÃO",'Solicitações'!E:E,"ATENDIDO")-SUMIFS('Solicitações'!$O:$O,'Solicitações'!$L:$L,$A9,'Solicitações'!$T:$T,"NÃO",'Solicitações'!E:E,"ATENDIDO",'Solicitações'!$R:$R,"RAP")</f>
        <v>272136.29</v>
      </c>
      <c r="G9" s="151">
        <f>SUMIFS('Solicitações'!$O:$O,'Solicitações'!$L:$L,$A9,'Solicitações'!$T:$T,"NÃO",'Solicitações'!C:C,"SIM")-SUMIFS('Solicitações'!$O:$O,'Solicitações'!$L:$L,$A9,'Solicitações'!$R:$R,"RAP",'Solicitações'!$T:$T,"NÃO")</f>
        <v>437136.29</v>
      </c>
      <c r="H9" s="151">
        <f>SUMIFS('Solicitações'!$O:$O,'Solicitações'!$L:$L,$A9,'Solicitações'!$T:$T,"NÃO",'Solicitações'!E:E,"&lt;&gt;ATENDIDO",'Solicitações'!I:I,"&lt;&gt;",'Solicitações'!C:C,"SIM")</f>
        <v>165000</v>
      </c>
      <c r="I9" s="151">
        <f>SUMIFS('Solicitações'!$O:$O,'Solicitações'!$L:$L,$A9,'Solicitações'!$T:$T,"NÃO",'Solicitações'!E:E,"&lt;&gt;ATENDIDO",'Solicitações'!I:I,"",'Solicitações'!S:S,"HORA DE VOO",'Solicitações'!C:C,"SIM")+SUMIFS('Solicitações'!$O:$O,'Solicitações'!$L:$L,$A9,'Solicitações'!$T:$T,"NÃO",'Solicitações'!E:E,"&lt;&gt;ATENDIDO",'Solicitações'!I:I,"",'Solicitações'!S:S,"PARCELA FIXA",'Solicitações'!C:C,"SIM")-(SUMIFS('Solicitações'!$O:$O,'Solicitações'!$L:$L,$A9,'Solicitações'!$T:$T,"NÃO",'Solicitações'!E:E,"&lt;&gt;ATENDIDO",'Solicitações'!I:I,"",'Solicitações'!S:S,"HORA DE VOO",'Solicitações'!C:C,"SIM",'Solicitações'!$R:$R,"RAP")+SUMIFS('Solicitações'!$O:$O,'Solicitações'!$L:$L,$A9,'Solicitações'!$T:$T,"NÃO",'Solicitações'!E:E,"&lt;&gt;ATENDIDO",'Solicitações'!I:I,"",'Solicitações'!S:S,"PARCELA FIXA",'Solicitações'!C:C,"SIM",'Solicitações'!$R:$R,"RAP"))</f>
        <v>0</v>
      </c>
      <c r="J9" s="158">
        <f t="shared" si="1"/>
        <v>0</v>
      </c>
    </row>
    <row r="10">
      <c r="A10" s="150" t="s">
        <v>49</v>
      </c>
      <c r="B10" s="151">
        <f>SUMIFS('Solicitações'!$O:$O,'Solicitações'!$L:$L,$A10,'Solicitações'!$R:$R,B$2,'Solicitações'!$T:$T,"NÃO")-SUMIFS('Solicitações'!$O:$O,'Solicitações'!$L:$L,$A10,'Solicitações'!$R:$R,B$2,'Solicitações'!$T:$T,"NÃO",'Solicitações'!$C:$C,"RAP)")</f>
        <v>23299617.32</v>
      </c>
      <c r="C10" s="151">
        <f>SUMIFS('Solicitações'!$O:$O,'Solicitações'!$L:$L,$A10,'Solicitações'!$R:$R,C$2,'Solicitações'!$T:$T,"NÃO")-SUMIFS('Solicitações'!$O:$O,'Solicitações'!$L:$L,$A10,'Solicitações'!$R:$R,C$2,'Solicitações'!$T:$T,"NÃO",'Solicitações'!$C:$C,"RAP)")</f>
        <v>435113.38</v>
      </c>
      <c r="D10" s="151">
        <f>SUMIFS('Solicitações'!$O:$O,'Solicitações'!$L:$L,$A10,'Solicitações'!$R:$R,D$2,'Solicitações'!$T:$T,"NÃO")-SUMIFS('Solicitações'!$O:$O,'Solicitações'!$L:$L,$A10,'Solicitações'!$R:$R,D$2,'Solicitações'!$T:$T,"NÃO",'Solicitações'!$C:$C,"RAP)")</f>
        <v>21349999</v>
      </c>
      <c r="E10" s="151">
        <f>SUMIFS('Solicitações'!$O:$O,'Solicitações'!$L:$L,$A10,'Solicitações'!$R:$R,E$2,'Solicitações'!$T:$T,"NÃO")-SUMIFS('Solicitações'!$O:$O,'Solicitações'!$L:$L,$A10,'Solicitações'!$R:$R,E$2,'Solicitações'!$T:$T,"NÃO",'Solicitações'!$C:$C,"RAP)")</f>
        <v>0</v>
      </c>
      <c r="F10" s="151">
        <f>SUMIFS('Solicitações'!$O:$O,'Solicitações'!$L:$L,$A10,'Solicitações'!$T:$T,"NÃO",'Solicitações'!E:E,"ATENDIDO")-SUMIFS('Solicitações'!$O:$O,'Solicitações'!$L:$L,$A10,'Solicitações'!$T:$T,"NÃO",'Solicitações'!E:E,"ATENDIDO",'Solicitações'!$R:$R,"RAP")</f>
        <v>37491736.32</v>
      </c>
      <c r="G10" s="151">
        <f>SUMIFS('Solicitações'!$O:$O,'Solicitações'!$L:$L,$A10,'Solicitações'!$T:$T,"NÃO",'Solicitações'!C:C,"SIM")-SUMIFS('Solicitações'!$O:$O,'Solicitações'!$L:$L,$A10,'Solicitações'!$R:$R,"RAP",'Solicitações'!$T:$T,"NÃO")</f>
        <v>43779616.32</v>
      </c>
      <c r="H10" s="151">
        <f>SUMIFS('Solicitações'!$O:$O,'Solicitações'!$L:$L,$A10,'Solicitações'!$T:$T,"NÃO",'Solicitações'!E:E,"&lt;&gt;ATENDIDO",'Solicitações'!I:I,"&lt;&gt;",'Solicitações'!C:C,"SIM")</f>
        <v>4320125</v>
      </c>
      <c r="I10" s="151">
        <f>SUMIFS('Solicitações'!$O:$O,'Solicitações'!$L:$L,$A10,'Solicitações'!$T:$T,"NÃO",'Solicitações'!E:E,"&lt;&gt;ATENDIDO",'Solicitações'!I:I,"",'Solicitações'!S:S,"HORA DE VOO",'Solicitações'!C:C,"SIM")+SUMIFS('Solicitações'!$O:$O,'Solicitações'!$L:$L,$A10,'Solicitações'!$T:$T,"NÃO",'Solicitações'!E:E,"&lt;&gt;ATENDIDO",'Solicitações'!I:I,"",'Solicitações'!S:S,"PARCELA FIXA",'Solicitações'!C:C,"SIM")-(SUMIFS('Solicitações'!$O:$O,'Solicitações'!$L:$L,$A10,'Solicitações'!$T:$T,"NÃO",'Solicitações'!E:E,"&lt;&gt;ATENDIDO",'Solicitações'!I:I,"",'Solicitações'!S:S,"HORA DE VOO",'Solicitações'!C:C,"SIM",'Solicitações'!$R:$R,"RAP")+SUMIFS('Solicitações'!$O:$O,'Solicitações'!$L:$L,$A10,'Solicitações'!$T:$T,"NÃO",'Solicitações'!E:E,"&lt;&gt;ATENDIDO",'Solicitações'!I:I,"",'Solicitações'!S:S,"PARCELA FIXA",'Solicitações'!C:C,"SIM",'Solicitações'!$R:$R,"RAP"))</f>
        <v>0</v>
      </c>
      <c r="J10" s="158">
        <f t="shared" si="1"/>
        <v>1967755</v>
      </c>
    </row>
    <row r="11">
      <c r="A11" s="164" t="s">
        <v>50</v>
      </c>
      <c r="B11" s="165">
        <f>SUMIFS('Solicitações'!$O:$O,'Solicitações'!$L:$L,$A11,'Solicitações'!$R:$R,B$2,'Solicitações'!$T:$T,"NÃO")-SUMIFS('Solicitações'!$O:$O,'Solicitações'!$L:$L,$A11,'Solicitações'!$R:$R,B$2,'Solicitações'!$T:$T,"NÃO",'Solicitações'!$C:$C,"RAP)")</f>
        <v>25990564.18</v>
      </c>
      <c r="C11" s="165">
        <f>SUMIFS('Solicitações'!$O:$O,'Solicitações'!$L:$L,$A11,'Solicitações'!$R:$R,C$2,'Solicitações'!$T:$T,"NÃO")-SUMIFS('Solicitações'!$O:$O,'Solicitações'!$L:$L,$A11,'Solicitações'!$R:$R,C$2,'Solicitações'!$T:$T,"NÃO",'Solicitações'!$C:$C,"RAP)")</f>
        <v>10181157.98</v>
      </c>
      <c r="D11" s="165">
        <f>SUMIFS('Solicitações'!$O:$O,'Solicitações'!$L:$L,$A11,'Solicitações'!$R:$R,D$2,'Solicitações'!$T:$T,"NÃO")-SUMIFS('Solicitações'!$O:$O,'Solicitações'!$L:$L,$A11,'Solicitações'!$R:$R,D$2,'Solicitações'!$T:$T,"NÃO",'Solicitações'!$C:$C,"RAP)")</f>
        <v>59507655.95</v>
      </c>
      <c r="E11" s="165">
        <f>SUMIFS('Solicitações'!$O:$O,'Solicitações'!$L:$L,$A11,'Solicitações'!$R:$R,E$2,'Solicitações'!$T:$T,"NÃO")-SUMIFS('Solicitações'!$O:$O,'Solicitações'!$L:$L,$A11,'Solicitações'!$R:$R,E$2,'Solicitações'!$T:$T,"NÃO",'Solicitações'!$C:$C,"RAP)")</f>
        <v>0</v>
      </c>
      <c r="F11" s="165">
        <f>SUMIFS('Solicitações'!$O:$O,'Solicitações'!$L:$L,$A11,'Solicitações'!$T:$T,"NÃO",'Solicitações'!E:E,"ATENDIDO")-SUMIFS('Solicitações'!$O:$O,'Solicitações'!$L:$L,$A11,'Solicitações'!$T:$T,"NÃO",'Solicitações'!E:E,"ATENDIDO",'Solicitações'!$R:$R,"RAP")</f>
        <v>13022163</v>
      </c>
      <c r="G11" s="165">
        <f>SUMIFS('Solicitações'!$O:$O,'Solicitações'!$L:$L,$A11,'Solicitações'!$T:$T,"NÃO",'Solicitações'!C:C,"SIM")-SUMIFS('Solicitações'!$O:$O,'Solicitações'!$L:$L,$A11,'Solicitações'!$R:$R,"RAP",'Solicitações'!$T:$T,"NÃO")</f>
        <v>39711034.18</v>
      </c>
      <c r="H11" s="165">
        <f>SUMIFS('Solicitações'!$O:$O,'Solicitações'!$L:$L,$A11,'Solicitações'!$T:$T,"NÃO",'Solicitações'!E:E,"&lt;&gt;ATENDIDO",'Solicitações'!I:I,"&lt;&gt;",'Solicitações'!C:C,"SIM")</f>
        <v>18309871.18</v>
      </c>
      <c r="I11" s="165">
        <f>SUMIFS('Solicitações'!$O:$O,'Solicitações'!$L:$L,$A11,'Solicitações'!$T:$T,"NÃO",'Solicitações'!E:E,"&lt;&gt;ATENDIDO",'Solicitações'!I:I,"",'Solicitações'!S:S,"HORA DE VOO",'Solicitações'!C:C,"SIM")+SUMIFS('Solicitações'!$O:$O,'Solicitações'!$L:$L,$A11,'Solicitações'!$T:$T,"NÃO",'Solicitações'!E:E,"&lt;&gt;ATENDIDO",'Solicitações'!I:I,"",'Solicitações'!S:S,"PARCELA FIXA",'Solicitações'!C:C,"SIM")-(SUMIFS('Solicitações'!$O:$O,'Solicitações'!$L:$L,$A11,'Solicitações'!$T:$T,"NÃO",'Solicitações'!E:E,"&lt;&gt;ATENDIDO",'Solicitações'!I:I,"",'Solicitações'!S:S,"HORA DE VOO",'Solicitações'!C:C,"SIM",'Solicitações'!$R:$R,"RAP")+SUMIFS('Solicitações'!$O:$O,'Solicitações'!$L:$L,$A11,'Solicitações'!$T:$T,"NÃO",'Solicitações'!E:E,"&lt;&gt;ATENDIDO",'Solicitações'!I:I,"",'Solicitações'!S:S,"PARCELA FIXA",'Solicitações'!C:C,"SIM",'Solicitações'!$R:$R,"RAP"))</f>
        <v>0</v>
      </c>
      <c r="J11" s="172">
        <f t="shared" si="1"/>
        <v>8379000</v>
      </c>
    </row>
    <row r="12">
      <c r="A12" s="151"/>
      <c r="B12" s="151"/>
      <c r="C12" s="151"/>
      <c r="D12" s="151"/>
      <c r="E12" s="151"/>
      <c r="F12" s="151"/>
      <c r="G12" s="151"/>
      <c r="H12" s="151"/>
      <c r="I12" s="151"/>
      <c r="J12" s="151"/>
    </row>
    <row r="13">
      <c r="A13" s="149" t="s">
        <v>51</v>
      </c>
      <c r="B13" s="43"/>
      <c r="C13" s="43"/>
      <c r="D13" s="43"/>
      <c r="E13" s="43"/>
      <c r="F13" s="43"/>
      <c r="G13" s="43"/>
      <c r="H13" s="43"/>
      <c r="I13" s="43"/>
      <c r="J13" s="44"/>
    </row>
    <row r="14">
      <c r="A14" s="47"/>
      <c r="B14" s="48" t="s">
        <v>144</v>
      </c>
      <c r="C14" s="48" t="s">
        <v>145</v>
      </c>
      <c r="D14" s="48" t="s">
        <v>146</v>
      </c>
      <c r="E14" s="48" t="s">
        <v>147</v>
      </c>
      <c r="F14" s="48" t="s">
        <v>148</v>
      </c>
      <c r="G14" s="48" t="s">
        <v>149</v>
      </c>
      <c r="H14" s="48" t="s">
        <v>150</v>
      </c>
      <c r="I14" s="48" t="s">
        <v>151</v>
      </c>
      <c r="J14" s="49" t="s">
        <v>41</v>
      </c>
    </row>
    <row r="15">
      <c r="A15" s="150" t="s">
        <v>39</v>
      </c>
      <c r="B15" s="151">
        <f>SUMIFS('Solicitações'!$O:$O,'Solicitações'!$L:$L,$A15,'Solicitações'!$R:$R,B$2,'Solicitações'!$T:$T,"SIM")</f>
        <v>73968552.9</v>
      </c>
      <c r="C15" s="151">
        <f>SUMIFS('Solicitações'!$O:$O,'Solicitações'!$L:$L,$A15,'Solicitações'!$R:$R,C$2,'Solicitações'!$T:$T,"SIM")</f>
        <v>0</v>
      </c>
      <c r="D15" s="151">
        <f>SUMIFS('Solicitações'!$O:$O,'Solicitações'!$L:$L,$A15,'Solicitações'!$R:$R,D$2,'Solicitações'!$T:$T,"SIM")</f>
        <v>72516378.59</v>
      </c>
      <c r="E15" s="151">
        <f>SUMIFS('Solicitações'!$O:$O,'Solicitações'!$L:$L,$A15,'Solicitações'!$R:$R,E$2,'Solicitações'!$T:$T,"SIM")</f>
        <v>0</v>
      </c>
      <c r="F15" s="151">
        <f>SUMIFS('Solicitações'!$O:$O,'Solicitações'!$L:$L,$A15,'Solicitações'!$T:$T,"SIM",'Solicitações'!E:E,"ATENDIDO")-SUMIFS('Solicitações'!$O:$O,'Solicitações'!$L:$L,$A15,'Solicitações'!$T:$T,"SIM",'Solicitações'!E:E,"ATENDIDO",'Solicitações'!$R:$R,"RAP")</f>
        <v>70972606.9</v>
      </c>
      <c r="G15" s="151">
        <f>SUMIFS('Solicitações'!$O:$O,'Solicitações'!$L:$L,$A15,'Solicitações'!$T:$T,"SIM",'Solicitações'!C:C,"SIM")-SUMIFS('Solicitações'!$O:$O,'Solicitações'!$L:$L,$A15,'Solicitações'!$R:$R,"RAP",'Solicitações'!$T:$T,"SIM")</f>
        <v>146484931.5</v>
      </c>
      <c r="H15" s="173">
        <f>SUMIFS('Solicitações'!$O:$O,'Solicitações'!$L:$L,$A15,'Solicitações'!$T:$T,"SIM",'Solicitações'!E:E,"&lt;&gt;ATENDIDO",'Solicitações'!I:I,"&lt;&gt;",'Solicitações'!C:C,"SIM")</f>
        <v>0</v>
      </c>
      <c r="I15" s="173"/>
      <c r="J15" s="158">
        <f t="shared" ref="J15:J20" si="2">G15-F15-H15-I15</f>
        <v>75512324.59</v>
      </c>
    </row>
    <row r="16">
      <c r="A16" s="150" t="s">
        <v>43</v>
      </c>
      <c r="B16" s="151">
        <f>SUMIFS('Solicitações'!$O:$O,'Solicitações'!$L:$L,$A16,'Solicitações'!$R:$R,B$2,'Solicitações'!$T:$T,"SIM")</f>
        <v>24967290.47</v>
      </c>
      <c r="C16" s="151">
        <f>SUMIFS('Solicitações'!$O:$O,'Solicitações'!$L:$L,$A16,'Solicitações'!$R:$R,C$2,'Solicitações'!$T:$T,"SIM")</f>
        <v>0</v>
      </c>
      <c r="D16" s="151">
        <f>SUMIFS('Solicitações'!$O:$O,'Solicitações'!$L:$L,$A16,'Solicitações'!$R:$R,D$2,'Solicitações'!$T:$T,"SIM")</f>
        <v>38700000</v>
      </c>
      <c r="E16" s="151">
        <f>SUMIFS('Solicitações'!$O:$O,'Solicitações'!$L:$L,$A16,'Solicitações'!$R:$R,E$2,'Solicitações'!$T:$T,"SIM")</f>
        <v>0</v>
      </c>
      <c r="F16" s="151">
        <f>SUMIFS('Solicitações'!$O:$O,'Solicitações'!$L:$L,$A16,'Solicitações'!$T:$T,"SIM",'Solicitações'!E:E,"ATENDIDO")-SUMIFS('Solicitações'!$O:$O,'Solicitações'!$L:$L,$A16,'Solicitações'!$T:$T,"SIM",'Solicitações'!E:E,"ATENDIDO",'Solicitações'!$R:$R,"RAP")</f>
        <v>24767290.47</v>
      </c>
      <c r="G16" s="151">
        <f>SUMIFS('Solicitações'!$O:$O,'Solicitações'!$L:$L,$A16,'Solicitações'!$T:$T,"SIM",'Solicitações'!C:C,"SIM")-SUMIFS('Solicitações'!$O:$O,'Solicitações'!$L:$L,$A16,'Solicitações'!$R:$R,"RAP",'Solicitações'!$T:$T,"SIM")</f>
        <v>24967290.47</v>
      </c>
      <c r="H16" s="173">
        <f>SUMIFS('Solicitações'!$O:$O,'Solicitações'!$L:$L,$A16,'Solicitações'!$T:$T,"SIM",'Solicitações'!E:E,"&lt;&gt;ATENDIDO",'Solicitações'!I:I,"&lt;&gt;",'Solicitações'!C:C,"SIM")</f>
        <v>0</v>
      </c>
      <c r="I16" s="173"/>
      <c r="J16" s="158">
        <f t="shared" si="2"/>
        <v>200000</v>
      </c>
    </row>
    <row r="17">
      <c r="A17" s="150" t="s">
        <v>44</v>
      </c>
      <c r="B17" s="151">
        <f>SUMIFS('Solicitações'!$O:$O,'Solicitações'!$L:$L,$A17,'Solicitações'!$R:$R,B$2,'Solicitações'!$T:$T,"SIM")</f>
        <v>0</v>
      </c>
      <c r="C17" s="151">
        <f>SUMIFS('Solicitações'!$O:$O,'Solicitações'!$L:$L,$A17,'Solicitações'!$R:$R,C$2,'Solicitações'!$T:$T,"SIM")</f>
        <v>10300000</v>
      </c>
      <c r="D17" s="151">
        <f>SUMIFS('Solicitações'!$O:$O,'Solicitações'!$L:$L,$A17,'Solicitações'!$R:$R,D$2,'Solicitações'!$T:$T,"SIM")</f>
        <v>6000000</v>
      </c>
      <c r="E17" s="151">
        <f>SUMIFS('Solicitações'!$O:$O,'Solicitações'!$L:$L,$A17,'Solicitações'!$R:$R,E$2,'Solicitações'!$T:$T,"SIM")</f>
        <v>0</v>
      </c>
      <c r="F17" s="151">
        <f>SUMIFS('Solicitações'!$O:$O,'Solicitações'!$L:$L,$A17,'Solicitações'!$T:$T,"SIM",'Solicitações'!E:E,"ATENDIDO")-SUMIFS('Solicitações'!$O:$O,'Solicitações'!$L:$L,$A17,'Solicitações'!$T:$T,"SIM",'Solicitações'!E:E,"ATENDIDO",'Solicitações'!$R:$R,"RAP")</f>
        <v>0</v>
      </c>
      <c r="G17" s="151">
        <f>SUMIFS('Solicitações'!$O:$O,'Solicitações'!$L:$L,$A17,'Solicitações'!$T:$T,"SIM",'Solicitações'!C:C,"SIM")-SUMIFS('Solicitações'!$O:$O,'Solicitações'!$L:$L,$A17,'Solicitações'!$R:$R,"RAP",'Solicitações'!$T:$T,"SIM")</f>
        <v>0</v>
      </c>
      <c r="H17" s="173">
        <f>SUMIFS('Solicitações'!$O:$O,'Solicitações'!$L:$L,$A17,'Solicitações'!$T:$T,"SIM",'Solicitações'!E:E,"&lt;&gt;ATENDIDO",'Solicitações'!I:I,"&lt;&gt;",'Solicitações'!C:C,"SIM")</f>
        <v>0</v>
      </c>
      <c r="I17" s="173"/>
      <c r="J17" s="158">
        <f t="shared" si="2"/>
        <v>0</v>
      </c>
    </row>
    <row r="18">
      <c r="A18" s="150" t="s">
        <v>45</v>
      </c>
      <c r="B18" s="151">
        <f>SUMIFS('Solicitações'!$O:$O,'Solicitações'!$L:$L,$A18,'Solicitações'!$R:$R,B$2,'Solicitações'!$T:$T,"SIM")</f>
        <v>17430819.6</v>
      </c>
      <c r="C18" s="151">
        <f>SUMIFS('Solicitações'!$O:$O,'Solicitações'!$L:$L,$A18,'Solicitações'!$R:$R,C$2,'Solicitações'!$T:$T,"SIM")</f>
        <v>0</v>
      </c>
      <c r="D18" s="151">
        <f>SUMIFS('Solicitações'!$O:$O,'Solicitações'!$L:$L,$A18,'Solicitações'!$R:$R,D$2,'Solicitações'!$T:$T,"SIM")</f>
        <v>12789400</v>
      </c>
      <c r="E18" s="151">
        <f>SUMIFS('Solicitações'!$O:$O,'Solicitações'!$L:$L,$A18,'Solicitações'!$R:$R,E$2,'Solicitações'!$T:$T,"SIM")</f>
        <v>0</v>
      </c>
      <c r="F18" s="151">
        <f>SUMIFS('Solicitações'!$O:$O,'Solicitações'!$L:$L,$A18,'Solicitações'!$T:$T,"SIM",'Solicitações'!E:E,"ATENDIDO")-SUMIFS('Solicitações'!$O:$O,'Solicitações'!$L:$L,$A18,'Solicitações'!$T:$T,"SIM",'Solicitações'!E:E,"ATENDIDO",'Solicitações'!$R:$R,"RAP")</f>
        <v>12899999.6</v>
      </c>
      <c r="G18" s="151">
        <f>SUMIFS('Solicitações'!$O:$O,'Solicitações'!$L:$L,$A18,'Solicitações'!$T:$T,"SIM",'Solicitações'!C:C,"SIM")-SUMIFS('Solicitações'!$O:$O,'Solicitações'!$L:$L,$A18,'Solicitações'!$R:$R,"RAP",'Solicitações'!$T:$T,"SIM")</f>
        <v>26220219.6</v>
      </c>
      <c r="H18" s="173">
        <f>SUMIFS('Solicitações'!$O:$O,'Solicitações'!$L:$L,$A18,'Solicitações'!$T:$T,"SIM",'Solicitações'!E:E,"&lt;&gt;ATENDIDO",'Solicitações'!I:I,"&lt;&gt;",'Solicitações'!C:C,"SIM")</f>
        <v>0</v>
      </c>
      <c r="I18" s="173"/>
      <c r="J18" s="158">
        <f t="shared" si="2"/>
        <v>13320220</v>
      </c>
    </row>
    <row r="19">
      <c r="A19" s="150" t="s">
        <v>46</v>
      </c>
      <c r="B19" s="151">
        <f>SUMIFS('Solicitações'!$O:$O,'Solicitações'!$L:$L,$A19,'Solicitações'!$R:$R,B$2,'Solicitações'!$T:$T,"SIM")</f>
        <v>20109910.41</v>
      </c>
      <c r="C19" s="151">
        <f>SUMIFS('Solicitações'!$O:$O,'Solicitações'!$L:$L,$A19,'Solicitações'!$R:$R,C$2,'Solicitações'!$T:$T,"SIM")</f>
        <v>3000000</v>
      </c>
      <c r="D19" s="151">
        <f>SUMIFS('Solicitações'!$O:$O,'Solicitações'!$L:$L,$A19,'Solicitações'!$R:$R,D$2,'Solicitações'!$T:$T,"SIM")</f>
        <v>50040000</v>
      </c>
      <c r="E19" s="151">
        <f>SUMIFS('Solicitações'!$O:$O,'Solicitações'!$L:$L,$A19,'Solicitações'!$R:$R,E$2,'Solicitações'!$T:$T,"SIM")</f>
        <v>0</v>
      </c>
      <c r="F19" s="151">
        <f>SUMIFS('Solicitações'!$O:$O,'Solicitações'!$L:$L,$A19,'Solicitações'!$T:$T,"SIM",'Solicitações'!E:E,"ATENDIDO")-SUMIFS('Solicitações'!$O:$O,'Solicitações'!$L:$L,$A19,'Solicitações'!$T:$T,"SIM",'Solicitações'!E:E,"ATENDIDO",'Solicitações'!$R:$R,"RAP")</f>
        <v>17317330.32</v>
      </c>
      <c r="G19" s="151">
        <f>SUMIFS('Solicitações'!$O:$O,'Solicitações'!$L:$L,$A19,'Solicitações'!$T:$T,"SIM",'Solicitações'!C:C,"SIM")-SUMIFS('Solicitações'!$O:$O,'Solicitações'!$L:$L,$A19,'Solicitações'!$R:$R,"RAP",'Solicitações'!$T:$T,"SIM")</f>
        <v>20109910.41</v>
      </c>
      <c r="H19" s="173">
        <f>SUMIFS('Solicitações'!$O:$O,'Solicitações'!$L:$L,$A19,'Solicitações'!$T:$T,"SIM",'Solicitações'!E:E,"&lt;&gt;ATENDIDO",'Solicitações'!I:I,"&lt;&gt;",'Solicitações'!C:C,"SIM")</f>
        <v>0</v>
      </c>
      <c r="I19" s="173"/>
      <c r="J19" s="158">
        <f t="shared" si="2"/>
        <v>2792580.09</v>
      </c>
    </row>
    <row r="20">
      <c r="A20" s="164" t="s">
        <v>49</v>
      </c>
      <c r="B20" s="165">
        <f>SUMIFS('Solicitações'!$O:$O,'Solicitações'!$L:$L,$A20,'Solicitações'!$R:$R,B$2,'Solicitações'!$T:$T,"SIM")</f>
        <v>3000000</v>
      </c>
      <c r="C20" s="165">
        <f>SUMIFS('Solicitações'!$O:$O,'Solicitações'!$L:$L,$A20,'Solicitações'!$R:$R,C$2,'Solicitações'!$T:$T,"SIM")</f>
        <v>0</v>
      </c>
      <c r="D20" s="165">
        <f>SUMIFS('Solicitações'!$O:$O,'Solicitações'!$L:$L,$A20,'Solicitações'!$R:$R,D$2,'Solicitações'!$T:$T,"SIM")</f>
        <v>9980376</v>
      </c>
      <c r="E20" s="165">
        <f>SUMIFS('Solicitações'!$O:$O,'Solicitações'!$L:$L,$A20,'Solicitações'!$R:$R,E$2,'Solicitações'!$T:$T,"SIM")</f>
        <v>0</v>
      </c>
      <c r="F20" s="165">
        <f>SUMIFS('Solicitações'!$O:$O,'Solicitações'!$L:$L,$A20,'Solicitações'!$T:$T,"SIM",'Solicitações'!E:E,"ATENDIDO")-SUMIFS('Solicitações'!$O:$O,'Solicitações'!$L:$L,$A20,'Solicitações'!$T:$T,"SIM",'Solicitações'!E:E,"ATENDIDO",'Solicitações'!$R:$R,"RAP")</f>
        <v>5500000</v>
      </c>
      <c r="G20" s="165">
        <f>SUMIFS('Solicitações'!$O:$O,'Solicitações'!$L:$L,$A20,'Solicitações'!$T:$T,"SIM",'Solicitações'!C:C,"SIM")-SUMIFS('Solicitações'!$O:$O,'Solicitações'!$L:$L,$A20,'Solicitações'!$R:$R,"RAP",'Solicitações'!$T:$T,"SIM")</f>
        <v>5500000</v>
      </c>
      <c r="H20" s="176">
        <f>SUMIFS('Solicitações'!$O:$O,'Solicitações'!$L:$L,$A20,'Solicitações'!$T:$T,"SIM",'Solicitações'!E:E,"&lt;&gt;ATENDIDO",'Solicitações'!I:I,"&lt;&gt;",'Solicitações'!C:C,"SIM")</f>
        <v>0</v>
      </c>
      <c r="I20" s="176"/>
      <c r="J20" s="172">
        <f t="shared" si="2"/>
        <v>0</v>
      </c>
    </row>
  </sheetData>
  <mergeCells count="2">
    <mergeCell ref="A1:J1"/>
    <mergeCell ref="A13:J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0"/>
    <col customWidth="1" min="2" max="4" width="54.75"/>
    <col customWidth="1" min="5" max="8" width="15.63"/>
    <col customWidth="1" min="9" max="9" width="18.38"/>
    <col customWidth="1" min="10" max="10" width="23.25"/>
    <col customWidth="1" min="11" max="19" width="18.38"/>
  </cols>
  <sheetData>
    <row r="1">
      <c r="A1" s="42" t="s">
        <v>40</v>
      </c>
      <c r="B1" s="43"/>
      <c r="C1" s="44"/>
      <c r="D1" s="45"/>
      <c r="E1" s="45"/>
      <c r="F1" s="45"/>
      <c r="G1" s="45"/>
      <c r="H1" s="45"/>
      <c r="I1" s="45"/>
      <c r="J1" s="45"/>
      <c r="K1" s="45"/>
      <c r="L1" s="46"/>
      <c r="M1" s="45"/>
      <c r="N1" s="45"/>
      <c r="O1" s="45"/>
      <c r="P1" s="45"/>
      <c r="Q1" s="45"/>
      <c r="R1" s="45"/>
      <c r="S1" s="45"/>
    </row>
    <row r="2">
      <c r="A2" s="47"/>
      <c r="B2" s="48" t="s">
        <v>41</v>
      </c>
      <c r="C2" s="49" t="s">
        <v>42</v>
      </c>
      <c r="D2" s="45"/>
      <c r="E2" s="45"/>
      <c r="F2" s="45"/>
      <c r="G2" s="45"/>
      <c r="H2" s="45"/>
      <c r="I2" s="45"/>
      <c r="J2" s="45"/>
      <c r="K2" s="45"/>
      <c r="L2" s="46"/>
      <c r="M2" s="45"/>
      <c r="N2" s="45"/>
      <c r="O2" s="45"/>
      <c r="P2" s="45"/>
      <c r="Q2" s="45"/>
      <c r="R2" s="45"/>
      <c r="S2" s="45"/>
    </row>
    <row r="3">
      <c r="A3" s="50" t="s">
        <v>39</v>
      </c>
      <c r="B3" s="51">
        <v>1.0562184259999983E7</v>
      </c>
      <c r="C3" s="52">
        <v>0.0</v>
      </c>
      <c r="D3" s="45"/>
      <c r="E3" s="45"/>
      <c r="F3" s="45"/>
      <c r="G3" s="45"/>
      <c r="H3" s="45"/>
      <c r="I3" s="45"/>
      <c r="J3" s="45"/>
      <c r="K3" s="45"/>
      <c r="L3" s="46"/>
      <c r="M3" s="45"/>
      <c r="N3" s="45"/>
      <c r="O3" s="45"/>
      <c r="P3" s="45"/>
      <c r="Q3" s="45"/>
      <c r="R3" s="45"/>
      <c r="S3" s="45"/>
    </row>
    <row r="4">
      <c r="A4" s="50" t="s">
        <v>43</v>
      </c>
      <c r="B4" s="51">
        <v>1.738314917E7</v>
      </c>
      <c r="C4" s="52">
        <v>1.641138234E7</v>
      </c>
      <c r="D4" s="45"/>
      <c r="E4" s="45"/>
      <c r="F4" s="45"/>
      <c r="G4" s="45"/>
      <c r="H4" s="45"/>
      <c r="I4" s="45"/>
      <c r="J4" s="45"/>
      <c r="K4" s="45"/>
      <c r="L4" s="46"/>
      <c r="M4" s="45"/>
      <c r="N4" s="45"/>
      <c r="O4" s="45"/>
      <c r="P4" s="45"/>
      <c r="Q4" s="45"/>
      <c r="R4" s="45"/>
      <c r="S4" s="45"/>
    </row>
    <row r="5">
      <c r="A5" s="50" t="s">
        <v>44</v>
      </c>
      <c r="B5" s="51">
        <v>3242659.5600000024</v>
      </c>
      <c r="C5" s="52">
        <v>4175833.86</v>
      </c>
      <c r="D5" s="45"/>
      <c r="E5" s="45"/>
      <c r="F5" s="45"/>
      <c r="G5" s="45"/>
      <c r="H5" s="45"/>
      <c r="I5" s="45"/>
      <c r="J5" s="45"/>
      <c r="K5" s="45"/>
      <c r="L5" s="46"/>
      <c r="M5" s="45"/>
      <c r="N5" s="45"/>
      <c r="O5" s="45"/>
      <c r="P5" s="45"/>
      <c r="Q5" s="45"/>
      <c r="R5" s="45"/>
      <c r="S5" s="45"/>
    </row>
    <row r="6">
      <c r="A6" s="50" t="s">
        <v>45</v>
      </c>
      <c r="B6" s="51">
        <v>5065668.5</v>
      </c>
      <c r="C6" s="52">
        <v>8958040.0</v>
      </c>
      <c r="D6" s="45"/>
      <c r="E6" s="45"/>
      <c r="F6" s="45"/>
      <c r="G6" s="45"/>
      <c r="H6" s="45"/>
      <c r="I6" s="45"/>
      <c r="J6" s="45"/>
      <c r="K6" s="45"/>
      <c r="L6" s="46"/>
      <c r="M6" s="45"/>
      <c r="N6" s="45"/>
      <c r="O6" s="45"/>
      <c r="P6" s="45"/>
      <c r="Q6" s="45"/>
      <c r="R6" s="45"/>
      <c r="S6" s="45"/>
    </row>
    <row r="7">
      <c r="A7" s="50" t="s">
        <v>46</v>
      </c>
      <c r="B7" s="51">
        <v>7942753.589999998</v>
      </c>
      <c r="C7" s="52">
        <v>0.0</v>
      </c>
      <c r="D7" s="45"/>
      <c r="E7" s="45"/>
      <c r="F7" s="45"/>
      <c r="G7" s="45"/>
      <c r="H7" s="45"/>
      <c r="I7" s="45"/>
      <c r="J7" s="45"/>
      <c r="K7" s="45"/>
      <c r="L7" s="46"/>
      <c r="M7" s="45"/>
      <c r="N7" s="45"/>
      <c r="O7" s="45"/>
      <c r="P7" s="45"/>
      <c r="Q7" s="45"/>
      <c r="R7" s="45"/>
      <c r="S7" s="45"/>
    </row>
    <row r="8">
      <c r="A8" s="50" t="s">
        <v>47</v>
      </c>
      <c r="B8" s="51">
        <v>1.043087616E7</v>
      </c>
      <c r="C8" s="52">
        <v>9608993.0</v>
      </c>
      <c r="D8" s="45"/>
      <c r="E8" s="45"/>
      <c r="F8" s="45"/>
      <c r="G8" s="45"/>
      <c r="H8" s="45"/>
      <c r="I8" s="45"/>
      <c r="J8" s="45"/>
      <c r="K8" s="45"/>
      <c r="L8" s="46"/>
      <c r="M8" s="45"/>
      <c r="N8" s="45"/>
      <c r="O8" s="45"/>
      <c r="P8" s="45"/>
      <c r="Q8" s="45"/>
      <c r="R8" s="45"/>
      <c r="S8" s="45"/>
    </row>
    <row r="9">
      <c r="A9" s="50" t="s">
        <v>48</v>
      </c>
      <c r="B9" s="51">
        <v>274999.99999999994</v>
      </c>
      <c r="C9" s="52">
        <v>90000.0</v>
      </c>
      <c r="D9" s="45"/>
      <c r="E9" s="45"/>
      <c r="F9" s="45"/>
      <c r="G9" s="45"/>
      <c r="H9" s="45"/>
      <c r="I9" s="45"/>
      <c r="J9" s="45"/>
      <c r="K9" s="45"/>
      <c r="L9" s="46"/>
      <c r="M9" s="45"/>
      <c r="N9" s="45"/>
      <c r="O9" s="45"/>
      <c r="P9" s="45"/>
      <c r="Q9" s="45"/>
      <c r="R9" s="45"/>
      <c r="S9" s="45"/>
    </row>
    <row r="10">
      <c r="A10" s="50" t="s">
        <v>49</v>
      </c>
      <c r="B10" s="51">
        <v>1.60481519E7</v>
      </c>
      <c r="C10" s="52">
        <v>0.0</v>
      </c>
      <c r="D10" s="45"/>
      <c r="E10" s="45"/>
      <c r="F10" s="45"/>
      <c r="G10" s="45"/>
      <c r="H10" s="45"/>
      <c r="I10" s="45"/>
      <c r="J10" s="45"/>
      <c r="K10" s="45"/>
      <c r="L10" s="46"/>
      <c r="M10" s="45"/>
      <c r="N10" s="45"/>
      <c r="O10" s="45"/>
      <c r="P10" s="45"/>
      <c r="Q10" s="45"/>
      <c r="R10" s="45"/>
      <c r="S10" s="45"/>
    </row>
    <row r="11">
      <c r="A11" s="53" t="s">
        <v>50</v>
      </c>
      <c r="B11" s="54">
        <v>3.626538784999999E7</v>
      </c>
      <c r="C11" s="55">
        <v>9266024.39</v>
      </c>
      <c r="D11" s="45"/>
      <c r="E11" s="45"/>
      <c r="F11" s="45"/>
      <c r="G11" s="45"/>
      <c r="H11" s="45"/>
      <c r="I11" s="45"/>
      <c r="J11" s="45"/>
      <c r="K11" s="45"/>
      <c r="L11" s="46"/>
      <c r="M11" s="45"/>
      <c r="N11" s="45"/>
      <c r="O11" s="45"/>
      <c r="P11" s="45"/>
      <c r="Q11" s="45"/>
      <c r="R11" s="45"/>
      <c r="S11" s="45"/>
    </row>
    <row r="12">
      <c r="A12" s="51"/>
      <c r="B12" s="51"/>
      <c r="C12" s="51"/>
      <c r="D12" s="45"/>
      <c r="E12" s="45"/>
      <c r="F12" s="45"/>
      <c r="G12" s="45"/>
      <c r="H12" s="45"/>
      <c r="I12" s="45"/>
      <c r="J12" s="45"/>
      <c r="K12" s="45"/>
      <c r="L12" s="46"/>
      <c r="M12" s="45"/>
      <c r="N12" s="45"/>
      <c r="O12" s="45"/>
      <c r="P12" s="45"/>
      <c r="Q12" s="45"/>
      <c r="R12" s="45"/>
      <c r="S12" s="45"/>
    </row>
    <row r="13">
      <c r="A13" s="42" t="s">
        <v>51</v>
      </c>
      <c r="B13" s="43"/>
      <c r="C13" s="44"/>
      <c r="D13" s="45"/>
      <c r="E13" s="45"/>
      <c r="F13" s="45"/>
      <c r="G13" s="45"/>
      <c r="H13" s="45"/>
      <c r="I13" s="45"/>
      <c r="J13" s="45"/>
      <c r="K13" s="45"/>
      <c r="L13" s="46"/>
      <c r="M13" s="45"/>
      <c r="N13" s="45"/>
      <c r="O13" s="45"/>
      <c r="P13" s="45"/>
      <c r="Q13" s="45"/>
      <c r="R13" s="45"/>
      <c r="S13" s="45"/>
    </row>
    <row r="14">
      <c r="A14" s="47"/>
      <c r="B14" s="48" t="s">
        <v>41</v>
      </c>
      <c r="C14" s="49" t="s">
        <v>42</v>
      </c>
      <c r="D14" s="45"/>
      <c r="E14" s="45"/>
      <c r="F14" s="45"/>
      <c r="G14" s="45"/>
      <c r="H14" s="45"/>
      <c r="I14" s="45"/>
      <c r="J14" s="45"/>
      <c r="K14" s="45"/>
      <c r="L14" s="46"/>
      <c r="M14" s="45"/>
      <c r="N14" s="45"/>
      <c r="O14" s="45"/>
      <c r="P14" s="45"/>
      <c r="Q14" s="45"/>
      <c r="R14" s="45"/>
      <c r="S14" s="45"/>
    </row>
    <row r="15">
      <c r="A15" s="50" t="s">
        <v>39</v>
      </c>
      <c r="B15" s="51">
        <v>4.257994599999998E7</v>
      </c>
      <c r="C15" s="52">
        <v>0.0</v>
      </c>
      <c r="D15" s="45"/>
      <c r="E15" s="45"/>
      <c r="F15" s="45"/>
      <c r="G15" s="45"/>
      <c r="H15" s="45"/>
      <c r="I15" s="45"/>
      <c r="J15" s="45"/>
      <c r="K15" s="45"/>
      <c r="L15" s="46"/>
      <c r="M15" s="45"/>
      <c r="N15" s="45"/>
      <c r="O15" s="45"/>
      <c r="P15" s="45"/>
      <c r="Q15" s="45"/>
      <c r="R15" s="45"/>
      <c r="S15" s="45"/>
    </row>
    <row r="16">
      <c r="A16" s="50" t="s">
        <v>43</v>
      </c>
      <c r="B16" s="51">
        <v>5434638.210000001</v>
      </c>
      <c r="C16" s="52">
        <v>0.0</v>
      </c>
      <c r="D16" s="45"/>
      <c r="E16" s="45"/>
      <c r="F16" s="45"/>
      <c r="G16" s="45"/>
      <c r="H16" s="45"/>
      <c r="I16" s="45"/>
      <c r="J16" s="45"/>
      <c r="K16" s="45"/>
      <c r="L16" s="46"/>
      <c r="M16" s="45"/>
      <c r="N16" s="45"/>
      <c r="O16" s="45"/>
      <c r="P16" s="45"/>
      <c r="Q16" s="45"/>
      <c r="R16" s="45"/>
      <c r="S16" s="45"/>
    </row>
    <row r="17">
      <c r="A17" s="50" t="s">
        <v>44</v>
      </c>
      <c r="B17" s="51">
        <v>1.03E7</v>
      </c>
      <c r="C17" s="52">
        <v>2800000.0</v>
      </c>
      <c r="D17" s="45"/>
      <c r="E17" s="45"/>
      <c r="F17" s="45"/>
      <c r="G17" s="45"/>
      <c r="H17" s="45"/>
      <c r="I17" s="45"/>
      <c r="J17" s="45"/>
      <c r="K17" s="45"/>
      <c r="L17" s="46"/>
      <c r="M17" s="45"/>
      <c r="N17" s="45"/>
      <c r="O17" s="45"/>
      <c r="P17" s="45"/>
      <c r="Q17" s="45"/>
      <c r="R17" s="45"/>
      <c r="S17" s="45"/>
    </row>
    <row r="18">
      <c r="A18" s="50" t="s">
        <v>45</v>
      </c>
      <c r="B18" s="51">
        <v>1.4428000000000002E7</v>
      </c>
      <c r="C18" s="52">
        <v>3000000.0</v>
      </c>
      <c r="D18" s="45"/>
      <c r="E18" s="45"/>
      <c r="F18" s="45"/>
      <c r="G18" s="45"/>
      <c r="H18" s="45"/>
      <c r="I18" s="45"/>
      <c r="J18" s="45"/>
      <c r="K18" s="45"/>
      <c r="L18" s="46"/>
      <c r="M18" s="45"/>
      <c r="N18" s="45"/>
      <c r="O18" s="45"/>
      <c r="P18" s="45"/>
      <c r="Q18" s="45"/>
      <c r="R18" s="45"/>
      <c r="S18" s="45"/>
    </row>
    <row r="19">
      <c r="A19" s="50" t="s">
        <v>46</v>
      </c>
      <c r="B19" s="51">
        <v>1.764019629E7</v>
      </c>
      <c r="C19" s="52">
        <v>0.0</v>
      </c>
      <c r="D19" s="45"/>
      <c r="E19" s="45"/>
      <c r="F19" s="45"/>
      <c r="G19" s="45"/>
      <c r="H19" s="45"/>
      <c r="I19" s="45"/>
      <c r="J19" s="45"/>
      <c r="K19" s="45"/>
      <c r="L19" s="46"/>
      <c r="M19" s="45"/>
      <c r="N19" s="45"/>
      <c r="O19" s="45"/>
      <c r="P19" s="45"/>
      <c r="Q19" s="45"/>
      <c r="R19" s="45"/>
      <c r="S19" s="45"/>
    </row>
    <row r="20">
      <c r="A20" s="53" t="s">
        <v>49</v>
      </c>
      <c r="B20" s="54">
        <v>0.0</v>
      </c>
      <c r="C20" s="55">
        <v>0.0</v>
      </c>
      <c r="D20" s="45"/>
      <c r="E20" s="45"/>
      <c r="F20" s="45"/>
      <c r="G20" s="45"/>
      <c r="H20" s="45"/>
      <c r="I20" s="45"/>
      <c r="J20" s="45"/>
      <c r="K20" s="45"/>
      <c r="L20" s="46"/>
      <c r="M20" s="45"/>
      <c r="N20" s="45"/>
      <c r="O20" s="45"/>
      <c r="P20" s="45"/>
      <c r="Q20" s="45"/>
      <c r="R20" s="45"/>
      <c r="S20" s="45"/>
    </row>
    <row r="21">
      <c r="A21" s="45"/>
      <c r="B21" s="45"/>
      <c r="C21" s="45"/>
      <c r="D21" s="45"/>
      <c r="E21" s="45"/>
      <c r="F21" s="45"/>
      <c r="G21" s="45"/>
      <c r="H21" s="45"/>
      <c r="I21" s="45"/>
      <c r="J21" s="45"/>
      <c r="K21" s="45"/>
      <c r="L21" s="46"/>
      <c r="M21" s="45"/>
      <c r="N21" s="45"/>
      <c r="O21" s="45"/>
      <c r="P21" s="45"/>
      <c r="Q21" s="45"/>
      <c r="R21" s="45"/>
      <c r="S21" s="45"/>
    </row>
    <row r="22">
      <c r="A22" s="45"/>
      <c r="B22" s="45"/>
      <c r="C22" s="45"/>
      <c r="D22" s="45"/>
      <c r="E22" s="45"/>
      <c r="F22" s="45"/>
      <c r="G22" s="45"/>
      <c r="H22" s="45"/>
      <c r="I22" s="45"/>
      <c r="J22" s="45"/>
      <c r="K22" s="45"/>
      <c r="L22" s="46"/>
      <c r="M22" s="45"/>
      <c r="N22" s="45"/>
      <c r="O22" s="45"/>
      <c r="P22" s="45"/>
      <c r="Q22" s="45"/>
      <c r="R22" s="45"/>
      <c r="S22" s="45"/>
    </row>
    <row r="23">
      <c r="A23" s="56" t="s">
        <v>52</v>
      </c>
      <c r="B23" s="57" t="s">
        <v>25</v>
      </c>
      <c r="C23" s="57" t="s">
        <v>41</v>
      </c>
      <c r="D23" s="57" t="s">
        <v>53</v>
      </c>
      <c r="E23" s="57" t="s">
        <v>54</v>
      </c>
      <c r="F23" s="57" t="s">
        <v>55</v>
      </c>
      <c r="G23" s="58" t="s">
        <v>56</v>
      </c>
      <c r="H23" s="60" t="s">
        <v>57</v>
      </c>
      <c r="I23" s="61"/>
      <c r="J23" s="61"/>
      <c r="K23" s="62" t="s">
        <v>58</v>
      </c>
      <c r="L23" s="63" t="s">
        <v>59</v>
      </c>
      <c r="M23" s="61"/>
      <c r="N23" s="61"/>
      <c r="O23" s="61"/>
      <c r="P23" s="61"/>
      <c r="Q23" s="61"/>
      <c r="R23" s="61"/>
      <c r="S23" s="61"/>
    </row>
    <row r="24">
      <c r="A24" s="64" t="s">
        <v>39</v>
      </c>
      <c r="B24" s="65" t="s">
        <v>60</v>
      </c>
      <c r="C24" s="65">
        <v>412184.28</v>
      </c>
      <c r="D24" s="66"/>
      <c r="E24" s="66"/>
      <c r="F24" s="68">
        <f t="shared" ref="F24:F51" si="1">D24+E24</f>
        <v>0</v>
      </c>
      <c r="G24" s="69">
        <f t="shared" ref="G24:G51" si="2">C24-D24-E24</f>
        <v>412184.28</v>
      </c>
      <c r="H24" s="70">
        <f>SUM(G24:G26)</f>
        <v>10562184.28</v>
      </c>
      <c r="I24" s="45"/>
      <c r="J24" s="45"/>
      <c r="K24" s="71"/>
      <c r="L24" s="73"/>
      <c r="M24" s="45"/>
      <c r="N24" s="45"/>
      <c r="O24" s="45"/>
      <c r="P24" s="45"/>
      <c r="Q24" s="45"/>
      <c r="R24" s="45"/>
      <c r="S24" s="45"/>
    </row>
    <row r="25">
      <c r="A25" s="74"/>
      <c r="B25" s="75" t="s">
        <v>61</v>
      </c>
      <c r="C25" s="75">
        <v>1000000.0</v>
      </c>
      <c r="D25" s="76"/>
      <c r="E25" s="76"/>
      <c r="F25" s="51">
        <f t="shared" si="1"/>
        <v>0</v>
      </c>
      <c r="G25" s="52">
        <f t="shared" si="2"/>
        <v>1000000</v>
      </c>
      <c r="H25" s="77"/>
      <c r="I25" s="45"/>
      <c r="J25" s="45"/>
      <c r="K25" s="78"/>
      <c r="L25" s="73"/>
      <c r="M25" s="45"/>
      <c r="N25" s="45"/>
      <c r="O25" s="45"/>
      <c r="P25" s="45"/>
      <c r="Q25" s="45"/>
      <c r="R25" s="45"/>
      <c r="S25" s="45"/>
    </row>
    <row r="26">
      <c r="A26" s="79"/>
      <c r="B26" s="80" t="s">
        <v>62</v>
      </c>
      <c r="C26" s="80">
        <v>9150000.0</v>
      </c>
      <c r="D26" s="82"/>
      <c r="E26" s="82"/>
      <c r="F26" s="54">
        <f t="shared" si="1"/>
        <v>0</v>
      </c>
      <c r="G26" s="55">
        <f t="shared" si="2"/>
        <v>9150000</v>
      </c>
      <c r="H26" s="83"/>
      <c r="I26" s="84" t="s">
        <v>63</v>
      </c>
      <c r="J26" s="45"/>
      <c r="K26" s="85">
        <v>4063228.01</v>
      </c>
      <c r="L26" s="86" t="s">
        <v>64</v>
      </c>
      <c r="M26" s="45"/>
      <c r="N26" s="45"/>
      <c r="O26" s="45"/>
      <c r="P26" s="45"/>
      <c r="Q26" s="45"/>
      <c r="R26" s="45"/>
      <c r="S26" s="45"/>
    </row>
    <row r="27">
      <c r="A27" s="64" t="s">
        <v>65</v>
      </c>
      <c r="B27" s="65" t="s">
        <v>66</v>
      </c>
      <c r="C27" s="65">
        <v>4000000.0</v>
      </c>
      <c r="D27" s="87">
        <v>4000000.0</v>
      </c>
      <c r="E27" s="66"/>
      <c r="F27" s="89">
        <f t="shared" si="1"/>
        <v>4000000</v>
      </c>
      <c r="G27" s="69">
        <f t="shared" si="2"/>
        <v>0</v>
      </c>
      <c r="H27" s="70">
        <f>SUM(G27:G29)</f>
        <v>971766.83</v>
      </c>
      <c r="I27" s="84" t="s">
        <v>67</v>
      </c>
      <c r="J27" s="45"/>
      <c r="K27" s="91">
        <v>-2000000.0</v>
      </c>
      <c r="L27" s="86" t="s">
        <v>68</v>
      </c>
      <c r="M27" s="45"/>
      <c r="N27" s="45"/>
      <c r="O27" s="45"/>
      <c r="P27" s="45"/>
      <c r="Q27" s="45"/>
      <c r="R27" s="45"/>
      <c r="S27" s="45"/>
    </row>
    <row r="28">
      <c r="A28" s="74"/>
      <c r="B28" s="75" t="s">
        <v>69</v>
      </c>
      <c r="C28" s="75">
        <v>1.338314917E7</v>
      </c>
      <c r="D28" s="93">
        <v>1.015971148E7</v>
      </c>
      <c r="E28" s="76"/>
      <c r="F28" s="94">
        <f t="shared" si="1"/>
        <v>10159711.48</v>
      </c>
      <c r="G28" s="52">
        <f t="shared" si="2"/>
        <v>3223437.69</v>
      </c>
      <c r="H28" s="77"/>
      <c r="I28" s="84" t="s">
        <v>70</v>
      </c>
      <c r="J28" s="45"/>
      <c r="K28" s="91">
        <v>-3573329.14</v>
      </c>
      <c r="L28" s="86" t="s">
        <v>71</v>
      </c>
      <c r="M28" s="45"/>
      <c r="N28" s="45"/>
      <c r="O28" s="45"/>
      <c r="P28" s="45"/>
      <c r="Q28" s="45"/>
      <c r="R28" s="45"/>
      <c r="S28" s="45"/>
    </row>
    <row r="29">
      <c r="A29" s="79"/>
      <c r="B29" s="80" t="s">
        <v>72</v>
      </c>
      <c r="C29" s="80"/>
      <c r="D29" s="96"/>
      <c r="E29" s="96">
        <v>2251670.86</v>
      </c>
      <c r="F29" s="97">
        <f t="shared" si="1"/>
        <v>2251670.86</v>
      </c>
      <c r="G29" s="55">
        <f t="shared" si="2"/>
        <v>-2251670.86</v>
      </c>
      <c r="H29" s="83"/>
      <c r="I29" s="84" t="s">
        <v>73</v>
      </c>
      <c r="J29" s="45"/>
      <c r="K29" s="91">
        <v>-2251670.86</v>
      </c>
      <c r="L29" s="86" t="s">
        <v>74</v>
      </c>
      <c r="M29" s="45"/>
      <c r="N29" s="45"/>
      <c r="O29" s="45"/>
      <c r="P29" s="45"/>
      <c r="Q29" s="45"/>
      <c r="R29" s="45"/>
      <c r="S29" s="45"/>
    </row>
    <row r="30">
      <c r="A30" s="64" t="s">
        <v>44</v>
      </c>
      <c r="B30" s="65" t="s">
        <v>75</v>
      </c>
      <c r="C30" s="65">
        <f>1500000</f>
        <v>1500000</v>
      </c>
      <c r="D30" s="87">
        <v>1500000.0</v>
      </c>
      <c r="E30" s="87">
        <v>2675833.86</v>
      </c>
      <c r="F30" s="89">
        <f t="shared" si="1"/>
        <v>4175833.86</v>
      </c>
      <c r="G30" s="69">
        <f t="shared" si="2"/>
        <v>-2675833.86</v>
      </c>
      <c r="H30" s="70">
        <f>SUM(G30:G32)</f>
        <v>-933174.3</v>
      </c>
      <c r="I30" s="84" t="s">
        <v>76</v>
      </c>
      <c r="J30" s="45"/>
      <c r="K30" s="91">
        <v>-2675833.86</v>
      </c>
      <c r="L30" s="86" t="s">
        <v>77</v>
      </c>
      <c r="M30" s="45"/>
      <c r="N30" s="45"/>
      <c r="O30" s="45"/>
      <c r="P30" s="45"/>
      <c r="Q30" s="45"/>
      <c r="R30" s="45"/>
      <c r="S30" s="45"/>
    </row>
    <row r="31">
      <c r="A31" s="74"/>
      <c r="B31" s="75" t="s">
        <v>69</v>
      </c>
      <c r="C31" s="75">
        <v>930703.56</v>
      </c>
      <c r="D31" s="76"/>
      <c r="E31" s="76"/>
      <c r="F31" s="51">
        <f t="shared" si="1"/>
        <v>0</v>
      </c>
      <c r="G31" s="52">
        <f t="shared" si="2"/>
        <v>930703.56</v>
      </c>
      <c r="H31" s="77"/>
      <c r="I31" s="45"/>
      <c r="J31" s="45"/>
      <c r="K31" s="85">
        <v>501640.62</v>
      </c>
      <c r="L31" s="86" t="s">
        <v>78</v>
      </c>
      <c r="M31" s="45"/>
      <c r="N31" s="45"/>
      <c r="O31" s="45"/>
      <c r="P31" s="45"/>
      <c r="Q31" s="45"/>
      <c r="R31" s="45"/>
      <c r="S31" s="45"/>
    </row>
    <row r="32">
      <c r="A32" s="79"/>
      <c r="B32" s="80" t="s">
        <v>79</v>
      </c>
      <c r="C32" s="80">
        <v>811956.0</v>
      </c>
      <c r="D32" s="82"/>
      <c r="E32" s="82"/>
      <c r="F32" s="54">
        <f t="shared" si="1"/>
        <v>0</v>
      </c>
      <c r="G32" s="55">
        <f t="shared" si="2"/>
        <v>811956</v>
      </c>
      <c r="H32" s="83"/>
      <c r="I32" s="45"/>
      <c r="J32" s="45"/>
      <c r="K32" s="106"/>
      <c r="L32" s="73"/>
      <c r="M32" s="45"/>
      <c r="N32" s="45"/>
      <c r="O32" s="45"/>
      <c r="P32" s="45"/>
      <c r="Q32" s="45"/>
      <c r="R32" s="45"/>
      <c r="S32" s="45"/>
    </row>
    <row r="33">
      <c r="A33" s="64" t="s">
        <v>45</v>
      </c>
      <c r="B33" s="65" t="s">
        <v>80</v>
      </c>
      <c r="C33" s="65">
        <v>672628.5</v>
      </c>
      <c r="D33" s="66"/>
      <c r="E33" s="66"/>
      <c r="F33" s="68">
        <f t="shared" si="1"/>
        <v>0</v>
      </c>
      <c r="G33" s="69">
        <f t="shared" si="2"/>
        <v>672628.5</v>
      </c>
      <c r="H33" s="70">
        <f>SUM(G33:G34)</f>
        <v>1107628.5</v>
      </c>
      <c r="I33" s="45"/>
      <c r="J33" s="45"/>
      <c r="K33" s="106"/>
      <c r="L33" s="73"/>
      <c r="M33" s="45"/>
      <c r="N33" s="45"/>
      <c r="O33" s="45"/>
      <c r="P33" s="45"/>
      <c r="Q33" s="45"/>
      <c r="R33" s="45"/>
      <c r="S33" s="45"/>
    </row>
    <row r="34">
      <c r="A34" s="79"/>
      <c r="B34" s="108" t="s">
        <v>69</v>
      </c>
      <c r="C34" s="80">
        <v>4393040.0</v>
      </c>
      <c r="D34" s="96">
        <v>3958040.0</v>
      </c>
      <c r="E34" s="82"/>
      <c r="F34" s="97">
        <f t="shared" si="1"/>
        <v>3958040</v>
      </c>
      <c r="G34" s="55">
        <f t="shared" si="2"/>
        <v>435000</v>
      </c>
      <c r="H34" s="83"/>
      <c r="I34" s="84" t="s">
        <v>81</v>
      </c>
      <c r="K34" s="91">
        <v>-3958040.0</v>
      </c>
      <c r="L34" s="86" t="s">
        <v>82</v>
      </c>
      <c r="M34" s="45"/>
      <c r="N34" s="45"/>
      <c r="O34" s="45"/>
      <c r="P34" s="45"/>
      <c r="Q34" s="45"/>
      <c r="R34" s="45"/>
      <c r="S34" s="45"/>
    </row>
    <row r="35">
      <c r="A35" s="110" t="s">
        <v>48</v>
      </c>
      <c r="B35" s="111" t="s">
        <v>69</v>
      </c>
      <c r="C35" s="112">
        <v>275000.0</v>
      </c>
      <c r="D35" s="113">
        <v>90000.0</v>
      </c>
      <c r="E35" s="114"/>
      <c r="F35" s="115">
        <f t="shared" si="1"/>
        <v>90000</v>
      </c>
      <c r="G35" s="116">
        <f t="shared" si="2"/>
        <v>185000</v>
      </c>
      <c r="H35" s="106">
        <f>G35</f>
        <v>185000</v>
      </c>
      <c r="I35" s="45"/>
      <c r="J35" s="45"/>
      <c r="K35" s="106"/>
      <c r="L35" s="73"/>
      <c r="M35" s="45"/>
      <c r="N35" s="45"/>
      <c r="O35" s="45"/>
      <c r="P35" s="45"/>
      <c r="Q35" s="45"/>
      <c r="R35" s="45"/>
      <c r="S35" s="45"/>
    </row>
    <row r="36">
      <c r="A36" s="117" t="s">
        <v>83</v>
      </c>
      <c r="B36" s="118" t="s">
        <v>84</v>
      </c>
      <c r="C36" s="65">
        <v>1.2960375E7</v>
      </c>
      <c r="D36" s="66"/>
      <c r="E36" s="66"/>
      <c r="F36" s="68">
        <f t="shared" si="1"/>
        <v>0</v>
      </c>
      <c r="G36" s="69">
        <f t="shared" si="2"/>
        <v>12960375</v>
      </c>
      <c r="H36" s="70">
        <f>SUM(G36:G38)</f>
        <v>16048151.9</v>
      </c>
      <c r="I36" s="45"/>
      <c r="J36" s="45"/>
      <c r="K36" s="106"/>
      <c r="L36" s="73"/>
      <c r="M36" s="45"/>
      <c r="N36" s="45"/>
      <c r="O36" s="45"/>
      <c r="P36" s="45"/>
      <c r="Q36" s="45"/>
      <c r="R36" s="45"/>
      <c r="S36" s="45"/>
    </row>
    <row r="37">
      <c r="A37" s="74"/>
      <c r="B37" s="84" t="s">
        <v>85</v>
      </c>
      <c r="C37" s="75">
        <v>1671588.9</v>
      </c>
      <c r="D37" s="76"/>
      <c r="E37" s="76"/>
      <c r="F37" s="51">
        <f t="shared" si="1"/>
        <v>0</v>
      </c>
      <c r="G37" s="52">
        <f t="shared" si="2"/>
        <v>1671588.9</v>
      </c>
      <c r="H37" s="77"/>
      <c r="I37" s="45"/>
      <c r="J37" s="45"/>
      <c r="K37" s="106"/>
      <c r="L37" s="73"/>
      <c r="M37" s="45"/>
      <c r="N37" s="45"/>
      <c r="O37" s="45"/>
      <c r="P37" s="45"/>
      <c r="Q37" s="45"/>
      <c r="R37" s="45"/>
      <c r="S37" s="45"/>
    </row>
    <row r="38">
      <c r="A38" s="79"/>
      <c r="B38" s="108" t="s">
        <v>86</v>
      </c>
      <c r="C38" s="80">
        <v>1416188.0</v>
      </c>
      <c r="D38" s="82"/>
      <c r="E38" s="82"/>
      <c r="F38" s="54">
        <f t="shared" si="1"/>
        <v>0</v>
      </c>
      <c r="G38" s="55">
        <f t="shared" si="2"/>
        <v>1416188</v>
      </c>
      <c r="H38" s="83"/>
      <c r="I38" s="45"/>
      <c r="J38" s="84" t="s">
        <v>87</v>
      </c>
      <c r="K38" s="85"/>
      <c r="L38" s="73"/>
      <c r="M38" s="45"/>
      <c r="N38" s="45"/>
      <c r="O38" s="45"/>
      <c r="P38" s="45"/>
      <c r="Q38" s="45"/>
      <c r="R38" s="45"/>
      <c r="S38" s="45"/>
    </row>
    <row r="39">
      <c r="A39" s="117" t="s">
        <v>47</v>
      </c>
      <c r="B39" s="118" t="s">
        <v>66</v>
      </c>
      <c r="C39" s="65">
        <v>1860000.0</v>
      </c>
      <c r="D39" s="66"/>
      <c r="E39" s="66"/>
      <c r="F39" s="68">
        <f t="shared" si="1"/>
        <v>0</v>
      </c>
      <c r="G39" s="69">
        <f t="shared" si="2"/>
        <v>1860000</v>
      </c>
      <c r="H39" s="70">
        <f>SUM(G39:G40)</f>
        <v>7930876.16</v>
      </c>
      <c r="I39" s="45"/>
      <c r="J39" s="45"/>
      <c r="K39" s="85">
        <v>930000.0</v>
      </c>
      <c r="L39" s="86" t="s">
        <v>88</v>
      </c>
      <c r="M39" s="45"/>
      <c r="N39" s="45"/>
      <c r="O39" s="45"/>
      <c r="P39" s="45"/>
      <c r="Q39" s="45"/>
      <c r="R39" s="45"/>
      <c r="S39" s="45"/>
    </row>
    <row r="40">
      <c r="A40" s="79"/>
      <c r="B40" s="108" t="s">
        <v>86</v>
      </c>
      <c r="C40" s="80">
        <v>8570876.16</v>
      </c>
      <c r="D40" s="96">
        <v>2500000.0</v>
      </c>
      <c r="E40" s="82"/>
      <c r="F40" s="97">
        <f t="shared" si="1"/>
        <v>2500000</v>
      </c>
      <c r="G40" s="55">
        <f t="shared" si="2"/>
        <v>6070876.16</v>
      </c>
      <c r="H40" s="83"/>
      <c r="I40" s="45"/>
      <c r="J40" s="45"/>
      <c r="K40" s="85">
        <v>2500000.0</v>
      </c>
      <c r="L40" s="86" t="s">
        <v>89</v>
      </c>
      <c r="M40" s="45"/>
      <c r="N40" s="45"/>
      <c r="O40" s="45"/>
      <c r="P40" s="45"/>
      <c r="Q40" s="45"/>
      <c r="R40" s="45"/>
      <c r="S40" s="45"/>
    </row>
    <row r="41">
      <c r="A41" s="117" t="s">
        <v>46</v>
      </c>
      <c r="B41" s="118" t="s">
        <v>66</v>
      </c>
      <c r="C41" s="65">
        <v>930000.0</v>
      </c>
      <c r="D41" s="66"/>
      <c r="E41" s="66"/>
      <c r="F41" s="68">
        <f t="shared" si="1"/>
        <v>0</v>
      </c>
      <c r="G41" s="69">
        <f t="shared" si="2"/>
        <v>930000</v>
      </c>
      <c r="H41" s="70">
        <f>SUM(G41:G43)</f>
        <v>7942753.59</v>
      </c>
      <c r="I41" s="45"/>
      <c r="J41" s="45"/>
      <c r="K41" s="106"/>
      <c r="L41" s="73"/>
      <c r="M41" s="45"/>
      <c r="N41" s="45"/>
      <c r="O41" s="45"/>
      <c r="P41" s="45"/>
      <c r="Q41" s="45"/>
      <c r="R41" s="45"/>
      <c r="S41" s="45"/>
    </row>
    <row r="42">
      <c r="A42" s="74"/>
      <c r="B42" s="84" t="s">
        <v>69</v>
      </c>
      <c r="C42" s="75">
        <v>1612753.59</v>
      </c>
      <c r="D42" s="76"/>
      <c r="E42" s="76"/>
      <c r="F42" s="51">
        <f t="shared" si="1"/>
        <v>0</v>
      </c>
      <c r="G42" s="52">
        <f t="shared" si="2"/>
        <v>1612753.59</v>
      </c>
      <c r="H42" s="77"/>
      <c r="I42" s="45"/>
      <c r="J42" s="45"/>
      <c r="K42" s="106"/>
      <c r="L42" s="73"/>
      <c r="M42" s="45"/>
      <c r="N42" s="45"/>
      <c r="O42" s="45"/>
      <c r="P42" s="45"/>
      <c r="Q42" s="45"/>
      <c r="R42" s="45"/>
      <c r="S42" s="45"/>
    </row>
    <row r="43">
      <c r="A43" s="79"/>
      <c r="B43" s="108" t="s">
        <v>79</v>
      </c>
      <c r="C43" s="80">
        <v>5400000.0</v>
      </c>
      <c r="D43" s="82"/>
      <c r="E43" s="82"/>
      <c r="F43" s="54">
        <f t="shared" si="1"/>
        <v>0</v>
      </c>
      <c r="G43" s="55">
        <f t="shared" si="2"/>
        <v>5400000</v>
      </c>
      <c r="H43" s="83"/>
      <c r="I43" s="45"/>
      <c r="J43" s="45"/>
      <c r="K43" s="106"/>
      <c r="L43" s="73"/>
      <c r="M43" s="45"/>
      <c r="N43" s="45"/>
      <c r="O43" s="45"/>
      <c r="P43" s="45"/>
      <c r="Q43" s="45"/>
      <c r="R43" s="45"/>
      <c r="S43" s="45"/>
    </row>
    <row r="44">
      <c r="A44" s="117" t="s">
        <v>90</v>
      </c>
      <c r="B44" s="118" t="s">
        <v>91</v>
      </c>
      <c r="C44" s="65">
        <v>2.209947E7</v>
      </c>
      <c r="D44" s="76"/>
      <c r="E44" s="66"/>
      <c r="F44" s="68">
        <f t="shared" si="1"/>
        <v>0</v>
      </c>
      <c r="G44" s="69">
        <f t="shared" si="2"/>
        <v>22099470</v>
      </c>
      <c r="H44" s="70">
        <f>SUM(G44:G45)</f>
        <v>19926558.2</v>
      </c>
      <c r="I44" s="84" t="s">
        <v>92</v>
      </c>
      <c r="J44" s="45"/>
      <c r="K44" s="106"/>
      <c r="L44" s="73"/>
      <c r="M44" s="45"/>
      <c r="N44" s="45"/>
      <c r="O44" s="45"/>
      <c r="P44" s="45"/>
      <c r="Q44" s="45"/>
      <c r="R44" s="45"/>
      <c r="S44" s="45"/>
    </row>
    <row r="45">
      <c r="A45" s="79"/>
      <c r="B45" s="108" t="s">
        <v>93</v>
      </c>
      <c r="C45" s="80">
        <f>134088.2</f>
        <v>134088.2</v>
      </c>
      <c r="D45" s="82"/>
      <c r="E45" s="96">
        <v>2307000.0</v>
      </c>
      <c r="F45" s="97">
        <f t="shared" si="1"/>
        <v>2307000</v>
      </c>
      <c r="G45" s="55">
        <f t="shared" si="2"/>
        <v>-2172911.8</v>
      </c>
      <c r="H45" s="83"/>
      <c r="I45" s="84" t="s">
        <v>94</v>
      </c>
      <c r="J45" s="45"/>
      <c r="K45" s="91">
        <v>-2307000.0</v>
      </c>
      <c r="L45" s="86" t="s">
        <v>96</v>
      </c>
      <c r="M45" s="45"/>
      <c r="N45" s="45"/>
      <c r="O45" s="45"/>
      <c r="P45" s="45"/>
      <c r="Q45" s="45"/>
      <c r="R45" s="45"/>
      <c r="S45" s="45"/>
    </row>
    <row r="46">
      <c r="A46" s="110" t="s">
        <v>97</v>
      </c>
      <c r="B46" s="111" t="s">
        <v>69</v>
      </c>
      <c r="C46" s="112">
        <v>82000.0</v>
      </c>
      <c r="D46" s="114"/>
      <c r="E46" s="114"/>
      <c r="F46" s="122">
        <f t="shared" si="1"/>
        <v>0</v>
      </c>
      <c r="G46" s="116">
        <f t="shared" si="2"/>
        <v>82000</v>
      </c>
      <c r="H46" s="106">
        <f>G46</f>
        <v>82000</v>
      </c>
      <c r="I46" s="45"/>
      <c r="J46" s="45"/>
      <c r="K46" s="85">
        <v>82000.0</v>
      </c>
      <c r="L46" s="86" t="s">
        <v>98</v>
      </c>
      <c r="M46" s="45"/>
      <c r="N46" s="45"/>
      <c r="O46" s="45"/>
      <c r="P46" s="45"/>
      <c r="Q46" s="45"/>
      <c r="R46" s="45"/>
      <c r="S46" s="45"/>
    </row>
    <row r="47">
      <c r="A47" s="117" t="s">
        <v>99</v>
      </c>
      <c r="B47" s="118" t="s">
        <v>100</v>
      </c>
      <c r="C47" s="65">
        <f>2586344.13-850350.75</f>
        <v>1735993.38</v>
      </c>
      <c r="D47" s="87">
        <v>1572994.77</v>
      </c>
      <c r="E47" s="66"/>
      <c r="F47" s="89">
        <f t="shared" si="1"/>
        <v>1572994.77</v>
      </c>
      <c r="G47" s="69">
        <f t="shared" si="2"/>
        <v>162998.61</v>
      </c>
      <c r="H47" s="70">
        <f>SUM(G47:G48)</f>
        <v>919762.79</v>
      </c>
      <c r="I47" s="84" t="s">
        <v>101</v>
      </c>
      <c r="J47" s="45"/>
      <c r="K47" s="91">
        <v>-1572994.77</v>
      </c>
      <c r="L47" s="86" t="s">
        <v>102</v>
      </c>
      <c r="M47" s="45"/>
      <c r="N47" s="45"/>
      <c r="O47" s="45"/>
      <c r="P47" s="45"/>
      <c r="Q47" s="45"/>
      <c r="R47" s="45"/>
      <c r="S47" s="45"/>
    </row>
    <row r="48">
      <c r="A48" s="79"/>
      <c r="B48" s="108" t="s">
        <v>103</v>
      </c>
      <c r="C48" s="80">
        <v>756764.18</v>
      </c>
      <c r="D48" s="82"/>
      <c r="E48" s="82"/>
      <c r="F48" s="54">
        <f t="shared" si="1"/>
        <v>0</v>
      </c>
      <c r="G48" s="55">
        <f t="shared" si="2"/>
        <v>756764.18</v>
      </c>
      <c r="H48" s="83"/>
      <c r="I48" s="45"/>
      <c r="J48" s="45"/>
      <c r="K48" s="106"/>
      <c r="L48" s="73"/>
      <c r="M48" s="45"/>
      <c r="N48" s="45"/>
      <c r="O48" s="45"/>
      <c r="P48" s="45"/>
      <c r="Q48" s="45"/>
      <c r="R48" s="45"/>
      <c r="S48" s="45"/>
    </row>
    <row r="49">
      <c r="A49" s="110" t="s">
        <v>104</v>
      </c>
      <c r="B49" s="111" t="s">
        <v>93</v>
      </c>
      <c r="C49" s="112">
        <v>728000.0</v>
      </c>
      <c r="D49" s="113">
        <v>538000.0</v>
      </c>
      <c r="E49" s="114"/>
      <c r="F49" s="115">
        <f t="shared" si="1"/>
        <v>538000</v>
      </c>
      <c r="G49" s="116">
        <f t="shared" si="2"/>
        <v>190000</v>
      </c>
      <c r="H49" s="106">
        <f>G49</f>
        <v>190000</v>
      </c>
      <c r="I49" s="84" t="s">
        <v>105</v>
      </c>
      <c r="J49" s="45"/>
      <c r="K49" s="91">
        <v>-538000.0</v>
      </c>
      <c r="L49" s="86" t="s">
        <v>106</v>
      </c>
      <c r="M49" s="45"/>
      <c r="N49" s="45"/>
      <c r="O49" s="45"/>
      <c r="P49" s="45"/>
      <c r="Q49" s="45"/>
      <c r="R49" s="45"/>
      <c r="S49" s="45"/>
    </row>
    <row r="50">
      <c r="A50" s="117" t="s">
        <v>107</v>
      </c>
      <c r="B50" s="118" t="s">
        <v>108</v>
      </c>
      <c r="C50" s="65">
        <v>2367474.48</v>
      </c>
      <c r="D50" s="66"/>
      <c r="E50" s="66"/>
      <c r="F50" s="68">
        <f t="shared" si="1"/>
        <v>0</v>
      </c>
      <c r="G50" s="69">
        <f t="shared" si="2"/>
        <v>2367474.48</v>
      </c>
      <c r="H50" s="70">
        <f>SUM(G50:G51)</f>
        <v>7398166.2</v>
      </c>
      <c r="I50" s="45"/>
      <c r="J50" s="45"/>
      <c r="K50" s="106"/>
      <c r="L50" s="73"/>
      <c r="M50" s="45"/>
      <c r="N50" s="45"/>
      <c r="O50" s="45"/>
      <c r="P50" s="45"/>
      <c r="Q50" s="45"/>
      <c r="R50" s="45"/>
      <c r="S50" s="45"/>
    </row>
    <row r="51">
      <c r="A51" s="79"/>
      <c r="B51" s="108" t="s">
        <v>93</v>
      </c>
      <c r="C51" s="80">
        <v>9878721.34</v>
      </c>
      <c r="D51" s="96">
        <v>4848029.62</v>
      </c>
      <c r="E51" s="82"/>
      <c r="F51" s="97">
        <f t="shared" si="1"/>
        <v>4848029.62</v>
      </c>
      <c r="G51" s="55">
        <f t="shared" si="2"/>
        <v>5030691.72</v>
      </c>
      <c r="H51" s="83"/>
      <c r="I51" s="45"/>
      <c r="J51" s="45"/>
      <c r="K51" s="106"/>
      <c r="L51" s="73"/>
      <c r="M51" s="45"/>
      <c r="N51" s="45"/>
      <c r="O51" s="45"/>
      <c r="P51" s="45"/>
      <c r="Q51" s="45"/>
      <c r="R51" s="45"/>
      <c r="S51" s="45"/>
    </row>
    <row r="52">
      <c r="A52" s="45"/>
      <c r="B52" s="45"/>
      <c r="C52" s="45"/>
      <c r="D52" s="45"/>
      <c r="E52" s="45"/>
      <c r="F52" s="45"/>
      <c r="G52" s="45"/>
      <c r="H52" s="45"/>
      <c r="I52" s="45"/>
      <c r="J52" s="45"/>
      <c r="K52" s="106"/>
      <c r="L52" s="73"/>
      <c r="M52" s="45"/>
      <c r="N52" s="45"/>
      <c r="O52" s="45"/>
      <c r="P52" s="45"/>
      <c r="Q52" s="45"/>
      <c r="R52" s="45"/>
      <c r="S52" s="45"/>
    </row>
    <row r="53">
      <c r="A53" s="45"/>
      <c r="B53" s="45"/>
      <c r="C53" s="45"/>
      <c r="D53" s="45"/>
      <c r="E53" s="45"/>
      <c r="F53" s="45"/>
      <c r="G53" s="45"/>
      <c r="H53" s="45"/>
      <c r="I53" s="45"/>
      <c r="J53" s="45"/>
      <c r="K53" s="106"/>
      <c r="L53" s="73"/>
      <c r="M53" s="45"/>
      <c r="N53" s="45"/>
      <c r="O53" s="45"/>
      <c r="P53" s="45"/>
      <c r="Q53" s="45"/>
      <c r="R53" s="45"/>
      <c r="S53" s="45"/>
    </row>
    <row r="54">
      <c r="A54" s="56" t="s">
        <v>109</v>
      </c>
      <c r="B54" s="57" t="s">
        <v>41</v>
      </c>
      <c r="C54" s="57" t="s">
        <v>53</v>
      </c>
      <c r="D54" s="58" t="s">
        <v>56</v>
      </c>
      <c r="E54" s="45"/>
      <c r="F54" s="45"/>
      <c r="G54" s="45"/>
      <c r="H54" s="45"/>
      <c r="I54" s="45"/>
      <c r="J54" s="45"/>
      <c r="K54" s="106"/>
      <c r="L54" s="73"/>
      <c r="M54" s="45"/>
      <c r="N54" s="45"/>
      <c r="O54" s="45"/>
      <c r="P54" s="45"/>
      <c r="Q54" s="45"/>
      <c r="R54" s="45"/>
      <c r="S54" s="45"/>
    </row>
    <row r="55">
      <c r="A55" s="125" t="s">
        <v>110</v>
      </c>
      <c r="B55" s="75">
        <v>8217260.18</v>
      </c>
      <c r="C55" s="126">
        <v>7108993.0</v>
      </c>
      <c r="D55" s="52">
        <f t="shared" ref="D55:D56" si="3">B55-C55</f>
        <v>1108267.18</v>
      </c>
      <c r="E55" s="45"/>
      <c r="F55" s="45"/>
      <c r="G55" s="45"/>
      <c r="H55" s="45"/>
      <c r="I55" s="45"/>
      <c r="J55" s="45"/>
      <c r="K55" s="106"/>
      <c r="L55" s="73"/>
      <c r="M55" s="45"/>
      <c r="N55" s="45"/>
      <c r="O55" s="45"/>
      <c r="P55" s="45"/>
      <c r="Q55" s="45"/>
      <c r="R55" s="45"/>
      <c r="S55" s="45"/>
    </row>
    <row r="56">
      <c r="A56" s="125" t="s">
        <v>111</v>
      </c>
      <c r="B56" s="75">
        <v>9500000.0</v>
      </c>
      <c r="C56" s="126">
        <v>5000000.0</v>
      </c>
      <c r="D56" s="52">
        <f t="shared" si="3"/>
        <v>4500000</v>
      </c>
      <c r="E56" s="45"/>
      <c r="F56" s="45"/>
      <c r="G56" s="45"/>
      <c r="H56" s="45"/>
      <c r="I56" s="45"/>
      <c r="J56" s="45"/>
      <c r="K56" s="106"/>
      <c r="L56" s="73"/>
      <c r="M56" s="45"/>
      <c r="N56" s="45"/>
      <c r="O56" s="45"/>
      <c r="P56" s="45"/>
      <c r="Q56" s="45"/>
      <c r="R56" s="45"/>
      <c r="S56" s="45"/>
    </row>
    <row r="57">
      <c r="A57" s="56" t="s">
        <v>112</v>
      </c>
      <c r="B57" s="57"/>
      <c r="C57" s="127"/>
      <c r="D57" s="58"/>
      <c r="E57" s="45"/>
      <c r="F57" s="45"/>
      <c r="G57" s="45"/>
      <c r="H57" s="45"/>
      <c r="I57" s="45"/>
      <c r="J57" s="45"/>
      <c r="K57" s="106"/>
      <c r="L57" s="73"/>
      <c r="M57" s="45"/>
      <c r="N57" s="45"/>
      <c r="O57" s="45"/>
      <c r="P57" s="45"/>
      <c r="Q57" s="45"/>
      <c r="R57" s="45"/>
      <c r="S57" s="45"/>
    </row>
    <row r="58">
      <c r="A58" s="125" t="s">
        <v>113</v>
      </c>
      <c r="B58" s="75">
        <v>2.2028E7</v>
      </c>
      <c r="C58" s="126">
        <v>3000000.0</v>
      </c>
      <c r="D58" s="52">
        <f t="shared" ref="D58:D59" si="4">B58-C58</f>
        <v>19028000</v>
      </c>
      <c r="E58" s="45"/>
      <c r="F58" s="45"/>
      <c r="G58" s="45"/>
      <c r="H58" s="45"/>
      <c r="I58" s="45"/>
      <c r="J58" s="84"/>
      <c r="K58" s="91">
        <v>-3000000.0</v>
      </c>
      <c r="L58" s="86" t="s">
        <v>114</v>
      </c>
      <c r="M58" s="45"/>
      <c r="N58" s="45"/>
      <c r="O58" s="45"/>
      <c r="P58" s="45"/>
      <c r="Q58" s="45"/>
      <c r="R58" s="45"/>
      <c r="S58" s="45"/>
    </row>
    <row r="59">
      <c r="A59" s="128" t="s">
        <v>44</v>
      </c>
      <c r="B59" s="80">
        <v>1.03E7</v>
      </c>
      <c r="C59" s="129">
        <v>2800000.0</v>
      </c>
      <c r="D59" s="55">
        <f t="shared" si="4"/>
        <v>7500000</v>
      </c>
      <c r="E59" s="84"/>
      <c r="F59" s="45"/>
      <c r="G59" s="45"/>
      <c r="H59" s="45"/>
      <c r="I59" s="45"/>
      <c r="J59" s="45"/>
      <c r="K59" s="85">
        <f>4700000+2800000</f>
        <v>7500000</v>
      </c>
      <c r="L59" s="86" t="s">
        <v>115</v>
      </c>
      <c r="M59" s="45"/>
      <c r="N59" s="45"/>
      <c r="O59" s="45"/>
      <c r="P59" s="45"/>
      <c r="Q59" s="45"/>
      <c r="R59" s="45"/>
      <c r="S59" s="45"/>
    </row>
    <row r="60">
      <c r="A60" s="84" t="s">
        <v>116</v>
      </c>
      <c r="B60" s="45"/>
      <c r="C60" s="45"/>
      <c r="D60" s="45"/>
      <c r="E60" s="84"/>
      <c r="F60" s="45"/>
      <c r="G60" s="45"/>
      <c r="H60" s="45"/>
      <c r="I60" s="45"/>
      <c r="J60" s="84"/>
      <c r="K60" s="85">
        <v>4500000.0</v>
      </c>
      <c r="L60" s="86" t="s">
        <v>117</v>
      </c>
      <c r="M60" s="45"/>
      <c r="N60" s="45"/>
      <c r="O60" s="45"/>
      <c r="P60" s="45"/>
      <c r="Q60" s="45"/>
      <c r="R60" s="45"/>
      <c r="S60" s="45"/>
    </row>
    <row r="61">
      <c r="A61" s="84" t="s">
        <v>118</v>
      </c>
      <c r="B61" s="45"/>
      <c r="C61" s="45"/>
      <c r="D61" s="45"/>
      <c r="E61" s="45"/>
      <c r="F61" s="45"/>
      <c r="G61" s="45"/>
      <c r="H61" s="45"/>
      <c r="I61" s="45"/>
      <c r="J61" s="45"/>
      <c r="K61" s="85">
        <v>1800000.0</v>
      </c>
      <c r="L61" s="86" t="s">
        <v>119</v>
      </c>
      <c r="M61" s="45"/>
      <c r="N61" s="45"/>
      <c r="O61" s="45"/>
      <c r="P61" s="45"/>
      <c r="Q61" s="45"/>
      <c r="R61" s="45"/>
      <c r="S61" s="45"/>
    </row>
    <row r="62">
      <c r="A62" s="45"/>
      <c r="B62" s="45"/>
      <c r="C62" s="45"/>
      <c r="D62" s="45"/>
      <c r="E62" s="45"/>
      <c r="F62" s="45"/>
      <c r="G62" s="45"/>
      <c r="H62" s="45"/>
      <c r="I62" s="45"/>
      <c r="J62" s="45"/>
      <c r="K62" s="45"/>
      <c r="L62" s="46"/>
      <c r="M62" s="45"/>
      <c r="N62" s="45"/>
      <c r="O62" s="45"/>
      <c r="P62" s="45"/>
      <c r="Q62" s="45"/>
      <c r="R62" s="45"/>
      <c r="S62" s="45"/>
    </row>
    <row r="63">
      <c r="A63" s="45"/>
      <c r="B63" s="45"/>
      <c r="C63" s="45"/>
      <c r="D63" s="45"/>
      <c r="E63" s="45"/>
      <c r="F63" s="45"/>
      <c r="G63" s="45"/>
      <c r="H63" s="45"/>
      <c r="I63" s="45"/>
      <c r="J63" s="45"/>
      <c r="K63" s="45"/>
      <c r="L63" s="46"/>
      <c r="M63" s="45"/>
      <c r="N63" s="45"/>
      <c r="O63" s="45"/>
      <c r="P63" s="45"/>
      <c r="Q63" s="45"/>
      <c r="R63" s="45"/>
      <c r="S63" s="45"/>
    </row>
    <row r="64">
      <c r="A64" s="45"/>
      <c r="B64" s="45"/>
      <c r="C64" s="45"/>
      <c r="D64" s="45"/>
      <c r="E64" s="45"/>
      <c r="F64" s="45"/>
      <c r="G64" s="45"/>
      <c r="H64" s="45"/>
      <c r="I64" s="45"/>
      <c r="J64" s="45"/>
      <c r="K64" s="45"/>
      <c r="L64" s="46"/>
      <c r="M64" s="45"/>
      <c r="N64" s="45"/>
      <c r="O64" s="45"/>
      <c r="P64" s="45"/>
      <c r="Q64" s="45"/>
      <c r="R64" s="45"/>
      <c r="S64" s="45"/>
    </row>
    <row r="65">
      <c r="A65" s="45"/>
      <c r="B65" s="45"/>
      <c r="C65" s="45"/>
      <c r="D65" s="45"/>
      <c r="E65" s="45"/>
      <c r="F65" s="45"/>
      <c r="G65" s="45"/>
      <c r="H65" s="45"/>
      <c r="I65" s="45"/>
      <c r="J65" s="45"/>
      <c r="K65" s="45"/>
      <c r="L65" s="46"/>
      <c r="M65" s="45"/>
      <c r="N65" s="45"/>
      <c r="O65" s="45"/>
      <c r="P65" s="45"/>
      <c r="Q65" s="45"/>
      <c r="R65" s="45"/>
      <c r="S65" s="45"/>
    </row>
    <row r="66">
      <c r="A66" s="130"/>
      <c r="B66" s="131" t="s">
        <v>120</v>
      </c>
      <c r="C66" s="131" t="s">
        <v>121</v>
      </c>
      <c r="D66" s="131" t="s">
        <v>122</v>
      </c>
      <c r="E66" s="45"/>
      <c r="F66" s="45"/>
      <c r="G66" s="45"/>
      <c r="H66" s="45"/>
      <c r="I66" s="45"/>
      <c r="J66" s="45"/>
      <c r="K66" s="45"/>
      <c r="L66" s="46"/>
      <c r="M66" s="45"/>
      <c r="N66" s="45"/>
      <c r="O66" s="45"/>
      <c r="P66" s="45"/>
      <c r="Q66" s="45"/>
      <c r="R66" s="45"/>
      <c r="S66" s="45"/>
    </row>
    <row r="67">
      <c r="A67" s="132" t="s">
        <v>39</v>
      </c>
      <c r="B67" s="133" t="s">
        <v>123</v>
      </c>
      <c r="C67" s="134" t="s">
        <v>124</v>
      </c>
      <c r="D67" s="135" t="s">
        <v>125</v>
      </c>
      <c r="E67" s="45"/>
      <c r="F67" s="45"/>
      <c r="G67" s="45"/>
      <c r="H67" s="45"/>
      <c r="I67" s="45"/>
      <c r="J67" s="45"/>
      <c r="K67" s="45"/>
      <c r="L67" s="46"/>
      <c r="M67" s="45"/>
      <c r="N67" s="45"/>
      <c r="O67" s="45"/>
      <c r="P67" s="45"/>
      <c r="Q67" s="45"/>
      <c r="R67" s="45"/>
      <c r="S67" s="45"/>
    </row>
    <row r="68">
      <c r="A68" s="133" t="s">
        <v>126</v>
      </c>
      <c r="B68" s="133" t="s">
        <v>127</v>
      </c>
      <c r="C68" s="134" t="s">
        <v>128</v>
      </c>
      <c r="D68" s="135" t="s">
        <v>129</v>
      </c>
      <c r="E68" s="45"/>
      <c r="F68" s="45"/>
      <c r="G68" s="45"/>
      <c r="H68" s="45"/>
      <c r="I68" s="45"/>
      <c r="J68" s="45"/>
      <c r="K68" s="45"/>
      <c r="L68" s="46"/>
      <c r="M68" s="45"/>
      <c r="N68" s="45"/>
      <c r="O68" s="45"/>
      <c r="P68" s="45"/>
      <c r="Q68" s="45"/>
      <c r="R68" s="45"/>
      <c r="S68" s="45"/>
    </row>
    <row r="69">
      <c r="A69" s="132" t="s">
        <v>44</v>
      </c>
      <c r="B69" s="133" t="s">
        <v>130</v>
      </c>
      <c r="C69" s="136" t="s">
        <v>131</v>
      </c>
      <c r="D69" s="135" t="s">
        <v>132</v>
      </c>
      <c r="E69" s="45"/>
      <c r="F69" s="45"/>
      <c r="G69" s="45"/>
      <c r="H69" s="45"/>
      <c r="I69" s="45"/>
      <c r="J69" s="45"/>
      <c r="K69" s="45"/>
      <c r="L69" s="46"/>
      <c r="M69" s="45"/>
      <c r="N69" s="45"/>
      <c r="O69" s="45"/>
      <c r="P69" s="45"/>
      <c r="Q69" s="45"/>
      <c r="R69" s="45"/>
      <c r="S69" s="45"/>
    </row>
    <row r="70">
      <c r="A70" s="132" t="s">
        <v>45</v>
      </c>
      <c r="B70" s="138" t="s">
        <v>133</v>
      </c>
      <c r="C70" s="136" t="s">
        <v>134</v>
      </c>
      <c r="D70" s="139" t="s">
        <v>135</v>
      </c>
      <c r="E70" s="45"/>
      <c r="F70" s="45"/>
      <c r="G70" s="45"/>
      <c r="H70" s="45"/>
      <c r="I70" s="45"/>
      <c r="J70" s="45"/>
      <c r="K70" s="45"/>
      <c r="L70" s="46"/>
      <c r="M70" s="45"/>
      <c r="N70" s="45"/>
      <c r="O70" s="45"/>
      <c r="P70" s="45"/>
      <c r="Q70" s="45"/>
      <c r="R70" s="45"/>
      <c r="S70" s="45"/>
    </row>
    <row r="71">
      <c r="A71" s="132" t="s">
        <v>46</v>
      </c>
      <c r="B71" s="138" t="s">
        <v>136</v>
      </c>
      <c r="C71" s="140" t="s">
        <v>137</v>
      </c>
      <c r="D71" s="135" t="s">
        <v>138</v>
      </c>
      <c r="E71" s="45"/>
      <c r="F71" s="45"/>
      <c r="G71" s="45"/>
      <c r="H71" s="45"/>
      <c r="I71" s="45"/>
      <c r="J71" s="45"/>
      <c r="K71" s="45"/>
      <c r="L71" s="46"/>
      <c r="M71" s="45"/>
      <c r="N71" s="45"/>
      <c r="O71" s="45"/>
      <c r="P71" s="45"/>
      <c r="Q71" s="45"/>
      <c r="R71" s="45"/>
      <c r="S71" s="45"/>
    </row>
    <row r="72">
      <c r="A72" s="132" t="s">
        <v>47</v>
      </c>
      <c r="B72" s="130"/>
      <c r="C72" s="136" t="s">
        <v>139</v>
      </c>
      <c r="D72" s="139" t="s">
        <v>140</v>
      </c>
      <c r="E72" s="45"/>
      <c r="F72" s="45"/>
      <c r="G72" s="45"/>
      <c r="H72" s="45"/>
      <c r="I72" s="45"/>
      <c r="J72" s="45"/>
      <c r="K72" s="45"/>
      <c r="L72" s="46"/>
      <c r="M72" s="45"/>
      <c r="N72" s="45"/>
      <c r="O72" s="45"/>
      <c r="P72" s="45"/>
      <c r="Q72" s="45"/>
      <c r="R72" s="45"/>
      <c r="S72" s="45"/>
    </row>
    <row r="73">
      <c r="A73" s="132" t="s">
        <v>48</v>
      </c>
      <c r="B73" s="130"/>
      <c r="C73" s="140" t="s">
        <v>141</v>
      </c>
      <c r="D73" s="141" t="s">
        <v>141</v>
      </c>
      <c r="E73" s="45"/>
      <c r="F73" s="45"/>
      <c r="G73" s="45"/>
      <c r="H73" s="45"/>
      <c r="I73" s="45"/>
      <c r="J73" s="45"/>
      <c r="K73" s="45"/>
      <c r="L73" s="46"/>
      <c r="M73" s="45"/>
      <c r="N73" s="45"/>
      <c r="O73" s="45"/>
      <c r="P73" s="45"/>
      <c r="Q73" s="45"/>
      <c r="R73" s="45"/>
      <c r="S73" s="45"/>
    </row>
    <row r="74">
      <c r="A74" s="132" t="s">
        <v>83</v>
      </c>
      <c r="B74" s="130"/>
      <c r="C74" s="142"/>
      <c r="D74" s="143"/>
      <c r="E74" s="45"/>
      <c r="F74" s="45"/>
      <c r="G74" s="45"/>
      <c r="H74" s="45"/>
      <c r="I74" s="45"/>
      <c r="J74" s="45"/>
      <c r="K74" s="45"/>
      <c r="L74" s="46"/>
      <c r="M74" s="45"/>
      <c r="N74" s="45"/>
      <c r="O74" s="45"/>
      <c r="P74" s="45"/>
      <c r="Q74" s="45"/>
      <c r="R74" s="45"/>
      <c r="S74" s="45"/>
    </row>
    <row r="75">
      <c r="A75" s="132" t="s">
        <v>50</v>
      </c>
      <c r="B75" s="130"/>
      <c r="C75" s="136" t="s">
        <v>142</v>
      </c>
      <c r="D75" s="139" t="s">
        <v>143</v>
      </c>
      <c r="E75" s="45"/>
      <c r="F75" s="45"/>
      <c r="G75" s="45"/>
      <c r="H75" s="45"/>
      <c r="I75" s="45"/>
      <c r="J75" s="45"/>
      <c r="K75" s="45"/>
      <c r="L75" s="46"/>
      <c r="M75" s="45"/>
      <c r="N75" s="45"/>
      <c r="O75" s="45"/>
      <c r="P75" s="45"/>
      <c r="Q75" s="45"/>
      <c r="R75" s="45"/>
      <c r="S75" s="45"/>
    </row>
    <row r="76">
      <c r="A76" s="45"/>
      <c r="B76" s="45"/>
      <c r="C76" s="45"/>
      <c r="D76" s="45"/>
      <c r="E76" s="45"/>
      <c r="F76" s="45"/>
      <c r="G76" s="45"/>
      <c r="H76" s="45"/>
      <c r="I76" s="45"/>
      <c r="J76" s="45"/>
      <c r="K76" s="45"/>
      <c r="L76" s="46"/>
      <c r="M76" s="45"/>
      <c r="N76" s="45"/>
      <c r="O76" s="45"/>
      <c r="P76" s="45"/>
      <c r="Q76" s="45"/>
      <c r="R76" s="45"/>
      <c r="S76" s="45"/>
    </row>
    <row r="77">
      <c r="A77" s="45"/>
      <c r="B77" s="45"/>
      <c r="C77" s="45"/>
      <c r="D77" s="45"/>
      <c r="E77" s="45"/>
      <c r="F77" s="45"/>
      <c r="G77" s="45"/>
      <c r="H77" s="45"/>
      <c r="I77" s="45"/>
      <c r="J77" s="45"/>
      <c r="K77" s="45"/>
      <c r="L77" s="46"/>
      <c r="M77" s="45"/>
      <c r="N77" s="45"/>
      <c r="O77" s="45"/>
      <c r="P77" s="45"/>
      <c r="Q77" s="45"/>
      <c r="R77" s="45"/>
      <c r="S77" s="45"/>
    </row>
    <row r="78">
      <c r="A78" s="45"/>
      <c r="B78" s="45"/>
      <c r="C78" s="45"/>
      <c r="D78" s="45"/>
      <c r="E78" s="45"/>
      <c r="F78" s="45"/>
      <c r="G78" s="45"/>
      <c r="H78" s="45"/>
      <c r="I78" s="45"/>
      <c r="J78" s="45"/>
      <c r="K78" s="45"/>
      <c r="L78" s="46"/>
      <c r="M78" s="45"/>
      <c r="N78" s="45"/>
      <c r="O78" s="45"/>
      <c r="P78" s="45"/>
      <c r="Q78" s="45"/>
      <c r="R78" s="45"/>
      <c r="S78" s="45"/>
    </row>
    <row r="79">
      <c r="A79" s="45"/>
      <c r="B79" s="45"/>
      <c r="C79" s="45"/>
      <c r="D79" s="45"/>
      <c r="E79" s="45"/>
      <c r="F79" s="45"/>
      <c r="G79" s="45"/>
      <c r="H79" s="45"/>
      <c r="I79" s="45"/>
      <c r="J79" s="45"/>
      <c r="K79" s="45"/>
      <c r="L79" s="46"/>
      <c r="M79" s="45"/>
      <c r="N79" s="45"/>
      <c r="O79" s="45"/>
      <c r="P79" s="45"/>
      <c r="Q79" s="45"/>
      <c r="R79" s="45"/>
      <c r="S79" s="45"/>
    </row>
    <row r="80">
      <c r="A80" s="45"/>
      <c r="B80" s="45"/>
      <c r="C80" s="45"/>
      <c r="D80" s="45"/>
      <c r="E80" s="45"/>
      <c r="F80" s="45"/>
      <c r="G80" s="45"/>
      <c r="H80" s="45"/>
      <c r="I80" s="45"/>
      <c r="J80" s="45"/>
      <c r="K80" s="45"/>
      <c r="L80" s="46"/>
      <c r="M80" s="45"/>
      <c r="N80" s="45"/>
      <c r="O80" s="45"/>
      <c r="P80" s="45"/>
      <c r="Q80" s="45"/>
      <c r="R80" s="45"/>
      <c r="S80" s="45"/>
    </row>
    <row r="81">
      <c r="A81" s="45"/>
      <c r="B81" s="45"/>
      <c r="C81" s="45"/>
      <c r="D81" s="45"/>
      <c r="E81" s="45"/>
      <c r="F81" s="45"/>
      <c r="G81" s="45"/>
      <c r="H81" s="45"/>
      <c r="I81" s="45"/>
      <c r="J81" s="45"/>
      <c r="K81" s="45"/>
      <c r="L81" s="46"/>
      <c r="M81" s="45"/>
      <c r="N81" s="45"/>
      <c r="O81" s="45"/>
      <c r="P81" s="45"/>
      <c r="Q81" s="45"/>
      <c r="R81" s="45"/>
      <c r="S81" s="45"/>
    </row>
    <row r="82">
      <c r="A82" s="45"/>
      <c r="B82" s="45"/>
      <c r="C82" s="45"/>
      <c r="D82" s="45"/>
      <c r="E82" s="45"/>
      <c r="F82" s="45"/>
      <c r="G82" s="45"/>
      <c r="H82" s="45"/>
      <c r="I82" s="45"/>
      <c r="J82" s="45"/>
      <c r="K82" s="45"/>
      <c r="L82" s="46"/>
      <c r="M82" s="45"/>
      <c r="N82" s="45"/>
      <c r="O82" s="45"/>
      <c r="P82" s="45"/>
      <c r="Q82" s="45"/>
      <c r="R82" s="45"/>
      <c r="S82" s="45"/>
    </row>
    <row r="83">
      <c r="A83" s="45"/>
      <c r="B83" s="45"/>
      <c r="C83" s="45"/>
      <c r="D83" s="45"/>
      <c r="E83" s="45"/>
      <c r="F83" s="45"/>
      <c r="G83" s="45"/>
      <c r="H83" s="45"/>
      <c r="I83" s="45"/>
      <c r="J83" s="45"/>
      <c r="K83" s="45"/>
      <c r="L83" s="46"/>
      <c r="M83" s="45"/>
      <c r="N83" s="45"/>
      <c r="O83" s="45"/>
      <c r="P83" s="45"/>
      <c r="Q83" s="45"/>
      <c r="R83" s="45"/>
      <c r="S83" s="45"/>
    </row>
    <row r="84">
      <c r="A84" s="45"/>
      <c r="B84" s="45"/>
      <c r="C84" s="45"/>
      <c r="D84" s="45"/>
      <c r="E84" s="45"/>
      <c r="F84" s="45"/>
      <c r="G84" s="45"/>
      <c r="H84" s="45"/>
      <c r="I84" s="45"/>
      <c r="J84" s="45"/>
      <c r="K84" s="45"/>
      <c r="L84" s="46"/>
      <c r="M84" s="45"/>
      <c r="N84" s="45"/>
      <c r="O84" s="45"/>
      <c r="P84" s="45"/>
      <c r="Q84" s="45"/>
      <c r="R84" s="45"/>
      <c r="S84" s="45"/>
    </row>
    <row r="85">
      <c r="A85" s="45"/>
      <c r="B85" s="45"/>
      <c r="C85" s="45"/>
      <c r="D85" s="45"/>
      <c r="E85" s="45"/>
      <c r="F85" s="45"/>
      <c r="G85" s="45"/>
      <c r="H85" s="45"/>
      <c r="I85" s="45"/>
      <c r="J85" s="45"/>
      <c r="K85" s="45"/>
      <c r="L85" s="46"/>
      <c r="M85" s="45"/>
      <c r="N85" s="45"/>
      <c r="O85" s="45"/>
      <c r="P85" s="45"/>
      <c r="Q85" s="45"/>
      <c r="R85" s="45"/>
      <c r="S85" s="45"/>
    </row>
    <row r="86">
      <c r="A86" s="45"/>
      <c r="B86" s="45"/>
      <c r="C86" s="45"/>
      <c r="D86" s="45"/>
      <c r="E86" s="45"/>
      <c r="F86" s="45"/>
      <c r="G86" s="45"/>
      <c r="H86" s="45"/>
      <c r="I86" s="45"/>
      <c r="J86" s="45"/>
      <c r="K86" s="45"/>
      <c r="L86" s="46"/>
      <c r="M86" s="45"/>
      <c r="N86" s="45"/>
      <c r="O86" s="45"/>
      <c r="P86" s="45"/>
      <c r="Q86" s="45"/>
      <c r="R86" s="45"/>
      <c r="S86" s="45"/>
    </row>
    <row r="87">
      <c r="A87" s="45"/>
      <c r="B87" s="45"/>
      <c r="C87" s="45"/>
      <c r="D87" s="45"/>
      <c r="E87" s="45"/>
      <c r="F87" s="45"/>
      <c r="G87" s="45"/>
      <c r="H87" s="45"/>
      <c r="I87" s="45"/>
      <c r="J87" s="45"/>
      <c r="K87" s="45"/>
      <c r="L87" s="46"/>
      <c r="M87" s="45"/>
      <c r="N87" s="45"/>
      <c r="O87" s="45"/>
      <c r="P87" s="45"/>
      <c r="Q87" s="45"/>
      <c r="R87" s="45"/>
      <c r="S87" s="45"/>
    </row>
    <row r="88">
      <c r="A88" s="45"/>
      <c r="B88" s="45"/>
      <c r="C88" s="45"/>
      <c r="D88" s="45"/>
      <c r="E88" s="45"/>
      <c r="F88" s="45"/>
      <c r="G88" s="45"/>
      <c r="H88" s="45"/>
      <c r="I88" s="45"/>
      <c r="J88" s="45"/>
      <c r="K88" s="45"/>
      <c r="L88" s="46"/>
      <c r="M88" s="45"/>
      <c r="N88" s="45"/>
      <c r="O88" s="45"/>
      <c r="P88" s="45"/>
      <c r="Q88" s="45"/>
      <c r="R88" s="45"/>
      <c r="S88" s="45"/>
    </row>
    <row r="89">
      <c r="A89" s="45"/>
      <c r="B89" s="45"/>
      <c r="C89" s="45"/>
      <c r="D89" s="45"/>
      <c r="E89" s="45"/>
      <c r="F89" s="45"/>
      <c r="G89" s="45"/>
      <c r="H89" s="45"/>
      <c r="I89" s="45"/>
      <c r="J89" s="45"/>
      <c r="K89" s="45"/>
      <c r="L89" s="46"/>
      <c r="M89" s="45"/>
      <c r="N89" s="45"/>
      <c r="O89" s="45"/>
      <c r="P89" s="45"/>
      <c r="Q89" s="45"/>
      <c r="R89" s="45"/>
      <c r="S89" s="45"/>
    </row>
    <row r="90">
      <c r="A90" s="45"/>
      <c r="B90" s="45"/>
      <c r="C90" s="45"/>
      <c r="D90" s="45"/>
      <c r="E90" s="45"/>
      <c r="F90" s="45"/>
      <c r="G90" s="45"/>
      <c r="H90" s="45"/>
      <c r="I90" s="45"/>
      <c r="J90" s="45"/>
      <c r="K90" s="45"/>
      <c r="L90" s="46"/>
      <c r="M90" s="45"/>
      <c r="N90" s="45"/>
      <c r="O90" s="45"/>
      <c r="P90" s="45"/>
      <c r="Q90" s="45"/>
      <c r="R90" s="45"/>
      <c r="S90" s="45"/>
    </row>
    <row r="91">
      <c r="A91" s="45"/>
      <c r="B91" s="45"/>
      <c r="C91" s="45"/>
      <c r="D91" s="45"/>
      <c r="E91" s="45"/>
      <c r="F91" s="45"/>
      <c r="G91" s="45"/>
      <c r="H91" s="45"/>
      <c r="I91" s="45"/>
      <c r="J91" s="45"/>
      <c r="K91" s="45"/>
      <c r="L91" s="46"/>
      <c r="M91" s="45"/>
      <c r="N91" s="45"/>
      <c r="O91" s="45"/>
      <c r="P91" s="45"/>
      <c r="Q91" s="45"/>
      <c r="R91" s="45"/>
      <c r="S91" s="45"/>
    </row>
    <row r="92">
      <c r="A92" s="45"/>
      <c r="B92" s="45"/>
      <c r="C92" s="45"/>
      <c r="D92" s="45"/>
      <c r="E92" s="45"/>
      <c r="F92" s="45"/>
      <c r="G92" s="45"/>
      <c r="H92" s="45"/>
      <c r="I92" s="45"/>
      <c r="J92" s="45"/>
      <c r="K92" s="45"/>
      <c r="L92" s="46"/>
      <c r="M92" s="45"/>
      <c r="N92" s="45"/>
      <c r="O92" s="45"/>
      <c r="P92" s="45"/>
      <c r="Q92" s="45"/>
      <c r="R92" s="45"/>
      <c r="S92" s="45"/>
    </row>
    <row r="93">
      <c r="A93" s="45"/>
      <c r="B93" s="45"/>
      <c r="C93" s="45"/>
      <c r="D93" s="45"/>
      <c r="E93" s="45"/>
      <c r="F93" s="45"/>
      <c r="G93" s="45"/>
      <c r="H93" s="45"/>
      <c r="I93" s="45"/>
      <c r="J93" s="45"/>
      <c r="K93" s="45"/>
      <c r="L93" s="46"/>
      <c r="M93" s="45"/>
      <c r="N93" s="45"/>
      <c r="O93" s="45"/>
      <c r="P93" s="45"/>
      <c r="Q93" s="45"/>
      <c r="R93" s="45"/>
      <c r="S93" s="45"/>
    </row>
    <row r="94">
      <c r="A94" s="45"/>
      <c r="B94" s="45"/>
      <c r="C94" s="45"/>
      <c r="D94" s="45"/>
      <c r="E94" s="45"/>
      <c r="F94" s="45"/>
      <c r="G94" s="45"/>
      <c r="H94" s="45"/>
      <c r="I94" s="45"/>
      <c r="J94" s="45"/>
      <c r="K94" s="45"/>
      <c r="L94" s="46"/>
      <c r="M94" s="45"/>
      <c r="N94" s="45"/>
      <c r="O94" s="45"/>
      <c r="P94" s="45"/>
      <c r="Q94" s="45"/>
      <c r="R94" s="45"/>
      <c r="S94" s="45"/>
    </row>
    <row r="95">
      <c r="A95" s="45"/>
      <c r="B95" s="45"/>
      <c r="C95" s="45"/>
      <c r="D95" s="45"/>
      <c r="E95" s="45"/>
      <c r="F95" s="45"/>
      <c r="G95" s="45"/>
      <c r="H95" s="45"/>
      <c r="I95" s="45"/>
      <c r="J95" s="45"/>
      <c r="K95" s="45"/>
      <c r="L95" s="46"/>
      <c r="M95" s="45"/>
      <c r="N95" s="45"/>
      <c r="O95" s="45"/>
      <c r="P95" s="45"/>
      <c r="Q95" s="45"/>
      <c r="R95" s="45"/>
      <c r="S95" s="45"/>
    </row>
    <row r="96">
      <c r="A96" s="45"/>
      <c r="B96" s="45"/>
      <c r="C96" s="45"/>
      <c r="D96" s="45"/>
      <c r="E96" s="45"/>
      <c r="F96" s="45"/>
      <c r="G96" s="45"/>
      <c r="H96" s="45"/>
      <c r="I96" s="45"/>
      <c r="J96" s="45"/>
      <c r="K96" s="45"/>
      <c r="L96" s="46"/>
      <c r="M96" s="45"/>
      <c r="N96" s="45"/>
      <c r="O96" s="45"/>
      <c r="P96" s="45"/>
      <c r="Q96" s="45"/>
      <c r="R96" s="45"/>
      <c r="S96" s="45"/>
    </row>
    <row r="97">
      <c r="A97" s="45"/>
      <c r="B97" s="45"/>
      <c r="C97" s="45"/>
      <c r="D97" s="45"/>
      <c r="E97" s="45"/>
      <c r="F97" s="45"/>
      <c r="G97" s="45"/>
      <c r="H97" s="45"/>
      <c r="I97" s="45"/>
      <c r="J97" s="45"/>
      <c r="K97" s="45"/>
      <c r="L97" s="46"/>
      <c r="M97" s="45"/>
      <c r="N97" s="45"/>
      <c r="O97" s="45"/>
      <c r="P97" s="45"/>
      <c r="Q97" s="45"/>
      <c r="R97" s="45"/>
      <c r="S97" s="45"/>
    </row>
    <row r="98">
      <c r="A98" s="45"/>
      <c r="B98" s="45"/>
      <c r="C98" s="45"/>
      <c r="D98" s="45"/>
      <c r="E98" s="45"/>
      <c r="F98" s="45"/>
      <c r="G98" s="45"/>
      <c r="H98" s="45"/>
      <c r="I98" s="45"/>
      <c r="J98" s="45"/>
      <c r="K98" s="45"/>
      <c r="L98" s="46"/>
      <c r="M98" s="45"/>
      <c r="N98" s="45"/>
      <c r="O98" s="45"/>
      <c r="P98" s="45"/>
      <c r="Q98" s="45"/>
      <c r="R98" s="45"/>
      <c r="S98" s="45"/>
    </row>
    <row r="99">
      <c r="A99" s="45"/>
      <c r="B99" s="45"/>
      <c r="C99" s="45"/>
      <c r="D99" s="45"/>
      <c r="E99" s="45"/>
      <c r="F99" s="45"/>
      <c r="G99" s="45"/>
      <c r="H99" s="45"/>
      <c r="I99" s="45"/>
      <c r="J99" s="45"/>
      <c r="K99" s="45"/>
      <c r="L99" s="46"/>
      <c r="M99" s="45"/>
      <c r="N99" s="45"/>
      <c r="O99" s="45"/>
      <c r="P99" s="45"/>
      <c r="Q99" s="45"/>
      <c r="R99" s="45"/>
      <c r="S99" s="45"/>
    </row>
    <row r="100">
      <c r="A100" s="45"/>
      <c r="B100" s="45"/>
      <c r="C100" s="45"/>
      <c r="D100" s="45"/>
      <c r="E100" s="45"/>
      <c r="F100" s="45"/>
      <c r="G100" s="45"/>
      <c r="H100" s="45"/>
      <c r="I100" s="45"/>
      <c r="J100" s="45"/>
      <c r="K100" s="45"/>
      <c r="L100" s="46"/>
      <c r="M100" s="45"/>
      <c r="N100" s="45"/>
      <c r="O100" s="45"/>
      <c r="P100" s="45"/>
      <c r="Q100" s="45"/>
      <c r="R100" s="45"/>
      <c r="S100" s="45"/>
    </row>
    <row r="101">
      <c r="A101" s="45"/>
      <c r="B101" s="45"/>
      <c r="C101" s="45"/>
      <c r="D101" s="45"/>
      <c r="E101" s="45"/>
      <c r="F101" s="45"/>
      <c r="G101" s="45"/>
      <c r="H101" s="45"/>
      <c r="I101" s="45"/>
      <c r="J101" s="45"/>
      <c r="K101" s="45"/>
      <c r="L101" s="46"/>
      <c r="M101" s="45"/>
      <c r="N101" s="45"/>
      <c r="O101" s="45"/>
      <c r="P101" s="45"/>
      <c r="Q101" s="45"/>
      <c r="R101" s="45"/>
      <c r="S101" s="45"/>
    </row>
    <row r="102">
      <c r="A102" s="45"/>
      <c r="B102" s="45"/>
      <c r="C102" s="45"/>
      <c r="D102" s="45"/>
      <c r="E102" s="45"/>
      <c r="F102" s="45"/>
      <c r="G102" s="45"/>
      <c r="H102" s="45"/>
      <c r="I102" s="45"/>
      <c r="J102" s="45"/>
      <c r="K102" s="45"/>
      <c r="L102" s="46"/>
      <c r="M102" s="45"/>
      <c r="N102" s="45"/>
      <c r="O102" s="45"/>
      <c r="P102" s="45"/>
      <c r="Q102" s="45"/>
      <c r="R102" s="45"/>
      <c r="S102" s="45"/>
    </row>
    <row r="103">
      <c r="A103" s="45"/>
      <c r="B103" s="45"/>
      <c r="C103" s="45"/>
      <c r="D103" s="45"/>
      <c r="E103" s="45"/>
      <c r="F103" s="45"/>
      <c r="G103" s="45"/>
      <c r="H103" s="45"/>
      <c r="I103" s="45"/>
      <c r="J103" s="45"/>
      <c r="K103" s="45"/>
      <c r="L103" s="46"/>
      <c r="M103" s="45"/>
      <c r="N103" s="45"/>
      <c r="O103" s="45"/>
      <c r="P103" s="45"/>
      <c r="Q103" s="45"/>
      <c r="R103" s="45"/>
      <c r="S103" s="45"/>
    </row>
    <row r="104">
      <c r="A104" s="45"/>
      <c r="B104" s="45"/>
      <c r="C104" s="45"/>
      <c r="D104" s="45"/>
      <c r="E104" s="45"/>
      <c r="F104" s="45"/>
      <c r="G104" s="45"/>
      <c r="H104" s="45"/>
      <c r="I104" s="45"/>
      <c r="J104" s="45"/>
      <c r="K104" s="45"/>
      <c r="L104" s="46"/>
      <c r="M104" s="45"/>
      <c r="N104" s="45"/>
      <c r="O104" s="45"/>
      <c r="P104" s="45"/>
      <c r="Q104" s="45"/>
      <c r="R104" s="45"/>
      <c r="S104" s="45"/>
    </row>
    <row r="105">
      <c r="A105" s="45"/>
      <c r="B105" s="45"/>
      <c r="C105" s="45"/>
      <c r="D105" s="45"/>
      <c r="E105" s="45"/>
      <c r="F105" s="45"/>
      <c r="G105" s="45"/>
      <c r="H105" s="45"/>
      <c r="I105" s="45"/>
      <c r="J105" s="45"/>
      <c r="K105" s="45"/>
      <c r="L105" s="46"/>
      <c r="M105" s="45"/>
      <c r="N105" s="45"/>
      <c r="O105" s="45"/>
      <c r="P105" s="45"/>
      <c r="Q105" s="45"/>
      <c r="R105" s="45"/>
      <c r="S105" s="45"/>
    </row>
    <row r="106">
      <c r="A106" s="45"/>
      <c r="B106" s="45"/>
      <c r="C106" s="45"/>
      <c r="D106" s="45"/>
      <c r="E106" s="45"/>
      <c r="F106" s="45"/>
      <c r="G106" s="45"/>
      <c r="H106" s="45"/>
      <c r="I106" s="45"/>
      <c r="J106" s="45"/>
      <c r="K106" s="45"/>
      <c r="L106" s="46"/>
      <c r="M106" s="45"/>
      <c r="N106" s="45"/>
      <c r="O106" s="45"/>
      <c r="P106" s="45"/>
      <c r="Q106" s="45"/>
      <c r="R106" s="45"/>
      <c r="S106" s="45"/>
    </row>
    <row r="107">
      <c r="A107" s="45"/>
      <c r="B107" s="45"/>
      <c r="C107" s="45"/>
      <c r="D107" s="45"/>
      <c r="E107" s="45"/>
      <c r="F107" s="45"/>
      <c r="G107" s="45"/>
      <c r="H107" s="45"/>
      <c r="I107" s="45"/>
      <c r="J107" s="45"/>
      <c r="K107" s="45"/>
      <c r="L107" s="46"/>
      <c r="M107" s="45"/>
      <c r="N107" s="45"/>
      <c r="O107" s="45"/>
      <c r="P107" s="45"/>
      <c r="Q107" s="45"/>
      <c r="R107" s="45"/>
      <c r="S107" s="45"/>
    </row>
    <row r="108">
      <c r="A108" s="45"/>
      <c r="B108" s="45"/>
      <c r="C108" s="45"/>
      <c r="D108" s="45"/>
      <c r="E108" s="45"/>
      <c r="F108" s="45"/>
      <c r="G108" s="45"/>
      <c r="H108" s="45"/>
      <c r="I108" s="45"/>
      <c r="J108" s="45"/>
      <c r="K108" s="45"/>
      <c r="L108" s="46"/>
      <c r="M108" s="45"/>
      <c r="N108" s="45"/>
      <c r="O108" s="45"/>
      <c r="P108" s="45"/>
      <c r="Q108" s="45"/>
      <c r="R108" s="45"/>
      <c r="S108" s="45"/>
    </row>
    <row r="109">
      <c r="A109" s="45"/>
      <c r="B109" s="45"/>
      <c r="C109" s="45"/>
      <c r="D109" s="45"/>
      <c r="E109" s="45"/>
      <c r="F109" s="45"/>
      <c r="G109" s="45"/>
      <c r="H109" s="45"/>
      <c r="I109" s="45"/>
      <c r="J109" s="45"/>
      <c r="K109" s="45"/>
      <c r="L109" s="46"/>
      <c r="M109" s="45"/>
      <c r="N109" s="45"/>
      <c r="O109" s="45"/>
      <c r="P109" s="45"/>
      <c r="Q109" s="45"/>
      <c r="R109" s="45"/>
      <c r="S109" s="45"/>
    </row>
    <row r="110">
      <c r="A110" s="45"/>
      <c r="B110" s="45"/>
      <c r="C110" s="45"/>
      <c r="D110" s="45"/>
      <c r="E110" s="45"/>
      <c r="F110" s="45"/>
      <c r="G110" s="45"/>
      <c r="H110" s="45"/>
      <c r="I110" s="45"/>
      <c r="J110" s="45"/>
      <c r="K110" s="45"/>
      <c r="L110" s="46"/>
      <c r="M110" s="45"/>
      <c r="N110" s="45"/>
      <c r="O110" s="45"/>
      <c r="P110" s="45"/>
      <c r="Q110" s="45"/>
      <c r="R110" s="45"/>
      <c r="S110" s="45"/>
    </row>
    <row r="111">
      <c r="A111" s="45"/>
      <c r="B111" s="45"/>
      <c r="C111" s="45"/>
      <c r="D111" s="45"/>
      <c r="E111" s="45"/>
      <c r="F111" s="45"/>
      <c r="G111" s="45"/>
      <c r="H111" s="45"/>
      <c r="I111" s="45"/>
      <c r="J111" s="45"/>
      <c r="K111" s="45"/>
      <c r="L111" s="46"/>
      <c r="M111" s="45"/>
      <c r="N111" s="45"/>
      <c r="O111" s="45"/>
      <c r="P111" s="45"/>
      <c r="Q111" s="45"/>
      <c r="R111" s="45"/>
      <c r="S111" s="45"/>
    </row>
    <row r="112">
      <c r="A112" s="45"/>
      <c r="B112" s="45"/>
      <c r="C112" s="45"/>
      <c r="D112" s="45"/>
      <c r="E112" s="45"/>
      <c r="F112" s="45"/>
      <c r="G112" s="45"/>
      <c r="H112" s="45"/>
      <c r="I112" s="45"/>
      <c r="J112" s="45"/>
      <c r="K112" s="45"/>
      <c r="L112" s="46"/>
      <c r="M112" s="45"/>
      <c r="N112" s="45"/>
      <c r="O112" s="45"/>
      <c r="P112" s="45"/>
      <c r="Q112" s="45"/>
      <c r="R112" s="45"/>
      <c r="S112" s="45"/>
    </row>
    <row r="113">
      <c r="A113" s="45"/>
      <c r="B113" s="45"/>
      <c r="C113" s="45"/>
      <c r="D113" s="45"/>
      <c r="E113" s="45"/>
      <c r="F113" s="45"/>
      <c r="G113" s="45"/>
      <c r="H113" s="45"/>
      <c r="I113" s="45"/>
      <c r="J113" s="45"/>
      <c r="K113" s="45"/>
      <c r="L113" s="46"/>
      <c r="M113" s="45"/>
      <c r="N113" s="45"/>
      <c r="O113" s="45"/>
      <c r="P113" s="45"/>
      <c r="Q113" s="45"/>
      <c r="R113" s="45"/>
      <c r="S113" s="45"/>
    </row>
    <row r="114">
      <c r="A114" s="45"/>
      <c r="B114" s="45"/>
      <c r="C114" s="45"/>
      <c r="D114" s="45"/>
      <c r="E114" s="45"/>
      <c r="F114" s="45"/>
      <c r="G114" s="45"/>
      <c r="H114" s="45"/>
      <c r="I114" s="45"/>
      <c r="J114" s="45"/>
      <c r="K114" s="45"/>
      <c r="L114" s="46"/>
      <c r="M114" s="45"/>
      <c r="N114" s="45"/>
      <c r="O114" s="45"/>
      <c r="P114" s="45"/>
      <c r="Q114" s="45"/>
      <c r="R114" s="45"/>
      <c r="S114" s="45"/>
    </row>
    <row r="115">
      <c r="A115" s="45"/>
      <c r="B115" s="45"/>
      <c r="C115" s="45"/>
      <c r="D115" s="45"/>
      <c r="E115" s="45"/>
      <c r="F115" s="45"/>
      <c r="G115" s="45"/>
      <c r="H115" s="45"/>
      <c r="I115" s="45"/>
      <c r="J115" s="45"/>
      <c r="K115" s="45"/>
      <c r="L115" s="46"/>
      <c r="M115" s="45"/>
      <c r="N115" s="45"/>
      <c r="O115" s="45"/>
      <c r="P115" s="45"/>
      <c r="Q115" s="45"/>
      <c r="R115" s="45"/>
      <c r="S115" s="45"/>
    </row>
    <row r="116">
      <c r="A116" s="45"/>
      <c r="B116" s="45"/>
      <c r="C116" s="45"/>
      <c r="D116" s="45"/>
      <c r="E116" s="45"/>
      <c r="F116" s="45"/>
      <c r="G116" s="45"/>
      <c r="H116" s="45"/>
      <c r="I116" s="45"/>
      <c r="J116" s="45"/>
      <c r="K116" s="45"/>
      <c r="L116" s="46"/>
      <c r="M116" s="45"/>
      <c r="N116" s="45"/>
      <c r="O116" s="45"/>
      <c r="P116" s="45"/>
      <c r="Q116" s="45"/>
      <c r="R116" s="45"/>
      <c r="S116" s="45"/>
    </row>
    <row r="117">
      <c r="A117" s="45"/>
      <c r="B117" s="45"/>
      <c r="C117" s="45"/>
      <c r="D117" s="45"/>
      <c r="E117" s="45"/>
      <c r="F117" s="45"/>
      <c r="G117" s="45"/>
      <c r="H117" s="45"/>
      <c r="I117" s="45"/>
      <c r="J117" s="45"/>
      <c r="K117" s="45"/>
      <c r="L117" s="46"/>
      <c r="M117" s="45"/>
      <c r="N117" s="45"/>
      <c r="O117" s="45"/>
      <c r="P117" s="45"/>
      <c r="Q117" s="45"/>
      <c r="R117" s="45"/>
      <c r="S117" s="45"/>
    </row>
    <row r="118">
      <c r="A118" s="45"/>
      <c r="B118" s="45"/>
      <c r="C118" s="45"/>
      <c r="D118" s="45"/>
      <c r="E118" s="45"/>
      <c r="F118" s="45"/>
      <c r="G118" s="45"/>
      <c r="H118" s="45"/>
      <c r="I118" s="45"/>
      <c r="J118" s="45"/>
      <c r="K118" s="45"/>
      <c r="L118" s="46"/>
      <c r="M118" s="45"/>
      <c r="N118" s="45"/>
      <c r="O118" s="45"/>
      <c r="P118" s="45"/>
      <c r="Q118" s="45"/>
      <c r="R118" s="45"/>
      <c r="S118" s="45"/>
    </row>
    <row r="119">
      <c r="A119" s="45"/>
      <c r="B119" s="45"/>
      <c r="C119" s="45"/>
      <c r="D119" s="45"/>
      <c r="E119" s="45"/>
      <c r="F119" s="45"/>
      <c r="G119" s="45"/>
      <c r="H119" s="45"/>
      <c r="I119" s="45"/>
      <c r="J119" s="45"/>
      <c r="K119" s="45"/>
      <c r="L119" s="46"/>
      <c r="M119" s="45"/>
      <c r="N119" s="45"/>
      <c r="O119" s="45"/>
      <c r="P119" s="45"/>
      <c r="Q119" s="45"/>
      <c r="R119" s="45"/>
      <c r="S119" s="45"/>
    </row>
    <row r="120">
      <c r="A120" s="45"/>
      <c r="B120" s="45"/>
      <c r="C120" s="45"/>
      <c r="D120" s="45"/>
      <c r="E120" s="45"/>
      <c r="F120" s="45"/>
      <c r="G120" s="45"/>
      <c r="H120" s="45"/>
      <c r="I120" s="45"/>
      <c r="J120" s="45"/>
      <c r="K120" s="45"/>
      <c r="L120" s="46"/>
      <c r="M120" s="45"/>
      <c r="N120" s="45"/>
      <c r="O120" s="45"/>
      <c r="P120" s="45"/>
      <c r="Q120" s="45"/>
      <c r="R120" s="45"/>
      <c r="S120" s="45"/>
    </row>
    <row r="121">
      <c r="A121" s="45"/>
      <c r="B121" s="45"/>
      <c r="C121" s="45"/>
      <c r="D121" s="45"/>
      <c r="E121" s="45"/>
      <c r="F121" s="45"/>
      <c r="G121" s="45"/>
      <c r="H121" s="45"/>
      <c r="I121" s="45"/>
      <c r="J121" s="45"/>
      <c r="K121" s="45"/>
      <c r="L121" s="46"/>
      <c r="M121" s="45"/>
      <c r="N121" s="45"/>
      <c r="O121" s="45"/>
      <c r="P121" s="45"/>
      <c r="Q121" s="45"/>
      <c r="R121" s="45"/>
      <c r="S121" s="45"/>
    </row>
    <row r="122">
      <c r="A122" s="45"/>
      <c r="B122" s="45"/>
      <c r="C122" s="45"/>
      <c r="D122" s="45"/>
      <c r="E122" s="45"/>
      <c r="F122" s="45"/>
      <c r="G122" s="45"/>
      <c r="H122" s="45"/>
      <c r="I122" s="45"/>
      <c r="J122" s="45"/>
      <c r="K122" s="45"/>
      <c r="L122" s="46"/>
      <c r="M122" s="45"/>
      <c r="N122" s="45"/>
      <c r="O122" s="45"/>
      <c r="P122" s="45"/>
      <c r="Q122" s="45"/>
      <c r="R122" s="45"/>
      <c r="S122" s="45"/>
    </row>
    <row r="123">
      <c r="A123" s="45"/>
      <c r="B123" s="45"/>
      <c r="C123" s="45"/>
      <c r="D123" s="45"/>
      <c r="E123" s="45"/>
      <c r="F123" s="45"/>
      <c r="G123" s="45"/>
      <c r="H123" s="45"/>
      <c r="I123" s="45"/>
      <c r="J123" s="45"/>
      <c r="K123" s="45"/>
      <c r="L123" s="46"/>
      <c r="M123" s="45"/>
      <c r="N123" s="45"/>
      <c r="O123" s="45"/>
      <c r="P123" s="45"/>
      <c r="Q123" s="45"/>
      <c r="R123" s="45"/>
      <c r="S123" s="45"/>
    </row>
    <row r="124">
      <c r="A124" s="45"/>
      <c r="B124" s="45"/>
      <c r="C124" s="45"/>
      <c r="D124" s="45"/>
      <c r="E124" s="45"/>
      <c r="F124" s="45"/>
      <c r="G124" s="45"/>
      <c r="H124" s="45"/>
      <c r="I124" s="45"/>
      <c r="J124" s="45"/>
      <c r="K124" s="45"/>
      <c r="L124" s="46"/>
      <c r="M124" s="45"/>
      <c r="N124" s="45"/>
      <c r="O124" s="45"/>
      <c r="P124" s="45"/>
      <c r="Q124" s="45"/>
      <c r="R124" s="45"/>
      <c r="S124" s="45"/>
    </row>
    <row r="125">
      <c r="A125" s="45"/>
      <c r="B125" s="45"/>
      <c r="C125" s="45"/>
      <c r="D125" s="45"/>
      <c r="E125" s="45"/>
      <c r="F125" s="45"/>
      <c r="G125" s="45"/>
      <c r="H125" s="45"/>
      <c r="I125" s="45"/>
      <c r="J125" s="45"/>
      <c r="K125" s="45"/>
      <c r="L125" s="46"/>
      <c r="M125" s="45"/>
      <c r="N125" s="45"/>
      <c r="O125" s="45"/>
      <c r="P125" s="45"/>
      <c r="Q125" s="45"/>
      <c r="R125" s="45"/>
      <c r="S125" s="45"/>
    </row>
    <row r="126">
      <c r="A126" s="45"/>
      <c r="B126" s="45"/>
      <c r="C126" s="45"/>
      <c r="D126" s="45"/>
      <c r="E126" s="45"/>
      <c r="F126" s="45"/>
      <c r="G126" s="45"/>
      <c r="H126" s="45"/>
      <c r="I126" s="45"/>
      <c r="J126" s="45"/>
      <c r="K126" s="45"/>
      <c r="L126" s="46"/>
      <c r="M126" s="45"/>
      <c r="N126" s="45"/>
      <c r="O126" s="45"/>
      <c r="P126" s="45"/>
      <c r="Q126" s="45"/>
      <c r="R126" s="45"/>
      <c r="S126" s="45"/>
    </row>
    <row r="127">
      <c r="A127" s="45"/>
      <c r="B127" s="45"/>
      <c r="C127" s="45"/>
      <c r="D127" s="45"/>
      <c r="E127" s="45"/>
      <c r="F127" s="45"/>
      <c r="G127" s="45"/>
      <c r="H127" s="45"/>
      <c r="I127" s="45"/>
      <c r="J127" s="45"/>
      <c r="K127" s="45"/>
      <c r="L127" s="46"/>
      <c r="M127" s="45"/>
      <c r="N127" s="45"/>
      <c r="O127" s="45"/>
      <c r="P127" s="45"/>
      <c r="Q127" s="45"/>
      <c r="R127" s="45"/>
      <c r="S127" s="45"/>
    </row>
    <row r="128">
      <c r="A128" s="45"/>
      <c r="B128" s="45"/>
      <c r="C128" s="45"/>
      <c r="D128" s="45"/>
      <c r="E128" s="45"/>
      <c r="F128" s="45"/>
      <c r="G128" s="45"/>
      <c r="H128" s="45"/>
      <c r="I128" s="45"/>
      <c r="J128" s="45"/>
      <c r="K128" s="45"/>
      <c r="L128" s="46"/>
      <c r="M128" s="45"/>
      <c r="N128" s="45"/>
      <c r="O128" s="45"/>
      <c r="P128" s="45"/>
      <c r="Q128" s="45"/>
      <c r="R128" s="45"/>
      <c r="S128" s="45"/>
    </row>
    <row r="129">
      <c r="A129" s="45"/>
      <c r="B129" s="45"/>
      <c r="C129" s="45"/>
      <c r="D129" s="45"/>
      <c r="E129" s="45"/>
      <c r="F129" s="45"/>
      <c r="G129" s="45"/>
      <c r="H129" s="45"/>
      <c r="I129" s="45"/>
      <c r="J129" s="45"/>
      <c r="K129" s="45"/>
      <c r="L129" s="46"/>
      <c r="M129" s="45"/>
      <c r="N129" s="45"/>
      <c r="O129" s="45"/>
      <c r="P129" s="45"/>
      <c r="Q129" s="45"/>
      <c r="R129" s="45"/>
      <c r="S129" s="45"/>
    </row>
    <row r="130">
      <c r="A130" s="45"/>
      <c r="B130" s="45"/>
      <c r="C130" s="45"/>
      <c r="D130" s="45"/>
      <c r="E130" s="45"/>
      <c r="F130" s="45"/>
      <c r="G130" s="45"/>
      <c r="H130" s="45"/>
      <c r="I130" s="45"/>
      <c r="J130" s="45"/>
      <c r="K130" s="45"/>
      <c r="L130" s="46"/>
      <c r="M130" s="45"/>
      <c r="N130" s="45"/>
      <c r="O130" s="45"/>
      <c r="P130" s="45"/>
      <c r="Q130" s="45"/>
      <c r="R130" s="45"/>
      <c r="S130" s="45"/>
    </row>
    <row r="131">
      <c r="A131" s="45"/>
      <c r="B131" s="45"/>
      <c r="C131" s="45"/>
      <c r="D131" s="45"/>
      <c r="E131" s="45"/>
      <c r="F131" s="45"/>
      <c r="G131" s="45"/>
      <c r="H131" s="45"/>
      <c r="I131" s="45"/>
      <c r="J131" s="45"/>
      <c r="K131" s="45"/>
      <c r="L131" s="46"/>
      <c r="M131" s="45"/>
      <c r="N131" s="45"/>
      <c r="O131" s="45"/>
      <c r="P131" s="45"/>
      <c r="Q131" s="45"/>
      <c r="R131" s="45"/>
      <c r="S131" s="45"/>
    </row>
    <row r="132">
      <c r="A132" s="45"/>
      <c r="B132" s="45"/>
      <c r="C132" s="45"/>
      <c r="D132" s="45"/>
      <c r="E132" s="45"/>
      <c r="F132" s="45"/>
      <c r="G132" s="45"/>
      <c r="H132" s="45"/>
      <c r="I132" s="45"/>
      <c r="J132" s="45"/>
      <c r="K132" s="45"/>
      <c r="L132" s="46"/>
      <c r="M132" s="45"/>
      <c r="N132" s="45"/>
      <c r="O132" s="45"/>
      <c r="P132" s="45"/>
      <c r="Q132" s="45"/>
      <c r="R132" s="45"/>
      <c r="S132" s="45"/>
    </row>
    <row r="133">
      <c r="A133" s="45"/>
      <c r="B133" s="45"/>
      <c r="C133" s="45"/>
      <c r="D133" s="45"/>
      <c r="E133" s="45"/>
      <c r="F133" s="45"/>
      <c r="G133" s="45"/>
      <c r="H133" s="45"/>
      <c r="I133" s="45"/>
      <c r="J133" s="45"/>
      <c r="K133" s="45"/>
      <c r="L133" s="46"/>
      <c r="M133" s="45"/>
      <c r="N133" s="45"/>
      <c r="O133" s="45"/>
      <c r="P133" s="45"/>
      <c r="Q133" s="45"/>
      <c r="R133" s="45"/>
      <c r="S133" s="45"/>
    </row>
    <row r="134">
      <c r="A134" s="45"/>
      <c r="B134" s="45"/>
      <c r="C134" s="45"/>
      <c r="D134" s="45"/>
      <c r="E134" s="45"/>
      <c r="F134" s="45"/>
      <c r="G134" s="45"/>
      <c r="H134" s="45"/>
      <c r="I134" s="45"/>
      <c r="J134" s="45"/>
      <c r="K134" s="45"/>
      <c r="L134" s="46"/>
      <c r="M134" s="45"/>
      <c r="N134" s="45"/>
      <c r="O134" s="45"/>
      <c r="P134" s="45"/>
      <c r="Q134" s="45"/>
      <c r="R134" s="45"/>
      <c r="S134" s="45"/>
    </row>
    <row r="135">
      <c r="A135" s="45"/>
      <c r="B135" s="45"/>
      <c r="C135" s="45"/>
      <c r="D135" s="45"/>
      <c r="E135" s="45"/>
      <c r="F135" s="45"/>
      <c r="G135" s="45"/>
      <c r="H135" s="45"/>
      <c r="I135" s="45"/>
      <c r="J135" s="45"/>
      <c r="K135" s="45"/>
      <c r="L135" s="46"/>
      <c r="M135" s="45"/>
      <c r="N135" s="45"/>
      <c r="O135" s="45"/>
      <c r="P135" s="45"/>
      <c r="Q135" s="45"/>
      <c r="R135" s="45"/>
      <c r="S135" s="45"/>
    </row>
    <row r="136">
      <c r="A136" s="45"/>
      <c r="B136" s="45"/>
      <c r="C136" s="45"/>
      <c r="D136" s="45"/>
      <c r="E136" s="45"/>
      <c r="F136" s="45"/>
      <c r="G136" s="45"/>
      <c r="H136" s="45"/>
      <c r="I136" s="45"/>
      <c r="J136" s="45"/>
      <c r="K136" s="45"/>
      <c r="L136" s="46"/>
      <c r="M136" s="45"/>
      <c r="N136" s="45"/>
      <c r="O136" s="45"/>
      <c r="P136" s="45"/>
      <c r="Q136" s="45"/>
      <c r="R136" s="45"/>
      <c r="S136" s="45"/>
    </row>
    <row r="137">
      <c r="A137" s="45"/>
      <c r="B137" s="45"/>
      <c r="C137" s="45"/>
      <c r="D137" s="45"/>
      <c r="E137" s="45"/>
      <c r="F137" s="45"/>
      <c r="G137" s="45"/>
      <c r="H137" s="45"/>
      <c r="I137" s="45"/>
      <c r="J137" s="45"/>
      <c r="K137" s="45"/>
      <c r="L137" s="46"/>
      <c r="M137" s="45"/>
      <c r="N137" s="45"/>
      <c r="O137" s="45"/>
      <c r="P137" s="45"/>
      <c r="Q137" s="45"/>
      <c r="R137" s="45"/>
      <c r="S137" s="45"/>
    </row>
    <row r="138">
      <c r="A138" s="45"/>
      <c r="B138" s="45"/>
      <c r="C138" s="45"/>
      <c r="D138" s="45"/>
      <c r="E138" s="45"/>
      <c r="F138" s="45"/>
      <c r="G138" s="45"/>
      <c r="H138" s="45"/>
      <c r="I138" s="45"/>
      <c r="J138" s="45"/>
      <c r="K138" s="45"/>
      <c r="L138" s="46"/>
      <c r="M138" s="45"/>
      <c r="N138" s="45"/>
      <c r="O138" s="45"/>
      <c r="P138" s="45"/>
      <c r="Q138" s="45"/>
      <c r="R138" s="45"/>
      <c r="S138" s="45"/>
    </row>
    <row r="139">
      <c r="A139" s="45"/>
      <c r="B139" s="45"/>
      <c r="C139" s="45"/>
      <c r="D139" s="45"/>
      <c r="E139" s="45"/>
      <c r="F139" s="45"/>
      <c r="G139" s="45"/>
      <c r="H139" s="45"/>
      <c r="I139" s="45"/>
      <c r="J139" s="45"/>
      <c r="K139" s="45"/>
      <c r="L139" s="46"/>
      <c r="M139" s="45"/>
      <c r="N139" s="45"/>
      <c r="O139" s="45"/>
      <c r="P139" s="45"/>
      <c r="Q139" s="45"/>
      <c r="R139" s="45"/>
      <c r="S139" s="45"/>
    </row>
    <row r="140">
      <c r="A140" s="45"/>
      <c r="B140" s="45"/>
      <c r="C140" s="45"/>
      <c r="D140" s="45"/>
      <c r="E140" s="45"/>
      <c r="F140" s="45"/>
      <c r="G140" s="45"/>
      <c r="H140" s="45"/>
      <c r="I140" s="45"/>
      <c r="J140" s="45"/>
      <c r="K140" s="45"/>
      <c r="L140" s="46"/>
      <c r="M140" s="45"/>
      <c r="N140" s="45"/>
      <c r="O140" s="45"/>
      <c r="P140" s="45"/>
      <c r="Q140" s="45"/>
      <c r="R140" s="45"/>
      <c r="S140" s="45"/>
    </row>
    <row r="141">
      <c r="A141" s="45"/>
      <c r="B141" s="45"/>
      <c r="C141" s="45"/>
      <c r="D141" s="45"/>
      <c r="E141" s="45"/>
      <c r="F141" s="45"/>
      <c r="G141" s="45"/>
      <c r="H141" s="45"/>
      <c r="I141" s="45"/>
      <c r="J141" s="45"/>
      <c r="K141" s="45"/>
      <c r="L141" s="46"/>
      <c r="M141" s="45"/>
      <c r="N141" s="45"/>
      <c r="O141" s="45"/>
      <c r="P141" s="45"/>
      <c r="Q141" s="45"/>
      <c r="R141" s="45"/>
      <c r="S141" s="45"/>
    </row>
    <row r="142">
      <c r="A142" s="45"/>
      <c r="B142" s="45"/>
      <c r="C142" s="45"/>
      <c r="D142" s="45"/>
      <c r="E142" s="45"/>
      <c r="F142" s="45"/>
      <c r="G142" s="45"/>
      <c r="H142" s="45"/>
      <c r="I142" s="45"/>
      <c r="J142" s="45"/>
      <c r="K142" s="45"/>
      <c r="L142" s="46"/>
      <c r="M142" s="45"/>
      <c r="N142" s="45"/>
      <c r="O142" s="45"/>
      <c r="P142" s="45"/>
      <c r="Q142" s="45"/>
      <c r="R142" s="45"/>
      <c r="S142" s="45"/>
    </row>
    <row r="143">
      <c r="A143" s="45"/>
      <c r="B143" s="45"/>
      <c r="C143" s="45"/>
      <c r="D143" s="45"/>
      <c r="E143" s="45"/>
      <c r="F143" s="45"/>
      <c r="G143" s="45"/>
      <c r="H143" s="45"/>
      <c r="I143" s="45"/>
      <c r="J143" s="45"/>
      <c r="K143" s="45"/>
      <c r="L143" s="46"/>
      <c r="M143" s="45"/>
      <c r="N143" s="45"/>
      <c r="O143" s="45"/>
      <c r="P143" s="45"/>
      <c r="Q143" s="45"/>
      <c r="R143" s="45"/>
      <c r="S143" s="45"/>
    </row>
    <row r="144">
      <c r="A144" s="45"/>
      <c r="B144" s="45"/>
      <c r="C144" s="45"/>
      <c r="D144" s="45"/>
      <c r="E144" s="45"/>
      <c r="F144" s="45"/>
      <c r="G144" s="45"/>
      <c r="H144" s="45"/>
      <c r="I144" s="45"/>
      <c r="J144" s="45"/>
      <c r="K144" s="45"/>
      <c r="L144" s="46"/>
      <c r="M144" s="45"/>
      <c r="N144" s="45"/>
      <c r="O144" s="45"/>
      <c r="P144" s="45"/>
      <c r="Q144" s="45"/>
      <c r="R144" s="45"/>
      <c r="S144" s="45"/>
    </row>
    <row r="145">
      <c r="A145" s="45"/>
      <c r="B145" s="45"/>
      <c r="C145" s="45"/>
      <c r="D145" s="45"/>
      <c r="E145" s="45"/>
      <c r="F145" s="45"/>
      <c r="G145" s="45"/>
      <c r="H145" s="45"/>
      <c r="I145" s="45"/>
      <c r="J145" s="45"/>
      <c r="K145" s="45"/>
      <c r="L145" s="46"/>
      <c r="M145" s="45"/>
      <c r="N145" s="45"/>
      <c r="O145" s="45"/>
      <c r="P145" s="45"/>
      <c r="Q145" s="45"/>
      <c r="R145" s="45"/>
      <c r="S145" s="45"/>
    </row>
    <row r="146">
      <c r="A146" s="45"/>
      <c r="B146" s="45"/>
      <c r="C146" s="45"/>
      <c r="D146" s="45"/>
      <c r="E146" s="45"/>
      <c r="F146" s="45"/>
      <c r="G146" s="45"/>
      <c r="H146" s="45"/>
      <c r="I146" s="45"/>
      <c r="J146" s="45"/>
      <c r="K146" s="45"/>
      <c r="L146" s="46"/>
      <c r="M146" s="45"/>
      <c r="N146" s="45"/>
      <c r="O146" s="45"/>
      <c r="P146" s="45"/>
      <c r="Q146" s="45"/>
      <c r="R146" s="45"/>
      <c r="S146" s="45"/>
    </row>
    <row r="147">
      <c r="A147" s="45"/>
      <c r="B147" s="45"/>
      <c r="C147" s="45"/>
      <c r="D147" s="45"/>
      <c r="E147" s="45"/>
      <c r="F147" s="45"/>
      <c r="G147" s="45"/>
      <c r="H147" s="45"/>
      <c r="I147" s="45"/>
      <c r="J147" s="45"/>
      <c r="K147" s="45"/>
      <c r="L147" s="46"/>
      <c r="M147" s="45"/>
      <c r="N147" s="45"/>
      <c r="O147" s="45"/>
      <c r="P147" s="45"/>
      <c r="Q147" s="45"/>
      <c r="R147" s="45"/>
      <c r="S147" s="45"/>
    </row>
    <row r="148">
      <c r="A148" s="45"/>
      <c r="B148" s="45"/>
      <c r="C148" s="45"/>
      <c r="D148" s="45"/>
      <c r="E148" s="45"/>
      <c r="F148" s="45"/>
      <c r="G148" s="45"/>
      <c r="H148" s="45"/>
      <c r="I148" s="45"/>
      <c r="J148" s="45"/>
      <c r="K148" s="45"/>
      <c r="L148" s="46"/>
      <c r="M148" s="45"/>
      <c r="N148" s="45"/>
      <c r="O148" s="45"/>
      <c r="P148" s="45"/>
      <c r="Q148" s="45"/>
      <c r="R148" s="45"/>
      <c r="S148" s="45"/>
    </row>
    <row r="149">
      <c r="A149" s="45"/>
      <c r="B149" s="45"/>
      <c r="C149" s="45"/>
      <c r="D149" s="45"/>
      <c r="E149" s="45"/>
      <c r="F149" s="45"/>
      <c r="G149" s="45"/>
      <c r="H149" s="45"/>
      <c r="I149" s="45"/>
      <c r="J149" s="45"/>
      <c r="K149" s="45"/>
      <c r="L149" s="46"/>
      <c r="M149" s="45"/>
      <c r="N149" s="45"/>
      <c r="O149" s="45"/>
      <c r="P149" s="45"/>
      <c r="Q149" s="45"/>
      <c r="R149" s="45"/>
      <c r="S149" s="45"/>
    </row>
    <row r="150">
      <c r="A150" s="45"/>
      <c r="B150" s="45"/>
      <c r="C150" s="45"/>
      <c r="D150" s="45"/>
      <c r="E150" s="45"/>
      <c r="F150" s="45"/>
      <c r="G150" s="45"/>
      <c r="H150" s="45"/>
      <c r="I150" s="45"/>
      <c r="J150" s="45"/>
      <c r="K150" s="45"/>
      <c r="L150" s="46"/>
      <c r="M150" s="45"/>
      <c r="N150" s="45"/>
      <c r="O150" s="45"/>
      <c r="P150" s="45"/>
      <c r="Q150" s="45"/>
      <c r="R150" s="45"/>
      <c r="S150" s="45"/>
    </row>
    <row r="151">
      <c r="A151" s="45"/>
      <c r="B151" s="45"/>
      <c r="C151" s="45"/>
      <c r="D151" s="45"/>
      <c r="E151" s="45"/>
      <c r="F151" s="45"/>
      <c r="G151" s="45"/>
      <c r="H151" s="45"/>
      <c r="I151" s="45"/>
      <c r="J151" s="45"/>
      <c r="K151" s="45"/>
      <c r="L151" s="46"/>
      <c r="M151" s="45"/>
      <c r="N151" s="45"/>
      <c r="O151" s="45"/>
      <c r="P151" s="45"/>
      <c r="Q151" s="45"/>
      <c r="R151" s="45"/>
      <c r="S151" s="45"/>
    </row>
    <row r="152">
      <c r="A152" s="45"/>
      <c r="B152" s="45"/>
      <c r="C152" s="45"/>
      <c r="D152" s="45"/>
      <c r="E152" s="45"/>
      <c r="F152" s="45"/>
      <c r="G152" s="45"/>
      <c r="H152" s="45"/>
      <c r="I152" s="45"/>
      <c r="J152" s="45"/>
      <c r="K152" s="45"/>
      <c r="L152" s="46"/>
      <c r="M152" s="45"/>
      <c r="N152" s="45"/>
      <c r="O152" s="45"/>
      <c r="P152" s="45"/>
      <c r="Q152" s="45"/>
      <c r="R152" s="45"/>
      <c r="S152" s="45"/>
    </row>
    <row r="153">
      <c r="A153" s="45"/>
      <c r="B153" s="45"/>
      <c r="C153" s="45"/>
      <c r="D153" s="45"/>
      <c r="E153" s="45"/>
      <c r="F153" s="45"/>
      <c r="G153" s="45"/>
      <c r="H153" s="45"/>
      <c r="I153" s="45"/>
      <c r="J153" s="45"/>
      <c r="K153" s="45"/>
      <c r="L153" s="46"/>
      <c r="M153" s="45"/>
      <c r="N153" s="45"/>
      <c r="O153" s="45"/>
      <c r="P153" s="45"/>
      <c r="Q153" s="45"/>
      <c r="R153" s="45"/>
      <c r="S153" s="45"/>
    </row>
    <row r="154">
      <c r="A154" s="45"/>
      <c r="B154" s="45"/>
      <c r="C154" s="45"/>
      <c r="D154" s="45"/>
      <c r="E154" s="45"/>
      <c r="F154" s="45"/>
      <c r="G154" s="45"/>
      <c r="H154" s="45"/>
      <c r="I154" s="45"/>
      <c r="J154" s="45"/>
      <c r="K154" s="45"/>
      <c r="L154" s="46"/>
      <c r="M154" s="45"/>
      <c r="N154" s="45"/>
      <c r="O154" s="45"/>
      <c r="P154" s="45"/>
      <c r="Q154" s="45"/>
      <c r="R154" s="45"/>
      <c r="S154" s="45"/>
    </row>
    <row r="155">
      <c r="A155" s="45"/>
      <c r="B155" s="45"/>
      <c r="C155" s="45"/>
      <c r="D155" s="45"/>
      <c r="E155" s="45"/>
      <c r="F155" s="45"/>
      <c r="G155" s="45"/>
      <c r="H155" s="45"/>
      <c r="I155" s="45"/>
      <c r="J155" s="45"/>
      <c r="K155" s="45"/>
      <c r="L155" s="46"/>
      <c r="M155" s="45"/>
      <c r="N155" s="45"/>
      <c r="O155" s="45"/>
      <c r="P155" s="45"/>
      <c r="Q155" s="45"/>
      <c r="R155" s="45"/>
      <c r="S155" s="45"/>
    </row>
    <row r="156">
      <c r="A156" s="45"/>
      <c r="B156" s="45"/>
      <c r="C156" s="45"/>
      <c r="D156" s="45"/>
      <c r="E156" s="45"/>
      <c r="F156" s="45"/>
      <c r="G156" s="45"/>
      <c r="H156" s="45"/>
      <c r="I156" s="45"/>
      <c r="J156" s="45"/>
      <c r="K156" s="45"/>
      <c r="L156" s="46"/>
      <c r="M156" s="45"/>
      <c r="N156" s="45"/>
      <c r="O156" s="45"/>
      <c r="P156" s="45"/>
      <c r="Q156" s="45"/>
      <c r="R156" s="45"/>
      <c r="S156" s="45"/>
    </row>
    <row r="157">
      <c r="A157" s="45"/>
      <c r="B157" s="45"/>
      <c r="C157" s="45"/>
      <c r="D157" s="45"/>
      <c r="E157" s="45"/>
      <c r="F157" s="45"/>
      <c r="G157" s="45"/>
      <c r="H157" s="45"/>
      <c r="I157" s="45"/>
      <c r="J157" s="45"/>
      <c r="K157" s="45"/>
      <c r="L157" s="46"/>
      <c r="M157" s="45"/>
      <c r="N157" s="45"/>
      <c r="O157" s="45"/>
      <c r="P157" s="45"/>
      <c r="Q157" s="45"/>
      <c r="R157" s="45"/>
      <c r="S157" s="45"/>
    </row>
    <row r="158">
      <c r="A158" s="45"/>
      <c r="B158" s="45"/>
      <c r="C158" s="45"/>
      <c r="D158" s="45"/>
      <c r="E158" s="45"/>
      <c r="F158" s="45"/>
      <c r="G158" s="45"/>
      <c r="H158" s="45"/>
      <c r="I158" s="45"/>
      <c r="J158" s="45"/>
      <c r="K158" s="45"/>
      <c r="L158" s="46"/>
      <c r="M158" s="45"/>
      <c r="N158" s="45"/>
      <c r="O158" s="45"/>
      <c r="P158" s="45"/>
      <c r="Q158" s="45"/>
      <c r="R158" s="45"/>
      <c r="S158" s="45"/>
    </row>
    <row r="159">
      <c r="A159" s="45"/>
      <c r="B159" s="45"/>
      <c r="C159" s="45"/>
      <c r="D159" s="45"/>
      <c r="E159" s="45"/>
      <c r="F159" s="45"/>
      <c r="G159" s="45"/>
      <c r="H159" s="45"/>
      <c r="I159" s="45"/>
      <c r="J159" s="45"/>
      <c r="K159" s="45"/>
      <c r="L159" s="46"/>
      <c r="M159" s="45"/>
      <c r="N159" s="45"/>
      <c r="O159" s="45"/>
      <c r="P159" s="45"/>
      <c r="Q159" s="45"/>
      <c r="R159" s="45"/>
      <c r="S159" s="45"/>
    </row>
    <row r="160">
      <c r="A160" s="45"/>
      <c r="B160" s="45"/>
      <c r="C160" s="45"/>
      <c r="D160" s="45"/>
      <c r="E160" s="45"/>
      <c r="F160" s="45"/>
      <c r="G160" s="45"/>
      <c r="H160" s="45"/>
      <c r="I160" s="45"/>
      <c r="J160" s="45"/>
      <c r="K160" s="45"/>
      <c r="L160" s="46"/>
      <c r="M160" s="45"/>
      <c r="N160" s="45"/>
      <c r="O160" s="45"/>
      <c r="P160" s="45"/>
      <c r="Q160" s="45"/>
      <c r="R160" s="45"/>
      <c r="S160" s="45"/>
    </row>
    <row r="161">
      <c r="A161" s="45"/>
      <c r="B161" s="45"/>
      <c r="C161" s="45"/>
      <c r="D161" s="45"/>
      <c r="E161" s="45"/>
      <c r="F161" s="45"/>
      <c r="G161" s="45"/>
      <c r="H161" s="45"/>
      <c r="I161" s="45"/>
      <c r="J161" s="45"/>
      <c r="K161" s="45"/>
      <c r="L161" s="46"/>
      <c r="M161" s="45"/>
      <c r="N161" s="45"/>
      <c r="O161" s="45"/>
      <c r="P161" s="45"/>
      <c r="Q161" s="45"/>
      <c r="R161" s="45"/>
      <c r="S161" s="45"/>
    </row>
    <row r="162">
      <c r="A162" s="45"/>
      <c r="B162" s="45"/>
      <c r="C162" s="45"/>
      <c r="D162" s="45"/>
      <c r="E162" s="45"/>
      <c r="F162" s="45"/>
      <c r="G162" s="45"/>
      <c r="H162" s="45"/>
      <c r="I162" s="45"/>
      <c r="J162" s="45"/>
      <c r="K162" s="45"/>
      <c r="L162" s="46"/>
      <c r="M162" s="45"/>
      <c r="N162" s="45"/>
      <c r="O162" s="45"/>
      <c r="P162" s="45"/>
      <c r="Q162" s="45"/>
      <c r="R162" s="45"/>
      <c r="S162" s="45"/>
    </row>
    <row r="163">
      <c r="A163" s="45"/>
      <c r="B163" s="45"/>
      <c r="C163" s="45"/>
      <c r="D163" s="45"/>
      <c r="E163" s="45"/>
      <c r="F163" s="45"/>
      <c r="G163" s="45"/>
      <c r="H163" s="45"/>
      <c r="I163" s="45"/>
      <c r="J163" s="45"/>
      <c r="K163" s="45"/>
      <c r="L163" s="46"/>
      <c r="M163" s="45"/>
      <c r="N163" s="45"/>
      <c r="O163" s="45"/>
      <c r="P163" s="45"/>
      <c r="Q163" s="45"/>
      <c r="R163" s="45"/>
      <c r="S163" s="45"/>
    </row>
    <row r="164">
      <c r="A164" s="45"/>
      <c r="B164" s="45"/>
      <c r="C164" s="45"/>
      <c r="D164" s="45"/>
      <c r="E164" s="45"/>
      <c r="F164" s="45"/>
      <c r="G164" s="45"/>
      <c r="H164" s="45"/>
      <c r="I164" s="45"/>
      <c r="J164" s="45"/>
      <c r="K164" s="45"/>
      <c r="L164" s="46"/>
      <c r="M164" s="45"/>
      <c r="N164" s="45"/>
      <c r="O164" s="45"/>
      <c r="P164" s="45"/>
      <c r="Q164" s="45"/>
      <c r="R164" s="45"/>
      <c r="S164" s="45"/>
    </row>
    <row r="165">
      <c r="A165" s="45"/>
      <c r="B165" s="45"/>
      <c r="C165" s="45"/>
      <c r="D165" s="45"/>
      <c r="E165" s="45"/>
      <c r="F165" s="45"/>
      <c r="G165" s="45"/>
      <c r="H165" s="45"/>
      <c r="I165" s="45"/>
      <c r="J165" s="45"/>
      <c r="K165" s="45"/>
      <c r="L165" s="46"/>
      <c r="M165" s="45"/>
      <c r="N165" s="45"/>
      <c r="O165" s="45"/>
      <c r="P165" s="45"/>
      <c r="Q165" s="45"/>
      <c r="R165" s="45"/>
      <c r="S165" s="45"/>
    </row>
    <row r="166">
      <c r="A166" s="45"/>
      <c r="B166" s="45"/>
      <c r="C166" s="45"/>
      <c r="D166" s="45"/>
      <c r="E166" s="45"/>
      <c r="F166" s="45"/>
      <c r="G166" s="45"/>
      <c r="H166" s="45"/>
      <c r="I166" s="45"/>
      <c r="J166" s="45"/>
      <c r="K166" s="45"/>
      <c r="L166" s="46"/>
      <c r="M166" s="45"/>
      <c r="N166" s="45"/>
      <c r="O166" s="45"/>
      <c r="P166" s="45"/>
      <c r="Q166" s="45"/>
      <c r="R166" s="45"/>
      <c r="S166" s="45"/>
    </row>
    <row r="167">
      <c r="A167" s="45"/>
      <c r="B167" s="45"/>
      <c r="C167" s="45"/>
      <c r="D167" s="45"/>
      <c r="E167" s="45"/>
      <c r="F167" s="45"/>
      <c r="G167" s="45"/>
      <c r="H167" s="45"/>
      <c r="I167" s="45"/>
      <c r="J167" s="45"/>
      <c r="K167" s="45"/>
      <c r="L167" s="46"/>
      <c r="M167" s="45"/>
      <c r="N167" s="45"/>
      <c r="O167" s="45"/>
      <c r="P167" s="45"/>
      <c r="Q167" s="45"/>
      <c r="R167" s="45"/>
      <c r="S167" s="45"/>
    </row>
    <row r="168">
      <c r="A168" s="45"/>
      <c r="B168" s="45"/>
      <c r="C168" s="45"/>
      <c r="D168" s="45"/>
      <c r="E168" s="45"/>
      <c r="F168" s="45"/>
      <c r="G168" s="45"/>
      <c r="H168" s="45"/>
      <c r="I168" s="45"/>
      <c r="J168" s="45"/>
      <c r="K168" s="45"/>
      <c r="L168" s="46"/>
      <c r="M168" s="45"/>
      <c r="N168" s="45"/>
      <c r="O168" s="45"/>
      <c r="P168" s="45"/>
      <c r="Q168" s="45"/>
      <c r="R168" s="45"/>
      <c r="S168" s="45"/>
    </row>
    <row r="169">
      <c r="A169" s="45"/>
      <c r="B169" s="45"/>
      <c r="C169" s="45"/>
      <c r="D169" s="45"/>
      <c r="E169" s="45"/>
      <c r="F169" s="45"/>
      <c r="G169" s="45"/>
      <c r="H169" s="45"/>
      <c r="I169" s="45"/>
      <c r="J169" s="45"/>
      <c r="K169" s="45"/>
      <c r="L169" s="46"/>
      <c r="M169" s="45"/>
      <c r="N169" s="45"/>
      <c r="O169" s="45"/>
      <c r="P169" s="45"/>
      <c r="Q169" s="45"/>
      <c r="R169" s="45"/>
      <c r="S169" s="45"/>
    </row>
    <row r="170">
      <c r="A170" s="45"/>
      <c r="B170" s="45"/>
      <c r="C170" s="45"/>
      <c r="D170" s="45"/>
      <c r="E170" s="45"/>
      <c r="F170" s="45"/>
      <c r="G170" s="45"/>
      <c r="H170" s="45"/>
      <c r="I170" s="45"/>
      <c r="J170" s="45"/>
      <c r="K170" s="45"/>
      <c r="L170" s="46"/>
      <c r="M170" s="45"/>
      <c r="N170" s="45"/>
      <c r="O170" s="45"/>
      <c r="P170" s="45"/>
      <c r="Q170" s="45"/>
      <c r="R170" s="45"/>
      <c r="S170" s="45"/>
    </row>
    <row r="171">
      <c r="A171" s="45"/>
      <c r="B171" s="45"/>
      <c r="C171" s="45"/>
      <c r="D171" s="45"/>
      <c r="E171" s="45"/>
      <c r="F171" s="45"/>
      <c r="G171" s="45"/>
      <c r="H171" s="45"/>
      <c r="I171" s="45"/>
      <c r="J171" s="45"/>
      <c r="K171" s="45"/>
      <c r="L171" s="46"/>
      <c r="M171" s="45"/>
      <c r="N171" s="45"/>
      <c r="O171" s="45"/>
      <c r="P171" s="45"/>
      <c r="Q171" s="45"/>
      <c r="R171" s="45"/>
      <c r="S171" s="45"/>
    </row>
    <row r="172">
      <c r="A172" s="45"/>
      <c r="B172" s="45"/>
      <c r="C172" s="45"/>
      <c r="D172" s="45"/>
      <c r="E172" s="45"/>
      <c r="F172" s="45"/>
      <c r="G172" s="45"/>
      <c r="H172" s="45"/>
      <c r="I172" s="45"/>
      <c r="J172" s="45"/>
      <c r="K172" s="45"/>
      <c r="L172" s="46"/>
      <c r="M172" s="45"/>
      <c r="N172" s="45"/>
      <c r="O172" s="45"/>
      <c r="P172" s="45"/>
      <c r="Q172" s="45"/>
      <c r="R172" s="45"/>
      <c r="S172" s="45"/>
    </row>
    <row r="173">
      <c r="A173" s="45"/>
      <c r="B173" s="45"/>
      <c r="C173" s="45"/>
      <c r="D173" s="45"/>
      <c r="E173" s="45"/>
      <c r="F173" s="45"/>
      <c r="G173" s="45"/>
      <c r="H173" s="45"/>
      <c r="I173" s="45"/>
      <c r="J173" s="45"/>
      <c r="K173" s="45"/>
      <c r="L173" s="46"/>
      <c r="M173" s="45"/>
      <c r="N173" s="45"/>
      <c r="O173" s="45"/>
      <c r="P173" s="45"/>
      <c r="Q173" s="45"/>
      <c r="R173" s="45"/>
      <c r="S173" s="45"/>
    </row>
    <row r="174">
      <c r="A174" s="45"/>
      <c r="B174" s="45"/>
      <c r="C174" s="45"/>
      <c r="D174" s="45"/>
      <c r="E174" s="45"/>
      <c r="F174" s="45"/>
      <c r="G174" s="45"/>
      <c r="H174" s="45"/>
      <c r="I174" s="45"/>
      <c r="J174" s="45"/>
      <c r="K174" s="45"/>
      <c r="L174" s="46"/>
      <c r="M174" s="45"/>
      <c r="N174" s="45"/>
      <c r="O174" s="45"/>
      <c r="P174" s="45"/>
      <c r="Q174" s="45"/>
      <c r="R174" s="45"/>
      <c r="S174" s="45"/>
    </row>
    <row r="175">
      <c r="A175" s="45"/>
      <c r="B175" s="45"/>
      <c r="C175" s="45"/>
      <c r="D175" s="45"/>
      <c r="E175" s="45"/>
      <c r="F175" s="45"/>
      <c r="G175" s="45"/>
      <c r="H175" s="45"/>
      <c r="I175" s="45"/>
      <c r="J175" s="45"/>
      <c r="K175" s="45"/>
      <c r="L175" s="46"/>
      <c r="M175" s="45"/>
      <c r="N175" s="45"/>
      <c r="O175" s="45"/>
      <c r="P175" s="45"/>
      <c r="Q175" s="45"/>
      <c r="R175" s="45"/>
      <c r="S175" s="45"/>
    </row>
    <row r="176">
      <c r="A176" s="45"/>
      <c r="B176" s="45"/>
      <c r="C176" s="45"/>
      <c r="D176" s="45"/>
      <c r="E176" s="45"/>
      <c r="F176" s="45"/>
      <c r="G176" s="45"/>
      <c r="H176" s="45"/>
      <c r="I176" s="45"/>
      <c r="J176" s="45"/>
      <c r="K176" s="45"/>
      <c r="L176" s="46"/>
      <c r="M176" s="45"/>
      <c r="N176" s="45"/>
      <c r="O176" s="45"/>
      <c r="P176" s="45"/>
      <c r="Q176" s="45"/>
      <c r="R176" s="45"/>
      <c r="S176" s="45"/>
    </row>
    <row r="177">
      <c r="A177" s="45"/>
      <c r="B177" s="45"/>
      <c r="C177" s="45"/>
      <c r="D177" s="45"/>
      <c r="E177" s="45"/>
      <c r="F177" s="45"/>
      <c r="G177" s="45"/>
      <c r="H177" s="45"/>
      <c r="I177" s="45"/>
      <c r="J177" s="45"/>
      <c r="K177" s="45"/>
      <c r="L177" s="46"/>
      <c r="M177" s="45"/>
      <c r="N177" s="45"/>
      <c r="O177" s="45"/>
      <c r="P177" s="45"/>
      <c r="Q177" s="45"/>
      <c r="R177" s="45"/>
      <c r="S177" s="45"/>
    </row>
    <row r="178">
      <c r="A178" s="45"/>
      <c r="B178" s="45"/>
      <c r="C178" s="45"/>
      <c r="D178" s="45"/>
      <c r="E178" s="45"/>
      <c r="F178" s="45"/>
      <c r="G178" s="45"/>
      <c r="H178" s="45"/>
      <c r="I178" s="45"/>
      <c r="J178" s="45"/>
      <c r="K178" s="45"/>
      <c r="L178" s="46"/>
      <c r="M178" s="45"/>
      <c r="N178" s="45"/>
      <c r="O178" s="45"/>
      <c r="P178" s="45"/>
      <c r="Q178" s="45"/>
      <c r="R178" s="45"/>
      <c r="S178" s="45"/>
    </row>
    <row r="179">
      <c r="A179" s="45"/>
      <c r="B179" s="45"/>
      <c r="C179" s="45"/>
      <c r="D179" s="45"/>
      <c r="E179" s="45"/>
      <c r="F179" s="45"/>
      <c r="G179" s="45"/>
      <c r="H179" s="45"/>
      <c r="I179" s="45"/>
      <c r="J179" s="45"/>
      <c r="K179" s="45"/>
      <c r="L179" s="46"/>
      <c r="M179" s="45"/>
      <c r="N179" s="45"/>
      <c r="O179" s="45"/>
      <c r="P179" s="45"/>
      <c r="Q179" s="45"/>
      <c r="R179" s="45"/>
      <c r="S179" s="45"/>
    </row>
    <row r="180">
      <c r="A180" s="45"/>
      <c r="B180" s="45"/>
      <c r="C180" s="45"/>
      <c r="D180" s="45"/>
      <c r="E180" s="45"/>
      <c r="F180" s="45"/>
      <c r="G180" s="45"/>
      <c r="H180" s="45"/>
      <c r="I180" s="45"/>
      <c r="J180" s="45"/>
      <c r="K180" s="45"/>
      <c r="L180" s="46"/>
      <c r="M180" s="45"/>
      <c r="N180" s="45"/>
      <c r="O180" s="45"/>
      <c r="P180" s="45"/>
      <c r="Q180" s="45"/>
      <c r="R180" s="45"/>
      <c r="S180" s="45"/>
    </row>
    <row r="181">
      <c r="A181" s="45"/>
      <c r="B181" s="45"/>
      <c r="C181" s="45"/>
      <c r="D181" s="45"/>
      <c r="E181" s="45"/>
      <c r="F181" s="45"/>
      <c r="G181" s="45"/>
      <c r="H181" s="45"/>
      <c r="I181" s="45"/>
      <c r="J181" s="45"/>
      <c r="K181" s="45"/>
      <c r="L181" s="46"/>
      <c r="M181" s="45"/>
      <c r="N181" s="45"/>
      <c r="O181" s="45"/>
      <c r="P181" s="45"/>
      <c r="Q181" s="45"/>
      <c r="R181" s="45"/>
      <c r="S181" s="45"/>
    </row>
    <row r="182">
      <c r="A182" s="45"/>
      <c r="B182" s="45"/>
      <c r="C182" s="45"/>
      <c r="D182" s="45"/>
      <c r="E182" s="45"/>
      <c r="F182" s="45"/>
      <c r="G182" s="45"/>
      <c r="H182" s="45"/>
      <c r="I182" s="45"/>
      <c r="J182" s="45"/>
      <c r="K182" s="45"/>
      <c r="L182" s="46"/>
      <c r="M182" s="45"/>
      <c r="N182" s="45"/>
      <c r="O182" s="45"/>
      <c r="P182" s="45"/>
      <c r="Q182" s="45"/>
      <c r="R182" s="45"/>
      <c r="S182" s="45"/>
    </row>
    <row r="183">
      <c r="A183" s="45"/>
      <c r="B183" s="45"/>
      <c r="C183" s="45"/>
      <c r="D183" s="45"/>
      <c r="E183" s="45"/>
      <c r="F183" s="45"/>
      <c r="G183" s="45"/>
      <c r="H183" s="45"/>
      <c r="I183" s="45"/>
      <c r="J183" s="45"/>
      <c r="K183" s="45"/>
      <c r="L183" s="46"/>
      <c r="M183" s="45"/>
      <c r="N183" s="45"/>
      <c r="O183" s="45"/>
      <c r="P183" s="45"/>
      <c r="Q183" s="45"/>
      <c r="R183" s="45"/>
      <c r="S183" s="45"/>
    </row>
    <row r="184">
      <c r="A184" s="45"/>
      <c r="B184" s="45"/>
      <c r="C184" s="45"/>
      <c r="D184" s="45"/>
      <c r="E184" s="45"/>
      <c r="F184" s="45"/>
      <c r="G184" s="45"/>
      <c r="H184" s="45"/>
      <c r="I184" s="45"/>
      <c r="J184" s="45"/>
      <c r="K184" s="45"/>
      <c r="L184" s="46"/>
      <c r="M184" s="45"/>
      <c r="N184" s="45"/>
      <c r="O184" s="45"/>
      <c r="P184" s="45"/>
      <c r="Q184" s="45"/>
      <c r="R184" s="45"/>
      <c r="S184" s="45"/>
    </row>
    <row r="185">
      <c r="A185" s="45"/>
      <c r="B185" s="45"/>
      <c r="C185" s="45"/>
      <c r="D185" s="45"/>
      <c r="E185" s="45"/>
      <c r="F185" s="45"/>
      <c r="G185" s="45"/>
      <c r="H185" s="45"/>
      <c r="I185" s="45"/>
      <c r="J185" s="45"/>
      <c r="K185" s="45"/>
      <c r="L185" s="46"/>
      <c r="M185" s="45"/>
      <c r="N185" s="45"/>
      <c r="O185" s="45"/>
      <c r="P185" s="45"/>
      <c r="Q185" s="45"/>
      <c r="R185" s="45"/>
      <c r="S185" s="45"/>
    </row>
    <row r="186">
      <c r="A186" s="45"/>
      <c r="B186" s="45"/>
      <c r="C186" s="45"/>
      <c r="D186" s="45"/>
      <c r="E186" s="45"/>
      <c r="F186" s="45"/>
      <c r="G186" s="45"/>
      <c r="H186" s="45"/>
      <c r="I186" s="45"/>
      <c r="J186" s="45"/>
      <c r="K186" s="45"/>
      <c r="L186" s="46"/>
      <c r="M186" s="45"/>
      <c r="N186" s="45"/>
      <c r="O186" s="45"/>
      <c r="P186" s="45"/>
      <c r="Q186" s="45"/>
      <c r="R186" s="45"/>
      <c r="S186" s="45"/>
    </row>
    <row r="187">
      <c r="A187" s="45"/>
      <c r="B187" s="45"/>
      <c r="C187" s="45"/>
      <c r="D187" s="45"/>
      <c r="E187" s="45"/>
      <c r="F187" s="45"/>
      <c r="G187" s="45"/>
      <c r="H187" s="45"/>
      <c r="I187" s="45"/>
      <c r="J187" s="45"/>
      <c r="K187" s="45"/>
      <c r="L187" s="46"/>
      <c r="M187" s="45"/>
      <c r="N187" s="45"/>
      <c r="O187" s="45"/>
      <c r="P187" s="45"/>
      <c r="Q187" s="45"/>
      <c r="R187" s="45"/>
      <c r="S187" s="45"/>
    </row>
    <row r="188">
      <c r="A188" s="45"/>
      <c r="B188" s="45"/>
      <c r="C188" s="45"/>
      <c r="D188" s="45"/>
      <c r="E188" s="45"/>
      <c r="F188" s="45"/>
      <c r="G188" s="45"/>
      <c r="H188" s="45"/>
      <c r="I188" s="45"/>
      <c r="J188" s="45"/>
      <c r="K188" s="45"/>
      <c r="L188" s="46"/>
      <c r="M188" s="45"/>
      <c r="N188" s="45"/>
      <c r="O188" s="45"/>
      <c r="P188" s="45"/>
      <c r="Q188" s="45"/>
      <c r="R188" s="45"/>
      <c r="S188" s="45"/>
    </row>
    <row r="189">
      <c r="A189" s="45"/>
      <c r="B189" s="45"/>
      <c r="C189" s="45"/>
      <c r="D189" s="45"/>
      <c r="E189" s="45"/>
      <c r="F189" s="45"/>
      <c r="G189" s="45"/>
      <c r="H189" s="45"/>
      <c r="I189" s="45"/>
      <c r="J189" s="45"/>
      <c r="K189" s="45"/>
      <c r="L189" s="46"/>
      <c r="M189" s="45"/>
      <c r="N189" s="45"/>
      <c r="O189" s="45"/>
      <c r="P189" s="45"/>
      <c r="Q189" s="45"/>
      <c r="R189" s="45"/>
      <c r="S189" s="45"/>
    </row>
    <row r="190">
      <c r="A190" s="45"/>
      <c r="B190" s="45"/>
      <c r="C190" s="45"/>
      <c r="D190" s="45"/>
      <c r="E190" s="45"/>
      <c r="F190" s="45"/>
      <c r="G190" s="45"/>
      <c r="H190" s="45"/>
      <c r="I190" s="45"/>
      <c r="J190" s="45"/>
      <c r="K190" s="45"/>
      <c r="L190" s="46"/>
      <c r="M190" s="45"/>
      <c r="N190" s="45"/>
      <c r="O190" s="45"/>
      <c r="P190" s="45"/>
      <c r="Q190" s="45"/>
      <c r="R190" s="45"/>
      <c r="S190" s="45"/>
    </row>
    <row r="191">
      <c r="A191" s="45"/>
      <c r="B191" s="45"/>
      <c r="C191" s="45"/>
      <c r="D191" s="45"/>
      <c r="E191" s="45"/>
      <c r="F191" s="45"/>
      <c r="G191" s="45"/>
      <c r="H191" s="45"/>
      <c r="I191" s="45"/>
      <c r="J191" s="45"/>
      <c r="K191" s="45"/>
      <c r="L191" s="46"/>
      <c r="M191" s="45"/>
      <c r="N191" s="45"/>
      <c r="O191" s="45"/>
      <c r="P191" s="45"/>
      <c r="Q191" s="45"/>
      <c r="R191" s="45"/>
      <c r="S191" s="45"/>
    </row>
    <row r="192">
      <c r="A192" s="45"/>
      <c r="B192" s="45"/>
      <c r="C192" s="45"/>
      <c r="D192" s="45"/>
      <c r="E192" s="45"/>
      <c r="F192" s="45"/>
      <c r="G192" s="45"/>
      <c r="H192" s="45"/>
      <c r="I192" s="45"/>
      <c r="J192" s="45"/>
      <c r="K192" s="45"/>
      <c r="L192" s="46"/>
      <c r="M192" s="45"/>
      <c r="N192" s="45"/>
      <c r="O192" s="45"/>
      <c r="P192" s="45"/>
      <c r="Q192" s="45"/>
      <c r="R192" s="45"/>
      <c r="S192" s="45"/>
    </row>
    <row r="193">
      <c r="A193" s="45"/>
      <c r="B193" s="45"/>
      <c r="C193" s="45"/>
      <c r="D193" s="45"/>
      <c r="E193" s="45"/>
      <c r="F193" s="45"/>
      <c r="G193" s="45"/>
      <c r="H193" s="45"/>
      <c r="I193" s="45"/>
      <c r="J193" s="45"/>
      <c r="K193" s="45"/>
      <c r="L193" s="46"/>
      <c r="M193" s="45"/>
      <c r="N193" s="45"/>
      <c r="O193" s="45"/>
      <c r="P193" s="45"/>
      <c r="Q193" s="45"/>
      <c r="R193" s="45"/>
      <c r="S193" s="45"/>
    </row>
    <row r="194">
      <c r="A194" s="45"/>
      <c r="B194" s="45"/>
      <c r="C194" s="45"/>
      <c r="D194" s="45"/>
      <c r="E194" s="45"/>
      <c r="F194" s="45"/>
      <c r="G194" s="45"/>
      <c r="H194" s="45"/>
      <c r="I194" s="45"/>
      <c r="J194" s="45"/>
      <c r="K194" s="45"/>
      <c r="L194" s="46"/>
      <c r="M194" s="45"/>
      <c r="N194" s="45"/>
      <c r="O194" s="45"/>
      <c r="P194" s="45"/>
      <c r="Q194" s="45"/>
      <c r="R194" s="45"/>
      <c r="S194" s="45"/>
    </row>
    <row r="195">
      <c r="A195" s="45"/>
      <c r="B195" s="45"/>
      <c r="C195" s="45"/>
      <c r="D195" s="45"/>
      <c r="E195" s="45"/>
      <c r="F195" s="45"/>
      <c r="G195" s="45"/>
      <c r="H195" s="45"/>
      <c r="I195" s="45"/>
      <c r="J195" s="45"/>
      <c r="K195" s="45"/>
      <c r="L195" s="46"/>
      <c r="M195" s="45"/>
      <c r="N195" s="45"/>
      <c r="O195" s="45"/>
      <c r="P195" s="45"/>
      <c r="Q195" s="45"/>
      <c r="R195" s="45"/>
      <c r="S195" s="45"/>
    </row>
    <row r="196">
      <c r="A196" s="45"/>
      <c r="B196" s="45"/>
      <c r="C196" s="45"/>
      <c r="D196" s="45"/>
      <c r="E196" s="45"/>
      <c r="F196" s="45"/>
      <c r="G196" s="45"/>
      <c r="H196" s="45"/>
      <c r="I196" s="45"/>
      <c r="J196" s="45"/>
      <c r="K196" s="45"/>
      <c r="L196" s="46"/>
      <c r="M196" s="45"/>
      <c r="N196" s="45"/>
      <c r="O196" s="45"/>
      <c r="P196" s="45"/>
      <c r="Q196" s="45"/>
      <c r="R196" s="45"/>
      <c r="S196" s="45"/>
    </row>
    <row r="197">
      <c r="A197" s="45"/>
      <c r="B197" s="45"/>
      <c r="C197" s="45"/>
      <c r="D197" s="45"/>
      <c r="E197" s="45"/>
      <c r="F197" s="45"/>
      <c r="G197" s="45"/>
      <c r="H197" s="45"/>
      <c r="I197" s="45"/>
      <c r="J197" s="45"/>
      <c r="K197" s="45"/>
      <c r="L197" s="46"/>
      <c r="M197" s="45"/>
      <c r="N197" s="45"/>
      <c r="O197" s="45"/>
      <c r="P197" s="45"/>
      <c r="Q197" s="45"/>
      <c r="R197" s="45"/>
      <c r="S197" s="45"/>
    </row>
    <row r="198">
      <c r="A198" s="45"/>
      <c r="B198" s="45"/>
      <c r="C198" s="45"/>
      <c r="D198" s="45"/>
      <c r="E198" s="45"/>
      <c r="F198" s="45"/>
      <c r="G198" s="45"/>
      <c r="H198" s="45"/>
      <c r="I198" s="45"/>
      <c r="J198" s="45"/>
      <c r="K198" s="45"/>
      <c r="L198" s="46"/>
      <c r="M198" s="45"/>
      <c r="N198" s="45"/>
      <c r="O198" s="45"/>
      <c r="P198" s="45"/>
      <c r="Q198" s="45"/>
      <c r="R198" s="45"/>
      <c r="S198" s="45"/>
    </row>
    <row r="199">
      <c r="A199" s="45"/>
      <c r="B199" s="45"/>
      <c r="C199" s="45"/>
      <c r="D199" s="45"/>
      <c r="E199" s="45"/>
      <c r="F199" s="45"/>
      <c r="G199" s="45"/>
      <c r="H199" s="45"/>
      <c r="I199" s="45"/>
      <c r="J199" s="45"/>
      <c r="K199" s="45"/>
      <c r="L199" s="46"/>
      <c r="M199" s="45"/>
      <c r="N199" s="45"/>
      <c r="O199" s="45"/>
      <c r="P199" s="45"/>
      <c r="Q199" s="45"/>
      <c r="R199" s="45"/>
      <c r="S199" s="45"/>
    </row>
    <row r="200">
      <c r="A200" s="45"/>
      <c r="B200" s="45"/>
      <c r="C200" s="45"/>
      <c r="D200" s="45"/>
      <c r="E200" s="45"/>
      <c r="F200" s="45"/>
      <c r="G200" s="45"/>
      <c r="H200" s="45"/>
      <c r="I200" s="45"/>
      <c r="J200" s="45"/>
      <c r="K200" s="45"/>
      <c r="L200" s="46"/>
      <c r="M200" s="45"/>
      <c r="N200" s="45"/>
      <c r="O200" s="45"/>
      <c r="P200" s="45"/>
      <c r="Q200" s="45"/>
      <c r="R200" s="45"/>
      <c r="S200" s="45"/>
    </row>
    <row r="201">
      <c r="A201" s="45"/>
      <c r="B201" s="45"/>
      <c r="C201" s="45"/>
      <c r="D201" s="45"/>
      <c r="E201" s="45"/>
      <c r="F201" s="45"/>
      <c r="G201" s="45"/>
      <c r="H201" s="45"/>
      <c r="I201" s="45"/>
      <c r="J201" s="45"/>
      <c r="K201" s="45"/>
      <c r="L201" s="46"/>
      <c r="M201" s="45"/>
      <c r="N201" s="45"/>
      <c r="O201" s="45"/>
      <c r="P201" s="45"/>
      <c r="Q201" s="45"/>
      <c r="R201" s="45"/>
      <c r="S201" s="45"/>
    </row>
    <row r="202">
      <c r="A202" s="45"/>
      <c r="B202" s="45"/>
      <c r="C202" s="45"/>
      <c r="D202" s="45"/>
      <c r="E202" s="45"/>
      <c r="F202" s="45"/>
      <c r="G202" s="45"/>
      <c r="H202" s="45"/>
      <c r="I202" s="45"/>
      <c r="J202" s="45"/>
      <c r="K202" s="45"/>
      <c r="L202" s="46"/>
      <c r="M202" s="45"/>
      <c r="N202" s="45"/>
      <c r="O202" s="45"/>
      <c r="P202" s="45"/>
      <c r="Q202" s="45"/>
      <c r="R202" s="45"/>
      <c r="S202" s="45"/>
    </row>
    <row r="203">
      <c r="A203" s="45"/>
      <c r="B203" s="45"/>
      <c r="C203" s="45"/>
      <c r="D203" s="45"/>
      <c r="E203" s="45"/>
      <c r="F203" s="45"/>
      <c r="G203" s="45"/>
      <c r="H203" s="45"/>
      <c r="I203" s="45"/>
      <c r="J203" s="45"/>
      <c r="K203" s="45"/>
      <c r="L203" s="46"/>
      <c r="M203" s="45"/>
      <c r="N203" s="45"/>
      <c r="O203" s="45"/>
      <c r="P203" s="45"/>
      <c r="Q203" s="45"/>
      <c r="R203" s="45"/>
      <c r="S203" s="45"/>
    </row>
    <row r="204">
      <c r="A204" s="45"/>
      <c r="B204" s="45"/>
      <c r="C204" s="45"/>
      <c r="D204" s="45"/>
      <c r="E204" s="45"/>
      <c r="F204" s="45"/>
      <c r="G204" s="45"/>
      <c r="H204" s="45"/>
      <c r="I204" s="45"/>
      <c r="J204" s="45"/>
      <c r="K204" s="45"/>
      <c r="L204" s="46"/>
      <c r="M204" s="45"/>
      <c r="N204" s="45"/>
      <c r="O204" s="45"/>
      <c r="P204" s="45"/>
      <c r="Q204" s="45"/>
      <c r="R204" s="45"/>
      <c r="S204" s="45"/>
    </row>
    <row r="205">
      <c r="A205" s="45"/>
      <c r="B205" s="45"/>
      <c r="C205" s="45"/>
      <c r="D205" s="45"/>
      <c r="E205" s="45"/>
      <c r="F205" s="45"/>
      <c r="G205" s="45"/>
      <c r="H205" s="45"/>
      <c r="I205" s="45"/>
      <c r="J205" s="45"/>
      <c r="K205" s="45"/>
      <c r="L205" s="46"/>
      <c r="M205" s="45"/>
      <c r="N205" s="45"/>
      <c r="O205" s="45"/>
      <c r="P205" s="45"/>
      <c r="Q205" s="45"/>
      <c r="R205" s="45"/>
      <c r="S205" s="45"/>
    </row>
    <row r="206">
      <c r="A206" s="45"/>
      <c r="B206" s="45"/>
      <c r="C206" s="45"/>
      <c r="D206" s="45"/>
      <c r="E206" s="45"/>
      <c r="F206" s="45"/>
      <c r="G206" s="45"/>
      <c r="H206" s="45"/>
      <c r="I206" s="45"/>
      <c r="J206" s="45"/>
      <c r="K206" s="45"/>
      <c r="L206" s="46"/>
      <c r="M206" s="45"/>
      <c r="N206" s="45"/>
      <c r="O206" s="45"/>
      <c r="P206" s="45"/>
      <c r="Q206" s="45"/>
      <c r="R206" s="45"/>
      <c r="S206" s="45"/>
    </row>
    <row r="207">
      <c r="A207" s="45"/>
      <c r="B207" s="45"/>
      <c r="C207" s="45"/>
      <c r="D207" s="45"/>
      <c r="E207" s="45"/>
      <c r="F207" s="45"/>
      <c r="G207" s="45"/>
      <c r="H207" s="45"/>
      <c r="I207" s="45"/>
      <c r="J207" s="45"/>
      <c r="K207" s="45"/>
      <c r="L207" s="46"/>
      <c r="M207" s="45"/>
      <c r="N207" s="45"/>
      <c r="O207" s="45"/>
      <c r="P207" s="45"/>
      <c r="Q207" s="45"/>
      <c r="R207" s="45"/>
      <c r="S207" s="45"/>
    </row>
    <row r="208">
      <c r="A208" s="45"/>
      <c r="B208" s="45"/>
      <c r="C208" s="45"/>
      <c r="D208" s="45"/>
      <c r="E208" s="45"/>
      <c r="F208" s="45"/>
      <c r="G208" s="45"/>
      <c r="H208" s="45"/>
      <c r="I208" s="45"/>
      <c r="J208" s="45"/>
      <c r="K208" s="45"/>
      <c r="L208" s="46"/>
      <c r="M208" s="45"/>
      <c r="N208" s="45"/>
      <c r="O208" s="45"/>
      <c r="P208" s="45"/>
      <c r="Q208" s="45"/>
      <c r="R208" s="45"/>
      <c r="S208" s="45"/>
    </row>
    <row r="209">
      <c r="A209" s="45"/>
      <c r="B209" s="45"/>
      <c r="C209" s="45"/>
      <c r="D209" s="45"/>
      <c r="E209" s="45"/>
      <c r="F209" s="45"/>
      <c r="G209" s="45"/>
      <c r="H209" s="45"/>
      <c r="I209" s="45"/>
      <c r="J209" s="45"/>
      <c r="K209" s="45"/>
      <c r="L209" s="46"/>
      <c r="M209" s="45"/>
      <c r="N209" s="45"/>
      <c r="O209" s="45"/>
      <c r="P209" s="45"/>
      <c r="Q209" s="45"/>
      <c r="R209" s="45"/>
      <c r="S209" s="45"/>
    </row>
    <row r="210">
      <c r="A210" s="45"/>
      <c r="B210" s="45"/>
      <c r="C210" s="45"/>
      <c r="D210" s="45"/>
      <c r="E210" s="45"/>
      <c r="F210" s="45"/>
      <c r="G210" s="45"/>
      <c r="H210" s="45"/>
      <c r="I210" s="45"/>
      <c r="J210" s="45"/>
      <c r="K210" s="45"/>
      <c r="L210" s="46"/>
      <c r="M210" s="45"/>
      <c r="N210" s="45"/>
      <c r="O210" s="45"/>
      <c r="P210" s="45"/>
      <c r="Q210" s="45"/>
      <c r="R210" s="45"/>
      <c r="S210" s="45"/>
    </row>
    <row r="211">
      <c r="A211" s="45"/>
      <c r="B211" s="45"/>
      <c r="C211" s="45"/>
      <c r="D211" s="45"/>
      <c r="E211" s="45"/>
      <c r="F211" s="45"/>
      <c r="G211" s="45"/>
      <c r="H211" s="45"/>
      <c r="I211" s="45"/>
      <c r="J211" s="45"/>
      <c r="K211" s="45"/>
      <c r="L211" s="46"/>
      <c r="M211" s="45"/>
      <c r="N211" s="45"/>
      <c r="O211" s="45"/>
      <c r="P211" s="45"/>
      <c r="Q211" s="45"/>
      <c r="R211" s="45"/>
      <c r="S211" s="45"/>
    </row>
    <row r="212">
      <c r="A212" s="45"/>
      <c r="B212" s="45"/>
      <c r="C212" s="45"/>
      <c r="D212" s="45"/>
      <c r="E212" s="45"/>
      <c r="F212" s="45"/>
      <c r="G212" s="45"/>
      <c r="H212" s="45"/>
      <c r="I212" s="45"/>
      <c r="J212" s="45"/>
      <c r="K212" s="45"/>
      <c r="L212" s="46"/>
      <c r="M212" s="45"/>
      <c r="N212" s="45"/>
      <c r="O212" s="45"/>
      <c r="P212" s="45"/>
      <c r="Q212" s="45"/>
      <c r="R212" s="45"/>
      <c r="S212" s="45"/>
    </row>
    <row r="213">
      <c r="A213" s="45"/>
      <c r="B213" s="45"/>
      <c r="C213" s="45"/>
      <c r="D213" s="45"/>
      <c r="E213" s="45"/>
      <c r="F213" s="45"/>
      <c r="G213" s="45"/>
      <c r="H213" s="45"/>
      <c r="I213" s="45"/>
      <c r="J213" s="45"/>
      <c r="K213" s="45"/>
      <c r="L213" s="46"/>
      <c r="M213" s="45"/>
      <c r="N213" s="45"/>
      <c r="O213" s="45"/>
      <c r="P213" s="45"/>
      <c r="Q213" s="45"/>
      <c r="R213" s="45"/>
      <c r="S213" s="45"/>
    </row>
    <row r="214">
      <c r="A214" s="45"/>
      <c r="B214" s="45"/>
      <c r="C214" s="45"/>
      <c r="D214" s="45"/>
      <c r="E214" s="45"/>
      <c r="F214" s="45"/>
      <c r="G214" s="45"/>
      <c r="H214" s="45"/>
      <c r="I214" s="45"/>
      <c r="J214" s="45"/>
      <c r="K214" s="45"/>
      <c r="L214" s="46"/>
      <c r="M214" s="45"/>
      <c r="N214" s="45"/>
      <c r="O214" s="45"/>
      <c r="P214" s="45"/>
      <c r="Q214" s="45"/>
      <c r="R214" s="45"/>
      <c r="S214" s="45"/>
    </row>
    <row r="215">
      <c r="A215" s="45"/>
      <c r="B215" s="45"/>
      <c r="C215" s="45"/>
      <c r="D215" s="45"/>
      <c r="E215" s="45"/>
      <c r="F215" s="45"/>
      <c r="G215" s="45"/>
      <c r="H215" s="45"/>
      <c r="I215" s="45"/>
      <c r="J215" s="45"/>
      <c r="K215" s="45"/>
      <c r="L215" s="46"/>
      <c r="M215" s="45"/>
      <c r="N215" s="45"/>
      <c r="O215" s="45"/>
      <c r="P215" s="45"/>
      <c r="Q215" s="45"/>
      <c r="R215" s="45"/>
      <c r="S215" s="45"/>
    </row>
    <row r="216">
      <c r="A216" s="45"/>
      <c r="B216" s="45"/>
      <c r="C216" s="45"/>
      <c r="D216" s="45"/>
      <c r="E216" s="45"/>
      <c r="F216" s="45"/>
      <c r="G216" s="45"/>
      <c r="H216" s="45"/>
      <c r="I216" s="45"/>
      <c r="J216" s="45"/>
      <c r="K216" s="45"/>
      <c r="L216" s="46"/>
      <c r="M216" s="45"/>
      <c r="N216" s="45"/>
      <c r="O216" s="45"/>
      <c r="P216" s="45"/>
      <c r="Q216" s="45"/>
      <c r="R216" s="45"/>
      <c r="S216" s="45"/>
    </row>
    <row r="217">
      <c r="A217" s="45"/>
      <c r="B217" s="45"/>
      <c r="C217" s="45"/>
      <c r="D217" s="45"/>
      <c r="E217" s="45"/>
      <c r="F217" s="45"/>
      <c r="G217" s="45"/>
      <c r="H217" s="45"/>
      <c r="I217" s="45"/>
      <c r="J217" s="45"/>
      <c r="K217" s="45"/>
      <c r="L217" s="46"/>
      <c r="M217" s="45"/>
      <c r="N217" s="45"/>
      <c r="O217" s="45"/>
      <c r="P217" s="45"/>
      <c r="Q217" s="45"/>
      <c r="R217" s="45"/>
      <c r="S217" s="45"/>
    </row>
    <row r="218">
      <c r="A218" s="45"/>
      <c r="B218" s="45"/>
      <c r="C218" s="45"/>
      <c r="D218" s="45"/>
      <c r="E218" s="45"/>
      <c r="F218" s="45"/>
      <c r="G218" s="45"/>
      <c r="H218" s="45"/>
      <c r="I218" s="45"/>
      <c r="J218" s="45"/>
      <c r="K218" s="45"/>
      <c r="L218" s="46"/>
      <c r="M218" s="45"/>
      <c r="N218" s="45"/>
      <c r="O218" s="45"/>
      <c r="P218" s="45"/>
      <c r="Q218" s="45"/>
      <c r="R218" s="45"/>
      <c r="S218" s="45"/>
    </row>
    <row r="219">
      <c r="A219" s="45"/>
      <c r="B219" s="45"/>
      <c r="C219" s="45"/>
      <c r="D219" s="45"/>
      <c r="E219" s="45"/>
      <c r="F219" s="45"/>
      <c r="G219" s="45"/>
      <c r="H219" s="45"/>
      <c r="I219" s="45"/>
      <c r="J219" s="45"/>
      <c r="K219" s="45"/>
      <c r="L219" s="46"/>
      <c r="M219" s="45"/>
      <c r="N219" s="45"/>
      <c r="O219" s="45"/>
      <c r="P219" s="45"/>
      <c r="Q219" s="45"/>
      <c r="R219" s="45"/>
      <c r="S219" s="45"/>
    </row>
    <row r="220">
      <c r="A220" s="45"/>
      <c r="B220" s="45"/>
      <c r="C220" s="45"/>
      <c r="D220" s="45"/>
      <c r="E220" s="45"/>
      <c r="F220" s="45"/>
      <c r="G220" s="45"/>
      <c r="H220" s="45"/>
      <c r="I220" s="45"/>
      <c r="J220" s="45"/>
      <c r="K220" s="45"/>
      <c r="L220" s="46"/>
      <c r="M220" s="45"/>
      <c r="N220" s="45"/>
      <c r="O220" s="45"/>
      <c r="P220" s="45"/>
      <c r="Q220" s="45"/>
      <c r="R220" s="45"/>
      <c r="S220" s="45"/>
    </row>
    <row r="221">
      <c r="A221" s="45"/>
      <c r="B221" s="45"/>
      <c r="C221" s="45"/>
      <c r="D221" s="45"/>
      <c r="E221" s="45"/>
      <c r="F221" s="45"/>
      <c r="G221" s="45"/>
      <c r="H221" s="45"/>
      <c r="I221" s="45"/>
      <c r="J221" s="45"/>
      <c r="K221" s="45"/>
      <c r="L221" s="46"/>
      <c r="M221" s="45"/>
      <c r="N221" s="45"/>
      <c r="O221" s="45"/>
      <c r="P221" s="45"/>
      <c r="Q221" s="45"/>
      <c r="R221" s="45"/>
      <c r="S221" s="45"/>
    </row>
    <row r="222">
      <c r="A222" s="45"/>
      <c r="B222" s="45"/>
      <c r="C222" s="45"/>
      <c r="D222" s="45"/>
      <c r="E222" s="45"/>
      <c r="F222" s="45"/>
      <c r="G222" s="45"/>
      <c r="H222" s="45"/>
      <c r="I222" s="45"/>
      <c r="J222" s="45"/>
      <c r="K222" s="45"/>
      <c r="L222" s="46"/>
      <c r="M222" s="45"/>
      <c r="N222" s="45"/>
      <c r="O222" s="45"/>
      <c r="P222" s="45"/>
      <c r="Q222" s="45"/>
      <c r="R222" s="45"/>
      <c r="S222" s="45"/>
    </row>
    <row r="223">
      <c r="A223" s="45"/>
      <c r="B223" s="45"/>
      <c r="C223" s="45"/>
      <c r="D223" s="45"/>
      <c r="E223" s="45"/>
      <c r="F223" s="45"/>
      <c r="G223" s="45"/>
      <c r="H223" s="45"/>
      <c r="I223" s="45"/>
      <c r="J223" s="45"/>
      <c r="K223" s="45"/>
      <c r="L223" s="46"/>
      <c r="M223" s="45"/>
      <c r="N223" s="45"/>
      <c r="O223" s="45"/>
      <c r="P223" s="45"/>
      <c r="Q223" s="45"/>
      <c r="R223" s="45"/>
      <c r="S223" s="45"/>
    </row>
    <row r="224">
      <c r="A224" s="45"/>
      <c r="B224" s="45"/>
      <c r="C224" s="45"/>
      <c r="D224" s="45"/>
      <c r="E224" s="45"/>
      <c r="F224" s="45"/>
      <c r="G224" s="45"/>
      <c r="H224" s="45"/>
      <c r="I224" s="45"/>
      <c r="J224" s="45"/>
      <c r="K224" s="45"/>
      <c r="L224" s="46"/>
      <c r="M224" s="45"/>
      <c r="N224" s="45"/>
      <c r="O224" s="45"/>
      <c r="P224" s="45"/>
      <c r="Q224" s="45"/>
      <c r="R224" s="45"/>
      <c r="S224" s="45"/>
    </row>
    <row r="225">
      <c r="A225" s="45"/>
      <c r="B225" s="45"/>
      <c r="C225" s="45"/>
      <c r="D225" s="45"/>
      <c r="E225" s="45"/>
      <c r="F225" s="45"/>
      <c r="G225" s="45"/>
      <c r="H225" s="45"/>
      <c r="I225" s="45"/>
      <c r="J225" s="45"/>
      <c r="K225" s="45"/>
      <c r="L225" s="46"/>
      <c r="M225" s="45"/>
      <c r="N225" s="45"/>
      <c r="O225" s="45"/>
      <c r="P225" s="45"/>
      <c r="Q225" s="45"/>
      <c r="R225" s="45"/>
      <c r="S225" s="45"/>
    </row>
    <row r="226">
      <c r="A226" s="45"/>
      <c r="B226" s="45"/>
      <c r="C226" s="45"/>
      <c r="D226" s="45"/>
      <c r="E226" s="45"/>
      <c r="F226" s="45"/>
      <c r="G226" s="45"/>
      <c r="H226" s="45"/>
      <c r="I226" s="45"/>
      <c r="J226" s="45"/>
      <c r="K226" s="45"/>
      <c r="L226" s="46"/>
      <c r="M226" s="45"/>
      <c r="N226" s="45"/>
      <c r="O226" s="45"/>
      <c r="P226" s="45"/>
      <c r="Q226" s="45"/>
      <c r="R226" s="45"/>
      <c r="S226" s="45"/>
    </row>
    <row r="227">
      <c r="A227" s="45"/>
      <c r="B227" s="45"/>
      <c r="C227" s="45"/>
      <c r="D227" s="45"/>
      <c r="E227" s="45"/>
      <c r="F227" s="45"/>
      <c r="G227" s="45"/>
      <c r="H227" s="45"/>
      <c r="I227" s="45"/>
      <c r="J227" s="45"/>
      <c r="K227" s="45"/>
      <c r="L227" s="46"/>
      <c r="M227" s="45"/>
      <c r="N227" s="45"/>
      <c r="O227" s="45"/>
      <c r="P227" s="45"/>
      <c r="Q227" s="45"/>
      <c r="R227" s="45"/>
      <c r="S227" s="45"/>
    </row>
    <row r="228">
      <c r="A228" s="45"/>
      <c r="B228" s="45"/>
      <c r="C228" s="45"/>
      <c r="D228" s="45"/>
      <c r="E228" s="45"/>
      <c r="F228" s="45"/>
      <c r="G228" s="45"/>
      <c r="H228" s="45"/>
      <c r="I228" s="45"/>
      <c r="J228" s="45"/>
      <c r="K228" s="45"/>
      <c r="L228" s="46"/>
      <c r="M228" s="45"/>
      <c r="N228" s="45"/>
      <c r="O228" s="45"/>
      <c r="P228" s="45"/>
      <c r="Q228" s="45"/>
      <c r="R228" s="45"/>
      <c r="S228" s="45"/>
    </row>
    <row r="229">
      <c r="A229" s="45"/>
      <c r="B229" s="45"/>
      <c r="C229" s="45"/>
      <c r="D229" s="45"/>
      <c r="E229" s="45"/>
      <c r="F229" s="45"/>
      <c r="G229" s="45"/>
      <c r="H229" s="45"/>
      <c r="I229" s="45"/>
      <c r="J229" s="45"/>
      <c r="K229" s="45"/>
      <c r="L229" s="46"/>
      <c r="M229" s="45"/>
      <c r="N229" s="45"/>
      <c r="O229" s="45"/>
      <c r="P229" s="45"/>
      <c r="Q229" s="45"/>
      <c r="R229" s="45"/>
      <c r="S229" s="45"/>
    </row>
    <row r="230">
      <c r="A230" s="45"/>
      <c r="B230" s="45"/>
      <c r="C230" s="45"/>
      <c r="D230" s="45"/>
      <c r="E230" s="45"/>
      <c r="F230" s="45"/>
      <c r="G230" s="45"/>
      <c r="H230" s="45"/>
      <c r="I230" s="45"/>
      <c r="J230" s="45"/>
      <c r="K230" s="45"/>
      <c r="L230" s="46"/>
      <c r="M230" s="45"/>
      <c r="N230" s="45"/>
      <c r="O230" s="45"/>
      <c r="P230" s="45"/>
      <c r="Q230" s="45"/>
      <c r="R230" s="45"/>
      <c r="S230" s="45"/>
    </row>
    <row r="231">
      <c r="A231" s="45"/>
      <c r="B231" s="45"/>
      <c r="C231" s="45"/>
      <c r="D231" s="45"/>
      <c r="E231" s="45"/>
      <c r="F231" s="45"/>
      <c r="G231" s="45"/>
      <c r="H231" s="45"/>
      <c r="I231" s="45"/>
      <c r="J231" s="45"/>
      <c r="K231" s="45"/>
      <c r="L231" s="46"/>
      <c r="M231" s="45"/>
      <c r="N231" s="45"/>
      <c r="O231" s="45"/>
      <c r="P231" s="45"/>
      <c r="Q231" s="45"/>
      <c r="R231" s="45"/>
      <c r="S231" s="45"/>
    </row>
    <row r="232">
      <c r="A232" s="45"/>
      <c r="B232" s="45"/>
      <c r="C232" s="45"/>
      <c r="D232" s="45"/>
      <c r="E232" s="45"/>
      <c r="F232" s="45"/>
      <c r="G232" s="45"/>
      <c r="H232" s="45"/>
      <c r="I232" s="45"/>
      <c r="J232" s="45"/>
      <c r="K232" s="45"/>
      <c r="L232" s="46"/>
      <c r="M232" s="45"/>
      <c r="N232" s="45"/>
      <c r="O232" s="45"/>
      <c r="P232" s="45"/>
      <c r="Q232" s="45"/>
      <c r="R232" s="45"/>
      <c r="S232" s="45"/>
    </row>
    <row r="233">
      <c r="A233" s="45"/>
      <c r="B233" s="45"/>
      <c r="C233" s="45"/>
      <c r="D233" s="45"/>
      <c r="E233" s="45"/>
      <c r="F233" s="45"/>
      <c r="G233" s="45"/>
      <c r="H233" s="45"/>
      <c r="I233" s="45"/>
      <c r="J233" s="45"/>
      <c r="K233" s="45"/>
      <c r="L233" s="46"/>
      <c r="M233" s="45"/>
      <c r="N233" s="45"/>
      <c r="O233" s="45"/>
      <c r="P233" s="45"/>
      <c r="Q233" s="45"/>
      <c r="R233" s="45"/>
      <c r="S233" s="45"/>
    </row>
    <row r="234">
      <c r="A234" s="45"/>
      <c r="B234" s="45"/>
      <c r="C234" s="45"/>
      <c r="D234" s="45"/>
      <c r="E234" s="45"/>
      <c r="F234" s="45"/>
      <c r="G234" s="45"/>
      <c r="H234" s="45"/>
      <c r="I234" s="45"/>
      <c r="J234" s="45"/>
      <c r="K234" s="45"/>
      <c r="L234" s="46"/>
      <c r="M234" s="45"/>
      <c r="N234" s="45"/>
      <c r="O234" s="45"/>
      <c r="P234" s="45"/>
      <c r="Q234" s="45"/>
      <c r="R234" s="45"/>
      <c r="S234" s="45"/>
    </row>
    <row r="235">
      <c r="A235" s="45"/>
      <c r="B235" s="45"/>
      <c r="C235" s="45"/>
      <c r="D235" s="45"/>
      <c r="E235" s="45"/>
      <c r="F235" s="45"/>
      <c r="G235" s="45"/>
      <c r="H235" s="45"/>
      <c r="I235" s="45"/>
      <c r="J235" s="45"/>
      <c r="K235" s="45"/>
      <c r="L235" s="46"/>
      <c r="M235" s="45"/>
      <c r="N235" s="45"/>
      <c r="O235" s="45"/>
      <c r="P235" s="45"/>
      <c r="Q235" s="45"/>
      <c r="R235" s="45"/>
      <c r="S235" s="45"/>
    </row>
    <row r="236">
      <c r="A236" s="45"/>
      <c r="B236" s="45"/>
      <c r="C236" s="45"/>
      <c r="D236" s="45"/>
      <c r="E236" s="45"/>
      <c r="F236" s="45"/>
      <c r="G236" s="45"/>
      <c r="H236" s="45"/>
      <c r="I236" s="45"/>
      <c r="J236" s="45"/>
      <c r="K236" s="45"/>
      <c r="L236" s="46"/>
      <c r="M236" s="45"/>
      <c r="N236" s="45"/>
      <c r="O236" s="45"/>
      <c r="P236" s="45"/>
      <c r="Q236" s="45"/>
      <c r="R236" s="45"/>
      <c r="S236" s="45"/>
    </row>
    <row r="237">
      <c r="A237" s="45"/>
      <c r="B237" s="45"/>
      <c r="C237" s="45"/>
      <c r="D237" s="45"/>
      <c r="E237" s="45"/>
      <c r="F237" s="45"/>
      <c r="G237" s="45"/>
      <c r="H237" s="45"/>
      <c r="I237" s="45"/>
      <c r="J237" s="45"/>
      <c r="K237" s="45"/>
      <c r="L237" s="46"/>
      <c r="M237" s="45"/>
      <c r="N237" s="45"/>
      <c r="O237" s="45"/>
      <c r="P237" s="45"/>
      <c r="Q237" s="45"/>
      <c r="R237" s="45"/>
      <c r="S237" s="45"/>
    </row>
    <row r="238">
      <c r="A238" s="45"/>
      <c r="B238" s="45"/>
      <c r="C238" s="45"/>
      <c r="D238" s="45"/>
      <c r="E238" s="45"/>
      <c r="F238" s="45"/>
      <c r="G238" s="45"/>
      <c r="H238" s="45"/>
      <c r="I238" s="45"/>
      <c r="J238" s="45"/>
      <c r="K238" s="45"/>
      <c r="L238" s="46"/>
      <c r="M238" s="45"/>
      <c r="N238" s="45"/>
      <c r="O238" s="45"/>
      <c r="P238" s="45"/>
      <c r="Q238" s="45"/>
      <c r="R238" s="45"/>
      <c r="S238" s="45"/>
    </row>
    <row r="239">
      <c r="A239" s="45"/>
      <c r="B239" s="45"/>
      <c r="C239" s="45"/>
      <c r="D239" s="45"/>
      <c r="E239" s="45"/>
      <c r="F239" s="45"/>
      <c r="G239" s="45"/>
      <c r="H239" s="45"/>
      <c r="I239" s="45"/>
      <c r="J239" s="45"/>
      <c r="K239" s="45"/>
      <c r="L239" s="46"/>
      <c r="M239" s="45"/>
      <c r="N239" s="45"/>
      <c r="O239" s="45"/>
      <c r="P239" s="45"/>
      <c r="Q239" s="45"/>
      <c r="R239" s="45"/>
      <c r="S239" s="45"/>
    </row>
    <row r="240">
      <c r="A240" s="45"/>
      <c r="B240" s="45"/>
      <c r="C240" s="45"/>
      <c r="D240" s="45"/>
      <c r="E240" s="45"/>
      <c r="F240" s="45"/>
      <c r="G240" s="45"/>
      <c r="H240" s="45"/>
      <c r="I240" s="45"/>
      <c r="J240" s="45"/>
      <c r="K240" s="45"/>
      <c r="L240" s="46"/>
      <c r="M240" s="45"/>
      <c r="N240" s="45"/>
      <c r="O240" s="45"/>
      <c r="P240" s="45"/>
      <c r="Q240" s="45"/>
      <c r="R240" s="45"/>
      <c r="S240" s="45"/>
    </row>
    <row r="241">
      <c r="A241" s="45"/>
      <c r="B241" s="45"/>
      <c r="C241" s="45"/>
      <c r="D241" s="45"/>
      <c r="E241" s="45"/>
      <c r="F241" s="45"/>
      <c r="G241" s="45"/>
      <c r="H241" s="45"/>
      <c r="I241" s="45"/>
      <c r="J241" s="45"/>
      <c r="K241" s="45"/>
      <c r="L241" s="46"/>
      <c r="M241" s="45"/>
      <c r="N241" s="45"/>
      <c r="O241" s="45"/>
      <c r="P241" s="45"/>
      <c r="Q241" s="45"/>
      <c r="R241" s="45"/>
      <c r="S241" s="45"/>
    </row>
    <row r="242">
      <c r="A242" s="45"/>
      <c r="B242" s="45"/>
      <c r="C242" s="45"/>
      <c r="D242" s="45"/>
      <c r="E242" s="45"/>
      <c r="F242" s="45"/>
      <c r="G242" s="45"/>
      <c r="H242" s="45"/>
      <c r="I242" s="45"/>
      <c r="J242" s="45"/>
      <c r="K242" s="45"/>
      <c r="L242" s="46"/>
      <c r="M242" s="45"/>
      <c r="N242" s="45"/>
      <c r="O242" s="45"/>
      <c r="P242" s="45"/>
      <c r="Q242" s="45"/>
      <c r="R242" s="45"/>
      <c r="S242" s="45"/>
    </row>
    <row r="243">
      <c r="A243" s="45"/>
      <c r="B243" s="45"/>
      <c r="C243" s="45"/>
      <c r="D243" s="45"/>
      <c r="E243" s="45"/>
      <c r="F243" s="45"/>
      <c r="G243" s="45"/>
      <c r="H243" s="45"/>
      <c r="I243" s="45"/>
      <c r="J243" s="45"/>
      <c r="K243" s="45"/>
      <c r="L243" s="46"/>
      <c r="M243" s="45"/>
      <c r="N243" s="45"/>
      <c r="O243" s="45"/>
      <c r="P243" s="45"/>
      <c r="Q243" s="45"/>
      <c r="R243" s="45"/>
      <c r="S243" s="45"/>
    </row>
    <row r="244">
      <c r="A244" s="45"/>
      <c r="B244" s="45"/>
      <c r="C244" s="45"/>
      <c r="D244" s="45"/>
      <c r="E244" s="45"/>
      <c r="F244" s="45"/>
      <c r="G244" s="45"/>
      <c r="H244" s="45"/>
      <c r="I244" s="45"/>
      <c r="J244" s="45"/>
      <c r="K244" s="45"/>
      <c r="L244" s="46"/>
      <c r="M244" s="45"/>
      <c r="N244" s="45"/>
      <c r="O244" s="45"/>
      <c r="P244" s="45"/>
      <c r="Q244" s="45"/>
      <c r="R244" s="45"/>
      <c r="S244" s="45"/>
    </row>
    <row r="245">
      <c r="A245" s="45"/>
      <c r="B245" s="45"/>
      <c r="C245" s="45"/>
      <c r="D245" s="45"/>
      <c r="E245" s="45"/>
      <c r="F245" s="45"/>
      <c r="G245" s="45"/>
      <c r="H245" s="45"/>
      <c r="I245" s="45"/>
      <c r="J245" s="45"/>
      <c r="K245" s="45"/>
      <c r="L245" s="46"/>
      <c r="M245" s="45"/>
      <c r="N245" s="45"/>
      <c r="O245" s="45"/>
      <c r="P245" s="45"/>
      <c r="Q245" s="45"/>
      <c r="R245" s="45"/>
      <c r="S245" s="45"/>
    </row>
    <row r="246">
      <c r="A246" s="45"/>
      <c r="B246" s="45"/>
      <c r="C246" s="45"/>
      <c r="D246" s="45"/>
      <c r="E246" s="45"/>
      <c r="F246" s="45"/>
      <c r="G246" s="45"/>
      <c r="H246" s="45"/>
      <c r="I246" s="45"/>
      <c r="J246" s="45"/>
      <c r="K246" s="45"/>
      <c r="L246" s="46"/>
      <c r="M246" s="45"/>
      <c r="N246" s="45"/>
      <c r="O246" s="45"/>
      <c r="P246" s="45"/>
      <c r="Q246" s="45"/>
      <c r="R246" s="45"/>
      <c r="S246" s="45"/>
    </row>
    <row r="247">
      <c r="A247" s="45"/>
      <c r="B247" s="45"/>
      <c r="C247" s="45"/>
      <c r="D247" s="45"/>
      <c r="E247" s="45"/>
      <c r="F247" s="45"/>
      <c r="G247" s="45"/>
      <c r="H247" s="45"/>
      <c r="I247" s="45"/>
      <c r="J247" s="45"/>
      <c r="K247" s="45"/>
      <c r="L247" s="46"/>
      <c r="M247" s="45"/>
      <c r="N247" s="45"/>
      <c r="O247" s="45"/>
      <c r="P247" s="45"/>
      <c r="Q247" s="45"/>
      <c r="R247" s="45"/>
      <c r="S247" s="45"/>
    </row>
    <row r="248">
      <c r="A248" s="45"/>
      <c r="B248" s="45"/>
      <c r="C248" s="45"/>
      <c r="D248" s="45"/>
      <c r="E248" s="45"/>
      <c r="F248" s="45"/>
      <c r="G248" s="45"/>
      <c r="H248" s="45"/>
      <c r="I248" s="45"/>
      <c r="J248" s="45"/>
      <c r="K248" s="45"/>
      <c r="L248" s="46"/>
      <c r="M248" s="45"/>
      <c r="N248" s="45"/>
      <c r="O248" s="45"/>
      <c r="P248" s="45"/>
      <c r="Q248" s="45"/>
      <c r="R248" s="45"/>
      <c r="S248" s="45"/>
    </row>
    <row r="249">
      <c r="A249" s="45"/>
      <c r="B249" s="45"/>
      <c r="C249" s="45"/>
      <c r="D249" s="45"/>
      <c r="E249" s="45"/>
      <c r="F249" s="45"/>
      <c r="G249" s="45"/>
      <c r="H249" s="45"/>
      <c r="I249" s="45"/>
      <c r="J249" s="45"/>
      <c r="K249" s="45"/>
      <c r="L249" s="46"/>
      <c r="M249" s="45"/>
      <c r="N249" s="45"/>
      <c r="O249" s="45"/>
      <c r="P249" s="45"/>
      <c r="Q249" s="45"/>
      <c r="R249" s="45"/>
      <c r="S249" s="45"/>
    </row>
    <row r="250">
      <c r="A250" s="45"/>
      <c r="B250" s="45"/>
      <c r="C250" s="45"/>
      <c r="D250" s="45"/>
      <c r="E250" s="45"/>
      <c r="F250" s="45"/>
      <c r="G250" s="45"/>
      <c r="H250" s="45"/>
      <c r="I250" s="45"/>
      <c r="J250" s="45"/>
      <c r="K250" s="45"/>
      <c r="L250" s="46"/>
      <c r="M250" s="45"/>
      <c r="N250" s="45"/>
      <c r="O250" s="45"/>
      <c r="P250" s="45"/>
      <c r="Q250" s="45"/>
      <c r="R250" s="45"/>
      <c r="S250" s="45"/>
    </row>
    <row r="251">
      <c r="A251" s="45"/>
      <c r="B251" s="45"/>
      <c r="C251" s="45"/>
      <c r="D251" s="45"/>
      <c r="E251" s="45"/>
      <c r="F251" s="45"/>
      <c r="G251" s="45"/>
      <c r="H251" s="45"/>
      <c r="I251" s="45"/>
      <c r="J251" s="45"/>
      <c r="K251" s="45"/>
      <c r="L251" s="46"/>
      <c r="M251" s="45"/>
      <c r="N251" s="45"/>
      <c r="O251" s="45"/>
      <c r="P251" s="45"/>
      <c r="Q251" s="45"/>
      <c r="R251" s="45"/>
      <c r="S251" s="45"/>
    </row>
    <row r="252">
      <c r="A252" s="45"/>
      <c r="B252" s="45"/>
      <c r="C252" s="45"/>
      <c r="D252" s="45"/>
      <c r="E252" s="45"/>
      <c r="F252" s="45"/>
      <c r="G252" s="45"/>
      <c r="H252" s="45"/>
      <c r="I252" s="45"/>
      <c r="J252" s="45"/>
      <c r="K252" s="45"/>
      <c r="L252" s="46"/>
      <c r="M252" s="45"/>
      <c r="N252" s="45"/>
      <c r="O252" s="45"/>
      <c r="P252" s="45"/>
      <c r="Q252" s="45"/>
      <c r="R252" s="45"/>
      <c r="S252" s="45"/>
    </row>
    <row r="253">
      <c r="A253" s="45"/>
      <c r="B253" s="45"/>
      <c r="C253" s="45"/>
      <c r="D253" s="45"/>
      <c r="E253" s="45"/>
      <c r="F253" s="45"/>
      <c r="G253" s="45"/>
      <c r="H253" s="45"/>
      <c r="I253" s="45"/>
      <c r="J253" s="45"/>
      <c r="K253" s="45"/>
      <c r="L253" s="46"/>
      <c r="M253" s="45"/>
      <c r="N253" s="45"/>
      <c r="O253" s="45"/>
      <c r="P253" s="45"/>
      <c r="Q253" s="45"/>
      <c r="R253" s="45"/>
      <c r="S253" s="45"/>
    </row>
    <row r="254">
      <c r="A254" s="45"/>
      <c r="B254" s="45"/>
      <c r="C254" s="45"/>
      <c r="D254" s="45"/>
      <c r="E254" s="45"/>
      <c r="F254" s="45"/>
      <c r="G254" s="45"/>
      <c r="H254" s="45"/>
      <c r="I254" s="45"/>
      <c r="J254" s="45"/>
      <c r="K254" s="45"/>
      <c r="L254" s="46"/>
      <c r="M254" s="45"/>
      <c r="N254" s="45"/>
      <c r="O254" s="45"/>
      <c r="P254" s="45"/>
      <c r="Q254" s="45"/>
      <c r="R254" s="45"/>
      <c r="S254" s="45"/>
    </row>
    <row r="255">
      <c r="A255" s="45"/>
      <c r="B255" s="45"/>
      <c r="C255" s="45"/>
      <c r="D255" s="45"/>
      <c r="E255" s="45"/>
      <c r="F255" s="45"/>
      <c r="G255" s="45"/>
      <c r="H255" s="45"/>
      <c r="I255" s="45"/>
      <c r="J255" s="45"/>
      <c r="K255" s="45"/>
      <c r="L255" s="46"/>
      <c r="M255" s="45"/>
      <c r="N255" s="45"/>
      <c r="O255" s="45"/>
      <c r="P255" s="45"/>
      <c r="Q255" s="45"/>
      <c r="R255" s="45"/>
      <c r="S255" s="45"/>
    </row>
    <row r="256">
      <c r="A256" s="45"/>
      <c r="B256" s="45"/>
      <c r="C256" s="45"/>
      <c r="D256" s="45"/>
      <c r="E256" s="45"/>
      <c r="F256" s="45"/>
      <c r="G256" s="45"/>
      <c r="H256" s="45"/>
      <c r="I256" s="45"/>
      <c r="J256" s="45"/>
      <c r="K256" s="45"/>
      <c r="L256" s="46"/>
      <c r="M256" s="45"/>
      <c r="N256" s="45"/>
      <c r="O256" s="45"/>
      <c r="P256" s="45"/>
      <c r="Q256" s="45"/>
      <c r="R256" s="45"/>
      <c r="S256" s="45"/>
    </row>
    <row r="257">
      <c r="A257" s="45"/>
      <c r="B257" s="45"/>
      <c r="C257" s="45"/>
      <c r="D257" s="45"/>
      <c r="E257" s="45"/>
      <c r="F257" s="45"/>
      <c r="G257" s="45"/>
      <c r="H257" s="45"/>
      <c r="I257" s="45"/>
      <c r="J257" s="45"/>
      <c r="K257" s="45"/>
      <c r="L257" s="46"/>
      <c r="M257" s="45"/>
      <c r="N257" s="45"/>
      <c r="O257" s="45"/>
      <c r="P257" s="45"/>
      <c r="Q257" s="45"/>
      <c r="R257" s="45"/>
      <c r="S257" s="45"/>
    </row>
    <row r="258">
      <c r="A258" s="45"/>
      <c r="B258" s="45"/>
      <c r="C258" s="45"/>
      <c r="D258" s="45"/>
      <c r="E258" s="45"/>
      <c r="F258" s="45"/>
      <c r="G258" s="45"/>
      <c r="H258" s="45"/>
      <c r="I258" s="45"/>
      <c r="J258" s="45"/>
      <c r="K258" s="45"/>
      <c r="L258" s="46"/>
      <c r="M258" s="45"/>
      <c r="N258" s="45"/>
      <c r="O258" s="45"/>
      <c r="P258" s="45"/>
      <c r="Q258" s="45"/>
      <c r="R258" s="45"/>
      <c r="S258" s="45"/>
    </row>
    <row r="259">
      <c r="A259" s="45"/>
      <c r="B259" s="45"/>
      <c r="C259" s="45"/>
      <c r="D259" s="45"/>
      <c r="E259" s="45"/>
      <c r="F259" s="45"/>
      <c r="G259" s="45"/>
      <c r="H259" s="45"/>
      <c r="I259" s="45"/>
      <c r="J259" s="45"/>
      <c r="K259" s="45"/>
      <c r="L259" s="46"/>
      <c r="M259" s="45"/>
      <c r="N259" s="45"/>
      <c r="O259" s="45"/>
      <c r="P259" s="45"/>
      <c r="Q259" s="45"/>
      <c r="R259" s="45"/>
      <c r="S259" s="45"/>
    </row>
    <row r="260">
      <c r="A260" s="45"/>
      <c r="B260" s="45"/>
      <c r="C260" s="45"/>
      <c r="D260" s="45"/>
      <c r="E260" s="45"/>
      <c r="F260" s="45"/>
      <c r="G260" s="45"/>
      <c r="H260" s="45"/>
      <c r="I260" s="45"/>
      <c r="J260" s="45"/>
      <c r="K260" s="45"/>
      <c r="L260" s="46"/>
      <c r="M260" s="45"/>
      <c r="N260" s="45"/>
      <c r="O260" s="45"/>
      <c r="P260" s="45"/>
      <c r="Q260" s="45"/>
      <c r="R260" s="45"/>
      <c r="S260" s="45"/>
    </row>
    <row r="261">
      <c r="A261" s="45"/>
      <c r="B261" s="45"/>
      <c r="C261" s="45"/>
      <c r="D261" s="45"/>
      <c r="E261" s="45"/>
      <c r="F261" s="45"/>
      <c r="G261" s="45"/>
      <c r="H261" s="45"/>
      <c r="I261" s="45"/>
      <c r="J261" s="45"/>
      <c r="K261" s="45"/>
      <c r="L261" s="46"/>
      <c r="M261" s="45"/>
      <c r="N261" s="45"/>
      <c r="O261" s="45"/>
      <c r="P261" s="45"/>
      <c r="Q261" s="45"/>
      <c r="R261" s="45"/>
      <c r="S261" s="45"/>
    </row>
    <row r="262">
      <c r="A262" s="45"/>
      <c r="B262" s="45"/>
      <c r="C262" s="45"/>
      <c r="D262" s="45"/>
      <c r="E262" s="45"/>
      <c r="F262" s="45"/>
      <c r="G262" s="45"/>
      <c r="H262" s="45"/>
      <c r="I262" s="45"/>
      <c r="J262" s="45"/>
      <c r="K262" s="45"/>
      <c r="L262" s="46"/>
      <c r="M262" s="45"/>
      <c r="N262" s="45"/>
      <c r="O262" s="45"/>
      <c r="P262" s="45"/>
      <c r="Q262" s="45"/>
      <c r="R262" s="45"/>
      <c r="S262" s="45"/>
    </row>
    <row r="263">
      <c r="A263" s="45"/>
      <c r="B263" s="45"/>
      <c r="C263" s="45"/>
      <c r="D263" s="45"/>
      <c r="E263" s="45"/>
      <c r="F263" s="45"/>
      <c r="G263" s="45"/>
      <c r="H263" s="45"/>
      <c r="I263" s="45"/>
      <c r="J263" s="45"/>
      <c r="K263" s="45"/>
      <c r="L263" s="46"/>
      <c r="M263" s="45"/>
      <c r="N263" s="45"/>
      <c r="O263" s="45"/>
      <c r="P263" s="45"/>
      <c r="Q263" s="45"/>
      <c r="R263" s="45"/>
      <c r="S263" s="45"/>
    </row>
    <row r="264">
      <c r="A264" s="45"/>
      <c r="B264" s="45"/>
      <c r="C264" s="45"/>
      <c r="D264" s="45"/>
      <c r="E264" s="45"/>
      <c r="F264" s="45"/>
      <c r="G264" s="45"/>
      <c r="H264" s="45"/>
      <c r="I264" s="45"/>
      <c r="J264" s="45"/>
      <c r="K264" s="45"/>
      <c r="L264" s="46"/>
      <c r="M264" s="45"/>
      <c r="N264" s="45"/>
      <c r="O264" s="45"/>
      <c r="P264" s="45"/>
      <c r="Q264" s="45"/>
      <c r="R264" s="45"/>
      <c r="S264" s="45"/>
    </row>
    <row r="265">
      <c r="A265" s="45"/>
      <c r="B265" s="45"/>
      <c r="C265" s="45"/>
      <c r="D265" s="45"/>
      <c r="E265" s="45"/>
      <c r="F265" s="45"/>
      <c r="G265" s="45"/>
      <c r="H265" s="45"/>
      <c r="I265" s="45"/>
      <c r="J265" s="45"/>
      <c r="K265" s="45"/>
      <c r="L265" s="46"/>
      <c r="M265" s="45"/>
      <c r="N265" s="45"/>
      <c r="O265" s="45"/>
      <c r="P265" s="45"/>
      <c r="Q265" s="45"/>
      <c r="R265" s="45"/>
      <c r="S265" s="45"/>
    </row>
    <row r="266">
      <c r="A266" s="45"/>
      <c r="B266" s="45"/>
      <c r="C266" s="45"/>
      <c r="D266" s="45"/>
      <c r="E266" s="45"/>
      <c r="F266" s="45"/>
      <c r="G266" s="45"/>
      <c r="H266" s="45"/>
      <c r="I266" s="45"/>
      <c r="J266" s="45"/>
      <c r="K266" s="45"/>
      <c r="L266" s="46"/>
      <c r="M266" s="45"/>
      <c r="N266" s="45"/>
      <c r="O266" s="45"/>
      <c r="P266" s="45"/>
      <c r="Q266" s="45"/>
      <c r="R266" s="45"/>
      <c r="S266" s="45"/>
    </row>
    <row r="267">
      <c r="A267" s="45"/>
      <c r="B267" s="45"/>
      <c r="C267" s="45"/>
      <c r="D267" s="45"/>
      <c r="E267" s="45"/>
      <c r="F267" s="45"/>
      <c r="G267" s="45"/>
      <c r="H267" s="45"/>
      <c r="I267" s="45"/>
      <c r="J267" s="45"/>
      <c r="K267" s="45"/>
      <c r="L267" s="46"/>
      <c r="M267" s="45"/>
      <c r="N267" s="45"/>
      <c r="O267" s="45"/>
      <c r="P267" s="45"/>
      <c r="Q267" s="45"/>
      <c r="R267" s="45"/>
      <c r="S267" s="45"/>
    </row>
    <row r="268">
      <c r="A268" s="45"/>
      <c r="B268" s="45"/>
      <c r="C268" s="45"/>
      <c r="D268" s="45"/>
      <c r="E268" s="45"/>
      <c r="F268" s="45"/>
      <c r="G268" s="45"/>
      <c r="H268" s="45"/>
      <c r="I268" s="45"/>
      <c r="J268" s="45"/>
      <c r="K268" s="45"/>
      <c r="L268" s="46"/>
      <c r="M268" s="45"/>
      <c r="N268" s="45"/>
      <c r="O268" s="45"/>
      <c r="P268" s="45"/>
      <c r="Q268" s="45"/>
      <c r="R268" s="45"/>
      <c r="S268" s="45"/>
    </row>
    <row r="269">
      <c r="A269" s="45"/>
      <c r="B269" s="45"/>
      <c r="C269" s="45"/>
      <c r="D269" s="45"/>
      <c r="E269" s="45"/>
      <c r="F269" s="45"/>
      <c r="G269" s="45"/>
      <c r="H269" s="45"/>
      <c r="I269" s="45"/>
      <c r="J269" s="45"/>
      <c r="K269" s="45"/>
      <c r="L269" s="46"/>
      <c r="M269" s="45"/>
      <c r="N269" s="45"/>
      <c r="O269" s="45"/>
      <c r="P269" s="45"/>
      <c r="Q269" s="45"/>
      <c r="R269" s="45"/>
      <c r="S269" s="45"/>
    </row>
    <row r="270">
      <c r="A270" s="45"/>
      <c r="B270" s="45"/>
      <c r="C270" s="45"/>
      <c r="D270" s="45"/>
      <c r="E270" s="45"/>
      <c r="F270" s="45"/>
      <c r="G270" s="45"/>
      <c r="H270" s="45"/>
      <c r="I270" s="45"/>
      <c r="J270" s="45"/>
      <c r="K270" s="45"/>
      <c r="L270" s="46"/>
      <c r="M270" s="45"/>
      <c r="N270" s="45"/>
      <c r="O270" s="45"/>
      <c r="P270" s="45"/>
      <c r="Q270" s="45"/>
      <c r="R270" s="45"/>
      <c r="S270" s="45"/>
    </row>
    <row r="271">
      <c r="A271" s="45"/>
      <c r="B271" s="45"/>
      <c r="C271" s="45"/>
      <c r="D271" s="45"/>
      <c r="E271" s="45"/>
      <c r="F271" s="45"/>
      <c r="G271" s="45"/>
      <c r="H271" s="45"/>
      <c r="I271" s="45"/>
      <c r="J271" s="45"/>
      <c r="K271" s="45"/>
      <c r="L271" s="46"/>
      <c r="M271" s="45"/>
      <c r="N271" s="45"/>
      <c r="O271" s="45"/>
      <c r="P271" s="45"/>
      <c r="Q271" s="45"/>
      <c r="R271" s="45"/>
      <c r="S271" s="45"/>
    </row>
    <row r="272">
      <c r="A272" s="45"/>
      <c r="B272" s="45"/>
      <c r="C272" s="45"/>
      <c r="D272" s="45"/>
      <c r="E272" s="45"/>
      <c r="F272" s="45"/>
      <c r="G272" s="45"/>
      <c r="H272" s="45"/>
      <c r="I272" s="45"/>
      <c r="J272" s="45"/>
      <c r="K272" s="45"/>
      <c r="L272" s="46"/>
      <c r="M272" s="45"/>
      <c r="N272" s="45"/>
      <c r="O272" s="45"/>
      <c r="P272" s="45"/>
      <c r="Q272" s="45"/>
      <c r="R272" s="45"/>
      <c r="S272" s="45"/>
    </row>
    <row r="273">
      <c r="A273" s="45"/>
      <c r="B273" s="45"/>
      <c r="C273" s="45"/>
      <c r="D273" s="45"/>
      <c r="E273" s="45"/>
      <c r="F273" s="45"/>
      <c r="G273" s="45"/>
      <c r="H273" s="45"/>
      <c r="I273" s="45"/>
      <c r="J273" s="45"/>
      <c r="K273" s="45"/>
      <c r="L273" s="46"/>
      <c r="M273" s="45"/>
      <c r="N273" s="45"/>
      <c r="O273" s="45"/>
      <c r="P273" s="45"/>
      <c r="Q273" s="45"/>
      <c r="R273" s="45"/>
      <c r="S273" s="45"/>
    </row>
    <row r="274">
      <c r="A274" s="45"/>
      <c r="B274" s="45"/>
      <c r="C274" s="45"/>
      <c r="D274" s="45"/>
      <c r="E274" s="45"/>
      <c r="F274" s="45"/>
      <c r="G274" s="45"/>
      <c r="H274" s="45"/>
      <c r="I274" s="45"/>
      <c r="J274" s="45"/>
      <c r="K274" s="45"/>
      <c r="L274" s="46"/>
      <c r="M274" s="45"/>
      <c r="N274" s="45"/>
      <c r="O274" s="45"/>
      <c r="P274" s="45"/>
      <c r="Q274" s="45"/>
      <c r="R274" s="45"/>
      <c r="S274" s="45"/>
    </row>
    <row r="275">
      <c r="A275" s="45"/>
      <c r="B275" s="45"/>
      <c r="C275" s="45"/>
      <c r="D275" s="45"/>
      <c r="E275" s="45"/>
      <c r="F275" s="45"/>
      <c r="G275" s="45"/>
      <c r="H275" s="45"/>
      <c r="I275" s="45"/>
      <c r="J275" s="45"/>
      <c r="K275" s="45"/>
      <c r="L275" s="46"/>
      <c r="M275" s="45"/>
      <c r="N275" s="45"/>
      <c r="O275" s="45"/>
      <c r="P275" s="45"/>
      <c r="Q275" s="45"/>
      <c r="R275" s="45"/>
      <c r="S275" s="45"/>
    </row>
    <row r="276">
      <c r="A276" s="45"/>
      <c r="B276" s="45"/>
      <c r="C276" s="45"/>
      <c r="D276" s="45"/>
      <c r="E276" s="45"/>
      <c r="F276" s="45"/>
      <c r="G276" s="45"/>
      <c r="H276" s="45"/>
      <c r="I276" s="45"/>
      <c r="J276" s="45"/>
      <c r="K276" s="45"/>
      <c r="L276" s="46"/>
      <c r="M276" s="45"/>
      <c r="N276" s="45"/>
      <c r="O276" s="45"/>
      <c r="P276" s="45"/>
      <c r="Q276" s="45"/>
      <c r="R276" s="45"/>
      <c r="S276" s="45"/>
    </row>
    <row r="277">
      <c r="A277" s="45"/>
      <c r="B277" s="45"/>
      <c r="C277" s="45"/>
      <c r="D277" s="45"/>
      <c r="E277" s="45"/>
      <c r="F277" s="45"/>
      <c r="G277" s="45"/>
      <c r="H277" s="45"/>
      <c r="I277" s="45"/>
      <c r="J277" s="45"/>
      <c r="K277" s="45"/>
      <c r="L277" s="46"/>
      <c r="M277" s="45"/>
      <c r="N277" s="45"/>
      <c r="O277" s="45"/>
      <c r="P277" s="45"/>
      <c r="Q277" s="45"/>
      <c r="R277" s="45"/>
      <c r="S277" s="45"/>
    </row>
    <row r="278">
      <c r="A278" s="45"/>
      <c r="B278" s="45"/>
      <c r="C278" s="45"/>
      <c r="D278" s="45"/>
      <c r="E278" s="45"/>
      <c r="F278" s="45"/>
      <c r="G278" s="45"/>
      <c r="H278" s="45"/>
      <c r="I278" s="45"/>
      <c r="J278" s="45"/>
      <c r="K278" s="45"/>
      <c r="L278" s="46"/>
      <c r="M278" s="45"/>
      <c r="N278" s="45"/>
      <c r="O278" s="45"/>
      <c r="P278" s="45"/>
      <c r="Q278" s="45"/>
      <c r="R278" s="45"/>
      <c r="S278" s="45"/>
    </row>
    <row r="279">
      <c r="A279" s="45"/>
      <c r="B279" s="45"/>
      <c r="C279" s="45"/>
      <c r="D279" s="45"/>
      <c r="E279" s="45"/>
      <c r="F279" s="45"/>
      <c r="G279" s="45"/>
      <c r="H279" s="45"/>
      <c r="I279" s="45"/>
      <c r="J279" s="45"/>
      <c r="K279" s="45"/>
      <c r="L279" s="46"/>
      <c r="M279" s="45"/>
      <c r="N279" s="45"/>
      <c r="O279" s="45"/>
      <c r="P279" s="45"/>
      <c r="Q279" s="45"/>
      <c r="R279" s="45"/>
      <c r="S279" s="45"/>
    </row>
    <row r="280">
      <c r="A280" s="45"/>
      <c r="B280" s="45"/>
      <c r="C280" s="45"/>
      <c r="D280" s="45"/>
      <c r="E280" s="45"/>
      <c r="F280" s="45"/>
      <c r="G280" s="45"/>
      <c r="H280" s="45"/>
      <c r="I280" s="45"/>
      <c r="J280" s="45"/>
      <c r="K280" s="45"/>
      <c r="L280" s="46"/>
      <c r="M280" s="45"/>
      <c r="N280" s="45"/>
      <c r="O280" s="45"/>
      <c r="P280" s="45"/>
      <c r="Q280" s="45"/>
      <c r="R280" s="45"/>
      <c r="S280" s="45"/>
    </row>
    <row r="281">
      <c r="A281" s="45"/>
      <c r="B281" s="45"/>
      <c r="C281" s="45"/>
      <c r="D281" s="45"/>
      <c r="E281" s="45"/>
      <c r="F281" s="45"/>
      <c r="G281" s="45"/>
      <c r="H281" s="45"/>
      <c r="I281" s="45"/>
      <c r="J281" s="45"/>
      <c r="K281" s="45"/>
      <c r="L281" s="46"/>
      <c r="M281" s="45"/>
      <c r="N281" s="45"/>
      <c r="O281" s="45"/>
      <c r="P281" s="45"/>
      <c r="Q281" s="45"/>
      <c r="R281" s="45"/>
      <c r="S281" s="45"/>
    </row>
    <row r="282">
      <c r="A282" s="45"/>
      <c r="B282" s="45"/>
      <c r="C282" s="45"/>
      <c r="D282" s="45"/>
      <c r="E282" s="45"/>
      <c r="F282" s="45"/>
      <c r="G282" s="45"/>
      <c r="H282" s="45"/>
      <c r="I282" s="45"/>
      <c r="J282" s="45"/>
      <c r="K282" s="45"/>
      <c r="L282" s="46"/>
      <c r="M282" s="45"/>
      <c r="N282" s="45"/>
      <c r="O282" s="45"/>
      <c r="P282" s="45"/>
      <c r="Q282" s="45"/>
      <c r="R282" s="45"/>
      <c r="S282" s="45"/>
    </row>
    <row r="283">
      <c r="A283" s="45"/>
      <c r="B283" s="45"/>
      <c r="C283" s="45"/>
      <c r="D283" s="45"/>
      <c r="E283" s="45"/>
      <c r="F283" s="45"/>
      <c r="G283" s="45"/>
      <c r="H283" s="45"/>
      <c r="I283" s="45"/>
      <c r="J283" s="45"/>
      <c r="K283" s="45"/>
      <c r="L283" s="46"/>
      <c r="M283" s="45"/>
      <c r="N283" s="45"/>
      <c r="O283" s="45"/>
      <c r="P283" s="45"/>
      <c r="Q283" s="45"/>
      <c r="R283" s="45"/>
      <c r="S283" s="45"/>
    </row>
    <row r="284">
      <c r="A284" s="45"/>
      <c r="B284" s="45"/>
      <c r="C284" s="45"/>
      <c r="D284" s="45"/>
      <c r="E284" s="45"/>
      <c r="F284" s="45"/>
      <c r="G284" s="45"/>
      <c r="H284" s="45"/>
      <c r="I284" s="45"/>
      <c r="J284" s="45"/>
      <c r="K284" s="45"/>
      <c r="L284" s="46"/>
      <c r="M284" s="45"/>
      <c r="N284" s="45"/>
      <c r="O284" s="45"/>
      <c r="P284" s="45"/>
      <c r="Q284" s="45"/>
      <c r="R284" s="45"/>
      <c r="S284" s="45"/>
    </row>
    <row r="285">
      <c r="A285" s="45"/>
      <c r="B285" s="45"/>
      <c r="C285" s="45"/>
      <c r="D285" s="45"/>
      <c r="E285" s="45"/>
      <c r="F285" s="45"/>
      <c r="G285" s="45"/>
      <c r="H285" s="45"/>
      <c r="I285" s="45"/>
      <c r="J285" s="45"/>
      <c r="K285" s="45"/>
      <c r="L285" s="46"/>
      <c r="M285" s="45"/>
      <c r="N285" s="45"/>
      <c r="O285" s="45"/>
      <c r="P285" s="45"/>
      <c r="Q285" s="45"/>
      <c r="R285" s="45"/>
      <c r="S285" s="45"/>
    </row>
    <row r="286">
      <c r="A286" s="45"/>
      <c r="B286" s="45"/>
      <c r="C286" s="45"/>
      <c r="D286" s="45"/>
      <c r="E286" s="45"/>
      <c r="F286" s="45"/>
      <c r="G286" s="45"/>
      <c r="H286" s="45"/>
      <c r="I286" s="45"/>
      <c r="J286" s="45"/>
      <c r="K286" s="45"/>
      <c r="L286" s="46"/>
      <c r="M286" s="45"/>
      <c r="N286" s="45"/>
      <c r="O286" s="45"/>
      <c r="P286" s="45"/>
      <c r="Q286" s="45"/>
      <c r="R286" s="45"/>
      <c r="S286" s="45"/>
    </row>
    <row r="287">
      <c r="A287" s="45"/>
      <c r="B287" s="45"/>
      <c r="C287" s="45"/>
      <c r="D287" s="45"/>
      <c r="E287" s="45"/>
      <c r="F287" s="45"/>
      <c r="G287" s="45"/>
      <c r="H287" s="45"/>
      <c r="I287" s="45"/>
      <c r="J287" s="45"/>
      <c r="K287" s="45"/>
      <c r="L287" s="46"/>
      <c r="M287" s="45"/>
      <c r="N287" s="45"/>
      <c r="O287" s="45"/>
      <c r="P287" s="45"/>
      <c r="Q287" s="45"/>
      <c r="R287" s="45"/>
      <c r="S287" s="45"/>
    </row>
    <row r="288">
      <c r="A288" s="45"/>
      <c r="B288" s="45"/>
      <c r="C288" s="45"/>
      <c r="D288" s="45"/>
      <c r="E288" s="45"/>
      <c r="F288" s="45"/>
      <c r="G288" s="45"/>
      <c r="H288" s="45"/>
      <c r="I288" s="45"/>
      <c r="J288" s="45"/>
      <c r="K288" s="45"/>
      <c r="L288" s="46"/>
      <c r="M288" s="45"/>
      <c r="N288" s="45"/>
      <c r="O288" s="45"/>
      <c r="P288" s="45"/>
      <c r="Q288" s="45"/>
      <c r="R288" s="45"/>
      <c r="S288" s="45"/>
    </row>
    <row r="289">
      <c r="A289" s="45"/>
      <c r="B289" s="45"/>
      <c r="C289" s="45"/>
      <c r="D289" s="45"/>
      <c r="E289" s="45"/>
      <c r="F289" s="45"/>
      <c r="G289" s="45"/>
      <c r="H289" s="45"/>
      <c r="I289" s="45"/>
      <c r="J289" s="45"/>
      <c r="K289" s="45"/>
      <c r="L289" s="46"/>
      <c r="M289" s="45"/>
      <c r="N289" s="45"/>
      <c r="O289" s="45"/>
      <c r="P289" s="45"/>
      <c r="Q289" s="45"/>
      <c r="R289" s="45"/>
      <c r="S289" s="45"/>
    </row>
    <row r="290">
      <c r="A290" s="45"/>
      <c r="B290" s="45"/>
      <c r="C290" s="45"/>
      <c r="D290" s="45"/>
      <c r="E290" s="45"/>
      <c r="F290" s="45"/>
      <c r="G290" s="45"/>
      <c r="H290" s="45"/>
      <c r="I290" s="45"/>
      <c r="J290" s="45"/>
      <c r="K290" s="45"/>
      <c r="L290" s="46"/>
      <c r="M290" s="45"/>
      <c r="N290" s="45"/>
      <c r="O290" s="45"/>
      <c r="P290" s="45"/>
      <c r="Q290" s="45"/>
      <c r="R290" s="45"/>
      <c r="S290" s="45"/>
    </row>
    <row r="291">
      <c r="A291" s="45"/>
      <c r="B291" s="45"/>
      <c r="C291" s="45"/>
      <c r="D291" s="45"/>
      <c r="E291" s="45"/>
      <c r="F291" s="45"/>
      <c r="G291" s="45"/>
      <c r="H291" s="45"/>
      <c r="I291" s="45"/>
      <c r="J291" s="45"/>
      <c r="K291" s="45"/>
      <c r="L291" s="46"/>
      <c r="M291" s="45"/>
      <c r="N291" s="45"/>
      <c r="O291" s="45"/>
      <c r="P291" s="45"/>
      <c r="Q291" s="45"/>
      <c r="R291" s="45"/>
      <c r="S291" s="45"/>
    </row>
    <row r="292">
      <c r="A292" s="45"/>
      <c r="B292" s="45"/>
      <c r="C292" s="45"/>
      <c r="D292" s="45"/>
      <c r="E292" s="45"/>
      <c r="F292" s="45"/>
      <c r="G292" s="45"/>
      <c r="H292" s="45"/>
      <c r="I292" s="45"/>
      <c r="J292" s="45"/>
      <c r="K292" s="45"/>
      <c r="L292" s="46"/>
      <c r="M292" s="45"/>
      <c r="N292" s="45"/>
      <c r="O292" s="45"/>
      <c r="P292" s="45"/>
      <c r="Q292" s="45"/>
      <c r="R292" s="45"/>
      <c r="S292" s="45"/>
    </row>
    <row r="293">
      <c r="A293" s="45"/>
      <c r="B293" s="45"/>
      <c r="C293" s="45"/>
      <c r="D293" s="45"/>
      <c r="E293" s="45"/>
      <c r="F293" s="45"/>
      <c r="G293" s="45"/>
      <c r="H293" s="45"/>
      <c r="I293" s="45"/>
      <c r="J293" s="45"/>
      <c r="K293" s="45"/>
      <c r="L293" s="46"/>
      <c r="M293" s="45"/>
      <c r="N293" s="45"/>
      <c r="O293" s="45"/>
      <c r="P293" s="45"/>
      <c r="Q293" s="45"/>
      <c r="R293" s="45"/>
      <c r="S293" s="45"/>
    </row>
    <row r="294">
      <c r="A294" s="45"/>
      <c r="B294" s="45"/>
      <c r="C294" s="45"/>
      <c r="D294" s="45"/>
      <c r="E294" s="45"/>
      <c r="F294" s="45"/>
      <c r="G294" s="45"/>
      <c r="H294" s="45"/>
      <c r="I294" s="45"/>
      <c r="J294" s="45"/>
      <c r="K294" s="45"/>
      <c r="L294" s="46"/>
      <c r="M294" s="45"/>
      <c r="N294" s="45"/>
      <c r="O294" s="45"/>
      <c r="P294" s="45"/>
      <c r="Q294" s="45"/>
      <c r="R294" s="45"/>
      <c r="S294" s="45"/>
    </row>
    <row r="295">
      <c r="A295" s="45"/>
      <c r="B295" s="45"/>
      <c r="C295" s="45"/>
      <c r="D295" s="45"/>
      <c r="E295" s="45"/>
      <c r="F295" s="45"/>
      <c r="G295" s="45"/>
      <c r="H295" s="45"/>
      <c r="I295" s="45"/>
      <c r="J295" s="45"/>
      <c r="K295" s="45"/>
      <c r="L295" s="46"/>
      <c r="M295" s="45"/>
      <c r="N295" s="45"/>
      <c r="O295" s="45"/>
      <c r="P295" s="45"/>
      <c r="Q295" s="45"/>
      <c r="R295" s="45"/>
      <c r="S295" s="45"/>
    </row>
    <row r="296">
      <c r="A296" s="45"/>
      <c r="B296" s="45"/>
      <c r="C296" s="45"/>
      <c r="D296" s="45"/>
      <c r="E296" s="45"/>
      <c r="F296" s="45"/>
      <c r="G296" s="45"/>
      <c r="H296" s="45"/>
      <c r="I296" s="45"/>
      <c r="J296" s="45"/>
      <c r="K296" s="45"/>
      <c r="L296" s="46"/>
      <c r="M296" s="45"/>
      <c r="N296" s="45"/>
      <c r="O296" s="45"/>
      <c r="P296" s="45"/>
      <c r="Q296" s="45"/>
      <c r="R296" s="45"/>
      <c r="S296" s="45"/>
    </row>
    <row r="297">
      <c r="A297" s="45"/>
      <c r="B297" s="45"/>
      <c r="C297" s="45"/>
      <c r="D297" s="45"/>
      <c r="E297" s="45"/>
      <c r="F297" s="45"/>
      <c r="G297" s="45"/>
      <c r="H297" s="45"/>
      <c r="I297" s="45"/>
      <c r="J297" s="45"/>
      <c r="K297" s="45"/>
      <c r="L297" s="46"/>
      <c r="M297" s="45"/>
      <c r="N297" s="45"/>
      <c r="O297" s="45"/>
      <c r="P297" s="45"/>
      <c r="Q297" s="45"/>
      <c r="R297" s="45"/>
      <c r="S297" s="45"/>
    </row>
    <row r="298">
      <c r="A298" s="45"/>
      <c r="B298" s="45"/>
      <c r="C298" s="45"/>
      <c r="D298" s="45"/>
      <c r="E298" s="45"/>
      <c r="F298" s="45"/>
      <c r="G298" s="45"/>
      <c r="H298" s="45"/>
      <c r="I298" s="45"/>
      <c r="J298" s="45"/>
      <c r="K298" s="45"/>
      <c r="L298" s="46"/>
      <c r="M298" s="45"/>
      <c r="N298" s="45"/>
      <c r="O298" s="45"/>
      <c r="P298" s="45"/>
      <c r="Q298" s="45"/>
      <c r="R298" s="45"/>
      <c r="S298" s="45"/>
    </row>
    <row r="299">
      <c r="A299" s="45"/>
      <c r="B299" s="45"/>
      <c r="C299" s="45"/>
      <c r="D299" s="45"/>
      <c r="E299" s="45"/>
      <c r="F299" s="45"/>
      <c r="G299" s="45"/>
      <c r="H299" s="45"/>
      <c r="I299" s="45"/>
      <c r="J299" s="45"/>
      <c r="K299" s="45"/>
      <c r="L299" s="46"/>
      <c r="M299" s="45"/>
      <c r="N299" s="45"/>
      <c r="O299" s="45"/>
      <c r="P299" s="45"/>
      <c r="Q299" s="45"/>
      <c r="R299" s="45"/>
      <c r="S299" s="45"/>
    </row>
    <row r="300">
      <c r="A300" s="45"/>
      <c r="B300" s="45"/>
      <c r="C300" s="45"/>
      <c r="D300" s="45"/>
      <c r="E300" s="45"/>
      <c r="F300" s="45"/>
      <c r="G300" s="45"/>
      <c r="H300" s="45"/>
      <c r="I300" s="45"/>
      <c r="J300" s="45"/>
      <c r="K300" s="45"/>
      <c r="L300" s="46"/>
      <c r="M300" s="45"/>
      <c r="N300" s="45"/>
      <c r="O300" s="45"/>
      <c r="P300" s="45"/>
      <c r="Q300" s="45"/>
      <c r="R300" s="45"/>
      <c r="S300" s="45"/>
    </row>
    <row r="301">
      <c r="A301" s="45"/>
      <c r="B301" s="45"/>
      <c r="C301" s="45"/>
      <c r="D301" s="45"/>
      <c r="E301" s="45"/>
      <c r="F301" s="45"/>
      <c r="G301" s="45"/>
      <c r="H301" s="45"/>
      <c r="I301" s="45"/>
      <c r="J301" s="45"/>
      <c r="K301" s="45"/>
      <c r="L301" s="46"/>
      <c r="M301" s="45"/>
      <c r="N301" s="45"/>
      <c r="O301" s="45"/>
      <c r="P301" s="45"/>
      <c r="Q301" s="45"/>
      <c r="R301" s="45"/>
      <c r="S301" s="45"/>
    </row>
    <row r="302">
      <c r="A302" s="45"/>
      <c r="B302" s="45"/>
      <c r="C302" s="45"/>
      <c r="D302" s="45"/>
      <c r="E302" s="45"/>
      <c r="F302" s="45"/>
      <c r="G302" s="45"/>
      <c r="H302" s="45"/>
      <c r="I302" s="45"/>
      <c r="J302" s="45"/>
      <c r="K302" s="45"/>
      <c r="L302" s="46"/>
      <c r="M302" s="45"/>
      <c r="N302" s="45"/>
      <c r="O302" s="45"/>
      <c r="P302" s="45"/>
      <c r="Q302" s="45"/>
      <c r="R302" s="45"/>
      <c r="S302" s="45"/>
    </row>
    <row r="303">
      <c r="A303" s="45"/>
      <c r="B303" s="45"/>
      <c r="C303" s="45"/>
      <c r="D303" s="45"/>
      <c r="E303" s="45"/>
      <c r="F303" s="45"/>
      <c r="G303" s="45"/>
      <c r="H303" s="45"/>
      <c r="I303" s="45"/>
      <c r="J303" s="45"/>
      <c r="K303" s="45"/>
      <c r="L303" s="46"/>
      <c r="M303" s="45"/>
      <c r="N303" s="45"/>
      <c r="O303" s="45"/>
      <c r="P303" s="45"/>
      <c r="Q303" s="45"/>
      <c r="R303" s="45"/>
      <c r="S303" s="45"/>
    </row>
    <row r="304">
      <c r="A304" s="45"/>
      <c r="B304" s="45"/>
      <c r="C304" s="45"/>
      <c r="D304" s="45"/>
      <c r="E304" s="45"/>
      <c r="F304" s="45"/>
      <c r="G304" s="45"/>
      <c r="H304" s="45"/>
      <c r="I304" s="45"/>
      <c r="J304" s="45"/>
      <c r="K304" s="45"/>
      <c r="L304" s="46"/>
      <c r="M304" s="45"/>
      <c r="N304" s="45"/>
      <c r="O304" s="45"/>
      <c r="P304" s="45"/>
      <c r="Q304" s="45"/>
      <c r="R304" s="45"/>
      <c r="S304" s="45"/>
    </row>
    <row r="305">
      <c r="A305" s="45"/>
      <c r="B305" s="45"/>
      <c r="C305" s="45"/>
      <c r="D305" s="45"/>
      <c r="E305" s="45"/>
      <c r="F305" s="45"/>
      <c r="G305" s="45"/>
      <c r="H305" s="45"/>
      <c r="I305" s="45"/>
      <c r="J305" s="45"/>
      <c r="K305" s="45"/>
      <c r="L305" s="46"/>
      <c r="M305" s="45"/>
      <c r="N305" s="45"/>
      <c r="O305" s="45"/>
      <c r="P305" s="45"/>
      <c r="Q305" s="45"/>
      <c r="R305" s="45"/>
      <c r="S305" s="45"/>
    </row>
    <row r="306">
      <c r="A306" s="45"/>
      <c r="B306" s="45"/>
      <c r="C306" s="45"/>
      <c r="D306" s="45"/>
      <c r="E306" s="45"/>
      <c r="F306" s="45"/>
      <c r="G306" s="45"/>
      <c r="H306" s="45"/>
      <c r="I306" s="45"/>
      <c r="J306" s="45"/>
      <c r="K306" s="45"/>
      <c r="L306" s="46"/>
      <c r="M306" s="45"/>
      <c r="N306" s="45"/>
      <c r="O306" s="45"/>
      <c r="P306" s="45"/>
      <c r="Q306" s="45"/>
      <c r="R306" s="45"/>
      <c r="S306" s="45"/>
    </row>
    <row r="307">
      <c r="A307" s="45"/>
      <c r="B307" s="45"/>
      <c r="C307" s="45"/>
      <c r="D307" s="45"/>
      <c r="E307" s="45"/>
      <c r="F307" s="45"/>
      <c r="G307" s="45"/>
      <c r="H307" s="45"/>
      <c r="I307" s="45"/>
      <c r="J307" s="45"/>
      <c r="K307" s="45"/>
      <c r="L307" s="46"/>
      <c r="M307" s="45"/>
      <c r="N307" s="45"/>
      <c r="O307" s="45"/>
      <c r="P307" s="45"/>
      <c r="Q307" s="45"/>
      <c r="R307" s="45"/>
      <c r="S307" s="45"/>
    </row>
    <row r="308">
      <c r="A308" s="45"/>
      <c r="B308" s="45"/>
      <c r="C308" s="45"/>
      <c r="D308" s="45"/>
      <c r="E308" s="45"/>
      <c r="F308" s="45"/>
      <c r="G308" s="45"/>
      <c r="H308" s="45"/>
      <c r="I308" s="45"/>
      <c r="J308" s="45"/>
      <c r="K308" s="45"/>
      <c r="L308" s="46"/>
      <c r="M308" s="45"/>
      <c r="N308" s="45"/>
      <c r="O308" s="45"/>
      <c r="P308" s="45"/>
      <c r="Q308" s="45"/>
      <c r="R308" s="45"/>
      <c r="S308" s="45"/>
    </row>
    <row r="309">
      <c r="A309" s="45"/>
      <c r="B309" s="45"/>
      <c r="C309" s="45"/>
      <c r="D309" s="45"/>
      <c r="E309" s="45"/>
      <c r="F309" s="45"/>
      <c r="G309" s="45"/>
      <c r="H309" s="45"/>
      <c r="I309" s="45"/>
      <c r="J309" s="45"/>
      <c r="K309" s="45"/>
      <c r="L309" s="46"/>
      <c r="M309" s="45"/>
      <c r="N309" s="45"/>
      <c r="O309" s="45"/>
      <c r="P309" s="45"/>
      <c r="Q309" s="45"/>
      <c r="R309" s="45"/>
      <c r="S309" s="45"/>
    </row>
    <row r="310">
      <c r="A310" s="45"/>
      <c r="B310" s="45"/>
      <c r="C310" s="45"/>
      <c r="D310" s="45"/>
      <c r="E310" s="45"/>
      <c r="F310" s="45"/>
      <c r="G310" s="45"/>
      <c r="H310" s="45"/>
      <c r="I310" s="45"/>
      <c r="J310" s="45"/>
      <c r="K310" s="45"/>
      <c r="L310" s="46"/>
      <c r="M310" s="45"/>
      <c r="N310" s="45"/>
      <c r="O310" s="45"/>
      <c r="P310" s="45"/>
      <c r="Q310" s="45"/>
      <c r="R310" s="45"/>
      <c r="S310" s="45"/>
    </row>
    <row r="311">
      <c r="A311" s="45"/>
      <c r="B311" s="45"/>
      <c r="C311" s="45"/>
      <c r="D311" s="45"/>
      <c r="E311" s="45"/>
      <c r="F311" s="45"/>
      <c r="G311" s="45"/>
      <c r="H311" s="45"/>
      <c r="I311" s="45"/>
      <c r="J311" s="45"/>
      <c r="K311" s="45"/>
      <c r="L311" s="46"/>
      <c r="M311" s="45"/>
      <c r="N311" s="45"/>
      <c r="O311" s="45"/>
      <c r="P311" s="45"/>
      <c r="Q311" s="45"/>
      <c r="R311" s="45"/>
      <c r="S311" s="45"/>
    </row>
    <row r="312">
      <c r="A312" s="45"/>
      <c r="B312" s="45"/>
      <c r="C312" s="45"/>
      <c r="D312" s="45"/>
      <c r="E312" s="45"/>
      <c r="F312" s="45"/>
      <c r="G312" s="45"/>
      <c r="H312" s="45"/>
      <c r="I312" s="45"/>
      <c r="J312" s="45"/>
      <c r="K312" s="45"/>
      <c r="L312" s="46"/>
      <c r="M312" s="45"/>
      <c r="N312" s="45"/>
      <c r="O312" s="45"/>
      <c r="P312" s="45"/>
      <c r="Q312" s="45"/>
      <c r="R312" s="45"/>
      <c r="S312" s="45"/>
    </row>
    <row r="313">
      <c r="A313" s="45"/>
      <c r="B313" s="45"/>
      <c r="C313" s="45"/>
      <c r="D313" s="45"/>
      <c r="E313" s="45"/>
      <c r="F313" s="45"/>
      <c r="G313" s="45"/>
      <c r="H313" s="45"/>
      <c r="I313" s="45"/>
      <c r="J313" s="45"/>
      <c r="K313" s="45"/>
      <c r="L313" s="46"/>
      <c r="M313" s="45"/>
      <c r="N313" s="45"/>
      <c r="O313" s="45"/>
      <c r="P313" s="45"/>
      <c r="Q313" s="45"/>
      <c r="R313" s="45"/>
      <c r="S313" s="45"/>
    </row>
    <row r="314">
      <c r="A314" s="45"/>
      <c r="B314" s="45"/>
      <c r="C314" s="45"/>
      <c r="D314" s="45"/>
      <c r="E314" s="45"/>
      <c r="F314" s="45"/>
      <c r="G314" s="45"/>
      <c r="H314" s="45"/>
      <c r="I314" s="45"/>
      <c r="J314" s="45"/>
      <c r="K314" s="45"/>
      <c r="L314" s="46"/>
      <c r="M314" s="45"/>
      <c r="N314" s="45"/>
      <c r="O314" s="45"/>
      <c r="P314" s="45"/>
      <c r="Q314" s="45"/>
      <c r="R314" s="45"/>
      <c r="S314" s="45"/>
    </row>
    <row r="315">
      <c r="A315" s="45"/>
      <c r="B315" s="45"/>
      <c r="C315" s="45"/>
      <c r="D315" s="45"/>
      <c r="E315" s="45"/>
      <c r="F315" s="45"/>
      <c r="G315" s="45"/>
      <c r="H315" s="45"/>
      <c r="I315" s="45"/>
      <c r="J315" s="45"/>
      <c r="K315" s="45"/>
      <c r="L315" s="46"/>
      <c r="M315" s="45"/>
      <c r="N315" s="45"/>
      <c r="O315" s="45"/>
      <c r="P315" s="45"/>
      <c r="Q315" s="45"/>
      <c r="R315" s="45"/>
      <c r="S315" s="45"/>
    </row>
    <row r="316">
      <c r="A316" s="45"/>
      <c r="B316" s="45"/>
      <c r="C316" s="45"/>
      <c r="D316" s="45"/>
      <c r="E316" s="45"/>
      <c r="F316" s="45"/>
      <c r="G316" s="45"/>
      <c r="H316" s="45"/>
      <c r="I316" s="45"/>
      <c r="J316" s="45"/>
      <c r="K316" s="45"/>
      <c r="L316" s="46"/>
      <c r="M316" s="45"/>
      <c r="N316" s="45"/>
      <c r="O316" s="45"/>
      <c r="P316" s="45"/>
      <c r="Q316" s="45"/>
      <c r="R316" s="45"/>
      <c r="S316" s="45"/>
    </row>
    <row r="317">
      <c r="A317" s="45"/>
      <c r="B317" s="45"/>
      <c r="C317" s="45"/>
      <c r="D317" s="45"/>
      <c r="E317" s="45"/>
      <c r="F317" s="45"/>
      <c r="G317" s="45"/>
      <c r="H317" s="45"/>
      <c r="I317" s="45"/>
      <c r="J317" s="45"/>
      <c r="K317" s="45"/>
      <c r="L317" s="46"/>
      <c r="M317" s="45"/>
      <c r="N317" s="45"/>
      <c r="O317" s="45"/>
      <c r="P317" s="45"/>
      <c r="Q317" s="45"/>
      <c r="R317" s="45"/>
      <c r="S317" s="45"/>
    </row>
    <row r="318">
      <c r="A318" s="45"/>
      <c r="B318" s="45"/>
      <c r="C318" s="45"/>
      <c r="D318" s="45"/>
      <c r="E318" s="45"/>
      <c r="F318" s="45"/>
      <c r="G318" s="45"/>
      <c r="H318" s="45"/>
      <c r="I318" s="45"/>
      <c r="J318" s="45"/>
      <c r="K318" s="45"/>
      <c r="L318" s="46"/>
      <c r="M318" s="45"/>
      <c r="N318" s="45"/>
      <c r="O318" s="45"/>
      <c r="P318" s="45"/>
      <c r="Q318" s="45"/>
      <c r="R318" s="45"/>
      <c r="S318" s="45"/>
    </row>
    <row r="319">
      <c r="A319" s="45"/>
      <c r="B319" s="45"/>
      <c r="C319" s="45"/>
      <c r="D319" s="45"/>
      <c r="E319" s="45"/>
      <c r="F319" s="45"/>
      <c r="G319" s="45"/>
      <c r="H319" s="45"/>
      <c r="I319" s="45"/>
      <c r="J319" s="45"/>
      <c r="K319" s="45"/>
      <c r="L319" s="46"/>
      <c r="M319" s="45"/>
      <c r="N319" s="45"/>
      <c r="O319" s="45"/>
      <c r="P319" s="45"/>
      <c r="Q319" s="45"/>
      <c r="R319" s="45"/>
      <c r="S319" s="45"/>
    </row>
    <row r="320">
      <c r="A320" s="45"/>
      <c r="B320" s="45"/>
      <c r="C320" s="45"/>
      <c r="D320" s="45"/>
      <c r="E320" s="45"/>
      <c r="F320" s="45"/>
      <c r="G320" s="45"/>
      <c r="H320" s="45"/>
      <c r="I320" s="45"/>
      <c r="J320" s="45"/>
      <c r="K320" s="45"/>
      <c r="L320" s="46"/>
      <c r="M320" s="45"/>
      <c r="N320" s="45"/>
      <c r="O320" s="45"/>
      <c r="P320" s="45"/>
      <c r="Q320" s="45"/>
      <c r="R320" s="45"/>
      <c r="S320" s="45"/>
    </row>
    <row r="321">
      <c r="A321" s="45"/>
      <c r="B321" s="45"/>
      <c r="C321" s="45"/>
      <c r="D321" s="45"/>
      <c r="E321" s="45"/>
      <c r="F321" s="45"/>
      <c r="G321" s="45"/>
      <c r="H321" s="45"/>
      <c r="I321" s="45"/>
      <c r="J321" s="45"/>
      <c r="K321" s="45"/>
      <c r="L321" s="46"/>
      <c r="M321" s="45"/>
      <c r="N321" s="45"/>
      <c r="O321" s="45"/>
      <c r="P321" s="45"/>
      <c r="Q321" s="45"/>
      <c r="R321" s="45"/>
      <c r="S321" s="45"/>
    </row>
    <row r="322">
      <c r="A322" s="45"/>
      <c r="B322" s="45"/>
      <c r="C322" s="45"/>
      <c r="D322" s="45"/>
      <c r="E322" s="45"/>
      <c r="F322" s="45"/>
      <c r="G322" s="45"/>
      <c r="H322" s="45"/>
      <c r="I322" s="45"/>
      <c r="J322" s="45"/>
      <c r="K322" s="45"/>
      <c r="L322" s="46"/>
      <c r="M322" s="45"/>
      <c r="N322" s="45"/>
      <c r="O322" s="45"/>
      <c r="P322" s="45"/>
      <c r="Q322" s="45"/>
      <c r="R322" s="45"/>
      <c r="S322" s="45"/>
    </row>
    <row r="323">
      <c r="A323" s="45"/>
      <c r="B323" s="45"/>
      <c r="C323" s="45"/>
      <c r="D323" s="45"/>
      <c r="E323" s="45"/>
      <c r="F323" s="45"/>
      <c r="G323" s="45"/>
      <c r="H323" s="45"/>
      <c r="I323" s="45"/>
      <c r="J323" s="45"/>
      <c r="K323" s="45"/>
      <c r="L323" s="46"/>
      <c r="M323" s="45"/>
      <c r="N323" s="45"/>
      <c r="O323" s="45"/>
      <c r="P323" s="45"/>
      <c r="Q323" s="45"/>
      <c r="R323" s="45"/>
      <c r="S323" s="45"/>
    </row>
    <row r="324">
      <c r="A324" s="45"/>
      <c r="B324" s="45"/>
      <c r="C324" s="45"/>
      <c r="D324" s="45"/>
      <c r="E324" s="45"/>
      <c r="F324" s="45"/>
      <c r="G324" s="45"/>
      <c r="H324" s="45"/>
      <c r="I324" s="45"/>
      <c r="J324" s="45"/>
      <c r="K324" s="45"/>
      <c r="L324" s="46"/>
      <c r="M324" s="45"/>
      <c r="N324" s="45"/>
      <c r="O324" s="45"/>
      <c r="P324" s="45"/>
      <c r="Q324" s="45"/>
      <c r="R324" s="45"/>
      <c r="S324" s="45"/>
    </row>
    <row r="325">
      <c r="A325" s="45"/>
      <c r="B325" s="45"/>
      <c r="C325" s="45"/>
      <c r="D325" s="45"/>
      <c r="E325" s="45"/>
      <c r="F325" s="45"/>
      <c r="G325" s="45"/>
      <c r="H325" s="45"/>
      <c r="I325" s="45"/>
      <c r="J325" s="45"/>
      <c r="K325" s="45"/>
      <c r="L325" s="46"/>
      <c r="M325" s="45"/>
      <c r="N325" s="45"/>
      <c r="O325" s="45"/>
      <c r="P325" s="45"/>
      <c r="Q325" s="45"/>
      <c r="R325" s="45"/>
      <c r="S325" s="45"/>
    </row>
    <row r="326">
      <c r="A326" s="45"/>
      <c r="B326" s="45"/>
      <c r="C326" s="45"/>
      <c r="D326" s="45"/>
      <c r="E326" s="45"/>
      <c r="F326" s="45"/>
      <c r="G326" s="45"/>
      <c r="H326" s="45"/>
      <c r="I326" s="45"/>
      <c r="J326" s="45"/>
      <c r="K326" s="45"/>
      <c r="L326" s="46"/>
      <c r="M326" s="45"/>
      <c r="N326" s="45"/>
      <c r="O326" s="45"/>
      <c r="P326" s="45"/>
      <c r="Q326" s="45"/>
      <c r="R326" s="45"/>
      <c r="S326" s="45"/>
    </row>
    <row r="327">
      <c r="A327" s="45"/>
      <c r="B327" s="45"/>
      <c r="C327" s="45"/>
      <c r="D327" s="45"/>
      <c r="E327" s="45"/>
      <c r="F327" s="45"/>
      <c r="G327" s="45"/>
      <c r="H327" s="45"/>
      <c r="I327" s="45"/>
      <c r="J327" s="45"/>
      <c r="K327" s="45"/>
      <c r="L327" s="46"/>
      <c r="M327" s="45"/>
      <c r="N327" s="45"/>
      <c r="O327" s="45"/>
      <c r="P327" s="45"/>
      <c r="Q327" s="45"/>
      <c r="R327" s="45"/>
      <c r="S327" s="45"/>
    </row>
    <row r="328">
      <c r="A328" s="45"/>
      <c r="B328" s="45"/>
      <c r="C328" s="45"/>
      <c r="D328" s="45"/>
      <c r="E328" s="45"/>
      <c r="F328" s="45"/>
      <c r="G328" s="45"/>
      <c r="H328" s="45"/>
      <c r="I328" s="45"/>
      <c r="J328" s="45"/>
      <c r="K328" s="45"/>
      <c r="L328" s="46"/>
      <c r="M328" s="45"/>
      <c r="N328" s="45"/>
      <c r="O328" s="45"/>
      <c r="P328" s="45"/>
      <c r="Q328" s="45"/>
      <c r="R328" s="45"/>
      <c r="S328" s="45"/>
    </row>
    <row r="329">
      <c r="A329" s="45"/>
      <c r="B329" s="45"/>
      <c r="C329" s="45"/>
      <c r="D329" s="45"/>
      <c r="E329" s="45"/>
      <c r="F329" s="45"/>
      <c r="G329" s="45"/>
      <c r="H329" s="45"/>
      <c r="I329" s="45"/>
      <c r="J329" s="45"/>
      <c r="K329" s="45"/>
      <c r="L329" s="46"/>
      <c r="M329" s="45"/>
      <c r="N329" s="45"/>
      <c r="O329" s="45"/>
      <c r="P329" s="45"/>
      <c r="Q329" s="45"/>
      <c r="R329" s="45"/>
      <c r="S329" s="45"/>
    </row>
    <row r="330">
      <c r="A330" s="45"/>
      <c r="B330" s="45"/>
      <c r="C330" s="45"/>
      <c r="D330" s="45"/>
      <c r="E330" s="45"/>
      <c r="F330" s="45"/>
      <c r="G330" s="45"/>
      <c r="H330" s="45"/>
      <c r="I330" s="45"/>
      <c r="J330" s="45"/>
      <c r="K330" s="45"/>
      <c r="L330" s="46"/>
      <c r="M330" s="45"/>
      <c r="N330" s="45"/>
      <c r="O330" s="45"/>
      <c r="P330" s="45"/>
      <c r="Q330" s="45"/>
      <c r="R330" s="45"/>
      <c r="S330" s="45"/>
    </row>
    <row r="331">
      <c r="A331" s="45"/>
      <c r="B331" s="45"/>
      <c r="C331" s="45"/>
      <c r="D331" s="45"/>
      <c r="E331" s="45"/>
      <c r="F331" s="45"/>
      <c r="G331" s="45"/>
      <c r="H331" s="45"/>
      <c r="I331" s="45"/>
      <c r="J331" s="45"/>
      <c r="K331" s="45"/>
      <c r="L331" s="46"/>
      <c r="M331" s="45"/>
      <c r="N331" s="45"/>
      <c r="O331" s="45"/>
      <c r="P331" s="45"/>
      <c r="Q331" s="45"/>
      <c r="R331" s="45"/>
      <c r="S331" s="45"/>
    </row>
    <row r="332">
      <c r="A332" s="45"/>
      <c r="B332" s="45"/>
      <c r="C332" s="45"/>
      <c r="D332" s="45"/>
      <c r="E332" s="45"/>
      <c r="F332" s="45"/>
      <c r="G332" s="45"/>
      <c r="H332" s="45"/>
      <c r="I332" s="45"/>
      <c r="J332" s="45"/>
      <c r="K332" s="45"/>
      <c r="L332" s="46"/>
      <c r="M332" s="45"/>
      <c r="N332" s="45"/>
      <c r="O332" s="45"/>
      <c r="P332" s="45"/>
      <c r="Q332" s="45"/>
      <c r="R332" s="45"/>
      <c r="S332" s="45"/>
    </row>
    <row r="333">
      <c r="A333" s="45"/>
      <c r="B333" s="45"/>
      <c r="C333" s="45"/>
      <c r="D333" s="45"/>
      <c r="E333" s="45"/>
      <c r="F333" s="45"/>
      <c r="G333" s="45"/>
      <c r="H333" s="45"/>
      <c r="I333" s="45"/>
      <c r="J333" s="45"/>
      <c r="K333" s="45"/>
      <c r="L333" s="46"/>
      <c r="M333" s="45"/>
      <c r="N333" s="45"/>
      <c r="O333" s="45"/>
      <c r="P333" s="45"/>
      <c r="Q333" s="45"/>
      <c r="R333" s="45"/>
      <c r="S333" s="45"/>
    </row>
    <row r="334">
      <c r="A334" s="45"/>
      <c r="B334" s="45"/>
      <c r="C334" s="45"/>
      <c r="D334" s="45"/>
      <c r="E334" s="45"/>
      <c r="F334" s="45"/>
      <c r="G334" s="45"/>
      <c r="H334" s="45"/>
      <c r="I334" s="45"/>
      <c r="J334" s="45"/>
      <c r="K334" s="45"/>
      <c r="L334" s="46"/>
      <c r="M334" s="45"/>
      <c r="N334" s="45"/>
      <c r="O334" s="45"/>
      <c r="P334" s="45"/>
      <c r="Q334" s="45"/>
      <c r="R334" s="45"/>
      <c r="S334" s="45"/>
    </row>
    <row r="335">
      <c r="A335" s="45"/>
      <c r="B335" s="45"/>
      <c r="C335" s="45"/>
      <c r="D335" s="45"/>
      <c r="E335" s="45"/>
      <c r="F335" s="45"/>
      <c r="G335" s="45"/>
      <c r="H335" s="45"/>
      <c r="I335" s="45"/>
      <c r="J335" s="45"/>
      <c r="K335" s="45"/>
      <c r="L335" s="46"/>
      <c r="M335" s="45"/>
      <c r="N335" s="45"/>
      <c r="O335" s="45"/>
      <c r="P335" s="45"/>
      <c r="Q335" s="45"/>
      <c r="R335" s="45"/>
      <c r="S335" s="45"/>
    </row>
    <row r="336">
      <c r="A336" s="45"/>
      <c r="B336" s="45"/>
      <c r="C336" s="45"/>
      <c r="D336" s="45"/>
      <c r="E336" s="45"/>
      <c r="F336" s="45"/>
      <c r="G336" s="45"/>
      <c r="H336" s="45"/>
      <c r="I336" s="45"/>
      <c r="J336" s="45"/>
      <c r="K336" s="45"/>
      <c r="L336" s="46"/>
      <c r="M336" s="45"/>
      <c r="N336" s="45"/>
      <c r="O336" s="45"/>
      <c r="P336" s="45"/>
      <c r="Q336" s="45"/>
      <c r="R336" s="45"/>
      <c r="S336" s="45"/>
    </row>
    <row r="337">
      <c r="A337" s="45"/>
      <c r="B337" s="45"/>
      <c r="C337" s="45"/>
      <c r="D337" s="45"/>
      <c r="E337" s="45"/>
      <c r="F337" s="45"/>
      <c r="G337" s="45"/>
      <c r="H337" s="45"/>
      <c r="I337" s="45"/>
      <c r="J337" s="45"/>
      <c r="K337" s="45"/>
      <c r="L337" s="46"/>
      <c r="M337" s="45"/>
      <c r="N337" s="45"/>
      <c r="O337" s="45"/>
      <c r="P337" s="45"/>
      <c r="Q337" s="45"/>
      <c r="R337" s="45"/>
      <c r="S337" s="45"/>
    </row>
    <row r="338">
      <c r="A338" s="45"/>
      <c r="B338" s="45"/>
      <c r="C338" s="45"/>
      <c r="D338" s="45"/>
      <c r="E338" s="45"/>
      <c r="F338" s="45"/>
      <c r="G338" s="45"/>
      <c r="H338" s="45"/>
      <c r="I338" s="45"/>
      <c r="J338" s="45"/>
      <c r="K338" s="45"/>
      <c r="L338" s="46"/>
      <c r="M338" s="45"/>
      <c r="N338" s="45"/>
      <c r="O338" s="45"/>
      <c r="P338" s="45"/>
      <c r="Q338" s="45"/>
      <c r="R338" s="45"/>
      <c r="S338" s="45"/>
    </row>
    <row r="339">
      <c r="A339" s="45"/>
      <c r="B339" s="45"/>
      <c r="C339" s="45"/>
      <c r="D339" s="45"/>
      <c r="E339" s="45"/>
      <c r="F339" s="45"/>
      <c r="G339" s="45"/>
      <c r="H339" s="45"/>
      <c r="I339" s="45"/>
      <c r="J339" s="45"/>
      <c r="K339" s="45"/>
      <c r="L339" s="46"/>
      <c r="M339" s="45"/>
      <c r="N339" s="45"/>
      <c r="O339" s="45"/>
      <c r="P339" s="45"/>
      <c r="Q339" s="45"/>
      <c r="R339" s="45"/>
      <c r="S339" s="45"/>
    </row>
    <row r="340">
      <c r="A340" s="45"/>
      <c r="B340" s="45"/>
      <c r="C340" s="45"/>
      <c r="D340" s="45"/>
      <c r="E340" s="45"/>
      <c r="F340" s="45"/>
      <c r="G340" s="45"/>
      <c r="H340" s="45"/>
      <c r="I340" s="45"/>
      <c r="J340" s="45"/>
      <c r="K340" s="45"/>
      <c r="L340" s="46"/>
      <c r="M340" s="45"/>
      <c r="N340" s="45"/>
      <c r="O340" s="45"/>
      <c r="P340" s="45"/>
      <c r="Q340" s="45"/>
      <c r="R340" s="45"/>
      <c r="S340" s="45"/>
    </row>
    <row r="341">
      <c r="A341" s="45"/>
      <c r="B341" s="45"/>
      <c r="C341" s="45"/>
      <c r="D341" s="45"/>
      <c r="E341" s="45"/>
      <c r="F341" s="45"/>
      <c r="G341" s="45"/>
      <c r="H341" s="45"/>
      <c r="I341" s="45"/>
      <c r="J341" s="45"/>
      <c r="K341" s="45"/>
      <c r="L341" s="46"/>
      <c r="M341" s="45"/>
      <c r="N341" s="45"/>
      <c r="O341" s="45"/>
      <c r="P341" s="45"/>
      <c r="Q341" s="45"/>
      <c r="R341" s="45"/>
      <c r="S341" s="45"/>
    </row>
    <row r="342">
      <c r="A342" s="45"/>
      <c r="B342" s="45"/>
      <c r="C342" s="45"/>
      <c r="D342" s="45"/>
      <c r="E342" s="45"/>
      <c r="F342" s="45"/>
      <c r="G342" s="45"/>
      <c r="H342" s="45"/>
      <c r="I342" s="45"/>
      <c r="J342" s="45"/>
      <c r="K342" s="45"/>
      <c r="L342" s="46"/>
      <c r="M342" s="45"/>
      <c r="N342" s="45"/>
      <c r="O342" s="45"/>
      <c r="P342" s="45"/>
      <c r="Q342" s="45"/>
      <c r="R342" s="45"/>
      <c r="S342" s="45"/>
    </row>
    <row r="343">
      <c r="A343" s="45"/>
      <c r="B343" s="45"/>
      <c r="C343" s="45"/>
      <c r="D343" s="45"/>
      <c r="E343" s="45"/>
      <c r="F343" s="45"/>
      <c r="G343" s="45"/>
      <c r="H343" s="45"/>
      <c r="I343" s="45"/>
      <c r="J343" s="45"/>
      <c r="K343" s="45"/>
      <c r="L343" s="46"/>
      <c r="M343" s="45"/>
      <c r="N343" s="45"/>
      <c r="O343" s="45"/>
      <c r="P343" s="45"/>
      <c r="Q343" s="45"/>
      <c r="R343" s="45"/>
      <c r="S343" s="45"/>
    </row>
    <row r="344">
      <c r="A344" s="45"/>
      <c r="B344" s="45"/>
      <c r="C344" s="45"/>
      <c r="D344" s="45"/>
      <c r="E344" s="45"/>
      <c r="F344" s="45"/>
      <c r="G344" s="45"/>
      <c r="H344" s="45"/>
      <c r="I344" s="45"/>
      <c r="J344" s="45"/>
      <c r="K344" s="45"/>
      <c r="L344" s="46"/>
      <c r="M344" s="45"/>
      <c r="N344" s="45"/>
      <c r="O344" s="45"/>
      <c r="P344" s="45"/>
      <c r="Q344" s="45"/>
      <c r="R344" s="45"/>
      <c r="S344" s="45"/>
    </row>
    <row r="345">
      <c r="A345" s="45"/>
      <c r="B345" s="45"/>
      <c r="C345" s="45"/>
      <c r="D345" s="45"/>
      <c r="E345" s="45"/>
      <c r="F345" s="45"/>
      <c r="G345" s="45"/>
      <c r="H345" s="45"/>
      <c r="I345" s="45"/>
      <c r="J345" s="45"/>
      <c r="K345" s="45"/>
      <c r="L345" s="46"/>
      <c r="M345" s="45"/>
      <c r="N345" s="45"/>
      <c r="O345" s="45"/>
      <c r="P345" s="45"/>
      <c r="Q345" s="45"/>
      <c r="R345" s="45"/>
      <c r="S345" s="45"/>
    </row>
    <row r="346">
      <c r="A346" s="45"/>
      <c r="B346" s="45"/>
      <c r="C346" s="45"/>
      <c r="D346" s="45"/>
      <c r="E346" s="45"/>
      <c r="F346" s="45"/>
      <c r="G346" s="45"/>
      <c r="H346" s="45"/>
      <c r="I346" s="45"/>
      <c r="J346" s="45"/>
      <c r="K346" s="45"/>
      <c r="L346" s="46"/>
      <c r="M346" s="45"/>
      <c r="N346" s="45"/>
      <c r="O346" s="45"/>
      <c r="P346" s="45"/>
      <c r="Q346" s="45"/>
      <c r="R346" s="45"/>
      <c r="S346" s="45"/>
    </row>
    <row r="347">
      <c r="A347" s="45"/>
      <c r="B347" s="45"/>
      <c r="C347" s="45"/>
      <c r="D347" s="45"/>
      <c r="E347" s="45"/>
      <c r="F347" s="45"/>
      <c r="G347" s="45"/>
      <c r="H347" s="45"/>
      <c r="I347" s="45"/>
      <c r="J347" s="45"/>
      <c r="K347" s="45"/>
      <c r="L347" s="46"/>
      <c r="M347" s="45"/>
      <c r="N347" s="45"/>
      <c r="O347" s="45"/>
      <c r="P347" s="45"/>
      <c r="Q347" s="45"/>
      <c r="R347" s="45"/>
      <c r="S347" s="45"/>
    </row>
    <row r="348">
      <c r="A348" s="45"/>
      <c r="B348" s="45"/>
      <c r="C348" s="45"/>
      <c r="D348" s="45"/>
      <c r="E348" s="45"/>
      <c r="F348" s="45"/>
      <c r="G348" s="45"/>
      <c r="H348" s="45"/>
      <c r="I348" s="45"/>
      <c r="J348" s="45"/>
      <c r="K348" s="45"/>
      <c r="L348" s="46"/>
      <c r="M348" s="45"/>
      <c r="N348" s="45"/>
      <c r="O348" s="45"/>
      <c r="P348" s="45"/>
      <c r="Q348" s="45"/>
      <c r="R348" s="45"/>
      <c r="S348" s="45"/>
    </row>
    <row r="349">
      <c r="A349" s="45"/>
      <c r="B349" s="45"/>
      <c r="C349" s="45"/>
      <c r="D349" s="45"/>
      <c r="E349" s="45"/>
      <c r="F349" s="45"/>
      <c r="G349" s="45"/>
      <c r="H349" s="45"/>
      <c r="I349" s="45"/>
      <c r="J349" s="45"/>
      <c r="K349" s="45"/>
      <c r="L349" s="46"/>
      <c r="M349" s="45"/>
      <c r="N349" s="45"/>
      <c r="O349" s="45"/>
      <c r="P349" s="45"/>
      <c r="Q349" s="45"/>
      <c r="R349" s="45"/>
      <c r="S349" s="45"/>
    </row>
    <row r="350">
      <c r="A350" s="45"/>
      <c r="B350" s="45"/>
      <c r="C350" s="45"/>
      <c r="D350" s="45"/>
      <c r="E350" s="45"/>
      <c r="F350" s="45"/>
      <c r="G350" s="45"/>
      <c r="H350" s="45"/>
      <c r="I350" s="45"/>
      <c r="J350" s="45"/>
      <c r="K350" s="45"/>
      <c r="L350" s="46"/>
      <c r="M350" s="45"/>
      <c r="N350" s="45"/>
      <c r="O350" s="45"/>
      <c r="P350" s="45"/>
      <c r="Q350" s="45"/>
      <c r="R350" s="45"/>
      <c r="S350" s="45"/>
    </row>
    <row r="351">
      <c r="A351" s="45"/>
      <c r="B351" s="45"/>
      <c r="C351" s="45"/>
      <c r="D351" s="45"/>
      <c r="E351" s="45"/>
      <c r="F351" s="45"/>
      <c r="G351" s="45"/>
      <c r="H351" s="45"/>
      <c r="I351" s="45"/>
      <c r="J351" s="45"/>
      <c r="K351" s="45"/>
      <c r="L351" s="46"/>
      <c r="M351" s="45"/>
      <c r="N351" s="45"/>
      <c r="O351" s="45"/>
      <c r="P351" s="45"/>
      <c r="Q351" s="45"/>
      <c r="R351" s="45"/>
      <c r="S351" s="45"/>
    </row>
    <row r="352">
      <c r="A352" s="45"/>
      <c r="B352" s="45"/>
      <c r="C352" s="45"/>
      <c r="D352" s="45"/>
      <c r="E352" s="45"/>
      <c r="F352" s="45"/>
      <c r="G352" s="45"/>
      <c r="H352" s="45"/>
      <c r="I352" s="45"/>
      <c r="J352" s="45"/>
      <c r="K352" s="45"/>
      <c r="L352" s="46"/>
      <c r="M352" s="45"/>
      <c r="N352" s="45"/>
      <c r="O352" s="45"/>
      <c r="P352" s="45"/>
      <c r="Q352" s="45"/>
      <c r="R352" s="45"/>
      <c r="S352" s="45"/>
    </row>
    <row r="353">
      <c r="A353" s="45"/>
      <c r="B353" s="45"/>
      <c r="C353" s="45"/>
      <c r="D353" s="45"/>
      <c r="E353" s="45"/>
      <c r="F353" s="45"/>
      <c r="G353" s="45"/>
      <c r="H353" s="45"/>
      <c r="I353" s="45"/>
      <c r="J353" s="45"/>
      <c r="K353" s="45"/>
      <c r="L353" s="46"/>
      <c r="M353" s="45"/>
      <c r="N353" s="45"/>
      <c r="O353" s="45"/>
      <c r="P353" s="45"/>
      <c r="Q353" s="45"/>
      <c r="R353" s="45"/>
      <c r="S353" s="45"/>
    </row>
    <row r="354">
      <c r="A354" s="45"/>
      <c r="B354" s="45"/>
      <c r="C354" s="45"/>
      <c r="D354" s="45"/>
      <c r="E354" s="45"/>
      <c r="F354" s="45"/>
      <c r="G354" s="45"/>
      <c r="H354" s="45"/>
      <c r="I354" s="45"/>
      <c r="J354" s="45"/>
      <c r="K354" s="45"/>
      <c r="L354" s="46"/>
      <c r="M354" s="45"/>
      <c r="N354" s="45"/>
      <c r="O354" s="45"/>
      <c r="P354" s="45"/>
      <c r="Q354" s="45"/>
      <c r="R354" s="45"/>
      <c r="S354" s="45"/>
    </row>
    <row r="355">
      <c r="A355" s="45"/>
      <c r="B355" s="45"/>
      <c r="C355" s="45"/>
      <c r="D355" s="45"/>
      <c r="E355" s="45"/>
      <c r="F355" s="45"/>
      <c r="G355" s="45"/>
      <c r="H355" s="45"/>
      <c r="I355" s="45"/>
      <c r="J355" s="45"/>
      <c r="K355" s="45"/>
      <c r="L355" s="46"/>
      <c r="M355" s="45"/>
      <c r="N355" s="45"/>
      <c r="O355" s="45"/>
      <c r="P355" s="45"/>
      <c r="Q355" s="45"/>
      <c r="R355" s="45"/>
      <c r="S355" s="45"/>
    </row>
    <row r="356">
      <c r="A356" s="45"/>
      <c r="B356" s="45"/>
      <c r="C356" s="45"/>
      <c r="D356" s="45"/>
      <c r="E356" s="45"/>
      <c r="F356" s="45"/>
      <c r="G356" s="45"/>
      <c r="H356" s="45"/>
      <c r="I356" s="45"/>
      <c r="J356" s="45"/>
      <c r="K356" s="45"/>
      <c r="L356" s="46"/>
      <c r="M356" s="45"/>
      <c r="N356" s="45"/>
      <c r="O356" s="45"/>
      <c r="P356" s="45"/>
      <c r="Q356" s="45"/>
      <c r="R356" s="45"/>
      <c r="S356" s="45"/>
    </row>
    <row r="357">
      <c r="A357" s="45"/>
      <c r="B357" s="45"/>
      <c r="C357" s="45"/>
      <c r="D357" s="45"/>
      <c r="E357" s="45"/>
      <c r="F357" s="45"/>
      <c r="G357" s="45"/>
      <c r="H357" s="45"/>
      <c r="I357" s="45"/>
      <c r="J357" s="45"/>
      <c r="K357" s="45"/>
      <c r="L357" s="46"/>
      <c r="M357" s="45"/>
      <c r="N357" s="45"/>
      <c r="O357" s="45"/>
      <c r="P357" s="45"/>
      <c r="Q357" s="45"/>
      <c r="R357" s="45"/>
      <c r="S357" s="45"/>
    </row>
    <row r="358">
      <c r="A358" s="45"/>
      <c r="B358" s="45"/>
      <c r="C358" s="45"/>
      <c r="D358" s="45"/>
      <c r="E358" s="45"/>
      <c r="F358" s="45"/>
      <c r="G358" s="45"/>
      <c r="H358" s="45"/>
      <c r="I358" s="45"/>
      <c r="J358" s="45"/>
      <c r="K358" s="45"/>
      <c r="L358" s="46"/>
      <c r="M358" s="45"/>
      <c r="N358" s="45"/>
      <c r="O358" s="45"/>
      <c r="P358" s="45"/>
      <c r="Q358" s="45"/>
      <c r="R358" s="45"/>
      <c r="S358" s="45"/>
    </row>
    <row r="359">
      <c r="A359" s="45"/>
      <c r="B359" s="45"/>
      <c r="C359" s="45"/>
      <c r="D359" s="45"/>
      <c r="E359" s="45"/>
      <c r="F359" s="45"/>
      <c r="G359" s="45"/>
      <c r="H359" s="45"/>
      <c r="I359" s="45"/>
      <c r="J359" s="45"/>
      <c r="K359" s="45"/>
      <c r="L359" s="46"/>
      <c r="M359" s="45"/>
      <c r="N359" s="45"/>
      <c r="O359" s="45"/>
      <c r="P359" s="45"/>
      <c r="Q359" s="45"/>
      <c r="R359" s="45"/>
      <c r="S359" s="45"/>
    </row>
    <row r="360">
      <c r="A360" s="45"/>
      <c r="B360" s="45"/>
      <c r="C360" s="45"/>
      <c r="D360" s="45"/>
      <c r="E360" s="45"/>
      <c r="F360" s="45"/>
      <c r="G360" s="45"/>
      <c r="H360" s="45"/>
      <c r="I360" s="45"/>
      <c r="J360" s="45"/>
      <c r="K360" s="45"/>
      <c r="L360" s="46"/>
      <c r="M360" s="45"/>
      <c r="N360" s="45"/>
      <c r="O360" s="45"/>
      <c r="P360" s="45"/>
      <c r="Q360" s="45"/>
      <c r="R360" s="45"/>
      <c r="S360" s="45"/>
    </row>
    <row r="361">
      <c r="A361" s="45"/>
      <c r="B361" s="45"/>
      <c r="C361" s="45"/>
      <c r="D361" s="45"/>
      <c r="E361" s="45"/>
      <c r="F361" s="45"/>
      <c r="G361" s="45"/>
      <c r="H361" s="45"/>
      <c r="I361" s="45"/>
      <c r="J361" s="45"/>
      <c r="K361" s="45"/>
      <c r="L361" s="46"/>
      <c r="M361" s="45"/>
      <c r="N361" s="45"/>
      <c r="O361" s="45"/>
      <c r="P361" s="45"/>
      <c r="Q361" s="45"/>
      <c r="R361" s="45"/>
      <c r="S361" s="45"/>
    </row>
    <row r="362">
      <c r="A362" s="45"/>
      <c r="B362" s="45"/>
      <c r="C362" s="45"/>
      <c r="D362" s="45"/>
      <c r="E362" s="45"/>
      <c r="F362" s="45"/>
      <c r="G362" s="45"/>
      <c r="H362" s="45"/>
      <c r="I362" s="45"/>
      <c r="J362" s="45"/>
      <c r="K362" s="45"/>
      <c r="L362" s="46"/>
      <c r="M362" s="45"/>
      <c r="N362" s="45"/>
      <c r="O362" s="45"/>
      <c r="P362" s="45"/>
      <c r="Q362" s="45"/>
      <c r="R362" s="45"/>
      <c r="S362" s="45"/>
    </row>
    <row r="363">
      <c r="A363" s="45"/>
      <c r="B363" s="45"/>
      <c r="C363" s="45"/>
      <c r="D363" s="45"/>
      <c r="E363" s="45"/>
      <c r="F363" s="45"/>
      <c r="G363" s="45"/>
      <c r="H363" s="45"/>
      <c r="I363" s="45"/>
      <c r="J363" s="45"/>
      <c r="K363" s="45"/>
      <c r="L363" s="46"/>
      <c r="M363" s="45"/>
      <c r="N363" s="45"/>
      <c r="O363" s="45"/>
      <c r="P363" s="45"/>
      <c r="Q363" s="45"/>
      <c r="R363" s="45"/>
      <c r="S363" s="45"/>
    </row>
    <row r="364">
      <c r="A364" s="45"/>
      <c r="B364" s="45"/>
      <c r="C364" s="45"/>
      <c r="D364" s="45"/>
      <c r="E364" s="45"/>
      <c r="F364" s="45"/>
      <c r="G364" s="45"/>
      <c r="H364" s="45"/>
      <c r="I364" s="45"/>
      <c r="J364" s="45"/>
      <c r="K364" s="45"/>
      <c r="L364" s="46"/>
      <c r="M364" s="45"/>
      <c r="N364" s="45"/>
      <c r="O364" s="45"/>
      <c r="P364" s="45"/>
      <c r="Q364" s="45"/>
      <c r="R364" s="45"/>
      <c r="S364" s="45"/>
    </row>
    <row r="365">
      <c r="A365" s="45"/>
      <c r="B365" s="45"/>
      <c r="C365" s="45"/>
      <c r="D365" s="45"/>
      <c r="E365" s="45"/>
      <c r="F365" s="45"/>
      <c r="G365" s="45"/>
      <c r="H365" s="45"/>
      <c r="I365" s="45"/>
      <c r="J365" s="45"/>
      <c r="K365" s="45"/>
      <c r="L365" s="46"/>
      <c r="M365" s="45"/>
      <c r="N365" s="45"/>
      <c r="O365" s="45"/>
      <c r="P365" s="45"/>
      <c r="Q365" s="45"/>
      <c r="R365" s="45"/>
      <c r="S365" s="45"/>
    </row>
    <row r="366">
      <c r="A366" s="45"/>
      <c r="B366" s="45"/>
      <c r="C366" s="45"/>
      <c r="D366" s="45"/>
      <c r="E366" s="45"/>
      <c r="F366" s="45"/>
      <c r="G366" s="45"/>
      <c r="H366" s="45"/>
      <c r="I366" s="45"/>
      <c r="J366" s="45"/>
      <c r="K366" s="45"/>
      <c r="L366" s="46"/>
      <c r="M366" s="45"/>
      <c r="N366" s="45"/>
      <c r="O366" s="45"/>
      <c r="P366" s="45"/>
      <c r="Q366" s="45"/>
      <c r="R366" s="45"/>
      <c r="S366" s="45"/>
    </row>
    <row r="367">
      <c r="A367" s="45"/>
      <c r="B367" s="45"/>
      <c r="C367" s="45"/>
      <c r="D367" s="45"/>
      <c r="E367" s="45"/>
      <c r="F367" s="45"/>
      <c r="G367" s="45"/>
      <c r="H367" s="45"/>
      <c r="I367" s="45"/>
      <c r="J367" s="45"/>
      <c r="K367" s="45"/>
      <c r="L367" s="46"/>
      <c r="M367" s="45"/>
      <c r="N367" s="45"/>
      <c r="O367" s="45"/>
      <c r="P367" s="45"/>
      <c r="Q367" s="45"/>
      <c r="R367" s="45"/>
      <c r="S367" s="45"/>
    </row>
    <row r="368">
      <c r="A368" s="45"/>
      <c r="B368" s="45"/>
      <c r="C368" s="45"/>
      <c r="D368" s="45"/>
      <c r="E368" s="45"/>
      <c r="F368" s="45"/>
      <c r="G368" s="45"/>
      <c r="H368" s="45"/>
      <c r="I368" s="45"/>
      <c r="J368" s="45"/>
      <c r="K368" s="45"/>
      <c r="L368" s="46"/>
      <c r="M368" s="45"/>
      <c r="N368" s="45"/>
      <c r="O368" s="45"/>
      <c r="P368" s="45"/>
      <c r="Q368" s="45"/>
      <c r="R368" s="45"/>
      <c r="S368" s="45"/>
    </row>
    <row r="369">
      <c r="A369" s="45"/>
      <c r="B369" s="45"/>
      <c r="C369" s="45"/>
      <c r="D369" s="45"/>
      <c r="E369" s="45"/>
      <c r="F369" s="45"/>
      <c r="G369" s="45"/>
      <c r="H369" s="45"/>
      <c r="I369" s="45"/>
      <c r="J369" s="45"/>
      <c r="K369" s="45"/>
      <c r="L369" s="46"/>
      <c r="M369" s="45"/>
      <c r="N369" s="45"/>
      <c r="O369" s="45"/>
      <c r="P369" s="45"/>
      <c r="Q369" s="45"/>
      <c r="R369" s="45"/>
      <c r="S369" s="45"/>
    </row>
    <row r="370">
      <c r="A370" s="45"/>
      <c r="B370" s="45"/>
      <c r="C370" s="45"/>
      <c r="D370" s="45"/>
      <c r="E370" s="45"/>
      <c r="F370" s="45"/>
      <c r="G370" s="45"/>
      <c r="H370" s="45"/>
      <c r="I370" s="45"/>
      <c r="J370" s="45"/>
      <c r="K370" s="45"/>
      <c r="L370" s="46"/>
      <c r="M370" s="45"/>
      <c r="N370" s="45"/>
      <c r="O370" s="45"/>
      <c r="P370" s="45"/>
      <c r="Q370" s="45"/>
      <c r="R370" s="45"/>
      <c r="S370" s="45"/>
    </row>
    <row r="371">
      <c r="A371" s="45"/>
      <c r="B371" s="45"/>
      <c r="C371" s="45"/>
      <c r="D371" s="45"/>
      <c r="E371" s="45"/>
      <c r="F371" s="45"/>
      <c r="G371" s="45"/>
      <c r="H371" s="45"/>
      <c r="I371" s="45"/>
      <c r="J371" s="45"/>
      <c r="K371" s="45"/>
      <c r="L371" s="46"/>
      <c r="M371" s="45"/>
      <c r="N371" s="45"/>
      <c r="O371" s="45"/>
      <c r="P371" s="45"/>
      <c r="Q371" s="45"/>
      <c r="R371" s="45"/>
      <c r="S371" s="45"/>
    </row>
    <row r="372">
      <c r="A372" s="45"/>
      <c r="B372" s="45"/>
      <c r="C372" s="45"/>
      <c r="D372" s="45"/>
      <c r="E372" s="45"/>
      <c r="F372" s="45"/>
      <c r="G372" s="45"/>
      <c r="H372" s="45"/>
      <c r="I372" s="45"/>
      <c r="J372" s="45"/>
      <c r="K372" s="45"/>
      <c r="L372" s="46"/>
      <c r="M372" s="45"/>
      <c r="N372" s="45"/>
      <c r="O372" s="45"/>
      <c r="P372" s="45"/>
      <c r="Q372" s="45"/>
      <c r="R372" s="45"/>
      <c r="S372" s="45"/>
    </row>
    <row r="373">
      <c r="A373" s="45"/>
      <c r="B373" s="45"/>
      <c r="C373" s="45"/>
      <c r="D373" s="45"/>
      <c r="E373" s="45"/>
      <c r="F373" s="45"/>
      <c r="G373" s="45"/>
      <c r="H373" s="45"/>
      <c r="I373" s="45"/>
      <c r="J373" s="45"/>
      <c r="K373" s="45"/>
      <c r="L373" s="46"/>
      <c r="M373" s="45"/>
      <c r="N373" s="45"/>
      <c r="O373" s="45"/>
      <c r="P373" s="45"/>
      <c r="Q373" s="45"/>
      <c r="R373" s="45"/>
      <c r="S373" s="45"/>
    </row>
    <row r="374">
      <c r="A374" s="45"/>
      <c r="B374" s="45"/>
      <c r="C374" s="45"/>
      <c r="D374" s="45"/>
      <c r="E374" s="45"/>
      <c r="F374" s="45"/>
      <c r="G374" s="45"/>
      <c r="H374" s="45"/>
      <c r="I374" s="45"/>
      <c r="J374" s="45"/>
      <c r="K374" s="45"/>
      <c r="L374" s="46"/>
      <c r="M374" s="45"/>
      <c r="N374" s="45"/>
      <c r="O374" s="45"/>
      <c r="P374" s="45"/>
      <c r="Q374" s="45"/>
      <c r="R374" s="45"/>
      <c r="S374" s="45"/>
    </row>
    <row r="375">
      <c r="A375" s="45"/>
      <c r="B375" s="45"/>
      <c r="C375" s="45"/>
      <c r="D375" s="45"/>
      <c r="E375" s="45"/>
      <c r="F375" s="45"/>
      <c r="G375" s="45"/>
      <c r="H375" s="45"/>
      <c r="I375" s="45"/>
      <c r="J375" s="45"/>
      <c r="K375" s="45"/>
      <c r="L375" s="46"/>
      <c r="M375" s="45"/>
      <c r="N375" s="45"/>
      <c r="O375" s="45"/>
      <c r="P375" s="45"/>
      <c r="Q375" s="45"/>
      <c r="R375" s="45"/>
      <c r="S375" s="45"/>
    </row>
    <row r="376">
      <c r="A376" s="45"/>
      <c r="B376" s="45"/>
      <c r="C376" s="45"/>
      <c r="D376" s="45"/>
      <c r="E376" s="45"/>
      <c r="F376" s="45"/>
      <c r="G376" s="45"/>
      <c r="H376" s="45"/>
      <c r="I376" s="45"/>
      <c r="J376" s="45"/>
      <c r="K376" s="45"/>
      <c r="L376" s="46"/>
      <c r="M376" s="45"/>
      <c r="N376" s="45"/>
      <c r="O376" s="45"/>
      <c r="P376" s="45"/>
      <c r="Q376" s="45"/>
      <c r="R376" s="45"/>
      <c r="S376" s="45"/>
    </row>
    <row r="377">
      <c r="A377" s="45"/>
      <c r="B377" s="45"/>
      <c r="C377" s="45"/>
      <c r="D377" s="45"/>
      <c r="E377" s="45"/>
      <c r="F377" s="45"/>
      <c r="G377" s="45"/>
      <c r="H377" s="45"/>
      <c r="I377" s="45"/>
      <c r="J377" s="45"/>
      <c r="K377" s="45"/>
      <c r="L377" s="46"/>
      <c r="M377" s="45"/>
      <c r="N377" s="45"/>
      <c r="O377" s="45"/>
      <c r="P377" s="45"/>
      <c r="Q377" s="45"/>
      <c r="R377" s="45"/>
      <c r="S377" s="45"/>
    </row>
    <row r="378">
      <c r="A378" s="45"/>
      <c r="B378" s="45"/>
      <c r="C378" s="45"/>
      <c r="D378" s="45"/>
      <c r="E378" s="45"/>
      <c r="F378" s="45"/>
      <c r="G378" s="45"/>
      <c r="H378" s="45"/>
      <c r="I378" s="45"/>
      <c r="J378" s="45"/>
      <c r="K378" s="45"/>
      <c r="L378" s="46"/>
      <c r="M378" s="45"/>
      <c r="N378" s="45"/>
      <c r="O378" s="45"/>
      <c r="P378" s="45"/>
      <c r="Q378" s="45"/>
      <c r="R378" s="45"/>
      <c r="S378" s="45"/>
    </row>
    <row r="379">
      <c r="A379" s="45"/>
      <c r="B379" s="45"/>
      <c r="C379" s="45"/>
      <c r="D379" s="45"/>
      <c r="E379" s="45"/>
      <c r="F379" s="45"/>
      <c r="G379" s="45"/>
      <c r="H379" s="45"/>
      <c r="I379" s="45"/>
      <c r="J379" s="45"/>
      <c r="K379" s="45"/>
      <c r="L379" s="46"/>
      <c r="M379" s="45"/>
      <c r="N379" s="45"/>
      <c r="O379" s="45"/>
      <c r="P379" s="45"/>
      <c r="Q379" s="45"/>
      <c r="R379" s="45"/>
      <c r="S379" s="45"/>
    </row>
    <row r="380">
      <c r="A380" s="45"/>
      <c r="B380" s="45"/>
      <c r="C380" s="45"/>
      <c r="D380" s="45"/>
      <c r="E380" s="45"/>
      <c r="F380" s="45"/>
      <c r="G380" s="45"/>
      <c r="H380" s="45"/>
      <c r="I380" s="45"/>
      <c r="J380" s="45"/>
      <c r="K380" s="45"/>
      <c r="L380" s="46"/>
      <c r="M380" s="45"/>
      <c r="N380" s="45"/>
      <c r="O380" s="45"/>
      <c r="P380" s="45"/>
      <c r="Q380" s="45"/>
      <c r="R380" s="45"/>
      <c r="S380" s="45"/>
    </row>
    <row r="381">
      <c r="A381" s="45"/>
      <c r="B381" s="45"/>
      <c r="C381" s="45"/>
      <c r="D381" s="45"/>
      <c r="E381" s="45"/>
      <c r="F381" s="45"/>
      <c r="G381" s="45"/>
      <c r="H381" s="45"/>
      <c r="I381" s="45"/>
      <c r="J381" s="45"/>
      <c r="K381" s="45"/>
      <c r="L381" s="46"/>
      <c r="M381" s="45"/>
      <c r="N381" s="45"/>
      <c r="O381" s="45"/>
      <c r="P381" s="45"/>
      <c r="Q381" s="45"/>
      <c r="R381" s="45"/>
      <c r="S381" s="45"/>
    </row>
    <row r="382">
      <c r="A382" s="45"/>
      <c r="B382" s="45"/>
      <c r="C382" s="45"/>
      <c r="D382" s="45"/>
      <c r="E382" s="45"/>
      <c r="F382" s="45"/>
      <c r="G382" s="45"/>
      <c r="H382" s="45"/>
      <c r="I382" s="45"/>
      <c r="J382" s="45"/>
      <c r="K382" s="45"/>
      <c r="L382" s="46"/>
      <c r="M382" s="45"/>
      <c r="N382" s="45"/>
      <c r="O382" s="45"/>
      <c r="P382" s="45"/>
      <c r="Q382" s="45"/>
      <c r="R382" s="45"/>
      <c r="S382" s="45"/>
    </row>
    <row r="383">
      <c r="A383" s="45"/>
      <c r="B383" s="45"/>
      <c r="C383" s="45"/>
      <c r="D383" s="45"/>
      <c r="E383" s="45"/>
      <c r="F383" s="45"/>
      <c r="G383" s="45"/>
      <c r="H383" s="45"/>
      <c r="I383" s="45"/>
      <c r="J383" s="45"/>
      <c r="K383" s="45"/>
      <c r="L383" s="46"/>
      <c r="M383" s="45"/>
      <c r="N383" s="45"/>
      <c r="O383" s="45"/>
      <c r="P383" s="45"/>
      <c r="Q383" s="45"/>
      <c r="R383" s="45"/>
      <c r="S383" s="45"/>
    </row>
    <row r="384">
      <c r="A384" s="45"/>
      <c r="B384" s="45"/>
      <c r="C384" s="45"/>
      <c r="D384" s="45"/>
      <c r="E384" s="45"/>
      <c r="F384" s="45"/>
      <c r="G384" s="45"/>
      <c r="H384" s="45"/>
      <c r="I384" s="45"/>
      <c r="J384" s="45"/>
      <c r="K384" s="45"/>
      <c r="L384" s="46"/>
      <c r="M384" s="45"/>
      <c r="N384" s="45"/>
      <c r="O384" s="45"/>
      <c r="P384" s="45"/>
      <c r="Q384" s="45"/>
      <c r="R384" s="45"/>
      <c r="S384" s="45"/>
    </row>
    <row r="385">
      <c r="A385" s="45"/>
      <c r="B385" s="45"/>
      <c r="C385" s="45"/>
      <c r="D385" s="45"/>
      <c r="E385" s="45"/>
      <c r="F385" s="45"/>
      <c r="G385" s="45"/>
      <c r="H385" s="45"/>
      <c r="I385" s="45"/>
      <c r="J385" s="45"/>
      <c r="K385" s="45"/>
      <c r="L385" s="46"/>
      <c r="M385" s="45"/>
      <c r="N385" s="45"/>
      <c r="O385" s="45"/>
      <c r="P385" s="45"/>
      <c r="Q385" s="45"/>
      <c r="R385" s="45"/>
      <c r="S385" s="45"/>
    </row>
    <row r="386">
      <c r="A386" s="45"/>
      <c r="B386" s="45"/>
      <c r="C386" s="45"/>
      <c r="D386" s="45"/>
      <c r="E386" s="45"/>
      <c r="F386" s="45"/>
      <c r="G386" s="45"/>
      <c r="H386" s="45"/>
      <c r="I386" s="45"/>
      <c r="J386" s="45"/>
      <c r="K386" s="45"/>
      <c r="L386" s="46"/>
      <c r="M386" s="45"/>
      <c r="N386" s="45"/>
      <c r="O386" s="45"/>
      <c r="P386" s="45"/>
      <c r="Q386" s="45"/>
      <c r="R386" s="45"/>
      <c r="S386" s="45"/>
    </row>
    <row r="387">
      <c r="A387" s="45"/>
      <c r="B387" s="45"/>
      <c r="C387" s="45"/>
      <c r="D387" s="45"/>
      <c r="E387" s="45"/>
      <c r="F387" s="45"/>
      <c r="G387" s="45"/>
      <c r="H387" s="45"/>
      <c r="I387" s="45"/>
      <c r="J387" s="45"/>
      <c r="K387" s="45"/>
      <c r="L387" s="46"/>
      <c r="M387" s="45"/>
      <c r="N387" s="45"/>
      <c r="O387" s="45"/>
      <c r="P387" s="45"/>
      <c r="Q387" s="45"/>
      <c r="R387" s="45"/>
      <c r="S387" s="45"/>
    </row>
    <row r="388">
      <c r="A388" s="45"/>
      <c r="B388" s="45"/>
      <c r="C388" s="45"/>
      <c r="D388" s="45"/>
      <c r="E388" s="45"/>
      <c r="F388" s="45"/>
      <c r="G388" s="45"/>
      <c r="H388" s="45"/>
      <c r="I388" s="45"/>
      <c r="J388" s="45"/>
      <c r="K388" s="45"/>
      <c r="L388" s="46"/>
      <c r="M388" s="45"/>
      <c r="N388" s="45"/>
      <c r="O388" s="45"/>
      <c r="P388" s="45"/>
      <c r="Q388" s="45"/>
      <c r="R388" s="45"/>
      <c r="S388" s="45"/>
    </row>
    <row r="389">
      <c r="A389" s="45"/>
      <c r="B389" s="45"/>
      <c r="C389" s="45"/>
      <c r="D389" s="45"/>
      <c r="E389" s="45"/>
      <c r="F389" s="45"/>
      <c r="G389" s="45"/>
      <c r="H389" s="45"/>
      <c r="I389" s="45"/>
      <c r="J389" s="45"/>
      <c r="K389" s="45"/>
      <c r="L389" s="46"/>
      <c r="M389" s="45"/>
      <c r="N389" s="45"/>
      <c r="O389" s="45"/>
      <c r="P389" s="45"/>
      <c r="Q389" s="45"/>
      <c r="R389" s="45"/>
      <c r="S389" s="45"/>
    </row>
    <row r="390">
      <c r="A390" s="45"/>
      <c r="B390" s="45"/>
      <c r="C390" s="45"/>
      <c r="D390" s="45"/>
      <c r="E390" s="45"/>
      <c r="F390" s="45"/>
      <c r="G390" s="45"/>
      <c r="H390" s="45"/>
      <c r="I390" s="45"/>
      <c r="J390" s="45"/>
      <c r="K390" s="45"/>
      <c r="L390" s="46"/>
      <c r="M390" s="45"/>
      <c r="N390" s="45"/>
      <c r="O390" s="45"/>
      <c r="P390" s="45"/>
      <c r="Q390" s="45"/>
      <c r="R390" s="45"/>
      <c r="S390" s="45"/>
    </row>
    <row r="391">
      <c r="A391" s="45"/>
      <c r="B391" s="45"/>
      <c r="C391" s="45"/>
      <c r="D391" s="45"/>
      <c r="E391" s="45"/>
      <c r="F391" s="45"/>
      <c r="G391" s="45"/>
      <c r="H391" s="45"/>
      <c r="I391" s="45"/>
      <c r="J391" s="45"/>
      <c r="K391" s="45"/>
      <c r="L391" s="46"/>
      <c r="M391" s="45"/>
      <c r="N391" s="45"/>
      <c r="O391" s="45"/>
      <c r="P391" s="45"/>
      <c r="Q391" s="45"/>
      <c r="R391" s="45"/>
      <c r="S391" s="45"/>
    </row>
    <row r="392">
      <c r="A392" s="45"/>
      <c r="B392" s="45"/>
      <c r="C392" s="45"/>
      <c r="D392" s="45"/>
      <c r="E392" s="45"/>
      <c r="F392" s="45"/>
      <c r="G392" s="45"/>
      <c r="H392" s="45"/>
      <c r="I392" s="45"/>
      <c r="J392" s="45"/>
      <c r="K392" s="45"/>
      <c r="L392" s="46"/>
      <c r="M392" s="45"/>
      <c r="N392" s="45"/>
      <c r="O392" s="45"/>
      <c r="P392" s="45"/>
      <c r="Q392" s="45"/>
      <c r="R392" s="45"/>
      <c r="S392" s="45"/>
    </row>
    <row r="393">
      <c r="A393" s="45"/>
      <c r="B393" s="45"/>
      <c r="C393" s="45"/>
      <c r="D393" s="45"/>
      <c r="E393" s="45"/>
      <c r="F393" s="45"/>
      <c r="G393" s="45"/>
      <c r="H393" s="45"/>
      <c r="I393" s="45"/>
      <c r="J393" s="45"/>
      <c r="K393" s="45"/>
      <c r="L393" s="46"/>
      <c r="M393" s="45"/>
      <c r="N393" s="45"/>
      <c r="O393" s="45"/>
      <c r="P393" s="45"/>
      <c r="Q393" s="45"/>
      <c r="R393" s="45"/>
      <c r="S393" s="45"/>
    </row>
    <row r="394">
      <c r="A394" s="45"/>
      <c r="B394" s="45"/>
      <c r="C394" s="45"/>
      <c r="D394" s="45"/>
      <c r="E394" s="45"/>
      <c r="F394" s="45"/>
      <c r="G394" s="45"/>
      <c r="H394" s="45"/>
      <c r="I394" s="45"/>
      <c r="J394" s="45"/>
      <c r="K394" s="45"/>
      <c r="L394" s="46"/>
      <c r="M394" s="45"/>
      <c r="N394" s="45"/>
      <c r="O394" s="45"/>
      <c r="P394" s="45"/>
      <c r="Q394" s="45"/>
      <c r="R394" s="45"/>
      <c r="S394" s="45"/>
    </row>
    <row r="395">
      <c r="A395" s="45"/>
      <c r="B395" s="45"/>
      <c r="C395" s="45"/>
      <c r="D395" s="45"/>
      <c r="E395" s="45"/>
      <c r="F395" s="45"/>
      <c r="G395" s="45"/>
      <c r="H395" s="45"/>
      <c r="I395" s="45"/>
      <c r="J395" s="45"/>
      <c r="K395" s="45"/>
      <c r="L395" s="46"/>
      <c r="M395" s="45"/>
      <c r="N395" s="45"/>
      <c r="O395" s="45"/>
      <c r="P395" s="45"/>
      <c r="Q395" s="45"/>
      <c r="R395" s="45"/>
      <c r="S395" s="45"/>
    </row>
    <row r="396">
      <c r="A396" s="45"/>
      <c r="B396" s="45"/>
      <c r="C396" s="45"/>
      <c r="D396" s="45"/>
      <c r="E396" s="45"/>
      <c r="F396" s="45"/>
      <c r="G396" s="45"/>
      <c r="H396" s="45"/>
      <c r="I396" s="45"/>
      <c r="J396" s="45"/>
      <c r="K396" s="45"/>
      <c r="L396" s="46"/>
      <c r="M396" s="45"/>
      <c r="N396" s="45"/>
      <c r="O396" s="45"/>
      <c r="P396" s="45"/>
      <c r="Q396" s="45"/>
      <c r="R396" s="45"/>
      <c r="S396" s="45"/>
    </row>
    <row r="397">
      <c r="A397" s="45"/>
      <c r="B397" s="45"/>
      <c r="C397" s="45"/>
      <c r="D397" s="45"/>
      <c r="E397" s="45"/>
      <c r="F397" s="45"/>
      <c r="G397" s="45"/>
      <c r="H397" s="45"/>
      <c r="I397" s="45"/>
      <c r="J397" s="45"/>
      <c r="K397" s="45"/>
      <c r="L397" s="46"/>
      <c r="M397" s="45"/>
      <c r="N397" s="45"/>
      <c r="O397" s="45"/>
      <c r="P397" s="45"/>
      <c r="Q397" s="45"/>
      <c r="R397" s="45"/>
      <c r="S397" s="45"/>
    </row>
    <row r="398">
      <c r="A398" s="45"/>
      <c r="B398" s="45"/>
      <c r="C398" s="45"/>
      <c r="D398" s="45"/>
      <c r="E398" s="45"/>
      <c r="F398" s="45"/>
      <c r="G398" s="45"/>
      <c r="H398" s="45"/>
      <c r="I398" s="45"/>
      <c r="J398" s="45"/>
      <c r="K398" s="45"/>
      <c r="L398" s="46"/>
      <c r="M398" s="45"/>
      <c r="N398" s="45"/>
      <c r="O398" s="45"/>
      <c r="P398" s="45"/>
      <c r="Q398" s="45"/>
      <c r="R398" s="45"/>
      <c r="S398" s="45"/>
    </row>
    <row r="399">
      <c r="A399" s="45"/>
      <c r="B399" s="45"/>
      <c r="C399" s="45"/>
      <c r="D399" s="45"/>
      <c r="E399" s="45"/>
      <c r="F399" s="45"/>
      <c r="G399" s="45"/>
      <c r="H399" s="45"/>
      <c r="I399" s="45"/>
      <c r="J399" s="45"/>
      <c r="K399" s="45"/>
      <c r="L399" s="46"/>
      <c r="M399" s="45"/>
      <c r="N399" s="45"/>
      <c r="O399" s="45"/>
      <c r="P399" s="45"/>
      <c r="Q399" s="45"/>
      <c r="R399" s="45"/>
      <c r="S399" s="45"/>
    </row>
    <row r="400">
      <c r="A400" s="45"/>
      <c r="B400" s="45"/>
      <c r="C400" s="45"/>
      <c r="D400" s="45"/>
      <c r="E400" s="45"/>
      <c r="F400" s="45"/>
      <c r="G400" s="45"/>
      <c r="H400" s="45"/>
      <c r="I400" s="45"/>
      <c r="J400" s="45"/>
      <c r="K400" s="45"/>
      <c r="L400" s="46"/>
      <c r="M400" s="45"/>
      <c r="N400" s="45"/>
      <c r="O400" s="45"/>
      <c r="P400" s="45"/>
      <c r="Q400" s="45"/>
      <c r="R400" s="45"/>
      <c r="S400" s="45"/>
    </row>
    <row r="401">
      <c r="A401" s="45"/>
      <c r="B401" s="45"/>
      <c r="C401" s="45"/>
      <c r="D401" s="45"/>
      <c r="E401" s="45"/>
      <c r="F401" s="45"/>
      <c r="G401" s="45"/>
      <c r="H401" s="45"/>
      <c r="I401" s="45"/>
      <c r="J401" s="45"/>
      <c r="K401" s="45"/>
      <c r="L401" s="46"/>
      <c r="M401" s="45"/>
      <c r="N401" s="45"/>
      <c r="O401" s="45"/>
      <c r="P401" s="45"/>
      <c r="Q401" s="45"/>
      <c r="R401" s="45"/>
      <c r="S401" s="45"/>
    </row>
    <row r="402">
      <c r="A402" s="45"/>
      <c r="B402" s="45"/>
      <c r="C402" s="45"/>
      <c r="D402" s="45"/>
      <c r="E402" s="45"/>
      <c r="F402" s="45"/>
      <c r="G402" s="45"/>
      <c r="H402" s="45"/>
      <c r="I402" s="45"/>
      <c r="J402" s="45"/>
      <c r="K402" s="45"/>
      <c r="L402" s="46"/>
      <c r="M402" s="45"/>
      <c r="N402" s="45"/>
      <c r="O402" s="45"/>
      <c r="P402" s="45"/>
      <c r="Q402" s="45"/>
      <c r="R402" s="45"/>
      <c r="S402" s="45"/>
    </row>
    <row r="403">
      <c r="A403" s="45"/>
      <c r="B403" s="45"/>
      <c r="C403" s="45"/>
      <c r="D403" s="45"/>
      <c r="E403" s="45"/>
      <c r="F403" s="45"/>
      <c r="G403" s="45"/>
      <c r="H403" s="45"/>
      <c r="I403" s="45"/>
      <c r="J403" s="45"/>
      <c r="K403" s="45"/>
      <c r="L403" s="46"/>
      <c r="M403" s="45"/>
      <c r="N403" s="45"/>
      <c r="O403" s="45"/>
      <c r="P403" s="45"/>
      <c r="Q403" s="45"/>
      <c r="R403" s="45"/>
      <c r="S403" s="45"/>
    </row>
    <row r="404">
      <c r="A404" s="45"/>
      <c r="B404" s="45"/>
      <c r="C404" s="45"/>
      <c r="D404" s="45"/>
      <c r="E404" s="45"/>
      <c r="F404" s="45"/>
      <c r="G404" s="45"/>
      <c r="H404" s="45"/>
      <c r="I404" s="45"/>
      <c r="J404" s="45"/>
      <c r="K404" s="45"/>
      <c r="L404" s="46"/>
      <c r="M404" s="45"/>
      <c r="N404" s="45"/>
      <c r="O404" s="45"/>
      <c r="P404" s="45"/>
      <c r="Q404" s="45"/>
      <c r="R404" s="45"/>
      <c r="S404" s="45"/>
    </row>
    <row r="405">
      <c r="A405" s="45"/>
      <c r="B405" s="45"/>
      <c r="C405" s="45"/>
      <c r="D405" s="45"/>
      <c r="E405" s="45"/>
      <c r="F405" s="45"/>
      <c r="G405" s="45"/>
      <c r="H405" s="45"/>
      <c r="I405" s="45"/>
      <c r="J405" s="45"/>
      <c r="K405" s="45"/>
      <c r="L405" s="46"/>
      <c r="M405" s="45"/>
      <c r="N405" s="45"/>
      <c r="O405" s="45"/>
      <c r="P405" s="45"/>
      <c r="Q405" s="45"/>
      <c r="R405" s="45"/>
      <c r="S405" s="45"/>
    </row>
    <row r="406">
      <c r="A406" s="45"/>
      <c r="B406" s="45"/>
      <c r="C406" s="45"/>
      <c r="D406" s="45"/>
      <c r="E406" s="45"/>
      <c r="F406" s="45"/>
      <c r="G406" s="45"/>
      <c r="H406" s="45"/>
      <c r="I406" s="45"/>
      <c r="J406" s="45"/>
      <c r="K406" s="45"/>
      <c r="L406" s="46"/>
      <c r="M406" s="45"/>
      <c r="N406" s="45"/>
      <c r="O406" s="45"/>
      <c r="P406" s="45"/>
      <c r="Q406" s="45"/>
      <c r="R406" s="45"/>
      <c r="S406" s="45"/>
    </row>
    <row r="407">
      <c r="A407" s="45"/>
      <c r="B407" s="45"/>
      <c r="C407" s="45"/>
      <c r="D407" s="45"/>
      <c r="E407" s="45"/>
      <c r="F407" s="45"/>
      <c r="G407" s="45"/>
      <c r="H407" s="45"/>
      <c r="I407" s="45"/>
      <c r="J407" s="45"/>
      <c r="K407" s="45"/>
      <c r="L407" s="46"/>
      <c r="M407" s="45"/>
      <c r="N407" s="45"/>
      <c r="O407" s="45"/>
      <c r="P407" s="45"/>
      <c r="Q407" s="45"/>
      <c r="R407" s="45"/>
      <c r="S407" s="45"/>
    </row>
    <row r="408">
      <c r="A408" s="45"/>
      <c r="B408" s="45"/>
      <c r="C408" s="45"/>
      <c r="D408" s="45"/>
      <c r="E408" s="45"/>
      <c r="F408" s="45"/>
      <c r="G408" s="45"/>
      <c r="H408" s="45"/>
      <c r="I408" s="45"/>
      <c r="J408" s="45"/>
      <c r="K408" s="45"/>
      <c r="L408" s="46"/>
      <c r="M408" s="45"/>
      <c r="N408" s="45"/>
      <c r="O408" s="45"/>
      <c r="P408" s="45"/>
      <c r="Q408" s="45"/>
      <c r="R408" s="45"/>
      <c r="S408" s="45"/>
    </row>
    <row r="409">
      <c r="A409" s="45"/>
      <c r="B409" s="45"/>
      <c r="C409" s="45"/>
      <c r="D409" s="45"/>
      <c r="E409" s="45"/>
      <c r="F409" s="45"/>
      <c r="G409" s="45"/>
      <c r="H409" s="45"/>
      <c r="I409" s="45"/>
      <c r="J409" s="45"/>
      <c r="K409" s="45"/>
      <c r="L409" s="46"/>
      <c r="M409" s="45"/>
      <c r="N409" s="45"/>
      <c r="O409" s="45"/>
      <c r="P409" s="45"/>
      <c r="Q409" s="45"/>
      <c r="R409" s="45"/>
      <c r="S409" s="45"/>
    </row>
    <row r="410">
      <c r="A410" s="45"/>
      <c r="B410" s="45"/>
      <c r="C410" s="45"/>
      <c r="D410" s="45"/>
      <c r="E410" s="45"/>
      <c r="F410" s="45"/>
      <c r="G410" s="45"/>
      <c r="H410" s="45"/>
      <c r="I410" s="45"/>
      <c r="J410" s="45"/>
      <c r="K410" s="45"/>
      <c r="L410" s="46"/>
      <c r="M410" s="45"/>
      <c r="N410" s="45"/>
      <c r="O410" s="45"/>
      <c r="P410" s="45"/>
      <c r="Q410" s="45"/>
      <c r="R410" s="45"/>
      <c r="S410" s="45"/>
    </row>
    <row r="411">
      <c r="A411" s="45"/>
      <c r="B411" s="45"/>
      <c r="C411" s="45"/>
      <c r="D411" s="45"/>
      <c r="E411" s="45"/>
      <c r="F411" s="45"/>
      <c r="G411" s="45"/>
      <c r="H411" s="45"/>
      <c r="I411" s="45"/>
      <c r="J411" s="45"/>
      <c r="K411" s="45"/>
      <c r="L411" s="46"/>
      <c r="M411" s="45"/>
      <c r="N411" s="45"/>
      <c r="O411" s="45"/>
      <c r="P411" s="45"/>
      <c r="Q411" s="45"/>
      <c r="R411" s="45"/>
      <c r="S411" s="45"/>
    </row>
    <row r="412">
      <c r="A412" s="45"/>
      <c r="B412" s="45"/>
      <c r="C412" s="45"/>
      <c r="D412" s="45"/>
      <c r="E412" s="45"/>
      <c r="F412" s="45"/>
      <c r="G412" s="45"/>
      <c r="H412" s="45"/>
      <c r="I412" s="45"/>
      <c r="J412" s="45"/>
      <c r="K412" s="45"/>
      <c r="L412" s="46"/>
      <c r="M412" s="45"/>
      <c r="N412" s="45"/>
      <c r="O412" s="45"/>
      <c r="P412" s="45"/>
      <c r="Q412" s="45"/>
      <c r="R412" s="45"/>
      <c r="S412" s="45"/>
    </row>
    <row r="413">
      <c r="A413" s="45"/>
      <c r="B413" s="45"/>
      <c r="C413" s="45"/>
      <c r="D413" s="45"/>
      <c r="E413" s="45"/>
      <c r="F413" s="45"/>
      <c r="G413" s="45"/>
      <c r="H413" s="45"/>
      <c r="I413" s="45"/>
      <c r="J413" s="45"/>
      <c r="K413" s="45"/>
      <c r="L413" s="46"/>
      <c r="M413" s="45"/>
      <c r="N413" s="45"/>
      <c r="O413" s="45"/>
      <c r="P413" s="45"/>
      <c r="Q413" s="45"/>
      <c r="R413" s="45"/>
      <c r="S413" s="45"/>
    </row>
    <row r="414">
      <c r="A414" s="45"/>
      <c r="B414" s="45"/>
      <c r="C414" s="45"/>
      <c r="D414" s="45"/>
      <c r="E414" s="45"/>
      <c r="F414" s="45"/>
      <c r="G414" s="45"/>
      <c r="H414" s="45"/>
      <c r="I414" s="45"/>
      <c r="J414" s="45"/>
      <c r="K414" s="45"/>
      <c r="L414" s="46"/>
      <c r="M414" s="45"/>
      <c r="N414" s="45"/>
      <c r="O414" s="45"/>
      <c r="P414" s="45"/>
      <c r="Q414" s="45"/>
      <c r="R414" s="45"/>
      <c r="S414" s="45"/>
    </row>
    <row r="415">
      <c r="A415" s="45"/>
      <c r="B415" s="45"/>
      <c r="C415" s="45"/>
      <c r="D415" s="45"/>
      <c r="E415" s="45"/>
      <c r="F415" s="45"/>
      <c r="G415" s="45"/>
      <c r="H415" s="45"/>
      <c r="I415" s="45"/>
      <c r="J415" s="45"/>
      <c r="K415" s="45"/>
      <c r="L415" s="46"/>
      <c r="M415" s="45"/>
      <c r="N415" s="45"/>
      <c r="O415" s="45"/>
      <c r="P415" s="45"/>
      <c r="Q415" s="45"/>
      <c r="R415" s="45"/>
      <c r="S415" s="45"/>
    </row>
    <row r="416">
      <c r="A416" s="45"/>
      <c r="B416" s="45"/>
      <c r="C416" s="45"/>
      <c r="D416" s="45"/>
      <c r="E416" s="45"/>
      <c r="F416" s="45"/>
      <c r="G416" s="45"/>
      <c r="H416" s="45"/>
      <c r="I416" s="45"/>
      <c r="J416" s="45"/>
      <c r="K416" s="45"/>
      <c r="L416" s="46"/>
      <c r="M416" s="45"/>
      <c r="N416" s="45"/>
      <c r="O416" s="45"/>
      <c r="P416" s="45"/>
      <c r="Q416" s="45"/>
      <c r="R416" s="45"/>
      <c r="S416" s="45"/>
    </row>
    <row r="417">
      <c r="A417" s="45"/>
      <c r="B417" s="45"/>
      <c r="C417" s="45"/>
      <c r="D417" s="45"/>
      <c r="E417" s="45"/>
      <c r="F417" s="45"/>
      <c r="G417" s="45"/>
      <c r="H417" s="45"/>
      <c r="I417" s="45"/>
      <c r="J417" s="45"/>
      <c r="K417" s="45"/>
      <c r="L417" s="46"/>
      <c r="M417" s="45"/>
      <c r="N417" s="45"/>
      <c r="O417" s="45"/>
      <c r="P417" s="45"/>
      <c r="Q417" s="45"/>
      <c r="R417" s="45"/>
      <c r="S417" s="45"/>
    </row>
    <row r="418">
      <c r="A418" s="45"/>
      <c r="B418" s="45"/>
      <c r="C418" s="45"/>
      <c r="D418" s="45"/>
      <c r="E418" s="45"/>
      <c r="F418" s="45"/>
      <c r="G418" s="45"/>
      <c r="H418" s="45"/>
      <c r="I418" s="45"/>
      <c r="J418" s="45"/>
      <c r="K418" s="45"/>
      <c r="L418" s="46"/>
      <c r="M418" s="45"/>
      <c r="N418" s="45"/>
      <c r="O418" s="45"/>
      <c r="P418" s="45"/>
      <c r="Q418" s="45"/>
      <c r="R418" s="45"/>
      <c r="S418" s="45"/>
    </row>
    <row r="419">
      <c r="A419" s="45"/>
      <c r="B419" s="45"/>
      <c r="C419" s="45"/>
      <c r="D419" s="45"/>
      <c r="E419" s="45"/>
      <c r="F419" s="45"/>
      <c r="G419" s="45"/>
      <c r="H419" s="45"/>
      <c r="I419" s="45"/>
      <c r="J419" s="45"/>
      <c r="K419" s="45"/>
      <c r="L419" s="46"/>
      <c r="M419" s="45"/>
      <c r="N419" s="45"/>
      <c r="O419" s="45"/>
      <c r="P419" s="45"/>
      <c r="Q419" s="45"/>
      <c r="R419" s="45"/>
      <c r="S419" s="45"/>
    </row>
    <row r="420">
      <c r="A420" s="45"/>
      <c r="B420" s="45"/>
      <c r="C420" s="45"/>
      <c r="D420" s="45"/>
      <c r="E420" s="45"/>
      <c r="F420" s="45"/>
      <c r="G420" s="45"/>
      <c r="H420" s="45"/>
      <c r="I420" s="45"/>
      <c r="J420" s="45"/>
      <c r="K420" s="45"/>
      <c r="L420" s="46"/>
      <c r="M420" s="45"/>
      <c r="N420" s="45"/>
      <c r="O420" s="45"/>
      <c r="P420" s="45"/>
      <c r="Q420" s="45"/>
      <c r="R420" s="45"/>
      <c r="S420" s="45"/>
    </row>
    <row r="421">
      <c r="A421" s="45"/>
      <c r="B421" s="45"/>
      <c r="C421" s="45"/>
      <c r="D421" s="45"/>
      <c r="E421" s="45"/>
      <c r="F421" s="45"/>
      <c r="G421" s="45"/>
      <c r="H421" s="45"/>
      <c r="I421" s="45"/>
      <c r="J421" s="45"/>
      <c r="K421" s="45"/>
      <c r="L421" s="46"/>
      <c r="M421" s="45"/>
      <c r="N421" s="45"/>
      <c r="O421" s="45"/>
      <c r="P421" s="45"/>
      <c r="Q421" s="45"/>
      <c r="R421" s="45"/>
      <c r="S421" s="45"/>
    </row>
    <row r="422">
      <c r="A422" s="45"/>
      <c r="B422" s="45"/>
      <c r="C422" s="45"/>
      <c r="D422" s="45"/>
      <c r="E422" s="45"/>
      <c r="F422" s="45"/>
      <c r="G422" s="45"/>
      <c r="H422" s="45"/>
      <c r="I422" s="45"/>
      <c r="J422" s="45"/>
      <c r="K422" s="45"/>
      <c r="L422" s="46"/>
      <c r="M422" s="45"/>
      <c r="N422" s="45"/>
      <c r="O422" s="45"/>
      <c r="P422" s="45"/>
      <c r="Q422" s="45"/>
      <c r="R422" s="45"/>
      <c r="S422" s="45"/>
    </row>
    <row r="423">
      <c r="A423" s="45"/>
      <c r="B423" s="45"/>
      <c r="C423" s="45"/>
      <c r="D423" s="45"/>
      <c r="E423" s="45"/>
      <c r="F423" s="45"/>
      <c r="G423" s="45"/>
      <c r="H423" s="45"/>
      <c r="I423" s="45"/>
      <c r="J423" s="45"/>
      <c r="K423" s="45"/>
      <c r="L423" s="46"/>
      <c r="M423" s="45"/>
      <c r="N423" s="45"/>
      <c r="O423" s="45"/>
      <c r="P423" s="45"/>
      <c r="Q423" s="45"/>
      <c r="R423" s="45"/>
      <c r="S423" s="45"/>
    </row>
    <row r="424">
      <c r="A424" s="45"/>
      <c r="B424" s="45"/>
      <c r="C424" s="45"/>
      <c r="D424" s="45"/>
      <c r="E424" s="45"/>
      <c r="F424" s="45"/>
      <c r="G424" s="45"/>
      <c r="H424" s="45"/>
      <c r="I424" s="45"/>
      <c r="J424" s="45"/>
      <c r="K424" s="45"/>
      <c r="L424" s="46"/>
      <c r="M424" s="45"/>
      <c r="N424" s="45"/>
      <c r="O424" s="45"/>
      <c r="P424" s="45"/>
      <c r="Q424" s="45"/>
      <c r="R424" s="45"/>
      <c r="S424" s="45"/>
    </row>
    <row r="425">
      <c r="A425" s="45"/>
      <c r="B425" s="45"/>
      <c r="C425" s="45"/>
      <c r="D425" s="45"/>
      <c r="E425" s="45"/>
      <c r="F425" s="45"/>
      <c r="G425" s="45"/>
      <c r="H425" s="45"/>
      <c r="I425" s="45"/>
      <c r="J425" s="45"/>
      <c r="K425" s="45"/>
      <c r="L425" s="46"/>
      <c r="M425" s="45"/>
      <c r="N425" s="45"/>
      <c r="O425" s="45"/>
      <c r="P425" s="45"/>
      <c r="Q425" s="45"/>
      <c r="R425" s="45"/>
      <c r="S425" s="45"/>
    </row>
    <row r="426">
      <c r="A426" s="45"/>
      <c r="B426" s="45"/>
      <c r="C426" s="45"/>
      <c r="D426" s="45"/>
      <c r="E426" s="45"/>
      <c r="F426" s="45"/>
      <c r="G426" s="45"/>
      <c r="H426" s="45"/>
      <c r="I426" s="45"/>
      <c r="J426" s="45"/>
      <c r="K426" s="45"/>
      <c r="L426" s="46"/>
      <c r="M426" s="45"/>
      <c r="N426" s="45"/>
      <c r="O426" s="45"/>
      <c r="P426" s="45"/>
      <c r="Q426" s="45"/>
      <c r="R426" s="45"/>
      <c r="S426" s="45"/>
    </row>
    <row r="427">
      <c r="A427" s="45"/>
      <c r="B427" s="45"/>
      <c r="C427" s="45"/>
      <c r="D427" s="45"/>
      <c r="E427" s="45"/>
      <c r="F427" s="45"/>
      <c r="G427" s="45"/>
      <c r="H427" s="45"/>
      <c r="I427" s="45"/>
      <c r="J427" s="45"/>
      <c r="K427" s="45"/>
      <c r="L427" s="46"/>
      <c r="M427" s="45"/>
      <c r="N427" s="45"/>
      <c r="O427" s="45"/>
      <c r="P427" s="45"/>
      <c r="Q427" s="45"/>
      <c r="R427" s="45"/>
      <c r="S427" s="45"/>
    </row>
    <row r="428">
      <c r="A428" s="45"/>
      <c r="B428" s="45"/>
      <c r="C428" s="45"/>
      <c r="D428" s="45"/>
      <c r="E428" s="45"/>
      <c r="F428" s="45"/>
      <c r="G428" s="45"/>
      <c r="H428" s="45"/>
      <c r="I428" s="45"/>
      <c r="J428" s="45"/>
      <c r="K428" s="45"/>
      <c r="L428" s="46"/>
      <c r="M428" s="45"/>
      <c r="N428" s="45"/>
      <c r="O428" s="45"/>
      <c r="P428" s="45"/>
      <c r="Q428" s="45"/>
      <c r="R428" s="45"/>
      <c r="S428" s="45"/>
    </row>
    <row r="429">
      <c r="A429" s="45"/>
      <c r="B429" s="45"/>
      <c r="C429" s="45"/>
      <c r="D429" s="45"/>
      <c r="E429" s="45"/>
      <c r="F429" s="45"/>
      <c r="G429" s="45"/>
      <c r="H429" s="45"/>
      <c r="I429" s="45"/>
      <c r="J429" s="45"/>
      <c r="K429" s="45"/>
      <c r="L429" s="46"/>
      <c r="M429" s="45"/>
      <c r="N429" s="45"/>
      <c r="O429" s="45"/>
      <c r="P429" s="45"/>
      <c r="Q429" s="45"/>
      <c r="R429" s="45"/>
      <c r="S429" s="45"/>
    </row>
    <row r="430">
      <c r="A430" s="45"/>
      <c r="B430" s="45"/>
      <c r="C430" s="45"/>
      <c r="D430" s="45"/>
      <c r="E430" s="45"/>
      <c r="F430" s="45"/>
      <c r="G430" s="45"/>
      <c r="H430" s="45"/>
      <c r="I430" s="45"/>
      <c r="J430" s="45"/>
      <c r="K430" s="45"/>
      <c r="L430" s="46"/>
      <c r="M430" s="45"/>
      <c r="N430" s="45"/>
      <c r="O430" s="45"/>
      <c r="P430" s="45"/>
      <c r="Q430" s="45"/>
      <c r="R430" s="45"/>
      <c r="S430" s="45"/>
    </row>
    <row r="431">
      <c r="A431" s="45"/>
      <c r="B431" s="45"/>
      <c r="C431" s="45"/>
      <c r="D431" s="45"/>
      <c r="E431" s="45"/>
      <c r="F431" s="45"/>
      <c r="G431" s="45"/>
      <c r="H431" s="45"/>
      <c r="I431" s="45"/>
      <c r="J431" s="45"/>
      <c r="K431" s="45"/>
      <c r="L431" s="46"/>
      <c r="M431" s="45"/>
      <c r="N431" s="45"/>
      <c r="O431" s="45"/>
      <c r="P431" s="45"/>
      <c r="Q431" s="45"/>
      <c r="R431" s="45"/>
      <c r="S431" s="45"/>
    </row>
    <row r="432">
      <c r="A432" s="45"/>
      <c r="B432" s="45"/>
      <c r="C432" s="45"/>
      <c r="D432" s="45"/>
      <c r="E432" s="45"/>
      <c r="F432" s="45"/>
      <c r="G432" s="45"/>
      <c r="H432" s="45"/>
      <c r="I432" s="45"/>
      <c r="J432" s="45"/>
      <c r="K432" s="45"/>
      <c r="L432" s="46"/>
      <c r="M432" s="45"/>
      <c r="N432" s="45"/>
      <c r="O432" s="45"/>
      <c r="P432" s="45"/>
      <c r="Q432" s="45"/>
      <c r="R432" s="45"/>
      <c r="S432" s="45"/>
    </row>
    <row r="433">
      <c r="A433" s="45"/>
      <c r="B433" s="45"/>
      <c r="C433" s="45"/>
      <c r="D433" s="45"/>
      <c r="E433" s="45"/>
      <c r="F433" s="45"/>
      <c r="G433" s="45"/>
      <c r="H433" s="45"/>
      <c r="I433" s="45"/>
      <c r="J433" s="45"/>
      <c r="K433" s="45"/>
      <c r="L433" s="46"/>
      <c r="M433" s="45"/>
      <c r="N433" s="45"/>
      <c r="O433" s="45"/>
      <c r="P433" s="45"/>
      <c r="Q433" s="45"/>
      <c r="R433" s="45"/>
      <c r="S433" s="45"/>
    </row>
    <row r="434">
      <c r="A434" s="45"/>
      <c r="B434" s="45"/>
      <c r="C434" s="45"/>
      <c r="D434" s="45"/>
      <c r="E434" s="45"/>
      <c r="F434" s="45"/>
      <c r="G434" s="45"/>
      <c r="H434" s="45"/>
      <c r="I434" s="45"/>
      <c r="J434" s="45"/>
      <c r="K434" s="45"/>
      <c r="L434" s="46"/>
      <c r="M434" s="45"/>
      <c r="N434" s="45"/>
      <c r="O434" s="45"/>
      <c r="P434" s="45"/>
      <c r="Q434" s="45"/>
      <c r="R434" s="45"/>
      <c r="S434" s="45"/>
    </row>
    <row r="435">
      <c r="A435" s="45"/>
      <c r="B435" s="45"/>
      <c r="C435" s="45"/>
      <c r="D435" s="45"/>
      <c r="E435" s="45"/>
      <c r="F435" s="45"/>
      <c r="G435" s="45"/>
      <c r="H435" s="45"/>
      <c r="I435" s="45"/>
      <c r="J435" s="45"/>
      <c r="K435" s="45"/>
      <c r="L435" s="46"/>
      <c r="M435" s="45"/>
      <c r="N435" s="45"/>
      <c r="O435" s="45"/>
      <c r="P435" s="45"/>
      <c r="Q435" s="45"/>
      <c r="R435" s="45"/>
      <c r="S435" s="45"/>
    </row>
    <row r="436">
      <c r="A436" s="45"/>
      <c r="B436" s="45"/>
      <c r="C436" s="45"/>
      <c r="D436" s="45"/>
      <c r="E436" s="45"/>
      <c r="F436" s="45"/>
      <c r="G436" s="45"/>
      <c r="H436" s="45"/>
      <c r="I436" s="45"/>
      <c r="J436" s="45"/>
      <c r="K436" s="45"/>
      <c r="L436" s="46"/>
      <c r="M436" s="45"/>
      <c r="N436" s="45"/>
      <c r="O436" s="45"/>
      <c r="P436" s="45"/>
      <c r="Q436" s="45"/>
      <c r="R436" s="45"/>
      <c r="S436" s="45"/>
    </row>
    <row r="437">
      <c r="A437" s="45"/>
      <c r="B437" s="45"/>
      <c r="C437" s="45"/>
      <c r="D437" s="45"/>
      <c r="E437" s="45"/>
      <c r="F437" s="45"/>
      <c r="G437" s="45"/>
      <c r="H437" s="45"/>
      <c r="I437" s="45"/>
      <c r="J437" s="45"/>
      <c r="K437" s="45"/>
      <c r="L437" s="46"/>
      <c r="M437" s="45"/>
      <c r="N437" s="45"/>
      <c r="O437" s="45"/>
      <c r="P437" s="45"/>
      <c r="Q437" s="45"/>
      <c r="R437" s="45"/>
      <c r="S437" s="45"/>
    </row>
    <row r="438">
      <c r="A438" s="45"/>
      <c r="B438" s="45"/>
      <c r="C438" s="45"/>
      <c r="D438" s="45"/>
      <c r="E438" s="45"/>
      <c r="F438" s="45"/>
      <c r="G438" s="45"/>
      <c r="H438" s="45"/>
      <c r="I438" s="45"/>
      <c r="J438" s="45"/>
      <c r="K438" s="45"/>
      <c r="L438" s="46"/>
      <c r="M438" s="45"/>
      <c r="N438" s="45"/>
      <c r="O438" s="45"/>
      <c r="P438" s="45"/>
      <c r="Q438" s="45"/>
      <c r="R438" s="45"/>
      <c r="S438" s="45"/>
    </row>
    <row r="439">
      <c r="A439" s="45"/>
      <c r="B439" s="45"/>
      <c r="C439" s="45"/>
      <c r="D439" s="45"/>
      <c r="E439" s="45"/>
      <c r="F439" s="45"/>
      <c r="G439" s="45"/>
      <c r="H439" s="45"/>
      <c r="I439" s="45"/>
      <c r="J439" s="45"/>
      <c r="K439" s="45"/>
      <c r="L439" s="46"/>
      <c r="M439" s="45"/>
      <c r="N439" s="45"/>
      <c r="O439" s="45"/>
      <c r="P439" s="45"/>
      <c r="Q439" s="45"/>
      <c r="R439" s="45"/>
      <c r="S439" s="45"/>
    </row>
    <row r="440">
      <c r="A440" s="45"/>
      <c r="B440" s="45"/>
      <c r="C440" s="45"/>
      <c r="D440" s="45"/>
      <c r="E440" s="45"/>
      <c r="F440" s="45"/>
      <c r="G440" s="45"/>
      <c r="H440" s="45"/>
      <c r="I440" s="45"/>
      <c r="J440" s="45"/>
      <c r="K440" s="45"/>
      <c r="L440" s="46"/>
      <c r="M440" s="45"/>
      <c r="N440" s="45"/>
      <c r="O440" s="45"/>
      <c r="P440" s="45"/>
      <c r="Q440" s="45"/>
      <c r="R440" s="45"/>
      <c r="S440" s="45"/>
    </row>
    <row r="441">
      <c r="A441" s="45"/>
      <c r="B441" s="45"/>
      <c r="C441" s="45"/>
      <c r="D441" s="45"/>
      <c r="E441" s="45"/>
      <c r="F441" s="45"/>
      <c r="G441" s="45"/>
      <c r="H441" s="45"/>
      <c r="I441" s="45"/>
      <c r="J441" s="45"/>
      <c r="K441" s="45"/>
      <c r="L441" s="46"/>
      <c r="M441" s="45"/>
      <c r="N441" s="45"/>
      <c r="O441" s="45"/>
      <c r="P441" s="45"/>
      <c r="Q441" s="45"/>
      <c r="R441" s="45"/>
      <c r="S441" s="45"/>
    </row>
    <row r="442">
      <c r="A442" s="45"/>
      <c r="B442" s="45"/>
      <c r="C442" s="45"/>
      <c r="D442" s="45"/>
      <c r="E442" s="45"/>
      <c r="F442" s="45"/>
      <c r="G442" s="45"/>
      <c r="H442" s="45"/>
      <c r="I442" s="45"/>
      <c r="J442" s="45"/>
      <c r="K442" s="45"/>
      <c r="L442" s="46"/>
      <c r="M442" s="45"/>
      <c r="N442" s="45"/>
      <c r="O442" s="45"/>
      <c r="P442" s="45"/>
      <c r="Q442" s="45"/>
      <c r="R442" s="45"/>
      <c r="S442" s="45"/>
    </row>
    <row r="443">
      <c r="A443" s="45"/>
      <c r="B443" s="45"/>
      <c r="C443" s="45"/>
      <c r="D443" s="45"/>
      <c r="E443" s="45"/>
      <c r="F443" s="45"/>
      <c r="G443" s="45"/>
      <c r="H443" s="45"/>
      <c r="I443" s="45"/>
      <c r="J443" s="45"/>
      <c r="K443" s="45"/>
      <c r="L443" s="46"/>
      <c r="M443" s="45"/>
      <c r="N443" s="45"/>
      <c r="O443" s="45"/>
      <c r="P443" s="45"/>
      <c r="Q443" s="45"/>
      <c r="R443" s="45"/>
      <c r="S443" s="45"/>
    </row>
    <row r="444">
      <c r="A444" s="45"/>
      <c r="B444" s="45"/>
      <c r="C444" s="45"/>
      <c r="D444" s="45"/>
      <c r="E444" s="45"/>
      <c r="F444" s="45"/>
      <c r="G444" s="45"/>
      <c r="H444" s="45"/>
      <c r="I444" s="45"/>
      <c r="J444" s="45"/>
      <c r="K444" s="45"/>
      <c r="L444" s="46"/>
      <c r="M444" s="45"/>
      <c r="N444" s="45"/>
      <c r="O444" s="45"/>
      <c r="P444" s="45"/>
      <c r="Q444" s="45"/>
      <c r="R444" s="45"/>
      <c r="S444" s="45"/>
    </row>
    <row r="445">
      <c r="A445" s="45"/>
      <c r="B445" s="45"/>
      <c r="C445" s="45"/>
      <c r="D445" s="45"/>
      <c r="E445" s="45"/>
      <c r="F445" s="45"/>
      <c r="G445" s="45"/>
      <c r="H445" s="45"/>
      <c r="I445" s="45"/>
      <c r="J445" s="45"/>
      <c r="K445" s="45"/>
      <c r="L445" s="46"/>
      <c r="M445" s="45"/>
      <c r="N445" s="45"/>
      <c r="O445" s="45"/>
      <c r="P445" s="45"/>
      <c r="Q445" s="45"/>
      <c r="R445" s="45"/>
      <c r="S445" s="45"/>
    </row>
    <row r="446">
      <c r="A446" s="45"/>
      <c r="B446" s="45"/>
      <c r="C446" s="45"/>
      <c r="D446" s="45"/>
      <c r="E446" s="45"/>
      <c r="F446" s="45"/>
      <c r="G446" s="45"/>
      <c r="H446" s="45"/>
      <c r="I446" s="45"/>
      <c r="J446" s="45"/>
      <c r="K446" s="45"/>
      <c r="L446" s="46"/>
      <c r="M446" s="45"/>
      <c r="N446" s="45"/>
      <c r="O446" s="45"/>
      <c r="P446" s="45"/>
      <c r="Q446" s="45"/>
      <c r="R446" s="45"/>
      <c r="S446" s="45"/>
    </row>
    <row r="447">
      <c r="A447" s="45"/>
      <c r="B447" s="45"/>
      <c r="C447" s="45"/>
      <c r="D447" s="45"/>
      <c r="E447" s="45"/>
      <c r="F447" s="45"/>
      <c r="G447" s="45"/>
      <c r="H447" s="45"/>
      <c r="I447" s="45"/>
      <c r="J447" s="45"/>
      <c r="K447" s="45"/>
      <c r="L447" s="46"/>
      <c r="M447" s="45"/>
      <c r="N447" s="45"/>
      <c r="O447" s="45"/>
      <c r="P447" s="45"/>
      <c r="Q447" s="45"/>
      <c r="R447" s="45"/>
      <c r="S447" s="45"/>
    </row>
    <row r="448">
      <c r="A448" s="45"/>
      <c r="B448" s="45"/>
      <c r="C448" s="45"/>
      <c r="D448" s="45"/>
      <c r="E448" s="45"/>
      <c r="F448" s="45"/>
      <c r="G448" s="45"/>
      <c r="H448" s="45"/>
      <c r="I448" s="45"/>
      <c r="J448" s="45"/>
      <c r="K448" s="45"/>
      <c r="L448" s="46"/>
      <c r="M448" s="45"/>
      <c r="N448" s="45"/>
      <c r="O448" s="45"/>
      <c r="P448" s="45"/>
      <c r="Q448" s="45"/>
      <c r="R448" s="45"/>
      <c r="S448" s="45"/>
    </row>
    <row r="449">
      <c r="A449" s="45"/>
      <c r="B449" s="45"/>
      <c r="C449" s="45"/>
      <c r="D449" s="45"/>
      <c r="E449" s="45"/>
      <c r="F449" s="45"/>
      <c r="G449" s="45"/>
      <c r="H449" s="45"/>
      <c r="I449" s="45"/>
      <c r="J449" s="45"/>
      <c r="K449" s="45"/>
      <c r="L449" s="46"/>
      <c r="M449" s="45"/>
      <c r="N449" s="45"/>
      <c r="O449" s="45"/>
      <c r="P449" s="45"/>
      <c r="Q449" s="45"/>
      <c r="R449" s="45"/>
      <c r="S449" s="45"/>
    </row>
    <row r="450">
      <c r="A450" s="45"/>
      <c r="B450" s="45"/>
      <c r="C450" s="45"/>
      <c r="D450" s="45"/>
      <c r="E450" s="45"/>
      <c r="F450" s="45"/>
      <c r="G450" s="45"/>
      <c r="H450" s="45"/>
      <c r="I450" s="45"/>
      <c r="J450" s="45"/>
      <c r="K450" s="45"/>
      <c r="L450" s="46"/>
      <c r="M450" s="45"/>
      <c r="N450" s="45"/>
      <c r="O450" s="45"/>
      <c r="P450" s="45"/>
      <c r="Q450" s="45"/>
      <c r="R450" s="45"/>
      <c r="S450" s="45"/>
    </row>
    <row r="451">
      <c r="A451" s="45"/>
      <c r="B451" s="45"/>
      <c r="C451" s="45"/>
      <c r="D451" s="45"/>
      <c r="E451" s="45"/>
      <c r="F451" s="45"/>
      <c r="G451" s="45"/>
      <c r="H451" s="45"/>
      <c r="I451" s="45"/>
      <c r="J451" s="45"/>
      <c r="K451" s="45"/>
      <c r="L451" s="46"/>
      <c r="M451" s="45"/>
      <c r="N451" s="45"/>
      <c r="O451" s="45"/>
      <c r="P451" s="45"/>
      <c r="Q451" s="45"/>
      <c r="R451" s="45"/>
      <c r="S451" s="45"/>
    </row>
    <row r="452">
      <c r="A452" s="45"/>
      <c r="B452" s="45"/>
      <c r="C452" s="45"/>
      <c r="D452" s="45"/>
      <c r="E452" s="45"/>
      <c r="F452" s="45"/>
      <c r="G452" s="45"/>
      <c r="H452" s="45"/>
      <c r="I452" s="45"/>
      <c r="J452" s="45"/>
      <c r="K452" s="45"/>
      <c r="L452" s="46"/>
      <c r="M452" s="45"/>
      <c r="N452" s="45"/>
      <c r="O452" s="45"/>
      <c r="P452" s="45"/>
      <c r="Q452" s="45"/>
      <c r="R452" s="45"/>
      <c r="S452" s="45"/>
    </row>
    <row r="453">
      <c r="A453" s="45"/>
      <c r="B453" s="45"/>
      <c r="C453" s="45"/>
      <c r="D453" s="45"/>
      <c r="E453" s="45"/>
      <c r="F453" s="45"/>
      <c r="G453" s="45"/>
      <c r="H453" s="45"/>
      <c r="I453" s="45"/>
      <c r="J453" s="45"/>
      <c r="K453" s="45"/>
      <c r="L453" s="46"/>
      <c r="M453" s="45"/>
      <c r="N453" s="45"/>
      <c r="O453" s="45"/>
      <c r="P453" s="45"/>
      <c r="Q453" s="45"/>
      <c r="R453" s="45"/>
      <c r="S453" s="45"/>
    </row>
    <row r="454">
      <c r="A454" s="45"/>
      <c r="B454" s="45"/>
      <c r="C454" s="45"/>
      <c r="D454" s="45"/>
      <c r="E454" s="45"/>
      <c r="F454" s="45"/>
      <c r="G454" s="45"/>
      <c r="H454" s="45"/>
      <c r="I454" s="45"/>
      <c r="J454" s="45"/>
      <c r="K454" s="45"/>
      <c r="L454" s="46"/>
      <c r="M454" s="45"/>
      <c r="N454" s="45"/>
      <c r="O454" s="45"/>
      <c r="P454" s="45"/>
      <c r="Q454" s="45"/>
      <c r="R454" s="45"/>
      <c r="S454" s="45"/>
    </row>
    <row r="455">
      <c r="A455" s="45"/>
      <c r="B455" s="45"/>
      <c r="C455" s="45"/>
      <c r="D455" s="45"/>
      <c r="E455" s="45"/>
      <c r="F455" s="45"/>
      <c r="G455" s="45"/>
      <c r="H455" s="45"/>
      <c r="I455" s="45"/>
      <c r="J455" s="45"/>
      <c r="K455" s="45"/>
      <c r="L455" s="46"/>
      <c r="M455" s="45"/>
      <c r="N455" s="45"/>
      <c r="O455" s="45"/>
      <c r="P455" s="45"/>
      <c r="Q455" s="45"/>
      <c r="R455" s="45"/>
      <c r="S455" s="45"/>
    </row>
    <row r="456">
      <c r="A456" s="45"/>
      <c r="B456" s="45"/>
      <c r="C456" s="45"/>
      <c r="D456" s="45"/>
      <c r="E456" s="45"/>
      <c r="F456" s="45"/>
      <c r="G456" s="45"/>
      <c r="H456" s="45"/>
      <c r="I456" s="45"/>
      <c r="J456" s="45"/>
      <c r="K456" s="45"/>
      <c r="L456" s="46"/>
      <c r="M456" s="45"/>
      <c r="N456" s="45"/>
      <c r="O456" s="45"/>
      <c r="P456" s="45"/>
      <c r="Q456" s="45"/>
      <c r="R456" s="45"/>
      <c r="S456" s="45"/>
    </row>
    <row r="457">
      <c r="A457" s="45"/>
      <c r="B457" s="45"/>
      <c r="C457" s="45"/>
      <c r="D457" s="45"/>
      <c r="E457" s="45"/>
      <c r="F457" s="45"/>
      <c r="G457" s="45"/>
      <c r="H457" s="45"/>
      <c r="I457" s="45"/>
      <c r="J457" s="45"/>
      <c r="K457" s="45"/>
      <c r="L457" s="46"/>
      <c r="M457" s="45"/>
      <c r="N457" s="45"/>
      <c r="O457" s="45"/>
      <c r="P457" s="45"/>
      <c r="Q457" s="45"/>
      <c r="R457" s="45"/>
      <c r="S457" s="45"/>
    </row>
    <row r="458">
      <c r="A458" s="45"/>
      <c r="B458" s="45"/>
      <c r="C458" s="45"/>
      <c r="D458" s="45"/>
      <c r="E458" s="45"/>
      <c r="F458" s="45"/>
      <c r="G458" s="45"/>
      <c r="H458" s="45"/>
      <c r="I458" s="45"/>
      <c r="J458" s="45"/>
      <c r="K458" s="45"/>
      <c r="L458" s="46"/>
      <c r="M458" s="45"/>
      <c r="N458" s="45"/>
      <c r="O458" s="45"/>
      <c r="P458" s="45"/>
      <c r="Q458" s="45"/>
      <c r="R458" s="45"/>
      <c r="S458" s="45"/>
    </row>
    <row r="459">
      <c r="A459" s="45"/>
      <c r="B459" s="45"/>
      <c r="C459" s="45"/>
      <c r="D459" s="45"/>
      <c r="E459" s="45"/>
      <c r="F459" s="45"/>
      <c r="G459" s="45"/>
      <c r="H459" s="45"/>
      <c r="I459" s="45"/>
      <c r="J459" s="45"/>
      <c r="K459" s="45"/>
      <c r="L459" s="46"/>
      <c r="M459" s="45"/>
      <c r="N459" s="45"/>
      <c r="O459" s="45"/>
      <c r="P459" s="45"/>
      <c r="Q459" s="45"/>
      <c r="R459" s="45"/>
      <c r="S459" s="45"/>
    </row>
    <row r="460">
      <c r="A460" s="45"/>
      <c r="B460" s="45"/>
      <c r="C460" s="45"/>
      <c r="D460" s="45"/>
      <c r="E460" s="45"/>
      <c r="F460" s="45"/>
      <c r="G460" s="45"/>
      <c r="H460" s="45"/>
      <c r="I460" s="45"/>
      <c r="J460" s="45"/>
      <c r="K460" s="45"/>
      <c r="L460" s="46"/>
      <c r="M460" s="45"/>
      <c r="N460" s="45"/>
      <c r="O460" s="45"/>
      <c r="P460" s="45"/>
      <c r="Q460" s="45"/>
      <c r="R460" s="45"/>
      <c r="S460" s="45"/>
    </row>
    <row r="461">
      <c r="A461" s="45"/>
      <c r="B461" s="45"/>
      <c r="C461" s="45"/>
      <c r="D461" s="45"/>
      <c r="E461" s="45"/>
      <c r="F461" s="45"/>
      <c r="G461" s="45"/>
      <c r="H461" s="45"/>
      <c r="I461" s="45"/>
      <c r="J461" s="45"/>
      <c r="K461" s="45"/>
      <c r="L461" s="46"/>
      <c r="M461" s="45"/>
      <c r="N461" s="45"/>
      <c r="O461" s="45"/>
      <c r="P461" s="45"/>
      <c r="Q461" s="45"/>
      <c r="R461" s="45"/>
      <c r="S461" s="45"/>
    </row>
    <row r="462">
      <c r="A462" s="45"/>
      <c r="B462" s="45"/>
      <c r="C462" s="45"/>
      <c r="D462" s="45"/>
      <c r="E462" s="45"/>
      <c r="F462" s="45"/>
      <c r="G462" s="45"/>
      <c r="H462" s="45"/>
      <c r="I462" s="45"/>
      <c r="J462" s="45"/>
      <c r="K462" s="45"/>
      <c r="L462" s="46"/>
      <c r="M462" s="45"/>
      <c r="N462" s="45"/>
      <c r="O462" s="45"/>
      <c r="P462" s="45"/>
      <c r="Q462" s="45"/>
      <c r="R462" s="45"/>
      <c r="S462" s="45"/>
    </row>
    <row r="463">
      <c r="A463" s="45"/>
      <c r="B463" s="45"/>
      <c r="C463" s="45"/>
      <c r="D463" s="45"/>
      <c r="E463" s="45"/>
      <c r="F463" s="45"/>
      <c r="G463" s="45"/>
      <c r="H463" s="45"/>
      <c r="I463" s="45"/>
      <c r="J463" s="45"/>
      <c r="K463" s="45"/>
      <c r="L463" s="46"/>
      <c r="M463" s="45"/>
      <c r="N463" s="45"/>
      <c r="O463" s="45"/>
      <c r="P463" s="45"/>
      <c r="Q463" s="45"/>
      <c r="R463" s="45"/>
      <c r="S463" s="45"/>
    </row>
    <row r="464">
      <c r="A464" s="45"/>
      <c r="B464" s="45"/>
      <c r="C464" s="45"/>
      <c r="D464" s="45"/>
      <c r="E464" s="45"/>
      <c r="F464" s="45"/>
      <c r="G464" s="45"/>
      <c r="H464" s="45"/>
      <c r="I464" s="45"/>
      <c r="J464" s="45"/>
      <c r="K464" s="45"/>
      <c r="L464" s="46"/>
      <c r="M464" s="45"/>
      <c r="N464" s="45"/>
      <c r="O464" s="45"/>
      <c r="P464" s="45"/>
      <c r="Q464" s="45"/>
      <c r="R464" s="45"/>
      <c r="S464" s="45"/>
    </row>
    <row r="465">
      <c r="A465" s="45"/>
      <c r="B465" s="45"/>
      <c r="C465" s="45"/>
      <c r="D465" s="45"/>
      <c r="E465" s="45"/>
      <c r="F465" s="45"/>
      <c r="G465" s="45"/>
      <c r="H465" s="45"/>
      <c r="I465" s="45"/>
      <c r="J465" s="45"/>
      <c r="K465" s="45"/>
      <c r="L465" s="46"/>
      <c r="M465" s="45"/>
      <c r="N465" s="45"/>
      <c r="O465" s="45"/>
      <c r="P465" s="45"/>
      <c r="Q465" s="45"/>
      <c r="R465" s="45"/>
      <c r="S465" s="45"/>
    </row>
    <row r="466">
      <c r="A466" s="45"/>
      <c r="B466" s="45"/>
      <c r="C466" s="45"/>
      <c r="D466" s="45"/>
      <c r="E466" s="45"/>
      <c r="F466" s="45"/>
      <c r="G466" s="45"/>
      <c r="H466" s="45"/>
      <c r="I466" s="45"/>
      <c r="J466" s="45"/>
      <c r="K466" s="45"/>
      <c r="L466" s="46"/>
      <c r="M466" s="45"/>
      <c r="N466" s="45"/>
      <c r="O466" s="45"/>
      <c r="P466" s="45"/>
      <c r="Q466" s="45"/>
      <c r="R466" s="45"/>
      <c r="S466" s="45"/>
    </row>
    <row r="467">
      <c r="A467" s="45"/>
      <c r="B467" s="45"/>
      <c r="C467" s="45"/>
      <c r="D467" s="45"/>
      <c r="E467" s="45"/>
      <c r="F467" s="45"/>
      <c r="G467" s="45"/>
      <c r="H467" s="45"/>
      <c r="I467" s="45"/>
      <c r="J467" s="45"/>
      <c r="K467" s="45"/>
      <c r="L467" s="46"/>
      <c r="M467" s="45"/>
      <c r="N467" s="45"/>
      <c r="O467" s="45"/>
      <c r="P467" s="45"/>
      <c r="Q467" s="45"/>
      <c r="R467" s="45"/>
      <c r="S467" s="45"/>
    </row>
    <row r="468">
      <c r="A468" s="45"/>
      <c r="B468" s="45"/>
      <c r="C468" s="45"/>
      <c r="D468" s="45"/>
      <c r="E468" s="45"/>
      <c r="F468" s="45"/>
      <c r="G468" s="45"/>
      <c r="H468" s="45"/>
      <c r="I468" s="45"/>
      <c r="J468" s="45"/>
      <c r="K468" s="45"/>
      <c r="L468" s="46"/>
      <c r="M468" s="45"/>
      <c r="N468" s="45"/>
      <c r="O468" s="45"/>
      <c r="P468" s="45"/>
      <c r="Q468" s="45"/>
      <c r="R468" s="45"/>
      <c r="S468" s="45"/>
    </row>
    <row r="469">
      <c r="A469" s="45"/>
      <c r="B469" s="45"/>
      <c r="C469" s="45"/>
      <c r="D469" s="45"/>
      <c r="E469" s="45"/>
      <c r="F469" s="45"/>
      <c r="G469" s="45"/>
      <c r="H469" s="45"/>
      <c r="I469" s="45"/>
      <c r="J469" s="45"/>
      <c r="K469" s="45"/>
      <c r="L469" s="46"/>
      <c r="M469" s="45"/>
      <c r="N469" s="45"/>
      <c r="O469" s="45"/>
      <c r="P469" s="45"/>
      <c r="Q469" s="45"/>
      <c r="R469" s="45"/>
      <c r="S469" s="45"/>
    </row>
    <row r="470">
      <c r="A470" s="45"/>
      <c r="B470" s="45"/>
      <c r="C470" s="45"/>
      <c r="D470" s="45"/>
      <c r="E470" s="45"/>
      <c r="F470" s="45"/>
      <c r="G470" s="45"/>
      <c r="H470" s="45"/>
      <c r="I470" s="45"/>
      <c r="J470" s="45"/>
      <c r="K470" s="45"/>
      <c r="L470" s="46"/>
      <c r="M470" s="45"/>
      <c r="N470" s="45"/>
      <c r="O470" s="45"/>
      <c r="P470" s="45"/>
      <c r="Q470" s="45"/>
      <c r="R470" s="45"/>
      <c r="S470" s="45"/>
    </row>
    <row r="471">
      <c r="A471" s="45"/>
      <c r="B471" s="45"/>
      <c r="C471" s="45"/>
      <c r="D471" s="45"/>
      <c r="E471" s="45"/>
      <c r="F471" s="45"/>
      <c r="G471" s="45"/>
      <c r="H471" s="45"/>
      <c r="I471" s="45"/>
      <c r="J471" s="45"/>
      <c r="K471" s="45"/>
      <c r="L471" s="46"/>
      <c r="M471" s="45"/>
      <c r="N471" s="45"/>
      <c r="O471" s="45"/>
      <c r="P471" s="45"/>
      <c r="Q471" s="45"/>
      <c r="R471" s="45"/>
      <c r="S471" s="45"/>
    </row>
    <row r="472">
      <c r="A472" s="45"/>
      <c r="B472" s="45"/>
      <c r="C472" s="45"/>
      <c r="D472" s="45"/>
      <c r="E472" s="45"/>
      <c r="F472" s="45"/>
      <c r="G472" s="45"/>
      <c r="H472" s="45"/>
      <c r="I472" s="45"/>
      <c r="J472" s="45"/>
      <c r="K472" s="45"/>
      <c r="L472" s="46"/>
      <c r="M472" s="45"/>
      <c r="N472" s="45"/>
      <c r="O472" s="45"/>
      <c r="P472" s="45"/>
      <c r="Q472" s="45"/>
      <c r="R472" s="45"/>
      <c r="S472" s="45"/>
    </row>
    <row r="473">
      <c r="A473" s="45"/>
      <c r="B473" s="45"/>
      <c r="C473" s="45"/>
      <c r="D473" s="45"/>
      <c r="E473" s="45"/>
      <c r="F473" s="45"/>
      <c r="G473" s="45"/>
      <c r="H473" s="45"/>
      <c r="I473" s="45"/>
      <c r="J473" s="45"/>
      <c r="K473" s="45"/>
      <c r="L473" s="46"/>
      <c r="M473" s="45"/>
      <c r="N473" s="45"/>
      <c r="O473" s="45"/>
      <c r="P473" s="45"/>
      <c r="Q473" s="45"/>
      <c r="R473" s="45"/>
      <c r="S473" s="45"/>
    </row>
    <row r="474">
      <c r="A474" s="45"/>
      <c r="B474" s="45"/>
      <c r="C474" s="45"/>
      <c r="D474" s="45"/>
      <c r="E474" s="45"/>
      <c r="F474" s="45"/>
      <c r="G474" s="45"/>
      <c r="H474" s="45"/>
      <c r="I474" s="45"/>
      <c r="J474" s="45"/>
      <c r="K474" s="45"/>
      <c r="L474" s="46"/>
      <c r="M474" s="45"/>
      <c r="N474" s="45"/>
      <c r="O474" s="45"/>
      <c r="P474" s="45"/>
      <c r="Q474" s="45"/>
      <c r="R474" s="45"/>
      <c r="S474" s="45"/>
    </row>
    <row r="475">
      <c r="A475" s="45"/>
      <c r="B475" s="45"/>
      <c r="C475" s="45"/>
      <c r="D475" s="45"/>
      <c r="E475" s="45"/>
      <c r="F475" s="45"/>
      <c r="G475" s="45"/>
      <c r="H475" s="45"/>
      <c r="I475" s="45"/>
      <c r="J475" s="45"/>
      <c r="K475" s="45"/>
      <c r="L475" s="46"/>
      <c r="M475" s="45"/>
      <c r="N475" s="45"/>
      <c r="O475" s="45"/>
      <c r="P475" s="45"/>
      <c r="Q475" s="45"/>
      <c r="R475" s="45"/>
      <c r="S475" s="45"/>
    </row>
    <row r="476">
      <c r="A476" s="45"/>
      <c r="B476" s="45"/>
      <c r="C476" s="45"/>
      <c r="D476" s="45"/>
      <c r="E476" s="45"/>
      <c r="F476" s="45"/>
      <c r="G476" s="45"/>
      <c r="H476" s="45"/>
      <c r="I476" s="45"/>
      <c r="J476" s="45"/>
      <c r="K476" s="45"/>
      <c r="L476" s="46"/>
      <c r="M476" s="45"/>
      <c r="N476" s="45"/>
      <c r="O476" s="45"/>
      <c r="P476" s="45"/>
      <c r="Q476" s="45"/>
      <c r="R476" s="45"/>
      <c r="S476" s="45"/>
    </row>
    <row r="477">
      <c r="A477" s="45"/>
      <c r="B477" s="45"/>
      <c r="C477" s="45"/>
      <c r="D477" s="45"/>
      <c r="E477" s="45"/>
      <c r="F477" s="45"/>
      <c r="G477" s="45"/>
      <c r="H477" s="45"/>
      <c r="I477" s="45"/>
      <c r="J477" s="45"/>
      <c r="K477" s="45"/>
      <c r="L477" s="46"/>
      <c r="M477" s="45"/>
      <c r="N477" s="45"/>
      <c r="O477" s="45"/>
      <c r="P477" s="45"/>
      <c r="Q477" s="45"/>
      <c r="R477" s="45"/>
      <c r="S477" s="45"/>
    </row>
    <row r="478">
      <c r="A478" s="45"/>
      <c r="B478" s="45"/>
      <c r="C478" s="45"/>
      <c r="D478" s="45"/>
      <c r="E478" s="45"/>
      <c r="F478" s="45"/>
      <c r="G478" s="45"/>
      <c r="H478" s="45"/>
      <c r="I478" s="45"/>
      <c r="J478" s="45"/>
      <c r="K478" s="45"/>
      <c r="L478" s="46"/>
      <c r="M478" s="45"/>
      <c r="N478" s="45"/>
      <c r="O478" s="45"/>
      <c r="P478" s="45"/>
      <c r="Q478" s="45"/>
      <c r="R478" s="45"/>
      <c r="S478" s="45"/>
    </row>
    <row r="479">
      <c r="A479" s="45"/>
      <c r="B479" s="45"/>
      <c r="C479" s="45"/>
      <c r="D479" s="45"/>
      <c r="E479" s="45"/>
      <c r="F479" s="45"/>
      <c r="G479" s="45"/>
      <c r="H479" s="45"/>
      <c r="I479" s="45"/>
      <c r="J479" s="45"/>
      <c r="K479" s="45"/>
      <c r="L479" s="46"/>
      <c r="M479" s="45"/>
      <c r="N479" s="45"/>
      <c r="O479" s="45"/>
      <c r="P479" s="45"/>
      <c r="Q479" s="45"/>
      <c r="R479" s="45"/>
      <c r="S479" s="45"/>
    </row>
    <row r="480">
      <c r="A480" s="45"/>
      <c r="B480" s="45"/>
      <c r="C480" s="45"/>
      <c r="D480" s="45"/>
      <c r="E480" s="45"/>
      <c r="F480" s="45"/>
      <c r="G480" s="45"/>
      <c r="H480" s="45"/>
      <c r="I480" s="45"/>
      <c r="J480" s="45"/>
      <c r="K480" s="45"/>
      <c r="L480" s="46"/>
      <c r="M480" s="45"/>
      <c r="N480" s="45"/>
      <c r="O480" s="45"/>
      <c r="P480" s="45"/>
      <c r="Q480" s="45"/>
      <c r="R480" s="45"/>
      <c r="S480" s="45"/>
    </row>
    <row r="481">
      <c r="A481" s="45"/>
      <c r="B481" s="45"/>
      <c r="C481" s="45"/>
      <c r="D481" s="45"/>
      <c r="E481" s="45"/>
      <c r="F481" s="45"/>
      <c r="G481" s="45"/>
      <c r="H481" s="45"/>
      <c r="I481" s="45"/>
      <c r="J481" s="45"/>
      <c r="K481" s="45"/>
      <c r="L481" s="46"/>
      <c r="M481" s="45"/>
      <c r="N481" s="45"/>
      <c r="O481" s="45"/>
      <c r="P481" s="45"/>
      <c r="Q481" s="45"/>
      <c r="R481" s="45"/>
      <c r="S481" s="45"/>
    </row>
    <row r="482">
      <c r="A482" s="45"/>
      <c r="B482" s="45"/>
      <c r="C482" s="45"/>
      <c r="D482" s="45"/>
      <c r="E482" s="45"/>
      <c r="F482" s="45"/>
      <c r="G482" s="45"/>
      <c r="H482" s="45"/>
      <c r="I482" s="45"/>
      <c r="J482" s="45"/>
      <c r="K482" s="45"/>
      <c r="L482" s="46"/>
      <c r="M482" s="45"/>
      <c r="N482" s="45"/>
      <c r="O482" s="45"/>
      <c r="P482" s="45"/>
      <c r="Q482" s="45"/>
      <c r="R482" s="45"/>
      <c r="S482" s="45"/>
    </row>
    <row r="483">
      <c r="A483" s="45"/>
      <c r="B483" s="45"/>
      <c r="C483" s="45"/>
      <c r="D483" s="45"/>
      <c r="E483" s="45"/>
      <c r="F483" s="45"/>
      <c r="G483" s="45"/>
      <c r="H483" s="45"/>
      <c r="I483" s="45"/>
      <c r="J483" s="45"/>
      <c r="K483" s="45"/>
      <c r="L483" s="46"/>
      <c r="M483" s="45"/>
      <c r="N483" s="45"/>
      <c r="O483" s="45"/>
      <c r="P483" s="45"/>
      <c r="Q483" s="45"/>
      <c r="R483" s="45"/>
      <c r="S483" s="45"/>
    </row>
    <row r="484">
      <c r="A484" s="45"/>
      <c r="B484" s="45"/>
      <c r="C484" s="45"/>
      <c r="D484" s="45"/>
      <c r="E484" s="45"/>
      <c r="F484" s="45"/>
      <c r="G484" s="45"/>
      <c r="H484" s="45"/>
      <c r="I484" s="45"/>
      <c r="J484" s="45"/>
      <c r="K484" s="45"/>
      <c r="L484" s="46"/>
      <c r="M484" s="45"/>
      <c r="N484" s="45"/>
      <c r="O484" s="45"/>
      <c r="P484" s="45"/>
      <c r="Q484" s="45"/>
      <c r="R484" s="45"/>
      <c r="S484" s="45"/>
    </row>
    <row r="485">
      <c r="A485" s="45"/>
      <c r="B485" s="45"/>
      <c r="C485" s="45"/>
      <c r="D485" s="45"/>
      <c r="E485" s="45"/>
      <c r="F485" s="45"/>
      <c r="G485" s="45"/>
      <c r="H485" s="45"/>
      <c r="I485" s="45"/>
      <c r="J485" s="45"/>
      <c r="K485" s="45"/>
      <c r="L485" s="46"/>
      <c r="M485" s="45"/>
      <c r="N485" s="45"/>
      <c r="O485" s="45"/>
      <c r="P485" s="45"/>
      <c r="Q485" s="45"/>
      <c r="R485" s="45"/>
      <c r="S485" s="45"/>
    </row>
    <row r="486">
      <c r="A486" s="45"/>
      <c r="B486" s="45"/>
      <c r="C486" s="45"/>
      <c r="D486" s="45"/>
      <c r="E486" s="45"/>
      <c r="F486" s="45"/>
      <c r="G486" s="45"/>
      <c r="H486" s="45"/>
      <c r="I486" s="45"/>
      <c r="J486" s="45"/>
      <c r="K486" s="45"/>
      <c r="L486" s="46"/>
      <c r="M486" s="45"/>
      <c r="N486" s="45"/>
      <c r="O486" s="45"/>
      <c r="P486" s="45"/>
      <c r="Q486" s="45"/>
      <c r="R486" s="45"/>
      <c r="S486" s="45"/>
    </row>
    <row r="487">
      <c r="A487" s="45"/>
      <c r="B487" s="45"/>
      <c r="C487" s="45"/>
      <c r="D487" s="45"/>
      <c r="E487" s="45"/>
      <c r="F487" s="45"/>
      <c r="G487" s="45"/>
      <c r="H487" s="45"/>
      <c r="I487" s="45"/>
      <c r="J487" s="45"/>
      <c r="K487" s="45"/>
      <c r="L487" s="46"/>
      <c r="M487" s="45"/>
      <c r="N487" s="45"/>
      <c r="O487" s="45"/>
      <c r="P487" s="45"/>
      <c r="Q487" s="45"/>
      <c r="R487" s="45"/>
      <c r="S487" s="45"/>
    </row>
    <row r="488">
      <c r="A488" s="45"/>
      <c r="B488" s="45"/>
      <c r="C488" s="45"/>
      <c r="D488" s="45"/>
      <c r="E488" s="45"/>
      <c r="F488" s="45"/>
      <c r="G488" s="45"/>
      <c r="H488" s="45"/>
      <c r="I488" s="45"/>
      <c r="J488" s="45"/>
      <c r="K488" s="45"/>
      <c r="L488" s="46"/>
      <c r="M488" s="45"/>
      <c r="N488" s="45"/>
      <c r="O488" s="45"/>
      <c r="P488" s="45"/>
      <c r="Q488" s="45"/>
      <c r="R488" s="45"/>
      <c r="S488" s="45"/>
    </row>
    <row r="489">
      <c r="A489" s="45"/>
      <c r="B489" s="45"/>
      <c r="C489" s="45"/>
      <c r="D489" s="45"/>
      <c r="E489" s="45"/>
      <c r="F489" s="45"/>
      <c r="G489" s="45"/>
      <c r="H489" s="45"/>
      <c r="I489" s="45"/>
      <c r="J489" s="45"/>
      <c r="K489" s="45"/>
      <c r="L489" s="46"/>
      <c r="M489" s="45"/>
      <c r="N489" s="45"/>
      <c r="O489" s="45"/>
      <c r="P489" s="45"/>
      <c r="Q489" s="45"/>
      <c r="R489" s="45"/>
      <c r="S489" s="45"/>
    </row>
    <row r="490">
      <c r="A490" s="45"/>
      <c r="B490" s="45"/>
      <c r="C490" s="45"/>
      <c r="D490" s="45"/>
      <c r="E490" s="45"/>
      <c r="F490" s="45"/>
      <c r="G490" s="45"/>
      <c r="H490" s="45"/>
      <c r="I490" s="45"/>
      <c r="J490" s="45"/>
      <c r="K490" s="45"/>
      <c r="L490" s="46"/>
      <c r="M490" s="45"/>
      <c r="N490" s="45"/>
      <c r="O490" s="45"/>
      <c r="P490" s="45"/>
      <c r="Q490" s="45"/>
      <c r="R490" s="45"/>
      <c r="S490" s="45"/>
    </row>
    <row r="491">
      <c r="A491" s="45"/>
      <c r="B491" s="45"/>
      <c r="C491" s="45"/>
      <c r="D491" s="45"/>
      <c r="E491" s="45"/>
      <c r="F491" s="45"/>
      <c r="G491" s="45"/>
      <c r="H491" s="45"/>
      <c r="I491" s="45"/>
      <c r="J491" s="45"/>
      <c r="K491" s="45"/>
      <c r="L491" s="46"/>
      <c r="M491" s="45"/>
      <c r="N491" s="45"/>
      <c r="O491" s="45"/>
      <c r="P491" s="45"/>
      <c r="Q491" s="45"/>
      <c r="R491" s="45"/>
      <c r="S491" s="45"/>
    </row>
    <row r="492">
      <c r="A492" s="45"/>
      <c r="B492" s="45"/>
      <c r="C492" s="45"/>
      <c r="D492" s="45"/>
      <c r="E492" s="45"/>
      <c r="F492" s="45"/>
      <c r="G492" s="45"/>
      <c r="H492" s="45"/>
      <c r="I492" s="45"/>
      <c r="J492" s="45"/>
      <c r="K492" s="45"/>
      <c r="L492" s="46"/>
      <c r="M492" s="45"/>
      <c r="N492" s="45"/>
      <c r="O492" s="45"/>
      <c r="P492" s="45"/>
      <c r="Q492" s="45"/>
      <c r="R492" s="45"/>
      <c r="S492" s="45"/>
    </row>
    <row r="493">
      <c r="A493" s="45"/>
      <c r="B493" s="45"/>
      <c r="C493" s="45"/>
      <c r="D493" s="45"/>
      <c r="E493" s="45"/>
      <c r="F493" s="45"/>
      <c r="G493" s="45"/>
      <c r="H493" s="45"/>
      <c r="I493" s="45"/>
      <c r="J493" s="45"/>
      <c r="K493" s="45"/>
      <c r="L493" s="46"/>
      <c r="M493" s="45"/>
      <c r="N493" s="45"/>
      <c r="O493" s="45"/>
      <c r="P493" s="45"/>
      <c r="Q493" s="45"/>
      <c r="R493" s="45"/>
      <c r="S493" s="45"/>
    </row>
    <row r="494">
      <c r="A494" s="45"/>
      <c r="B494" s="45"/>
      <c r="C494" s="45"/>
      <c r="D494" s="45"/>
      <c r="E494" s="45"/>
      <c r="F494" s="45"/>
      <c r="G494" s="45"/>
      <c r="H494" s="45"/>
      <c r="I494" s="45"/>
      <c r="J494" s="45"/>
      <c r="K494" s="45"/>
      <c r="L494" s="46"/>
      <c r="M494" s="45"/>
      <c r="N494" s="45"/>
      <c r="O494" s="45"/>
      <c r="P494" s="45"/>
      <c r="Q494" s="45"/>
      <c r="R494" s="45"/>
      <c r="S494" s="45"/>
    </row>
    <row r="495">
      <c r="A495" s="45"/>
      <c r="B495" s="45"/>
      <c r="C495" s="45"/>
      <c r="D495" s="45"/>
      <c r="E495" s="45"/>
      <c r="F495" s="45"/>
      <c r="G495" s="45"/>
      <c r="H495" s="45"/>
      <c r="I495" s="45"/>
      <c r="J495" s="45"/>
      <c r="K495" s="45"/>
      <c r="L495" s="46"/>
      <c r="M495" s="45"/>
      <c r="N495" s="45"/>
      <c r="O495" s="45"/>
      <c r="P495" s="45"/>
      <c r="Q495" s="45"/>
      <c r="R495" s="45"/>
      <c r="S495" s="45"/>
    </row>
    <row r="496">
      <c r="A496" s="45"/>
      <c r="B496" s="45"/>
      <c r="C496" s="45"/>
      <c r="D496" s="45"/>
      <c r="E496" s="45"/>
      <c r="F496" s="45"/>
      <c r="G496" s="45"/>
      <c r="H496" s="45"/>
      <c r="I496" s="45"/>
      <c r="J496" s="45"/>
      <c r="K496" s="45"/>
      <c r="L496" s="46"/>
      <c r="M496" s="45"/>
      <c r="N496" s="45"/>
      <c r="O496" s="45"/>
      <c r="P496" s="45"/>
      <c r="Q496" s="45"/>
      <c r="R496" s="45"/>
      <c r="S496" s="45"/>
    </row>
    <row r="497">
      <c r="A497" s="45"/>
      <c r="B497" s="45"/>
      <c r="C497" s="45"/>
      <c r="D497" s="45"/>
      <c r="E497" s="45"/>
      <c r="F497" s="45"/>
      <c r="G497" s="45"/>
      <c r="H497" s="45"/>
      <c r="I497" s="45"/>
      <c r="J497" s="45"/>
      <c r="K497" s="45"/>
      <c r="L497" s="46"/>
      <c r="M497" s="45"/>
      <c r="N497" s="45"/>
      <c r="O497" s="45"/>
      <c r="P497" s="45"/>
      <c r="Q497" s="45"/>
      <c r="R497" s="45"/>
      <c r="S497" s="45"/>
    </row>
    <row r="498">
      <c r="A498" s="45"/>
      <c r="B498" s="45"/>
      <c r="C498" s="45"/>
      <c r="D498" s="45"/>
      <c r="E498" s="45"/>
      <c r="F498" s="45"/>
      <c r="G498" s="45"/>
      <c r="H498" s="45"/>
      <c r="I498" s="45"/>
      <c r="J498" s="45"/>
      <c r="K498" s="45"/>
      <c r="L498" s="46"/>
      <c r="M498" s="45"/>
      <c r="N498" s="45"/>
      <c r="O498" s="45"/>
      <c r="P498" s="45"/>
      <c r="Q498" s="45"/>
      <c r="R498" s="45"/>
      <c r="S498" s="45"/>
    </row>
    <row r="499">
      <c r="A499" s="45"/>
      <c r="B499" s="45"/>
      <c r="C499" s="45"/>
      <c r="D499" s="45"/>
      <c r="E499" s="45"/>
      <c r="F499" s="45"/>
      <c r="G499" s="45"/>
      <c r="H499" s="45"/>
      <c r="I499" s="45"/>
      <c r="J499" s="45"/>
      <c r="K499" s="45"/>
      <c r="L499" s="46"/>
      <c r="M499" s="45"/>
      <c r="N499" s="45"/>
      <c r="O499" s="45"/>
      <c r="P499" s="45"/>
      <c r="Q499" s="45"/>
      <c r="R499" s="45"/>
      <c r="S499" s="45"/>
    </row>
    <row r="500">
      <c r="A500" s="45"/>
      <c r="B500" s="45"/>
      <c r="C500" s="45"/>
      <c r="D500" s="45"/>
      <c r="E500" s="45"/>
      <c r="F500" s="45"/>
      <c r="G500" s="45"/>
      <c r="H500" s="45"/>
      <c r="I500" s="45"/>
      <c r="J500" s="45"/>
      <c r="K500" s="45"/>
      <c r="L500" s="46"/>
      <c r="M500" s="45"/>
      <c r="N500" s="45"/>
      <c r="O500" s="45"/>
      <c r="P500" s="45"/>
      <c r="Q500" s="45"/>
      <c r="R500" s="45"/>
      <c r="S500" s="45"/>
    </row>
    <row r="501">
      <c r="A501" s="45"/>
      <c r="B501" s="45"/>
      <c r="C501" s="45"/>
      <c r="D501" s="45"/>
      <c r="E501" s="45"/>
      <c r="F501" s="45"/>
      <c r="G501" s="45"/>
      <c r="H501" s="45"/>
      <c r="I501" s="45"/>
      <c r="J501" s="45"/>
      <c r="K501" s="45"/>
      <c r="L501" s="46"/>
      <c r="M501" s="45"/>
      <c r="N501" s="45"/>
      <c r="O501" s="45"/>
      <c r="P501" s="45"/>
      <c r="Q501" s="45"/>
      <c r="R501" s="45"/>
      <c r="S501" s="45"/>
    </row>
    <row r="502">
      <c r="A502" s="45"/>
      <c r="B502" s="45"/>
      <c r="C502" s="45"/>
      <c r="D502" s="45"/>
      <c r="E502" s="45"/>
      <c r="F502" s="45"/>
      <c r="G502" s="45"/>
      <c r="H502" s="45"/>
      <c r="I502" s="45"/>
      <c r="J502" s="45"/>
      <c r="K502" s="45"/>
      <c r="L502" s="46"/>
      <c r="M502" s="45"/>
      <c r="N502" s="45"/>
      <c r="O502" s="45"/>
      <c r="P502" s="45"/>
      <c r="Q502" s="45"/>
      <c r="R502" s="45"/>
      <c r="S502" s="45"/>
    </row>
    <row r="503">
      <c r="A503" s="45"/>
      <c r="B503" s="45"/>
      <c r="C503" s="45"/>
      <c r="D503" s="45"/>
      <c r="E503" s="45"/>
      <c r="F503" s="45"/>
      <c r="G503" s="45"/>
      <c r="H503" s="45"/>
      <c r="I503" s="45"/>
      <c r="J503" s="45"/>
      <c r="K503" s="45"/>
      <c r="L503" s="46"/>
      <c r="M503" s="45"/>
      <c r="N503" s="45"/>
      <c r="O503" s="45"/>
      <c r="P503" s="45"/>
      <c r="Q503" s="45"/>
      <c r="R503" s="45"/>
      <c r="S503" s="45"/>
    </row>
    <row r="504">
      <c r="A504" s="45"/>
      <c r="B504" s="45"/>
      <c r="C504" s="45"/>
      <c r="D504" s="45"/>
      <c r="E504" s="45"/>
      <c r="F504" s="45"/>
      <c r="G504" s="45"/>
      <c r="H504" s="45"/>
      <c r="I504" s="45"/>
      <c r="J504" s="45"/>
      <c r="K504" s="45"/>
      <c r="L504" s="46"/>
      <c r="M504" s="45"/>
      <c r="N504" s="45"/>
      <c r="O504" s="45"/>
      <c r="P504" s="45"/>
      <c r="Q504" s="45"/>
      <c r="R504" s="45"/>
      <c r="S504" s="45"/>
    </row>
    <row r="505">
      <c r="A505" s="45"/>
      <c r="B505" s="45"/>
      <c r="C505" s="45"/>
      <c r="D505" s="45"/>
      <c r="E505" s="45"/>
      <c r="F505" s="45"/>
      <c r="G505" s="45"/>
      <c r="H505" s="45"/>
      <c r="I505" s="45"/>
      <c r="J505" s="45"/>
      <c r="K505" s="45"/>
      <c r="L505" s="46"/>
      <c r="M505" s="45"/>
      <c r="N505" s="45"/>
      <c r="O505" s="45"/>
      <c r="P505" s="45"/>
      <c r="Q505" s="45"/>
      <c r="R505" s="45"/>
      <c r="S505" s="45"/>
    </row>
    <row r="506">
      <c r="A506" s="45"/>
      <c r="B506" s="45"/>
      <c r="C506" s="45"/>
      <c r="D506" s="45"/>
      <c r="E506" s="45"/>
      <c r="F506" s="45"/>
      <c r="G506" s="45"/>
      <c r="H506" s="45"/>
      <c r="I506" s="45"/>
      <c r="J506" s="45"/>
      <c r="K506" s="45"/>
      <c r="L506" s="46"/>
      <c r="M506" s="45"/>
      <c r="N506" s="45"/>
      <c r="O506" s="45"/>
      <c r="P506" s="45"/>
      <c r="Q506" s="45"/>
      <c r="R506" s="45"/>
      <c r="S506" s="45"/>
    </row>
    <row r="507">
      <c r="A507" s="45"/>
      <c r="B507" s="45"/>
      <c r="C507" s="45"/>
      <c r="D507" s="45"/>
      <c r="E507" s="45"/>
      <c r="F507" s="45"/>
      <c r="G507" s="45"/>
      <c r="H507" s="45"/>
      <c r="I507" s="45"/>
      <c r="J507" s="45"/>
      <c r="K507" s="45"/>
      <c r="L507" s="46"/>
      <c r="M507" s="45"/>
      <c r="N507" s="45"/>
      <c r="O507" s="45"/>
      <c r="P507" s="45"/>
      <c r="Q507" s="45"/>
      <c r="R507" s="45"/>
      <c r="S507" s="45"/>
    </row>
    <row r="508">
      <c r="A508" s="45"/>
      <c r="B508" s="45"/>
      <c r="C508" s="45"/>
      <c r="D508" s="45"/>
      <c r="E508" s="45"/>
      <c r="F508" s="45"/>
      <c r="G508" s="45"/>
      <c r="H508" s="45"/>
      <c r="I508" s="45"/>
      <c r="J508" s="45"/>
      <c r="K508" s="45"/>
      <c r="L508" s="46"/>
      <c r="M508" s="45"/>
      <c r="N508" s="45"/>
      <c r="O508" s="45"/>
      <c r="P508" s="45"/>
      <c r="Q508" s="45"/>
      <c r="R508" s="45"/>
      <c r="S508" s="45"/>
    </row>
    <row r="509">
      <c r="A509" s="45"/>
      <c r="B509" s="45"/>
      <c r="C509" s="45"/>
      <c r="D509" s="45"/>
      <c r="E509" s="45"/>
      <c r="F509" s="45"/>
      <c r="G509" s="45"/>
      <c r="H509" s="45"/>
      <c r="I509" s="45"/>
      <c r="J509" s="45"/>
      <c r="K509" s="45"/>
      <c r="L509" s="46"/>
      <c r="M509" s="45"/>
      <c r="N509" s="45"/>
      <c r="O509" s="45"/>
      <c r="P509" s="45"/>
      <c r="Q509" s="45"/>
      <c r="R509" s="45"/>
      <c r="S509" s="45"/>
    </row>
    <row r="510">
      <c r="A510" s="45"/>
      <c r="B510" s="45"/>
      <c r="C510" s="45"/>
      <c r="D510" s="45"/>
      <c r="E510" s="45"/>
      <c r="F510" s="45"/>
      <c r="G510" s="45"/>
      <c r="H510" s="45"/>
      <c r="I510" s="45"/>
      <c r="J510" s="45"/>
      <c r="K510" s="45"/>
      <c r="L510" s="46"/>
      <c r="M510" s="45"/>
      <c r="N510" s="45"/>
      <c r="O510" s="45"/>
      <c r="P510" s="45"/>
      <c r="Q510" s="45"/>
      <c r="R510" s="45"/>
      <c r="S510" s="45"/>
    </row>
    <row r="511">
      <c r="A511" s="45"/>
      <c r="B511" s="45"/>
      <c r="C511" s="45"/>
      <c r="D511" s="45"/>
      <c r="E511" s="45"/>
      <c r="F511" s="45"/>
      <c r="G511" s="45"/>
      <c r="H511" s="45"/>
      <c r="I511" s="45"/>
      <c r="J511" s="45"/>
      <c r="K511" s="45"/>
      <c r="L511" s="46"/>
      <c r="M511" s="45"/>
      <c r="N511" s="45"/>
      <c r="O511" s="45"/>
      <c r="P511" s="45"/>
      <c r="Q511" s="45"/>
      <c r="R511" s="45"/>
      <c r="S511" s="45"/>
    </row>
    <row r="512">
      <c r="A512" s="45"/>
      <c r="B512" s="45"/>
      <c r="C512" s="45"/>
      <c r="D512" s="45"/>
      <c r="E512" s="45"/>
      <c r="F512" s="45"/>
      <c r="G512" s="45"/>
      <c r="H512" s="45"/>
      <c r="I512" s="45"/>
      <c r="J512" s="45"/>
      <c r="K512" s="45"/>
      <c r="L512" s="46"/>
      <c r="M512" s="45"/>
      <c r="N512" s="45"/>
      <c r="O512" s="45"/>
      <c r="P512" s="45"/>
      <c r="Q512" s="45"/>
      <c r="R512" s="45"/>
      <c r="S512" s="45"/>
    </row>
    <row r="513">
      <c r="A513" s="45"/>
      <c r="B513" s="45"/>
      <c r="C513" s="45"/>
      <c r="D513" s="45"/>
      <c r="E513" s="45"/>
      <c r="F513" s="45"/>
      <c r="G513" s="45"/>
      <c r="H513" s="45"/>
      <c r="I513" s="45"/>
      <c r="J513" s="45"/>
      <c r="K513" s="45"/>
      <c r="L513" s="46"/>
      <c r="M513" s="45"/>
      <c r="N513" s="45"/>
      <c r="O513" s="45"/>
      <c r="P513" s="45"/>
      <c r="Q513" s="45"/>
      <c r="R513" s="45"/>
      <c r="S513" s="45"/>
    </row>
    <row r="514">
      <c r="A514" s="45"/>
      <c r="B514" s="45"/>
      <c r="C514" s="45"/>
      <c r="D514" s="45"/>
      <c r="E514" s="45"/>
      <c r="F514" s="45"/>
      <c r="G514" s="45"/>
      <c r="H514" s="45"/>
      <c r="I514" s="45"/>
      <c r="J514" s="45"/>
      <c r="K514" s="45"/>
      <c r="L514" s="46"/>
      <c r="M514" s="45"/>
      <c r="N514" s="45"/>
      <c r="O514" s="45"/>
      <c r="P514" s="45"/>
      <c r="Q514" s="45"/>
      <c r="R514" s="45"/>
      <c r="S514" s="45"/>
    </row>
    <row r="515">
      <c r="A515" s="45"/>
      <c r="B515" s="45"/>
      <c r="C515" s="45"/>
      <c r="D515" s="45"/>
      <c r="E515" s="45"/>
      <c r="F515" s="45"/>
      <c r="G515" s="45"/>
      <c r="H515" s="45"/>
      <c r="I515" s="45"/>
      <c r="J515" s="45"/>
      <c r="K515" s="45"/>
      <c r="L515" s="46"/>
      <c r="M515" s="45"/>
      <c r="N515" s="45"/>
      <c r="O515" s="45"/>
      <c r="P515" s="45"/>
      <c r="Q515" s="45"/>
      <c r="R515" s="45"/>
      <c r="S515" s="45"/>
    </row>
    <row r="516">
      <c r="A516" s="45"/>
      <c r="B516" s="45"/>
      <c r="C516" s="45"/>
      <c r="D516" s="45"/>
      <c r="E516" s="45"/>
      <c r="F516" s="45"/>
      <c r="G516" s="45"/>
      <c r="H516" s="45"/>
      <c r="I516" s="45"/>
      <c r="J516" s="45"/>
      <c r="K516" s="45"/>
      <c r="L516" s="46"/>
      <c r="M516" s="45"/>
      <c r="N516" s="45"/>
      <c r="O516" s="45"/>
      <c r="P516" s="45"/>
      <c r="Q516" s="45"/>
      <c r="R516" s="45"/>
      <c r="S516" s="45"/>
    </row>
    <row r="517">
      <c r="A517" s="45"/>
      <c r="B517" s="45"/>
      <c r="C517" s="45"/>
      <c r="D517" s="45"/>
      <c r="E517" s="45"/>
      <c r="F517" s="45"/>
      <c r="G517" s="45"/>
      <c r="H517" s="45"/>
      <c r="I517" s="45"/>
      <c r="J517" s="45"/>
      <c r="K517" s="45"/>
      <c r="L517" s="46"/>
      <c r="M517" s="45"/>
      <c r="N517" s="45"/>
      <c r="O517" s="45"/>
      <c r="P517" s="45"/>
      <c r="Q517" s="45"/>
      <c r="R517" s="45"/>
      <c r="S517" s="45"/>
    </row>
    <row r="518">
      <c r="A518" s="45"/>
      <c r="B518" s="45"/>
      <c r="C518" s="45"/>
      <c r="D518" s="45"/>
      <c r="E518" s="45"/>
      <c r="F518" s="45"/>
      <c r="G518" s="45"/>
      <c r="H518" s="45"/>
      <c r="I518" s="45"/>
      <c r="J518" s="45"/>
      <c r="K518" s="45"/>
      <c r="L518" s="46"/>
      <c r="M518" s="45"/>
      <c r="N518" s="45"/>
      <c r="O518" s="45"/>
      <c r="P518" s="45"/>
      <c r="Q518" s="45"/>
      <c r="R518" s="45"/>
      <c r="S518" s="45"/>
    </row>
    <row r="519">
      <c r="A519" s="45"/>
      <c r="B519" s="45"/>
      <c r="C519" s="45"/>
      <c r="D519" s="45"/>
      <c r="E519" s="45"/>
      <c r="F519" s="45"/>
      <c r="G519" s="45"/>
      <c r="H519" s="45"/>
      <c r="I519" s="45"/>
      <c r="J519" s="45"/>
      <c r="K519" s="45"/>
      <c r="L519" s="46"/>
      <c r="M519" s="45"/>
      <c r="N519" s="45"/>
      <c r="O519" s="45"/>
      <c r="P519" s="45"/>
      <c r="Q519" s="45"/>
      <c r="R519" s="45"/>
      <c r="S519" s="45"/>
    </row>
    <row r="520">
      <c r="A520" s="45"/>
      <c r="B520" s="45"/>
      <c r="C520" s="45"/>
      <c r="D520" s="45"/>
      <c r="E520" s="45"/>
      <c r="F520" s="45"/>
      <c r="G520" s="45"/>
      <c r="H520" s="45"/>
      <c r="I520" s="45"/>
      <c r="J520" s="45"/>
      <c r="K520" s="45"/>
      <c r="L520" s="46"/>
      <c r="M520" s="45"/>
      <c r="N520" s="45"/>
      <c r="O520" s="45"/>
      <c r="P520" s="45"/>
      <c r="Q520" s="45"/>
      <c r="R520" s="45"/>
      <c r="S520" s="45"/>
    </row>
    <row r="521">
      <c r="A521" s="45"/>
      <c r="B521" s="45"/>
      <c r="C521" s="45"/>
      <c r="D521" s="45"/>
      <c r="E521" s="45"/>
      <c r="F521" s="45"/>
      <c r="G521" s="45"/>
      <c r="H521" s="45"/>
      <c r="I521" s="45"/>
      <c r="J521" s="45"/>
      <c r="K521" s="45"/>
      <c r="L521" s="46"/>
      <c r="M521" s="45"/>
      <c r="N521" s="45"/>
      <c r="O521" s="45"/>
      <c r="P521" s="45"/>
      <c r="Q521" s="45"/>
      <c r="R521" s="45"/>
      <c r="S521" s="45"/>
    </row>
    <row r="522">
      <c r="A522" s="45"/>
      <c r="B522" s="45"/>
      <c r="C522" s="45"/>
      <c r="D522" s="45"/>
      <c r="E522" s="45"/>
      <c r="F522" s="45"/>
      <c r="G522" s="45"/>
      <c r="H522" s="45"/>
      <c r="I522" s="45"/>
      <c r="J522" s="45"/>
      <c r="K522" s="45"/>
      <c r="L522" s="46"/>
      <c r="M522" s="45"/>
      <c r="N522" s="45"/>
      <c r="O522" s="45"/>
      <c r="P522" s="45"/>
      <c r="Q522" s="45"/>
      <c r="R522" s="45"/>
      <c r="S522" s="45"/>
    </row>
    <row r="523">
      <c r="A523" s="45"/>
      <c r="B523" s="45"/>
      <c r="C523" s="45"/>
      <c r="D523" s="45"/>
      <c r="E523" s="45"/>
      <c r="F523" s="45"/>
      <c r="G523" s="45"/>
      <c r="H523" s="45"/>
      <c r="I523" s="45"/>
      <c r="J523" s="45"/>
      <c r="K523" s="45"/>
      <c r="L523" s="46"/>
      <c r="M523" s="45"/>
      <c r="N523" s="45"/>
      <c r="O523" s="45"/>
      <c r="P523" s="45"/>
      <c r="Q523" s="45"/>
      <c r="R523" s="45"/>
      <c r="S523" s="45"/>
    </row>
    <row r="524">
      <c r="A524" s="45"/>
      <c r="B524" s="45"/>
      <c r="C524" s="45"/>
      <c r="D524" s="45"/>
      <c r="E524" s="45"/>
      <c r="F524" s="45"/>
      <c r="G524" s="45"/>
      <c r="H524" s="45"/>
      <c r="I524" s="45"/>
      <c r="J524" s="45"/>
      <c r="K524" s="45"/>
      <c r="L524" s="46"/>
      <c r="M524" s="45"/>
      <c r="N524" s="45"/>
      <c r="O524" s="45"/>
      <c r="P524" s="45"/>
      <c r="Q524" s="45"/>
      <c r="R524" s="45"/>
      <c r="S524" s="45"/>
    </row>
    <row r="525">
      <c r="A525" s="45"/>
      <c r="B525" s="45"/>
      <c r="C525" s="45"/>
      <c r="D525" s="45"/>
      <c r="E525" s="45"/>
      <c r="F525" s="45"/>
      <c r="G525" s="45"/>
      <c r="H525" s="45"/>
      <c r="I525" s="45"/>
      <c r="J525" s="45"/>
      <c r="K525" s="45"/>
      <c r="L525" s="46"/>
      <c r="M525" s="45"/>
      <c r="N525" s="45"/>
      <c r="O525" s="45"/>
      <c r="P525" s="45"/>
      <c r="Q525" s="45"/>
      <c r="R525" s="45"/>
      <c r="S525" s="45"/>
    </row>
    <row r="526">
      <c r="A526" s="45"/>
      <c r="B526" s="45"/>
      <c r="C526" s="45"/>
      <c r="D526" s="45"/>
      <c r="E526" s="45"/>
      <c r="F526" s="45"/>
      <c r="G526" s="45"/>
      <c r="H526" s="45"/>
      <c r="I526" s="45"/>
      <c r="J526" s="45"/>
      <c r="K526" s="45"/>
      <c r="L526" s="46"/>
      <c r="M526" s="45"/>
      <c r="N526" s="45"/>
      <c r="O526" s="45"/>
      <c r="P526" s="45"/>
      <c r="Q526" s="45"/>
      <c r="R526" s="45"/>
      <c r="S526" s="45"/>
    </row>
    <row r="527">
      <c r="A527" s="45"/>
      <c r="B527" s="45"/>
      <c r="C527" s="45"/>
      <c r="D527" s="45"/>
      <c r="E527" s="45"/>
      <c r="F527" s="45"/>
      <c r="G527" s="45"/>
      <c r="H527" s="45"/>
      <c r="I527" s="45"/>
      <c r="J527" s="45"/>
      <c r="K527" s="45"/>
      <c r="L527" s="46"/>
      <c r="M527" s="45"/>
      <c r="N527" s="45"/>
      <c r="O527" s="45"/>
      <c r="P527" s="45"/>
      <c r="Q527" s="45"/>
      <c r="R527" s="45"/>
      <c r="S527" s="45"/>
    </row>
    <row r="528">
      <c r="A528" s="45"/>
      <c r="B528" s="45"/>
      <c r="C528" s="45"/>
      <c r="D528" s="45"/>
      <c r="E528" s="45"/>
      <c r="F528" s="45"/>
      <c r="G528" s="45"/>
      <c r="H528" s="45"/>
      <c r="I528" s="45"/>
      <c r="J528" s="45"/>
      <c r="K528" s="45"/>
      <c r="L528" s="46"/>
      <c r="M528" s="45"/>
      <c r="N528" s="45"/>
      <c r="O528" s="45"/>
      <c r="P528" s="45"/>
      <c r="Q528" s="45"/>
      <c r="R528" s="45"/>
      <c r="S528" s="45"/>
    </row>
    <row r="529">
      <c r="A529" s="45"/>
      <c r="B529" s="45"/>
      <c r="C529" s="45"/>
      <c r="D529" s="45"/>
      <c r="E529" s="45"/>
      <c r="F529" s="45"/>
      <c r="G529" s="45"/>
      <c r="H529" s="45"/>
      <c r="I529" s="45"/>
      <c r="J529" s="45"/>
      <c r="K529" s="45"/>
      <c r="L529" s="46"/>
      <c r="M529" s="45"/>
      <c r="N529" s="45"/>
      <c r="O529" s="45"/>
      <c r="P529" s="45"/>
      <c r="Q529" s="45"/>
      <c r="R529" s="45"/>
      <c r="S529" s="45"/>
    </row>
    <row r="530">
      <c r="A530" s="45"/>
      <c r="B530" s="45"/>
      <c r="C530" s="45"/>
      <c r="D530" s="45"/>
      <c r="E530" s="45"/>
      <c r="F530" s="45"/>
      <c r="G530" s="45"/>
      <c r="H530" s="45"/>
      <c r="I530" s="45"/>
      <c r="J530" s="45"/>
      <c r="K530" s="45"/>
      <c r="L530" s="46"/>
      <c r="M530" s="45"/>
      <c r="N530" s="45"/>
      <c r="O530" s="45"/>
      <c r="P530" s="45"/>
      <c r="Q530" s="45"/>
      <c r="R530" s="45"/>
      <c r="S530" s="45"/>
    </row>
    <row r="531">
      <c r="A531" s="45"/>
      <c r="B531" s="45"/>
      <c r="C531" s="45"/>
      <c r="D531" s="45"/>
      <c r="E531" s="45"/>
      <c r="F531" s="45"/>
      <c r="G531" s="45"/>
      <c r="H531" s="45"/>
      <c r="I531" s="45"/>
      <c r="J531" s="45"/>
      <c r="K531" s="45"/>
      <c r="L531" s="46"/>
      <c r="M531" s="45"/>
      <c r="N531" s="45"/>
      <c r="O531" s="45"/>
      <c r="P531" s="45"/>
      <c r="Q531" s="45"/>
      <c r="R531" s="45"/>
      <c r="S531" s="45"/>
    </row>
    <row r="532">
      <c r="A532" s="45"/>
      <c r="B532" s="45"/>
      <c r="C532" s="45"/>
      <c r="D532" s="45"/>
      <c r="E532" s="45"/>
      <c r="F532" s="45"/>
      <c r="G532" s="45"/>
      <c r="H532" s="45"/>
      <c r="I532" s="45"/>
      <c r="J532" s="45"/>
      <c r="K532" s="45"/>
      <c r="L532" s="46"/>
      <c r="M532" s="45"/>
      <c r="N532" s="45"/>
      <c r="O532" s="45"/>
      <c r="P532" s="45"/>
      <c r="Q532" s="45"/>
      <c r="R532" s="45"/>
      <c r="S532" s="45"/>
    </row>
    <row r="533">
      <c r="A533" s="45"/>
      <c r="B533" s="45"/>
      <c r="C533" s="45"/>
      <c r="D533" s="45"/>
      <c r="E533" s="45"/>
      <c r="F533" s="45"/>
      <c r="G533" s="45"/>
      <c r="H533" s="45"/>
      <c r="I533" s="45"/>
      <c r="J533" s="45"/>
      <c r="K533" s="45"/>
      <c r="L533" s="46"/>
      <c r="M533" s="45"/>
      <c r="N533" s="45"/>
      <c r="O533" s="45"/>
      <c r="P533" s="45"/>
      <c r="Q533" s="45"/>
      <c r="R533" s="45"/>
      <c r="S533" s="45"/>
    </row>
    <row r="534">
      <c r="A534" s="45"/>
      <c r="B534" s="45"/>
      <c r="C534" s="45"/>
      <c r="D534" s="45"/>
      <c r="E534" s="45"/>
      <c r="F534" s="45"/>
      <c r="G534" s="45"/>
      <c r="H534" s="45"/>
      <c r="I534" s="45"/>
      <c r="J534" s="45"/>
      <c r="K534" s="45"/>
      <c r="L534" s="46"/>
      <c r="M534" s="45"/>
      <c r="N534" s="45"/>
      <c r="O534" s="45"/>
      <c r="P534" s="45"/>
      <c r="Q534" s="45"/>
      <c r="R534" s="45"/>
      <c r="S534" s="45"/>
    </row>
    <row r="535">
      <c r="A535" s="45"/>
      <c r="B535" s="45"/>
      <c r="C535" s="45"/>
      <c r="D535" s="45"/>
      <c r="E535" s="45"/>
      <c r="F535" s="45"/>
      <c r="G535" s="45"/>
      <c r="H535" s="45"/>
      <c r="I535" s="45"/>
      <c r="J535" s="45"/>
      <c r="K535" s="45"/>
      <c r="L535" s="46"/>
      <c r="M535" s="45"/>
      <c r="N535" s="45"/>
      <c r="O535" s="45"/>
      <c r="P535" s="45"/>
      <c r="Q535" s="45"/>
      <c r="R535" s="45"/>
      <c r="S535" s="45"/>
    </row>
    <row r="536">
      <c r="A536" s="45"/>
      <c r="B536" s="45"/>
      <c r="C536" s="45"/>
      <c r="D536" s="45"/>
      <c r="E536" s="45"/>
      <c r="F536" s="45"/>
      <c r="G536" s="45"/>
      <c r="H536" s="45"/>
      <c r="I536" s="45"/>
      <c r="J536" s="45"/>
      <c r="K536" s="45"/>
      <c r="L536" s="46"/>
      <c r="M536" s="45"/>
      <c r="N536" s="45"/>
      <c r="O536" s="45"/>
      <c r="P536" s="45"/>
      <c r="Q536" s="45"/>
      <c r="R536" s="45"/>
      <c r="S536" s="45"/>
    </row>
    <row r="537">
      <c r="A537" s="45"/>
      <c r="B537" s="45"/>
      <c r="C537" s="45"/>
      <c r="D537" s="45"/>
      <c r="E537" s="45"/>
      <c r="F537" s="45"/>
      <c r="G537" s="45"/>
      <c r="H537" s="45"/>
      <c r="I537" s="45"/>
      <c r="J537" s="45"/>
      <c r="K537" s="45"/>
      <c r="L537" s="46"/>
      <c r="M537" s="45"/>
      <c r="N537" s="45"/>
      <c r="O537" s="45"/>
      <c r="P537" s="45"/>
      <c r="Q537" s="45"/>
      <c r="R537" s="45"/>
      <c r="S537" s="45"/>
    </row>
    <row r="538">
      <c r="A538" s="45"/>
      <c r="B538" s="45"/>
      <c r="C538" s="45"/>
      <c r="D538" s="45"/>
      <c r="E538" s="45"/>
      <c r="F538" s="45"/>
      <c r="G538" s="45"/>
      <c r="H538" s="45"/>
      <c r="I538" s="45"/>
      <c r="J538" s="45"/>
      <c r="K538" s="45"/>
      <c r="L538" s="46"/>
      <c r="M538" s="45"/>
      <c r="N538" s="45"/>
      <c r="O538" s="45"/>
      <c r="P538" s="45"/>
      <c r="Q538" s="45"/>
      <c r="R538" s="45"/>
      <c r="S538" s="45"/>
    </row>
    <row r="539">
      <c r="A539" s="45"/>
      <c r="B539" s="45"/>
      <c r="C539" s="45"/>
      <c r="D539" s="45"/>
      <c r="E539" s="45"/>
      <c r="F539" s="45"/>
      <c r="G539" s="45"/>
      <c r="H539" s="45"/>
      <c r="I539" s="45"/>
      <c r="J539" s="45"/>
      <c r="K539" s="45"/>
      <c r="L539" s="46"/>
      <c r="M539" s="45"/>
      <c r="N539" s="45"/>
      <c r="O539" s="45"/>
      <c r="P539" s="45"/>
      <c r="Q539" s="45"/>
      <c r="R539" s="45"/>
      <c r="S539" s="45"/>
    </row>
    <row r="540">
      <c r="A540" s="45"/>
      <c r="B540" s="45"/>
      <c r="C540" s="45"/>
      <c r="D540" s="45"/>
      <c r="E540" s="45"/>
      <c r="F540" s="45"/>
      <c r="G540" s="45"/>
      <c r="H540" s="45"/>
      <c r="I540" s="45"/>
      <c r="J540" s="45"/>
      <c r="K540" s="45"/>
      <c r="L540" s="46"/>
      <c r="M540" s="45"/>
      <c r="N540" s="45"/>
      <c r="O540" s="45"/>
      <c r="P540" s="45"/>
      <c r="Q540" s="45"/>
      <c r="R540" s="45"/>
      <c r="S540" s="45"/>
    </row>
    <row r="541">
      <c r="A541" s="45"/>
      <c r="B541" s="45"/>
      <c r="C541" s="45"/>
      <c r="D541" s="45"/>
      <c r="E541" s="45"/>
      <c r="F541" s="45"/>
      <c r="G541" s="45"/>
      <c r="H541" s="45"/>
      <c r="I541" s="45"/>
      <c r="J541" s="45"/>
      <c r="K541" s="45"/>
      <c r="L541" s="46"/>
      <c r="M541" s="45"/>
      <c r="N541" s="45"/>
      <c r="O541" s="45"/>
      <c r="P541" s="45"/>
      <c r="Q541" s="45"/>
      <c r="R541" s="45"/>
      <c r="S541" s="45"/>
    </row>
    <row r="542">
      <c r="A542" s="45"/>
      <c r="B542" s="45"/>
      <c r="C542" s="45"/>
      <c r="D542" s="45"/>
      <c r="E542" s="45"/>
      <c r="F542" s="45"/>
      <c r="G542" s="45"/>
      <c r="H542" s="45"/>
      <c r="I542" s="45"/>
      <c r="J542" s="45"/>
      <c r="K542" s="45"/>
      <c r="L542" s="46"/>
      <c r="M542" s="45"/>
      <c r="N542" s="45"/>
      <c r="O542" s="45"/>
      <c r="P542" s="45"/>
      <c r="Q542" s="45"/>
      <c r="R542" s="45"/>
      <c r="S542" s="45"/>
    </row>
    <row r="543">
      <c r="A543" s="45"/>
      <c r="B543" s="45"/>
      <c r="C543" s="45"/>
      <c r="D543" s="45"/>
      <c r="E543" s="45"/>
      <c r="F543" s="45"/>
      <c r="G543" s="45"/>
      <c r="H543" s="45"/>
      <c r="I543" s="45"/>
      <c r="J543" s="45"/>
      <c r="K543" s="45"/>
      <c r="L543" s="46"/>
      <c r="M543" s="45"/>
      <c r="N543" s="45"/>
      <c r="O543" s="45"/>
      <c r="P543" s="45"/>
      <c r="Q543" s="45"/>
      <c r="R543" s="45"/>
      <c r="S543" s="45"/>
    </row>
    <row r="544">
      <c r="A544" s="45"/>
      <c r="B544" s="45"/>
      <c r="C544" s="45"/>
      <c r="D544" s="45"/>
      <c r="E544" s="45"/>
      <c r="F544" s="45"/>
      <c r="G544" s="45"/>
      <c r="H544" s="45"/>
      <c r="I544" s="45"/>
      <c r="J544" s="45"/>
      <c r="K544" s="45"/>
      <c r="L544" s="46"/>
      <c r="M544" s="45"/>
      <c r="N544" s="45"/>
      <c r="O544" s="45"/>
      <c r="P544" s="45"/>
      <c r="Q544" s="45"/>
      <c r="R544" s="45"/>
      <c r="S544" s="45"/>
    </row>
    <row r="545">
      <c r="A545" s="45"/>
      <c r="B545" s="45"/>
      <c r="C545" s="45"/>
      <c r="D545" s="45"/>
      <c r="E545" s="45"/>
      <c r="F545" s="45"/>
      <c r="G545" s="45"/>
      <c r="H545" s="45"/>
      <c r="I545" s="45"/>
      <c r="J545" s="45"/>
      <c r="K545" s="45"/>
      <c r="L545" s="46"/>
      <c r="M545" s="45"/>
      <c r="N545" s="45"/>
      <c r="O545" s="45"/>
      <c r="P545" s="45"/>
      <c r="Q545" s="45"/>
      <c r="R545" s="45"/>
      <c r="S545" s="45"/>
    </row>
    <row r="546">
      <c r="A546" s="45"/>
      <c r="B546" s="45"/>
      <c r="C546" s="45"/>
      <c r="D546" s="45"/>
      <c r="E546" s="45"/>
      <c r="F546" s="45"/>
      <c r="G546" s="45"/>
      <c r="H546" s="45"/>
      <c r="I546" s="45"/>
      <c r="J546" s="45"/>
      <c r="K546" s="45"/>
      <c r="L546" s="46"/>
      <c r="M546" s="45"/>
      <c r="N546" s="45"/>
      <c r="O546" s="45"/>
      <c r="P546" s="45"/>
      <c r="Q546" s="45"/>
      <c r="R546" s="45"/>
      <c r="S546" s="45"/>
    </row>
    <row r="547">
      <c r="A547" s="45"/>
      <c r="B547" s="45"/>
      <c r="C547" s="45"/>
      <c r="D547" s="45"/>
      <c r="E547" s="45"/>
      <c r="F547" s="45"/>
      <c r="G547" s="45"/>
      <c r="H547" s="45"/>
      <c r="I547" s="45"/>
      <c r="J547" s="45"/>
      <c r="K547" s="45"/>
      <c r="L547" s="46"/>
      <c r="M547" s="45"/>
      <c r="N547" s="45"/>
      <c r="O547" s="45"/>
      <c r="P547" s="45"/>
      <c r="Q547" s="45"/>
      <c r="R547" s="45"/>
      <c r="S547" s="45"/>
    </row>
    <row r="548">
      <c r="A548" s="45"/>
      <c r="B548" s="45"/>
      <c r="C548" s="45"/>
      <c r="D548" s="45"/>
      <c r="E548" s="45"/>
      <c r="F548" s="45"/>
      <c r="G548" s="45"/>
      <c r="H548" s="45"/>
      <c r="I548" s="45"/>
      <c r="J548" s="45"/>
      <c r="K548" s="45"/>
      <c r="L548" s="46"/>
      <c r="M548" s="45"/>
      <c r="N548" s="45"/>
      <c r="O548" s="45"/>
      <c r="P548" s="45"/>
      <c r="Q548" s="45"/>
      <c r="R548" s="45"/>
      <c r="S548" s="45"/>
    </row>
    <row r="549">
      <c r="A549" s="45"/>
      <c r="B549" s="45"/>
      <c r="C549" s="45"/>
      <c r="D549" s="45"/>
      <c r="E549" s="45"/>
      <c r="F549" s="45"/>
      <c r="G549" s="45"/>
      <c r="H549" s="45"/>
      <c r="I549" s="45"/>
      <c r="J549" s="45"/>
      <c r="K549" s="45"/>
      <c r="L549" s="46"/>
      <c r="M549" s="45"/>
      <c r="N549" s="45"/>
      <c r="O549" s="45"/>
      <c r="P549" s="45"/>
      <c r="Q549" s="45"/>
      <c r="R549" s="45"/>
      <c r="S549" s="45"/>
    </row>
    <row r="550">
      <c r="A550" s="45"/>
      <c r="B550" s="45"/>
      <c r="C550" s="45"/>
      <c r="D550" s="45"/>
      <c r="E550" s="45"/>
      <c r="F550" s="45"/>
      <c r="G550" s="45"/>
      <c r="H550" s="45"/>
      <c r="I550" s="45"/>
      <c r="J550" s="45"/>
      <c r="K550" s="45"/>
      <c r="L550" s="46"/>
      <c r="M550" s="45"/>
      <c r="N550" s="45"/>
      <c r="O550" s="45"/>
      <c r="P550" s="45"/>
      <c r="Q550" s="45"/>
      <c r="R550" s="45"/>
      <c r="S550" s="45"/>
    </row>
    <row r="551">
      <c r="A551" s="45"/>
      <c r="B551" s="45"/>
      <c r="C551" s="45"/>
      <c r="D551" s="45"/>
      <c r="E551" s="45"/>
      <c r="F551" s="45"/>
      <c r="G551" s="45"/>
      <c r="H551" s="45"/>
      <c r="I551" s="45"/>
      <c r="J551" s="45"/>
      <c r="K551" s="45"/>
      <c r="L551" s="46"/>
      <c r="M551" s="45"/>
      <c r="N551" s="45"/>
      <c r="O551" s="45"/>
      <c r="P551" s="45"/>
      <c r="Q551" s="45"/>
      <c r="R551" s="45"/>
      <c r="S551" s="45"/>
    </row>
    <row r="552">
      <c r="A552" s="45"/>
      <c r="B552" s="45"/>
      <c r="C552" s="45"/>
      <c r="D552" s="45"/>
      <c r="E552" s="45"/>
      <c r="F552" s="45"/>
      <c r="G552" s="45"/>
      <c r="H552" s="45"/>
      <c r="I552" s="45"/>
      <c r="J552" s="45"/>
      <c r="K552" s="45"/>
      <c r="L552" s="46"/>
      <c r="M552" s="45"/>
      <c r="N552" s="45"/>
      <c r="O552" s="45"/>
      <c r="P552" s="45"/>
      <c r="Q552" s="45"/>
      <c r="R552" s="45"/>
      <c r="S552" s="45"/>
    </row>
    <row r="553">
      <c r="A553" s="45"/>
      <c r="B553" s="45"/>
      <c r="C553" s="45"/>
      <c r="D553" s="45"/>
      <c r="E553" s="45"/>
      <c r="F553" s="45"/>
      <c r="G553" s="45"/>
      <c r="H553" s="45"/>
      <c r="I553" s="45"/>
      <c r="J553" s="45"/>
      <c r="K553" s="45"/>
      <c r="L553" s="46"/>
      <c r="M553" s="45"/>
      <c r="N553" s="45"/>
      <c r="O553" s="45"/>
      <c r="P553" s="45"/>
      <c r="Q553" s="45"/>
      <c r="R553" s="45"/>
      <c r="S553" s="45"/>
    </row>
    <row r="554">
      <c r="A554" s="45"/>
      <c r="B554" s="45"/>
      <c r="C554" s="45"/>
      <c r="D554" s="45"/>
      <c r="E554" s="45"/>
      <c r="F554" s="45"/>
      <c r="G554" s="45"/>
      <c r="H554" s="45"/>
      <c r="I554" s="45"/>
      <c r="J554" s="45"/>
      <c r="K554" s="45"/>
      <c r="L554" s="46"/>
      <c r="M554" s="45"/>
      <c r="N554" s="45"/>
      <c r="O554" s="45"/>
      <c r="P554" s="45"/>
      <c r="Q554" s="45"/>
      <c r="R554" s="45"/>
      <c r="S554" s="45"/>
    </row>
    <row r="555">
      <c r="A555" s="45"/>
      <c r="B555" s="45"/>
      <c r="C555" s="45"/>
      <c r="D555" s="45"/>
      <c r="E555" s="45"/>
      <c r="F555" s="45"/>
      <c r="G555" s="45"/>
      <c r="H555" s="45"/>
      <c r="I555" s="45"/>
      <c r="J555" s="45"/>
      <c r="K555" s="45"/>
      <c r="L555" s="46"/>
      <c r="M555" s="45"/>
      <c r="N555" s="45"/>
      <c r="O555" s="45"/>
      <c r="P555" s="45"/>
      <c r="Q555" s="45"/>
      <c r="R555" s="45"/>
      <c r="S555" s="45"/>
    </row>
    <row r="556">
      <c r="A556" s="45"/>
      <c r="B556" s="45"/>
      <c r="C556" s="45"/>
      <c r="D556" s="45"/>
      <c r="E556" s="45"/>
      <c r="F556" s="45"/>
      <c r="G556" s="45"/>
      <c r="H556" s="45"/>
      <c r="I556" s="45"/>
      <c r="J556" s="45"/>
      <c r="K556" s="45"/>
      <c r="L556" s="46"/>
      <c r="M556" s="45"/>
      <c r="N556" s="45"/>
      <c r="O556" s="45"/>
      <c r="P556" s="45"/>
      <c r="Q556" s="45"/>
      <c r="R556" s="45"/>
      <c r="S556" s="45"/>
    </row>
    <row r="557">
      <c r="A557" s="45"/>
      <c r="B557" s="45"/>
      <c r="C557" s="45"/>
      <c r="D557" s="45"/>
      <c r="E557" s="45"/>
      <c r="F557" s="45"/>
      <c r="G557" s="45"/>
      <c r="H557" s="45"/>
      <c r="I557" s="45"/>
      <c r="J557" s="45"/>
      <c r="K557" s="45"/>
      <c r="L557" s="46"/>
      <c r="M557" s="45"/>
      <c r="N557" s="45"/>
      <c r="O557" s="45"/>
      <c r="P557" s="45"/>
      <c r="Q557" s="45"/>
      <c r="R557" s="45"/>
      <c r="S557" s="45"/>
    </row>
    <row r="558">
      <c r="A558" s="45"/>
      <c r="B558" s="45"/>
      <c r="C558" s="45"/>
      <c r="D558" s="45"/>
      <c r="E558" s="45"/>
      <c r="F558" s="45"/>
      <c r="G558" s="45"/>
      <c r="H558" s="45"/>
      <c r="I558" s="45"/>
      <c r="J558" s="45"/>
      <c r="K558" s="45"/>
      <c r="L558" s="46"/>
      <c r="M558" s="45"/>
      <c r="N558" s="45"/>
      <c r="O558" s="45"/>
      <c r="P558" s="45"/>
      <c r="Q558" s="45"/>
      <c r="R558" s="45"/>
      <c r="S558" s="45"/>
    </row>
    <row r="559">
      <c r="A559" s="45"/>
      <c r="B559" s="45"/>
      <c r="C559" s="45"/>
      <c r="D559" s="45"/>
      <c r="E559" s="45"/>
      <c r="F559" s="45"/>
      <c r="G559" s="45"/>
      <c r="H559" s="45"/>
      <c r="I559" s="45"/>
      <c r="J559" s="45"/>
      <c r="K559" s="45"/>
      <c r="L559" s="46"/>
      <c r="M559" s="45"/>
      <c r="N559" s="45"/>
      <c r="O559" s="45"/>
      <c r="P559" s="45"/>
      <c r="Q559" s="45"/>
      <c r="R559" s="45"/>
      <c r="S559" s="45"/>
    </row>
    <row r="560">
      <c r="A560" s="45"/>
      <c r="B560" s="45"/>
      <c r="C560" s="45"/>
      <c r="D560" s="45"/>
      <c r="E560" s="45"/>
      <c r="F560" s="45"/>
      <c r="G560" s="45"/>
      <c r="H560" s="45"/>
      <c r="I560" s="45"/>
      <c r="J560" s="45"/>
      <c r="K560" s="45"/>
      <c r="L560" s="46"/>
      <c r="M560" s="45"/>
      <c r="N560" s="45"/>
      <c r="O560" s="45"/>
      <c r="P560" s="45"/>
      <c r="Q560" s="45"/>
      <c r="R560" s="45"/>
      <c r="S560" s="45"/>
    </row>
    <row r="561">
      <c r="A561" s="45"/>
      <c r="B561" s="45"/>
      <c r="C561" s="45"/>
      <c r="D561" s="45"/>
      <c r="E561" s="45"/>
      <c r="F561" s="45"/>
      <c r="G561" s="45"/>
      <c r="H561" s="45"/>
      <c r="I561" s="45"/>
      <c r="J561" s="45"/>
      <c r="K561" s="45"/>
      <c r="L561" s="46"/>
      <c r="M561" s="45"/>
      <c r="N561" s="45"/>
      <c r="O561" s="45"/>
      <c r="P561" s="45"/>
      <c r="Q561" s="45"/>
      <c r="R561" s="45"/>
      <c r="S561" s="45"/>
    </row>
    <row r="562">
      <c r="A562" s="45"/>
      <c r="B562" s="45"/>
      <c r="C562" s="45"/>
      <c r="D562" s="45"/>
      <c r="E562" s="45"/>
      <c r="F562" s="45"/>
      <c r="G562" s="45"/>
      <c r="H562" s="45"/>
      <c r="I562" s="45"/>
      <c r="J562" s="45"/>
      <c r="K562" s="45"/>
      <c r="L562" s="46"/>
      <c r="M562" s="45"/>
      <c r="N562" s="45"/>
      <c r="O562" s="45"/>
      <c r="P562" s="45"/>
      <c r="Q562" s="45"/>
      <c r="R562" s="45"/>
      <c r="S562" s="45"/>
    </row>
    <row r="563">
      <c r="A563" s="45"/>
      <c r="B563" s="45"/>
      <c r="C563" s="45"/>
      <c r="D563" s="45"/>
      <c r="E563" s="45"/>
      <c r="F563" s="45"/>
      <c r="G563" s="45"/>
      <c r="H563" s="45"/>
      <c r="I563" s="45"/>
      <c r="J563" s="45"/>
      <c r="K563" s="45"/>
      <c r="L563" s="46"/>
      <c r="M563" s="45"/>
      <c r="N563" s="45"/>
      <c r="O563" s="45"/>
      <c r="P563" s="45"/>
      <c r="Q563" s="45"/>
      <c r="R563" s="45"/>
      <c r="S563" s="45"/>
    </row>
    <row r="564">
      <c r="A564" s="45"/>
      <c r="B564" s="45"/>
      <c r="C564" s="45"/>
      <c r="D564" s="45"/>
      <c r="E564" s="45"/>
      <c r="F564" s="45"/>
      <c r="G564" s="45"/>
      <c r="H564" s="45"/>
      <c r="I564" s="45"/>
      <c r="J564" s="45"/>
      <c r="K564" s="45"/>
      <c r="L564" s="46"/>
      <c r="M564" s="45"/>
      <c r="N564" s="45"/>
      <c r="O564" s="45"/>
      <c r="P564" s="45"/>
      <c r="Q564" s="45"/>
      <c r="R564" s="45"/>
      <c r="S564" s="45"/>
    </row>
    <row r="565">
      <c r="A565" s="45"/>
      <c r="B565" s="45"/>
      <c r="C565" s="45"/>
      <c r="D565" s="45"/>
      <c r="E565" s="45"/>
      <c r="F565" s="45"/>
      <c r="G565" s="45"/>
      <c r="H565" s="45"/>
      <c r="I565" s="45"/>
      <c r="J565" s="45"/>
      <c r="K565" s="45"/>
      <c r="L565" s="46"/>
      <c r="M565" s="45"/>
      <c r="N565" s="45"/>
      <c r="O565" s="45"/>
      <c r="P565" s="45"/>
      <c r="Q565" s="45"/>
      <c r="R565" s="45"/>
      <c r="S565" s="45"/>
    </row>
    <row r="566">
      <c r="A566" s="45"/>
      <c r="B566" s="45"/>
      <c r="C566" s="45"/>
      <c r="D566" s="45"/>
      <c r="E566" s="45"/>
      <c r="F566" s="45"/>
      <c r="G566" s="45"/>
      <c r="H566" s="45"/>
      <c r="I566" s="45"/>
      <c r="J566" s="45"/>
      <c r="K566" s="45"/>
      <c r="L566" s="46"/>
      <c r="M566" s="45"/>
      <c r="N566" s="45"/>
      <c r="O566" s="45"/>
      <c r="P566" s="45"/>
      <c r="Q566" s="45"/>
      <c r="R566" s="45"/>
      <c r="S566" s="45"/>
    </row>
    <row r="567">
      <c r="A567" s="45"/>
      <c r="B567" s="45"/>
      <c r="C567" s="45"/>
      <c r="D567" s="45"/>
      <c r="E567" s="45"/>
      <c r="F567" s="45"/>
      <c r="G567" s="45"/>
      <c r="H567" s="45"/>
      <c r="I567" s="45"/>
      <c r="J567" s="45"/>
      <c r="K567" s="45"/>
      <c r="L567" s="46"/>
      <c r="M567" s="45"/>
      <c r="N567" s="45"/>
      <c r="O567" s="45"/>
      <c r="P567" s="45"/>
      <c r="Q567" s="45"/>
      <c r="R567" s="45"/>
      <c r="S567" s="45"/>
    </row>
    <row r="568">
      <c r="A568" s="45"/>
      <c r="B568" s="45"/>
      <c r="C568" s="45"/>
      <c r="D568" s="45"/>
      <c r="E568" s="45"/>
      <c r="F568" s="45"/>
      <c r="G568" s="45"/>
      <c r="H568" s="45"/>
      <c r="I568" s="45"/>
      <c r="J568" s="45"/>
      <c r="K568" s="45"/>
      <c r="L568" s="46"/>
      <c r="M568" s="45"/>
      <c r="N568" s="45"/>
      <c r="O568" s="45"/>
      <c r="P568" s="45"/>
      <c r="Q568" s="45"/>
      <c r="R568" s="45"/>
      <c r="S568" s="45"/>
    </row>
    <row r="569">
      <c r="A569" s="45"/>
      <c r="B569" s="45"/>
      <c r="C569" s="45"/>
      <c r="D569" s="45"/>
      <c r="E569" s="45"/>
      <c r="F569" s="45"/>
      <c r="G569" s="45"/>
      <c r="H569" s="45"/>
      <c r="I569" s="45"/>
      <c r="J569" s="45"/>
      <c r="K569" s="45"/>
      <c r="L569" s="46"/>
      <c r="M569" s="45"/>
      <c r="N569" s="45"/>
      <c r="O569" s="45"/>
      <c r="P569" s="45"/>
      <c r="Q569" s="45"/>
      <c r="R569" s="45"/>
      <c r="S569" s="45"/>
    </row>
    <row r="570">
      <c r="A570" s="45"/>
      <c r="B570" s="45"/>
      <c r="C570" s="45"/>
      <c r="D570" s="45"/>
      <c r="E570" s="45"/>
      <c r="F570" s="45"/>
      <c r="G570" s="45"/>
      <c r="H570" s="45"/>
      <c r="I570" s="45"/>
      <c r="J570" s="45"/>
      <c r="K570" s="45"/>
      <c r="L570" s="46"/>
      <c r="M570" s="45"/>
      <c r="N570" s="45"/>
      <c r="O570" s="45"/>
      <c r="P570" s="45"/>
      <c r="Q570" s="45"/>
      <c r="R570" s="45"/>
      <c r="S570" s="45"/>
    </row>
    <row r="571">
      <c r="A571" s="45"/>
      <c r="B571" s="45"/>
      <c r="C571" s="45"/>
      <c r="D571" s="45"/>
      <c r="E571" s="45"/>
      <c r="F571" s="45"/>
      <c r="G571" s="45"/>
      <c r="H571" s="45"/>
      <c r="I571" s="45"/>
      <c r="J571" s="45"/>
      <c r="K571" s="45"/>
      <c r="L571" s="46"/>
      <c r="M571" s="45"/>
      <c r="N571" s="45"/>
      <c r="O571" s="45"/>
      <c r="P571" s="45"/>
      <c r="Q571" s="45"/>
      <c r="R571" s="45"/>
      <c r="S571" s="45"/>
    </row>
    <row r="572">
      <c r="A572" s="45"/>
      <c r="B572" s="45"/>
      <c r="C572" s="45"/>
      <c r="D572" s="45"/>
      <c r="E572" s="45"/>
      <c r="F572" s="45"/>
      <c r="G572" s="45"/>
      <c r="H572" s="45"/>
      <c r="I572" s="45"/>
      <c r="J572" s="45"/>
      <c r="K572" s="45"/>
      <c r="L572" s="46"/>
      <c r="M572" s="45"/>
      <c r="N572" s="45"/>
      <c r="O572" s="45"/>
      <c r="P572" s="45"/>
      <c r="Q572" s="45"/>
      <c r="R572" s="45"/>
      <c r="S572" s="45"/>
    </row>
    <row r="573">
      <c r="A573" s="45"/>
      <c r="B573" s="45"/>
      <c r="C573" s="45"/>
      <c r="D573" s="45"/>
      <c r="E573" s="45"/>
      <c r="F573" s="45"/>
      <c r="G573" s="45"/>
      <c r="H573" s="45"/>
      <c r="I573" s="45"/>
      <c r="J573" s="45"/>
      <c r="K573" s="45"/>
      <c r="L573" s="46"/>
      <c r="M573" s="45"/>
      <c r="N573" s="45"/>
      <c r="O573" s="45"/>
      <c r="P573" s="45"/>
      <c r="Q573" s="45"/>
      <c r="R573" s="45"/>
      <c r="S573" s="45"/>
    </row>
    <row r="574">
      <c r="A574" s="45"/>
      <c r="B574" s="45"/>
      <c r="C574" s="45"/>
      <c r="D574" s="45"/>
      <c r="E574" s="45"/>
      <c r="F574" s="45"/>
      <c r="G574" s="45"/>
      <c r="H574" s="45"/>
      <c r="I574" s="45"/>
      <c r="J574" s="45"/>
      <c r="K574" s="45"/>
      <c r="L574" s="46"/>
      <c r="M574" s="45"/>
      <c r="N574" s="45"/>
      <c r="O574" s="45"/>
      <c r="P574" s="45"/>
      <c r="Q574" s="45"/>
      <c r="R574" s="45"/>
      <c r="S574" s="45"/>
    </row>
    <row r="575">
      <c r="A575" s="45"/>
      <c r="B575" s="45"/>
      <c r="C575" s="45"/>
      <c r="D575" s="45"/>
      <c r="E575" s="45"/>
      <c r="F575" s="45"/>
      <c r="G575" s="45"/>
      <c r="H575" s="45"/>
      <c r="I575" s="45"/>
      <c r="J575" s="45"/>
      <c r="K575" s="45"/>
      <c r="L575" s="46"/>
      <c r="M575" s="45"/>
      <c r="N575" s="45"/>
      <c r="O575" s="45"/>
      <c r="P575" s="45"/>
      <c r="Q575" s="45"/>
      <c r="R575" s="45"/>
      <c r="S575" s="45"/>
    </row>
    <row r="576">
      <c r="A576" s="45"/>
      <c r="B576" s="45"/>
      <c r="C576" s="45"/>
      <c r="D576" s="45"/>
      <c r="E576" s="45"/>
      <c r="F576" s="45"/>
      <c r="G576" s="45"/>
      <c r="H576" s="45"/>
      <c r="I576" s="45"/>
      <c r="J576" s="45"/>
      <c r="K576" s="45"/>
      <c r="L576" s="46"/>
      <c r="M576" s="45"/>
      <c r="N576" s="45"/>
      <c r="O576" s="45"/>
      <c r="P576" s="45"/>
      <c r="Q576" s="45"/>
      <c r="R576" s="45"/>
      <c r="S576" s="45"/>
    </row>
    <row r="577">
      <c r="A577" s="45"/>
      <c r="B577" s="45"/>
      <c r="C577" s="45"/>
      <c r="D577" s="45"/>
      <c r="E577" s="45"/>
      <c r="F577" s="45"/>
      <c r="G577" s="45"/>
      <c r="H577" s="45"/>
      <c r="I577" s="45"/>
      <c r="J577" s="45"/>
      <c r="K577" s="45"/>
      <c r="L577" s="46"/>
      <c r="M577" s="45"/>
      <c r="N577" s="45"/>
      <c r="O577" s="45"/>
      <c r="P577" s="45"/>
      <c r="Q577" s="45"/>
      <c r="R577" s="45"/>
      <c r="S577" s="45"/>
    </row>
    <row r="578">
      <c r="A578" s="45"/>
      <c r="B578" s="45"/>
      <c r="C578" s="45"/>
      <c r="D578" s="45"/>
      <c r="E578" s="45"/>
      <c r="F578" s="45"/>
      <c r="G578" s="45"/>
      <c r="H578" s="45"/>
      <c r="I578" s="45"/>
      <c r="J578" s="45"/>
      <c r="K578" s="45"/>
      <c r="L578" s="46"/>
      <c r="M578" s="45"/>
      <c r="N578" s="45"/>
      <c r="O578" s="45"/>
      <c r="P578" s="45"/>
      <c r="Q578" s="45"/>
      <c r="R578" s="45"/>
      <c r="S578" s="45"/>
    </row>
    <row r="579">
      <c r="A579" s="45"/>
      <c r="B579" s="45"/>
      <c r="C579" s="45"/>
      <c r="D579" s="45"/>
      <c r="E579" s="45"/>
      <c r="F579" s="45"/>
      <c r="G579" s="45"/>
      <c r="H579" s="45"/>
      <c r="I579" s="45"/>
      <c r="J579" s="45"/>
      <c r="K579" s="45"/>
      <c r="L579" s="46"/>
      <c r="M579" s="45"/>
      <c r="N579" s="45"/>
      <c r="O579" s="45"/>
      <c r="P579" s="45"/>
      <c r="Q579" s="45"/>
      <c r="R579" s="45"/>
      <c r="S579" s="45"/>
    </row>
    <row r="580">
      <c r="A580" s="45"/>
      <c r="B580" s="45"/>
      <c r="C580" s="45"/>
      <c r="D580" s="45"/>
      <c r="E580" s="45"/>
      <c r="F580" s="45"/>
      <c r="G580" s="45"/>
      <c r="H580" s="45"/>
      <c r="I580" s="45"/>
      <c r="J580" s="45"/>
      <c r="K580" s="45"/>
      <c r="L580" s="46"/>
      <c r="M580" s="45"/>
      <c r="N580" s="45"/>
      <c r="O580" s="45"/>
      <c r="P580" s="45"/>
      <c r="Q580" s="45"/>
      <c r="R580" s="45"/>
      <c r="S580" s="45"/>
    </row>
    <row r="581">
      <c r="A581" s="45"/>
      <c r="B581" s="45"/>
      <c r="C581" s="45"/>
      <c r="D581" s="45"/>
      <c r="E581" s="45"/>
      <c r="F581" s="45"/>
      <c r="G581" s="45"/>
      <c r="H581" s="45"/>
      <c r="I581" s="45"/>
      <c r="J581" s="45"/>
      <c r="K581" s="45"/>
      <c r="L581" s="46"/>
      <c r="M581" s="45"/>
      <c r="N581" s="45"/>
      <c r="O581" s="45"/>
      <c r="P581" s="45"/>
      <c r="Q581" s="45"/>
      <c r="R581" s="45"/>
      <c r="S581" s="45"/>
    </row>
    <row r="582">
      <c r="A582" s="45"/>
      <c r="B582" s="45"/>
      <c r="C582" s="45"/>
      <c r="D582" s="45"/>
      <c r="E582" s="45"/>
      <c r="F582" s="45"/>
      <c r="G582" s="45"/>
      <c r="H582" s="45"/>
      <c r="I582" s="45"/>
      <c r="J582" s="45"/>
      <c r="K582" s="45"/>
      <c r="L582" s="46"/>
      <c r="M582" s="45"/>
      <c r="N582" s="45"/>
      <c r="O582" s="45"/>
      <c r="P582" s="45"/>
      <c r="Q582" s="45"/>
      <c r="R582" s="45"/>
      <c r="S582" s="45"/>
    </row>
    <row r="583">
      <c r="A583" s="45"/>
      <c r="B583" s="45"/>
      <c r="C583" s="45"/>
      <c r="D583" s="45"/>
      <c r="E583" s="45"/>
      <c r="F583" s="45"/>
      <c r="G583" s="45"/>
      <c r="H583" s="45"/>
      <c r="I583" s="45"/>
      <c r="J583" s="45"/>
      <c r="K583" s="45"/>
      <c r="L583" s="46"/>
      <c r="M583" s="45"/>
      <c r="N583" s="45"/>
      <c r="O583" s="45"/>
      <c r="P583" s="45"/>
      <c r="Q583" s="45"/>
      <c r="R583" s="45"/>
      <c r="S583" s="45"/>
    </row>
    <row r="584">
      <c r="A584" s="45"/>
      <c r="B584" s="45"/>
      <c r="C584" s="45"/>
      <c r="D584" s="45"/>
      <c r="E584" s="45"/>
      <c r="F584" s="45"/>
      <c r="G584" s="45"/>
      <c r="H584" s="45"/>
      <c r="I584" s="45"/>
      <c r="J584" s="45"/>
      <c r="K584" s="45"/>
      <c r="L584" s="46"/>
      <c r="M584" s="45"/>
      <c r="N584" s="45"/>
      <c r="O584" s="45"/>
      <c r="P584" s="45"/>
      <c r="Q584" s="45"/>
      <c r="R584" s="45"/>
      <c r="S584" s="45"/>
    </row>
    <row r="585">
      <c r="A585" s="45"/>
      <c r="B585" s="45"/>
      <c r="C585" s="45"/>
      <c r="D585" s="45"/>
      <c r="E585" s="45"/>
      <c r="F585" s="45"/>
      <c r="G585" s="45"/>
      <c r="H585" s="45"/>
      <c r="I585" s="45"/>
      <c r="J585" s="45"/>
      <c r="K585" s="45"/>
      <c r="L585" s="46"/>
      <c r="M585" s="45"/>
      <c r="N585" s="45"/>
      <c r="O585" s="45"/>
      <c r="P585" s="45"/>
      <c r="Q585" s="45"/>
      <c r="R585" s="45"/>
      <c r="S585" s="45"/>
    </row>
    <row r="586">
      <c r="A586" s="45"/>
      <c r="B586" s="45"/>
      <c r="C586" s="45"/>
      <c r="D586" s="45"/>
      <c r="E586" s="45"/>
      <c r="F586" s="45"/>
      <c r="G586" s="45"/>
      <c r="H586" s="45"/>
      <c r="I586" s="45"/>
      <c r="J586" s="45"/>
      <c r="K586" s="45"/>
      <c r="L586" s="46"/>
      <c r="M586" s="45"/>
      <c r="N586" s="45"/>
      <c r="O586" s="45"/>
      <c r="P586" s="45"/>
      <c r="Q586" s="45"/>
      <c r="R586" s="45"/>
      <c r="S586" s="45"/>
    </row>
    <row r="587">
      <c r="A587" s="45"/>
      <c r="B587" s="45"/>
      <c r="C587" s="45"/>
      <c r="D587" s="45"/>
      <c r="E587" s="45"/>
      <c r="F587" s="45"/>
      <c r="G587" s="45"/>
      <c r="H587" s="45"/>
      <c r="I587" s="45"/>
      <c r="J587" s="45"/>
      <c r="K587" s="45"/>
      <c r="L587" s="46"/>
      <c r="M587" s="45"/>
      <c r="N587" s="45"/>
      <c r="O587" s="45"/>
      <c r="P587" s="45"/>
      <c r="Q587" s="45"/>
      <c r="R587" s="45"/>
      <c r="S587" s="45"/>
    </row>
    <row r="588">
      <c r="A588" s="45"/>
      <c r="B588" s="45"/>
      <c r="C588" s="45"/>
      <c r="D588" s="45"/>
      <c r="E588" s="45"/>
      <c r="F588" s="45"/>
      <c r="G588" s="45"/>
      <c r="H588" s="45"/>
      <c r="I588" s="45"/>
      <c r="J588" s="45"/>
      <c r="K588" s="45"/>
      <c r="L588" s="46"/>
      <c r="M588" s="45"/>
      <c r="N588" s="45"/>
      <c r="O588" s="45"/>
      <c r="P588" s="45"/>
      <c r="Q588" s="45"/>
      <c r="R588" s="45"/>
      <c r="S588" s="45"/>
    </row>
    <row r="589">
      <c r="A589" s="45"/>
      <c r="B589" s="45"/>
      <c r="C589" s="45"/>
      <c r="D589" s="45"/>
      <c r="E589" s="45"/>
      <c r="F589" s="45"/>
      <c r="G589" s="45"/>
      <c r="H589" s="45"/>
      <c r="I589" s="45"/>
      <c r="J589" s="45"/>
      <c r="K589" s="45"/>
      <c r="L589" s="46"/>
      <c r="M589" s="45"/>
      <c r="N589" s="45"/>
      <c r="O589" s="45"/>
      <c r="P589" s="45"/>
      <c r="Q589" s="45"/>
      <c r="R589" s="45"/>
      <c r="S589" s="45"/>
    </row>
    <row r="590">
      <c r="A590" s="45"/>
      <c r="B590" s="45"/>
      <c r="C590" s="45"/>
      <c r="D590" s="45"/>
      <c r="E590" s="45"/>
      <c r="F590" s="45"/>
      <c r="G590" s="45"/>
      <c r="H590" s="45"/>
      <c r="I590" s="45"/>
      <c r="J590" s="45"/>
      <c r="K590" s="45"/>
      <c r="L590" s="46"/>
      <c r="M590" s="45"/>
      <c r="N590" s="45"/>
      <c r="O590" s="45"/>
      <c r="P590" s="45"/>
      <c r="Q590" s="45"/>
      <c r="R590" s="45"/>
      <c r="S590" s="45"/>
    </row>
    <row r="591">
      <c r="A591" s="45"/>
      <c r="B591" s="45"/>
      <c r="C591" s="45"/>
      <c r="D591" s="45"/>
      <c r="E591" s="45"/>
      <c r="F591" s="45"/>
      <c r="G591" s="45"/>
      <c r="H591" s="45"/>
      <c r="I591" s="45"/>
      <c r="J591" s="45"/>
      <c r="K591" s="45"/>
      <c r="L591" s="46"/>
      <c r="M591" s="45"/>
      <c r="N591" s="45"/>
      <c r="O591" s="45"/>
      <c r="P591" s="45"/>
      <c r="Q591" s="45"/>
      <c r="R591" s="45"/>
      <c r="S591" s="45"/>
    </row>
    <row r="592">
      <c r="A592" s="45"/>
      <c r="B592" s="45"/>
      <c r="C592" s="45"/>
      <c r="D592" s="45"/>
      <c r="E592" s="45"/>
      <c r="F592" s="45"/>
      <c r="G592" s="45"/>
      <c r="H592" s="45"/>
      <c r="I592" s="45"/>
      <c r="J592" s="45"/>
      <c r="K592" s="45"/>
      <c r="L592" s="46"/>
      <c r="M592" s="45"/>
      <c r="N592" s="45"/>
      <c r="O592" s="45"/>
      <c r="P592" s="45"/>
      <c r="Q592" s="45"/>
      <c r="R592" s="45"/>
      <c r="S592" s="45"/>
    </row>
    <row r="593">
      <c r="A593" s="45"/>
      <c r="B593" s="45"/>
      <c r="C593" s="45"/>
      <c r="D593" s="45"/>
      <c r="E593" s="45"/>
      <c r="F593" s="45"/>
      <c r="G593" s="45"/>
      <c r="H593" s="45"/>
      <c r="I593" s="45"/>
      <c r="J593" s="45"/>
      <c r="K593" s="45"/>
      <c r="L593" s="46"/>
      <c r="M593" s="45"/>
      <c r="N593" s="45"/>
      <c r="O593" s="45"/>
      <c r="P593" s="45"/>
      <c r="Q593" s="45"/>
      <c r="R593" s="45"/>
      <c r="S593" s="45"/>
    </row>
    <row r="594">
      <c r="A594" s="45"/>
      <c r="B594" s="45"/>
      <c r="C594" s="45"/>
      <c r="D594" s="45"/>
      <c r="E594" s="45"/>
      <c r="F594" s="45"/>
      <c r="G594" s="45"/>
      <c r="H594" s="45"/>
      <c r="I594" s="45"/>
      <c r="J594" s="45"/>
      <c r="K594" s="45"/>
      <c r="L594" s="46"/>
      <c r="M594" s="45"/>
      <c r="N594" s="45"/>
      <c r="O594" s="45"/>
      <c r="P594" s="45"/>
      <c r="Q594" s="45"/>
      <c r="R594" s="45"/>
      <c r="S594" s="45"/>
    </row>
    <row r="595">
      <c r="A595" s="45"/>
      <c r="B595" s="45"/>
      <c r="C595" s="45"/>
      <c r="D595" s="45"/>
      <c r="E595" s="45"/>
      <c r="F595" s="45"/>
      <c r="G595" s="45"/>
      <c r="H595" s="45"/>
      <c r="I595" s="45"/>
      <c r="J595" s="45"/>
      <c r="K595" s="45"/>
      <c r="L595" s="46"/>
      <c r="M595" s="45"/>
      <c r="N595" s="45"/>
      <c r="O595" s="45"/>
      <c r="P595" s="45"/>
      <c r="Q595" s="45"/>
      <c r="R595" s="45"/>
      <c r="S595" s="45"/>
    </row>
    <row r="596">
      <c r="A596" s="45"/>
      <c r="B596" s="45"/>
      <c r="C596" s="45"/>
      <c r="D596" s="45"/>
      <c r="E596" s="45"/>
      <c r="F596" s="45"/>
      <c r="G596" s="45"/>
      <c r="H596" s="45"/>
      <c r="I596" s="45"/>
      <c r="J596" s="45"/>
      <c r="K596" s="45"/>
      <c r="L596" s="46"/>
      <c r="M596" s="45"/>
      <c r="N596" s="45"/>
      <c r="O596" s="45"/>
      <c r="P596" s="45"/>
      <c r="Q596" s="45"/>
      <c r="R596" s="45"/>
      <c r="S596" s="45"/>
    </row>
    <row r="597">
      <c r="A597" s="45"/>
      <c r="B597" s="45"/>
      <c r="C597" s="45"/>
      <c r="D597" s="45"/>
      <c r="E597" s="45"/>
      <c r="F597" s="45"/>
      <c r="G597" s="45"/>
      <c r="H597" s="45"/>
      <c r="I597" s="45"/>
      <c r="J597" s="45"/>
      <c r="K597" s="45"/>
      <c r="L597" s="46"/>
      <c r="M597" s="45"/>
      <c r="N597" s="45"/>
      <c r="O597" s="45"/>
      <c r="P597" s="45"/>
      <c r="Q597" s="45"/>
      <c r="R597" s="45"/>
      <c r="S597" s="45"/>
    </row>
    <row r="598">
      <c r="A598" s="45"/>
      <c r="B598" s="45"/>
      <c r="C598" s="45"/>
      <c r="D598" s="45"/>
      <c r="E598" s="45"/>
      <c r="F598" s="45"/>
      <c r="G598" s="45"/>
      <c r="H598" s="45"/>
      <c r="I598" s="45"/>
      <c r="J598" s="45"/>
      <c r="K598" s="45"/>
      <c r="L598" s="46"/>
      <c r="M598" s="45"/>
      <c r="N598" s="45"/>
      <c r="O598" s="45"/>
      <c r="P598" s="45"/>
      <c r="Q598" s="45"/>
      <c r="R598" s="45"/>
      <c r="S598" s="45"/>
    </row>
    <row r="599">
      <c r="A599" s="45"/>
      <c r="B599" s="45"/>
      <c r="C599" s="45"/>
      <c r="D599" s="45"/>
      <c r="E599" s="45"/>
      <c r="F599" s="45"/>
      <c r="G599" s="45"/>
      <c r="H599" s="45"/>
      <c r="I599" s="45"/>
      <c r="J599" s="45"/>
      <c r="K599" s="45"/>
      <c r="L599" s="46"/>
      <c r="M599" s="45"/>
      <c r="N599" s="45"/>
      <c r="O599" s="45"/>
      <c r="P599" s="45"/>
      <c r="Q599" s="45"/>
      <c r="R599" s="45"/>
      <c r="S599" s="45"/>
    </row>
    <row r="600">
      <c r="A600" s="45"/>
      <c r="B600" s="45"/>
      <c r="C600" s="45"/>
      <c r="D600" s="45"/>
      <c r="E600" s="45"/>
      <c r="F600" s="45"/>
      <c r="G600" s="45"/>
      <c r="H600" s="45"/>
      <c r="I600" s="45"/>
      <c r="J600" s="45"/>
      <c r="K600" s="45"/>
      <c r="L600" s="46"/>
      <c r="M600" s="45"/>
      <c r="N600" s="45"/>
      <c r="O600" s="45"/>
      <c r="P600" s="45"/>
      <c r="Q600" s="45"/>
      <c r="R600" s="45"/>
      <c r="S600" s="45"/>
    </row>
    <row r="601">
      <c r="A601" s="45"/>
      <c r="B601" s="45"/>
      <c r="C601" s="45"/>
      <c r="D601" s="45"/>
      <c r="E601" s="45"/>
      <c r="F601" s="45"/>
      <c r="G601" s="45"/>
      <c r="H601" s="45"/>
      <c r="I601" s="45"/>
      <c r="J601" s="45"/>
      <c r="K601" s="45"/>
      <c r="L601" s="46"/>
      <c r="M601" s="45"/>
      <c r="N601" s="45"/>
      <c r="O601" s="45"/>
      <c r="P601" s="45"/>
      <c r="Q601" s="45"/>
      <c r="R601" s="45"/>
      <c r="S601" s="45"/>
    </row>
    <row r="602">
      <c r="A602" s="45"/>
      <c r="B602" s="45"/>
      <c r="C602" s="45"/>
      <c r="D602" s="45"/>
      <c r="E602" s="45"/>
      <c r="F602" s="45"/>
      <c r="G602" s="45"/>
      <c r="H602" s="45"/>
      <c r="I602" s="45"/>
      <c r="J602" s="45"/>
      <c r="K602" s="45"/>
      <c r="L602" s="46"/>
      <c r="M602" s="45"/>
      <c r="N602" s="45"/>
      <c r="O602" s="45"/>
      <c r="P602" s="45"/>
      <c r="Q602" s="45"/>
      <c r="R602" s="45"/>
      <c r="S602" s="45"/>
    </row>
    <row r="603">
      <c r="A603" s="45"/>
      <c r="B603" s="45"/>
      <c r="C603" s="45"/>
      <c r="D603" s="45"/>
      <c r="E603" s="45"/>
      <c r="F603" s="45"/>
      <c r="G603" s="45"/>
      <c r="H603" s="45"/>
      <c r="I603" s="45"/>
      <c r="J603" s="45"/>
      <c r="K603" s="45"/>
      <c r="L603" s="46"/>
      <c r="M603" s="45"/>
      <c r="N603" s="45"/>
      <c r="O603" s="45"/>
      <c r="P603" s="45"/>
      <c r="Q603" s="45"/>
      <c r="R603" s="45"/>
      <c r="S603" s="45"/>
    </row>
    <row r="604">
      <c r="A604" s="45"/>
      <c r="B604" s="45"/>
      <c r="C604" s="45"/>
      <c r="D604" s="45"/>
      <c r="E604" s="45"/>
      <c r="F604" s="45"/>
      <c r="G604" s="45"/>
      <c r="H604" s="45"/>
      <c r="I604" s="45"/>
      <c r="J604" s="45"/>
      <c r="K604" s="45"/>
      <c r="L604" s="46"/>
      <c r="M604" s="45"/>
      <c r="N604" s="45"/>
      <c r="O604" s="45"/>
      <c r="P604" s="45"/>
      <c r="Q604" s="45"/>
      <c r="R604" s="45"/>
      <c r="S604" s="45"/>
    </row>
    <row r="605">
      <c r="A605" s="45"/>
      <c r="B605" s="45"/>
      <c r="C605" s="45"/>
      <c r="D605" s="45"/>
      <c r="E605" s="45"/>
      <c r="F605" s="45"/>
      <c r="G605" s="45"/>
      <c r="H605" s="45"/>
      <c r="I605" s="45"/>
      <c r="J605" s="45"/>
      <c r="K605" s="45"/>
      <c r="L605" s="46"/>
      <c r="M605" s="45"/>
      <c r="N605" s="45"/>
      <c r="O605" s="45"/>
      <c r="P605" s="45"/>
      <c r="Q605" s="45"/>
      <c r="R605" s="45"/>
      <c r="S605" s="45"/>
    </row>
    <row r="606">
      <c r="A606" s="45"/>
      <c r="B606" s="45"/>
      <c r="C606" s="45"/>
      <c r="D606" s="45"/>
      <c r="E606" s="45"/>
      <c r="F606" s="45"/>
      <c r="G606" s="45"/>
      <c r="H606" s="45"/>
      <c r="I606" s="45"/>
      <c r="J606" s="45"/>
      <c r="K606" s="45"/>
      <c r="L606" s="46"/>
      <c r="M606" s="45"/>
      <c r="N606" s="45"/>
      <c r="O606" s="45"/>
      <c r="P606" s="45"/>
      <c r="Q606" s="45"/>
      <c r="R606" s="45"/>
      <c r="S606" s="45"/>
    </row>
    <row r="607">
      <c r="A607" s="45"/>
      <c r="B607" s="45"/>
      <c r="C607" s="45"/>
      <c r="D607" s="45"/>
      <c r="E607" s="45"/>
      <c r="F607" s="45"/>
      <c r="G607" s="45"/>
      <c r="H607" s="45"/>
      <c r="I607" s="45"/>
      <c r="J607" s="45"/>
      <c r="K607" s="45"/>
      <c r="L607" s="46"/>
      <c r="M607" s="45"/>
      <c r="N607" s="45"/>
      <c r="O607" s="45"/>
      <c r="P607" s="45"/>
      <c r="Q607" s="45"/>
      <c r="R607" s="45"/>
      <c r="S607" s="45"/>
    </row>
    <row r="608">
      <c r="A608" s="45"/>
      <c r="B608" s="45"/>
      <c r="C608" s="45"/>
      <c r="D608" s="45"/>
      <c r="E608" s="45"/>
      <c r="F608" s="45"/>
      <c r="G608" s="45"/>
      <c r="H608" s="45"/>
      <c r="I608" s="45"/>
      <c r="J608" s="45"/>
      <c r="K608" s="45"/>
      <c r="L608" s="46"/>
      <c r="M608" s="45"/>
      <c r="N608" s="45"/>
      <c r="O608" s="45"/>
      <c r="P608" s="45"/>
      <c r="Q608" s="45"/>
      <c r="R608" s="45"/>
      <c r="S608" s="45"/>
    </row>
    <row r="609">
      <c r="A609" s="45"/>
      <c r="B609" s="45"/>
      <c r="C609" s="45"/>
      <c r="D609" s="45"/>
      <c r="E609" s="45"/>
      <c r="F609" s="45"/>
      <c r="G609" s="45"/>
      <c r="H609" s="45"/>
      <c r="I609" s="45"/>
      <c r="J609" s="45"/>
      <c r="K609" s="45"/>
      <c r="L609" s="46"/>
      <c r="M609" s="45"/>
      <c r="N609" s="45"/>
      <c r="O609" s="45"/>
      <c r="P609" s="45"/>
      <c r="Q609" s="45"/>
      <c r="R609" s="45"/>
      <c r="S609" s="45"/>
    </row>
    <row r="610">
      <c r="A610" s="45"/>
      <c r="B610" s="45"/>
      <c r="C610" s="45"/>
      <c r="D610" s="45"/>
      <c r="E610" s="45"/>
      <c r="F610" s="45"/>
      <c r="G610" s="45"/>
      <c r="H610" s="45"/>
      <c r="I610" s="45"/>
      <c r="J610" s="45"/>
      <c r="K610" s="45"/>
      <c r="L610" s="46"/>
      <c r="M610" s="45"/>
      <c r="N610" s="45"/>
      <c r="O610" s="45"/>
      <c r="P610" s="45"/>
      <c r="Q610" s="45"/>
      <c r="R610" s="45"/>
      <c r="S610" s="45"/>
    </row>
    <row r="611">
      <c r="A611" s="45"/>
      <c r="B611" s="45"/>
      <c r="C611" s="45"/>
      <c r="D611" s="45"/>
      <c r="E611" s="45"/>
      <c r="F611" s="45"/>
      <c r="G611" s="45"/>
      <c r="H611" s="45"/>
      <c r="I611" s="45"/>
      <c r="J611" s="45"/>
      <c r="K611" s="45"/>
      <c r="L611" s="46"/>
      <c r="M611" s="45"/>
      <c r="N611" s="45"/>
      <c r="O611" s="45"/>
      <c r="P611" s="45"/>
      <c r="Q611" s="45"/>
      <c r="R611" s="45"/>
      <c r="S611" s="45"/>
    </row>
    <row r="612">
      <c r="A612" s="45"/>
      <c r="B612" s="45"/>
      <c r="C612" s="45"/>
      <c r="D612" s="45"/>
      <c r="E612" s="45"/>
      <c r="F612" s="45"/>
      <c r="G612" s="45"/>
      <c r="H612" s="45"/>
      <c r="I612" s="45"/>
      <c r="J612" s="45"/>
      <c r="K612" s="45"/>
      <c r="L612" s="46"/>
      <c r="M612" s="45"/>
      <c r="N612" s="45"/>
      <c r="O612" s="45"/>
      <c r="P612" s="45"/>
      <c r="Q612" s="45"/>
      <c r="R612" s="45"/>
      <c r="S612" s="45"/>
    </row>
    <row r="613">
      <c r="A613" s="45"/>
      <c r="B613" s="45"/>
      <c r="C613" s="45"/>
      <c r="D613" s="45"/>
      <c r="E613" s="45"/>
      <c r="F613" s="45"/>
      <c r="G613" s="45"/>
      <c r="H613" s="45"/>
      <c r="I613" s="45"/>
      <c r="J613" s="45"/>
      <c r="K613" s="45"/>
      <c r="L613" s="46"/>
      <c r="M613" s="45"/>
      <c r="N613" s="45"/>
      <c r="O613" s="45"/>
      <c r="P613" s="45"/>
      <c r="Q613" s="45"/>
      <c r="R613" s="45"/>
      <c r="S613" s="45"/>
    </row>
    <row r="614">
      <c r="A614" s="45"/>
      <c r="B614" s="45"/>
      <c r="C614" s="45"/>
      <c r="D614" s="45"/>
      <c r="E614" s="45"/>
      <c r="F614" s="45"/>
      <c r="G614" s="45"/>
      <c r="H614" s="45"/>
      <c r="I614" s="45"/>
      <c r="J614" s="45"/>
      <c r="K614" s="45"/>
      <c r="L614" s="46"/>
      <c r="M614" s="45"/>
      <c r="N614" s="45"/>
      <c r="O614" s="45"/>
      <c r="P614" s="45"/>
      <c r="Q614" s="45"/>
      <c r="R614" s="45"/>
      <c r="S614" s="45"/>
    </row>
    <row r="615">
      <c r="A615" s="45"/>
      <c r="B615" s="45"/>
      <c r="C615" s="45"/>
      <c r="D615" s="45"/>
      <c r="E615" s="45"/>
      <c r="F615" s="45"/>
      <c r="G615" s="45"/>
      <c r="H615" s="45"/>
      <c r="I615" s="45"/>
      <c r="J615" s="45"/>
      <c r="K615" s="45"/>
      <c r="L615" s="46"/>
      <c r="M615" s="45"/>
      <c r="N615" s="45"/>
      <c r="O615" s="45"/>
      <c r="P615" s="45"/>
      <c r="Q615" s="45"/>
      <c r="R615" s="45"/>
      <c r="S615" s="45"/>
    </row>
    <row r="616">
      <c r="A616" s="45"/>
      <c r="B616" s="45"/>
      <c r="C616" s="45"/>
      <c r="D616" s="45"/>
      <c r="E616" s="45"/>
      <c r="F616" s="45"/>
      <c r="G616" s="45"/>
      <c r="H616" s="45"/>
      <c r="I616" s="45"/>
      <c r="J616" s="45"/>
      <c r="K616" s="45"/>
      <c r="L616" s="46"/>
      <c r="M616" s="45"/>
      <c r="N616" s="45"/>
      <c r="O616" s="45"/>
      <c r="P616" s="45"/>
      <c r="Q616" s="45"/>
      <c r="R616" s="45"/>
      <c r="S616" s="45"/>
    </row>
    <row r="617">
      <c r="A617" s="45"/>
      <c r="B617" s="45"/>
      <c r="C617" s="45"/>
      <c r="D617" s="45"/>
      <c r="E617" s="45"/>
      <c r="F617" s="45"/>
      <c r="G617" s="45"/>
      <c r="H617" s="45"/>
      <c r="I617" s="45"/>
      <c r="J617" s="45"/>
      <c r="K617" s="45"/>
      <c r="L617" s="46"/>
      <c r="M617" s="45"/>
      <c r="N617" s="45"/>
      <c r="O617" s="45"/>
      <c r="P617" s="45"/>
      <c r="Q617" s="45"/>
      <c r="R617" s="45"/>
      <c r="S617" s="45"/>
    </row>
    <row r="618">
      <c r="A618" s="45"/>
      <c r="B618" s="45"/>
      <c r="C618" s="45"/>
      <c r="D618" s="45"/>
      <c r="E618" s="45"/>
      <c r="F618" s="45"/>
      <c r="G618" s="45"/>
      <c r="H618" s="45"/>
      <c r="I618" s="45"/>
      <c r="J618" s="45"/>
      <c r="K618" s="45"/>
      <c r="L618" s="46"/>
      <c r="M618" s="45"/>
      <c r="N618" s="45"/>
      <c r="O618" s="45"/>
      <c r="P618" s="45"/>
      <c r="Q618" s="45"/>
      <c r="R618" s="45"/>
      <c r="S618" s="45"/>
    </row>
    <row r="619">
      <c r="A619" s="45"/>
      <c r="B619" s="45"/>
      <c r="C619" s="45"/>
      <c r="D619" s="45"/>
      <c r="E619" s="45"/>
      <c r="F619" s="45"/>
      <c r="G619" s="45"/>
      <c r="H619" s="45"/>
      <c r="I619" s="45"/>
      <c r="J619" s="45"/>
      <c r="K619" s="45"/>
      <c r="L619" s="46"/>
      <c r="M619" s="45"/>
      <c r="N619" s="45"/>
      <c r="O619" s="45"/>
      <c r="P619" s="45"/>
      <c r="Q619" s="45"/>
      <c r="R619" s="45"/>
      <c r="S619" s="45"/>
    </row>
    <row r="620">
      <c r="A620" s="45"/>
      <c r="B620" s="45"/>
      <c r="C620" s="45"/>
      <c r="D620" s="45"/>
      <c r="E620" s="45"/>
      <c r="F620" s="45"/>
      <c r="G620" s="45"/>
      <c r="H620" s="45"/>
      <c r="I620" s="45"/>
      <c r="J620" s="45"/>
      <c r="K620" s="45"/>
      <c r="L620" s="46"/>
      <c r="M620" s="45"/>
      <c r="N620" s="45"/>
      <c r="O620" s="45"/>
      <c r="P620" s="45"/>
      <c r="Q620" s="45"/>
      <c r="R620" s="45"/>
      <c r="S620" s="45"/>
    </row>
    <row r="621">
      <c r="A621" s="45"/>
      <c r="B621" s="45"/>
      <c r="C621" s="45"/>
      <c r="D621" s="45"/>
      <c r="E621" s="45"/>
      <c r="F621" s="45"/>
      <c r="G621" s="45"/>
      <c r="H621" s="45"/>
      <c r="I621" s="45"/>
      <c r="J621" s="45"/>
      <c r="K621" s="45"/>
      <c r="L621" s="46"/>
      <c r="M621" s="45"/>
      <c r="N621" s="45"/>
      <c r="O621" s="45"/>
      <c r="P621" s="45"/>
      <c r="Q621" s="45"/>
      <c r="R621" s="45"/>
      <c r="S621" s="45"/>
    </row>
    <row r="622">
      <c r="A622" s="45"/>
      <c r="B622" s="45"/>
      <c r="C622" s="45"/>
      <c r="D622" s="45"/>
      <c r="E622" s="45"/>
      <c r="F622" s="45"/>
      <c r="G622" s="45"/>
      <c r="H622" s="45"/>
      <c r="I622" s="45"/>
      <c r="J622" s="45"/>
      <c r="K622" s="45"/>
      <c r="L622" s="46"/>
      <c r="M622" s="45"/>
      <c r="N622" s="45"/>
      <c r="O622" s="45"/>
      <c r="P622" s="45"/>
      <c r="Q622" s="45"/>
      <c r="R622" s="45"/>
      <c r="S622" s="45"/>
    </row>
    <row r="623">
      <c r="A623" s="45"/>
      <c r="B623" s="45"/>
      <c r="C623" s="45"/>
      <c r="D623" s="45"/>
      <c r="E623" s="45"/>
      <c r="F623" s="45"/>
      <c r="G623" s="45"/>
      <c r="H623" s="45"/>
      <c r="I623" s="45"/>
      <c r="J623" s="45"/>
      <c r="K623" s="45"/>
      <c r="L623" s="46"/>
      <c r="M623" s="45"/>
      <c r="N623" s="45"/>
      <c r="O623" s="45"/>
      <c r="P623" s="45"/>
      <c r="Q623" s="45"/>
      <c r="R623" s="45"/>
      <c r="S623" s="45"/>
    </row>
    <row r="624">
      <c r="A624" s="45"/>
      <c r="B624" s="45"/>
      <c r="C624" s="45"/>
      <c r="D624" s="45"/>
      <c r="E624" s="45"/>
      <c r="F624" s="45"/>
      <c r="G624" s="45"/>
      <c r="H624" s="45"/>
      <c r="I624" s="45"/>
      <c r="J624" s="45"/>
      <c r="K624" s="45"/>
      <c r="L624" s="46"/>
      <c r="M624" s="45"/>
      <c r="N624" s="45"/>
      <c r="O624" s="45"/>
      <c r="P624" s="45"/>
      <c r="Q624" s="45"/>
      <c r="R624" s="45"/>
      <c r="S624" s="45"/>
    </row>
    <row r="625">
      <c r="A625" s="45"/>
      <c r="B625" s="45"/>
      <c r="C625" s="45"/>
      <c r="D625" s="45"/>
      <c r="E625" s="45"/>
      <c r="F625" s="45"/>
      <c r="G625" s="45"/>
      <c r="H625" s="45"/>
      <c r="I625" s="45"/>
      <c r="J625" s="45"/>
      <c r="K625" s="45"/>
      <c r="L625" s="46"/>
      <c r="M625" s="45"/>
      <c r="N625" s="45"/>
      <c r="O625" s="45"/>
      <c r="P625" s="45"/>
      <c r="Q625" s="45"/>
      <c r="R625" s="45"/>
      <c r="S625" s="45"/>
    </row>
    <row r="626">
      <c r="A626" s="45"/>
      <c r="B626" s="45"/>
      <c r="C626" s="45"/>
      <c r="D626" s="45"/>
      <c r="E626" s="45"/>
      <c r="F626" s="45"/>
      <c r="G626" s="45"/>
      <c r="H626" s="45"/>
      <c r="I626" s="45"/>
      <c r="J626" s="45"/>
      <c r="K626" s="45"/>
      <c r="L626" s="46"/>
      <c r="M626" s="45"/>
      <c r="N626" s="45"/>
      <c r="O626" s="45"/>
      <c r="P626" s="45"/>
      <c r="Q626" s="45"/>
      <c r="R626" s="45"/>
      <c r="S626" s="45"/>
    </row>
    <row r="627">
      <c r="A627" s="45"/>
      <c r="B627" s="45"/>
      <c r="C627" s="45"/>
      <c r="D627" s="45"/>
      <c r="E627" s="45"/>
      <c r="F627" s="45"/>
      <c r="G627" s="45"/>
      <c r="H627" s="45"/>
      <c r="I627" s="45"/>
      <c r="J627" s="45"/>
      <c r="K627" s="45"/>
      <c r="L627" s="46"/>
      <c r="M627" s="45"/>
      <c r="N627" s="45"/>
      <c r="O627" s="45"/>
      <c r="P627" s="45"/>
      <c r="Q627" s="45"/>
      <c r="R627" s="45"/>
      <c r="S627" s="45"/>
    </row>
    <row r="628">
      <c r="A628" s="45"/>
      <c r="B628" s="45"/>
      <c r="C628" s="45"/>
      <c r="D628" s="45"/>
      <c r="E628" s="45"/>
      <c r="F628" s="45"/>
      <c r="G628" s="45"/>
      <c r="H628" s="45"/>
      <c r="I628" s="45"/>
      <c r="J628" s="45"/>
      <c r="K628" s="45"/>
      <c r="L628" s="46"/>
      <c r="M628" s="45"/>
      <c r="N628" s="45"/>
      <c r="O628" s="45"/>
      <c r="P628" s="45"/>
      <c r="Q628" s="45"/>
      <c r="R628" s="45"/>
      <c r="S628" s="45"/>
    </row>
    <row r="629">
      <c r="A629" s="45"/>
      <c r="B629" s="45"/>
      <c r="C629" s="45"/>
      <c r="D629" s="45"/>
      <c r="E629" s="45"/>
      <c r="F629" s="45"/>
      <c r="G629" s="45"/>
      <c r="H629" s="45"/>
      <c r="I629" s="45"/>
      <c r="J629" s="45"/>
      <c r="K629" s="45"/>
      <c r="L629" s="46"/>
      <c r="M629" s="45"/>
      <c r="N629" s="45"/>
      <c r="O629" s="45"/>
      <c r="P629" s="45"/>
      <c r="Q629" s="45"/>
      <c r="R629" s="45"/>
      <c r="S629" s="45"/>
    </row>
    <row r="630">
      <c r="A630" s="45"/>
      <c r="B630" s="45"/>
      <c r="C630" s="45"/>
      <c r="D630" s="45"/>
      <c r="E630" s="45"/>
      <c r="F630" s="45"/>
      <c r="G630" s="45"/>
      <c r="H630" s="45"/>
      <c r="I630" s="45"/>
      <c r="J630" s="45"/>
      <c r="K630" s="45"/>
      <c r="L630" s="46"/>
      <c r="M630" s="45"/>
      <c r="N630" s="45"/>
      <c r="O630" s="45"/>
      <c r="P630" s="45"/>
      <c r="Q630" s="45"/>
      <c r="R630" s="45"/>
      <c r="S630" s="45"/>
    </row>
    <row r="631">
      <c r="A631" s="45"/>
      <c r="B631" s="45"/>
      <c r="C631" s="45"/>
      <c r="D631" s="45"/>
      <c r="E631" s="45"/>
      <c r="F631" s="45"/>
      <c r="G631" s="45"/>
      <c r="H631" s="45"/>
      <c r="I631" s="45"/>
      <c r="J631" s="45"/>
      <c r="K631" s="45"/>
      <c r="L631" s="46"/>
      <c r="M631" s="45"/>
      <c r="N631" s="45"/>
      <c r="O631" s="45"/>
      <c r="P631" s="45"/>
      <c r="Q631" s="45"/>
      <c r="R631" s="45"/>
      <c r="S631" s="45"/>
    </row>
    <row r="632">
      <c r="A632" s="45"/>
      <c r="B632" s="45"/>
      <c r="C632" s="45"/>
      <c r="D632" s="45"/>
      <c r="E632" s="45"/>
      <c r="F632" s="45"/>
      <c r="G632" s="45"/>
      <c r="H632" s="45"/>
      <c r="I632" s="45"/>
      <c r="J632" s="45"/>
      <c r="K632" s="45"/>
      <c r="L632" s="46"/>
      <c r="M632" s="45"/>
      <c r="N632" s="45"/>
      <c r="O632" s="45"/>
      <c r="P632" s="45"/>
      <c r="Q632" s="45"/>
      <c r="R632" s="45"/>
      <c r="S632" s="45"/>
    </row>
    <row r="633">
      <c r="A633" s="45"/>
      <c r="B633" s="45"/>
      <c r="C633" s="45"/>
      <c r="D633" s="45"/>
      <c r="E633" s="45"/>
      <c r="F633" s="45"/>
      <c r="G633" s="45"/>
      <c r="H633" s="45"/>
      <c r="I633" s="45"/>
      <c r="J633" s="45"/>
      <c r="K633" s="45"/>
      <c r="L633" s="46"/>
      <c r="M633" s="45"/>
      <c r="N633" s="45"/>
      <c r="O633" s="45"/>
      <c r="P633" s="45"/>
      <c r="Q633" s="45"/>
      <c r="R633" s="45"/>
      <c r="S633" s="45"/>
    </row>
    <row r="634">
      <c r="A634" s="45"/>
      <c r="B634" s="45"/>
      <c r="C634" s="45"/>
      <c r="D634" s="45"/>
      <c r="E634" s="45"/>
      <c r="F634" s="45"/>
      <c r="G634" s="45"/>
      <c r="H634" s="45"/>
      <c r="I634" s="45"/>
      <c r="J634" s="45"/>
      <c r="K634" s="45"/>
      <c r="L634" s="46"/>
      <c r="M634" s="45"/>
      <c r="N634" s="45"/>
      <c r="O634" s="45"/>
      <c r="P634" s="45"/>
      <c r="Q634" s="45"/>
      <c r="R634" s="45"/>
      <c r="S634" s="45"/>
    </row>
    <row r="635">
      <c r="A635" s="45"/>
      <c r="B635" s="45"/>
      <c r="C635" s="45"/>
      <c r="D635" s="45"/>
      <c r="E635" s="45"/>
      <c r="F635" s="45"/>
      <c r="G635" s="45"/>
      <c r="H635" s="45"/>
      <c r="I635" s="45"/>
      <c r="J635" s="45"/>
      <c r="K635" s="45"/>
      <c r="L635" s="46"/>
      <c r="M635" s="45"/>
      <c r="N635" s="45"/>
      <c r="O635" s="45"/>
      <c r="P635" s="45"/>
      <c r="Q635" s="45"/>
      <c r="R635" s="45"/>
      <c r="S635" s="45"/>
    </row>
    <row r="636">
      <c r="A636" s="45"/>
      <c r="B636" s="45"/>
      <c r="C636" s="45"/>
      <c r="D636" s="45"/>
      <c r="E636" s="45"/>
      <c r="F636" s="45"/>
      <c r="G636" s="45"/>
      <c r="H636" s="45"/>
      <c r="I636" s="45"/>
      <c r="J636" s="45"/>
      <c r="K636" s="45"/>
      <c r="L636" s="46"/>
      <c r="M636" s="45"/>
      <c r="N636" s="45"/>
      <c r="O636" s="45"/>
      <c r="P636" s="45"/>
      <c r="Q636" s="45"/>
      <c r="R636" s="45"/>
      <c r="S636" s="45"/>
    </row>
    <row r="637">
      <c r="A637" s="45"/>
      <c r="B637" s="45"/>
      <c r="C637" s="45"/>
      <c r="D637" s="45"/>
      <c r="E637" s="45"/>
      <c r="F637" s="45"/>
      <c r="G637" s="45"/>
      <c r="H637" s="45"/>
      <c r="I637" s="45"/>
      <c r="J637" s="45"/>
      <c r="K637" s="45"/>
      <c r="L637" s="46"/>
      <c r="M637" s="45"/>
      <c r="N637" s="45"/>
      <c r="O637" s="45"/>
      <c r="P637" s="45"/>
      <c r="Q637" s="45"/>
      <c r="R637" s="45"/>
      <c r="S637" s="45"/>
    </row>
    <row r="638">
      <c r="A638" s="45"/>
      <c r="B638" s="45"/>
      <c r="C638" s="45"/>
      <c r="D638" s="45"/>
      <c r="E638" s="45"/>
      <c r="F638" s="45"/>
      <c r="G638" s="45"/>
      <c r="H638" s="45"/>
      <c r="I638" s="45"/>
      <c r="J638" s="45"/>
      <c r="K638" s="45"/>
      <c r="L638" s="46"/>
      <c r="M638" s="45"/>
      <c r="N638" s="45"/>
      <c r="O638" s="45"/>
      <c r="P638" s="45"/>
      <c r="Q638" s="45"/>
      <c r="R638" s="45"/>
      <c r="S638" s="45"/>
    </row>
    <row r="639">
      <c r="A639" s="45"/>
      <c r="B639" s="45"/>
      <c r="C639" s="45"/>
      <c r="D639" s="45"/>
      <c r="E639" s="45"/>
      <c r="F639" s="45"/>
      <c r="G639" s="45"/>
      <c r="H639" s="45"/>
      <c r="I639" s="45"/>
      <c r="J639" s="45"/>
      <c r="K639" s="45"/>
      <c r="L639" s="46"/>
      <c r="M639" s="45"/>
      <c r="N639" s="45"/>
      <c r="O639" s="45"/>
      <c r="P639" s="45"/>
      <c r="Q639" s="45"/>
      <c r="R639" s="45"/>
      <c r="S639" s="45"/>
    </row>
    <row r="640">
      <c r="A640" s="45"/>
      <c r="B640" s="45"/>
      <c r="C640" s="45"/>
      <c r="D640" s="45"/>
      <c r="E640" s="45"/>
      <c r="F640" s="45"/>
      <c r="G640" s="45"/>
      <c r="H640" s="45"/>
      <c r="I640" s="45"/>
      <c r="J640" s="45"/>
      <c r="K640" s="45"/>
      <c r="L640" s="46"/>
      <c r="M640" s="45"/>
      <c r="N640" s="45"/>
      <c r="O640" s="45"/>
      <c r="P640" s="45"/>
      <c r="Q640" s="45"/>
      <c r="R640" s="45"/>
      <c r="S640" s="45"/>
    </row>
    <row r="641">
      <c r="A641" s="45"/>
      <c r="B641" s="45"/>
      <c r="C641" s="45"/>
      <c r="D641" s="45"/>
      <c r="E641" s="45"/>
      <c r="F641" s="45"/>
      <c r="G641" s="45"/>
      <c r="H641" s="45"/>
      <c r="I641" s="45"/>
      <c r="J641" s="45"/>
      <c r="K641" s="45"/>
      <c r="L641" s="46"/>
      <c r="M641" s="45"/>
      <c r="N641" s="45"/>
      <c r="O641" s="45"/>
      <c r="P641" s="45"/>
      <c r="Q641" s="45"/>
      <c r="R641" s="45"/>
      <c r="S641" s="45"/>
    </row>
    <row r="642">
      <c r="A642" s="45"/>
      <c r="B642" s="45"/>
      <c r="C642" s="45"/>
      <c r="D642" s="45"/>
      <c r="E642" s="45"/>
      <c r="F642" s="45"/>
      <c r="G642" s="45"/>
      <c r="H642" s="45"/>
      <c r="I642" s="45"/>
      <c r="J642" s="45"/>
      <c r="K642" s="45"/>
      <c r="L642" s="46"/>
      <c r="M642" s="45"/>
      <c r="N642" s="45"/>
      <c r="O642" s="45"/>
      <c r="P642" s="45"/>
      <c r="Q642" s="45"/>
      <c r="R642" s="45"/>
      <c r="S642" s="45"/>
    </row>
    <row r="643">
      <c r="A643" s="45"/>
      <c r="B643" s="45"/>
      <c r="C643" s="45"/>
      <c r="D643" s="45"/>
      <c r="E643" s="45"/>
      <c r="F643" s="45"/>
      <c r="G643" s="45"/>
      <c r="H643" s="45"/>
      <c r="I643" s="45"/>
      <c r="J643" s="45"/>
      <c r="K643" s="45"/>
      <c r="L643" s="46"/>
      <c r="M643" s="45"/>
      <c r="N643" s="45"/>
      <c r="O643" s="45"/>
      <c r="P643" s="45"/>
      <c r="Q643" s="45"/>
      <c r="R643" s="45"/>
      <c r="S643" s="45"/>
    </row>
    <row r="644">
      <c r="A644" s="45"/>
      <c r="B644" s="45"/>
      <c r="C644" s="45"/>
      <c r="D644" s="45"/>
      <c r="E644" s="45"/>
      <c r="F644" s="45"/>
      <c r="G644" s="45"/>
      <c r="H644" s="45"/>
      <c r="I644" s="45"/>
      <c r="J644" s="45"/>
      <c r="K644" s="45"/>
      <c r="L644" s="46"/>
      <c r="M644" s="45"/>
      <c r="N644" s="45"/>
      <c r="O644" s="45"/>
      <c r="P644" s="45"/>
      <c r="Q644" s="45"/>
      <c r="R644" s="45"/>
      <c r="S644" s="45"/>
    </row>
    <row r="645">
      <c r="A645" s="45"/>
      <c r="B645" s="45"/>
      <c r="C645" s="45"/>
      <c r="D645" s="45"/>
      <c r="E645" s="45"/>
      <c r="F645" s="45"/>
      <c r="G645" s="45"/>
      <c r="H645" s="45"/>
      <c r="I645" s="45"/>
      <c r="J645" s="45"/>
      <c r="K645" s="45"/>
      <c r="L645" s="46"/>
      <c r="M645" s="45"/>
      <c r="N645" s="45"/>
      <c r="O645" s="45"/>
      <c r="P645" s="45"/>
      <c r="Q645" s="45"/>
      <c r="R645" s="45"/>
      <c r="S645" s="45"/>
    </row>
    <row r="646">
      <c r="A646" s="45"/>
      <c r="B646" s="45"/>
      <c r="C646" s="45"/>
      <c r="D646" s="45"/>
      <c r="E646" s="45"/>
      <c r="F646" s="45"/>
      <c r="G646" s="45"/>
      <c r="H646" s="45"/>
      <c r="I646" s="45"/>
      <c r="J646" s="45"/>
      <c r="K646" s="45"/>
      <c r="L646" s="46"/>
      <c r="M646" s="45"/>
      <c r="N646" s="45"/>
      <c r="O646" s="45"/>
      <c r="P646" s="45"/>
      <c r="Q646" s="45"/>
      <c r="R646" s="45"/>
      <c r="S646" s="45"/>
    </row>
    <row r="647">
      <c r="A647" s="45"/>
      <c r="B647" s="45"/>
      <c r="C647" s="45"/>
      <c r="D647" s="45"/>
      <c r="E647" s="45"/>
      <c r="F647" s="45"/>
      <c r="G647" s="45"/>
      <c r="H647" s="45"/>
      <c r="I647" s="45"/>
      <c r="J647" s="45"/>
      <c r="K647" s="45"/>
      <c r="L647" s="46"/>
      <c r="M647" s="45"/>
      <c r="N647" s="45"/>
      <c r="O647" s="45"/>
      <c r="P647" s="45"/>
      <c r="Q647" s="45"/>
      <c r="R647" s="45"/>
      <c r="S647" s="45"/>
    </row>
    <row r="648">
      <c r="A648" s="45"/>
      <c r="B648" s="45"/>
      <c r="C648" s="45"/>
      <c r="D648" s="45"/>
      <c r="E648" s="45"/>
      <c r="F648" s="45"/>
      <c r="G648" s="45"/>
      <c r="H648" s="45"/>
      <c r="I648" s="45"/>
      <c r="J648" s="45"/>
      <c r="K648" s="45"/>
      <c r="L648" s="46"/>
      <c r="M648" s="45"/>
      <c r="N648" s="45"/>
      <c r="O648" s="45"/>
      <c r="P648" s="45"/>
      <c r="Q648" s="45"/>
      <c r="R648" s="45"/>
      <c r="S648" s="45"/>
    </row>
    <row r="649">
      <c r="A649" s="45"/>
      <c r="B649" s="45"/>
      <c r="C649" s="45"/>
      <c r="D649" s="45"/>
      <c r="E649" s="45"/>
      <c r="F649" s="45"/>
      <c r="G649" s="45"/>
      <c r="H649" s="45"/>
      <c r="I649" s="45"/>
      <c r="J649" s="45"/>
      <c r="K649" s="45"/>
      <c r="L649" s="46"/>
      <c r="M649" s="45"/>
      <c r="N649" s="45"/>
      <c r="O649" s="45"/>
      <c r="P649" s="45"/>
      <c r="Q649" s="45"/>
      <c r="R649" s="45"/>
      <c r="S649" s="45"/>
    </row>
    <row r="650">
      <c r="A650" s="45"/>
      <c r="B650" s="45"/>
      <c r="C650" s="45"/>
      <c r="D650" s="45"/>
      <c r="E650" s="45"/>
      <c r="F650" s="45"/>
      <c r="G650" s="45"/>
      <c r="H650" s="45"/>
      <c r="I650" s="45"/>
      <c r="J650" s="45"/>
      <c r="K650" s="45"/>
      <c r="L650" s="46"/>
      <c r="M650" s="45"/>
      <c r="N650" s="45"/>
      <c r="O650" s="45"/>
      <c r="P650" s="45"/>
      <c r="Q650" s="45"/>
      <c r="R650" s="45"/>
      <c r="S650" s="45"/>
    </row>
    <row r="651">
      <c r="A651" s="45"/>
      <c r="B651" s="45"/>
      <c r="C651" s="45"/>
      <c r="D651" s="45"/>
      <c r="E651" s="45"/>
      <c r="F651" s="45"/>
      <c r="G651" s="45"/>
      <c r="H651" s="45"/>
      <c r="I651" s="45"/>
      <c r="J651" s="45"/>
      <c r="K651" s="45"/>
      <c r="L651" s="46"/>
      <c r="M651" s="45"/>
      <c r="N651" s="45"/>
      <c r="O651" s="45"/>
      <c r="P651" s="45"/>
      <c r="Q651" s="45"/>
      <c r="R651" s="45"/>
      <c r="S651" s="45"/>
    </row>
    <row r="652">
      <c r="A652" s="45"/>
      <c r="B652" s="45"/>
      <c r="C652" s="45"/>
      <c r="D652" s="45"/>
      <c r="E652" s="45"/>
      <c r="F652" s="45"/>
      <c r="G652" s="45"/>
      <c r="H652" s="45"/>
      <c r="I652" s="45"/>
      <c r="J652" s="45"/>
      <c r="K652" s="45"/>
      <c r="L652" s="46"/>
      <c r="M652" s="45"/>
      <c r="N652" s="45"/>
      <c r="O652" s="45"/>
      <c r="P652" s="45"/>
      <c r="Q652" s="45"/>
      <c r="R652" s="45"/>
      <c r="S652" s="45"/>
    </row>
    <row r="653">
      <c r="A653" s="45"/>
      <c r="B653" s="45"/>
      <c r="C653" s="45"/>
      <c r="D653" s="45"/>
      <c r="E653" s="45"/>
      <c r="F653" s="45"/>
      <c r="G653" s="45"/>
      <c r="H653" s="45"/>
      <c r="I653" s="45"/>
      <c r="J653" s="45"/>
      <c r="K653" s="45"/>
      <c r="L653" s="46"/>
      <c r="M653" s="45"/>
      <c r="N653" s="45"/>
      <c r="O653" s="45"/>
      <c r="P653" s="45"/>
      <c r="Q653" s="45"/>
      <c r="R653" s="45"/>
      <c r="S653" s="45"/>
    </row>
    <row r="654">
      <c r="A654" s="45"/>
      <c r="B654" s="45"/>
      <c r="C654" s="45"/>
      <c r="D654" s="45"/>
      <c r="E654" s="45"/>
      <c r="F654" s="45"/>
      <c r="G654" s="45"/>
      <c r="H654" s="45"/>
      <c r="I654" s="45"/>
      <c r="J654" s="45"/>
      <c r="K654" s="45"/>
      <c r="L654" s="46"/>
      <c r="M654" s="45"/>
      <c r="N654" s="45"/>
      <c r="O654" s="45"/>
      <c r="P654" s="45"/>
      <c r="Q654" s="45"/>
      <c r="R654" s="45"/>
      <c r="S654" s="45"/>
    </row>
    <row r="655">
      <c r="A655" s="45"/>
      <c r="B655" s="45"/>
      <c r="C655" s="45"/>
      <c r="D655" s="45"/>
      <c r="E655" s="45"/>
      <c r="F655" s="45"/>
      <c r="G655" s="45"/>
      <c r="H655" s="45"/>
      <c r="I655" s="45"/>
      <c r="J655" s="45"/>
      <c r="K655" s="45"/>
      <c r="L655" s="46"/>
      <c r="M655" s="45"/>
      <c r="N655" s="45"/>
      <c r="O655" s="45"/>
      <c r="P655" s="45"/>
      <c r="Q655" s="45"/>
      <c r="R655" s="45"/>
      <c r="S655" s="45"/>
    </row>
    <row r="656">
      <c r="A656" s="45"/>
      <c r="B656" s="45"/>
      <c r="C656" s="45"/>
      <c r="D656" s="45"/>
      <c r="E656" s="45"/>
      <c r="F656" s="45"/>
      <c r="G656" s="45"/>
      <c r="H656" s="45"/>
      <c r="I656" s="45"/>
      <c r="J656" s="45"/>
      <c r="K656" s="45"/>
      <c r="L656" s="46"/>
      <c r="M656" s="45"/>
      <c r="N656" s="45"/>
      <c r="O656" s="45"/>
      <c r="P656" s="45"/>
      <c r="Q656" s="45"/>
      <c r="R656" s="45"/>
      <c r="S656" s="45"/>
    </row>
    <row r="657">
      <c r="A657" s="45"/>
      <c r="B657" s="45"/>
      <c r="C657" s="45"/>
      <c r="D657" s="45"/>
      <c r="E657" s="45"/>
      <c r="F657" s="45"/>
      <c r="G657" s="45"/>
      <c r="H657" s="45"/>
      <c r="I657" s="45"/>
      <c r="J657" s="45"/>
      <c r="K657" s="45"/>
      <c r="L657" s="46"/>
      <c r="M657" s="45"/>
      <c r="N657" s="45"/>
      <c r="O657" s="45"/>
      <c r="P657" s="45"/>
      <c r="Q657" s="45"/>
      <c r="R657" s="45"/>
      <c r="S657" s="45"/>
    </row>
    <row r="658">
      <c r="A658" s="45"/>
      <c r="B658" s="45"/>
      <c r="C658" s="45"/>
      <c r="D658" s="45"/>
      <c r="E658" s="45"/>
      <c r="F658" s="45"/>
      <c r="G658" s="45"/>
      <c r="H658" s="45"/>
      <c r="I658" s="45"/>
      <c r="J658" s="45"/>
      <c r="K658" s="45"/>
      <c r="L658" s="46"/>
      <c r="M658" s="45"/>
      <c r="N658" s="45"/>
      <c r="O658" s="45"/>
      <c r="P658" s="45"/>
      <c r="Q658" s="45"/>
      <c r="R658" s="45"/>
      <c r="S658" s="45"/>
    </row>
    <row r="659">
      <c r="A659" s="45"/>
      <c r="B659" s="45"/>
      <c r="C659" s="45"/>
      <c r="D659" s="45"/>
      <c r="E659" s="45"/>
      <c r="F659" s="45"/>
      <c r="G659" s="45"/>
      <c r="H659" s="45"/>
      <c r="I659" s="45"/>
      <c r="J659" s="45"/>
      <c r="K659" s="45"/>
      <c r="L659" s="46"/>
      <c r="M659" s="45"/>
      <c r="N659" s="45"/>
      <c r="O659" s="45"/>
      <c r="P659" s="45"/>
      <c r="Q659" s="45"/>
      <c r="R659" s="45"/>
      <c r="S659" s="45"/>
    </row>
    <row r="660">
      <c r="A660" s="45"/>
      <c r="B660" s="45"/>
      <c r="C660" s="45"/>
      <c r="D660" s="45"/>
      <c r="E660" s="45"/>
      <c r="F660" s="45"/>
      <c r="G660" s="45"/>
      <c r="H660" s="45"/>
      <c r="I660" s="45"/>
      <c r="J660" s="45"/>
      <c r="K660" s="45"/>
      <c r="L660" s="46"/>
      <c r="M660" s="45"/>
      <c r="N660" s="45"/>
      <c r="O660" s="45"/>
      <c r="P660" s="45"/>
      <c r="Q660" s="45"/>
      <c r="R660" s="45"/>
      <c r="S660" s="45"/>
    </row>
    <row r="661">
      <c r="A661" s="45"/>
      <c r="B661" s="45"/>
      <c r="C661" s="45"/>
      <c r="D661" s="45"/>
      <c r="E661" s="45"/>
      <c r="F661" s="45"/>
      <c r="G661" s="45"/>
      <c r="H661" s="45"/>
      <c r="I661" s="45"/>
      <c r="J661" s="45"/>
      <c r="K661" s="45"/>
      <c r="L661" s="46"/>
      <c r="M661" s="45"/>
      <c r="N661" s="45"/>
      <c r="O661" s="45"/>
      <c r="P661" s="45"/>
      <c r="Q661" s="45"/>
      <c r="R661" s="45"/>
      <c r="S661" s="45"/>
    </row>
    <row r="662">
      <c r="A662" s="45"/>
      <c r="B662" s="45"/>
      <c r="C662" s="45"/>
      <c r="D662" s="45"/>
      <c r="E662" s="45"/>
      <c r="F662" s="45"/>
      <c r="G662" s="45"/>
      <c r="H662" s="45"/>
      <c r="I662" s="45"/>
      <c r="J662" s="45"/>
      <c r="K662" s="45"/>
      <c r="L662" s="46"/>
      <c r="M662" s="45"/>
      <c r="N662" s="45"/>
      <c r="O662" s="45"/>
      <c r="P662" s="45"/>
      <c r="Q662" s="45"/>
      <c r="R662" s="45"/>
      <c r="S662" s="45"/>
    </row>
    <row r="663">
      <c r="A663" s="45"/>
      <c r="B663" s="45"/>
      <c r="C663" s="45"/>
      <c r="D663" s="45"/>
      <c r="E663" s="45"/>
      <c r="F663" s="45"/>
      <c r="G663" s="45"/>
      <c r="H663" s="45"/>
      <c r="I663" s="45"/>
      <c r="J663" s="45"/>
      <c r="K663" s="45"/>
      <c r="L663" s="46"/>
      <c r="M663" s="45"/>
      <c r="N663" s="45"/>
      <c r="O663" s="45"/>
      <c r="P663" s="45"/>
      <c r="Q663" s="45"/>
      <c r="R663" s="45"/>
      <c r="S663" s="45"/>
    </row>
    <row r="664">
      <c r="A664" s="45"/>
      <c r="B664" s="45"/>
      <c r="C664" s="45"/>
      <c r="D664" s="45"/>
      <c r="E664" s="45"/>
      <c r="F664" s="45"/>
      <c r="G664" s="45"/>
      <c r="H664" s="45"/>
      <c r="I664" s="45"/>
      <c r="J664" s="45"/>
      <c r="K664" s="45"/>
      <c r="L664" s="46"/>
      <c r="M664" s="45"/>
      <c r="N664" s="45"/>
      <c r="O664" s="45"/>
      <c r="P664" s="45"/>
      <c r="Q664" s="45"/>
      <c r="R664" s="45"/>
      <c r="S664" s="45"/>
    </row>
    <row r="665">
      <c r="A665" s="45"/>
      <c r="B665" s="45"/>
      <c r="C665" s="45"/>
      <c r="D665" s="45"/>
      <c r="E665" s="45"/>
      <c r="F665" s="45"/>
      <c r="G665" s="45"/>
      <c r="H665" s="45"/>
      <c r="I665" s="45"/>
      <c r="J665" s="45"/>
      <c r="K665" s="45"/>
      <c r="L665" s="46"/>
      <c r="M665" s="45"/>
      <c r="N665" s="45"/>
      <c r="O665" s="45"/>
      <c r="P665" s="45"/>
      <c r="Q665" s="45"/>
      <c r="R665" s="45"/>
      <c r="S665" s="45"/>
    </row>
    <row r="666">
      <c r="A666" s="45"/>
      <c r="B666" s="45"/>
      <c r="C666" s="45"/>
      <c r="D666" s="45"/>
      <c r="E666" s="45"/>
      <c r="F666" s="45"/>
      <c r="G666" s="45"/>
      <c r="H666" s="45"/>
      <c r="I666" s="45"/>
      <c r="J666" s="45"/>
      <c r="K666" s="45"/>
      <c r="L666" s="46"/>
      <c r="M666" s="45"/>
      <c r="N666" s="45"/>
      <c r="O666" s="45"/>
      <c r="P666" s="45"/>
      <c r="Q666" s="45"/>
      <c r="R666" s="45"/>
      <c r="S666" s="45"/>
    </row>
    <row r="667">
      <c r="A667" s="45"/>
      <c r="B667" s="45"/>
      <c r="C667" s="45"/>
      <c r="D667" s="45"/>
      <c r="E667" s="45"/>
      <c r="F667" s="45"/>
      <c r="G667" s="45"/>
      <c r="H667" s="45"/>
      <c r="I667" s="45"/>
      <c r="J667" s="45"/>
      <c r="K667" s="45"/>
      <c r="L667" s="46"/>
      <c r="M667" s="45"/>
      <c r="N667" s="45"/>
      <c r="O667" s="45"/>
      <c r="P667" s="45"/>
      <c r="Q667" s="45"/>
      <c r="R667" s="45"/>
      <c r="S667" s="45"/>
    </row>
    <row r="668">
      <c r="A668" s="45"/>
      <c r="B668" s="45"/>
      <c r="C668" s="45"/>
      <c r="D668" s="45"/>
      <c r="E668" s="45"/>
      <c r="F668" s="45"/>
      <c r="G668" s="45"/>
      <c r="H668" s="45"/>
      <c r="I668" s="45"/>
      <c r="J668" s="45"/>
      <c r="K668" s="45"/>
      <c r="L668" s="46"/>
      <c r="M668" s="45"/>
      <c r="N668" s="45"/>
      <c r="O668" s="45"/>
      <c r="P668" s="45"/>
      <c r="Q668" s="45"/>
      <c r="R668" s="45"/>
      <c r="S668" s="45"/>
    </row>
    <row r="669">
      <c r="A669" s="45"/>
      <c r="B669" s="45"/>
      <c r="C669" s="45"/>
      <c r="D669" s="45"/>
      <c r="E669" s="45"/>
      <c r="F669" s="45"/>
      <c r="G669" s="45"/>
      <c r="H669" s="45"/>
      <c r="I669" s="45"/>
      <c r="J669" s="45"/>
      <c r="K669" s="45"/>
      <c r="L669" s="46"/>
      <c r="M669" s="45"/>
      <c r="N669" s="45"/>
      <c r="O669" s="45"/>
      <c r="P669" s="45"/>
      <c r="Q669" s="45"/>
      <c r="R669" s="45"/>
      <c r="S669" s="45"/>
    </row>
    <row r="670">
      <c r="A670" s="45"/>
      <c r="B670" s="45"/>
      <c r="C670" s="45"/>
      <c r="D670" s="45"/>
      <c r="E670" s="45"/>
      <c r="F670" s="45"/>
      <c r="G670" s="45"/>
      <c r="H670" s="45"/>
      <c r="I670" s="45"/>
      <c r="J670" s="45"/>
      <c r="K670" s="45"/>
      <c r="L670" s="46"/>
      <c r="M670" s="45"/>
      <c r="N670" s="45"/>
      <c r="O670" s="45"/>
      <c r="P670" s="45"/>
      <c r="Q670" s="45"/>
      <c r="R670" s="45"/>
      <c r="S670" s="45"/>
    </row>
    <row r="671">
      <c r="A671" s="45"/>
      <c r="B671" s="45"/>
      <c r="C671" s="45"/>
      <c r="D671" s="45"/>
      <c r="E671" s="45"/>
      <c r="F671" s="45"/>
      <c r="G671" s="45"/>
      <c r="H671" s="45"/>
      <c r="I671" s="45"/>
      <c r="J671" s="45"/>
      <c r="K671" s="45"/>
      <c r="L671" s="46"/>
      <c r="M671" s="45"/>
      <c r="N671" s="45"/>
      <c r="O671" s="45"/>
      <c r="P671" s="45"/>
      <c r="Q671" s="45"/>
      <c r="R671" s="45"/>
      <c r="S671" s="45"/>
    </row>
    <row r="672">
      <c r="A672" s="45"/>
      <c r="B672" s="45"/>
      <c r="C672" s="45"/>
      <c r="D672" s="45"/>
      <c r="E672" s="45"/>
      <c r="F672" s="45"/>
      <c r="G672" s="45"/>
      <c r="H672" s="45"/>
      <c r="I672" s="45"/>
      <c r="J672" s="45"/>
      <c r="K672" s="45"/>
      <c r="L672" s="46"/>
      <c r="M672" s="45"/>
      <c r="N672" s="45"/>
      <c r="O672" s="45"/>
      <c r="P672" s="45"/>
      <c r="Q672" s="45"/>
      <c r="R672" s="45"/>
      <c r="S672" s="45"/>
    </row>
    <row r="673">
      <c r="A673" s="45"/>
      <c r="B673" s="45"/>
      <c r="C673" s="45"/>
      <c r="D673" s="45"/>
      <c r="E673" s="45"/>
      <c r="F673" s="45"/>
      <c r="G673" s="45"/>
      <c r="H673" s="45"/>
      <c r="I673" s="45"/>
      <c r="J673" s="45"/>
      <c r="K673" s="45"/>
      <c r="L673" s="46"/>
      <c r="M673" s="45"/>
      <c r="N673" s="45"/>
      <c r="O673" s="45"/>
      <c r="P673" s="45"/>
      <c r="Q673" s="45"/>
      <c r="R673" s="45"/>
      <c r="S673" s="45"/>
    </row>
    <row r="674">
      <c r="A674" s="45"/>
      <c r="B674" s="45"/>
      <c r="C674" s="45"/>
      <c r="D674" s="45"/>
      <c r="E674" s="45"/>
      <c r="F674" s="45"/>
      <c r="G674" s="45"/>
      <c r="H674" s="45"/>
      <c r="I674" s="45"/>
      <c r="J674" s="45"/>
      <c r="K674" s="45"/>
      <c r="L674" s="46"/>
      <c r="M674" s="45"/>
      <c r="N674" s="45"/>
      <c r="O674" s="45"/>
      <c r="P674" s="45"/>
      <c r="Q674" s="45"/>
      <c r="R674" s="45"/>
      <c r="S674" s="45"/>
    </row>
    <row r="675">
      <c r="A675" s="45"/>
      <c r="B675" s="45"/>
      <c r="C675" s="45"/>
      <c r="D675" s="45"/>
      <c r="E675" s="45"/>
      <c r="F675" s="45"/>
      <c r="G675" s="45"/>
      <c r="H675" s="45"/>
      <c r="I675" s="45"/>
      <c r="J675" s="45"/>
      <c r="K675" s="45"/>
      <c r="L675" s="46"/>
      <c r="M675" s="45"/>
      <c r="N675" s="45"/>
      <c r="O675" s="45"/>
      <c r="P675" s="45"/>
      <c r="Q675" s="45"/>
      <c r="R675" s="45"/>
      <c r="S675" s="45"/>
    </row>
    <row r="676">
      <c r="A676" s="45"/>
      <c r="B676" s="45"/>
      <c r="C676" s="45"/>
      <c r="D676" s="45"/>
      <c r="E676" s="45"/>
      <c r="F676" s="45"/>
      <c r="G676" s="45"/>
      <c r="H676" s="45"/>
      <c r="I676" s="45"/>
      <c r="J676" s="45"/>
      <c r="K676" s="45"/>
      <c r="L676" s="46"/>
      <c r="M676" s="45"/>
      <c r="N676" s="45"/>
      <c r="O676" s="45"/>
      <c r="P676" s="45"/>
      <c r="Q676" s="45"/>
      <c r="R676" s="45"/>
      <c r="S676" s="45"/>
    </row>
    <row r="677">
      <c r="A677" s="45"/>
      <c r="B677" s="45"/>
      <c r="C677" s="45"/>
      <c r="D677" s="45"/>
      <c r="E677" s="45"/>
      <c r="F677" s="45"/>
      <c r="G677" s="45"/>
      <c r="H677" s="45"/>
      <c r="I677" s="45"/>
      <c r="J677" s="45"/>
      <c r="K677" s="45"/>
      <c r="L677" s="46"/>
      <c r="M677" s="45"/>
      <c r="N677" s="45"/>
      <c r="O677" s="45"/>
      <c r="P677" s="45"/>
      <c r="Q677" s="45"/>
      <c r="R677" s="45"/>
      <c r="S677" s="45"/>
    </row>
    <row r="678">
      <c r="A678" s="45"/>
      <c r="B678" s="45"/>
      <c r="C678" s="45"/>
      <c r="D678" s="45"/>
      <c r="E678" s="45"/>
      <c r="F678" s="45"/>
      <c r="G678" s="45"/>
      <c r="H678" s="45"/>
      <c r="I678" s="45"/>
      <c r="J678" s="45"/>
      <c r="K678" s="45"/>
      <c r="L678" s="46"/>
      <c r="M678" s="45"/>
      <c r="N678" s="45"/>
      <c r="O678" s="45"/>
      <c r="P678" s="45"/>
      <c r="Q678" s="45"/>
      <c r="R678" s="45"/>
      <c r="S678" s="45"/>
    </row>
    <row r="679">
      <c r="A679" s="45"/>
      <c r="B679" s="45"/>
      <c r="C679" s="45"/>
      <c r="D679" s="45"/>
      <c r="E679" s="45"/>
      <c r="F679" s="45"/>
      <c r="G679" s="45"/>
      <c r="H679" s="45"/>
      <c r="I679" s="45"/>
      <c r="J679" s="45"/>
      <c r="K679" s="45"/>
      <c r="L679" s="46"/>
      <c r="M679" s="45"/>
      <c r="N679" s="45"/>
      <c r="O679" s="45"/>
      <c r="P679" s="45"/>
      <c r="Q679" s="45"/>
      <c r="R679" s="45"/>
      <c r="S679" s="45"/>
    </row>
    <row r="680">
      <c r="A680" s="45"/>
      <c r="B680" s="45"/>
      <c r="C680" s="45"/>
      <c r="D680" s="45"/>
      <c r="E680" s="45"/>
      <c r="F680" s="45"/>
      <c r="G680" s="45"/>
      <c r="H680" s="45"/>
      <c r="I680" s="45"/>
      <c r="J680" s="45"/>
      <c r="K680" s="45"/>
      <c r="L680" s="46"/>
      <c r="M680" s="45"/>
      <c r="N680" s="45"/>
      <c r="O680" s="45"/>
      <c r="P680" s="45"/>
      <c r="Q680" s="45"/>
      <c r="R680" s="45"/>
      <c r="S680" s="45"/>
    </row>
    <row r="681">
      <c r="A681" s="45"/>
      <c r="B681" s="45"/>
      <c r="C681" s="45"/>
      <c r="D681" s="45"/>
      <c r="E681" s="45"/>
      <c r="F681" s="45"/>
      <c r="G681" s="45"/>
      <c r="H681" s="45"/>
      <c r="I681" s="45"/>
      <c r="J681" s="45"/>
      <c r="K681" s="45"/>
      <c r="L681" s="46"/>
      <c r="M681" s="45"/>
      <c r="N681" s="45"/>
      <c r="O681" s="45"/>
      <c r="P681" s="45"/>
      <c r="Q681" s="45"/>
      <c r="R681" s="45"/>
      <c r="S681" s="45"/>
    </row>
    <row r="682">
      <c r="A682" s="45"/>
      <c r="B682" s="45"/>
      <c r="C682" s="45"/>
      <c r="D682" s="45"/>
      <c r="E682" s="45"/>
      <c r="F682" s="45"/>
      <c r="G682" s="45"/>
      <c r="H682" s="45"/>
      <c r="I682" s="45"/>
      <c r="J682" s="45"/>
      <c r="K682" s="45"/>
      <c r="L682" s="46"/>
      <c r="M682" s="45"/>
      <c r="N682" s="45"/>
      <c r="O682" s="45"/>
      <c r="P682" s="45"/>
      <c r="Q682" s="45"/>
      <c r="R682" s="45"/>
      <c r="S682" s="45"/>
    </row>
    <row r="683">
      <c r="A683" s="45"/>
      <c r="B683" s="45"/>
      <c r="C683" s="45"/>
      <c r="D683" s="45"/>
      <c r="E683" s="45"/>
      <c r="F683" s="45"/>
      <c r="G683" s="45"/>
      <c r="H683" s="45"/>
      <c r="I683" s="45"/>
      <c r="J683" s="45"/>
      <c r="K683" s="45"/>
      <c r="L683" s="46"/>
      <c r="M683" s="45"/>
      <c r="N683" s="45"/>
      <c r="O683" s="45"/>
      <c r="P683" s="45"/>
      <c r="Q683" s="45"/>
      <c r="R683" s="45"/>
      <c r="S683" s="45"/>
    </row>
    <row r="684">
      <c r="A684" s="45"/>
      <c r="B684" s="45"/>
      <c r="C684" s="45"/>
      <c r="D684" s="45"/>
      <c r="E684" s="45"/>
      <c r="F684" s="45"/>
      <c r="G684" s="45"/>
      <c r="H684" s="45"/>
      <c r="I684" s="45"/>
      <c r="J684" s="45"/>
      <c r="K684" s="45"/>
      <c r="L684" s="46"/>
      <c r="M684" s="45"/>
      <c r="N684" s="45"/>
      <c r="O684" s="45"/>
      <c r="P684" s="45"/>
      <c r="Q684" s="45"/>
      <c r="R684" s="45"/>
      <c r="S684" s="45"/>
    </row>
    <row r="685">
      <c r="A685" s="45"/>
      <c r="B685" s="45"/>
      <c r="C685" s="45"/>
      <c r="D685" s="45"/>
      <c r="E685" s="45"/>
      <c r="F685" s="45"/>
      <c r="G685" s="45"/>
      <c r="H685" s="45"/>
      <c r="I685" s="45"/>
      <c r="J685" s="45"/>
      <c r="K685" s="45"/>
      <c r="L685" s="46"/>
      <c r="M685" s="45"/>
      <c r="N685" s="45"/>
      <c r="O685" s="45"/>
      <c r="P685" s="45"/>
      <c r="Q685" s="45"/>
      <c r="R685" s="45"/>
      <c r="S685" s="45"/>
    </row>
    <row r="686">
      <c r="A686" s="45"/>
      <c r="B686" s="45"/>
      <c r="C686" s="45"/>
      <c r="D686" s="45"/>
      <c r="E686" s="45"/>
      <c r="F686" s="45"/>
      <c r="G686" s="45"/>
      <c r="H686" s="45"/>
      <c r="I686" s="45"/>
      <c r="J686" s="45"/>
      <c r="K686" s="45"/>
      <c r="L686" s="46"/>
      <c r="M686" s="45"/>
      <c r="N686" s="45"/>
      <c r="O686" s="45"/>
      <c r="P686" s="45"/>
      <c r="Q686" s="45"/>
      <c r="R686" s="45"/>
      <c r="S686" s="45"/>
    </row>
    <row r="687">
      <c r="A687" s="45"/>
      <c r="B687" s="45"/>
      <c r="C687" s="45"/>
      <c r="D687" s="45"/>
      <c r="E687" s="45"/>
      <c r="F687" s="45"/>
      <c r="G687" s="45"/>
      <c r="H687" s="45"/>
      <c r="I687" s="45"/>
      <c r="J687" s="45"/>
      <c r="K687" s="45"/>
      <c r="L687" s="46"/>
      <c r="M687" s="45"/>
      <c r="N687" s="45"/>
      <c r="O687" s="45"/>
      <c r="P687" s="45"/>
      <c r="Q687" s="45"/>
      <c r="R687" s="45"/>
      <c r="S687" s="45"/>
    </row>
    <row r="688">
      <c r="A688" s="45"/>
      <c r="B688" s="45"/>
      <c r="C688" s="45"/>
      <c r="D688" s="45"/>
      <c r="E688" s="45"/>
      <c r="F688" s="45"/>
      <c r="G688" s="45"/>
      <c r="H688" s="45"/>
      <c r="I688" s="45"/>
      <c r="J688" s="45"/>
      <c r="K688" s="45"/>
      <c r="L688" s="46"/>
      <c r="M688" s="45"/>
      <c r="N688" s="45"/>
      <c r="O688" s="45"/>
      <c r="P688" s="45"/>
      <c r="Q688" s="45"/>
      <c r="R688" s="45"/>
      <c r="S688" s="45"/>
    </row>
    <row r="689">
      <c r="A689" s="45"/>
      <c r="B689" s="45"/>
      <c r="C689" s="45"/>
      <c r="D689" s="45"/>
      <c r="E689" s="45"/>
      <c r="F689" s="45"/>
      <c r="G689" s="45"/>
      <c r="H689" s="45"/>
      <c r="I689" s="45"/>
      <c r="J689" s="45"/>
      <c r="K689" s="45"/>
      <c r="L689" s="46"/>
      <c r="M689" s="45"/>
      <c r="N689" s="45"/>
      <c r="O689" s="45"/>
      <c r="P689" s="45"/>
      <c r="Q689" s="45"/>
      <c r="R689" s="45"/>
      <c r="S689" s="45"/>
    </row>
    <row r="690">
      <c r="A690" s="45"/>
      <c r="B690" s="45"/>
      <c r="C690" s="45"/>
      <c r="D690" s="45"/>
      <c r="E690" s="45"/>
      <c r="F690" s="45"/>
      <c r="G690" s="45"/>
      <c r="H690" s="45"/>
      <c r="I690" s="45"/>
      <c r="J690" s="45"/>
      <c r="K690" s="45"/>
      <c r="L690" s="46"/>
      <c r="M690" s="45"/>
      <c r="N690" s="45"/>
      <c r="O690" s="45"/>
      <c r="P690" s="45"/>
      <c r="Q690" s="45"/>
      <c r="R690" s="45"/>
      <c r="S690" s="45"/>
    </row>
    <row r="691">
      <c r="A691" s="45"/>
      <c r="B691" s="45"/>
      <c r="C691" s="45"/>
      <c r="D691" s="45"/>
      <c r="E691" s="45"/>
      <c r="F691" s="45"/>
      <c r="G691" s="45"/>
      <c r="H691" s="45"/>
      <c r="I691" s="45"/>
      <c r="J691" s="45"/>
      <c r="K691" s="45"/>
      <c r="L691" s="46"/>
      <c r="M691" s="45"/>
      <c r="N691" s="45"/>
      <c r="O691" s="45"/>
      <c r="P691" s="45"/>
      <c r="Q691" s="45"/>
      <c r="R691" s="45"/>
      <c r="S691" s="45"/>
    </row>
    <row r="692">
      <c r="A692" s="45"/>
      <c r="B692" s="45"/>
      <c r="C692" s="45"/>
      <c r="D692" s="45"/>
      <c r="E692" s="45"/>
      <c r="F692" s="45"/>
      <c r="G692" s="45"/>
      <c r="H692" s="45"/>
      <c r="I692" s="45"/>
      <c r="J692" s="45"/>
      <c r="K692" s="45"/>
      <c r="L692" s="46"/>
      <c r="M692" s="45"/>
      <c r="N692" s="45"/>
      <c r="O692" s="45"/>
      <c r="P692" s="45"/>
      <c r="Q692" s="45"/>
      <c r="R692" s="45"/>
      <c r="S692" s="45"/>
    </row>
    <row r="693">
      <c r="A693" s="45"/>
      <c r="B693" s="45"/>
      <c r="C693" s="45"/>
      <c r="D693" s="45"/>
      <c r="E693" s="45"/>
      <c r="F693" s="45"/>
      <c r="G693" s="45"/>
      <c r="H693" s="45"/>
      <c r="I693" s="45"/>
      <c r="J693" s="45"/>
      <c r="K693" s="45"/>
      <c r="L693" s="46"/>
      <c r="M693" s="45"/>
      <c r="N693" s="45"/>
      <c r="O693" s="45"/>
      <c r="P693" s="45"/>
      <c r="Q693" s="45"/>
      <c r="R693" s="45"/>
      <c r="S693" s="45"/>
    </row>
    <row r="694">
      <c r="A694" s="45"/>
      <c r="B694" s="45"/>
      <c r="C694" s="45"/>
      <c r="D694" s="45"/>
      <c r="E694" s="45"/>
      <c r="F694" s="45"/>
      <c r="G694" s="45"/>
      <c r="H694" s="45"/>
      <c r="I694" s="45"/>
      <c r="J694" s="45"/>
      <c r="K694" s="45"/>
      <c r="L694" s="46"/>
      <c r="M694" s="45"/>
      <c r="N694" s="45"/>
      <c r="O694" s="45"/>
      <c r="P694" s="45"/>
      <c r="Q694" s="45"/>
      <c r="R694" s="45"/>
      <c r="S694" s="45"/>
    </row>
    <row r="695">
      <c r="A695" s="45"/>
      <c r="B695" s="45"/>
      <c r="C695" s="45"/>
      <c r="D695" s="45"/>
      <c r="E695" s="45"/>
      <c r="F695" s="45"/>
      <c r="G695" s="45"/>
      <c r="H695" s="45"/>
      <c r="I695" s="45"/>
      <c r="J695" s="45"/>
      <c r="K695" s="45"/>
      <c r="L695" s="46"/>
      <c r="M695" s="45"/>
      <c r="N695" s="45"/>
      <c r="O695" s="45"/>
      <c r="P695" s="45"/>
      <c r="Q695" s="45"/>
      <c r="R695" s="45"/>
      <c r="S695" s="45"/>
    </row>
    <row r="696">
      <c r="A696" s="45"/>
      <c r="B696" s="45"/>
      <c r="C696" s="45"/>
      <c r="D696" s="45"/>
      <c r="E696" s="45"/>
      <c r="F696" s="45"/>
      <c r="G696" s="45"/>
      <c r="H696" s="45"/>
      <c r="I696" s="45"/>
      <c r="J696" s="45"/>
      <c r="K696" s="45"/>
      <c r="L696" s="46"/>
      <c r="M696" s="45"/>
      <c r="N696" s="45"/>
      <c r="O696" s="45"/>
      <c r="P696" s="45"/>
      <c r="Q696" s="45"/>
      <c r="R696" s="45"/>
      <c r="S696" s="45"/>
    </row>
    <row r="697">
      <c r="A697" s="45"/>
      <c r="B697" s="45"/>
      <c r="C697" s="45"/>
      <c r="D697" s="45"/>
      <c r="E697" s="45"/>
      <c r="F697" s="45"/>
      <c r="G697" s="45"/>
      <c r="H697" s="45"/>
      <c r="I697" s="45"/>
      <c r="J697" s="45"/>
      <c r="K697" s="45"/>
      <c r="L697" s="46"/>
      <c r="M697" s="45"/>
      <c r="N697" s="45"/>
      <c r="O697" s="45"/>
      <c r="P697" s="45"/>
      <c r="Q697" s="45"/>
      <c r="R697" s="45"/>
      <c r="S697" s="45"/>
    </row>
    <row r="698">
      <c r="A698" s="45"/>
      <c r="B698" s="45"/>
      <c r="C698" s="45"/>
      <c r="D698" s="45"/>
      <c r="E698" s="45"/>
      <c r="F698" s="45"/>
      <c r="G698" s="45"/>
      <c r="H698" s="45"/>
      <c r="I698" s="45"/>
      <c r="J698" s="45"/>
      <c r="K698" s="45"/>
      <c r="L698" s="46"/>
      <c r="M698" s="45"/>
      <c r="N698" s="45"/>
      <c r="O698" s="45"/>
      <c r="P698" s="45"/>
      <c r="Q698" s="45"/>
      <c r="R698" s="45"/>
      <c r="S698" s="45"/>
    </row>
    <row r="699">
      <c r="A699" s="45"/>
      <c r="B699" s="45"/>
      <c r="C699" s="45"/>
      <c r="D699" s="45"/>
      <c r="E699" s="45"/>
      <c r="F699" s="45"/>
      <c r="G699" s="45"/>
      <c r="H699" s="45"/>
      <c r="I699" s="45"/>
      <c r="J699" s="45"/>
      <c r="K699" s="45"/>
      <c r="L699" s="46"/>
      <c r="M699" s="45"/>
      <c r="N699" s="45"/>
      <c r="O699" s="45"/>
      <c r="P699" s="45"/>
      <c r="Q699" s="45"/>
      <c r="R699" s="45"/>
      <c r="S699" s="45"/>
    </row>
    <row r="700">
      <c r="A700" s="45"/>
      <c r="B700" s="45"/>
      <c r="C700" s="45"/>
      <c r="D700" s="45"/>
      <c r="E700" s="45"/>
      <c r="F700" s="45"/>
      <c r="G700" s="45"/>
      <c r="H700" s="45"/>
      <c r="I700" s="45"/>
      <c r="J700" s="45"/>
      <c r="K700" s="45"/>
      <c r="L700" s="46"/>
      <c r="M700" s="45"/>
      <c r="N700" s="45"/>
      <c r="O700" s="45"/>
      <c r="P700" s="45"/>
      <c r="Q700" s="45"/>
      <c r="R700" s="45"/>
      <c r="S700" s="45"/>
    </row>
    <row r="701">
      <c r="A701" s="45"/>
      <c r="B701" s="45"/>
      <c r="C701" s="45"/>
      <c r="D701" s="45"/>
      <c r="E701" s="45"/>
      <c r="F701" s="45"/>
      <c r="G701" s="45"/>
      <c r="H701" s="45"/>
      <c r="I701" s="45"/>
      <c r="J701" s="45"/>
      <c r="K701" s="45"/>
      <c r="L701" s="46"/>
      <c r="M701" s="45"/>
      <c r="N701" s="45"/>
      <c r="O701" s="45"/>
      <c r="P701" s="45"/>
      <c r="Q701" s="45"/>
      <c r="R701" s="45"/>
      <c r="S701" s="45"/>
    </row>
    <row r="702">
      <c r="A702" s="45"/>
      <c r="B702" s="45"/>
      <c r="C702" s="45"/>
      <c r="D702" s="45"/>
      <c r="E702" s="45"/>
      <c r="F702" s="45"/>
      <c r="G702" s="45"/>
      <c r="H702" s="45"/>
      <c r="I702" s="45"/>
      <c r="J702" s="45"/>
      <c r="K702" s="45"/>
      <c r="L702" s="46"/>
      <c r="M702" s="45"/>
      <c r="N702" s="45"/>
      <c r="O702" s="45"/>
      <c r="P702" s="45"/>
      <c r="Q702" s="45"/>
      <c r="R702" s="45"/>
      <c r="S702" s="45"/>
    </row>
    <row r="703">
      <c r="A703" s="45"/>
      <c r="B703" s="45"/>
      <c r="C703" s="45"/>
      <c r="D703" s="45"/>
      <c r="E703" s="45"/>
      <c r="F703" s="45"/>
      <c r="G703" s="45"/>
      <c r="H703" s="45"/>
      <c r="I703" s="45"/>
      <c r="J703" s="45"/>
      <c r="K703" s="45"/>
      <c r="L703" s="46"/>
      <c r="M703" s="45"/>
      <c r="N703" s="45"/>
      <c r="O703" s="45"/>
      <c r="P703" s="45"/>
      <c r="Q703" s="45"/>
      <c r="R703" s="45"/>
      <c r="S703" s="45"/>
    </row>
    <row r="704">
      <c r="A704" s="45"/>
      <c r="B704" s="45"/>
      <c r="C704" s="45"/>
      <c r="D704" s="45"/>
      <c r="E704" s="45"/>
      <c r="F704" s="45"/>
      <c r="G704" s="45"/>
      <c r="H704" s="45"/>
      <c r="I704" s="45"/>
      <c r="J704" s="45"/>
      <c r="K704" s="45"/>
      <c r="L704" s="46"/>
      <c r="M704" s="45"/>
      <c r="N704" s="45"/>
      <c r="O704" s="45"/>
      <c r="P704" s="45"/>
      <c r="Q704" s="45"/>
      <c r="R704" s="45"/>
      <c r="S704" s="45"/>
    </row>
    <row r="705">
      <c r="A705" s="45"/>
      <c r="B705" s="45"/>
      <c r="C705" s="45"/>
      <c r="D705" s="45"/>
      <c r="E705" s="45"/>
      <c r="F705" s="45"/>
      <c r="G705" s="45"/>
      <c r="H705" s="45"/>
      <c r="I705" s="45"/>
      <c r="J705" s="45"/>
      <c r="K705" s="45"/>
      <c r="L705" s="46"/>
      <c r="M705" s="45"/>
      <c r="N705" s="45"/>
      <c r="O705" s="45"/>
      <c r="P705" s="45"/>
      <c r="Q705" s="45"/>
      <c r="R705" s="45"/>
      <c r="S705" s="45"/>
    </row>
    <row r="706">
      <c r="A706" s="45"/>
      <c r="B706" s="45"/>
      <c r="C706" s="45"/>
      <c r="D706" s="45"/>
      <c r="E706" s="45"/>
      <c r="F706" s="45"/>
      <c r="G706" s="45"/>
      <c r="H706" s="45"/>
      <c r="I706" s="45"/>
      <c r="J706" s="45"/>
      <c r="K706" s="45"/>
      <c r="L706" s="46"/>
      <c r="M706" s="45"/>
      <c r="N706" s="45"/>
      <c r="O706" s="45"/>
      <c r="P706" s="45"/>
      <c r="Q706" s="45"/>
      <c r="R706" s="45"/>
      <c r="S706" s="45"/>
    </row>
    <row r="707">
      <c r="A707" s="45"/>
      <c r="B707" s="45"/>
      <c r="C707" s="45"/>
      <c r="D707" s="45"/>
      <c r="E707" s="45"/>
      <c r="F707" s="45"/>
      <c r="G707" s="45"/>
      <c r="H707" s="45"/>
      <c r="I707" s="45"/>
      <c r="J707" s="45"/>
      <c r="K707" s="45"/>
      <c r="L707" s="46"/>
      <c r="M707" s="45"/>
      <c r="N707" s="45"/>
      <c r="O707" s="45"/>
      <c r="P707" s="45"/>
      <c r="Q707" s="45"/>
      <c r="R707" s="45"/>
      <c r="S707" s="45"/>
    </row>
    <row r="708">
      <c r="A708" s="45"/>
      <c r="B708" s="45"/>
      <c r="C708" s="45"/>
      <c r="D708" s="45"/>
      <c r="E708" s="45"/>
      <c r="F708" s="45"/>
      <c r="G708" s="45"/>
      <c r="H708" s="45"/>
      <c r="I708" s="45"/>
      <c r="J708" s="45"/>
      <c r="K708" s="45"/>
      <c r="L708" s="46"/>
      <c r="M708" s="45"/>
      <c r="N708" s="45"/>
      <c r="O708" s="45"/>
      <c r="P708" s="45"/>
      <c r="Q708" s="45"/>
      <c r="R708" s="45"/>
      <c r="S708" s="45"/>
    </row>
    <row r="709">
      <c r="A709" s="45"/>
      <c r="B709" s="45"/>
      <c r="C709" s="45"/>
      <c r="D709" s="45"/>
      <c r="E709" s="45"/>
      <c r="F709" s="45"/>
      <c r="G709" s="45"/>
      <c r="H709" s="45"/>
      <c r="I709" s="45"/>
      <c r="J709" s="45"/>
      <c r="K709" s="45"/>
      <c r="L709" s="46"/>
      <c r="M709" s="45"/>
      <c r="N709" s="45"/>
      <c r="O709" s="45"/>
      <c r="P709" s="45"/>
      <c r="Q709" s="45"/>
      <c r="R709" s="45"/>
      <c r="S709" s="45"/>
    </row>
    <row r="710">
      <c r="A710" s="45"/>
      <c r="B710" s="45"/>
      <c r="C710" s="45"/>
      <c r="D710" s="45"/>
      <c r="E710" s="45"/>
      <c r="F710" s="45"/>
      <c r="G710" s="45"/>
      <c r="H710" s="45"/>
      <c r="I710" s="45"/>
      <c r="J710" s="45"/>
      <c r="K710" s="45"/>
      <c r="L710" s="46"/>
      <c r="M710" s="45"/>
      <c r="N710" s="45"/>
      <c r="O710" s="45"/>
      <c r="P710" s="45"/>
      <c r="Q710" s="45"/>
      <c r="R710" s="45"/>
      <c r="S710" s="45"/>
    </row>
    <row r="711">
      <c r="A711" s="45"/>
      <c r="B711" s="45"/>
      <c r="C711" s="45"/>
      <c r="D711" s="45"/>
      <c r="E711" s="45"/>
      <c r="F711" s="45"/>
      <c r="G711" s="45"/>
      <c r="H711" s="45"/>
      <c r="I711" s="45"/>
      <c r="J711" s="45"/>
      <c r="K711" s="45"/>
      <c r="L711" s="46"/>
      <c r="M711" s="45"/>
      <c r="N711" s="45"/>
      <c r="O711" s="45"/>
      <c r="P711" s="45"/>
      <c r="Q711" s="45"/>
      <c r="R711" s="45"/>
      <c r="S711" s="45"/>
    </row>
    <row r="712">
      <c r="A712" s="45"/>
      <c r="B712" s="45"/>
      <c r="C712" s="45"/>
      <c r="D712" s="45"/>
      <c r="E712" s="45"/>
      <c r="F712" s="45"/>
      <c r="G712" s="45"/>
      <c r="H712" s="45"/>
      <c r="I712" s="45"/>
      <c r="J712" s="45"/>
      <c r="K712" s="45"/>
      <c r="L712" s="46"/>
      <c r="M712" s="45"/>
      <c r="N712" s="45"/>
      <c r="O712" s="45"/>
      <c r="P712" s="45"/>
      <c r="Q712" s="45"/>
      <c r="R712" s="45"/>
      <c r="S712" s="45"/>
    </row>
    <row r="713">
      <c r="A713" s="45"/>
      <c r="B713" s="45"/>
      <c r="C713" s="45"/>
      <c r="D713" s="45"/>
      <c r="E713" s="45"/>
      <c r="F713" s="45"/>
      <c r="G713" s="45"/>
      <c r="H713" s="45"/>
      <c r="I713" s="45"/>
      <c r="J713" s="45"/>
      <c r="K713" s="45"/>
      <c r="L713" s="46"/>
      <c r="M713" s="45"/>
      <c r="N713" s="45"/>
      <c r="O713" s="45"/>
      <c r="P713" s="45"/>
      <c r="Q713" s="45"/>
      <c r="R713" s="45"/>
      <c r="S713" s="45"/>
    </row>
    <row r="714">
      <c r="A714" s="45"/>
      <c r="B714" s="45"/>
      <c r="C714" s="45"/>
      <c r="D714" s="45"/>
      <c r="E714" s="45"/>
      <c r="F714" s="45"/>
      <c r="G714" s="45"/>
      <c r="H714" s="45"/>
      <c r="I714" s="45"/>
      <c r="J714" s="45"/>
      <c r="K714" s="45"/>
      <c r="L714" s="46"/>
      <c r="M714" s="45"/>
      <c r="N714" s="45"/>
      <c r="O714" s="45"/>
      <c r="P714" s="45"/>
      <c r="Q714" s="45"/>
      <c r="R714" s="45"/>
      <c r="S714" s="45"/>
    </row>
    <row r="715">
      <c r="A715" s="45"/>
      <c r="B715" s="45"/>
      <c r="C715" s="45"/>
      <c r="D715" s="45"/>
      <c r="E715" s="45"/>
      <c r="F715" s="45"/>
      <c r="G715" s="45"/>
      <c r="H715" s="45"/>
      <c r="I715" s="45"/>
      <c r="J715" s="45"/>
      <c r="K715" s="45"/>
      <c r="L715" s="46"/>
      <c r="M715" s="45"/>
      <c r="N715" s="45"/>
      <c r="O715" s="45"/>
      <c r="P715" s="45"/>
      <c r="Q715" s="45"/>
      <c r="R715" s="45"/>
      <c r="S715" s="45"/>
    </row>
    <row r="716">
      <c r="A716" s="45"/>
      <c r="B716" s="45"/>
      <c r="C716" s="45"/>
      <c r="D716" s="45"/>
      <c r="E716" s="45"/>
      <c r="F716" s="45"/>
      <c r="G716" s="45"/>
      <c r="H716" s="45"/>
      <c r="I716" s="45"/>
      <c r="J716" s="45"/>
      <c r="K716" s="45"/>
      <c r="L716" s="46"/>
      <c r="M716" s="45"/>
      <c r="N716" s="45"/>
      <c r="O716" s="45"/>
      <c r="P716" s="45"/>
      <c r="Q716" s="45"/>
      <c r="R716" s="45"/>
      <c r="S716" s="45"/>
    </row>
    <row r="717">
      <c r="A717" s="45"/>
      <c r="B717" s="45"/>
      <c r="C717" s="45"/>
      <c r="D717" s="45"/>
      <c r="E717" s="45"/>
      <c r="F717" s="45"/>
      <c r="G717" s="45"/>
      <c r="H717" s="45"/>
      <c r="I717" s="45"/>
      <c r="J717" s="45"/>
      <c r="K717" s="45"/>
      <c r="L717" s="46"/>
      <c r="M717" s="45"/>
      <c r="N717" s="45"/>
      <c r="O717" s="45"/>
      <c r="P717" s="45"/>
      <c r="Q717" s="45"/>
      <c r="R717" s="45"/>
      <c r="S717" s="45"/>
    </row>
    <row r="718">
      <c r="A718" s="45"/>
      <c r="B718" s="45"/>
      <c r="C718" s="45"/>
      <c r="D718" s="45"/>
      <c r="E718" s="45"/>
      <c r="F718" s="45"/>
      <c r="G718" s="45"/>
      <c r="H718" s="45"/>
      <c r="I718" s="45"/>
      <c r="J718" s="45"/>
      <c r="K718" s="45"/>
      <c r="L718" s="46"/>
      <c r="M718" s="45"/>
      <c r="N718" s="45"/>
      <c r="O718" s="45"/>
      <c r="P718" s="45"/>
      <c r="Q718" s="45"/>
      <c r="R718" s="45"/>
      <c r="S718" s="45"/>
    </row>
    <row r="719">
      <c r="A719" s="45"/>
      <c r="B719" s="45"/>
      <c r="C719" s="45"/>
      <c r="D719" s="45"/>
      <c r="E719" s="45"/>
      <c r="F719" s="45"/>
      <c r="G719" s="45"/>
      <c r="H719" s="45"/>
      <c r="I719" s="45"/>
      <c r="J719" s="45"/>
      <c r="K719" s="45"/>
      <c r="L719" s="46"/>
      <c r="M719" s="45"/>
      <c r="N719" s="45"/>
      <c r="O719" s="45"/>
      <c r="P719" s="45"/>
      <c r="Q719" s="45"/>
      <c r="R719" s="45"/>
      <c r="S719" s="45"/>
    </row>
    <row r="720">
      <c r="A720" s="45"/>
      <c r="B720" s="45"/>
      <c r="C720" s="45"/>
      <c r="D720" s="45"/>
      <c r="E720" s="45"/>
      <c r="F720" s="45"/>
      <c r="G720" s="45"/>
      <c r="H720" s="45"/>
      <c r="I720" s="45"/>
      <c r="J720" s="45"/>
      <c r="K720" s="45"/>
      <c r="L720" s="46"/>
      <c r="M720" s="45"/>
      <c r="N720" s="45"/>
      <c r="O720" s="45"/>
      <c r="P720" s="45"/>
      <c r="Q720" s="45"/>
      <c r="R720" s="45"/>
      <c r="S720" s="45"/>
    </row>
    <row r="721">
      <c r="A721" s="45"/>
      <c r="B721" s="45"/>
      <c r="C721" s="45"/>
      <c r="D721" s="45"/>
      <c r="E721" s="45"/>
      <c r="F721" s="45"/>
      <c r="G721" s="45"/>
      <c r="H721" s="45"/>
      <c r="I721" s="45"/>
      <c r="J721" s="45"/>
      <c r="K721" s="45"/>
      <c r="L721" s="46"/>
      <c r="M721" s="45"/>
      <c r="N721" s="45"/>
      <c r="O721" s="45"/>
      <c r="P721" s="45"/>
      <c r="Q721" s="45"/>
      <c r="R721" s="45"/>
      <c r="S721" s="45"/>
    </row>
    <row r="722">
      <c r="A722" s="45"/>
      <c r="B722" s="45"/>
      <c r="C722" s="45"/>
      <c r="D722" s="45"/>
      <c r="E722" s="45"/>
      <c r="F722" s="45"/>
      <c r="G722" s="45"/>
      <c r="H722" s="45"/>
      <c r="I722" s="45"/>
      <c r="J722" s="45"/>
      <c r="K722" s="45"/>
      <c r="L722" s="46"/>
      <c r="M722" s="45"/>
      <c r="N722" s="45"/>
      <c r="O722" s="45"/>
      <c r="P722" s="45"/>
      <c r="Q722" s="45"/>
      <c r="R722" s="45"/>
      <c r="S722" s="45"/>
    </row>
    <row r="723">
      <c r="A723" s="45"/>
      <c r="B723" s="45"/>
      <c r="C723" s="45"/>
      <c r="D723" s="45"/>
      <c r="E723" s="45"/>
      <c r="F723" s="45"/>
      <c r="G723" s="45"/>
      <c r="H723" s="45"/>
      <c r="I723" s="45"/>
      <c r="J723" s="45"/>
      <c r="K723" s="45"/>
      <c r="L723" s="46"/>
      <c r="M723" s="45"/>
      <c r="N723" s="45"/>
      <c r="O723" s="45"/>
      <c r="P723" s="45"/>
      <c r="Q723" s="45"/>
      <c r="R723" s="45"/>
      <c r="S723" s="45"/>
    </row>
    <row r="724">
      <c r="A724" s="45"/>
      <c r="B724" s="45"/>
      <c r="C724" s="45"/>
      <c r="D724" s="45"/>
      <c r="E724" s="45"/>
      <c r="F724" s="45"/>
      <c r="G724" s="45"/>
      <c r="H724" s="45"/>
      <c r="I724" s="45"/>
      <c r="J724" s="45"/>
      <c r="K724" s="45"/>
      <c r="L724" s="46"/>
      <c r="M724" s="45"/>
      <c r="N724" s="45"/>
      <c r="O724" s="45"/>
      <c r="P724" s="45"/>
      <c r="Q724" s="45"/>
      <c r="R724" s="45"/>
      <c r="S724" s="45"/>
    </row>
    <row r="725">
      <c r="A725" s="45"/>
      <c r="B725" s="45"/>
      <c r="C725" s="45"/>
      <c r="D725" s="45"/>
      <c r="E725" s="45"/>
      <c r="F725" s="45"/>
      <c r="G725" s="45"/>
      <c r="H725" s="45"/>
      <c r="I725" s="45"/>
      <c r="J725" s="45"/>
      <c r="K725" s="45"/>
      <c r="L725" s="46"/>
      <c r="M725" s="45"/>
      <c r="N725" s="45"/>
      <c r="O725" s="45"/>
      <c r="P725" s="45"/>
      <c r="Q725" s="45"/>
      <c r="R725" s="45"/>
      <c r="S725" s="45"/>
    </row>
    <row r="726">
      <c r="A726" s="45"/>
      <c r="B726" s="45"/>
      <c r="C726" s="45"/>
      <c r="D726" s="45"/>
      <c r="E726" s="45"/>
      <c r="F726" s="45"/>
      <c r="G726" s="45"/>
      <c r="H726" s="45"/>
      <c r="I726" s="45"/>
      <c r="J726" s="45"/>
      <c r="K726" s="45"/>
      <c r="L726" s="46"/>
      <c r="M726" s="45"/>
      <c r="N726" s="45"/>
      <c r="O726" s="45"/>
      <c r="P726" s="45"/>
      <c r="Q726" s="45"/>
      <c r="R726" s="45"/>
      <c r="S726" s="45"/>
    </row>
    <row r="727">
      <c r="A727" s="45"/>
      <c r="B727" s="45"/>
      <c r="C727" s="45"/>
      <c r="D727" s="45"/>
      <c r="E727" s="45"/>
      <c r="F727" s="45"/>
      <c r="G727" s="45"/>
      <c r="H727" s="45"/>
      <c r="I727" s="45"/>
      <c r="J727" s="45"/>
      <c r="K727" s="45"/>
      <c r="L727" s="46"/>
      <c r="M727" s="45"/>
      <c r="N727" s="45"/>
      <c r="O727" s="45"/>
      <c r="P727" s="45"/>
      <c r="Q727" s="45"/>
      <c r="R727" s="45"/>
      <c r="S727" s="45"/>
    </row>
    <row r="728">
      <c r="A728" s="45"/>
      <c r="B728" s="45"/>
      <c r="C728" s="45"/>
      <c r="D728" s="45"/>
      <c r="E728" s="45"/>
      <c r="F728" s="45"/>
      <c r="G728" s="45"/>
      <c r="H728" s="45"/>
      <c r="I728" s="45"/>
      <c r="J728" s="45"/>
      <c r="K728" s="45"/>
      <c r="L728" s="46"/>
      <c r="M728" s="45"/>
      <c r="N728" s="45"/>
      <c r="O728" s="45"/>
      <c r="P728" s="45"/>
      <c r="Q728" s="45"/>
      <c r="R728" s="45"/>
      <c r="S728" s="45"/>
    </row>
    <row r="729">
      <c r="A729" s="45"/>
      <c r="B729" s="45"/>
      <c r="C729" s="45"/>
      <c r="D729" s="45"/>
      <c r="E729" s="45"/>
      <c r="F729" s="45"/>
      <c r="G729" s="45"/>
      <c r="H729" s="45"/>
      <c r="I729" s="45"/>
      <c r="J729" s="45"/>
      <c r="K729" s="45"/>
      <c r="L729" s="46"/>
      <c r="M729" s="45"/>
      <c r="N729" s="45"/>
      <c r="O729" s="45"/>
      <c r="P729" s="45"/>
      <c r="Q729" s="45"/>
      <c r="R729" s="45"/>
      <c r="S729" s="45"/>
    </row>
    <row r="730">
      <c r="A730" s="45"/>
      <c r="B730" s="45"/>
      <c r="C730" s="45"/>
      <c r="D730" s="45"/>
      <c r="E730" s="45"/>
      <c r="F730" s="45"/>
      <c r="G730" s="45"/>
      <c r="H730" s="45"/>
      <c r="I730" s="45"/>
      <c r="J730" s="45"/>
      <c r="K730" s="45"/>
      <c r="L730" s="46"/>
      <c r="M730" s="45"/>
      <c r="N730" s="45"/>
      <c r="O730" s="45"/>
      <c r="P730" s="45"/>
      <c r="Q730" s="45"/>
      <c r="R730" s="45"/>
      <c r="S730" s="45"/>
    </row>
    <row r="731">
      <c r="A731" s="45"/>
      <c r="B731" s="45"/>
      <c r="C731" s="45"/>
      <c r="D731" s="45"/>
      <c r="E731" s="45"/>
      <c r="F731" s="45"/>
      <c r="G731" s="45"/>
      <c r="H731" s="45"/>
      <c r="I731" s="45"/>
      <c r="J731" s="45"/>
      <c r="K731" s="45"/>
      <c r="L731" s="46"/>
      <c r="M731" s="45"/>
      <c r="N731" s="45"/>
      <c r="O731" s="45"/>
      <c r="P731" s="45"/>
      <c r="Q731" s="45"/>
      <c r="R731" s="45"/>
      <c r="S731" s="45"/>
    </row>
    <row r="732">
      <c r="A732" s="45"/>
      <c r="B732" s="45"/>
      <c r="C732" s="45"/>
      <c r="D732" s="45"/>
      <c r="E732" s="45"/>
      <c r="F732" s="45"/>
      <c r="G732" s="45"/>
      <c r="H732" s="45"/>
      <c r="I732" s="45"/>
      <c r="J732" s="45"/>
      <c r="K732" s="45"/>
      <c r="L732" s="46"/>
      <c r="M732" s="45"/>
      <c r="N732" s="45"/>
      <c r="O732" s="45"/>
      <c r="P732" s="45"/>
      <c r="Q732" s="45"/>
      <c r="R732" s="45"/>
      <c r="S732" s="45"/>
    </row>
    <row r="733">
      <c r="A733" s="45"/>
      <c r="B733" s="45"/>
      <c r="C733" s="45"/>
      <c r="D733" s="45"/>
      <c r="E733" s="45"/>
      <c r="F733" s="45"/>
      <c r="G733" s="45"/>
      <c r="H733" s="45"/>
      <c r="I733" s="45"/>
      <c r="J733" s="45"/>
      <c r="K733" s="45"/>
      <c r="L733" s="46"/>
      <c r="M733" s="45"/>
      <c r="N733" s="45"/>
      <c r="O733" s="45"/>
      <c r="P733" s="45"/>
      <c r="Q733" s="45"/>
      <c r="R733" s="45"/>
      <c r="S733" s="45"/>
    </row>
    <row r="734">
      <c r="A734" s="45"/>
      <c r="B734" s="45"/>
      <c r="C734" s="45"/>
      <c r="D734" s="45"/>
      <c r="E734" s="45"/>
      <c r="F734" s="45"/>
      <c r="G734" s="45"/>
      <c r="H734" s="45"/>
      <c r="I734" s="45"/>
      <c r="J734" s="45"/>
      <c r="K734" s="45"/>
      <c r="L734" s="46"/>
      <c r="M734" s="45"/>
      <c r="N734" s="45"/>
      <c r="O734" s="45"/>
      <c r="P734" s="45"/>
      <c r="Q734" s="45"/>
      <c r="R734" s="45"/>
      <c r="S734" s="45"/>
    </row>
    <row r="735">
      <c r="A735" s="45"/>
      <c r="B735" s="45"/>
      <c r="C735" s="45"/>
      <c r="D735" s="45"/>
      <c r="E735" s="45"/>
      <c r="F735" s="45"/>
      <c r="G735" s="45"/>
      <c r="H735" s="45"/>
      <c r="I735" s="45"/>
      <c r="J735" s="45"/>
      <c r="K735" s="45"/>
      <c r="L735" s="46"/>
      <c r="M735" s="45"/>
      <c r="N735" s="45"/>
      <c r="O735" s="45"/>
      <c r="P735" s="45"/>
      <c r="Q735" s="45"/>
      <c r="R735" s="45"/>
      <c r="S735" s="45"/>
    </row>
    <row r="736">
      <c r="A736" s="45"/>
      <c r="B736" s="45"/>
      <c r="C736" s="45"/>
      <c r="D736" s="45"/>
      <c r="E736" s="45"/>
      <c r="F736" s="45"/>
      <c r="G736" s="45"/>
      <c r="H736" s="45"/>
      <c r="I736" s="45"/>
      <c r="J736" s="45"/>
      <c r="K736" s="45"/>
      <c r="L736" s="46"/>
      <c r="M736" s="45"/>
      <c r="N736" s="45"/>
      <c r="O736" s="45"/>
      <c r="P736" s="45"/>
      <c r="Q736" s="45"/>
      <c r="R736" s="45"/>
      <c r="S736" s="45"/>
    </row>
    <row r="737">
      <c r="A737" s="45"/>
      <c r="B737" s="45"/>
      <c r="C737" s="45"/>
      <c r="D737" s="45"/>
      <c r="E737" s="45"/>
      <c r="F737" s="45"/>
      <c r="G737" s="45"/>
      <c r="H737" s="45"/>
      <c r="I737" s="45"/>
      <c r="J737" s="45"/>
      <c r="K737" s="45"/>
      <c r="L737" s="46"/>
      <c r="M737" s="45"/>
      <c r="N737" s="45"/>
      <c r="O737" s="45"/>
      <c r="P737" s="45"/>
      <c r="Q737" s="45"/>
      <c r="R737" s="45"/>
      <c r="S737" s="45"/>
    </row>
    <row r="738">
      <c r="A738" s="45"/>
      <c r="B738" s="45"/>
      <c r="C738" s="45"/>
      <c r="D738" s="45"/>
      <c r="E738" s="45"/>
      <c r="F738" s="45"/>
      <c r="G738" s="45"/>
      <c r="H738" s="45"/>
      <c r="I738" s="45"/>
      <c r="J738" s="45"/>
      <c r="K738" s="45"/>
      <c r="L738" s="46"/>
      <c r="M738" s="45"/>
      <c r="N738" s="45"/>
      <c r="O738" s="45"/>
      <c r="P738" s="45"/>
      <c r="Q738" s="45"/>
      <c r="R738" s="45"/>
      <c r="S738" s="45"/>
    </row>
    <row r="739">
      <c r="A739" s="45"/>
      <c r="B739" s="45"/>
      <c r="C739" s="45"/>
      <c r="D739" s="45"/>
      <c r="E739" s="45"/>
      <c r="F739" s="45"/>
      <c r="G739" s="45"/>
      <c r="H739" s="45"/>
      <c r="I739" s="45"/>
      <c r="J739" s="45"/>
      <c r="K739" s="45"/>
      <c r="L739" s="46"/>
      <c r="M739" s="45"/>
      <c r="N739" s="45"/>
      <c r="O739" s="45"/>
      <c r="P739" s="45"/>
      <c r="Q739" s="45"/>
      <c r="R739" s="45"/>
      <c r="S739" s="45"/>
    </row>
    <row r="740">
      <c r="A740" s="45"/>
      <c r="B740" s="45"/>
      <c r="C740" s="45"/>
      <c r="D740" s="45"/>
      <c r="E740" s="45"/>
      <c r="F740" s="45"/>
      <c r="G740" s="45"/>
      <c r="H740" s="45"/>
      <c r="I740" s="45"/>
      <c r="J740" s="45"/>
      <c r="K740" s="45"/>
      <c r="L740" s="46"/>
      <c r="M740" s="45"/>
      <c r="N740" s="45"/>
      <c r="O740" s="45"/>
      <c r="P740" s="45"/>
      <c r="Q740" s="45"/>
      <c r="R740" s="45"/>
      <c r="S740" s="45"/>
    </row>
    <row r="741">
      <c r="A741" s="45"/>
      <c r="B741" s="45"/>
      <c r="C741" s="45"/>
      <c r="D741" s="45"/>
      <c r="E741" s="45"/>
      <c r="F741" s="45"/>
      <c r="G741" s="45"/>
      <c r="H741" s="45"/>
      <c r="I741" s="45"/>
      <c r="J741" s="45"/>
      <c r="K741" s="45"/>
      <c r="L741" s="46"/>
      <c r="M741" s="45"/>
      <c r="N741" s="45"/>
      <c r="O741" s="45"/>
      <c r="P741" s="45"/>
      <c r="Q741" s="45"/>
      <c r="R741" s="45"/>
      <c r="S741" s="45"/>
    </row>
    <row r="742">
      <c r="A742" s="45"/>
      <c r="B742" s="45"/>
      <c r="C742" s="45"/>
      <c r="D742" s="45"/>
      <c r="E742" s="45"/>
      <c r="F742" s="45"/>
      <c r="G742" s="45"/>
      <c r="H742" s="45"/>
      <c r="I742" s="45"/>
      <c r="J742" s="45"/>
      <c r="K742" s="45"/>
      <c r="L742" s="46"/>
      <c r="M742" s="45"/>
      <c r="N742" s="45"/>
      <c r="O742" s="45"/>
      <c r="P742" s="45"/>
      <c r="Q742" s="45"/>
      <c r="R742" s="45"/>
      <c r="S742" s="45"/>
    </row>
    <row r="743">
      <c r="A743" s="45"/>
      <c r="B743" s="45"/>
      <c r="C743" s="45"/>
      <c r="D743" s="45"/>
      <c r="E743" s="45"/>
      <c r="F743" s="45"/>
      <c r="G743" s="45"/>
      <c r="H743" s="45"/>
      <c r="I743" s="45"/>
      <c r="J743" s="45"/>
      <c r="K743" s="45"/>
      <c r="L743" s="46"/>
      <c r="M743" s="45"/>
      <c r="N743" s="45"/>
      <c r="O743" s="45"/>
      <c r="P743" s="45"/>
      <c r="Q743" s="45"/>
      <c r="R743" s="45"/>
      <c r="S743" s="45"/>
    </row>
    <row r="744">
      <c r="A744" s="45"/>
      <c r="B744" s="45"/>
      <c r="C744" s="45"/>
      <c r="D744" s="45"/>
      <c r="E744" s="45"/>
      <c r="F744" s="45"/>
      <c r="G744" s="45"/>
      <c r="H744" s="45"/>
      <c r="I744" s="45"/>
      <c r="J744" s="45"/>
      <c r="K744" s="45"/>
      <c r="L744" s="46"/>
      <c r="M744" s="45"/>
      <c r="N744" s="45"/>
      <c r="O744" s="45"/>
      <c r="P744" s="45"/>
      <c r="Q744" s="45"/>
      <c r="R744" s="45"/>
      <c r="S744" s="45"/>
    </row>
    <row r="745">
      <c r="A745" s="45"/>
      <c r="B745" s="45"/>
      <c r="C745" s="45"/>
      <c r="D745" s="45"/>
      <c r="E745" s="45"/>
      <c r="F745" s="45"/>
      <c r="G745" s="45"/>
      <c r="H745" s="45"/>
      <c r="I745" s="45"/>
      <c r="J745" s="45"/>
      <c r="K745" s="45"/>
      <c r="L745" s="46"/>
      <c r="M745" s="45"/>
      <c r="N745" s="45"/>
      <c r="O745" s="45"/>
      <c r="P745" s="45"/>
      <c r="Q745" s="45"/>
      <c r="R745" s="45"/>
      <c r="S745" s="45"/>
    </row>
    <row r="746">
      <c r="A746" s="45"/>
      <c r="B746" s="45"/>
      <c r="C746" s="45"/>
      <c r="D746" s="45"/>
      <c r="E746" s="45"/>
      <c r="F746" s="45"/>
      <c r="G746" s="45"/>
      <c r="H746" s="45"/>
      <c r="I746" s="45"/>
      <c r="J746" s="45"/>
      <c r="K746" s="45"/>
      <c r="L746" s="46"/>
      <c r="M746" s="45"/>
      <c r="N746" s="45"/>
      <c r="O746" s="45"/>
      <c r="P746" s="45"/>
      <c r="Q746" s="45"/>
      <c r="R746" s="45"/>
      <c r="S746" s="45"/>
    </row>
    <row r="747">
      <c r="A747" s="45"/>
      <c r="B747" s="45"/>
      <c r="C747" s="45"/>
      <c r="D747" s="45"/>
      <c r="E747" s="45"/>
      <c r="F747" s="45"/>
      <c r="G747" s="45"/>
      <c r="H747" s="45"/>
      <c r="I747" s="45"/>
      <c r="J747" s="45"/>
      <c r="K747" s="45"/>
      <c r="L747" s="46"/>
      <c r="M747" s="45"/>
      <c r="N747" s="45"/>
      <c r="O747" s="45"/>
      <c r="P747" s="45"/>
      <c r="Q747" s="45"/>
      <c r="R747" s="45"/>
      <c r="S747" s="45"/>
    </row>
    <row r="748">
      <c r="A748" s="45"/>
      <c r="B748" s="45"/>
      <c r="C748" s="45"/>
      <c r="D748" s="45"/>
      <c r="E748" s="45"/>
      <c r="F748" s="45"/>
      <c r="G748" s="45"/>
      <c r="H748" s="45"/>
      <c r="I748" s="45"/>
      <c r="J748" s="45"/>
      <c r="K748" s="45"/>
      <c r="L748" s="46"/>
      <c r="M748" s="45"/>
      <c r="N748" s="45"/>
      <c r="O748" s="45"/>
      <c r="P748" s="45"/>
      <c r="Q748" s="45"/>
      <c r="R748" s="45"/>
      <c r="S748" s="45"/>
    </row>
    <row r="749">
      <c r="A749" s="45"/>
      <c r="B749" s="45"/>
      <c r="C749" s="45"/>
      <c r="D749" s="45"/>
      <c r="E749" s="45"/>
      <c r="F749" s="45"/>
      <c r="G749" s="45"/>
      <c r="H749" s="45"/>
      <c r="I749" s="45"/>
      <c r="J749" s="45"/>
      <c r="K749" s="45"/>
      <c r="L749" s="46"/>
      <c r="M749" s="45"/>
      <c r="N749" s="45"/>
      <c r="O749" s="45"/>
      <c r="P749" s="45"/>
      <c r="Q749" s="45"/>
      <c r="R749" s="45"/>
      <c r="S749" s="45"/>
    </row>
    <row r="750">
      <c r="A750" s="45"/>
      <c r="B750" s="45"/>
      <c r="C750" s="45"/>
      <c r="D750" s="45"/>
      <c r="E750" s="45"/>
      <c r="F750" s="45"/>
      <c r="G750" s="45"/>
      <c r="H750" s="45"/>
      <c r="I750" s="45"/>
      <c r="J750" s="45"/>
      <c r="K750" s="45"/>
      <c r="L750" s="46"/>
      <c r="M750" s="45"/>
      <c r="N750" s="45"/>
      <c r="O750" s="45"/>
      <c r="P750" s="45"/>
      <c r="Q750" s="45"/>
      <c r="R750" s="45"/>
      <c r="S750" s="45"/>
    </row>
    <row r="751">
      <c r="A751" s="45"/>
      <c r="B751" s="45"/>
      <c r="C751" s="45"/>
      <c r="D751" s="45"/>
      <c r="E751" s="45"/>
      <c r="F751" s="45"/>
      <c r="G751" s="45"/>
      <c r="H751" s="45"/>
      <c r="I751" s="45"/>
      <c r="J751" s="45"/>
      <c r="K751" s="45"/>
      <c r="L751" s="46"/>
      <c r="M751" s="45"/>
      <c r="N751" s="45"/>
      <c r="O751" s="45"/>
      <c r="P751" s="45"/>
      <c r="Q751" s="45"/>
      <c r="R751" s="45"/>
      <c r="S751" s="45"/>
    </row>
    <row r="752">
      <c r="A752" s="45"/>
      <c r="B752" s="45"/>
      <c r="C752" s="45"/>
      <c r="D752" s="45"/>
      <c r="E752" s="45"/>
      <c r="F752" s="45"/>
      <c r="G752" s="45"/>
      <c r="H752" s="45"/>
      <c r="I752" s="45"/>
      <c r="J752" s="45"/>
      <c r="K752" s="45"/>
      <c r="L752" s="46"/>
      <c r="M752" s="45"/>
      <c r="N752" s="45"/>
      <c r="O752" s="45"/>
      <c r="P752" s="45"/>
      <c r="Q752" s="45"/>
      <c r="R752" s="45"/>
      <c r="S752" s="45"/>
    </row>
    <row r="753">
      <c r="A753" s="45"/>
      <c r="B753" s="45"/>
      <c r="C753" s="45"/>
      <c r="D753" s="45"/>
      <c r="E753" s="45"/>
      <c r="F753" s="45"/>
      <c r="G753" s="45"/>
      <c r="H753" s="45"/>
      <c r="I753" s="45"/>
      <c r="J753" s="45"/>
      <c r="K753" s="45"/>
      <c r="L753" s="46"/>
      <c r="M753" s="45"/>
      <c r="N753" s="45"/>
      <c r="O753" s="45"/>
      <c r="P753" s="45"/>
      <c r="Q753" s="45"/>
      <c r="R753" s="45"/>
      <c r="S753" s="45"/>
    </row>
    <row r="754">
      <c r="A754" s="45"/>
      <c r="B754" s="45"/>
      <c r="C754" s="45"/>
      <c r="D754" s="45"/>
      <c r="E754" s="45"/>
      <c r="F754" s="45"/>
      <c r="G754" s="45"/>
      <c r="H754" s="45"/>
      <c r="I754" s="45"/>
      <c r="J754" s="45"/>
      <c r="K754" s="45"/>
      <c r="L754" s="46"/>
      <c r="M754" s="45"/>
      <c r="N754" s="45"/>
      <c r="O754" s="45"/>
      <c r="P754" s="45"/>
      <c r="Q754" s="45"/>
      <c r="R754" s="45"/>
      <c r="S754" s="45"/>
    </row>
    <row r="755">
      <c r="A755" s="45"/>
      <c r="B755" s="45"/>
      <c r="C755" s="45"/>
      <c r="D755" s="45"/>
      <c r="E755" s="45"/>
      <c r="F755" s="45"/>
      <c r="G755" s="45"/>
      <c r="H755" s="45"/>
      <c r="I755" s="45"/>
      <c r="J755" s="45"/>
      <c r="K755" s="45"/>
      <c r="L755" s="46"/>
      <c r="M755" s="45"/>
      <c r="N755" s="45"/>
      <c r="O755" s="45"/>
      <c r="P755" s="45"/>
      <c r="Q755" s="45"/>
      <c r="R755" s="45"/>
      <c r="S755" s="45"/>
    </row>
    <row r="756">
      <c r="A756" s="45"/>
      <c r="B756" s="45"/>
      <c r="C756" s="45"/>
      <c r="D756" s="45"/>
      <c r="E756" s="45"/>
      <c r="F756" s="45"/>
      <c r="G756" s="45"/>
      <c r="H756" s="45"/>
      <c r="I756" s="45"/>
      <c r="J756" s="45"/>
      <c r="K756" s="45"/>
      <c r="L756" s="46"/>
      <c r="M756" s="45"/>
      <c r="N756" s="45"/>
      <c r="O756" s="45"/>
      <c r="P756" s="45"/>
      <c r="Q756" s="45"/>
      <c r="R756" s="45"/>
      <c r="S756" s="45"/>
    </row>
    <row r="757">
      <c r="A757" s="45"/>
      <c r="B757" s="45"/>
      <c r="C757" s="45"/>
      <c r="D757" s="45"/>
      <c r="E757" s="45"/>
      <c r="F757" s="45"/>
      <c r="G757" s="45"/>
      <c r="H757" s="45"/>
      <c r="I757" s="45"/>
      <c r="J757" s="45"/>
      <c r="K757" s="45"/>
      <c r="L757" s="46"/>
      <c r="M757" s="45"/>
      <c r="N757" s="45"/>
      <c r="O757" s="45"/>
      <c r="P757" s="45"/>
      <c r="Q757" s="45"/>
      <c r="R757" s="45"/>
      <c r="S757" s="45"/>
    </row>
    <row r="758">
      <c r="A758" s="45"/>
      <c r="B758" s="45"/>
      <c r="C758" s="45"/>
      <c r="D758" s="45"/>
      <c r="E758" s="45"/>
      <c r="F758" s="45"/>
      <c r="G758" s="45"/>
      <c r="H758" s="45"/>
      <c r="I758" s="45"/>
      <c r="J758" s="45"/>
      <c r="K758" s="45"/>
      <c r="L758" s="46"/>
      <c r="M758" s="45"/>
      <c r="N758" s="45"/>
      <c r="O758" s="45"/>
      <c r="P758" s="45"/>
      <c r="Q758" s="45"/>
      <c r="R758" s="45"/>
      <c r="S758" s="45"/>
    </row>
    <row r="759">
      <c r="A759" s="45"/>
      <c r="B759" s="45"/>
      <c r="C759" s="45"/>
      <c r="D759" s="45"/>
      <c r="E759" s="45"/>
      <c r="F759" s="45"/>
      <c r="G759" s="45"/>
      <c r="H759" s="45"/>
      <c r="I759" s="45"/>
      <c r="J759" s="45"/>
      <c r="K759" s="45"/>
      <c r="L759" s="46"/>
      <c r="M759" s="45"/>
      <c r="N759" s="45"/>
      <c r="O759" s="45"/>
      <c r="P759" s="45"/>
      <c r="Q759" s="45"/>
      <c r="R759" s="45"/>
      <c r="S759" s="45"/>
    </row>
    <row r="760">
      <c r="A760" s="45"/>
      <c r="B760" s="45"/>
      <c r="C760" s="45"/>
      <c r="D760" s="45"/>
      <c r="E760" s="45"/>
      <c r="F760" s="45"/>
      <c r="G760" s="45"/>
      <c r="H760" s="45"/>
      <c r="I760" s="45"/>
      <c r="J760" s="45"/>
      <c r="K760" s="45"/>
      <c r="L760" s="46"/>
      <c r="M760" s="45"/>
      <c r="N760" s="45"/>
      <c r="O760" s="45"/>
      <c r="P760" s="45"/>
      <c r="Q760" s="45"/>
      <c r="R760" s="45"/>
      <c r="S760" s="45"/>
    </row>
    <row r="761">
      <c r="A761" s="45"/>
      <c r="B761" s="45"/>
      <c r="C761" s="45"/>
      <c r="D761" s="45"/>
      <c r="E761" s="45"/>
      <c r="F761" s="45"/>
      <c r="G761" s="45"/>
      <c r="H761" s="45"/>
      <c r="I761" s="45"/>
      <c r="J761" s="45"/>
      <c r="K761" s="45"/>
      <c r="L761" s="46"/>
      <c r="M761" s="45"/>
      <c r="N761" s="45"/>
      <c r="O761" s="45"/>
      <c r="P761" s="45"/>
      <c r="Q761" s="45"/>
      <c r="R761" s="45"/>
      <c r="S761" s="45"/>
    </row>
    <row r="762">
      <c r="A762" s="45"/>
      <c r="B762" s="45"/>
      <c r="C762" s="45"/>
      <c r="D762" s="45"/>
      <c r="E762" s="45"/>
      <c r="F762" s="45"/>
      <c r="G762" s="45"/>
      <c r="H762" s="45"/>
      <c r="I762" s="45"/>
      <c r="J762" s="45"/>
      <c r="K762" s="45"/>
      <c r="L762" s="46"/>
      <c r="M762" s="45"/>
      <c r="N762" s="45"/>
      <c r="O762" s="45"/>
      <c r="P762" s="45"/>
      <c r="Q762" s="45"/>
      <c r="R762" s="45"/>
      <c r="S762" s="45"/>
    </row>
    <row r="763">
      <c r="A763" s="45"/>
      <c r="B763" s="45"/>
      <c r="C763" s="45"/>
      <c r="D763" s="45"/>
      <c r="E763" s="45"/>
      <c r="F763" s="45"/>
      <c r="G763" s="45"/>
      <c r="H763" s="45"/>
      <c r="I763" s="45"/>
      <c r="J763" s="45"/>
      <c r="K763" s="45"/>
      <c r="L763" s="46"/>
      <c r="M763" s="45"/>
      <c r="N763" s="45"/>
      <c r="O763" s="45"/>
      <c r="P763" s="45"/>
      <c r="Q763" s="45"/>
      <c r="R763" s="45"/>
      <c r="S763" s="45"/>
    </row>
    <row r="764">
      <c r="A764" s="45"/>
      <c r="B764" s="45"/>
      <c r="C764" s="45"/>
      <c r="D764" s="45"/>
      <c r="E764" s="45"/>
      <c r="F764" s="45"/>
      <c r="G764" s="45"/>
      <c r="H764" s="45"/>
      <c r="I764" s="45"/>
      <c r="J764" s="45"/>
      <c r="K764" s="45"/>
      <c r="L764" s="46"/>
      <c r="M764" s="45"/>
      <c r="N764" s="45"/>
      <c r="O764" s="45"/>
      <c r="P764" s="45"/>
      <c r="Q764" s="45"/>
      <c r="R764" s="45"/>
      <c r="S764" s="45"/>
    </row>
    <row r="765">
      <c r="A765" s="45"/>
      <c r="B765" s="45"/>
      <c r="C765" s="45"/>
      <c r="D765" s="45"/>
      <c r="E765" s="45"/>
      <c r="F765" s="45"/>
      <c r="G765" s="45"/>
      <c r="H765" s="45"/>
      <c r="I765" s="45"/>
      <c r="J765" s="45"/>
      <c r="K765" s="45"/>
      <c r="L765" s="46"/>
      <c r="M765" s="45"/>
      <c r="N765" s="45"/>
      <c r="O765" s="45"/>
      <c r="P765" s="45"/>
      <c r="Q765" s="45"/>
      <c r="R765" s="45"/>
      <c r="S765" s="45"/>
    </row>
    <row r="766">
      <c r="A766" s="45"/>
      <c r="B766" s="45"/>
      <c r="C766" s="45"/>
      <c r="D766" s="45"/>
      <c r="E766" s="45"/>
      <c r="F766" s="45"/>
      <c r="G766" s="45"/>
      <c r="H766" s="45"/>
      <c r="I766" s="45"/>
      <c r="J766" s="45"/>
      <c r="K766" s="45"/>
      <c r="L766" s="46"/>
      <c r="M766" s="45"/>
      <c r="N766" s="45"/>
      <c r="O766" s="45"/>
      <c r="P766" s="45"/>
      <c r="Q766" s="45"/>
      <c r="R766" s="45"/>
      <c r="S766" s="45"/>
    </row>
    <row r="767">
      <c r="A767" s="45"/>
      <c r="B767" s="45"/>
      <c r="C767" s="45"/>
      <c r="D767" s="45"/>
      <c r="E767" s="45"/>
      <c r="F767" s="45"/>
      <c r="G767" s="45"/>
      <c r="H767" s="45"/>
      <c r="I767" s="45"/>
      <c r="J767" s="45"/>
      <c r="K767" s="45"/>
      <c r="L767" s="46"/>
      <c r="M767" s="45"/>
      <c r="N767" s="45"/>
      <c r="O767" s="45"/>
      <c r="P767" s="45"/>
      <c r="Q767" s="45"/>
      <c r="R767" s="45"/>
      <c r="S767" s="45"/>
    </row>
    <row r="768">
      <c r="A768" s="45"/>
      <c r="B768" s="45"/>
      <c r="C768" s="45"/>
      <c r="D768" s="45"/>
      <c r="E768" s="45"/>
      <c r="F768" s="45"/>
      <c r="G768" s="45"/>
      <c r="H768" s="45"/>
      <c r="I768" s="45"/>
      <c r="J768" s="45"/>
      <c r="K768" s="45"/>
      <c r="L768" s="46"/>
      <c r="M768" s="45"/>
      <c r="N768" s="45"/>
      <c r="O768" s="45"/>
      <c r="P768" s="45"/>
      <c r="Q768" s="45"/>
      <c r="R768" s="45"/>
      <c r="S768" s="45"/>
    </row>
    <row r="769">
      <c r="A769" s="45"/>
      <c r="B769" s="45"/>
      <c r="C769" s="45"/>
      <c r="D769" s="45"/>
      <c r="E769" s="45"/>
      <c r="F769" s="45"/>
      <c r="G769" s="45"/>
      <c r="H769" s="45"/>
      <c r="I769" s="45"/>
      <c r="J769" s="45"/>
      <c r="K769" s="45"/>
      <c r="L769" s="46"/>
      <c r="M769" s="45"/>
      <c r="N769" s="45"/>
      <c r="O769" s="45"/>
      <c r="P769" s="45"/>
      <c r="Q769" s="45"/>
      <c r="R769" s="45"/>
      <c r="S769" s="45"/>
    </row>
    <row r="770">
      <c r="A770" s="45"/>
      <c r="B770" s="45"/>
      <c r="C770" s="45"/>
      <c r="D770" s="45"/>
      <c r="E770" s="45"/>
      <c r="F770" s="45"/>
      <c r="G770" s="45"/>
      <c r="H770" s="45"/>
      <c r="I770" s="45"/>
      <c r="J770" s="45"/>
      <c r="K770" s="45"/>
      <c r="L770" s="46"/>
      <c r="M770" s="45"/>
      <c r="N770" s="45"/>
      <c r="O770" s="45"/>
      <c r="P770" s="45"/>
      <c r="Q770" s="45"/>
      <c r="R770" s="45"/>
      <c r="S770" s="45"/>
    </row>
    <row r="771">
      <c r="A771" s="45"/>
      <c r="B771" s="45"/>
      <c r="C771" s="45"/>
      <c r="D771" s="45"/>
      <c r="E771" s="45"/>
      <c r="F771" s="45"/>
      <c r="G771" s="45"/>
      <c r="H771" s="45"/>
      <c r="I771" s="45"/>
      <c r="J771" s="45"/>
      <c r="K771" s="45"/>
      <c r="L771" s="46"/>
      <c r="M771" s="45"/>
      <c r="N771" s="45"/>
      <c r="O771" s="45"/>
      <c r="P771" s="45"/>
      <c r="Q771" s="45"/>
      <c r="R771" s="45"/>
      <c r="S771" s="45"/>
    </row>
    <row r="772">
      <c r="A772" s="45"/>
      <c r="B772" s="45"/>
      <c r="C772" s="45"/>
      <c r="D772" s="45"/>
      <c r="E772" s="45"/>
      <c r="F772" s="45"/>
      <c r="G772" s="45"/>
      <c r="H772" s="45"/>
      <c r="I772" s="45"/>
      <c r="J772" s="45"/>
      <c r="K772" s="45"/>
      <c r="L772" s="46"/>
      <c r="M772" s="45"/>
      <c r="N772" s="45"/>
      <c r="O772" s="45"/>
      <c r="P772" s="45"/>
      <c r="Q772" s="45"/>
      <c r="R772" s="45"/>
      <c r="S772" s="45"/>
    </row>
    <row r="773">
      <c r="A773" s="45"/>
      <c r="B773" s="45"/>
      <c r="C773" s="45"/>
      <c r="D773" s="45"/>
      <c r="E773" s="45"/>
      <c r="F773" s="45"/>
      <c r="G773" s="45"/>
      <c r="H773" s="45"/>
      <c r="I773" s="45"/>
      <c r="J773" s="45"/>
      <c r="K773" s="45"/>
      <c r="L773" s="46"/>
      <c r="M773" s="45"/>
      <c r="N773" s="45"/>
      <c r="O773" s="45"/>
      <c r="P773" s="45"/>
      <c r="Q773" s="45"/>
      <c r="R773" s="45"/>
      <c r="S773" s="45"/>
    </row>
    <row r="774">
      <c r="A774" s="45"/>
      <c r="B774" s="45"/>
      <c r="C774" s="45"/>
      <c r="D774" s="45"/>
      <c r="E774" s="45"/>
      <c r="F774" s="45"/>
      <c r="G774" s="45"/>
      <c r="H774" s="45"/>
      <c r="I774" s="45"/>
      <c r="J774" s="45"/>
      <c r="K774" s="45"/>
      <c r="L774" s="46"/>
      <c r="M774" s="45"/>
      <c r="N774" s="45"/>
      <c r="O774" s="45"/>
      <c r="P774" s="45"/>
      <c r="Q774" s="45"/>
      <c r="R774" s="45"/>
      <c r="S774" s="45"/>
    </row>
    <row r="775">
      <c r="A775" s="45"/>
      <c r="B775" s="45"/>
      <c r="C775" s="45"/>
      <c r="D775" s="45"/>
      <c r="E775" s="45"/>
      <c r="F775" s="45"/>
      <c r="G775" s="45"/>
      <c r="H775" s="45"/>
      <c r="I775" s="45"/>
      <c r="J775" s="45"/>
      <c r="K775" s="45"/>
      <c r="L775" s="46"/>
      <c r="M775" s="45"/>
      <c r="N775" s="45"/>
      <c r="O775" s="45"/>
      <c r="P775" s="45"/>
      <c r="Q775" s="45"/>
      <c r="R775" s="45"/>
      <c r="S775" s="45"/>
    </row>
    <row r="776">
      <c r="A776" s="45"/>
      <c r="B776" s="45"/>
      <c r="C776" s="45"/>
      <c r="D776" s="45"/>
      <c r="E776" s="45"/>
      <c r="F776" s="45"/>
      <c r="G776" s="45"/>
      <c r="H776" s="45"/>
      <c r="I776" s="45"/>
      <c r="J776" s="45"/>
      <c r="K776" s="45"/>
      <c r="L776" s="46"/>
      <c r="M776" s="45"/>
      <c r="N776" s="45"/>
      <c r="O776" s="45"/>
      <c r="P776" s="45"/>
      <c r="Q776" s="45"/>
      <c r="R776" s="45"/>
      <c r="S776" s="45"/>
    </row>
    <row r="777">
      <c r="A777" s="45"/>
      <c r="B777" s="45"/>
      <c r="C777" s="45"/>
      <c r="D777" s="45"/>
      <c r="E777" s="45"/>
      <c r="F777" s="45"/>
      <c r="G777" s="45"/>
      <c r="H777" s="45"/>
      <c r="I777" s="45"/>
      <c r="J777" s="45"/>
      <c r="K777" s="45"/>
      <c r="L777" s="46"/>
      <c r="M777" s="45"/>
      <c r="N777" s="45"/>
      <c r="O777" s="45"/>
      <c r="P777" s="45"/>
      <c r="Q777" s="45"/>
      <c r="R777" s="45"/>
      <c r="S777" s="45"/>
    </row>
    <row r="778">
      <c r="A778" s="45"/>
      <c r="B778" s="45"/>
      <c r="C778" s="45"/>
      <c r="D778" s="45"/>
      <c r="E778" s="45"/>
      <c r="F778" s="45"/>
      <c r="G778" s="45"/>
      <c r="H778" s="45"/>
      <c r="I778" s="45"/>
      <c r="J778" s="45"/>
      <c r="K778" s="45"/>
      <c r="L778" s="46"/>
      <c r="M778" s="45"/>
      <c r="N778" s="45"/>
      <c r="O778" s="45"/>
      <c r="P778" s="45"/>
      <c r="Q778" s="45"/>
      <c r="R778" s="45"/>
      <c r="S778" s="45"/>
    </row>
    <row r="779">
      <c r="A779" s="45"/>
      <c r="B779" s="45"/>
      <c r="C779" s="45"/>
      <c r="D779" s="45"/>
      <c r="E779" s="45"/>
      <c r="F779" s="45"/>
      <c r="G779" s="45"/>
      <c r="H779" s="45"/>
      <c r="I779" s="45"/>
      <c r="J779" s="45"/>
      <c r="K779" s="45"/>
      <c r="L779" s="46"/>
      <c r="M779" s="45"/>
      <c r="N779" s="45"/>
      <c r="O779" s="45"/>
      <c r="P779" s="45"/>
      <c r="Q779" s="45"/>
      <c r="R779" s="45"/>
      <c r="S779" s="45"/>
    </row>
    <row r="780">
      <c r="A780" s="45"/>
      <c r="B780" s="45"/>
      <c r="C780" s="45"/>
      <c r="D780" s="45"/>
      <c r="E780" s="45"/>
      <c r="F780" s="45"/>
      <c r="G780" s="45"/>
      <c r="H780" s="45"/>
      <c r="I780" s="45"/>
      <c r="J780" s="45"/>
      <c r="K780" s="45"/>
      <c r="L780" s="46"/>
      <c r="M780" s="45"/>
      <c r="N780" s="45"/>
      <c r="O780" s="45"/>
      <c r="P780" s="45"/>
      <c r="Q780" s="45"/>
      <c r="R780" s="45"/>
      <c r="S780" s="45"/>
    </row>
    <row r="781">
      <c r="A781" s="45"/>
      <c r="B781" s="45"/>
      <c r="C781" s="45"/>
      <c r="D781" s="45"/>
      <c r="E781" s="45"/>
      <c r="F781" s="45"/>
      <c r="G781" s="45"/>
      <c r="H781" s="45"/>
      <c r="I781" s="45"/>
      <c r="J781" s="45"/>
      <c r="K781" s="45"/>
      <c r="L781" s="46"/>
      <c r="M781" s="45"/>
      <c r="N781" s="45"/>
      <c r="O781" s="45"/>
      <c r="P781" s="45"/>
      <c r="Q781" s="45"/>
      <c r="R781" s="45"/>
      <c r="S781" s="45"/>
    </row>
    <row r="782">
      <c r="A782" s="45"/>
      <c r="B782" s="45"/>
      <c r="C782" s="45"/>
      <c r="D782" s="45"/>
      <c r="E782" s="45"/>
      <c r="F782" s="45"/>
      <c r="G782" s="45"/>
      <c r="H782" s="45"/>
      <c r="I782" s="45"/>
      <c r="J782" s="45"/>
      <c r="K782" s="45"/>
      <c r="L782" s="46"/>
      <c r="M782" s="45"/>
      <c r="N782" s="45"/>
      <c r="O782" s="45"/>
      <c r="P782" s="45"/>
      <c r="Q782" s="45"/>
      <c r="R782" s="45"/>
      <c r="S782" s="45"/>
    </row>
    <row r="783">
      <c r="A783" s="45"/>
      <c r="B783" s="45"/>
      <c r="C783" s="45"/>
      <c r="D783" s="45"/>
      <c r="E783" s="45"/>
      <c r="F783" s="45"/>
      <c r="G783" s="45"/>
      <c r="H783" s="45"/>
      <c r="I783" s="45"/>
      <c r="J783" s="45"/>
      <c r="K783" s="45"/>
      <c r="L783" s="46"/>
      <c r="M783" s="45"/>
      <c r="N783" s="45"/>
      <c r="O783" s="45"/>
      <c r="P783" s="45"/>
      <c r="Q783" s="45"/>
      <c r="R783" s="45"/>
      <c r="S783" s="45"/>
    </row>
    <row r="784">
      <c r="A784" s="45"/>
      <c r="B784" s="45"/>
      <c r="C784" s="45"/>
      <c r="D784" s="45"/>
      <c r="E784" s="45"/>
      <c r="F784" s="45"/>
      <c r="G784" s="45"/>
      <c r="H784" s="45"/>
      <c r="I784" s="45"/>
      <c r="J784" s="45"/>
      <c r="K784" s="45"/>
      <c r="L784" s="46"/>
      <c r="M784" s="45"/>
      <c r="N784" s="45"/>
      <c r="O784" s="45"/>
      <c r="P784" s="45"/>
      <c r="Q784" s="45"/>
      <c r="R784" s="45"/>
      <c r="S784" s="45"/>
    </row>
    <row r="785">
      <c r="A785" s="45"/>
      <c r="B785" s="45"/>
      <c r="C785" s="45"/>
      <c r="D785" s="45"/>
      <c r="E785" s="45"/>
      <c r="F785" s="45"/>
      <c r="G785" s="45"/>
      <c r="H785" s="45"/>
      <c r="I785" s="45"/>
      <c r="J785" s="45"/>
      <c r="K785" s="45"/>
      <c r="L785" s="46"/>
      <c r="M785" s="45"/>
      <c r="N785" s="45"/>
      <c r="O785" s="45"/>
      <c r="P785" s="45"/>
      <c r="Q785" s="45"/>
      <c r="R785" s="45"/>
      <c r="S785" s="45"/>
    </row>
    <row r="786">
      <c r="A786" s="45"/>
      <c r="B786" s="45"/>
      <c r="C786" s="45"/>
      <c r="D786" s="45"/>
      <c r="E786" s="45"/>
      <c r="F786" s="45"/>
      <c r="G786" s="45"/>
      <c r="H786" s="45"/>
      <c r="I786" s="45"/>
      <c r="J786" s="45"/>
      <c r="K786" s="45"/>
      <c r="L786" s="46"/>
      <c r="M786" s="45"/>
      <c r="N786" s="45"/>
      <c r="O786" s="45"/>
      <c r="P786" s="45"/>
      <c r="Q786" s="45"/>
      <c r="R786" s="45"/>
      <c r="S786" s="45"/>
    </row>
    <row r="787">
      <c r="A787" s="45"/>
      <c r="B787" s="45"/>
      <c r="C787" s="45"/>
      <c r="D787" s="45"/>
      <c r="E787" s="45"/>
      <c r="F787" s="45"/>
      <c r="G787" s="45"/>
      <c r="H787" s="45"/>
      <c r="I787" s="45"/>
      <c r="J787" s="45"/>
      <c r="K787" s="45"/>
      <c r="L787" s="46"/>
      <c r="M787" s="45"/>
      <c r="N787" s="45"/>
      <c r="O787" s="45"/>
      <c r="P787" s="45"/>
      <c r="Q787" s="45"/>
      <c r="R787" s="45"/>
      <c r="S787" s="45"/>
    </row>
    <row r="788">
      <c r="A788" s="45"/>
      <c r="B788" s="45"/>
      <c r="C788" s="45"/>
      <c r="D788" s="45"/>
      <c r="E788" s="45"/>
      <c r="F788" s="45"/>
      <c r="G788" s="45"/>
      <c r="H788" s="45"/>
      <c r="I788" s="45"/>
      <c r="J788" s="45"/>
      <c r="K788" s="45"/>
      <c r="L788" s="46"/>
      <c r="M788" s="45"/>
      <c r="N788" s="45"/>
      <c r="O788" s="45"/>
      <c r="P788" s="45"/>
      <c r="Q788" s="45"/>
      <c r="R788" s="45"/>
      <c r="S788" s="45"/>
    </row>
    <row r="789">
      <c r="A789" s="45"/>
      <c r="B789" s="45"/>
      <c r="C789" s="45"/>
      <c r="D789" s="45"/>
      <c r="E789" s="45"/>
      <c r="F789" s="45"/>
      <c r="G789" s="45"/>
      <c r="H789" s="45"/>
      <c r="I789" s="45"/>
      <c r="J789" s="45"/>
      <c r="K789" s="45"/>
      <c r="L789" s="46"/>
      <c r="M789" s="45"/>
      <c r="N789" s="45"/>
      <c r="O789" s="45"/>
      <c r="P789" s="45"/>
      <c r="Q789" s="45"/>
      <c r="R789" s="45"/>
      <c r="S789" s="45"/>
    </row>
    <row r="790">
      <c r="A790" s="45"/>
      <c r="B790" s="45"/>
      <c r="C790" s="45"/>
      <c r="D790" s="45"/>
      <c r="E790" s="45"/>
      <c r="F790" s="45"/>
      <c r="G790" s="45"/>
      <c r="H790" s="45"/>
      <c r="I790" s="45"/>
      <c r="J790" s="45"/>
      <c r="K790" s="45"/>
      <c r="L790" s="46"/>
      <c r="M790" s="45"/>
      <c r="N790" s="45"/>
      <c r="O790" s="45"/>
      <c r="P790" s="45"/>
      <c r="Q790" s="45"/>
      <c r="R790" s="45"/>
      <c r="S790" s="45"/>
    </row>
    <row r="791">
      <c r="A791" s="45"/>
      <c r="B791" s="45"/>
      <c r="C791" s="45"/>
      <c r="D791" s="45"/>
      <c r="E791" s="45"/>
      <c r="F791" s="45"/>
      <c r="G791" s="45"/>
      <c r="H791" s="45"/>
      <c r="I791" s="45"/>
      <c r="J791" s="45"/>
      <c r="K791" s="45"/>
      <c r="L791" s="46"/>
      <c r="M791" s="45"/>
      <c r="N791" s="45"/>
      <c r="O791" s="45"/>
      <c r="P791" s="45"/>
      <c r="Q791" s="45"/>
      <c r="R791" s="45"/>
      <c r="S791" s="45"/>
    </row>
    <row r="792">
      <c r="A792" s="45"/>
      <c r="B792" s="45"/>
      <c r="C792" s="45"/>
      <c r="D792" s="45"/>
      <c r="E792" s="45"/>
      <c r="F792" s="45"/>
      <c r="G792" s="45"/>
      <c r="H792" s="45"/>
      <c r="I792" s="45"/>
      <c r="J792" s="45"/>
      <c r="K792" s="45"/>
      <c r="L792" s="46"/>
      <c r="M792" s="45"/>
      <c r="N792" s="45"/>
      <c r="O792" s="45"/>
      <c r="P792" s="45"/>
      <c r="Q792" s="45"/>
      <c r="R792" s="45"/>
      <c r="S792" s="45"/>
    </row>
    <row r="793">
      <c r="A793" s="45"/>
      <c r="B793" s="45"/>
      <c r="C793" s="45"/>
      <c r="D793" s="45"/>
      <c r="E793" s="45"/>
      <c r="F793" s="45"/>
      <c r="G793" s="45"/>
      <c r="H793" s="45"/>
      <c r="I793" s="45"/>
      <c r="J793" s="45"/>
      <c r="K793" s="45"/>
      <c r="L793" s="46"/>
      <c r="M793" s="45"/>
      <c r="N793" s="45"/>
      <c r="O793" s="45"/>
      <c r="P793" s="45"/>
      <c r="Q793" s="45"/>
      <c r="R793" s="45"/>
      <c r="S793" s="45"/>
    </row>
    <row r="794">
      <c r="A794" s="45"/>
      <c r="B794" s="45"/>
      <c r="C794" s="45"/>
      <c r="D794" s="45"/>
      <c r="E794" s="45"/>
      <c r="F794" s="45"/>
      <c r="G794" s="45"/>
      <c r="H794" s="45"/>
      <c r="I794" s="45"/>
      <c r="J794" s="45"/>
      <c r="K794" s="45"/>
      <c r="L794" s="46"/>
      <c r="M794" s="45"/>
      <c r="N794" s="45"/>
      <c r="O794" s="45"/>
      <c r="P794" s="45"/>
      <c r="Q794" s="45"/>
      <c r="R794" s="45"/>
      <c r="S794" s="45"/>
    </row>
    <row r="795">
      <c r="A795" s="45"/>
      <c r="B795" s="45"/>
      <c r="C795" s="45"/>
      <c r="D795" s="45"/>
      <c r="E795" s="45"/>
      <c r="F795" s="45"/>
      <c r="G795" s="45"/>
      <c r="H795" s="45"/>
      <c r="I795" s="45"/>
      <c r="J795" s="45"/>
      <c r="K795" s="45"/>
      <c r="L795" s="46"/>
      <c r="M795" s="45"/>
      <c r="N795" s="45"/>
      <c r="O795" s="45"/>
      <c r="P795" s="45"/>
      <c r="Q795" s="45"/>
      <c r="R795" s="45"/>
      <c r="S795" s="45"/>
    </row>
    <row r="796">
      <c r="A796" s="45"/>
      <c r="B796" s="45"/>
      <c r="C796" s="45"/>
      <c r="D796" s="45"/>
      <c r="E796" s="45"/>
      <c r="F796" s="45"/>
      <c r="G796" s="45"/>
      <c r="H796" s="45"/>
      <c r="I796" s="45"/>
      <c r="J796" s="45"/>
      <c r="K796" s="45"/>
      <c r="L796" s="46"/>
      <c r="M796" s="45"/>
      <c r="N796" s="45"/>
      <c r="O796" s="45"/>
      <c r="P796" s="45"/>
      <c r="Q796" s="45"/>
      <c r="R796" s="45"/>
      <c r="S796" s="45"/>
    </row>
    <row r="797">
      <c r="A797" s="45"/>
      <c r="B797" s="45"/>
      <c r="C797" s="45"/>
      <c r="D797" s="45"/>
      <c r="E797" s="45"/>
      <c r="F797" s="45"/>
      <c r="G797" s="45"/>
      <c r="H797" s="45"/>
      <c r="I797" s="45"/>
      <c r="J797" s="45"/>
      <c r="K797" s="45"/>
      <c r="L797" s="46"/>
      <c r="M797" s="45"/>
      <c r="N797" s="45"/>
      <c r="O797" s="45"/>
      <c r="P797" s="45"/>
      <c r="Q797" s="45"/>
      <c r="R797" s="45"/>
      <c r="S797" s="45"/>
    </row>
    <row r="798">
      <c r="A798" s="45"/>
      <c r="B798" s="45"/>
      <c r="C798" s="45"/>
      <c r="D798" s="45"/>
      <c r="E798" s="45"/>
      <c r="F798" s="45"/>
      <c r="G798" s="45"/>
      <c r="H798" s="45"/>
      <c r="I798" s="45"/>
      <c r="J798" s="45"/>
      <c r="K798" s="45"/>
      <c r="L798" s="46"/>
      <c r="M798" s="45"/>
      <c r="N798" s="45"/>
      <c r="O798" s="45"/>
      <c r="P798" s="45"/>
      <c r="Q798" s="45"/>
      <c r="R798" s="45"/>
      <c r="S798" s="45"/>
    </row>
    <row r="799">
      <c r="A799" s="45"/>
      <c r="B799" s="45"/>
      <c r="C799" s="45"/>
      <c r="D799" s="45"/>
      <c r="E799" s="45"/>
      <c r="F799" s="45"/>
      <c r="G799" s="45"/>
      <c r="H799" s="45"/>
      <c r="I799" s="45"/>
      <c r="J799" s="45"/>
      <c r="K799" s="45"/>
      <c r="L799" s="46"/>
      <c r="M799" s="45"/>
      <c r="N799" s="45"/>
      <c r="O799" s="45"/>
      <c r="P799" s="45"/>
      <c r="Q799" s="45"/>
      <c r="R799" s="45"/>
      <c r="S799" s="45"/>
    </row>
    <row r="800">
      <c r="A800" s="45"/>
      <c r="B800" s="45"/>
      <c r="C800" s="45"/>
      <c r="D800" s="45"/>
      <c r="E800" s="45"/>
      <c r="F800" s="45"/>
      <c r="G800" s="45"/>
      <c r="H800" s="45"/>
      <c r="I800" s="45"/>
      <c r="J800" s="45"/>
      <c r="K800" s="45"/>
      <c r="L800" s="46"/>
      <c r="M800" s="45"/>
      <c r="N800" s="45"/>
      <c r="O800" s="45"/>
      <c r="P800" s="45"/>
      <c r="Q800" s="45"/>
      <c r="R800" s="45"/>
      <c r="S800" s="45"/>
    </row>
    <row r="801">
      <c r="A801" s="45"/>
      <c r="B801" s="45"/>
      <c r="C801" s="45"/>
      <c r="D801" s="45"/>
      <c r="E801" s="45"/>
      <c r="F801" s="45"/>
      <c r="G801" s="45"/>
      <c r="H801" s="45"/>
      <c r="I801" s="45"/>
      <c r="J801" s="45"/>
      <c r="K801" s="45"/>
      <c r="L801" s="46"/>
      <c r="M801" s="45"/>
      <c r="N801" s="45"/>
      <c r="O801" s="45"/>
      <c r="P801" s="45"/>
      <c r="Q801" s="45"/>
      <c r="R801" s="45"/>
      <c r="S801" s="45"/>
    </row>
    <row r="802">
      <c r="A802" s="45"/>
      <c r="B802" s="45"/>
      <c r="C802" s="45"/>
      <c r="D802" s="45"/>
      <c r="E802" s="45"/>
      <c r="F802" s="45"/>
      <c r="G802" s="45"/>
      <c r="H802" s="45"/>
      <c r="I802" s="45"/>
      <c r="J802" s="45"/>
      <c r="K802" s="45"/>
      <c r="L802" s="46"/>
      <c r="M802" s="45"/>
      <c r="N802" s="45"/>
      <c r="O802" s="45"/>
      <c r="P802" s="45"/>
      <c r="Q802" s="45"/>
      <c r="R802" s="45"/>
      <c r="S802" s="45"/>
    </row>
    <row r="803">
      <c r="A803" s="45"/>
      <c r="B803" s="45"/>
      <c r="C803" s="45"/>
      <c r="D803" s="45"/>
      <c r="E803" s="45"/>
      <c r="F803" s="45"/>
      <c r="G803" s="45"/>
      <c r="H803" s="45"/>
      <c r="I803" s="45"/>
      <c r="J803" s="45"/>
      <c r="K803" s="45"/>
      <c r="L803" s="46"/>
      <c r="M803" s="45"/>
      <c r="N803" s="45"/>
      <c r="O803" s="45"/>
      <c r="P803" s="45"/>
      <c r="Q803" s="45"/>
      <c r="R803" s="45"/>
      <c r="S803" s="45"/>
    </row>
    <row r="804">
      <c r="A804" s="45"/>
      <c r="B804" s="45"/>
      <c r="C804" s="45"/>
      <c r="D804" s="45"/>
      <c r="E804" s="45"/>
      <c r="F804" s="45"/>
      <c r="G804" s="45"/>
      <c r="H804" s="45"/>
      <c r="I804" s="45"/>
      <c r="J804" s="45"/>
      <c r="K804" s="45"/>
      <c r="L804" s="46"/>
      <c r="M804" s="45"/>
      <c r="N804" s="45"/>
      <c r="O804" s="45"/>
      <c r="P804" s="45"/>
      <c r="Q804" s="45"/>
      <c r="R804" s="45"/>
      <c r="S804" s="45"/>
    </row>
    <row r="805">
      <c r="A805" s="45"/>
      <c r="B805" s="45"/>
      <c r="C805" s="45"/>
      <c r="D805" s="45"/>
      <c r="E805" s="45"/>
      <c r="F805" s="45"/>
      <c r="G805" s="45"/>
      <c r="H805" s="45"/>
      <c r="I805" s="45"/>
      <c r="J805" s="45"/>
      <c r="K805" s="45"/>
      <c r="L805" s="46"/>
      <c r="M805" s="45"/>
      <c r="N805" s="45"/>
      <c r="O805" s="45"/>
      <c r="P805" s="45"/>
      <c r="Q805" s="45"/>
      <c r="R805" s="45"/>
      <c r="S805" s="45"/>
    </row>
    <row r="806">
      <c r="A806" s="45"/>
      <c r="B806" s="45"/>
      <c r="C806" s="45"/>
      <c r="D806" s="45"/>
      <c r="E806" s="45"/>
      <c r="F806" s="45"/>
      <c r="G806" s="45"/>
      <c r="H806" s="45"/>
      <c r="I806" s="45"/>
      <c r="J806" s="45"/>
      <c r="K806" s="45"/>
      <c r="L806" s="46"/>
      <c r="M806" s="45"/>
      <c r="N806" s="45"/>
      <c r="O806" s="45"/>
      <c r="P806" s="45"/>
      <c r="Q806" s="45"/>
      <c r="R806" s="45"/>
      <c r="S806" s="45"/>
    </row>
    <row r="807">
      <c r="A807" s="45"/>
      <c r="B807" s="45"/>
      <c r="C807" s="45"/>
      <c r="D807" s="45"/>
      <c r="E807" s="45"/>
      <c r="F807" s="45"/>
      <c r="G807" s="45"/>
      <c r="H807" s="45"/>
      <c r="I807" s="45"/>
      <c r="J807" s="45"/>
      <c r="K807" s="45"/>
      <c r="L807" s="46"/>
      <c r="M807" s="45"/>
      <c r="N807" s="45"/>
      <c r="O807" s="45"/>
      <c r="P807" s="45"/>
      <c r="Q807" s="45"/>
      <c r="R807" s="45"/>
      <c r="S807" s="45"/>
    </row>
    <row r="808">
      <c r="A808" s="45"/>
      <c r="B808" s="45"/>
      <c r="C808" s="45"/>
      <c r="D808" s="45"/>
      <c r="E808" s="45"/>
      <c r="F808" s="45"/>
      <c r="G808" s="45"/>
      <c r="H808" s="45"/>
      <c r="I808" s="45"/>
      <c r="J808" s="45"/>
      <c r="K808" s="45"/>
      <c r="L808" s="46"/>
      <c r="M808" s="45"/>
      <c r="N808" s="45"/>
      <c r="O808" s="45"/>
      <c r="P808" s="45"/>
      <c r="Q808" s="45"/>
      <c r="R808" s="45"/>
      <c r="S808" s="45"/>
    </row>
    <row r="809">
      <c r="A809" s="45"/>
      <c r="B809" s="45"/>
      <c r="C809" s="45"/>
      <c r="D809" s="45"/>
      <c r="E809" s="45"/>
      <c r="F809" s="45"/>
      <c r="G809" s="45"/>
      <c r="H809" s="45"/>
      <c r="I809" s="45"/>
      <c r="J809" s="45"/>
      <c r="K809" s="45"/>
      <c r="L809" s="46"/>
      <c r="M809" s="45"/>
      <c r="N809" s="45"/>
      <c r="O809" s="45"/>
      <c r="P809" s="45"/>
      <c r="Q809" s="45"/>
      <c r="R809" s="45"/>
      <c r="S809" s="45"/>
    </row>
    <row r="810">
      <c r="A810" s="45"/>
      <c r="B810" s="45"/>
      <c r="C810" s="45"/>
      <c r="D810" s="45"/>
      <c r="E810" s="45"/>
      <c r="F810" s="45"/>
      <c r="G810" s="45"/>
      <c r="H810" s="45"/>
      <c r="I810" s="45"/>
      <c r="J810" s="45"/>
      <c r="K810" s="45"/>
      <c r="L810" s="46"/>
      <c r="M810" s="45"/>
      <c r="N810" s="45"/>
      <c r="O810" s="45"/>
      <c r="P810" s="45"/>
      <c r="Q810" s="45"/>
      <c r="R810" s="45"/>
      <c r="S810" s="45"/>
    </row>
    <row r="811">
      <c r="A811" s="45"/>
      <c r="B811" s="45"/>
      <c r="C811" s="45"/>
      <c r="D811" s="45"/>
      <c r="E811" s="45"/>
      <c r="F811" s="45"/>
      <c r="G811" s="45"/>
      <c r="H811" s="45"/>
      <c r="I811" s="45"/>
      <c r="J811" s="45"/>
      <c r="K811" s="45"/>
      <c r="L811" s="46"/>
      <c r="M811" s="45"/>
      <c r="N811" s="45"/>
      <c r="O811" s="45"/>
      <c r="P811" s="45"/>
      <c r="Q811" s="45"/>
      <c r="R811" s="45"/>
      <c r="S811" s="45"/>
    </row>
    <row r="812">
      <c r="A812" s="45"/>
      <c r="B812" s="45"/>
      <c r="C812" s="45"/>
      <c r="D812" s="45"/>
      <c r="E812" s="45"/>
      <c r="F812" s="45"/>
      <c r="G812" s="45"/>
      <c r="H812" s="45"/>
      <c r="I812" s="45"/>
      <c r="J812" s="45"/>
      <c r="K812" s="45"/>
      <c r="L812" s="46"/>
      <c r="M812" s="45"/>
      <c r="N812" s="45"/>
      <c r="O812" s="45"/>
      <c r="P812" s="45"/>
      <c r="Q812" s="45"/>
      <c r="R812" s="45"/>
      <c r="S812" s="45"/>
    </row>
    <row r="813">
      <c r="A813" s="45"/>
      <c r="B813" s="45"/>
      <c r="C813" s="45"/>
      <c r="D813" s="45"/>
      <c r="E813" s="45"/>
      <c r="F813" s="45"/>
      <c r="G813" s="45"/>
      <c r="H813" s="45"/>
      <c r="I813" s="45"/>
      <c r="J813" s="45"/>
      <c r="K813" s="45"/>
      <c r="L813" s="46"/>
      <c r="M813" s="45"/>
      <c r="N813" s="45"/>
      <c r="O813" s="45"/>
      <c r="P813" s="45"/>
      <c r="Q813" s="45"/>
      <c r="R813" s="45"/>
      <c r="S813" s="45"/>
    </row>
    <row r="814">
      <c r="A814" s="45"/>
      <c r="B814" s="45"/>
      <c r="C814" s="45"/>
      <c r="D814" s="45"/>
      <c r="E814" s="45"/>
      <c r="F814" s="45"/>
      <c r="G814" s="45"/>
      <c r="H814" s="45"/>
      <c r="I814" s="45"/>
      <c r="J814" s="45"/>
      <c r="K814" s="45"/>
      <c r="L814" s="46"/>
      <c r="M814" s="45"/>
      <c r="N814" s="45"/>
      <c r="O814" s="45"/>
      <c r="P814" s="45"/>
      <c r="Q814" s="45"/>
      <c r="R814" s="45"/>
      <c r="S814" s="45"/>
    </row>
    <row r="815">
      <c r="A815" s="45"/>
      <c r="B815" s="45"/>
      <c r="C815" s="45"/>
      <c r="D815" s="45"/>
      <c r="E815" s="45"/>
      <c r="F815" s="45"/>
      <c r="G815" s="45"/>
      <c r="H815" s="45"/>
      <c r="I815" s="45"/>
      <c r="J815" s="45"/>
      <c r="K815" s="45"/>
      <c r="L815" s="46"/>
      <c r="M815" s="45"/>
      <c r="N815" s="45"/>
      <c r="O815" s="45"/>
      <c r="P815" s="45"/>
      <c r="Q815" s="45"/>
      <c r="R815" s="45"/>
      <c r="S815" s="45"/>
    </row>
    <row r="816">
      <c r="A816" s="45"/>
      <c r="B816" s="45"/>
      <c r="C816" s="45"/>
      <c r="D816" s="45"/>
      <c r="E816" s="45"/>
      <c r="F816" s="45"/>
      <c r="G816" s="45"/>
      <c r="H816" s="45"/>
      <c r="I816" s="45"/>
      <c r="J816" s="45"/>
      <c r="K816" s="45"/>
      <c r="L816" s="46"/>
      <c r="M816" s="45"/>
      <c r="N816" s="45"/>
      <c r="O816" s="45"/>
      <c r="P816" s="45"/>
      <c r="Q816" s="45"/>
      <c r="R816" s="45"/>
      <c r="S816" s="45"/>
    </row>
    <row r="817">
      <c r="A817" s="45"/>
      <c r="B817" s="45"/>
      <c r="C817" s="45"/>
      <c r="D817" s="45"/>
      <c r="E817" s="45"/>
      <c r="F817" s="45"/>
      <c r="G817" s="45"/>
      <c r="H817" s="45"/>
      <c r="I817" s="45"/>
      <c r="J817" s="45"/>
      <c r="K817" s="45"/>
      <c r="L817" s="46"/>
      <c r="M817" s="45"/>
      <c r="N817" s="45"/>
      <c r="O817" s="45"/>
      <c r="P817" s="45"/>
      <c r="Q817" s="45"/>
      <c r="R817" s="45"/>
      <c r="S817" s="45"/>
    </row>
    <row r="818">
      <c r="A818" s="45"/>
      <c r="B818" s="45"/>
      <c r="C818" s="45"/>
      <c r="D818" s="45"/>
      <c r="E818" s="45"/>
      <c r="F818" s="45"/>
      <c r="G818" s="45"/>
      <c r="H818" s="45"/>
      <c r="I818" s="45"/>
      <c r="J818" s="45"/>
      <c r="K818" s="45"/>
      <c r="L818" s="46"/>
      <c r="M818" s="45"/>
      <c r="N818" s="45"/>
      <c r="O818" s="45"/>
      <c r="P818" s="45"/>
      <c r="Q818" s="45"/>
      <c r="R818" s="45"/>
      <c r="S818" s="45"/>
    </row>
    <row r="819">
      <c r="A819" s="45"/>
      <c r="B819" s="45"/>
      <c r="C819" s="45"/>
      <c r="D819" s="45"/>
      <c r="E819" s="45"/>
      <c r="F819" s="45"/>
      <c r="G819" s="45"/>
      <c r="H819" s="45"/>
      <c r="I819" s="45"/>
      <c r="J819" s="45"/>
      <c r="K819" s="45"/>
      <c r="L819" s="46"/>
      <c r="M819" s="45"/>
      <c r="N819" s="45"/>
      <c r="O819" s="45"/>
      <c r="P819" s="45"/>
      <c r="Q819" s="45"/>
      <c r="R819" s="45"/>
      <c r="S819" s="45"/>
    </row>
    <row r="820">
      <c r="A820" s="45"/>
      <c r="B820" s="45"/>
      <c r="C820" s="45"/>
      <c r="D820" s="45"/>
      <c r="E820" s="45"/>
      <c r="F820" s="45"/>
      <c r="G820" s="45"/>
      <c r="H820" s="45"/>
      <c r="I820" s="45"/>
      <c r="J820" s="45"/>
      <c r="K820" s="45"/>
      <c r="L820" s="46"/>
      <c r="M820" s="45"/>
      <c r="N820" s="45"/>
      <c r="O820" s="45"/>
      <c r="P820" s="45"/>
      <c r="Q820" s="45"/>
      <c r="R820" s="45"/>
      <c r="S820" s="45"/>
    </row>
    <row r="821">
      <c r="A821" s="45"/>
      <c r="B821" s="45"/>
      <c r="C821" s="45"/>
      <c r="D821" s="45"/>
      <c r="E821" s="45"/>
      <c r="F821" s="45"/>
      <c r="G821" s="45"/>
      <c r="H821" s="45"/>
      <c r="I821" s="45"/>
      <c r="J821" s="45"/>
      <c r="K821" s="45"/>
      <c r="L821" s="46"/>
      <c r="M821" s="45"/>
      <c r="N821" s="45"/>
      <c r="O821" s="45"/>
      <c r="P821" s="45"/>
      <c r="Q821" s="45"/>
      <c r="R821" s="45"/>
      <c r="S821" s="45"/>
    </row>
    <row r="822">
      <c r="A822" s="45"/>
      <c r="B822" s="45"/>
      <c r="C822" s="45"/>
      <c r="D822" s="45"/>
      <c r="E822" s="45"/>
      <c r="F822" s="45"/>
      <c r="G822" s="45"/>
      <c r="H822" s="45"/>
      <c r="I822" s="45"/>
      <c r="J822" s="45"/>
      <c r="K822" s="45"/>
      <c r="L822" s="46"/>
      <c r="M822" s="45"/>
      <c r="N822" s="45"/>
      <c r="O822" s="45"/>
      <c r="P822" s="45"/>
      <c r="Q822" s="45"/>
      <c r="R822" s="45"/>
      <c r="S822" s="45"/>
    </row>
    <row r="823">
      <c r="A823" s="45"/>
      <c r="B823" s="45"/>
      <c r="C823" s="45"/>
      <c r="D823" s="45"/>
      <c r="E823" s="45"/>
      <c r="F823" s="45"/>
      <c r="G823" s="45"/>
      <c r="H823" s="45"/>
      <c r="I823" s="45"/>
      <c r="J823" s="45"/>
      <c r="K823" s="45"/>
      <c r="L823" s="46"/>
      <c r="M823" s="45"/>
      <c r="N823" s="45"/>
      <c r="O823" s="45"/>
      <c r="P823" s="45"/>
      <c r="Q823" s="45"/>
      <c r="R823" s="45"/>
      <c r="S823" s="45"/>
    </row>
    <row r="824">
      <c r="A824" s="45"/>
      <c r="B824" s="45"/>
      <c r="C824" s="45"/>
      <c r="D824" s="45"/>
      <c r="E824" s="45"/>
      <c r="F824" s="45"/>
      <c r="G824" s="45"/>
      <c r="H824" s="45"/>
      <c r="I824" s="45"/>
      <c r="J824" s="45"/>
      <c r="K824" s="45"/>
      <c r="L824" s="46"/>
      <c r="M824" s="45"/>
      <c r="N824" s="45"/>
      <c r="O824" s="45"/>
      <c r="P824" s="45"/>
      <c r="Q824" s="45"/>
      <c r="R824" s="45"/>
      <c r="S824" s="45"/>
    </row>
    <row r="825">
      <c r="A825" s="45"/>
      <c r="B825" s="45"/>
      <c r="C825" s="45"/>
      <c r="D825" s="45"/>
      <c r="E825" s="45"/>
      <c r="F825" s="45"/>
      <c r="G825" s="45"/>
      <c r="H825" s="45"/>
      <c r="I825" s="45"/>
      <c r="J825" s="45"/>
      <c r="K825" s="45"/>
      <c r="L825" s="46"/>
      <c r="M825" s="45"/>
      <c r="N825" s="45"/>
      <c r="O825" s="45"/>
      <c r="P825" s="45"/>
      <c r="Q825" s="45"/>
      <c r="R825" s="45"/>
      <c r="S825" s="45"/>
    </row>
    <row r="826">
      <c r="A826" s="45"/>
      <c r="B826" s="45"/>
      <c r="C826" s="45"/>
      <c r="D826" s="45"/>
      <c r="E826" s="45"/>
      <c r="F826" s="45"/>
      <c r="G826" s="45"/>
      <c r="H826" s="45"/>
      <c r="I826" s="45"/>
      <c r="J826" s="45"/>
      <c r="K826" s="45"/>
      <c r="L826" s="46"/>
      <c r="M826" s="45"/>
      <c r="N826" s="45"/>
      <c r="O826" s="45"/>
      <c r="P826" s="45"/>
      <c r="Q826" s="45"/>
      <c r="R826" s="45"/>
      <c r="S826" s="45"/>
    </row>
    <row r="827">
      <c r="A827" s="45"/>
      <c r="B827" s="45"/>
      <c r="C827" s="45"/>
      <c r="D827" s="45"/>
      <c r="E827" s="45"/>
      <c r="F827" s="45"/>
      <c r="G827" s="45"/>
      <c r="H827" s="45"/>
      <c r="I827" s="45"/>
      <c r="J827" s="45"/>
      <c r="K827" s="45"/>
      <c r="L827" s="46"/>
      <c r="M827" s="45"/>
      <c r="N827" s="45"/>
      <c r="O827" s="45"/>
      <c r="P827" s="45"/>
      <c r="Q827" s="45"/>
      <c r="R827" s="45"/>
      <c r="S827" s="45"/>
    </row>
    <row r="828">
      <c r="A828" s="45"/>
      <c r="B828" s="45"/>
      <c r="C828" s="45"/>
      <c r="D828" s="45"/>
      <c r="E828" s="45"/>
      <c r="F828" s="45"/>
      <c r="G828" s="45"/>
      <c r="H828" s="45"/>
      <c r="I828" s="45"/>
      <c r="J828" s="45"/>
      <c r="K828" s="45"/>
      <c r="L828" s="46"/>
      <c r="M828" s="45"/>
      <c r="N828" s="45"/>
      <c r="O828" s="45"/>
      <c r="P828" s="45"/>
      <c r="Q828" s="45"/>
      <c r="R828" s="45"/>
      <c r="S828" s="45"/>
    </row>
    <row r="829">
      <c r="A829" s="45"/>
      <c r="B829" s="45"/>
      <c r="C829" s="45"/>
      <c r="D829" s="45"/>
      <c r="E829" s="45"/>
      <c r="F829" s="45"/>
      <c r="G829" s="45"/>
      <c r="H829" s="45"/>
      <c r="I829" s="45"/>
      <c r="J829" s="45"/>
      <c r="K829" s="45"/>
      <c r="L829" s="46"/>
      <c r="M829" s="45"/>
      <c r="N829" s="45"/>
      <c r="O829" s="45"/>
      <c r="P829" s="45"/>
      <c r="Q829" s="45"/>
      <c r="R829" s="45"/>
      <c r="S829" s="45"/>
    </row>
    <row r="830">
      <c r="A830" s="45"/>
      <c r="B830" s="45"/>
      <c r="C830" s="45"/>
      <c r="D830" s="45"/>
      <c r="E830" s="45"/>
      <c r="F830" s="45"/>
      <c r="G830" s="45"/>
      <c r="H830" s="45"/>
      <c r="I830" s="45"/>
      <c r="J830" s="45"/>
      <c r="K830" s="45"/>
      <c r="L830" s="46"/>
      <c r="M830" s="45"/>
      <c r="N830" s="45"/>
      <c r="O830" s="45"/>
      <c r="P830" s="45"/>
      <c r="Q830" s="45"/>
      <c r="R830" s="45"/>
      <c r="S830" s="45"/>
    </row>
    <row r="831">
      <c r="A831" s="45"/>
      <c r="B831" s="45"/>
      <c r="C831" s="45"/>
      <c r="D831" s="45"/>
      <c r="E831" s="45"/>
      <c r="F831" s="45"/>
      <c r="G831" s="45"/>
      <c r="H831" s="45"/>
      <c r="I831" s="45"/>
      <c r="J831" s="45"/>
      <c r="K831" s="45"/>
      <c r="L831" s="46"/>
      <c r="M831" s="45"/>
      <c r="N831" s="45"/>
      <c r="O831" s="45"/>
      <c r="P831" s="45"/>
      <c r="Q831" s="45"/>
      <c r="R831" s="45"/>
      <c r="S831" s="45"/>
    </row>
    <row r="832">
      <c r="A832" s="45"/>
      <c r="B832" s="45"/>
      <c r="C832" s="45"/>
      <c r="D832" s="45"/>
      <c r="E832" s="45"/>
      <c r="F832" s="45"/>
      <c r="G832" s="45"/>
      <c r="H832" s="45"/>
      <c r="I832" s="45"/>
      <c r="J832" s="45"/>
      <c r="K832" s="45"/>
      <c r="L832" s="46"/>
      <c r="M832" s="45"/>
      <c r="N832" s="45"/>
      <c r="O832" s="45"/>
      <c r="P832" s="45"/>
      <c r="Q832" s="45"/>
      <c r="R832" s="45"/>
      <c r="S832" s="45"/>
    </row>
    <row r="833">
      <c r="A833" s="45"/>
      <c r="B833" s="45"/>
      <c r="C833" s="45"/>
      <c r="D833" s="45"/>
      <c r="E833" s="45"/>
      <c r="F833" s="45"/>
      <c r="G833" s="45"/>
      <c r="H833" s="45"/>
      <c r="I833" s="45"/>
      <c r="J833" s="45"/>
      <c r="K833" s="45"/>
      <c r="L833" s="46"/>
      <c r="M833" s="45"/>
      <c r="N833" s="45"/>
      <c r="O833" s="45"/>
      <c r="P833" s="45"/>
      <c r="Q833" s="45"/>
      <c r="R833" s="45"/>
      <c r="S833" s="45"/>
    </row>
    <row r="834">
      <c r="A834" s="45"/>
      <c r="B834" s="45"/>
      <c r="C834" s="45"/>
      <c r="D834" s="45"/>
      <c r="E834" s="45"/>
      <c r="F834" s="45"/>
      <c r="G834" s="45"/>
      <c r="H834" s="45"/>
      <c r="I834" s="45"/>
      <c r="J834" s="45"/>
      <c r="K834" s="45"/>
      <c r="L834" s="46"/>
      <c r="M834" s="45"/>
      <c r="N834" s="45"/>
      <c r="O834" s="45"/>
      <c r="P834" s="45"/>
      <c r="Q834" s="45"/>
      <c r="R834" s="45"/>
      <c r="S834" s="45"/>
    </row>
    <row r="835">
      <c r="A835" s="45"/>
      <c r="B835" s="45"/>
      <c r="C835" s="45"/>
      <c r="D835" s="45"/>
      <c r="E835" s="45"/>
      <c r="F835" s="45"/>
      <c r="G835" s="45"/>
      <c r="H835" s="45"/>
      <c r="I835" s="45"/>
      <c r="J835" s="45"/>
      <c r="K835" s="45"/>
      <c r="L835" s="46"/>
      <c r="M835" s="45"/>
      <c r="N835" s="45"/>
      <c r="O835" s="45"/>
      <c r="P835" s="45"/>
      <c r="Q835" s="45"/>
      <c r="R835" s="45"/>
      <c r="S835" s="45"/>
    </row>
    <row r="836">
      <c r="A836" s="45"/>
      <c r="B836" s="45"/>
      <c r="C836" s="45"/>
      <c r="D836" s="45"/>
      <c r="E836" s="45"/>
      <c r="F836" s="45"/>
      <c r="G836" s="45"/>
      <c r="H836" s="45"/>
      <c r="I836" s="45"/>
      <c r="J836" s="45"/>
      <c r="K836" s="45"/>
      <c r="L836" s="46"/>
      <c r="M836" s="45"/>
      <c r="N836" s="45"/>
      <c r="O836" s="45"/>
      <c r="P836" s="45"/>
      <c r="Q836" s="45"/>
      <c r="R836" s="45"/>
      <c r="S836" s="45"/>
    </row>
    <row r="837">
      <c r="A837" s="45"/>
      <c r="B837" s="45"/>
      <c r="C837" s="45"/>
      <c r="D837" s="45"/>
      <c r="E837" s="45"/>
      <c r="F837" s="45"/>
      <c r="G837" s="45"/>
      <c r="H837" s="45"/>
      <c r="I837" s="45"/>
      <c r="J837" s="45"/>
      <c r="K837" s="45"/>
      <c r="L837" s="46"/>
      <c r="M837" s="45"/>
      <c r="N837" s="45"/>
      <c r="O837" s="45"/>
      <c r="P837" s="45"/>
      <c r="Q837" s="45"/>
      <c r="R837" s="45"/>
      <c r="S837" s="45"/>
    </row>
    <row r="838">
      <c r="A838" s="45"/>
      <c r="B838" s="45"/>
      <c r="C838" s="45"/>
      <c r="D838" s="45"/>
      <c r="E838" s="45"/>
      <c r="F838" s="45"/>
      <c r="G838" s="45"/>
      <c r="H838" s="45"/>
      <c r="I838" s="45"/>
      <c r="J838" s="45"/>
      <c r="K838" s="45"/>
      <c r="L838" s="46"/>
      <c r="M838" s="45"/>
      <c r="N838" s="45"/>
      <c r="O838" s="45"/>
      <c r="P838" s="45"/>
      <c r="Q838" s="45"/>
      <c r="R838" s="45"/>
      <c r="S838" s="45"/>
    </row>
    <row r="839">
      <c r="A839" s="45"/>
      <c r="B839" s="45"/>
      <c r="C839" s="45"/>
      <c r="D839" s="45"/>
      <c r="E839" s="45"/>
      <c r="F839" s="45"/>
      <c r="G839" s="45"/>
      <c r="H839" s="45"/>
      <c r="I839" s="45"/>
      <c r="J839" s="45"/>
      <c r="K839" s="45"/>
      <c r="L839" s="46"/>
      <c r="M839" s="45"/>
      <c r="N839" s="45"/>
      <c r="O839" s="45"/>
      <c r="P839" s="45"/>
      <c r="Q839" s="45"/>
      <c r="R839" s="45"/>
      <c r="S839" s="45"/>
    </row>
    <row r="840">
      <c r="A840" s="45"/>
      <c r="B840" s="45"/>
      <c r="C840" s="45"/>
      <c r="D840" s="45"/>
      <c r="E840" s="45"/>
      <c r="F840" s="45"/>
      <c r="G840" s="45"/>
      <c r="H840" s="45"/>
      <c r="I840" s="45"/>
      <c r="J840" s="45"/>
      <c r="K840" s="45"/>
      <c r="L840" s="46"/>
      <c r="M840" s="45"/>
      <c r="N840" s="45"/>
      <c r="O840" s="45"/>
      <c r="P840" s="45"/>
      <c r="Q840" s="45"/>
      <c r="R840" s="45"/>
      <c r="S840" s="45"/>
    </row>
    <row r="841">
      <c r="A841" s="45"/>
      <c r="B841" s="45"/>
      <c r="C841" s="45"/>
      <c r="D841" s="45"/>
      <c r="E841" s="45"/>
      <c r="F841" s="45"/>
      <c r="G841" s="45"/>
      <c r="H841" s="45"/>
      <c r="I841" s="45"/>
      <c r="J841" s="45"/>
      <c r="K841" s="45"/>
      <c r="L841" s="46"/>
      <c r="M841" s="45"/>
      <c r="N841" s="45"/>
      <c r="O841" s="45"/>
      <c r="P841" s="45"/>
      <c r="Q841" s="45"/>
      <c r="R841" s="45"/>
      <c r="S841" s="45"/>
    </row>
    <row r="842">
      <c r="A842" s="45"/>
      <c r="B842" s="45"/>
      <c r="C842" s="45"/>
      <c r="D842" s="45"/>
      <c r="E842" s="45"/>
      <c r="F842" s="45"/>
      <c r="G842" s="45"/>
      <c r="H842" s="45"/>
      <c r="I842" s="45"/>
      <c r="J842" s="45"/>
      <c r="K842" s="45"/>
      <c r="L842" s="46"/>
      <c r="M842" s="45"/>
      <c r="N842" s="45"/>
      <c r="O842" s="45"/>
      <c r="P842" s="45"/>
      <c r="Q842" s="45"/>
      <c r="R842" s="45"/>
      <c r="S842" s="45"/>
    </row>
    <row r="843">
      <c r="A843" s="45"/>
      <c r="B843" s="45"/>
      <c r="C843" s="45"/>
      <c r="D843" s="45"/>
      <c r="E843" s="45"/>
      <c r="F843" s="45"/>
      <c r="G843" s="45"/>
      <c r="H843" s="45"/>
      <c r="I843" s="45"/>
      <c r="J843" s="45"/>
      <c r="K843" s="45"/>
      <c r="L843" s="46"/>
      <c r="M843" s="45"/>
      <c r="N843" s="45"/>
      <c r="O843" s="45"/>
      <c r="P843" s="45"/>
      <c r="Q843" s="45"/>
      <c r="R843" s="45"/>
      <c r="S843" s="45"/>
    </row>
    <row r="844">
      <c r="A844" s="45"/>
      <c r="B844" s="45"/>
      <c r="C844" s="45"/>
      <c r="D844" s="45"/>
      <c r="E844" s="45"/>
      <c r="F844" s="45"/>
      <c r="G844" s="45"/>
      <c r="H844" s="45"/>
      <c r="I844" s="45"/>
      <c r="J844" s="45"/>
      <c r="K844" s="45"/>
      <c r="L844" s="46"/>
      <c r="M844" s="45"/>
      <c r="N844" s="45"/>
      <c r="O844" s="45"/>
      <c r="P844" s="45"/>
      <c r="Q844" s="45"/>
      <c r="R844" s="45"/>
      <c r="S844" s="45"/>
    </row>
    <row r="845">
      <c r="A845" s="45"/>
      <c r="B845" s="45"/>
      <c r="C845" s="45"/>
      <c r="D845" s="45"/>
      <c r="E845" s="45"/>
      <c r="F845" s="45"/>
      <c r="G845" s="45"/>
      <c r="H845" s="45"/>
      <c r="I845" s="45"/>
      <c r="J845" s="45"/>
      <c r="K845" s="45"/>
      <c r="L845" s="46"/>
      <c r="M845" s="45"/>
      <c r="N845" s="45"/>
      <c r="O845" s="45"/>
      <c r="P845" s="45"/>
      <c r="Q845" s="45"/>
      <c r="R845" s="45"/>
      <c r="S845" s="45"/>
    </row>
    <row r="846">
      <c r="A846" s="45"/>
      <c r="B846" s="45"/>
      <c r="C846" s="45"/>
      <c r="D846" s="45"/>
      <c r="E846" s="45"/>
      <c r="F846" s="45"/>
      <c r="G846" s="45"/>
      <c r="H846" s="45"/>
      <c r="I846" s="45"/>
      <c r="J846" s="45"/>
      <c r="K846" s="45"/>
      <c r="L846" s="46"/>
      <c r="M846" s="45"/>
      <c r="N846" s="45"/>
      <c r="O846" s="45"/>
      <c r="P846" s="45"/>
      <c r="Q846" s="45"/>
      <c r="R846" s="45"/>
      <c r="S846" s="45"/>
    </row>
    <row r="847">
      <c r="A847" s="45"/>
      <c r="B847" s="45"/>
      <c r="C847" s="45"/>
      <c r="D847" s="45"/>
      <c r="E847" s="45"/>
      <c r="F847" s="45"/>
      <c r="G847" s="45"/>
      <c r="H847" s="45"/>
      <c r="I847" s="45"/>
      <c r="J847" s="45"/>
      <c r="K847" s="45"/>
      <c r="L847" s="46"/>
      <c r="M847" s="45"/>
      <c r="N847" s="45"/>
      <c r="O847" s="45"/>
      <c r="P847" s="45"/>
      <c r="Q847" s="45"/>
      <c r="R847" s="45"/>
      <c r="S847" s="45"/>
    </row>
    <row r="848">
      <c r="A848" s="45"/>
      <c r="B848" s="45"/>
      <c r="C848" s="45"/>
      <c r="D848" s="45"/>
      <c r="E848" s="45"/>
      <c r="F848" s="45"/>
      <c r="G848" s="45"/>
      <c r="H848" s="45"/>
      <c r="I848" s="45"/>
      <c r="J848" s="45"/>
      <c r="K848" s="45"/>
      <c r="L848" s="46"/>
      <c r="M848" s="45"/>
      <c r="N848" s="45"/>
      <c r="O848" s="45"/>
      <c r="P848" s="45"/>
      <c r="Q848" s="45"/>
      <c r="R848" s="45"/>
      <c r="S848" s="45"/>
    </row>
    <row r="849">
      <c r="A849" s="45"/>
      <c r="B849" s="45"/>
      <c r="C849" s="45"/>
      <c r="D849" s="45"/>
      <c r="E849" s="45"/>
      <c r="F849" s="45"/>
      <c r="G849" s="45"/>
      <c r="H849" s="45"/>
      <c r="I849" s="45"/>
      <c r="J849" s="45"/>
      <c r="K849" s="45"/>
      <c r="L849" s="46"/>
      <c r="M849" s="45"/>
      <c r="N849" s="45"/>
      <c r="O849" s="45"/>
      <c r="P849" s="45"/>
      <c r="Q849" s="45"/>
      <c r="R849" s="45"/>
      <c r="S849" s="45"/>
    </row>
    <row r="850">
      <c r="A850" s="45"/>
      <c r="B850" s="45"/>
      <c r="C850" s="45"/>
      <c r="D850" s="45"/>
      <c r="E850" s="45"/>
      <c r="F850" s="45"/>
      <c r="G850" s="45"/>
      <c r="H850" s="45"/>
      <c r="I850" s="45"/>
      <c r="J850" s="45"/>
      <c r="K850" s="45"/>
      <c r="L850" s="46"/>
      <c r="M850" s="45"/>
      <c r="N850" s="45"/>
      <c r="O850" s="45"/>
      <c r="P850" s="45"/>
      <c r="Q850" s="45"/>
      <c r="R850" s="45"/>
      <c r="S850" s="45"/>
    </row>
    <row r="851">
      <c r="A851" s="45"/>
      <c r="B851" s="45"/>
      <c r="C851" s="45"/>
      <c r="D851" s="45"/>
      <c r="E851" s="45"/>
      <c r="F851" s="45"/>
      <c r="G851" s="45"/>
      <c r="H851" s="45"/>
      <c r="I851" s="45"/>
      <c r="J851" s="45"/>
      <c r="K851" s="45"/>
      <c r="L851" s="46"/>
      <c r="M851" s="45"/>
      <c r="N851" s="45"/>
      <c r="O851" s="45"/>
      <c r="P851" s="45"/>
      <c r="Q851" s="45"/>
      <c r="R851" s="45"/>
      <c r="S851" s="45"/>
    </row>
    <row r="852">
      <c r="A852" s="45"/>
      <c r="B852" s="45"/>
      <c r="C852" s="45"/>
      <c r="D852" s="45"/>
      <c r="E852" s="45"/>
      <c r="F852" s="45"/>
      <c r="G852" s="45"/>
      <c r="H852" s="45"/>
      <c r="I852" s="45"/>
      <c r="J852" s="45"/>
      <c r="K852" s="45"/>
      <c r="L852" s="46"/>
      <c r="M852" s="45"/>
      <c r="N852" s="45"/>
      <c r="O852" s="45"/>
      <c r="P852" s="45"/>
      <c r="Q852" s="45"/>
      <c r="R852" s="45"/>
      <c r="S852" s="45"/>
    </row>
    <row r="853">
      <c r="A853" s="45"/>
      <c r="B853" s="45"/>
      <c r="C853" s="45"/>
      <c r="D853" s="45"/>
      <c r="E853" s="45"/>
      <c r="F853" s="45"/>
      <c r="G853" s="45"/>
      <c r="H853" s="45"/>
      <c r="I853" s="45"/>
      <c r="J853" s="45"/>
      <c r="K853" s="45"/>
      <c r="L853" s="46"/>
      <c r="M853" s="45"/>
      <c r="N853" s="45"/>
      <c r="O853" s="45"/>
      <c r="P853" s="45"/>
      <c r="Q853" s="45"/>
      <c r="R853" s="45"/>
      <c r="S853" s="45"/>
    </row>
    <row r="854">
      <c r="A854" s="45"/>
      <c r="B854" s="45"/>
      <c r="C854" s="45"/>
      <c r="D854" s="45"/>
      <c r="E854" s="45"/>
      <c r="F854" s="45"/>
      <c r="G854" s="45"/>
      <c r="H854" s="45"/>
      <c r="I854" s="45"/>
      <c r="J854" s="45"/>
      <c r="K854" s="45"/>
      <c r="L854" s="46"/>
      <c r="M854" s="45"/>
      <c r="N854" s="45"/>
      <c r="O854" s="45"/>
      <c r="P854" s="45"/>
      <c r="Q854" s="45"/>
      <c r="R854" s="45"/>
      <c r="S854" s="45"/>
    </row>
    <row r="855">
      <c r="A855" s="45"/>
      <c r="B855" s="45"/>
      <c r="C855" s="45"/>
      <c r="D855" s="45"/>
      <c r="E855" s="45"/>
      <c r="F855" s="45"/>
      <c r="G855" s="45"/>
      <c r="H855" s="45"/>
      <c r="I855" s="45"/>
      <c r="J855" s="45"/>
      <c r="K855" s="45"/>
      <c r="L855" s="46"/>
      <c r="M855" s="45"/>
      <c r="N855" s="45"/>
      <c r="O855" s="45"/>
      <c r="P855" s="45"/>
      <c r="Q855" s="45"/>
      <c r="R855" s="45"/>
      <c r="S855" s="45"/>
    </row>
    <row r="856">
      <c r="A856" s="45"/>
      <c r="B856" s="45"/>
      <c r="C856" s="45"/>
      <c r="D856" s="45"/>
      <c r="E856" s="45"/>
      <c r="F856" s="45"/>
      <c r="G856" s="45"/>
      <c r="H856" s="45"/>
      <c r="I856" s="45"/>
      <c r="J856" s="45"/>
      <c r="K856" s="45"/>
      <c r="L856" s="46"/>
      <c r="M856" s="45"/>
      <c r="N856" s="45"/>
      <c r="O856" s="45"/>
      <c r="P856" s="45"/>
      <c r="Q856" s="45"/>
      <c r="R856" s="45"/>
      <c r="S856" s="45"/>
    </row>
    <row r="857">
      <c r="A857" s="45"/>
      <c r="B857" s="45"/>
      <c r="C857" s="45"/>
      <c r="D857" s="45"/>
      <c r="E857" s="45"/>
      <c r="F857" s="45"/>
      <c r="G857" s="45"/>
      <c r="H857" s="45"/>
      <c r="I857" s="45"/>
      <c r="J857" s="45"/>
      <c r="K857" s="45"/>
      <c r="L857" s="46"/>
      <c r="M857" s="45"/>
      <c r="N857" s="45"/>
      <c r="O857" s="45"/>
      <c r="P857" s="45"/>
      <c r="Q857" s="45"/>
      <c r="R857" s="45"/>
      <c r="S857" s="45"/>
    </row>
    <row r="858">
      <c r="A858" s="45"/>
      <c r="B858" s="45"/>
      <c r="C858" s="45"/>
      <c r="D858" s="45"/>
      <c r="E858" s="45"/>
      <c r="F858" s="45"/>
      <c r="G858" s="45"/>
      <c r="H858" s="45"/>
      <c r="I858" s="45"/>
      <c r="J858" s="45"/>
      <c r="K858" s="45"/>
      <c r="L858" s="46"/>
      <c r="M858" s="45"/>
      <c r="N858" s="45"/>
      <c r="O858" s="45"/>
      <c r="P858" s="45"/>
      <c r="Q858" s="45"/>
      <c r="R858" s="45"/>
      <c r="S858" s="45"/>
    </row>
    <row r="859">
      <c r="A859" s="45"/>
      <c r="B859" s="45"/>
      <c r="C859" s="45"/>
      <c r="D859" s="45"/>
      <c r="E859" s="45"/>
      <c r="F859" s="45"/>
      <c r="G859" s="45"/>
      <c r="H859" s="45"/>
      <c r="I859" s="45"/>
      <c r="J859" s="45"/>
      <c r="K859" s="45"/>
      <c r="L859" s="46"/>
      <c r="M859" s="45"/>
      <c r="N859" s="45"/>
      <c r="O859" s="45"/>
      <c r="P859" s="45"/>
      <c r="Q859" s="45"/>
      <c r="R859" s="45"/>
      <c r="S859" s="45"/>
    </row>
    <row r="860">
      <c r="A860" s="45"/>
      <c r="B860" s="45"/>
      <c r="C860" s="45"/>
      <c r="D860" s="45"/>
      <c r="E860" s="45"/>
      <c r="F860" s="45"/>
      <c r="G860" s="45"/>
      <c r="H860" s="45"/>
      <c r="I860" s="45"/>
      <c r="J860" s="45"/>
      <c r="K860" s="45"/>
      <c r="L860" s="46"/>
      <c r="M860" s="45"/>
      <c r="N860" s="45"/>
      <c r="O860" s="45"/>
      <c r="P860" s="45"/>
      <c r="Q860" s="45"/>
      <c r="R860" s="45"/>
      <c r="S860" s="45"/>
    </row>
    <row r="861">
      <c r="A861" s="45"/>
      <c r="B861" s="45"/>
      <c r="C861" s="45"/>
      <c r="D861" s="45"/>
      <c r="E861" s="45"/>
      <c r="F861" s="45"/>
      <c r="G861" s="45"/>
      <c r="H861" s="45"/>
      <c r="I861" s="45"/>
      <c r="J861" s="45"/>
      <c r="K861" s="45"/>
      <c r="L861" s="46"/>
      <c r="M861" s="45"/>
      <c r="N861" s="45"/>
      <c r="O861" s="45"/>
      <c r="P861" s="45"/>
      <c r="Q861" s="45"/>
      <c r="R861" s="45"/>
      <c r="S861" s="45"/>
    </row>
    <row r="862">
      <c r="A862" s="45"/>
      <c r="B862" s="45"/>
      <c r="C862" s="45"/>
      <c r="D862" s="45"/>
      <c r="E862" s="45"/>
      <c r="F862" s="45"/>
      <c r="G862" s="45"/>
      <c r="H862" s="45"/>
      <c r="I862" s="45"/>
      <c r="J862" s="45"/>
      <c r="K862" s="45"/>
      <c r="L862" s="46"/>
      <c r="M862" s="45"/>
      <c r="N862" s="45"/>
      <c r="O862" s="45"/>
      <c r="P862" s="45"/>
      <c r="Q862" s="45"/>
      <c r="R862" s="45"/>
      <c r="S862" s="45"/>
    </row>
    <row r="863">
      <c r="A863" s="45"/>
      <c r="B863" s="45"/>
      <c r="C863" s="45"/>
      <c r="D863" s="45"/>
      <c r="E863" s="45"/>
      <c r="F863" s="45"/>
      <c r="G863" s="45"/>
      <c r="H863" s="45"/>
      <c r="I863" s="45"/>
      <c r="J863" s="45"/>
      <c r="K863" s="45"/>
      <c r="L863" s="46"/>
      <c r="M863" s="45"/>
      <c r="N863" s="45"/>
      <c r="O863" s="45"/>
      <c r="P863" s="45"/>
      <c r="Q863" s="45"/>
      <c r="R863" s="45"/>
      <c r="S863" s="45"/>
    </row>
    <row r="864">
      <c r="A864" s="45"/>
      <c r="B864" s="45"/>
      <c r="C864" s="45"/>
      <c r="D864" s="45"/>
      <c r="E864" s="45"/>
      <c r="F864" s="45"/>
      <c r="G864" s="45"/>
      <c r="H864" s="45"/>
      <c r="I864" s="45"/>
      <c r="J864" s="45"/>
      <c r="K864" s="45"/>
      <c r="L864" s="46"/>
      <c r="M864" s="45"/>
      <c r="N864" s="45"/>
      <c r="O864" s="45"/>
      <c r="P864" s="45"/>
      <c r="Q864" s="45"/>
      <c r="R864" s="45"/>
      <c r="S864" s="45"/>
    </row>
    <row r="865">
      <c r="A865" s="45"/>
      <c r="B865" s="45"/>
      <c r="C865" s="45"/>
      <c r="D865" s="45"/>
      <c r="E865" s="45"/>
      <c r="F865" s="45"/>
      <c r="G865" s="45"/>
      <c r="H865" s="45"/>
      <c r="I865" s="45"/>
      <c r="J865" s="45"/>
      <c r="K865" s="45"/>
      <c r="L865" s="46"/>
      <c r="M865" s="45"/>
      <c r="N865" s="45"/>
      <c r="O865" s="45"/>
      <c r="P865" s="45"/>
      <c r="Q865" s="45"/>
      <c r="R865" s="45"/>
      <c r="S865" s="45"/>
    </row>
    <row r="866">
      <c r="A866" s="45"/>
      <c r="B866" s="45"/>
      <c r="C866" s="45"/>
      <c r="D866" s="45"/>
      <c r="E866" s="45"/>
      <c r="F866" s="45"/>
      <c r="G866" s="45"/>
      <c r="H866" s="45"/>
      <c r="I866" s="45"/>
      <c r="J866" s="45"/>
      <c r="K866" s="45"/>
      <c r="L866" s="46"/>
      <c r="M866" s="45"/>
      <c r="N866" s="45"/>
      <c r="O866" s="45"/>
      <c r="P866" s="45"/>
      <c r="Q866" s="45"/>
      <c r="R866" s="45"/>
      <c r="S866" s="45"/>
    </row>
    <row r="867">
      <c r="A867" s="45"/>
      <c r="B867" s="45"/>
      <c r="C867" s="45"/>
      <c r="D867" s="45"/>
      <c r="E867" s="45"/>
      <c r="F867" s="45"/>
      <c r="G867" s="45"/>
      <c r="H867" s="45"/>
      <c r="I867" s="45"/>
      <c r="J867" s="45"/>
      <c r="K867" s="45"/>
      <c r="L867" s="46"/>
      <c r="M867" s="45"/>
      <c r="N867" s="45"/>
      <c r="O867" s="45"/>
      <c r="P867" s="45"/>
      <c r="Q867" s="45"/>
      <c r="R867" s="45"/>
      <c r="S867" s="45"/>
    </row>
    <row r="868">
      <c r="A868" s="45"/>
      <c r="B868" s="45"/>
      <c r="C868" s="45"/>
      <c r="D868" s="45"/>
      <c r="E868" s="45"/>
      <c r="F868" s="45"/>
      <c r="G868" s="45"/>
      <c r="H868" s="45"/>
      <c r="I868" s="45"/>
      <c r="J868" s="45"/>
      <c r="K868" s="45"/>
      <c r="L868" s="46"/>
      <c r="M868" s="45"/>
      <c r="N868" s="45"/>
      <c r="O868" s="45"/>
      <c r="P868" s="45"/>
      <c r="Q868" s="45"/>
      <c r="R868" s="45"/>
      <c r="S868" s="45"/>
    </row>
    <row r="869">
      <c r="A869" s="45"/>
      <c r="B869" s="45"/>
      <c r="C869" s="45"/>
      <c r="D869" s="45"/>
      <c r="E869" s="45"/>
      <c r="F869" s="45"/>
      <c r="G869" s="45"/>
      <c r="H869" s="45"/>
      <c r="I869" s="45"/>
      <c r="J869" s="45"/>
      <c r="K869" s="45"/>
      <c r="L869" s="46"/>
      <c r="M869" s="45"/>
      <c r="N869" s="45"/>
      <c r="O869" s="45"/>
      <c r="P869" s="45"/>
      <c r="Q869" s="45"/>
      <c r="R869" s="45"/>
      <c r="S869" s="45"/>
    </row>
    <row r="870">
      <c r="A870" s="45"/>
      <c r="B870" s="45"/>
      <c r="C870" s="45"/>
      <c r="D870" s="45"/>
      <c r="E870" s="45"/>
      <c r="F870" s="45"/>
      <c r="G870" s="45"/>
      <c r="H870" s="45"/>
      <c r="I870" s="45"/>
      <c r="J870" s="45"/>
      <c r="K870" s="45"/>
      <c r="L870" s="46"/>
      <c r="M870" s="45"/>
      <c r="N870" s="45"/>
      <c r="O870" s="45"/>
      <c r="P870" s="45"/>
      <c r="Q870" s="45"/>
      <c r="R870" s="45"/>
      <c r="S870" s="45"/>
    </row>
    <row r="871">
      <c r="A871" s="45"/>
      <c r="B871" s="45"/>
      <c r="C871" s="45"/>
      <c r="D871" s="45"/>
      <c r="E871" s="45"/>
      <c r="F871" s="45"/>
      <c r="G871" s="45"/>
      <c r="H871" s="45"/>
      <c r="I871" s="45"/>
      <c r="J871" s="45"/>
      <c r="K871" s="45"/>
      <c r="L871" s="46"/>
      <c r="M871" s="45"/>
      <c r="N871" s="45"/>
      <c r="O871" s="45"/>
      <c r="P871" s="45"/>
      <c r="Q871" s="45"/>
      <c r="R871" s="45"/>
      <c r="S871" s="45"/>
    </row>
    <row r="872">
      <c r="A872" s="45"/>
      <c r="B872" s="45"/>
      <c r="C872" s="45"/>
      <c r="D872" s="45"/>
      <c r="E872" s="45"/>
      <c r="F872" s="45"/>
      <c r="G872" s="45"/>
      <c r="H872" s="45"/>
      <c r="I872" s="45"/>
      <c r="J872" s="45"/>
      <c r="K872" s="45"/>
      <c r="L872" s="46"/>
      <c r="M872" s="45"/>
      <c r="N872" s="45"/>
      <c r="O872" s="45"/>
      <c r="P872" s="45"/>
      <c r="Q872" s="45"/>
      <c r="R872" s="45"/>
      <c r="S872" s="45"/>
    </row>
    <row r="873">
      <c r="A873" s="45"/>
      <c r="B873" s="45"/>
      <c r="C873" s="45"/>
      <c r="D873" s="45"/>
      <c r="E873" s="45"/>
      <c r="F873" s="45"/>
      <c r="G873" s="45"/>
      <c r="H873" s="45"/>
      <c r="I873" s="45"/>
      <c r="J873" s="45"/>
      <c r="K873" s="45"/>
      <c r="L873" s="46"/>
      <c r="M873" s="45"/>
      <c r="N873" s="45"/>
      <c r="O873" s="45"/>
      <c r="P873" s="45"/>
      <c r="Q873" s="45"/>
      <c r="R873" s="45"/>
      <c r="S873" s="45"/>
    </row>
    <row r="874">
      <c r="A874" s="45"/>
      <c r="B874" s="45"/>
      <c r="C874" s="45"/>
      <c r="D874" s="45"/>
      <c r="E874" s="45"/>
      <c r="F874" s="45"/>
      <c r="G874" s="45"/>
      <c r="H874" s="45"/>
      <c r="I874" s="45"/>
      <c r="J874" s="45"/>
      <c r="K874" s="45"/>
      <c r="L874" s="46"/>
      <c r="M874" s="45"/>
      <c r="N874" s="45"/>
      <c r="O874" s="45"/>
      <c r="P874" s="45"/>
      <c r="Q874" s="45"/>
      <c r="R874" s="45"/>
      <c r="S874" s="45"/>
    </row>
    <row r="875">
      <c r="A875" s="45"/>
      <c r="B875" s="45"/>
      <c r="C875" s="45"/>
      <c r="D875" s="45"/>
      <c r="E875" s="45"/>
      <c r="F875" s="45"/>
      <c r="G875" s="45"/>
      <c r="H875" s="45"/>
      <c r="I875" s="45"/>
      <c r="J875" s="45"/>
      <c r="K875" s="45"/>
      <c r="L875" s="46"/>
      <c r="M875" s="45"/>
      <c r="N875" s="45"/>
      <c r="O875" s="45"/>
      <c r="P875" s="45"/>
      <c r="Q875" s="45"/>
      <c r="R875" s="45"/>
      <c r="S875" s="45"/>
    </row>
    <row r="876">
      <c r="A876" s="45"/>
      <c r="B876" s="45"/>
      <c r="C876" s="45"/>
      <c r="D876" s="45"/>
      <c r="E876" s="45"/>
      <c r="F876" s="45"/>
      <c r="G876" s="45"/>
      <c r="H876" s="45"/>
      <c r="I876" s="45"/>
      <c r="J876" s="45"/>
      <c r="K876" s="45"/>
      <c r="L876" s="46"/>
      <c r="M876" s="45"/>
      <c r="N876" s="45"/>
      <c r="O876" s="45"/>
      <c r="P876" s="45"/>
      <c r="Q876" s="45"/>
      <c r="R876" s="45"/>
      <c r="S876" s="45"/>
    </row>
    <row r="877">
      <c r="A877" s="45"/>
      <c r="B877" s="45"/>
      <c r="C877" s="45"/>
      <c r="D877" s="45"/>
      <c r="E877" s="45"/>
      <c r="F877" s="45"/>
      <c r="G877" s="45"/>
      <c r="H877" s="45"/>
      <c r="I877" s="45"/>
      <c r="J877" s="45"/>
      <c r="K877" s="45"/>
      <c r="L877" s="46"/>
      <c r="M877" s="45"/>
      <c r="N877" s="45"/>
      <c r="O877" s="45"/>
      <c r="P877" s="45"/>
      <c r="Q877" s="45"/>
      <c r="R877" s="45"/>
      <c r="S877" s="45"/>
    </row>
    <row r="878">
      <c r="A878" s="45"/>
      <c r="B878" s="45"/>
      <c r="C878" s="45"/>
      <c r="D878" s="45"/>
      <c r="E878" s="45"/>
      <c r="F878" s="45"/>
      <c r="G878" s="45"/>
      <c r="H878" s="45"/>
      <c r="I878" s="45"/>
      <c r="J878" s="45"/>
      <c r="K878" s="45"/>
      <c r="L878" s="46"/>
      <c r="M878" s="45"/>
      <c r="N878" s="45"/>
      <c r="O878" s="45"/>
      <c r="P878" s="45"/>
      <c r="Q878" s="45"/>
      <c r="R878" s="45"/>
      <c r="S878" s="45"/>
    </row>
    <row r="879">
      <c r="A879" s="45"/>
      <c r="B879" s="45"/>
      <c r="C879" s="45"/>
      <c r="D879" s="45"/>
      <c r="E879" s="45"/>
      <c r="F879" s="45"/>
      <c r="G879" s="45"/>
      <c r="H879" s="45"/>
      <c r="I879" s="45"/>
      <c r="J879" s="45"/>
      <c r="K879" s="45"/>
      <c r="L879" s="46"/>
      <c r="M879" s="45"/>
      <c r="N879" s="45"/>
      <c r="O879" s="45"/>
      <c r="P879" s="45"/>
      <c r="Q879" s="45"/>
      <c r="R879" s="45"/>
      <c r="S879" s="45"/>
    </row>
    <row r="880">
      <c r="A880" s="45"/>
      <c r="B880" s="45"/>
      <c r="C880" s="45"/>
      <c r="D880" s="45"/>
      <c r="E880" s="45"/>
      <c r="F880" s="45"/>
      <c r="G880" s="45"/>
      <c r="H880" s="45"/>
      <c r="I880" s="45"/>
      <c r="J880" s="45"/>
      <c r="K880" s="45"/>
      <c r="L880" s="46"/>
      <c r="M880" s="45"/>
      <c r="N880" s="45"/>
      <c r="O880" s="45"/>
      <c r="P880" s="45"/>
      <c r="Q880" s="45"/>
      <c r="R880" s="45"/>
      <c r="S880" s="45"/>
    </row>
    <row r="881">
      <c r="A881" s="45"/>
      <c r="B881" s="45"/>
      <c r="C881" s="45"/>
      <c r="D881" s="45"/>
      <c r="E881" s="45"/>
      <c r="F881" s="45"/>
      <c r="G881" s="45"/>
      <c r="H881" s="45"/>
      <c r="I881" s="45"/>
      <c r="J881" s="45"/>
      <c r="K881" s="45"/>
      <c r="L881" s="46"/>
      <c r="M881" s="45"/>
      <c r="N881" s="45"/>
      <c r="O881" s="45"/>
      <c r="P881" s="45"/>
      <c r="Q881" s="45"/>
      <c r="R881" s="45"/>
      <c r="S881" s="45"/>
    </row>
    <row r="882">
      <c r="A882" s="45"/>
      <c r="B882" s="45"/>
      <c r="C882" s="45"/>
      <c r="D882" s="45"/>
      <c r="E882" s="45"/>
      <c r="F882" s="45"/>
      <c r="G882" s="45"/>
      <c r="H882" s="45"/>
      <c r="I882" s="45"/>
      <c r="J882" s="45"/>
      <c r="K882" s="45"/>
      <c r="L882" s="46"/>
      <c r="M882" s="45"/>
      <c r="N882" s="45"/>
      <c r="O882" s="45"/>
      <c r="P882" s="45"/>
      <c r="Q882" s="45"/>
      <c r="R882" s="45"/>
      <c r="S882" s="45"/>
    </row>
    <row r="883">
      <c r="A883" s="45"/>
      <c r="B883" s="45"/>
      <c r="C883" s="45"/>
      <c r="D883" s="45"/>
      <c r="E883" s="45"/>
      <c r="F883" s="45"/>
      <c r="G883" s="45"/>
      <c r="H883" s="45"/>
      <c r="I883" s="45"/>
      <c r="J883" s="45"/>
      <c r="K883" s="45"/>
      <c r="L883" s="46"/>
      <c r="M883" s="45"/>
      <c r="N883" s="45"/>
      <c r="O883" s="45"/>
      <c r="P883" s="45"/>
      <c r="Q883" s="45"/>
      <c r="R883" s="45"/>
      <c r="S883" s="45"/>
    </row>
    <row r="884">
      <c r="A884" s="45"/>
      <c r="B884" s="45"/>
      <c r="C884" s="45"/>
      <c r="D884" s="45"/>
      <c r="E884" s="45"/>
      <c r="F884" s="45"/>
      <c r="G884" s="45"/>
      <c r="H884" s="45"/>
      <c r="I884" s="45"/>
      <c r="J884" s="45"/>
      <c r="K884" s="45"/>
      <c r="L884" s="46"/>
      <c r="M884" s="45"/>
      <c r="N884" s="45"/>
      <c r="O884" s="45"/>
      <c r="P884" s="45"/>
      <c r="Q884" s="45"/>
      <c r="R884" s="45"/>
      <c r="S884" s="45"/>
    </row>
    <row r="885">
      <c r="A885" s="45"/>
      <c r="B885" s="45"/>
      <c r="C885" s="45"/>
      <c r="D885" s="45"/>
      <c r="E885" s="45"/>
      <c r="F885" s="45"/>
      <c r="G885" s="45"/>
      <c r="H885" s="45"/>
      <c r="I885" s="45"/>
      <c r="J885" s="45"/>
      <c r="K885" s="45"/>
      <c r="L885" s="46"/>
      <c r="M885" s="45"/>
      <c r="N885" s="45"/>
      <c r="O885" s="45"/>
      <c r="P885" s="45"/>
      <c r="Q885" s="45"/>
      <c r="R885" s="45"/>
      <c r="S885" s="45"/>
    </row>
    <row r="886">
      <c r="A886" s="45"/>
      <c r="B886" s="45"/>
      <c r="C886" s="45"/>
      <c r="D886" s="45"/>
      <c r="E886" s="45"/>
      <c r="F886" s="45"/>
      <c r="G886" s="45"/>
      <c r="H886" s="45"/>
      <c r="I886" s="45"/>
      <c r="J886" s="45"/>
      <c r="K886" s="45"/>
      <c r="L886" s="46"/>
      <c r="M886" s="45"/>
      <c r="N886" s="45"/>
      <c r="O886" s="45"/>
      <c r="P886" s="45"/>
      <c r="Q886" s="45"/>
      <c r="R886" s="45"/>
      <c r="S886" s="45"/>
    </row>
    <row r="887">
      <c r="A887" s="45"/>
      <c r="B887" s="45"/>
      <c r="C887" s="45"/>
      <c r="D887" s="45"/>
      <c r="E887" s="45"/>
      <c r="F887" s="45"/>
      <c r="G887" s="45"/>
      <c r="H887" s="45"/>
      <c r="I887" s="45"/>
      <c r="J887" s="45"/>
      <c r="K887" s="45"/>
      <c r="L887" s="46"/>
      <c r="M887" s="45"/>
      <c r="N887" s="45"/>
      <c r="O887" s="45"/>
      <c r="P887" s="45"/>
      <c r="Q887" s="45"/>
      <c r="R887" s="45"/>
      <c r="S887" s="45"/>
    </row>
    <row r="888">
      <c r="A888" s="45"/>
      <c r="B888" s="45"/>
      <c r="C888" s="45"/>
      <c r="D888" s="45"/>
      <c r="E888" s="45"/>
      <c r="F888" s="45"/>
      <c r="G888" s="45"/>
      <c r="H888" s="45"/>
      <c r="I888" s="45"/>
      <c r="J888" s="45"/>
      <c r="K888" s="45"/>
      <c r="L888" s="46"/>
      <c r="M888" s="45"/>
      <c r="N888" s="45"/>
      <c r="O888" s="45"/>
      <c r="P888" s="45"/>
      <c r="Q888" s="45"/>
      <c r="R888" s="45"/>
      <c r="S888" s="45"/>
    </row>
    <row r="889">
      <c r="A889" s="45"/>
      <c r="B889" s="45"/>
      <c r="C889" s="45"/>
      <c r="D889" s="45"/>
      <c r="E889" s="45"/>
      <c r="F889" s="45"/>
      <c r="G889" s="45"/>
      <c r="H889" s="45"/>
      <c r="I889" s="45"/>
      <c r="J889" s="45"/>
      <c r="K889" s="45"/>
      <c r="L889" s="46"/>
      <c r="M889" s="45"/>
      <c r="N889" s="45"/>
      <c r="O889" s="45"/>
      <c r="P889" s="45"/>
      <c r="Q889" s="45"/>
      <c r="R889" s="45"/>
      <c r="S889" s="45"/>
    </row>
    <row r="890">
      <c r="A890" s="45"/>
      <c r="B890" s="45"/>
      <c r="C890" s="45"/>
      <c r="D890" s="45"/>
      <c r="E890" s="45"/>
      <c r="F890" s="45"/>
      <c r="G890" s="45"/>
      <c r="H890" s="45"/>
      <c r="I890" s="45"/>
      <c r="J890" s="45"/>
      <c r="K890" s="45"/>
      <c r="L890" s="46"/>
      <c r="M890" s="45"/>
      <c r="N890" s="45"/>
      <c r="O890" s="45"/>
      <c r="P890" s="45"/>
      <c r="Q890" s="45"/>
      <c r="R890" s="45"/>
      <c r="S890" s="45"/>
    </row>
    <row r="891">
      <c r="A891" s="45"/>
      <c r="B891" s="45"/>
      <c r="C891" s="45"/>
      <c r="D891" s="45"/>
      <c r="E891" s="45"/>
      <c r="F891" s="45"/>
      <c r="G891" s="45"/>
      <c r="H891" s="45"/>
      <c r="I891" s="45"/>
      <c r="J891" s="45"/>
      <c r="K891" s="45"/>
      <c r="L891" s="46"/>
      <c r="M891" s="45"/>
      <c r="N891" s="45"/>
      <c r="O891" s="45"/>
      <c r="P891" s="45"/>
      <c r="Q891" s="45"/>
      <c r="R891" s="45"/>
      <c r="S891" s="45"/>
    </row>
    <row r="892">
      <c r="A892" s="45"/>
      <c r="B892" s="45"/>
      <c r="C892" s="45"/>
      <c r="D892" s="45"/>
      <c r="E892" s="45"/>
      <c r="F892" s="45"/>
      <c r="G892" s="45"/>
      <c r="H892" s="45"/>
      <c r="I892" s="45"/>
      <c r="J892" s="45"/>
      <c r="K892" s="45"/>
      <c r="L892" s="46"/>
      <c r="M892" s="45"/>
      <c r="N892" s="45"/>
      <c r="O892" s="45"/>
      <c r="P892" s="45"/>
      <c r="Q892" s="45"/>
      <c r="R892" s="45"/>
      <c r="S892" s="45"/>
    </row>
    <row r="893">
      <c r="A893" s="45"/>
      <c r="B893" s="45"/>
      <c r="C893" s="45"/>
      <c r="D893" s="45"/>
      <c r="E893" s="45"/>
      <c r="F893" s="45"/>
      <c r="G893" s="45"/>
      <c r="H893" s="45"/>
      <c r="I893" s="45"/>
      <c r="J893" s="45"/>
      <c r="K893" s="45"/>
      <c r="L893" s="46"/>
      <c r="M893" s="45"/>
      <c r="N893" s="45"/>
      <c r="O893" s="45"/>
      <c r="P893" s="45"/>
      <c r="Q893" s="45"/>
      <c r="R893" s="45"/>
      <c r="S893" s="45"/>
    </row>
    <row r="894">
      <c r="A894" s="45"/>
      <c r="B894" s="45"/>
      <c r="C894" s="45"/>
      <c r="D894" s="45"/>
      <c r="E894" s="45"/>
      <c r="F894" s="45"/>
      <c r="G894" s="45"/>
      <c r="H894" s="45"/>
      <c r="I894" s="45"/>
      <c r="J894" s="45"/>
      <c r="K894" s="45"/>
      <c r="L894" s="46"/>
      <c r="M894" s="45"/>
      <c r="N894" s="45"/>
      <c r="O894" s="45"/>
      <c r="P894" s="45"/>
      <c r="Q894" s="45"/>
      <c r="R894" s="45"/>
      <c r="S894" s="45"/>
    </row>
    <row r="895">
      <c r="A895" s="45"/>
      <c r="B895" s="45"/>
      <c r="C895" s="45"/>
      <c r="D895" s="45"/>
      <c r="E895" s="45"/>
      <c r="F895" s="45"/>
      <c r="G895" s="45"/>
      <c r="H895" s="45"/>
      <c r="I895" s="45"/>
      <c r="J895" s="45"/>
      <c r="K895" s="45"/>
      <c r="L895" s="46"/>
      <c r="M895" s="45"/>
      <c r="N895" s="45"/>
      <c r="O895" s="45"/>
      <c r="P895" s="45"/>
      <c r="Q895" s="45"/>
      <c r="R895" s="45"/>
      <c r="S895" s="45"/>
    </row>
    <row r="896">
      <c r="A896" s="45"/>
      <c r="B896" s="45"/>
      <c r="C896" s="45"/>
      <c r="D896" s="45"/>
      <c r="E896" s="45"/>
      <c r="F896" s="45"/>
      <c r="G896" s="45"/>
      <c r="H896" s="45"/>
      <c r="I896" s="45"/>
      <c r="J896" s="45"/>
      <c r="K896" s="45"/>
      <c r="L896" s="46"/>
      <c r="M896" s="45"/>
      <c r="N896" s="45"/>
      <c r="O896" s="45"/>
      <c r="P896" s="45"/>
      <c r="Q896" s="45"/>
      <c r="R896" s="45"/>
      <c r="S896" s="45"/>
    </row>
    <row r="897">
      <c r="A897" s="45"/>
      <c r="B897" s="45"/>
      <c r="C897" s="45"/>
      <c r="D897" s="45"/>
      <c r="E897" s="45"/>
      <c r="F897" s="45"/>
      <c r="G897" s="45"/>
      <c r="H897" s="45"/>
      <c r="I897" s="45"/>
      <c r="J897" s="45"/>
      <c r="K897" s="45"/>
      <c r="L897" s="46"/>
      <c r="M897" s="45"/>
      <c r="N897" s="45"/>
      <c r="O897" s="45"/>
      <c r="P897" s="45"/>
      <c r="Q897" s="45"/>
      <c r="R897" s="45"/>
      <c r="S897" s="45"/>
    </row>
    <row r="898">
      <c r="A898" s="45"/>
      <c r="B898" s="45"/>
      <c r="C898" s="45"/>
      <c r="D898" s="45"/>
      <c r="E898" s="45"/>
      <c r="F898" s="45"/>
      <c r="G898" s="45"/>
      <c r="H898" s="45"/>
      <c r="I898" s="45"/>
      <c r="J898" s="45"/>
      <c r="K898" s="45"/>
      <c r="L898" s="46"/>
      <c r="M898" s="45"/>
      <c r="N898" s="45"/>
      <c r="O898" s="45"/>
      <c r="P898" s="45"/>
      <c r="Q898" s="45"/>
      <c r="R898" s="45"/>
      <c r="S898" s="45"/>
    </row>
    <row r="899">
      <c r="A899" s="45"/>
      <c r="B899" s="45"/>
      <c r="C899" s="45"/>
      <c r="D899" s="45"/>
      <c r="E899" s="45"/>
      <c r="F899" s="45"/>
      <c r="G899" s="45"/>
      <c r="H899" s="45"/>
      <c r="I899" s="45"/>
      <c r="J899" s="45"/>
      <c r="K899" s="45"/>
      <c r="L899" s="46"/>
      <c r="M899" s="45"/>
      <c r="N899" s="45"/>
      <c r="O899" s="45"/>
      <c r="P899" s="45"/>
      <c r="Q899" s="45"/>
      <c r="R899" s="45"/>
      <c r="S899" s="45"/>
    </row>
    <row r="900">
      <c r="A900" s="45"/>
      <c r="B900" s="45"/>
      <c r="C900" s="45"/>
      <c r="D900" s="45"/>
      <c r="E900" s="45"/>
      <c r="F900" s="45"/>
      <c r="G900" s="45"/>
      <c r="H900" s="45"/>
      <c r="I900" s="45"/>
      <c r="J900" s="45"/>
      <c r="K900" s="45"/>
      <c r="L900" s="46"/>
      <c r="M900" s="45"/>
      <c r="N900" s="45"/>
      <c r="O900" s="45"/>
      <c r="P900" s="45"/>
      <c r="Q900" s="45"/>
      <c r="R900" s="45"/>
      <c r="S900" s="45"/>
    </row>
    <row r="901">
      <c r="A901" s="45"/>
      <c r="B901" s="45"/>
      <c r="C901" s="45"/>
      <c r="D901" s="45"/>
      <c r="E901" s="45"/>
      <c r="F901" s="45"/>
      <c r="G901" s="45"/>
      <c r="H901" s="45"/>
      <c r="I901" s="45"/>
      <c r="J901" s="45"/>
      <c r="K901" s="45"/>
      <c r="L901" s="46"/>
      <c r="M901" s="45"/>
      <c r="N901" s="45"/>
      <c r="O901" s="45"/>
      <c r="P901" s="45"/>
      <c r="Q901" s="45"/>
      <c r="R901" s="45"/>
      <c r="S901" s="45"/>
    </row>
    <row r="902">
      <c r="A902" s="45"/>
      <c r="B902" s="45"/>
      <c r="C902" s="45"/>
      <c r="D902" s="45"/>
      <c r="E902" s="45"/>
      <c r="F902" s="45"/>
      <c r="G902" s="45"/>
      <c r="H902" s="45"/>
      <c r="I902" s="45"/>
      <c r="J902" s="45"/>
      <c r="K902" s="45"/>
      <c r="L902" s="46"/>
      <c r="M902" s="45"/>
      <c r="N902" s="45"/>
      <c r="O902" s="45"/>
      <c r="P902" s="45"/>
      <c r="Q902" s="45"/>
      <c r="R902" s="45"/>
      <c r="S902" s="45"/>
    </row>
    <row r="903">
      <c r="A903" s="45"/>
      <c r="B903" s="45"/>
      <c r="C903" s="45"/>
      <c r="D903" s="45"/>
      <c r="E903" s="45"/>
      <c r="F903" s="45"/>
      <c r="G903" s="45"/>
      <c r="H903" s="45"/>
      <c r="I903" s="45"/>
      <c r="J903" s="45"/>
      <c r="K903" s="45"/>
      <c r="L903" s="46"/>
      <c r="M903" s="45"/>
      <c r="N903" s="45"/>
      <c r="O903" s="45"/>
      <c r="P903" s="45"/>
      <c r="Q903" s="45"/>
      <c r="R903" s="45"/>
      <c r="S903" s="45"/>
    </row>
    <row r="904">
      <c r="A904" s="45"/>
      <c r="B904" s="45"/>
      <c r="C904" s="45"/>
      <c r="D904" s="45"/>
      <c r="E904" s="45"/>
      <c r="F904" s="45"/>
      <c r="G904" s="45"/>
      <c r="H904" s="45"/>
      <c r="I904" s="45"/>
      <c r="J904" s="45"/>
      <c r="K904" s="45"/>
      <c r="L904" s="46"/>
      <c r="M904" s="45"/>
      <c r="N904" s="45"/>
      <c r="O904" s="45"/>
      <c r="P904" s="45"/>
      <c r="Q904" s="45"/>
      <c r="R904" s="45"/>
      <c r="S904" s="45"/>
    </row>
    <row r="905">
      <c r="A905" s="45"/>
      <c r="B905" s="45"/>
      <c r="C905" s="45"/>
      <c r="D905" s="45"/>
      <c r="E905" s="45"/>
      <c r="F905" s="45"/>
      <c r="G905" s="45"/>
      <c r="H905" s="45"/>
      <c r="I905" s="45"/>
      <c r="J905" s="45"/>
      <c r="K905" s="45"/>
      <c r="L905" s="46"/>
      <c r="M905" s="45"/>
      <c r="N905" s="45"/>
      <c r="O905" s="45"/>
      <c r="P905" s="45"/>
      <c r="Q905" s="45"/>
      <c r="R905" s="45"/>
      <c r="S905" s="45"/>
    </row>
    <row r="906">
      <c r="A906" s="45"/>
      <c r="B906" s="45"/>
      <c r="C906" s="45"/>
      <c r="D906" s="45"/>
      <c r="E906" s="45"/>
      <c r="F906" s="45"/>
      <c r="G906" s="45"/>
      <c r="H906" s="45"/>
      <c r="I906" s="45"/>
      <c r="J906" s="45"/>
      <c r="K906" s="45"/>
      <c r="L906" s="46"/>
      <c r="M906" s="45"/>
      <c r="N906" s="45"/>
      <c r="O906" s="45"/>
      <c r="P906" s="45"/>
      <c r="Q906" s="45"/>
      <c r="R906" s="45"/>
      <c r="S906" s="45"/>
    </row>
    <row r="907">
      <c r="A907" s="45"/>
      <c r="B907" s="45"/>
      <c r="C907" s="45"/>
      <c r="D907" s="45"/>
      <c r="E907" s="45"/>
      <c r="F907" s="45"/>
      <c r="G907" s="45"/>
      <c r="H907" s="45"/>
      <c r="I907" s="45"/>
      <c r="J907" s="45"/>
      <c r="K907" s="45"/>
      <c r="L907" s="46"/>
      <c r="M907" s="45"/>
      <c r="N907" s="45"/>
      <c r="O907" s="45"/>
      <c r="P907" s="45"/>
      <c r="Q907" s="45"/>
      <c r="R907" s="45"/>
      <c r="S907" s="45"/>
    </row>
    <row r="908">
      <c r="A908" s="45"/>
      <c r="B908" s="45"/>
      <c r="C908" s="45"/>
      <c r="D908" s="45"/>
      <c r="E908" s="45"/>
      <c r="F908" s="45"/>
      <c r="G908" s="45"/>
      <c r="H908" s="45"/>
      <c r="I908" s="45"/>
      <c r="J908" s="45"/>
      <c r="K908" s="45"/>
      <c r="L908" s="46"/>
      <c r="M908" s="45"/>
      <c r="N908" s="45"/>
      <c r="O908" s="45"/>
      <c r="P908" s="45"/>
      <c r="Q908" s="45"/>
      <c r="R908" s="45"/>
      <c r="S908" s="45"/>
    </row>
    <row r="909">
      <c r="A909" s="45"/>
      <c r="B909" s="45"/>
      <c r="C909" s="45"/>
      <c r="D909" s="45"/>
      <c r="E909" s="45"/>
      <c r="F909" s="45"/>
      <c r="G909" s="45"/>
      <c r="H909" s="45"/>
      <c r="I909" s="45"/>
      <c r="J909" s="45"/>
      <c r="K909" s="45"/>
      <c r="L909" s="46"/>
      <c r="M909" s="45"/>
      <c r="N909" s="45"/>
      <c r="O909" s="45"/>
      <c r="P909" s="45"/>
      <c r="Q909" s="45"/>
      <c r="R909" s="45"/>
      <c r="S909" s="45"/>
    </row>
    <row r="910">
      <c r="A910" s="45"/>
      <c r="B910" s="45"/>
      <c r="C910" s="45"/>
      <c r="D910" s="45"/>
      <c r="E910" s="45"/>
      <c r="F910" s="45"/>
      <c r="G910" s="45"/>
      <c r="H910" s="45"/>
      <c r="I910" s="45"/>
      <c r="J910" s="45"/>
      <c r="K910" s="45"/>
      <c r="L910" s="46"/>
      <c r="M910" s="45"/>
      <c r="N910" s="45"/>
      <c r="O910" s="45"/>
      <c r="P910" s="45"/>
      <c r="Q910" s="45"/>
      <c r="R910" s="45"/>
      <c r="S910" s="45"/>
    </row>
    <row r="911">
      <c r="A911" s="45"/>
      <c r="B911" s="45"/>
      <c r="C911" s="45"/>
      <c r="D911" s="45"/>
      <c r="E911" s="45"/>
      <c r="F911" s="45"/>
      <c r="G911" s="45"/>
      <c r="H911" s="45"/>
      <c r="I911" s="45"/>
      <c r="J911" s="45"/>
      <c r="K911" s="45"/>
      <c r="L911" s="46"/>
      <c r="M911" s="45"/>
      <c r="N911" s="45"/>
      <c r="O911" s="45"/>
      <c r="P911" s="45"/>
      <c r="Q911" s="45"/>
      <c r="R911" s="45"/>
      <c r="S911" s="45"/>
    </row>
    <row r="912">
      <c r="A912" s="45"/>
      <c r="B912" s="45"/>
      <c r="C912" s="45"/>
      <c r="D912" s="45"/>
      <c r="E912" s="45"/>
      <c r="F912" s="45"/>
      <c r="G912" s="45"/>
      <c r="H912" s="45"/>
      <c r="I912" s="45"/>
      <c r="J912" s="45"/>
      <c r="K912" s="45"/>
      <c r="L912" s="46"/>
      <c r="M912" s="45"/>
      <c r="N912" s="45"/>
      <c r="O912" s="45"/>
      <c r="P912" s="45"/>
      <c r="Q912" s="45"/>
      <c r="R912" s="45"/>
      <c r="S912" s="45"/>
    </row>
    <row r="913">
      <c r="A913" s="45"/>
      <c r="B913" s="45"/>
      <c r="C913" s="45"/>
      <c r="D913" s="45"/>
      <c r="E913" s="45"/>
      <c r="F913" s="45"/>
      <c r="G913" s="45"/>
      <c r="H913" s="45"/>
      <c r="I913" s="45"/>
      <c r="J913" s="45"/>
      <c r="K913" s="45"/>
      <c r="L913" s="46"/>
      <c r="M913" s="45"/>
      <c r="N913" s="45"/>
      <c r="O913" s="45"/>
      <c r="P913" s="45"/>
      <c r="Q913" s="45"/>
      <c r="R913" s="45"/>
      <c r="S913" s="45"/>
    </row>
    <row r="914">
      <c r="A914" s="45"/>
      <c r="B914" s="45"/>
      <c r="C914" s="45"/>
      <c r="D914" s="45"/>
      <c r="E914" s="45"/>
      <c r="F914" s="45"/>
      <c r="G914" s="45"/>
      <c r="H914" s="45"/>
      <c r="I914" s="45"/>
      <c r="J914" s="45"/>
      <c r="K914" s="45"/>
      <c r="L914" s="46"/>
      <c r="M914" s="45"/>
      <c r="N914" s="45"/>
      <c r="O914" s="45"/>
      <c r="P914" s="45"/>
      <c r="Q914" s="45"/>
      <c r="R914" s="45"/>
      <c r="S914" s="45"/>
    </row>
    <row r="915">
      <c r="A915" s="45"/>
      <c r="B915" s="45"/>
      <c r="C915" s="45"/>
      <c r="D915" s="45"/>
      <c r="E915" s="45"/>
      <c r="F915" s="45"/>
      <c r="G915" s="45"/>
      <c r="H915" s="45"/>
      <c r="I915" s="45"/>
      <c r="J915" s="45"/>
      <c r="K915" s="45"/>
      <c r="L915" s="46"/>
      <c r="M915" s="45"/>
      <c r="N915" s="45"/>
      <c r="O915" s="45"/>
      <c r="P915" s="45"/>
      <c r="Q915" s="45"/>
      <c r="R915" s="45"/>
      <c r="S915" s="45"/>
    </row>
    <row r="916">
      <c r="A916" s="45"/>
      <c r="B916" s="45"/>
      <c r="C916" s="45"/>
      <c r="D916" s="45"/>
      <c r="E916" s="45"/>
      <c r="F916" s="45"/>
      <c r="G916" s="45"/>
      <c r="H916" s="45"/>
      <c r="I916" s="45"/>
      <c r="J916" s="45"/>
      <c r="K916" s="45"/>
      <c r="L916" s="46"/>
      <c r="M916" s="45"/>
      <c r="N916" s="45"/>
      <c r="O916" s="45"/>
      <c r="P916" s="45"/>
      <c r="Q916" s="45"/>
      <c r="R916" s="45"/>
      <c r="S916" s="45"/>
    </row>
    <row r="917">
      <c r="A917" s="45"/>
      <c r="B917" s="45"/>
      <c r="C917" s="45"/>
      <c r="D917" s="45"/>
      <c r="E917" s="45"/>
      <c r="F917" s="45"/>
      <c r="G917" s="45"/>
      <c r="H917" s="45"/>
      <c r="I917" s="45"/>
      <c r="J917" s="45"/>
      <c r="K917" s="45"/>
      <c r="L917" s="46"/>
      <c r="M917" s="45"/>
      <c r="N917" s="45"/>
      <c r="O917" s="45"/>
      <c r="P917" s="45"/>
      <c r="Q917" s="45"/>
      <c r="R917" s="45"/>
      <c r="S917" s="45"/>
    </row>
    <row r="918">
      <c r="A918" s="45"/>
      <c r="B918" s="45"/>
      <c r="C918" s="45"/>
      <c r="D918" s="45"/>
      <c r="E918" s="45"/>
      <c r="F918" s="45"/>
      <c r="G918" s="45"/>
      <c r="H918" s="45"/>
      <c r="I918" s="45"/>
      <c r="J918" s="45"/>
      <c r="K918" s="45"/>
      <c r="L918" s="46"/>
      <c r="M918" s="45"/>
      <c r="N918" s="45"/>
      <c r="O918" s="45"/>
      <c r="P918" s="45"/>
      <c r="Q918" s="45"/>
      <c r="R918" s="45"/>
      <c r="S918" s="45"/>
    </row>
    <row r="919">
      <c r="A919" s="45"/>
      <c r="B919" s="45"/>
      <c r="C919" s="45"/>
      <c r="D919" s="45"/>
      <c r="E919" s="45"/>
      <c r="F919" s="45"/>
      <c r="G919" s="45"/>
      <c r="H919" s="45"/>
      <c r="I919" s="45"/>
      <c r="J919" s="45"/>
      <c r="K919" s="45"/>
      <c r="L919" s="46"/>
      <c r="M919" s="45"/>
      <c r="N919" s="45"/>
      <c r="O919" s="45"/>
      <c r="P919" s="45"/>
      <c r="Q919" s="45"/>
      <c r="R919" s="45"/>
      <c r="S919" s="45"/>
    </row>
    <row r="920">
      <c r="A920" s="45"/>
      <c r="B920" s="45"/>
      <c r="C920" s="45"/>
      <c r="D920" s="45"/>
      <c r="E920" s="45"/>
      <c r="F920" s="45"/>
      <c r="G920" s="45"/>
      <c r="H920" s="45"/>
      <c r="I920" s="45"/>
      <c r="J920" s="45"/>
      <c r="K920" s="45"/>
      <c r="L920" s="46"/>
      <c r="M920" s="45"/>
      <c r="N920" s="45"/>
      <c r="O920" s="45"/>
      <c r="P920" s="45"/>
      <c r="Q920" s="45"/>
      <c r="R920" s="45"/>
      <c r="S920" s="45"/>
    </row>
    <row r="921">
      <c r="A921" s="45"/>
      <c r="B921" s="45"/>
      <c r="C921" s="45"/>
      <c r="D921" s="45"/>
      <c r="E921" s="45"/>
      <c r="F921" s="45"/>
      <c r="G921" s="45"/>
      <c r="H921" s="45"/>
      <c r="I921" s="45"/>
      <c r="J921" s="45"/>
      <c r="K921" s="45"/>
      <c r="L921" s="46"/>
      <c r="M921" s="45"/>
      <c r="N921" s="45"/>
      <c r="O921" s="45"/>
      <c r="P921" s="45"/>
      <c r="Q921" s="45"/>
      <c r="R921" s="45"/>
      <c r="S921" s="45"/>
    </row>
    <row r="922">
      <c r="A922" s="45"/>
      <c r="B922" s="45"/>
      <c r="C922" s="45"/>
      <c r="D922" s="45"/>
      <c r="E922" s="45"/>
      <c r="F922" s="45"/>
      <c r="G922" s="45"/>
      <c r="H922" s="45"/>
      <c r="I922" s="45"/>
      <c r="J922" s="45"/>
      <c r="K922" s="45"/>
      <c r="L922" s="46"/>
      <c r="M922" s="45"/>
      <c r="N922" s="45"/>
      <c r="O922" s="45"/>
      <c r="P922" s="45"/>
      <c r="Q922" s="45"/>
      <c r="R922" s="45"/>
      <c r="S922" s="45"/>
    </row>
    <row r="923">
      <c r="A923" s="45"/>
      <c r="B923" s="45"/>
      <c r="C923" s="45"/>
      <c r="D923" s="45"/>
      <c r="E923" s="45"/>
      <c r="F923" s="45"/>
      <c r="G923" s="45"/>
      <c r="H923" s="45"/>
      <c r="I923" s="45"/>
      <c r="J923" s="45"/>
      <c r="K923" s="45"/>
      <c r="L923" s="46"/>
      <c r="M923" s="45"/>
      <c r="N923" s="45"/>
      <c r="O923" s="45"/>
      <c r="P923" s="45"/>
      <c r="Q923" s="45"/>
      <c r="R923" s="45"/>
      <c r="S923" s="45"/>
    </row>
    <row r="924">
      <c r="A924" s="45"/>
      <c r="B924" s="45"/>
      <c r="C924" s="45"/>
      <c r="D924" s="45"/>
      <c r="E924" s="45"/>
      <c r="F924" s="45"/>
      <c r="G924" s="45"/>
      <c r="H924" s="45"/>
      <c r="I924" s="45"/>
      <c r="J924" s="45"/>
      <c r="K924" s="45"/>
      <c r="L924" s="46"/>
      <c r="M924" s="45"/>
      <c r="N924" s="45"/>
      <c r="O924" s="45"/>
      <c r="P924" s="45"/>
      <c r="Q924" s="45"/>
      <c r="R924" s="45"/>
      <c r="S924" s="45"/>
    </row>
    <row r="925">
      <c r="A925" s="45"/>
      <c r="B925" s="45"/>
      <c r="C925" s="45"/>
      <c r="D925" s="45"/>
      <c r="E925" s="45"/>
      <c r="F925" s="45"/>
      <c r="G925" s="45"/>
      <c r="H925" s="45"/>
      <c r="I925" s="45"/>
      <c r="J925" s="45"/>
      <c r="K925" s="45"/>
      <c r="L925" s="46"/>
      <c r="M925" s="45"/>
      <c r="N925" s="45"/>
      <c r="O925" s="45"/>
      <c r="P925" s="45"/>
      <c r="Q925" s="45"/>
      <c r="R925" s="45"/>
      <c r="S925" s="45"/>
    </row>
    <row r="926">
      <c r="A926" s="45"/>
      <c r="B926" s="45"/>
      <c r="C926" s="45"/>
      <c r="D926" s="45"/>
      <c r="E926" s="45"/>
      <c r="F926" s="45"/>
      <c r="G926" s="45"/>
      <c r="H926" s="45"/>
      <c r="I926" s="45"/>
      <c r="J926" s="45"/>
      <c r="K926" s="45"/>
      <c r="L926" s="46"/>
      <c r="M926" s="45"/>
      <c r="N926" s="45"/>
      <c r="O926" s="45"/>
      <c r="P926" s="45"/>
      <c r="Q926" s="45"/>
      <c r="R926" s="45"/>
      <c r="S926" s="45"/>
    </row>
    <row r="927">
      <c r="A927" s="45"/>
      <c r="B927" s="45"/>
      <c r="C927" s="45"/>
      <c r="D927" s="45"/>
      <c r="E927" s="45"/>
      <c r="F927" s="45"/>
      <c r="G927" s="45"/>
      <c r="H927" s="45"/>
      <c r="I927" s="45"/>
      <c r="J927" s="45"/>
      <c r="K927" s="45"/>
      <c r="L927" s="46"/>
      <c r="M927" s="45"/>
      <c r="N927" s="45"/>
      <c r="O927" s="45"/>
      <c r="P927" s="45"/>
      <c r="Q927" s="45"/>
      <c r="R927" s="45"/>
      <c r="S927" s="45"/>
    </row>
    <row r="928">
      <c r="A928" s="45"/>
      <c r="B928" s="45"/>
      <c r="C928" s="45"/>
      <c r="D928" s="45"/>
      <c r="E928" s="45"/>
      <c r="F928" s="45"/>
      <c r="G928" s="45"/>
      <c r="H928" s="45"/>
      <c r="I928" s="45"/>
      <c r="J928" s="45"/>
      <c r="K928" s="45"/>
      <c r="L928" s="46"/>
      <c r="M928" s="45"/>
      <c r="N928" s="45"/>
      <c r="O928" s="45"/>
      <c r="P928" s="45"/>
      <c r="Q928" s="45"/>
      <c r="R928" s="45"/>
      <c r="S928" s="45"/>
    </row>
    <row r="929">
      <c r="A929" s="45"/>
      <c r="B929" s="45"/>
      <c r="C929" s="45"/>
      <c r="D929" s="45"/>
      <c r="E929" s="45"/>
      <c r="F929" s="45"/>
      <c r="G929" s="45"/>
      <c r="H929" s="45"/>
      <c r="I929" s="45"/>
      <c r="J929" s="45"/>
      <c r="K929" s="45"/>
      <c r="L929" s="46"/>
      <c r="M929" s="45"/>
      <c r="N929" s="45"/>
      <c r="O929" s="45"/>
      <c r="P929" s="45"/>
      <c r="Q929" s="45"/>
      <c r="R929" s="45"/>
      <c r="S929" s="45"/>
    </row>
    <row r="930">
      <c r="A930" s="45"/>
      <c r="B930" s="45"/>
      <c r="C930" s="45"/>
      <c r="D930" s="45"/>
      <c r="E930" s="45"/>
      <c r="F930" s="45"/>
      <c r="G930" s="45"/>
      <c r="H930" s="45"/>
      <c r="I930" s="45"/>
      <c r="J930" s="45"/>
      <c r="K930" s="45"/>
      <c r="L930" s="46"/>
      <c r="M930" s="45"/>
      <c r="N930" s="45"/>
      <c r="O930" s="45"/>
      <c r="P930" s="45"/>
      <c r="Q930" s="45"/>
      <c r="R930" s="45"/>
      <c r="S930" s="45"/>
    </row>
    <row r="931">
      <c r="A931" s="45"/>
      <c r="B931" s="45"/>
      <c r="C931" s="45"/>
      <c r="D931" s="45"/>
      <c r="E931" s="45"/>
      <c r="F931" s="45"/>
      <c r="G931" s="45"/>
      <c r="H931" s="45"/>
      <c r="I931" s="45"/>
      <c r="J931" s="45"/>
      <c r="K931" s="45"/>
      <c r="L931" s="46"/>
      <c r="M931" s="45"/>
      <c r="N931" s="45"/>
      <c r="O931" s="45"/>
      <c r="P931" s="45"/>
      <c r="Q931" s="45"/>
      <c r="R931" s="45"/>
      <c r="S931" s="45"/>
    </row>
    <row r="932">
      <c r="A932" s="45"/>
      <c r="B932" s="45"/>
      <c r="C932" s="45"/>
      <c r="D932" s="45"/>
      <c r="E932" s="45"/>
      <c r="F932" s="45"/>
      <c r="G932" s="45"/>
      <c r="H932" s="45"/>
      <c r="I932" s="45"/>
      <c r="J932" s="45"/>
      <c r="K932" s="45"/>
      <c r="L932" s="46"/>
      <c r="M932" s="45"/>
      <c r="N932" s="45"/>
      <c r="O932" s="45"/>
      <c r="P932" s="45"/>
      <c r="Q932" s="45"/>
      <c r="R932" s="45"/>
      <c r="S932" s="45"/>
    </row>
    <row r="933">
      <c r="A933" s="45"/>
      <c r="B933" s="45"/>
      <c r="C933" s="45"/>
      <c r="D933" s="45"/>
      <c r="E933" s="45"/>
      <c r="F933" s="45"/>
      <c r="G933" s="45"/>
      <c r="H933" s="45"/>
      <c r="I933" s="45"/>
      <c r="J933" s="45"/>
      <c r="K933" s="45"/>
      <c r="L933" s="46"/>
      <c r="M933" s="45"/>
      <c r="N933" s="45"/>
      <c r="O933" s="45"/>
      <c r="P933" s="45"/>
      <c r="Q933" s="45"/>
      <c r="R933" s="45"/>
      <c r="S933" s="45"/>
    </row>
    <row r="934">
      <c r="A934" s="45"/>
      <c r="B934" s="45"/>
      <c r="C934" s="45"/>
      <c r="D934" s="45"/>
      <c r="E934" s="45"/>
      <c r="F934" s="45"/>
      <c r="G934" s="45"/>
      <c r="H934" s="45"/>
      <c r="I934" s="45"/>
      <c r="J934" s="45"/>
      <c r="K934" s="45"/>
      <c r="L934" s="46"/>
      <c r="M934" s="45"/>
      <c r="N934" s="45"/>
      <c r="O934" s="45"/>
      <c r="P934" s="45"/>
      <c r="Q934" s="45"/>
      <c r="R934" s="45"/>
      <c r="S934" s="45"/>
    </row>
    <row r="935">
      <c r="A935" s="45"/>
      <c r="B935" s="45"/>
      <c r="C935" s="45"/>
      <c r="D935" s="45"/>
      <c r="E935" s="45"/>
      <c r="F935" s="45"/>
      <c r="G935" s="45"/>
      <c r="H935" s="45"/>
      <c r="I935" s="45"/>
      <c r="J935" s="45"/>
      <c r="K935" s="45"/>
      <c r="L935" s="46"/>
      <c r="M935" s="45"/>
      <c r="N935" s="45"/>
      <c r="O935" s="45"/>
      <c r="P935" s="45"/>
      <c r="Q935" s="45"/>
      <c r="R935" s="45"/>
      <c r="S935" s="45"/>
    </row>
    <row r="936">
      <c r="A936" s="45"/>
      <c r="B936" s="45"/>
      <c r="C936" s="45"/>
      <c r="D936" s="45"/>
      <c r="E936" s="45"/>
      <c r="F936" s="45"/>
      <c r="G936" s="45"/>
      <c r="H936" s="45"/>
      <c r="I936" s="45"/>
      <c r="J936" s="45"/>
      <c r="K936" s="45"/>
      <c r="L936" s="46"/>
      <c r="M936" s="45"/>
      <c r="N936" s="45"/>
      <c r="O936" s="45"/>
      <c r="P936" s="45"/>
      <c r="Q936" s="45"/>
      <c r="R936" s="45"/>
      <c r="S936" s="45"/>
    </row>
    <row r="937">
      <c r="A937" s="45"/>
      <c r="B937" s="45"/>
      <c r="C937" s="45"/>
      <c r="D937" s="45"/>
      <c r="E937" s="45"/>
      <c r="F937" s="45"/>
      <c r="G937" s="45"/>
      <c r="H937" s="45"/>
      <c r="I937" s="45"/>
      <c r="J937" s="45"/>
      <c r="K937" s="45"/>
      <c r="L937" s="46"/>
      <c r="M937" s="45"/>
      <c r="N937" s="45"/>
      <c r="O937" s="45"/>
      <c r="P937" s="45"/>
      <c r="Q937" s="45"/>
      <c r="R937" s="45"/>
      <c r="S937" s="45"/>
    </row>
    <row r="938">
      <c r="A938" s="45"/>
      <c r="B938" s="45"/>
      <c r="C938" s="45"/>
      <c r="D938" s="45"/>
      <c r="E938" s="45"/>
      <c r="F938" s="45"/>
      <c r="G938" s="45"/>
      <c r="H938" s="45"/>
      <c r="I938" s="45"/>
      <c r="J938" s="45"/>
      <c r="K938" s="45"/>
      <c r="L938" s="46"/>
      <c r="M938" s="45"/>
      <c r="N938" s="45"/>
      <c r="O938" s="45"/>
      <c r="P938" s="45"/>
      <c r="Q938" s="45"/>
      <c r="R938" s="45"/>
      <c r="S938" s="45"/>
    </row>
    <row r="939">
      <c r="A939" s="45"/>
      <c r="B939" s="45"/>
      <c r="C939" s="45"/>
      <c r="D939" s="45"/>
      <c r="E939" s="45"/>
      <c r="F939" s="45"/>
      <c r="G939" s="45"/>
      <c r="H939" s="45"/>
      <c r="I939" s="45"/>
      <c r="J939" s="45"/>
      <c r="K939" s="45"/>
      <c r="L939" s="46"/>
      <c r="M939" s="45"/>
      <c r="N939" s="45"/>
      <c r="O939" s="45"/>
      <c r="P939" s="45"/>
      <c r="Q939" s="45"/>
      <c r="R939" s="45"/>
      <c r="S939" s="45"/>
    </row>
    <row r="940">
      <c r="A940" s="45"/>
      <c r="B940" s="45"/>
      <c r="C940" s="45"/>
      <c r="D940" s="45"/>
      <c r="E940" s="45"/>
      <c r="F940" s="45"/>
      <c r="G940" s="45"/>
      <c r="H940" s="45"/>
      <c r="I940" s="45"/>
      <c r="J940" s="45"/>
      <c r="K940" s="45"/>
      <c r="L940" s="46"/>
      <c r="M940" s="45"/>
      <c r="N940" s="45"/>
      <c r="O940" s="45"/>
      <c r="P940" s="45"/>
      <c r="Q940" s="45"/>
      <c r="R940" s="45"/>
      <c r="S940" s="45"/>
    </row>
    <row r="941">
      <c r="A941" s="45"/>
      <c r="B941" s="45"/>
      <c r="C941" s="45"/>
      <c r="D941" s="45"/>
      <c r="E941" s="45"/>
      <c r="F941" s="45"/>
      <c r="G941" s="45"/>
      <c r="H941" s="45"/>
      <c r="I941" s="45"/>
      <c r="J941" s="45"/>
      <c r="K941" s="45"/>
      <c r="L941" s="46"/>
      <c r="M941" s="45"/>
      <c r="N941" s="45"/>
      <c r="O941" s="45"/>
      <c r="P941" s="45"/>
      <c r="Q941" s="45"/>
      <c r="R941" s="45"/>
      <c r="S941" s="45"/>
    </row>
    <row r="942">
      <c r="A942" s="45"/>
      <c r="B942" s="45"/>
      <c r="C942" s="45"/>
      <c r="D942" s="45"/>
      <c r="E942" s="45"/>
      <c r="F942" s="45"/>
      <c r="G942" s="45"/>
      <c r="H942" s="45"/>
      <c r="I942" s="45"/>
      <c r="J942" s="45"/>
      <c r="K942" s="45"/>
      <c r="L942" s="46"/>
      <c r="M942" s="45"/>
      <c r="N942" s="45"/>
      <c r="O942" s="45"/>
      <c r="P942" s="45"/>
      <c r="Q942" s="45"/>
      <c r="R942" s="45"/>
      <c r="S942" s="45"/>
    </row>
    <row r="943">
      <c r="A943" s="45"/>
      <c r="B943" s="45"/>
      <c r="C943" s="45"/>
      <c r="D943" s="45"/>
      <c r="E943" s="45"/>
      <c r="F943" s="45"/>
      <c r="G943" s="45"/>
      <c r="H943" s="45"/>
      <c r="I943" s="45"/>
      <c r="J943" s="45"/>
      <c r="K943" s="45"/>
      <c r="L943" s="46"/>
      <c r="M943" s="45"/>
      <c r="N943" s="45"/>
      <c r="O943" s="45"/>
      <c r="P943" s="45"/>
      <c r="Q943" s="45"/>
      <c r="R943" s="45"/>
      <c r="S943" s="45"/>
    </row>
    <row r="944">
      <c r="A944" s="45"/>
      <c r="B944" s="45"/>
      <c r="C944" s="45"/>
      <c r="D944" s="45"/>
      <c r="E944" s="45"/>
      <c r="F944" s="45"/>
      <c r="G944" s="45"/>
      <c r="H944" s="45"/>
      <c r="I944" s="45"/>
      <c r="J944" s="45"/>
      <c r="K944" s="45"/>
      <c r="L944" s="46"/>
      <c r="M944" s="45"/>
      <c r="N944" s="45"/>
      <c r="O944" s="45"/>
      <c r="P944" s="45"/>
      <c r="Q944" s="45"/>
      <c r="R944" s="45"/>
      <c r="S944" s="45"/>
    </row>
    <row r="945">
      <c r="A945" s="45"/>
      <c r="B945" s="45"/>
      <c r="C945" s="45"/>
      <c r="D945" s="45"/>
      <c r="E945" s="45"/>
      <c r="F945" s="45"/>
      <c r="G945" s="45"/>
      <c r="H945" s="45"/>
      <c r="I945" s="45"/>
      <c r="J945" s="45"/>
      <c r="K945" s="45"/>
      <c r="L945" s="46"/>
      <c r="M945" s="45"/>
      <c r="N945" s="45"/>
      <c r="O945" s="45"/>
      <c r="P945" s="45"/>
      <c r="Q945" s="45"/>
      <c r="R945" s="45"/>
      <c r="S945" s="45"/>
    </row>
    <row r="946">
      <c r="A946" s="45"/>
      <c r="B946" s="45"/>
      <c r="C946" s="45"/>
      <c r="D946" s="45"/>
      <c r="E946" s="45"/>
      <c r="F946" s="45"/>
      <c r="G946" s="45"/>
      <c r="H946" s="45"/>
      <c r="I946" s="45"/>
      <c r="J946" s="45"/>
      <c r="K946" s="45"/>
      <c r="L946" s="46"/>
      <c r="M946" s="45"/>
      <c r="N946" s="45"/>
      <c r="O946" s="45"/>
      <c r="P946" s="45"/>
      <c r="Q946" s="45"/>
      <c r="R946" s="45"/>
      <c r="S946" s="45"/>
    </row>
    <row r="947">
      <c r="A947" s="45"/>
      <c r="B947" s="45"/>
      <c r="C947" s="45"/>
      <c r="D947" s="45"/>
      <c r="E947" s="45"/>
      <c r="F947" s="45"/>
      <c r="G947" s="45"/>
      <c r="H947" s="45"/>
      <c r="I947" s="45"/>
      <c r="J947" s="45"/>
      <c r="K947" s="45"/>
      <c r="L947" s="46"/>
      <c r="M947" s="45"/>
      <c r="N947" s="45"/>
      <c r="O947" s="45"/>
      <c r="P947" s="45"/>
      <c r="Q947" s="45"/>
      <c r="R947" s="45"/>
      <c r="S947" s="45"/>
    </row>
    <row r="948">
      <c r="A948" s="45"/>
      <c r="B948" s="45"/>
      <c r="C948" s="45"/>
      <c r="D948" s="45"/>
      <c r="E948" s="45"/>
      <c r="F948" s="45"/>
      <c r="G948" s="45"/>
      <c r="H948" s="45"/>
      <c r="I948" s="45"/>
      <c r="J948" s="45"/>
      <c r="K948" s="45"/>
      <c r="L948" s="46"/>
      <c r="M948" s="45"/>
      <c r="N948" s="45"/>
      <c r="O948" s="45"/>
      <c r="P948" s="45"/>
      <c r="Q948" s="45"/>
      <c r="R948" s="45"/>
      <c r="S948" s="45"/>
    </row>
    <row r="949">
      <c r="A949" s="45"/>
      <c r="B949" s="45"/>
      <c r="C949" s="45"/>
      <c r="D949" s="45"/>
      <c r="E949" s="45"/>
      <c r="F949" s="45"/>
      <c r="G949" s="45"/>
      <c r="H949" s="45"/>
      <c r="I949" s="45"/>
      <c r="J949" s="45"/>
      <c r="K949" s="45"/>
      <c r="L949" s="46"/>
      <c r="M949" s="45"/>
      <c r="N949" s="45"/>
      <c r="O949" s="45"/>
      <c r="P949" s="45"/>
      <c r="Q949" s="45"/>
      <c r="R949" s="45"/>
      <c r="S949" s="45"/>
    </row>
    <row r="950">
      <c r="A950" s="45"/>
      <c r="B950" s="45"/>
      <c r="C950" s="45"/>
      <c r="D950" s="45"/>
      <c r="E950" s="45"/>
      <c r="F950" s="45"/>
      <c r="G950" s="45"/>
      <c r="H950" s="45"/>
      <c r="I950" s="45"/>
      <c r="J950" s="45"/>
      <c r="K950" s="45"/>
      <c r="L950" s="46"/>
      <c r="M950" s="45"/>
      <c r="N950" s="45"/>
      <c r="O950" s="45"/>
      <c r="P950" s="45"/>
      <c r="Q950" s="45"/>
      <c r="R950" s="45"/>
      <c r="S950" s="45"/>
    </row>
    <row r="951">
      <c r="A951" s="45"/>
      <c r="B951" s="45"/>
      <c r="C951" s="45"/>
      <c r="D951" s="45"/>
      <c r="E951" s="45"/>
      <c r="F951" s="45"/>
      <c r="G951" s="45"/>
      <c r="H951" s="45"/>
      <c r="I951" s="45"/>
      <c r="J951" s="45"/>
      <c r="K951" s="45"/>
      <c r="L951" s="46"/>
      <c r="M951" s="45"/>
      <c r="N951" s="45"/>
      <c r="O951" s="45"/>
      <c r="P951" s="45"/>
      <c r="Q951" s="45"/>
      <c r="R951" s="45"/>
      <c r="S951" s="45"/>
    </row>
    <row r="952">
      <c r="A952" s="45"/>
      <c r="B952" s="45"/>
      <c r="C952" s="45"/>
      <c r="D952" s="45"/>
      <c r="E952" s="45"/>
      <c r="F952" s="45"/>
      <c r="G952" s="45"/>
      <c r="H952" s="45"/>
      <c r="I952" s="45"/>
      <c r="J952" s="45"/>
      <c r="K952" s="45"/>
      <c r="L952" s="46"/>
      <c r="M952" s="45"/>
      <c r="N952" s="45"/>
      <c r="O952" s="45"/>
      <c r="P952" s="45"/>
      <c r="Q952" s="45"/>
      <c r="R952" s="45"/>
      <c r="S952" s="45"/>
    </row>
    <row r="953">
      <c r="A953" s="45"/>
      <c r="B953" s="45"/>
      <c r="C953" s="45"/>
      <c r="D953" s="45"/>
      <c r="E953" s="45"/>
      <c r="F953" s="45"/>
      <c r="G953" s="45"/>
      <c r="H953" s="45"/>
      <c r="I953" s="45"/>
      <c r="J953" s="45"/>
      <c r="K953" s="45"/>
      <c r="L953" s="46"/>
      <c r="M953" s="45"/>
      <c r="N953" s="45"/>
      <c r="O953" s="45"/>
      <c r="P953" s="45"/>
      <c r="Q953" s="45"/>
      <c r="R953" s="45"/>
      <c r="S953" s="45"/>
    </row>
    <row r="954">
      <c r="A954" s="45"/>
      <c r="B954" s="45"/>
      <c r="C954" s="45"/>
      <c r="D954" s="45"/>
      <c r="E954" s="45"/>
      <c r="F954" s="45"/>
      <c r="G954" s="45"/>
      <c r="H954" s="45"/>
      <c r="I954" s="45"/>
      <c r="J954" s="45"/>
      <c r="K954" s="45"/>
      <c r="L954" s="46"/>
      <c r="M954" s="45"/>
      <c r="N954" s="45"/>
      <c r="O954" s="45"/>
      <c r="P954" s="45"/>
      <c r="Q954" s="45"/>
      <c r="R954" s="45"/>
      <c r="S954" s="45"/>
    </row>
    <row r="955">
      <c r="A955" s="45"/>
      <c r="B955" s="45"/>
      <c r="C955" s="45"/>
      <c r="D955" s="45"/>
      <c r="E955" s="45"/>
      <c r="F955" s="45"/>
      <c r="G955" s="45"/>
      <c r="H955" s="45"/>
      <c r="I955" s="45"/>
      <c r="J955" s="45"/>
      <c r="K955" s="45"/>
      <c r="L955" s="46"/>
      <c r="M955" s="45"/>
      <c r="N955" s="45"/>
      <c r="O955" s="45"/>
      <c r="P955" s="45"/>
      <c r="Q955" s="45"/>
      <c r="R955" s="45"/>
      <c r="S955" s="45"/>
    </row>
    <row r="956">
      <c r="A956" s="45"/>
      <c r="B956" s="45"/>
      <c r="C956" s="45"/>
      <c r="D956" s="45"/>
      <c r="E956" s="45"/>
      <c r="F956" s="45"/>
      <c r="G956" s="45"/>
      <c r="H956" s="45"/>
      <c r="I956" s="45"/>
      <c r="J956" s="45"/>
      <c r="K956" s="45"/>
      <c r="L956" s="46"/>
      <c r="M956" s="45"/>
      <c r="N956" s="45"/>
      <c r="O956" s="45"/>
      <c r="P956" s="45"/>
      <c r="Q956" s="45"/>
      <c r="R956" s="45"/>
      <c r="S956" s="45"/>
    </row>
    <row r="957">
      <c r="A957" s="45"/>
      <c r="B957" s="45"/>
      <c r="C957" s="45"/>
      <c r="D957" s="45"/>
      <c r="E957" s="45"/>
      <c r="F957" s="45"/>
      <c r="G957" s="45"/>
      <c r="H957" s="45"/>
      <c r="I957" s="45"/>
      <c r="J957" s="45"/>
      <c r="K957" s="45"/>
      <c r="L957" s="46"/>
      <c r="M957" s="45"/>
      <c r="N957" s="45"/>
      <c r="O957" s="45"/>
      <c r="P957" s="45"/>
      <c r="Q957" s="45"/>
      <c r="R957" s="45"/>
      <c r="S957" s="45"/>
    </row>
    <row r="958">
      <c r="A958" s="45"/>
      <c r="B958" s="45"/>
      <c r="C958" s="45"/>
      <c r="D958" s="45"/>
      <c r="E958" s="45"/>
      <c r="F958" s="45"/>
      <c r="G958" s="45"/>
      <c r="H958" s="45"/>
      <c r="I958" s="45"/>
      <c r="J958" s="45"/>
      <c r="K958" s="45"/>
      <c r="L958" s="46"/>
      <c r="M958" s="45"/>
      <c r="N958" s="45"/>
      <c r="O958" s="45"/>
      <c r="P958" s="45"/>
      <c r="Q958" s="45"/>
      <c r="R958" s="45"/>
      <c r="S958" s="45"/>
    </row>
    <row r="959">
      <c r="A959" s="45"/>
      <c r="B959" s="45"/>
      <c r="C959" s="45"/>
      <c r="D959" s="45"/>
      <c r="E959" s="45"/>
      <c r="F959" s="45"/>
      <c r="G959" s="45"/>
      <c r="H959" s="45"/>
      <c r="I959" s="45"/>
      <c r="J959" s="45"/>
      <c r="K959" s="45"/>
      <c r="L959" s="46"/>
      <c r="M959" s="45"/>
      <c r="N959" s="45"/>
      <c r="O959" s="45"/>
      <c r="P959" s="45"/>
      <c r="Q959" s="45"/>
      <c r="R959" s="45"/>
      <c r="S959" s="45"/>
    </row>
    <row r="960">
      <c r="A960" s="45"/>
      <c r="B960" s="45"/>
      <c r="C960" s="45"/>
      <c r="D960" s="45"/>
      <c r="E960" s="45"/>
      <c r="F960" s="45"/>
      <c r="G960" s="45"/>
      <c r="H960" s="45"/>
      <c r="I960" s="45"/>
      <c r="J960" s="45"/>
      <c r="K960" s="45"/>
      <c r="L960" s="46"/>
      <c r="M960" s="45"/>
      <c r="N960" s="45"/>
      <c r="O960" s="45"/>
      <c r="P960" s="45"/>
      <c r="Q960" s="45"/>
      <c r="R960" s="45"/>
      <c r="S960" s="45"/>
    </row>
    <row r="961">
      <c r="A961" s="45"/>
      <c r="B961" s="45"/>
      <c r="C961" s="45"/>
      <c r="D961" s="45"/>
      <c r="E961" s="45"/>
      <c r="F961" s="45"/>
      <c r="G961" s="45"/>
      <c r="H961" s="45"/>
      <c r="I961" s="45"/>
      <c r="J961" s="45"/>
      <c r="K961" s="45"/>
      <c r="L961" s="46"/>
      <c r="M961" s="45"/>
      <c r="N961" s="45"/>
      <c r="O961" s="45"/>
      <c r="P961" s="45"/>
      <c r="Q961" s="45"/>
      <c r="R961" s="45"/>
      <c r="S961" s="45"/>
    </row>
    <row r="962">
      <c r="A962" s="45"/>
      <c r="B962" s="45"/>
      <c r="C962" s="45"/>
      <c r="D962" s="45"/>
      <c r="E962" s="45"/>
      <c r="F962" s="45"/>
      <c r="G962" s="45"/>
      <c r="H962" s="45"/>
      <c r="I962" s="45"/>
      <c r="J962" s="45"/>
      <c r="K962" s="45"/>
      <c r="L962" s="46"/>
      <c r="M962" s="45"/>
      <c r="N962" s="45"/>
      <c r="O962" s="45"/>
      <c r="P962" s="45"/>
      <c r="Q962" s="45"/>
      <c r="R962" s="45"/>
      <c r="S962" s="45"/>
    </row>
    <row r="963">
      <c r="A963" s="45"/>
      <c r="B963" s="45"/>
      <c r="C963" s="45"/>
      <c r="D963" s="45"/>
      <c r="E963" s="45"/>
      <c r="F963" s="45"/>
      <c r="G963" s="45"/>
      <c r="H963" s="45"/>
      <c r="I963" s="45"/>
      <c r="J963" s="45"/>
      <c r="K963" s="45"/>
      <c r="L963" s="46"/>
      <c r="M963" s="45"/>
      <c r="N963" s="45"/>
      <c r="O963" s="45"/>
      <c r="P963" s="45"/>
      <c r="Q963" s="45"/>
      <c r="R963" s="45"/>
      <c r="S963" s="45"/>
    </row>
    <row r="964">
      <c r="A964" s="45"/>
      <c r="B964" s="45"/>
      <c r="C964" s="45"/>
      <c r="D964" s="45"/>
      <c r="E964" s="45"/>
      <c r="F964" s="45"/>
      <c r="G964" s="45"/>
      <c r="H964" s="45"/>
      <c r="I964" s="45"/>
      <c r="J964" s="45"/>
      <c r="K964" s="45"/>
      <c r="L964" s="46"/>
      <c r="M964" s="45"/>
      <c r="N964" s="45"/>
      <c r="O964" s="45"/>
      <c r="P964" s="45"/>
      <c r="Q964" s="45"/>
      <c r="R964" s="45"/>
      <c r="S964" s="45"/>
    </row>
    <row r="965">
      <c r="A965" s="45"/>
      <c r="B965" s="45"/>
      <c r="C965" s="45"/>
      <c r="D965" s="45"/>
      <c r="E965" s="45"/>
      <c r="F965" s="45"/>
      <c r="G965" s="45"/>
      <c r="H965" s="45"/>
      <c r="I965" s="45"/>
      <c r="J965" s="45"/>
      <c r="K965" s="45"/>
      <c r="L965" s="46"/>
      <c r="M965" s="45"/>
      <c r="N965" s="45"/>
      <c r="O965" s="45"/>
      <c r="P965" s="45"/>
      <c r="Q965" s="45"/>
      <c r="R965" s="45"/>
      <c r="S965" s="45"/>
    </row>
    <row r="966">
      <c r="A966" s="45"/>
      <c r="B966" s="45"/>
      <c r="C966" s="45"/>
      <c r="D966" s="45"/>
      <c r="E966" s="45"/>
      <c r="F966" s="45"/>
      <c r="G966" s="45"/>
      <c r="H966" s="45"/>
      <c r="I966" s="45"/>
      <c r="J966" s="45"/>
      <c r="K966" s="45"/>
      <c r="L966" s="46"/>
      <c r="M966" s="45"/>
      <c r="N966" s="45"/>
      <c r="O966" s="45"/>
      <c r="P966" s="45"/>
      <c r="Q966" s="45"/>
      <c r="R966" s="45"/>
      <c r="S966" s="45"/>
    </row>
    <row r="967">
      <c r="A967" s="45"/>
      <c r="B967" s="45"/>
      <c r="C967" s="45"/>
      <c r="D967" s="45"/>
      <c r="E967" s="45"/>
      <c r="F967" s="45"/>
      <c r="G967" s="45"/>
      <c r="H967" s="45"/>
      <c r="I967" s="45"/>
      <c r="J967" s="45"/>
      <c r="K967" s="45"/>
      <c r="L967" s="46"/>
      <c r="M967" s="45"/>
      <c r="N967" s="45"/>
      <c r="O967" s="45"/>
      <c r="P967" s="45"/>
      <c r="Q967" s="45"/>
      <c r="R967" s="45"/>
      <c r="S967" s="45"/>
    </row>
    <row r="968">
      <c r="A968" s="45"/>
      <c r="B968" s="45"/>
      <c r="C968" s="45"/>
      <c r="D968" s="45"/>
      <c r="E968" s="45"/>
      <c r="F968" s="45"/>
      <c r="G968" s="45"/>
      <c r="H968" s="45"/>
      <c r="I968" s="45"/>
      <c r="J968" s="45"/>
      <c r="K968" s="45"/>
      <c r="L968" s="46"/>
      <c r="M968" s="45"/>
      <c r="N968" s="45"/>
      <c r="O968" s="45"/>
      <c r="P968" s="45"/>
      <c r="Q968" s="45"/>
      <c r="R968" s="45"/>
      <c r="S968" s="45"/>
    </row>
    <row r="969">
      <c r="A969" s="45"/>
      <c r="B969" s="45"/>
      <c r="C969" s="45"/>
      <c r="D969" s="45"/>
      <c r="E969" s="45"/>
      <c r="F969" s="45"/>
      <c r="G969" s="45"/>
      <c r="H969" s="45"/>
      <c r="I969" s="45"/>
      <c r="J969" s="45"/>
      <c r="K969" s="45"/>
      <c r="L969" s="46"/>
      <c r="M969" s="45"/>
      <c r="N969" s="45"/>
      <c r="O969" s="45"/>
      <c r="P969" s="45"/>
      <c r="Q969" s="45"/>
      <c r="R969" s="45"/>
      <c r="S969" s="45"/>
    </row>
    <row r="970">
      <c r="A970" s="45"/>
      <c r="B970" s="45"/>
      <c r="C970" s="45"/>
      <c r="D970" s="45"/>
      <c r="E970" s="45"/>
      <c r="F970" s="45"/>
      <c r="G970" s="45"/>
      <c r="H970" s="45"/>
      <c r="I970" s="45"/>
      <c r="J970" s="45"/>
      <c r="K970" s="45"/>
      <c r="L970" s="46"/>
      <c r="M970" s="45"/>
      <c r="N970" s="45"/>
      <c r="O970" s="45"/>
      <c r="P970" s="45"/>
      <c r="Q970" s="45"/>
      <c r="R970" s="45"/>
      <c r="S970" s="45"/>
    </row>
    <row r="971">
      <c r="A971" s="45"/>
      <c r="B971" s="45"/>
      <c r="C971" s="45"/>
      <c r="D971" s="45"/>
      <c r="E971" s="45"/>
      <c r="F971" s="45"/>
      <c r="G971" s="45"/>
      <c r="H971" s="45"/>
      <c r="I971" s="45"/>
      <c r="J971" s="45"/>
      <c r="K971" s="45"/>
      <c r="L971" s="46"/>
      <c r="M971" s="45"/>
      <c r="N971" s="45"/>
      <c r="O971" s="45"/>
      <c r="P971" s="45"/>
      <c r="Q971" s="45"/>
      <c r="R971" s="45"/>
      <c r="S971" s="45"/>
    </row>
    <row r="972">
      <c r="A972" s="45"/>
      <c r="B972" s="45"/>
      <c r="C972" s="45"/>
      <c r="D972" s="45"/>
      <c r="E972" s="45"/>
      <c r="F972" s="45"/>
      <c r="G972" s="45"/>
      <c r="H972" s="45"/>
      <c r="I972" s="45"/>
      <c r="J972" s="45"/>
      <c r="K972" s="45"/>
      <c r="L972" s="46"/>
      <c r="M972" s="45"/>
      <c r="N972" s="45"/>
      <c r="O972" s="45"/>
      <c r="P972" s="45"/>
      <c r="Q972" s="45"/>
      <c r="R972" s="45"/>
      <c r="S972" s="45"/>
    </row>
    <row r="973">
      <c r="A973" s="45"/>
      <c r="B973" s="45"/>
      <c r="C973" s="45"/>
      <c r="D973" s="45"/>
      <c r="E973" s="45"/>
      <c r="F973" s="45"/>
      <c r="G973" s="45"/>
      <c r="H973" s="45"/>
      <c r="I973" s="45"/>
      <c r="J973" s="45"/>
      <c r="K973" s="45"/>
      <c r="L973" s="46"/>
      <c r="M973" s="45"/>
      <c r="N973" s="45"/>
      <c r="O973" s="45"/>
      <c r="P973" s="45"/>
      <c r="Q973" s="45"/>
      <c r="R973" s="45"/>
      <c r="S973" s="45"/>
    </row>
    <row r="974">
      <c r="A974" s="45"/>
      <c r="B974" s="45"/>
      <c r="C974" s="45"/>
      <c r="D974" s="45"/>
      <c r="E974" s="45"/>
      <c r="F974" s="45"/>
      <c r="G974" s="45"/>
      <c r="H974" s="45"/>
      <c r="I974" s="45"/>
      <c r="J974" s="45"/>
      <c r="K974" s="45"/>
      <c r="L974" s="46"/>
      <c r="M974" s="45"/>
      <c r="N974" s="45"/>
      <c r="O974" s="45"/>
      <c r="P974" s="45"/>
      <c r="Q974" s="45"/>
      <c r="R974" s="45"/>
      <c r="S974" s="45"/>
    </row>
    <row r="975">
      <c r="A975" s="45"/>
      <c r="B975" s="45"/>
      <c r="C975" s="45"/>
      <c r="D975" s="45"/>
      <c r="E975" s="45"/>
      <c r="F975" s="45"/>
      <c r="G975" s="45"/>
      <c r="H975" s="45"/>
      <c r="I975" s="45"/>
      <c r="J975" s="45"/>
      <c r="K975" s="45"/>
      <c r="L975" s="46"/>
      <c r="M975" s="45"/>
      <c r="N975" s="45"/>
      <c r="O975" s="45"/>
      <c r="P975" s="45"/>
      <c r="Q975" s="45"/>
      <c r="R975" s="45"/>
      <c r="S975" s="45"/>
    </row>
    <row r="976">
      <c r="A976" s="45"/>
      <c r="B976" s="45"/>
      <c r="C976" s="45"/>
      <c r="D976" s="45"/>
      <c r="E976" s="45"/>
      <c r="F976" s="45"/>
      <c r="G976" s="45"/>
      <c r="H976" s="45"/>
      <c r="I976" s="45"/>
      <c r="J976" s="45"/>
      <c r="K976" s="45"/>
      <c r="L976" s="46"/>
      <c r="M976" s="45"/>
      <c r="N976" s="45"/>
      <c r="O976" s="45"/>
      <c r="P976" s="45"/>
      <c r="Q976" s="45"/>
      <c r="R976" s="45"/>
      <c r="S976" s="45"/>
    </row>
    <row r="977">
      <c r="A977" s="45"/>
      <c r="B977" s="45"/>
      <c r="C977" s="45"/>
      <c r="D977" s="45"/>
      <c r="E977" s="45"/>
      <c r="F977" s="45"/>
      <c r="G977" s="45"/>
      <c r="H977" s="45"/>
      <c r="I977" s="45"/>
      <c r="J977" s="45"/>
      <c r="K977" s="45"/>
      <c r="L977" s="46"/>
      <c r="M977" s="45"/>
      <c r="N977" s="45"/>
      <c r="O977" s="45"/>
      <c r="P977" s="45"/>
      <c r="Q977" s="45"/>
      <c r="R977" s="45"/>
      <c r="S977" s="45"/>
    </row>
    <row r="978">
      <c r="A978" s="45"/>
      <c r="B978" s="45"/>
      <c r="C978" s="45"/>
      <c r="D978" s="45"/>
      <c r="E978" s="45"/>
      <c r="F978" s="45"/>
      <c r="G978" s="45"/>
      <c r="H978" s="45"/>
      <c r="I978" s="45"/>
      <c r="J978" s="45"/>
      <c r="K978" s="45"/>
      <c r="L978" s="46"/>
      <c r="M978" s="45"/>
      <c r="N978" s="45"/>
      <c r="O978" s="45"/>
      <c r="P978" s="45"/>
      <c r="Q978" s="45"/>
      <c r="R978" s="45"/>
      <c r="S978" s="45"/>
    </row>
    <row r="979">
      <c r="A979" s="45"/>
      <c r="B979" s="45"/>
      <c r="C979" s="45"/>
      <c r="D979" s="45"/>
      <c r="E979" s="45"/>
      <c r="F979" s="45"/>
      <c r="G979" s="45"/>
      <c r="H979" s="45"/>
      <c r="I979" s="45"/>
      <c r="J979" s="45"/>
      <c r="K979" s="45"/>
      <c r="L979" s="46"/>
      <c r="M979" s="45"/>
      <c r="N979" s="45"/>
      <c r="O979" s="45"/>
      <c r="P979" s="45"/>
      <c r="Q979" s="45"/>
      <c r="R979" s="45"/>
      <c r="S979" s="45"/>
    </row>
    <row r="980">
      <c r="A980" s="45"/>
      <c r="B980" s="45"/>
      <c r="C980" s="45"/>
      <c r="D980" s="45"/>
      <c r="E980" s="45"/>
      <c r="F980" s="45"/>
      <c r="G980" s="45"/>
      <c r="H980" s="45"/>
      <c r="I980" s="45"/>
      <c r="J980" s="45"/>
      <c r="K980" s="45"/>
      <c r="L980" s="46"/>
      <c r="M980" s="45"/>
      <c r="N980" s="45"/>
      <c r="O980" s="45"/>
      <c r="P980" s="45"/>
      <c r="Q980" s="45"/>
      <c r="R980" s="45"/>
      <c r="S980" s="45"/>
    </row>
    <row r="981">
      <c r="A981" s="45"/>
      <c r="B981" s="45"/>
      <c r="C981" s="45"/>
      <c r="D981" s="45"/>
      <c r="E981" s="45"/>
      <c r="F981" s="45"/>
      <c r="G981" s="45"/>
      <c r="H981" s="45"/>
      <c r="I981" s="45"/>
      <c r="J981" s="45"/>
      <c r="K981" s="45"/>
      <c r="L981" s="46"/>
      <c r="M981" s="45"/>
      <c r="N981" s="45"/>
      <c r="O981" s="45"/>
      <c r="P981" s="45"/>
      <c r="Q981" s="45"/>
      <c r="R981" s="45"/>
      <c r="S981" s="45"/>
    </row>
    <row r="982">
      <c r="A982" s="45"/>
      <c r="B982" s="45"/>
      <c r="C982" s="45"/>
      <c r="D982" s="45"/>
      <c r="E982" s="45"/>
      <c r="F982" s="45"/>
      <c r="G982" s="45"/>
      <c r="H982" s="45"/>
      <c r="I982" s="45"/>
      <c r="J982" s="45"/>
      <c r="K982" s="45"/>
      <c r="L982" s="46"/>
      <c r="M982" s="45"/>
      <c r="N982" s="45"/>
      <c r="O982" s="45"/>
      <c r="P982" s="45"/>
      <c r="Q982" s="45"/>
      <c r="R982" s="45"/>
      <c r="S982" s="45"/>
    </row>
    <row r="983">
      <c r="A983" s="45"/>
      <c r="B983" s="45"/>
      <c r="C983" s="45"/>
      <c r="D983" s="45"/>
      <c r="E983" s="45"/>
      <c r="F983" s="45"/>
      <c r="G983" s="45"/>
      <c r="H983" s="45"/>
      <c r="I983" s="45"/>
      <c r="J983" s="45"/>
      <c r="K983" s="45"/>
      <c r="L983" s="46"/>
      <c r="M983" s="45"/>
      <c r="N983" s="45"/>
      <c r="O983" s="45"/>
      <c r="P983" s="45"/>
      <c r="Q983" s="45"/>
      <c r="R983" s="45"/>
      <c r="S983" s="45"/>
    </row>
    <row r="984">
      <c r="A984" s="45"/>
      <c r="B984" s="45"/>
      <c r="C984" s="45"/>
      <c r="D984" s="45"/>
      <c r="E984" s="45"/>
      <c r="F984" s="45"/>
      <c r="G984" s="45"/>
      <c r="H984" s="45"/>
      <c r="I984" s="45"/>
      <c r="J984" s="45"/>
      <c r="K984" s="45"/>
      <c r="L984" s="46"/>
      <c r="M984" s="45"/>
      <c r="N984" s="45"/>
      <c r="O984" s="45"/>
      <c r="P984" s="45"/>
      <c r="Q984" s="45"/>
      <c r="R984" s="45"/>
      <c r="S984" s="45"/>
    </row>
    <row r="985">
      <c r="A985" s="45"/>
      <c r="B985" s="45"/>
      <c r="C985" s="45"/>
      <c r="D985" s="45"/>
      <c r="E985" s="45"/>
      <c r="F985" s="45"/>
      <c r="G985" s="45"/>
      <c r="H985" s="45"/>
      <c r="I985" s="45"/>
      <c r="J985" s="45"/>
      <c r="K985" s="45"/>
      <c r="L985" s="46"/>
      <c r="M985" s="45"/>
      <c r="N985" s="45"/>
      <c r="O985" s="45"/>
      <c r="P985" s="45"/>
      <c r="Q985" s="45"/>
      <c r="R985" s="45"/>
      <c r="S985" s="45"/>
    </row>
    <row r="986">
      <c r="A986" s="45"/>
      <c r="B986" s="45"/>
      <c r="C986" s="45"/>
      <c r="D986" s="45"/>
      <c r="E986" s="45"/>
      <c r="F986" s="45"/>
      <c r="G986" s="45"/>
      <c r="H986" s="45"/>
      <c r="I986" s="45"/>
      <c r="J986" s="45"/>
      <c r="K986" s="45"/>
      <c r="L986" s="46"/>
      <c r="M986" s="45"/>
      <c r="N986" s="45"/>
      <c r="O986" s="45"/>
      <c r="P986" s="45"/>
      <c r="Q986" s="45"/>
      <c r="R986" s="45"/>
      <c r="S986" s="45"/>
    </row>
    <row r="987">
      <c r="A987" s="45"/>
      <c r="B987" s="45"/>
      <c r="C987" s="45"/>
      <c r="D987" s="45"/>
      <c r="E987" s="45"/>
      <c r="F987" s="45"/>
      <c r="G987" s="45"/>
      <c r="H987" s="45"/>
      <c r="I987" s="45"/>
      <c r="J987" s="45"/>
      <c r="K987" s="45"/>
      <c r="L987" s="46"/>
      <c r="M987" s="45"/>
      <c r="N987" s="45"/>
      <c r="O987" s="45"/>
      <c r="P987" s="45"/>
      <c r="Q987" s="45"/>
      <c r="R987" s="45"/>
      <c r="S987" s="45"/>
    </row>
    <row r="988">
      <c r="A988" s="45"/>
      <c r="B988" s="45"/>
      <c r="C988" s="45"/>
      <c r="D988" s="45"/>
      <c r="E988" s="45"/>
      <c r="F988" s="45"/>
      <c r="G988" s="45"/>
      <c r="H988" s="45"/>
      <c r="I988" s="45"/>
      <c r="J988" s="45"/>
      <c r="K988" s="45"/>
      <c r="L988" s="46"/>
      <c r="M988" s="45"/>
      <c r="N988" s="45"/>
      <c r="O988" s="45"/>
      <c r="P988" s="45"/>
      <c r="Q988" s="45"/>
      <c r="R988" s="45"/>
      <c r="S988" s="45"/>
    </row>
    <row r="989">
      <c r="A989" s="45"/>
      <c r="B989" s="45"/>
      <c r="C989" s="45"/>
      <c r="D989" s="45"/>
      <c r="E989" s="45"/>
      <c r="F989" s="45"/>
      <c r="G989" s="45"/>
      <c r="H989" s="45"/>
      <c r="I989" s="45"/>
      <c r="J989" s="45"/>
      <c r="K989" s="45"/>
      <c r="L989" s="46"/>
      <c r="M989" s="45"/>
      <c r="N989" s="45"/>
      <c r="O989" s="45"/>
      <c r="P989" s="45"/>
      <c r="Q989" s="45"/>
      <c r="R989" s="45"/>
      <c r="S989" s="45"/>
    </row>
    <row r="990">
      <c r="A990" s="45"/>
      <c r="B990" s="45"/>
      <c r="C990" s="45"/>
      <c r="D990" s="45"/>
      <c r="E990" s="45"/>
      <c r="F990" s="45"/>
      <c r="G990" s="45"/>
      <c r="H990" s="45"/>
      <c r="I990" s="45"/>
      <c r="J990" s="45"/>
      <c r="K990" s="45"/>
      <c r="L990" s="46"/>
      <c r="M990" s="45"/>
      <c r="N990" s="45"/>
      <c r="O990" s="45"/>
      <c r="P990" s="45"/>
      <c r="Q990" s="45"/>
      <c r="R990" s="45"/>
      <c r="S990" s="45"/>
    </row>
    <row r="991">
      <c r="A991" s="45"/>
      <c r="B991" s="45"/>
      <c r="C991" s="45"/>
      <c r="D991" s="45"/>
      <c r="E991" s="45"/>
      <c r="F991" s="45"/>
      <c r="G991" s="45"/>
      <c r="H991" s="45"/>
      <c r="I991" s="45"/>
      <c r="J991" s="45"/>
      <c r="K991" s="45"/>
      <c r="L991" s="46"/>
      <c r="M991" s="45"/>
      <c r="N991" s="45"/>
      <c r="O991" s="45"/>
      <c r="P991" s="45"/>
      <c r="Q991" s="45"/>
      <c r="R991" s="45"/>
      <c r="S991" s="45"/>
    </row>
    <row r="992">
      <c r="A992" s="45"/>
      <c r="B992" s="45"/>
      <c r="C992" s="45"/>
      <c r="D992" s="45"/>
      <c r="E992" s="45"/>
      <c r="F992" s="45"/>
      <c r="G992" s="45"/>
      <c r="H992" s="45"/>
      <c r="I992" s="45"/>
      <c r="J992" s="45"/>
      <c r="K992" s="45"/>
      <c r="L992" s="46"/>
      <c r="M992" s="45"/>
      <c r="N992" s="45"/>
      <c r="O992" s="45"/>
      <c r="P992" s="45"/>
      <c r="Q992" s="45"/>
      <c r="R992" s="45"/>
      <c r="S992" s="45"/>
    </row>
    <row r="993">
      <c r="A993" s="45"/>
      <c r="B993" s="45"/>
      <c r="C993" s="45"/>
      <c r="D993" s="45"/>
      <c r="E993" s="45"/>
      <c r="F993" s="45"/>
      <c r="G993" s="45"/>
      <c r="H993" s="45"/>
      <c r="I993" s="45"/>
      <c r="J993" s="45"/>
      <c r="K993" s="45"/>
      <c r="L993" s="46"/>
      <c r="M993" s="45"/>
      <c r="N993" s="45"/>
      <c r="O993" s="45"/>
      <c r="P993" s="45"/>
      <c r="Q993" s="45"/>
      <c r="R993" s="45"/>
      <c r="S993" s="45"/>
    </row>
    <row r="994">
      <c r="A994" s="45"/>
      <c r="B994" s="45"/>
      <c r="C994" s="45"/>
      <c r="D994" s="45"/>
      <c r="E994" s="45"/>
      <c r="F994" s="45"/>
      <c r="G994" s="45"/>
      <c r="H994" s="45"/>
      <c r="I994" s="45"/>
      <c r="J994" s="45"/>
      <c r="K994" s="45"/>
      <c r="L994" s="46"/>
      <c r="M994" s="45"/>
      <c r="N994" s="45"/>
      <c r="O994" s="45"/>
      <c r="P994" s="45"/>
      <c r="Q994" s="45"/>
      <c r="R994" s="45"/>
      <c r="S994" s="45"/>
    </row>
    <row r="995">
      <c r="A995" s="45"/>
      <c r="B995" s="45"/>
      <c r="C995" s="45"/>
      <c r="D995" s="45"/>
      <c r="E995" s="45"/>
      <c r="F995" s="45"/>
      <c r="G995" s="45"/>
      <c r="H995" s="45"/>
      <c r="I995" s="45"/>
      <c r="J995" s="45"/>
      <c r="K995" s="45"/>
      <c r="L995" s="46"/>
      <c r="M995" s="45"/>
      <c r="N995" s="45"/>
      <c r="O995" s="45"/>
      <c r="P995" s="45"/>
      <c r="Q995" s="45"/>
      <c r="R995" s="45"/>
      <c r="S995" s="45"/>
    </row>
    <row r="996">
      <c r="A996" s="45"/>
      <c r="B996" s="45"/>
      <c r="C996" s="45"/>
      <c r="D996" s="45"/>
      <c r="E996" s="45"/>
      <c r="F996" s="45"/>
      <c r="G996" s="45"/>
      <c r="H996" s="45"/>
      <c r="I996" s="45"/>
      <c r="J996" s="45"/>
      <c r="K996" s="45"/>
      <c r="L996" s="46"/>
      <c r="M996" s="45"/>
      <c r="N996" s="45"/>
      <c r="O996" s="45"/>
      <c r="P996" s="45"/>
      <c r="Q996" s="45"/>
      <c r="R996" s="45"/>
      <c r="S996" s="45"/>
    </row>
    <row r="997">
      <c r="A997" s="45"/>
      <c r="B997" s="45"/>
      <c r="C997" s="45"/>
      <c r="D997" s="45"/>
      <c r="E997" s="45"/>
      <c r="F997" s="45"/>
      <c r="G997" s="45"/>
      <c r="H997" s="45"/>
      <c r="I997" s="45"/>
      <c r="J997" s="45"/>
      <c r="K997" s="45"/>
      <c r="L997" s="46"/>
      <c r="M997" s="45"/>
      <c r="N997" s="45"/>
      <c r="O997" s="45"/>
      <c r="P997" s="45"/>
      <c r="Q997" s="45"/>
      <c r="R997" s="45"/>
      <c r="S997" s="45"/>
    </row>
    <row r="998">
      <c r="A998" s="45"/>
      <c r="B998" s="45"/>
      <c r="C998" s="45"/>
      <c r="D998" s="45"/>
      <c r="E998" s="45"/>
      <c r="F998" s="45"/>
      <c r="G998" s="45"/>
      <c r="H998" s="45"/>
      <c r="I998" s="45"/>
      <c r="J998" s="45"/>
      <c r="K998" s="45"/>
      <c r="L998" s="46"/>
      <c r="M998" s="45"/>
      <c r="N998" s="45"/>
      <c r="O998" s="45"/>
      <c r="P998" s="45"/>
      <c r="Q998" s="45"/>
      <c r="R998" s="45"/>
      <c r="S998" s="45"/>
    </row>
    <row r="999">
      <c r="A999" s="45"/>
      <c r="B999" s="45"/>
      <c r="C999" s="45"/>
      <c r="D999" s="45"/>
      <c r="E999" s="45"/>
      <c r="F999" s="45"/>
      <c r="G999" s="45"/>
      <c r="H999" s="45"/>
      <c r="I999" s="45"/>
      <c r="J999" s="45"/>
      <c r="K999" s="45"/>
      <c r="L999" s="46"/>
      <c r="M999" s="45"/>
      <c r="N999" s="45"/>
      <c r="O999" s="45"/>
      <c r="P999" s="45"/>
      <c r="Q999" s="45"/>
      <c r="R999" s="45"/>
      <c r="S999" s="45"/>
    </row>
  </sheetData>
  <mergeCells count="22">
    <mergeCell ref="A30:A32"/>
    <mergeCell ref="A33:A34"/>
    <mergeCell ref="A36:A38"/>
    <mergeCell ref="A39:A40"/>
    <mergeCell ref="A41:A43"/>
    <mergeCell ref="A44:A45"/>
    <mergeCell ref="A47:A48"/>
    <mergeCell ref="A50:A51"/>
    <mergeCell ref="H33:H34"/>
    <mergeCell ref="H36:H38"/>
    <mergeCell ref="H39:H40"/>
    <mergeCell ref="H41:H43"/>
    <mergeCell ref="H44:H45"/>
    <mergeCell ref="H47:H48"/>
    <mergeCell ref="H50:H51"/>
    <mergeCell ref="A1:C1"/>
    <mergeCell ref="A13:C13"/>
    <mergeCell ref="A24:A26"/>
    <mergeCell ref="H24:H26"/>
    <mergeCell ref="A27:A29"/>
    <mergeCell ref="H27:H29"/>
    <mergeCell ref="H30:H32"/>
  </mergeCells>
  <printOptions gridLines="1" horizontalCentered="1"/>
  <pageMargins bottom="0.75" footer="0.0" header="0.0" left="0.7" right="0.7" top="0.75"/>
  <pageSetup fitToWidth="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3" width="13.38"/>
    <col customWidth="1" min="4" max="13" width="14.25"/>
    <col customWidth="1" min="14" max="15" width="13.38"/>
    <col customWidth="1" min="16" max="16" width="15.13"/>
  </cols>
  <sheetData>
    <row r="1">
      <c r="A1" s="119"/>
      <c r="B1" s="119">
        <v>1.0</v>
      </c>
      <c r="C1" s="119">
        <v>2.0</v>
      </c>
      <c r="D1" s="119">
        <v>3.0</v>
      </c>
      <c r="E1" s="119">
        <v>4.0</v>
      </c>
      <c r="F1" s="119">
        <v>5.0</v>
      </c>
      <c r="G1" s="119">
        <v>6.0</v>
      </c>
      <c r="H1" s="119">
        <v>7.0</v>
      </c>
      <c r="I1" s="119">
        <v>8.0</v>
      </c>
      <c r="J1" s="119">
        <v>9.0</v>
      </c>
      <c r="K1" s="119">
        <v>10.0</v>
      </c>
      <c r="L1" s="119">
        <v>11.0</v>
      </c>
      <c r="M1" s="119">
        <v>12.0</v>
      </c>
      <c r="N1" s="119">
        <v>13.0</v>
      </c>
      <c r="O1" s="119">
        <v>14.0</v>
      </c>
      <c r="P1" s="119" t="s">
        <v>95</v>
      </c>
      <c r="Q1" s="120"/>
      <c r="R1" s="120"/>
      <c r="S1" s="120"/>
      <c r="T1" s="120"/>
      <c r="U1" s="120"/>
      <c r="V1" s="120"/>
      <c r="W1" s="120"/>
      <c r="X1" s="120"/>
    </row>
    <row r="2">
      <c r="A2" s="123" t="s">
        <v>39</v>
      </c>
      <c r="B2" s="124" t="str">
        <f t="shared" ref="B2:O2" si="1">SUMIFS('Minuta MTA 2025 GR3'!$AF:$AF,'Minuta MTA 2025 GR3'!$AH:$AH,B$1,'Minuta MTA 2025 GR3'!$I:$I,$A2,'Minuta MTA 2025 GR3'!$T:$T,"A")+SUMIFS('Minuta MTA 2025 GR3'!$AF:$AF,'Minuta MTA 2025 GR3'!$AH:$AH,B$1,'Minuta MTA 2025 GR3'!$I:$I,$A2,'Minuta MTA 2025 GR3'!$T:$T,"B")</f>
        <v>#N/A</v>
      </c>
      <c r="C2" s="124" t="str">
        <f t="shared" si="1"/>
        <v>#N/A</v>
      </c>
      <c r="D2" s="124" t="str">
        <f t="shared" si="1"/>
        <v>#N/A</v>
      </c>
      <c r="E2" s="124" t="str">
        <f t="shared" si="1"/>
        <v>#N/A</v>
      </c>
      <c r="F2" s="124" t="str">
        <f t="shared" si="1"/>
        <v>#N/A</v>
      </c>
      <c r="G2" s="124" t="str">
        <f t="shared" si="1"/>
        <v>#N/A</v>
      </c>
      <c r="H2" s="124" t="str">
        <f t="shared" si="1"/>
        <v>#N/A</v>
      </c>
      <c r="I2" s="124" t="str">
        <f t="shared" si="1"/>
        <v>#N/A</v>
      </c>
      <c r="J2" s="124" t="str">
        <f t="shared" si="1"/>
        <v>#N/A</v>
      </c>
      <c r="K2" s="124" t="str">
        <f t="shared" si="1"/>
        <v>#N/A</v>
      </c>
      <c r="L2" s="124" t="str">
        <f t="shared" si="1"/>
        <v>#N/A</v>
      </c>
      <c r="M2" s="124" t="str">
        <f t="shared" si="1"/>
        <v>#N/A</v>
      </c>
      <c r="N2" s="124" t="str">
        <f t="shared" si="1"/>
        <v>#N/A</v>
      </c>
      <c r="O2" s="124" t="str">
        <f t="shared" si="1"/>
        <v>#N/A</v>
      </c>
      <c r="P2" s="145" t="str">
        <f t="shared" ref="P2:P14" si="3">SUM(B2:O2)</f>
        <v>#N/A</v>
      </c>
    </row>
    <row r="3">
      <c r="A3" s="146" t="s">
        <v>65</v>
      </c>
      <c r="B3" s="147" t="str">
        <f t="shared" ref="B3:O3" si="2">SUMIFS('Minuta MTA 2025 GR3'!$AF:$AF,'Minuta MTA 2025 GR3'!$AH:$AH,B$1,'Minuta MTA 2025 GR3'!$I:$I,$A3,'Minuta MTA 2025 GR3'!$T:$T,"A")+SUMIFS('Minuta MTA 2025 GR3'!$AF:$AF,'Minuta MTA 2025 GR3'!$AH:$AH,B$1,'Minuta MTA 2025 GR3'!$I:$I,$A3,'Minuta MTA 2025 GR3'!$T:$T,"B")</f>
        <v>#N/A</v>
      </c>
      <c r="C3" s="147" t="str">
        <f t="shared" si="2"/>
        <v>#N/A</v>
      </c>
      <c r="D3" s="147" t="str">
        <f t="shared" si="2"/>
        <v>#N/A</v>
      </c>
      <c r="E3" s="147" t="str">
        <f t="shared" si="2"/>
        <v>#N/A</v>
      </c>
      <c r="F3" s="147" t="str">
        <f t="shared" si="2"/>
        <v>#N/A</v>
      </c>
      <c r="G3" s="147" t="str">
        <f t="shared" si="2"/>
        <v>#N/A</v>
      </c>
      <c r="H3" s="147" t="str">
        <f t="shared" si="2"/>
        <v>#N/A</v>
      </c>
      <c r="I3" s="147" t="str">
        <f t="shared" si="2"/>
        <v>#N/A</v>
      </c>
      <c r="J3" s="147" t="str">
        <f t="shared" si="2"/>
        <v>#N/A</v>
      </c>
      <c r="K3" s="147" t="str">
        <f t="shared" si="2"/>
        <v>#N/A</v>
      </c>
      <c r="L3" s="147" t="str">
        <f t="shared" si="2"/>
        <v>#N/A</v>
      </c>
      <c r="M3" s="147" t="str">
        <f t="shared" si="2"/>
        <v>#N/A</v>
      </c>
      <c r="N3" s="147" t="str">
        <f t="shared" si="2"/>
        <v>#N/A</v>
      </c>
      <c r="O3" s="147" t="str">
        <f t="shared" si="2"/>
        <v>#N/A</v>
      </c>
      <c r="P3" s="148" t="str">
        <f t="shared" si="3"/>
        <v>#N/A</v>
      </c>
    </row>
    <row r="4">
      <c r="A4" s="123" t="s">
        <v>44</v>
      </c>
      <c r="B4" s="124" t="str">
        <f t="shared" ref="B4:O4" si="4">SUMIFS('Minuta MTA 2025 GR3'!$AF:$AF,'Minuta MTA 2025 GR3'!$AH:$AH,B$1,'Minuta MTA 2025 GR3'!$I:$I,$A4,'Minuta MTA 2025 GR3'!$T:$T,"A")+SUMIFS('Minuta MTA 2025 GR3'!$AF:$AF,'Minuta MTA 2025 GR3'!$AH:$AH,B$1,'Minuta MTA 2025 GR3'!$I:$I,$A4,'Minuta MTA 2025 GR3'!$T:$T,"B")</f>
        <v>#N/A</v>
      </c>
      <c r="C4" s="124" t="str">
        <f t="shared" si="4"/>
        <v>#N/A</v>
      </c>
      <c r="D4" s="124" t="str">
        <f t="shared" si="4"/>
        <v>#N/A</v>
      </c>
      <c r="E4" s="124" t="str">
        <f t="shared" si="4"/>
        <v>#N/A</v>
      </c>
      <c r="F4" s="124" t="str">
        <f t="shared" si="4"/>
        <v>#N/A</v>
      </c>
      <c r="G4" s="124" t="str">
        <f t="shared" si="4"/>
        <v>#N/A</v>
      </c>
      <c r="H4" s="124" t="str">
        <f t="shared" si="4"/>
        <v>#N/A</v>
      </c>
      <c r="I4" s="124" t="str">
        <f t="shared" si="4"/>
        <v>#N/A</v>
      </c>
      <c r="J4" s="124" t="str">
        <f t="shared" si="4"/>
        <v>#N/A</v>
      </c>
      <c r="K4" s="124" t="str">
        <f t="shared" si="4"/>
        <v>#N/A</v>
      </c>
      <c r="L4" s="124" t="str">
        <f t="shared" si="4"/>
        <v>#N/A</v>
      </c>
      <c r="M4" s="124" t="str">
        <f t="shared" si="4"/>
        <v>#N/A</v>
      </c>
      <c r="N4" s="124" t="str">
        <f t="shared" si="4"/>
        <v>#N/A</v>
      </c>
      <c r="O4" s="124" t="str">
        <f t="shared" si="4"/>
        <v>#N/A</v>
      </c>
      <c r="P4" s="145" t="str">
        <f t="shared" si="3"/>
        <v>#N/A</v>
      </c>
    </row>
    <row r="5">
      <c r="A5" s="146" t="s">
        <v>45</v>
      </c>
      <c r="B5" s="147" t="str">
        <f t="shared" ref="B5:O5" si="5">SUMIFS('Minuta MTA 2025 GR3'!$AF:$AF,'Minuta MTA 2025 GR3'!$AH:$AH,B$1,'Minuta MTA 2025 GR3'!$I:$I,$A5,'Minuta MTA 2025 GR3'!$T:$T,"A")+SUMIFS('Minuta MTA 2025 GR3'!$AF:$AF,'Minuta MTA 2025 GR3'!$AH:$AH,B$1,'Minuta MTA 2025 GR3'!$I:$I,$A5,'Minuta MTA 2025 GR3'!$T:$T,"B")</f>
        <v>#N/A</v>
      </c>
      <c r="C5" s="147" t="str">
        <f t="shared" si="5"/>
        <v>#N/A</v>
      </c>
      <c r="D5" s="147" t="str">
        <f t="shared" si="5"/>
        <v>#N/A</v>
      </c>
      <c r="E5" s="147" t="str">
        <f t="shared" si="5"/>
        <v>#N/A</v>
      </c>
      <c r="F5" s="147" t="str">
        <f t="shared" si="5"/>
        <v>#N/A</v>
      </c>
      <c r="G5" s="147" t="str">
        <f t="shared" si="5"/>
        <v>#N/A</v>
      </c>
      <c r="H5" s="147" t="str">
        <f t="shared" si="5"/>
        <v>#N/A</v>
      </c>
      <c r="I5" s="147" t="str">
        <f t="shared" si="5"/>
        <v>#N/A</v>
      </c>
      <c r="J5" s="147" t="str">
        <f t="shared" si="5"/>
        <v>#N/A</v>
      </c>
      <c r="K5" s="147" t="str">
        <f t="shared" si="5"/>
        <v>#N/A</v>
      </c>
      <c r="L5" s="147" t="str">
        <f t="shared" si="5"/>
        <v>#N/A</v>
      </c>
      <c r="M5" s="147" t="str">
        <f t="shared" si="5"/>
        <v>#N/A</v>
      </c>
      <c r="N5" s="147" t="str">
        <f t="shared" si="5"/>
        <v>#N/A</v>
      </c>
      <c r="O5" s="147" t="str">
        <f t="shared" si="5"/>
        <v>#N/A</v>
      </c>
      <c r="P5" s="148" t="str">
        <f t="shared" si="3"/>
        <v>#N/A</v>
      </c>
    </row>
    <row r="6">
      <c r="A6" s="123" t="s">
        <v>46</v>
      </c>
      <c r="B6" s="124" t="str">
        <f t="shared" ref="B6:O6" si="6">SUMIFS('Minuta MTA 2025 GR3'!$AF:$AF,'Minuta MTA 2025 GR3'!$AH:$AH,B$1,'Minuta MTA 2025 GR3'!$I:$I,$A6,'Minuta MTA 2025 GR3'!$T:$T,"A")+SUMIFS('Minuta MTA 2025 GR3'!$AF:$AF,'Minuta MTA 2025 GR3'!$AH:$AH,B$1,'Minuta MTA 2025 GR3'!$I:$I,$A6,'Minuta MTA 2025 GR3'!$T:$T,"B")</f>
        <v>#N/A</v>
      </c>
      <c r="C6" s="124" t="str">
        <f t="shared" si="6"/>
        <v>#N/A</v>
      </c>
      <c r="D6" s="124" t="str">
        <f t="shared" si="6"/>
        <v>#N/A</v>
      </c>
      <c r="E6" s="124" t="str">
        <f t="shared" si="6"/>
        <v>#N/A</v>
      </c>
      <c r="F6" s="124" t="str">
        <f t="shared" si="6"/>
        <v>#N/A</v>
      </c>
      <c r="G6" s="124" t="str">
        <f t="shared" si="6"/>
        <v>#N/A</v>
      </c>
      <c r="H6" s="124" t="str">
        <f t="shared" si="6"/>
        <v>#N/A</v>
      </c>
      <c r="I6" s="124" t="str">
        <f t="shared" si="6"/>
        <v>#N/A</v>
      </c>
      <c r="J6" s="124" t="str">
        <f t="shared" si="6"/>
        <v>#N/A</v>
      </c>
      <c r="K6" s="124" t="str">
        <f t="shared" si="6"/>
        <v>#N/A</v>
      </c>
      <c r="L6" s="124" t="str">
        <f t="shared" si="6"/>
        <v>#N/A</v>
      </c>
      <c r="M6" s="124" t="str">
        <f t="shared" si="6"/>
        <v>#N/A</v>
      </c>
      <c r="N6" s="124" t="str">
        <f t="shared" si="6"/>
        <v>#N/A</v>
      </c>
      <c r="O6" s="124" t="str">
        <f t="shared" si="6"/>
        <v>#N/A</v>
      </c>
      <c r="P6" s="145" t="str">
        <f t="shared" si="3"/>
        <v>#N/A</v>
      </c>
    </row>
    <row r="7">
      <c r="A7" s="146" t="s">
        <v>47</v>
      </c>
      <c r="B7" s="147" t="str">
        <f t="shared" ref="B7:O7" si="7">SUMIFS('Minuta MTA 2025 GR3'!$AF:$AF,'Minuta MTA 2025 GR3'!$AH:$AH,B$1,'Minuta MTA 2025 GR3'!$I:$I,$A7,'Minuta MTA 2025 GR3'!$T:$T,"A")+SUMIFS('Minuta MTA 2025 GR3'!$AF:$AF,'Minuta MTA 2025 GR3'!$AH:$AH,B$1,'Minuta MTA 2025 GR3'!$I:$I,$A7,'Minuta MTA 2025 GR3'!$T:$T,"B")</f>
        <v>#N/A</v>
      </c>
      <c r="C7" s="147" t="str">
        <f t="shared" si="7"/>
        <v>#N/A</v>
      </c>
      <c r="D7" s="147" t="str">
        <f t="shared" si="7"/>
        <v>#N/A</v>
      </c>
      <c r="E7" s="147" t="str">
        <f t="shared" si="7"/>
        <v>#N/A</v>
      </c>
      <c r="F7" s="147" t="str">
        <f t="shared" si="7"/>
        <v>#N/A</v>
      </c>
      <c r="G7" s="147" t="str">
        <f t="shared" si="7"/>
        <v>#N/A</v>
      </c>
      <c r="H7" s="147" t="str">
        <f t="shared" si="7"/>
        <v>#N/A</v>
      </c>
      <c r="I7" s="147" t="str">
        <f t="shared" si="7"/>
        <v>#N/A</v>
      </c>
      <c r="J7" s="147" t="str">
        <f t="shared" si="7"/>
        <v>#N/A</v>
      </c>
      <c r="K7" s="147" t="str">
        <f t="shared" si="7"/>
        <v>#N/A</v>
      </c>
      <c r="L7" s="147" t="str">
        <f t="shared" si="7"/>
        <v>#N/A</v>
      </c>
      <c r="M7" s="147" t="str">
        <f t="shared" si="7"/>
        <v>#N/A</v>
      </c>
      <c r="N7" s="147" t="str">
        <f t="shared" si="7"/>
        <v>#N/A</v>
      </c>
      <c r="O7" s="147" t="str">
        <f t="shared" si="7"/>
        <v>#N/A</v>
      </c>
      <c r="P7" s="148" t="str">
        <f t="shared" si="3"/>
        <v>#N/A</v>
      </c>
    </row>
    <row r="8">
      <c r="A8" s="123" t="s">
        <v>48</v>
      </c>
      <c r="B8" s="124" t="str">
        <f t="shared" ref="B8:O8" si="8">SUMIFS('Minuta MTA 2025 GR3'!$AF:$AF,'Minuta MTA 2025 GR3'!$AH:$AH,B$1,'Minuta MTA 2025 GR3'!$I:$I,$A8,'Minuta MTA 2025 GR3'!$T:$T,"A")+SUMIFS('Minuta MTA 2025 GR3'!$AF:$AF,'Minuta MTA 2025 GR3'!$AH:$AH,B$1,'Minuta MTA 2025 GR3'!$I:$I,$A8,'Minuta MTA 2025 GR3'!$T:$T,"B")</f>
        <v>#N/A</v>
      </c>
      <c r="C8" s="124" t="str">
        <f t="shared" si="8"/>
        <v>#N/A</v>
      </c>
      <c r="D8" s="124" t="str">
        <f t="shared" si="8"/>
        <v>#N/A</v>
      </c>
      <c r="E8" s="124" t="str">
        <f t="shared" si="8"/>
        <v>#N/A</v>
      </c>
      <c r="F8" s="124" t="str">
        <f t="shared" si="8"/>
        <v>#N/A</v>
      </c>
      <c r="G8" s="124" t="str">
        <f t="shared" si="8"/>
        <v>#N/A</v>
      </c>
      <c r="H8" s="124" t="str">
        <f t="shared" si="8"/>
        <v>#N/A</v>
      </c>
      <c r="I8" s="124" t="str">
        <f t="shared" si="8"/>
        <v>#N/A</v>
      </c>
      <c r="J8" s="124" t="str">
        <f t="shared" si="8"/>
        <v>#N/A</v>
      </c>
      <c r="K8" s="124" t="str">
        <f t="shared" si="8"/>
        <v>#N/A</v>
      </c>
      <c r="L8" s="124" t="str">
        <f t="shared" si="8"/>
        <v>#N/A</v>
      </c>
      <c r="M8" s="124" t="str">
        <f t="shared" si="8"/>
        <v>#N/A</v>
      </c>
      <c r="N8" s="124" t="str">
        <f t="shared" si="8"/>
        <v>#N/A</v>
      </c>
      <c r="O8" s="124" t="str">
        <f t="shared" si="8"/>
        <v>#N/A</v>
      </c>
      <c r="P8" s="145" t="str">
        <f t="shared" si="3"/>
        <v>#N/A</v>
      </c>
    </row>
    <row r="9">
      <c r="A9" s="146" t="s">
        <v>97</v>
      </c>
      <c r="B9" s="147" t="str">
        <f t="shared" ref="B9:O9" si="9">SUMIFS('Minuta MTA 2025 GR3'!$AF:$AF,'Minuta MTA 2025 GR3'!$AH:$AH,B$1,'Minuta MTA 2025 GR3'!$I:$I,$A9,'Minuta MTA 2025 GR3'!$T:$T,"A")+SUMIFS('Minuta MTA 2025 GR3'!$AF:$AF,'Minuta MTA 2025 GR3'!$AH:$AH,B$1,'Minuta MTA 2025 GR3'!$I:$I,$A9,'Minuta MTA 2025 GR3'!$T:$T,"B")</f>
        <v>#N/A</v>
      </c>
      <c r="C9" s="147" t="str">
        <f t="shared" si="9"/>
        <v>#N/A</v>
      </c>
      <c r="D9" s="147" t="str">
        <f t="shared" si="9"/>
        <v>#N/A</v>
      </c>
      <c r="E9" s="147" t="str">
        <f t="shared" si="9"/>
        <v>#N/A</v>
      </c>
      <c r="F9" s="147" t="str">
        <f t="shared" si="9"/>
        <v>#N/A</v>
      </c>
      <c r="G9" s="147" t="str">
        <f t="shared" si="9"/>
        <v>#N/A</v>
      </c>
      <c r="H9" s="147" t="str">
        <f t="shared" si="9"/>
        <v>#N/A</v>
      </c>
      <c r="I9" s="147" t="str">
        <f t="shared" si="9"/>
        <v>#N/A</v>
      </c>
      <c r="J9" s="147" t="str">
        <f t="shared" si="9"/>
        <v>#N/A</v>
      </c>
      <c r="K9" s="147" t="str">
        <f t="shared" si="9"/>
        <v>#N/A</v>
      </c>
      <c r="L9" s="147" t="str">
        <f t="shared" si="9"/>
        <v>#N/A</v>
      </c>
      <c r="M9" s="147" t="str">
        <f t="shared" si="9"/>
        <v>#N/A</v>
      </c>
      <c r="N9" s="147" t="str">
        <f t="shared" si="9"/>
        <v>#N/A</v>
      </c>
      <c r="O9" s="147" t="str">
        <f t="shared" si="9"/>
        <v>#N/A</v>
      </c>
      <c r="P9" s="148" t="str">
        <f t="shared" si="3"/>
        <v>#N/A</v>
      </c>
    </row>
    <row r="10">
      <c r="A10" s="123" t="s">
        <v>83</v>
      </c>
      <c r="B10" s="124" t="str">
        <f t="shared" ref="B10:O10" si="10">SUMIFS('Minuta MTA 2025 GR3'!$AF:$AF,'Minuta MTA 2025 GR3'!$AH:$AH,B$1,'Minuta MTA 2025 GR3'!$I:$I,$A10,'Minuta MTA 2025 GR3'!$T:$T,"A")+SUMIFS('Minuta MTA 2025 GR3'!$AF:$AF,'Minuta MTA 2025 GR3'!$AH:$AH,B$1,'Minuta MTA 2025 GR3'!$I:$I,$A10,'Minuta MTA 2025 GR3'!$T:$T,"B")</f>
        <v>#N/A</v>
      </c>
      <c r="C10" s="124" t="str">
        <f t="shared" si="10"/>
        <v>#N/A</v>
      </c>
      <c r="D10" s="124" t="str">
        <f t="shared" si="10"/>
        <v>#N/A</v>
      </c>
      <c r="E10" s="124" t="str">
        <f t="shared" si="10"/>
        <v>#N/A</v>
      </c>
      <c r="F10" s="124" t="str">
        <f t="shared" si="10"/>
        <v>#N/A</v>
      </c>
      <c r="G10" s="124" t="str">
        <f t="shared" si="10"/>
        <v>#N/A</v>
      </c>
      <c r="H10" s="124" t="str">
        <f t="shared" si="10"/>
        <v>#N/A</v>
      </c>
      <c r="I10" s="124" t="str">
        <f t="shared" si="10"/>
        <v>#N/A</v>
      </c>
      <c r="J10" s="124" t="str">
        <f t="shared" si="10"/>
        <v>#N/A</v>
      </c>
      <c r="K10" s="124" t="str">
        <f t="shared" si="10"/>
        <v>#N/A</v>
      </c>
      <c r="L10" s="124" t="str">
        <f t="shared" si="10"/>
        <v>#N/A</v>
      </c>
      <c r="M10" s="124" t="str">
        <f t="shared" si="10"/>
        <v>#N/A</v>
      </c>
      <c r="N10" s="124" t="str">
        <f t="shared" si="10"/>
        <v>#N/A</v>
      </c>
      <c r="O10" s="124" t="str">
        <f t="shared" si="10"/>
        <v>#N/A</v>
      </c>
      <c r="P10" s="145" t="str">
        <f t="shared" si="3"/>
        <v>#N/A</v>
      </c>
    </row>
    <row r="11">
      <c r="A11" s="146" t="s">
        <v>107</v>
      </c>
      <c r="B11" s="147" t="str">
        <f t="shared" ref="B11:O11" si="11">SUMIFS('Minuta MTA 2025 GR3'!$AF:$AF,'Minuta MTA 2025 GR3'!$AH:$AH,B$1,'Minuta MTA 2025 GR3'!$I:$I,$A11,'Minuta MTA 2025 GR3'!$T:$T,"A")+SUMIFS('Minuta MTA 2025 GR3'!$AF:$AF,'Minuta MTA 2025 GR3'!$AH:$AH,B$1,'Minuta MTA 2025 GR3'!$I:$I,$A11,'Minuta MTA 2025 GR3'!$T:$T,"B")</f>
        <v>#N/A</v>
      </c>
      <c r="C11" s="147" t="str">
        <f t="shared" si="11"/>
        <v>#N/A</v>
      </c>
      <c r="D11" s="147" t="str">
        <f t="shared" si="11"/>
        <v>#N/A</v>
      </c>
      <c r="E11" s="147" t="str">
        <f t="shared" si="11"/>
        <v>#N/A</v>
      </c>
      <c r="F11" s="147" t="str">
        <f t="shared" si="11"/>
        <v>#N/A</v>
      </c>
      <c r="G11" s="147" t="str">
        <f t="shared" si="11"/>
        <v>#N/A</v>
      </c>
      <c r="H11" s="147" t="str">
        <f t="shared" si="11"/>
        <v>#N/A</v>
      </c>
      <c r="I11" s="147" t="str">
        <f t="shared" si="11"/>
        <v>#N/A</v>
      </c>
      <c r="J11" s="147" t="str">
        <f t="shared" si="11"/>
        <v>#N/A</v>
      </c>
      <c r="K11" s="147" t="str">
        <f t="shared" si="11"/>
        <v>#N/A</v>
      </c>
      <c r="L11" s="147" t="str">
        <f t="shared" si="11"/>
        <v>#N/A</v>
      </c>
      <c r="M11" s="147" t="str">
        <f t="shared" si="11"/>
        <v>#N/A</v>
      </c>
      <c r="N11" s="147" t="str">
        <f t="shared" si="11"/>
        <v>#N/A</v>
      </c>
      <c r="O11" s="147" t="str">
        <f t="shared" si="11"/>
        <v>#N/A</v>
      </c>
      <c r="P11" s="148" t="str">
        <f t="shared" si="3"/>
        <v>#N/A</v>
      </c>
    </row>
    <row r="12">
      <c r="A12" s="123" t="s">
        <v>158</v>
      </c>
      <c r="B12" s="124" t="str">
        <f t="shared" ref="B12:O12" si="12">SUMIFS('Minuta MTA 2025 GR3'!$AF:$AF,'Minuta MTA 2025 GR3'!$AH:$AH,B$1,'Minuta MTA 2025 GR3'!$I:$I,$A12,'Minuta MTA 2025 GR3'!$T:$T,"A")+SUMIFS('Minuta MTA 2025 GR3'!$AF:$AF,'Minuta MTA 2025 GR3'!$AH:$AH,B$1,'Minuta MTA 2025 GR3'!$I:$I,$A12,'Minuta MTA 2025 GR3'!$T:$T,"B")</f>
        <v>#N/A</v>
      </c>
      <c r="C12" s="124" t="str">
        <f t="shared" si="12"/>
        <v>#N/A</v>
      </c>
      <c r="D12" s="124" t="str">
        <f t="shared" si="12"/>
        <v>#N/A</v>
      </c>
      <c r="E12" s="124" t="str">
        <f t="shared" si="12"/>
        <v>#N/A</v>
      </c>
      <c r="F12" s="124" t="str">
        <f t="shared" si="12"/>
        <v>#N/A</v>
      </c>
      <c r="G12" s="124" t="str">
        <f t="shared" si="12"/>
        <v>#N/A</v>
      </c>
      <c r="H12" s="124" t="str">
        <f t="shared" si="12"/>
        <v>#N/A</v>
      </c>
      <c r="I12" s="124" t="str">
        <f t="shared" si="12"/>
        <v>#N/A</v>
      </c>
      <c r="J12" s="124" t="str">
        <f t="shared" si="12"/>
        <v>#N/A</v>
      </c>
      <c r="K12" s="124" t="str">
        <f t="shared" si="12"/>
        <v>#N/A</v>
      </c>
      <c r="L12" s="124" t="str">
        <f t="shared" si="12"/>
        <v>#N/A</v>
      </c>
      <c r="M12" s="124" t="str">
        <f t="shared" si="12"/>
        <v>#N/A</v>
      </c>
      <c r="N12" s="124" t="str">
        <f t="shared" si="12"/>
        <v>#N/A</v>
      </c>
      <c r="O12" s="124" t="str">
        <f t="shared" si="12"/>
        <v>#N/A</v>
      </c>
      <c r="P12" s="145" t="str">
        <f t="shared" si="3"/>
        <v>#N/A</v>
      </c>
    </row>
    <row r="13">
      <c r="A13" s="146" t="s">
        <v>99</v>
      </c>
      <c r="B13" s="147" t="str">
        <f t="shared" ref="B13:O13" si="13">SUMIFS('Minuta MTA 2025 GR3'!$AF:$AF,'Minuta MTA 2025 GR3'!$AH:$AH,B$1,'Minuta MTA 2025 GR3'!$I:$I,$A13,'Minuta MTA 2025 GR3'!$T:$T,"A")+SUMIFS('Minuta MTA 2025 GR3'!$AF:$AF,'Minuta MTA 2025 GR3'!$AH:$AH,B$1,'Minuta MTA 2025 GR3'!$I:$I,$A13,'Minuta MTA 2025 GR3'!$T:$T,"B")</f>
        <v>#N/A</v>
      </c>
      <c r="C13" s="147" t="str">
        <f t="shared" si="13"/>
        <v>#N/A</v>
      </c>
      <c r="D13" s="147" t="str">
        <f t="shared" si="13"/>
        <v>#N/A</v>
      </c>
      <c r="E13" s="147" t="str">
        <f t="shared" si="13"/>
        <v>#N/A</v>
      </c>
      <c r="F13" s="147" t="str">
        <f t="shared" si="13"/>
        <v>#N/A</v>
      </c>
      <c r="G13" s="147" t="str">
        <f t="shared" si="13"/>
        <v>#N/A</v>
      </c>
      <c r="H13" s="147" t="str">
        <f t="shared" si="13"/>
        <v>#N/A</v>
      </c>
      <c r="I13" s="147" t="str">
        <f t="shared" si="13"/>
        <v>#N/A</v>
      </c>
      <c r="J13" s="147" t="str">
        <f t="shared" si="13"/>
        <v>#N/A</v>
      </c>
      <c r="K13" s="147" t="str">
        <f t="shared" si="13"/>
        <v>#N/A</v>
      </c>
      <c r="L13" s="147" t="str">
        <f t="shared" si="13"/>
        <v>#N/A</v>
      </c>
      <c r="M13" s="147" t="str">
        <f t="shared" si="13"/>
        <v>#N/A</v>
      </c>
      <c r="N13" s="147" t="str">
        <f t="shared" si="13"/>
        <v>#N/A</v>
      </c>
      <c r="O13" s="147" t="str">
        <f t="shared" si="13"/>
        <v>#N/A</v>
      </c>
      <c r="P13" s="148" t="str">
        <f t="shared" si="3"/>
        <v>#N/A</v>
      </c>
    </row>
    <row r="14">
      <c r="A14" s="123" t="s">
        <v>50</v>
      </c>
      <c r="B14" s="160">
        <v>0.0</v>
      </c>
      <c r="C14" s="160">
        <v>0.0</v>
      </c>
      <c r="D14" s="160">
        <v>0.0</v>
      </c>
      <c r="E14" s="160">
        <v>0.0</v>
      </c>
      <c r="F14" s="160">
        <v>4980250.0</v>
      </c>
      <c r="G14" s="160">
        <v>1282500.0</v>
      </c>
      <c r="H14" s="160">
        <v>1675000.0</v>
      </c>
      <c r="I14" s="160">
        <v>2052750.0</v>
      </c>
      <c r="J14" s="160">
        <v>2586500.0</v>
      </c>
      <c r="K14" s="160">
        <v>500000.0</v>
      </c>
      <c r="L14" s="160">
        <v>0.0</v>
      </c>
      <c r="M14" s="160">
        <v>0.0</v>
      </c>
      <c r="N14" s="160">
        <v>0.0</v>
      </c>
      <c r="O14" s="160">
        <v>0.0</v>
      </c>
      <c r="P14" s="161">
        <f t="shared" si="3"/>
        <v>13077000</v>
      </c>
    </row>
    <row r="15">
      <c r="A15" s="162" t="s">
        <v>95</v>
      </c>
      <c r="B15" s="148" t="str">
        <f t="shared" ref="B15:O15" si="14">SUM(B2:B14)</f>
        <v>#N/A</v>
      </c>
      <c r="C15" s="148" t="str">
        <f t="shared" si="14"/>
        <v>#N/A</v>
      </c>
      <c r="D15" s="148" t="str">
        <f t="shared" si="14"/>
        <v>#N/A</v>
      </c>
      <c r="E15" s="148" t="str">
        <f t="shared" si="14"/>
        <v>#N/A</v>
      </c>
      <c r="F15" s="148" t="str">
        <f t="shared" si="14"/>
        <v>#N/A</v>
      </c>
      <c r="G15" s="148" t="str">
        <f t="shared" si="14"/>
        <v>#N/A</v>
      </c>
      <c r="H15" s="148" t="str">
        <f t="shared" si="14"/>
        <v>#N/A</v>
      </c>
      <c r="I15" s="148" t="str">
        <f t="shared" si="14"/>
        <v>#N/A</v>
      </c>
      <c r="J15" s="148" t="str">
        <f t="shared" si="14"/>
        <v>#N/A</v>
      </c>
      <c r="K15" s="148" t="str">
        <f t="shared" si="14"/>
        <v>#N/A</v>
      </c>
      <c r="L15" s="148" t="str">
        <f t="shared" si="14"/>
        <v>#N/A</v>
      </c>
      <c r="M15" s="148" t="str">
        <f t="shared" si="14"/>
        <v>#N/A</v>
      </c>
      <c r="N15" s="148" t="str">
        <f t="shared" si="14"/>
        <v>#N/A</v>
      </c>
      <c r="O15" s="148" t="str">
        <f t="shared" si="14"/>
        <v>#N/A</v>
      </c>
      <c r="P15" s="148"/>
      <c r="Q15" s="120"/>
      <c r="R15" s="120"/>
      <c r="S15" s="120"/>
      <c r="T15" s="120"/>
      <c r="U15" s="120"/>
      <c r="V15" s="120"/>
      <c r="W15" s="120"/>
      <c r="X15" s="120"/>
    </row>
    <row r="16">
      <c r="A16" s="163" t="s">
        <v>159</v>
      </c>
    </row>
    <row r="17">
      <c r="A17" s="119"/>
      <c r="B17" s="119">
        <v>1.0</v>
      </c>
      <c r="C17" s="119">
        <v>2.0</v>
      </c>
      <c r="D17" s="119">
        <v>3.0</v>
      </c>
      <c r="E17" s="119">
        <v>4.0</v>
      </c>
      <c r="F17" s="119">
        <v>5.0</v>
      </c>
      <c r="G17" s="119">
        <v>6.0</v>
      </c>
      <c r="H17" s="119">
        <v>7.0</v>
      </c>
      <c r="I17" s="119">
        <v>8.0</v>
      </c>
      <c r="J17" s="119">
        <v>9.0</v>
      </c>
      <c r="K17" s="119">
        <v>10.0</v>
      </c>
      <c r="L17" s="119">
        <v>11.0</v>
      </c>
      <c r="M17" s="119">
        <v>12.0</v>
      </c>
      <c r="N17" s="119">
        <v>13.0</v>
      </c>
      <c r="O17" s="119">
        <v>14.0</v>
      </c>
      <c r="P17" s="119" t="s">
        <v>95</v>
      </c>
    </row>
    <row r="18">
      <c r="A18" s="123" t="s">
        <v>39</v>
      </c>
      <c r="B18" s="124" t="str">
        <f t="shared" ref="B18:O18" si="15">SUMIFS('Minuta MTA 2025 GR3'!$AF:$AF,'Minuta MTA 2025 GR3'!$AH:$AH,B$1,'Minuta MTA 2025 GR3'!$I:$I,$A18,'Minuta MTA 2025 GR3'!$T:$T,"A",'Minuta MTA 2025 GR3'!$AC:$AC,"")+SUMIFS('Minuta MTA 2025 GR3'!$AF:$AF,'Minuta MTA 2025 GR3'!$AH:$AH,B$1,'Minuta MTA 2025 GR3'!$I:$I,$A18,'Minuta MTA 2025 GR3'!$T:$T,"B",'Minuta MTA 2025 GR3'!$AC:$AC,"")</f>
        <v>#N/A</v>
      </c>
      <c r="C18" s="124" t="str">
        <f t="shared" si="15"/>
        <v>#N/A</v>
      </c>
      <c r="D18" s="124" t="str">
        <f t="shared" si="15"/>
        <v>#N/A</v>
      </c>
      <c r="E18" s="124" t="str">
        <f t="shared" si="15"/>
        <v>#N/A</v>
      </c>
      <c r="F18" s="124" t="str">
        <f t="shared" si="15"/>
        <v>#N/A</v>
      </c>
      <c r="G18" s="124" t="str">
        <f t="shared" si="15"/>
        <v>#N/A</v>
      </c>
      <c r="H18" s="124" t="str">
        <f t="shared" si="15"/>
        <v>#N/A</v>
      </c>
      <c r="I18" s="124" t="str">
        <f t="shared" si="15"/>
        <v>#N/A</v>
      </c>
      <c r="J18" s="124" t="str">
        <f t="shared" si="15"/>
        <v>#N/A</v>
      </c>
      <c r="K18" s="124" t="str">
        <f t="shared" si="15"/>
        <v>#N/A</v>
      </c>
      <c r="L18" s="124" t="str">
        <f t="shared" si="15"/>
        <v>#N/A</v>
      </c>
      <c r="M18" s="124" t="str">
        <f t="shared" si="15"/>
        <v>#N/A</v>
      </c>
      <c r="N18" s="124" t="str">
        <f t="shared" si="15"/>
        <v>#N/A</v>
      </c>
      <c r="O18" s="124" t="str">
        <f t="shared" si="15"/>
        <v>#N/A</v>
      </c>
      <c r="P18" s="145" t="str">
        <f t="shared" ref="P18:P30" si="17">SUM(B18:O18)</f>
        <v>#N/A</v>
      </c>
    </row>
    <row r="19">
      <c r="A19" s="146" t="s">
        <v>65</v>
      </c>
      <c r="B19" s="147" t="str">
        <f t="shared" ref="B19:O19" si="16">SUMIFS('Minuta MTA 2025 GR3'!$AF:$AF,'Minuta MTA 2025 GR3'!$AH:$AH,B$1,'Minuta MTA 2025 GR3'!$I:$I,$A19,'Minuta MTA 2025 GR3'!$T:$T,"A",'Minuta MTA 2025 GR3'!$AC:$AC,"")+SUMIFS('Minuta MTA 2025 GR3'!$AF:$AF,'Minuta MTA 2025 GR3'!$AH:$AH,B$1,'Minuta MTA 2025 GR3'!$I:$I,$A19,'Minuta MTA 2025 GR3'!$T:$T,"B",'Minuta MTA 2025 GR3'!$AC:$AC,"")</f>
        <v>#N/A</v>
      </c>
      <c r="C19" s="147" t="str">
        <f t="shared" si="16"/>
        <v>#N/A</v>
      </c>
      <c r="D19" s="147" t="str">
        <f t="shared" si="16"/>
        <v>#N/A</v>
      </c>
      <c r="E19" s="147" t="str">
        <f t="shared" si="16"/>
        <v>#N/A</v>
      </c>
      <c r="F19" s="147" t="str">
        <f t="shared" si="16"/>
        <v>#N/A</v>
      </c>
      <c r="G19" s="147" t="str">
        <f t="shared" si="16"/>
        <v>#N/A</v>
      </c>
      <c r="H19" s="147" t="str">
        <f t="shared" si="16"/>
        <v>#N/A</v>
      </c>
      <c r="I19" s="147" t="str">
        <f t="shared" si="16"/>
        <v>#N/A</v>
      </c>
      <c r="J19" s="147" t="str">
        <f t="shared" si="16"/>
        <v>#N/A</v>
      </c>
      <c r="K19" s="147" t="str">
        <f t="shared" si="16"/>
        <v>#N/A</v>
      </c>
      <c r="L19" s="147" t="str">
        <f t="shared" si="16"/>
        <v>#N/A</v>
      </c>
      <c r="M19" s="147" t="str">
        <f t="shared" si="16"/>
        <v>#N/A</v>
      </c>
      <c r="N19" s="147" t="str">
        <f t="shared" si="16"/>
        <v>#N/A</v>
      </c>
      <c r="O19" s="147" t="str">
        <f t="shared" si="16"/>
        <v>#N/A</v>
      </c>
      <c r="P19" s="148" t="str">
        <f t="shared" si="17"/>
        <v>#N/A</v>
      </c>
    </row>
    <row r="20">
      <c r="A20" s="123" t="s">
        <v>44</v>
      </c>
      <c r="B20" s="124" t="str">
        <f t="shared" ref="B20:O20" si="18">SUMIFS('Minuta MTA 2025 GR3'!$AF:$AF,'Minuta MTA 2025 GR3'!$AH:$AH,B$1,'Minuta MTA 2025 GR3'!$I:$I,$A20,'Minuta MTA 2025 GR3'!$T:$T,"A",'Minuta MTA 2025 GR3'!$AC:$AC,"")+SUMIFS('Minuta MTA 2025 GR3'!$AF:$AF,'Minuta MTA 2025 GR3'!$AH:$AH,B$1,'Minuta MTA 2025 GR3'!$I:$I,$A20,'Minuta MTA 2025 GR3'!$T:$T,"B",'Minuta MTA 2025 GR3'!$AC:$AC,"")</f>
        <v>#N/A</v>
      </c>
      <c r="C20" s="124" t="str">
        <f t="shared" si="18"/>
        <v>#N/A</v>
      </c>
      <c r="D20" s="124" t="str">
        <f t="shared" si="18"/>
        <v>#N/A</v>
      </c>
      <c r="E20" s="124" t="str">
        <f t="shared" si="18"/>
        <v>#N/A</v>
      </c>
      <c r="F20" s="124" t="str">
        <f t="shared" si="18"/>
        <v>#N/A</v>
      </c>
      <c r="G20" s="124" t="str">
        <f t="shared" si="18"/>
        <v>#N/A</v>
      </c>
      <c r="H20" s="124" t="str">
        <f t="shared" si="18"/>
        <v>#N/A</v>
      </c>
      <c r="I20" s="124" t="str">
        <f t="shared" si="18"/>
        <v>#N/A</v>
      </c>
      <c r="J20" s="124" t="str">
        <f t="shared" si="18"/>
        <v>#N/A</v>
      </c>
      <c r="K20" s="124" t="str">
        <f t="shared" si="18"/>
        <v>#N/A</v>
      </c>
      <c r="L20" s="124" t="str">
        <f t="shared" si="18"/>
        <v>#N/A</v>
      </c>
      <c r="M20" s="124" t="str">
        <f t="shared" si="18"/>
        <v>#N/A</v>
      </c>
      <c r="N20" s="124" t="str">
        <f t="shared" si="18"/>
        <v>#N/A</v>
      </c>
      <c r="O20" s="124" t="str">
        <f t="shared" si="18"/>
        <v>#N/A</v>
      </c>
      <c r="P20" s="145" t="str">
        <f t="shared" si="17"/>
        <v>#N/A</v>
      </c>
    </row>
    <row r="21">
      <c r="A21" s="146" t="s">
        <v>45</v>
      </c>
      <c r="B21" s="147" t="str">
        <f t="shared" ref="B21:O21" si="19">SUMIFS('Minuta MTA 2025 GR3'!$AF:$AF,'Minuta MTA 2025 GR3'!$AH:$AH,B$1,'Minuta MTA 2025 GR3'!$I:$I,$A21,'Minuta MTA 2025 GR3'!$T:$T,"A",'Minuta MTA 2025 GR3'!$AC:$AC,"")+SUMIFS('Minuta MTA 2025 GR3'!$AF:$AF,'Minuta MTA 2025 GR3'!$AH:$AH,B$1,'Minuta MTA 2025 GR3'!$I:$I,$A21,'Minuta MTA 2025 GR3'!$T:$T,"B",'Minuta MTA 2025 GR3'!$AC:$AC,"")</f>
        <v>#N/A</v>
      </c>
      <c r="C21" s="147" t="str">
        <f t="shared" si="19"/>
        <v>#N/A</v>
      </c>
      <c r="D21" s="147" t="str">
        <f t="shared" si="19"/>
        <v>#N/A</v>
      </c>
      <c r="E21" s="147" t="str">
        <f t="shared" si="19"/>
        <v>#N/A</v>
      </c>
      <c r="F21" s="147" t="str">
        <f t="shared" si="19"/>
        <v>#N/A</v>
      </c>
      <c r="G21" s="147" t="str">
        <f t="shared" si="19"/>
        <v>#N/A</v>
      </c>
      <c r="H21" s="147" t="str">
        <f t="shared" si="19"/>
        <v>#N/A</v>
      </c>
      <c r="I21" s="147" t="str">
        <f t="shared" si="19"/>
        <v>#N/A</v>
      </c>
      <c r="J21" s="147" t="str">
        <f t="shared" si="19"/>
        <v>#N/A</v>
      </c>
      <c r="K21" s="147" t="str">
        <f t="shared" si="19"/>
        <v>#N/A</v>
      </c>
      <c r="L21" s="147" t="str">
        <f t="shared" si="19"/>
        <v>#N/A</v>
      </c>
      <c r="M21" s="147" t="str">
        <f t="shared" si="19"/>
        <v>#N/A</v>
      </c>
      <c r="N21" s="147" t="str">
        <f t="shared" si="19"/>
        <v>#N/A</v>
      </c>
      <c r="O21" s="147" t="str">
        <f t="shared" si="19"/>
        <v>#N/A</v>
      </c>
      <c r="P21" s="148" t="str">
        <f t="shared" si="17"/>
        <v>#N/A</v>
      </c>
    </row>
    <row r="22">
      <c r="A22" s="123" t="s">
        <v>46</v>
      </c>
      <c r="B22" s="124" t="str">
        <f t="shared" ref="B22:O22" si="20">SUMIFS('Minuta MTA 2025 GR3'!$AF:$AF,'Minuta MTA 2025 GR3'!$AH:$AH,B$1,'Minuta MTA 2025 GR3'!$I:$I,$A22,'Minuta MTA 2025 GR3'!$T:$T,"A",'Minuta MTA 2025 GR3'!$AC:$AC,"")+SUMIFS('Minuta MTA 2025 GR3'!$AF:$AF,'Minuta MTA 2025 GR3'!$AH:$AH,B$1,'Minuta MTA 2025 GR3'!$I:$I,$A22,'Minuta MTA 2025 GR3'!$T:$T,"B",'Minuta MTA 2025 GR3'!$AC:$AC,"")</f>
        <v>#N/A</v>
      </c>
      <c r="C22" s="124" t="str">
        <f t="shared" si="20"/>
        <v>#N/A</v>
      </c>
      <c r="D22" s="124" t="str">
        <f t="shared" si="20"/>
        <v>#N/A</v>
      </c>
      <c r="E22" s="124" t="str">
        <f t="shared" si="20"/>
        <v>#N/A</v>
      </c>
      <c r="F22" s="124" t="str">
        <f t="shared" si="20"/>
        <v>#N/A</v>
      </c>
      <c r="G22" s="124" t="str">
        <f t="shared" si="20"/>
        <v>#N/A</v>
      </c>
      <c r="H22" s="124" t="str">
        <f t="shared" si="20"/>
        <v>#N/A</v>
      </c>
      <c r="I22" s="124" t="str">
        <f t="shared" si="20"/>
        <v>#N/A</v>
      </c>
      <c r="J22" s="124" t="str">
        <f t="shared" si="20"/>
        <v>#N/A</v>
      </c>
      <c r="K22" s="124" t="str">
        <f t="shared" si="20"/>
        <v>#N/A</v>
      </c>
      <c r="L22" s="124" t="str">
        <f t="shared" si="20"/>
        <v>#N/A</v>
      </c>
      <c r="M22" s="124" t="str">
        <f t="shared" si="20"/>
        <v>#N/A</v>
      </c>
      <c r="N22" s="124" t="str">
        <f t="shared" si="20"/>
        <v>#N/A</v>
      </c>
      <c r="O22" s="124" t="str">
        <f t="shared" si="20"/>
        <v>#N/A</v>
      </c>
      <c r="P22" s="145" t="str">
        <f t="shared" si="17"/>
        <v>#N/A</v>
      </c>
    </row>
    <row r="23">
      <c r="A23" s="146" t="s">
        <v>47</v>
      </c>
      <c r="B23" s="147" t="str">
        <f t="shared" ref="B23:O23" si="21">SUMIFS('Minuta MTA 2025 GR3'!$AF:$AF,'Minuta MTA 2025 GR3'!$AH:$AH,B$1,'Minuta MTA 2025 GR3'!$I:$I,$A23,'Minuta MTA 2025 GR3'!$T:$T,"A",'Minuta MTA 2025 GR3'!$AC:$AC,"")+SUMIFS('Minuta MTA 2025 GR3'!$AF:$AF,'Minuta MTA 2025 GR3'!$AH:$AH,B$1,'Minuta MTA 2025 GR3'!$I:$I,$A23,'Minuta MTA 2025 GR3'!$T:$T,"B",'Minuta MTA 2025 GR3'!$AC:$AC,"")</f>
        <v>#N/A</v>
      </c>
      <c r="C23" s="147" t="str">
        <f t="shared" si="21"/>
        <v>#N/A</v>
      </c>
      <c r="D23" s="147" t="str">
        <f t="shared" si="21"/>
        <v>#N/A</v>
      </c>
      <c r="E23" s="147" t="str">
        <f t="shared" si="21"/>
        <v>#N/A</v>
      </c>
      <c r="F23" s="147" t="str">
        <f t="shared" si="21"/>
        <v>#N/A</v>
      </c>
      <c r="G23" s="147" t="str">
        <f t="shared" si="21"/>
        <v>#N/A</v>
      </c>
      <c r="H23" s="147" t="str">
        <f t="shared" si="21"/>
        <v>#N/A</v>
      </c>
      <c r="I23" s="147" t="str">
        <f t="shared" si="21"/>
        <v>#N/A</v>
      </c>
      <c r="J23" s="147" t="str">
        <f t="shared" si="21"/>
        <v>#N/A</v>
      </c>
      <c r="K23" s="147" t="str">
        <f t="shared" si="21"/>
        <v>#N/A</v>
      </c>
      <c r="L23" s="147" t="str">
        <f t="shared" si="21"/>
        <v>#N/A</v>
      </c>
      <c r="M23" s="147" t="str">
        <f t="shared" si="21"/>
        <v>#N/A</v>
      </c>
      <c r="N23" s="147" t="str">
        <f t="shared" si="21"/>
        <v>#N/A</v>
      </c>
      <c r="O23" s="147" t="str">
        <f t="shared" si="21"/>
        <v>#N/A</v>
      </c>
      <c r="P23" s="148" t="str">
        <f t="shared" si="17"/>
        <v>#N/A</v>
      </c>
    </row>
    <row r="24">
      <c r="A24" s="123" t="s">
        <v>48</v>
      </c>
      <c r="B24" s="124" t="str">
        <f t="shared" ref="B24:O24" si="22">SUMIFS('Minuta MTA 2025 GR3'!$AF:$AF,'Minuta MTA 2025 GR3'!$AH:$AH,B$1,'Minuta MTA 2025 GR3'!$I:$I,$A24,'Minuta MTA 2025 GR3'!$T:$T,"A",'Minuta MTA 2025 GR3'!$AC:$AC,"")+SUMIFS('Minuta MTA 2025 GR3'!$AF:$AF,'Minuta MTA 2025 GR3'!$AH:$AH,B$1,'Minuta MTA 2025 GR3'!$I:$I,$A24,'Minuta MTA 2025 GR3'!$T:$T,"B",'Minuta MTA 2025 GR3'!$AC:$AC,"")</f>
        <v>#N/A</v>
      </c>
      <c r="C24" s="124" t="str">
        <f t="shared" si="22"/>
        <v>#N/A</v>
      </c>
      <c r="D24" s="124" t="str">
        <f t="shared" si="22"/>
        <v>#N/A</v>
      </c>
      <c r="E24" s="124" t="str">
        <f t="shared" si="22"/>
        <v>#N/A</v>
      </c>
      <c r="F24" s="124" t="str">
        <f t="shared" si="22"/>
        <v>#N/A</v>
      </c>
      <c r="G24" s="124" t="str">
        <f t="shared" si="22"/>
        <v>#N/A</v>
      </c>
      <c r="H24" s="124" t="str">
        <f t="shared" si="22"/>
        <v>#N/A</v>
      </c>
      <c r="I24" s="124" t="str">
        <f t="shared" si="22"/>
        <v>#N/A</v>
      </c>
      <c r="J24" s="124" t="str">
        <f t="shared" si="22"/>
        <v>#N/A</v>
      </c>
      <c r="K24" s="124" t="str">
        <f t="shared" si="22"/>
        <v>#N/A</v>
      </c>
      <c r="L24" s="124" t="str">
        <f t="shared" si="22"/>
        <v>#N/A</v>
      </c>
      <c r="M24" s="124" t="str">
        <f t="shared" si="22"/>
        <v>#N/A</v>
      </c>
      <c r="N24" s="124" t="str">
        <f t="shared" si="22"/>
        <v>#N/A</v>
      </c>
      <c r="O24" s="124" t="str">
        <f t="shared" si="22"/>
        <v>#N/A</v>
      </c>
      <c r="P24" s="145" t="str">
        <f t="shared" si="17"/>
        <v>#N/A</v>
      </c>
    </row>
    <row r="25">
      <c r="A25" s="146" t="s">
        <v>97</v>
      </c>
      <c r="B25" s="147" t="str">
        <f t="shared" ref="B25:O25" si="23">SUMIFS('Minuta MTA 2025 GR3'!$AF:$AF,'Minuta MTA 2025 GR3'!$AH:$AH,B$1,'Minuta MTA 2025 GR3'!$I:$I,$A25,'Minuta MTA 2025 GR3'!$T:$T,"A",'Minuta MTA 2025 GR3'!$AC:$AC,"")+SUMIFS('Minuta MTA 2025 GR3'!$AF:$AF,'Minuta MTA 2025 GR3'!$AH:$AH,B$1,'Minuta MTA 2025 GR3'!$I:$I,$A25,'Minuta MTA 2025 GR3'!$T:$T,"B",'Minuta MTA 2025 GR3'!$AC:$AC,"")</f>
        <v>#N/A</v>
      </c>
      <c r="C25" s="147" t="str">
        <f t="shared" si="23"/>
        <v>#N/A</v>
      </c>
      <c r="D25" s="147" t="str">
        <f t="shared" si="23"/>
        <v>#N/A</v>
      </c>
      <c r="E25" s="147" t="str">
        <f t="shared" si="23"/>
        <v>#N/A</v>
      </c>
      <c r="F25" s="147" t="str">
        <f t="shared" si="23"/>
        <v>#N/A</v>
      </c>
      <c r="G25" s="147" t="str">
        <f t="shared" si="23"/>
        <v>#N/A</v>
      </c>
      <c r="H25" s="147" t="str">
        <f t="shared" si="23"/>
        <v>#N/A</v>
      </c>
      <c r="I25" s="147" t="str">
        <f t="shared" si="23"/>
        <v>#N/A</v>
      </c>
      <c r="J25" s="147" t="str">
        <f t="shared" si="23"/>
        <v>#N/A</v>
      </c>
      <c r="K25" s="147" t="str">
        <f t="shared" si="23"/>
        <v>#N/A</v>
      </c>
      <c r="L25" s="147" t="str">
        <f t="shared" si="23"/>
        <v>#N/A</v>
      </c>
      <c r="M25" s="147" t="str">
        <f t="shared" si="23"/>
        <v>#N/A</v>
      </c>
      <c r="N25" s="147" t="str">
        <f t="shared" si="23"/>
        <v>#N/A</v>
      </c>
      <c r="O25" s="147" t="str">
        <f t="shared" si="23"/>
        <v>#N/A</v>
      </c>
      <c r="P25" s="148" t="str">
        <f t="shared" si="17"/>
        <v>#N/A</v>
      </c>
    </row>
    <row r="26">
      <c r="A26" s="123" t="s">
        <v>83</v>
      </c>
      <c r="B26" s="124" t="str">
        <f t="shared" ref="B26:O26" si="24">SUMIFS('Minuta MTA 2025 GR3'!$AF:$AF,'Minuta MTA 2025 GR3'!$AH:$AH,B$1,'Minuta MTA 2025 GR3'!$I:$I,$A26,'Minuta MTA 2025 GR3'!$T:$T,"A",'Minuta MTA 2025 GR3'!$AC:$AC,"")+SUMIFS('Minuta MTA 2025 GR3'!$AF:$AF,'Minuta MTA 2025 GR3'!$AH:$AH,B$1,'Minuta MTA 2025 GR3'!$I:$I,$A26,'Minuta MTA 2025 GR3'!$T:$T,"B",'Minuta MTA 2025 GR3'!$AC:$AC,"")</f>
        <v>#N/A</v>
      </c>
      <c r="C26" s="124" t="str">
        <f t="shared" si="24"/>
        <v>#N/A</v>
      </c>
      <c r="D26" s="124" t="str">
        <f t="shared" si="24"/>
        <v>#N/A</v>
      </c>
      <c r="E26" s="124" t="str">
        <f t="shared" si="24"/>
        <v>#N/A</v>
      </c>
      <c r="F26" s="124" t="str">
        <f t="shared" si="24"/>
        <v>#N/A</v>
      </c>
      <c r="G26" s="124" t="str">
        <f t="shared" si="24"/>
        <v>#N/A</v>
      </c>
      <c r="H26" s="124" t="str">
        <f t="shared" si="24"/>
        <v>#N/A</v>
      </c>
      <c r="I26" s="124" t="str">
        <f t="shared" si="24"/>
        <v>#N/A</v>
      </c>
      <c r="J26" s="124" t="str">
        <f t="shared" si="24"/>
        <v>#N/A</v>
      </c>
      <c r="K26" s="124" t="str">
        <f t="shared" si="24"/>
        <v>#N/A</v>
      </c>
      <c r="L26" s="124" t="str">
        <f t="shared" si="24"/>
        <v>#N/A</v>
      </c>
      <c r="M26" s="124" t="str">
        <f t="shared" si="24"/>
        <v>#N/A</v>
      </c>
      <c r="N26" s="124" t="str">
        <f t="shared" si="24"/>
        <v>#N/A</v>
      </c>
      <c r="O26" s="124" t="str">
        <f t="shared" si="24"/>
        <v>#N/A</v>
      </c>
      <c r="P26" s="145" t="str">
        <f t="shared" si="17"/>
        <v>#N/A</v>
      </c>
    </row>
    <row r="27">
      <c r="A27" s="146" t="s">
        <v>107</v>
      </c>
      <c r="B27" s="147" t="str">
        <f t="shared" ref="B27:O27" si="25">SUMIFS('Minuta MTA 2025 GR3'!$AF:$AF,'Minuta MTA 2025 GR3'!$AH:$AH,B$1,'Minuta MTA 2025 GR3'!$I:$I,$A27,'Minuta MTA 2025 GR3'!$T:$T,"A",'Minuta MTA 2025 GR3'!$AC:$AC,"")+SUMIFS('Minuta MTA 2025 GR3'!$AF:$AF,'Minuta MTA 2025 GR3'!$AH:$AH,B$1,'Minuta MTA 2025 GR3'!$I:$I,$A27,'Minuta MTA 2025 GR3'!$T:$T,"B",'Minuta MTA 2025 GR3'!$AC:$AC,"")</f>
        <v>#N/A</v>
      </c>
      <c r="C27" s="147" t="str">
        <f t="shared" si="25"/>
        <v>#N/A</v>
      </c>
      <c r="D27" s="147" t="str">
        <f t="shared" si="25"/>
        <v>#N/A</v>
      </c>
      <c r="E27" s="147" t="str">
        <f t="shared" si="25"/>
        <v>#N/A</v>
      </c>
      <c r="F27" s="147" t="str">
        <f t="shared" si="25"/>
        <v>#N/A</v>
      </c>
      <c r="G27" s="147" t="str">
        <f t="shared" si="25"/>
        <v>#N/A</v>
      </c>
      <c r="H27" s="147" t="str">
        <f t="shared" si="25"/>
        <v>#N/A</v>
      </c>
      <c r="I27" s="147" t="str">
        <f t="shared" si="25"/>
        <v>#N/A</v>
      </c>
      <c r="J27" s="147" t="str">
        <f t="shared" si="25"/>
        <v>#N/A</v>
      </c>
      <c r="K27" s="147" t="str">
        <f t="shared" si="25"/>
        <v>#N/A</v>
      </c>
      <c r="L27" s="147" t="str">
        <f t="shared" si="25"/>
        <v>#N/A</v>
      </c>
      <c r="M27" s="147" t="str">
        <f t="shared" si="25"/>
        <v>#N/A</v>
      </c>
      <c r="N27" s="147" t="str">
        <f t="shared" si="25"/>
        <v>#N/A</v>
      </c>
      <c r="O27" s="147" t="str">
        <f t="shared" si="25"/>
        <v>#N/A</v>
      </c>
      <c r="P27" s="148" t="str">
        <f t="shared" si="17"/>
        <v>#N/A</v>
      </c>
    </row>
    <row r="28">
      <c r="A28" s="123" t="s">
        <v>158</v>
      </c>
      <c r="B28" s="124" t="str">
        <f t="shared" ref="B28:O28" si="26">SUMIFS('Minuta MTA 2025 GR3'!$AF:$AF,'Minuta MTA 2025 GR3'!$AH:$AH,B$1,'Minuta MTA 2025 GR3'!$I:$I,$A28,'Minuta MTA 2025 GR3'!$T:$T,"A",'Minuta MTA 2025 GR3'!$AC:$AC,"")+SUMIFS('Minuta MTA 2025 GR3'!$AF:$AF,'Minuta MTA 2025 GR3'!$AH:$AH,B$1,'Minuta MTA 2025 GR3'!$I:$I,$A28,'Minuta MTA 2025 GR3'!$T:$T,"B",'Minuta MTA 2025 GR3'!$AC:$AC,"")</f>
        <v>#N/A</v>
      </c>
      <c r="C28" s="124" t="str">
        <f t="shared" si="26"/>
        <v>#N/A</v>
      </c>
      <c r="D28" s="124" t="str">
        <f t="shared" si="26"/>
        <v>#N/A</v>
      </c>
      <c r="E28" s="124" t="str">
        <f t="shared" si="26"/>
        <v>#N/A</v>
      </c>
      <c r="F28" s="124" t="str">
        <f t="shared" si="26"/>
        <v>#N/A</v>
      </c>
      <c r="G28" s="124" t="str">
        <f t="shared" si="26"/>
        <v>#N/A</v>
      </c>
      <c r="H28" s="124" t="str">
        <f t="shared" si="26"/>
        <v>#N/A</v>
      </c>
      <c r="I28" s="124" t="str">
        <f t="shared" si="26"/>
        <v>#N/A</v>
      </c>
      <c r="J28" s="124" t="str">
        <f t="shared" si="26"/>
        <v>#N/A</v>
      </c>
      <c r="K28" s="124" t="str">
        <f t="shared" si="26"/>
        <v>#N/A</v>
      </c>
      <c r="L28" s="124" t="str">
        <f t="shared" si="26"/>
        <v>#N/A</v>
      </c>
      <c r="M28" s="124" t="str">
        <f t="shared" si="26"/>
        <v>#N/A</v>
      </c>
      <c r="N28" s="124" t="str">
        <f t="shared" si="26"/>
        <v>#N/A</v>
      </c>
      <c r="O28" s="124" t="str">
        <f t="shared" si="26"/>
        <v>#N/A</v>
      </c>
      <c r="P28" s="145" t="str">
        <f t="shared" si="17"/>
        <v>#N/A</v>
      </c>
    </row>
    <row r="29">
      <c r="A29" s="146" t="s">
        <v>99</v>
      </c>
      <c r="B29" s="147" t="str">
        <f t="shared" ref="B29:O29" si="27">SUMIFS('Minuta MTA 2025 GR3'!$AF:$AF,'Minuta MTA 2025 GR3'!$AH:$AH,B$1,'Minuta MTA 2025 GR3'!$I:$I,$A29,'Minuta MTA 2025 GR3'!$T:$T,"A",'Minuta MTA 2025 GR3'!$AC:$AC,"")+SUMIFS('Minuta MTA 2025 GR3'!$AF:$AF,'Minuta MTA 2025 GR3'!$AH:$AH,B$1,'Minuta MTA 2025 GR3'!$I:$I,$A29,'Minuta MTA 2025 GR3'!$T:$T,"B",'Minuta MTA 2025 GR3'!$AC:$AC,"")</f>
        <v>#N/A</v>
      </c>
      <c r="C29" s="147" t="str">
        <f t="shared" si="27"/>
        <v>#N/A</v>
      </c>
      <c r="D29" s="147" t="str">
        <f t="shared" si="27"/>
        <v>#N/A</v>
      </c>
      <c r="E29" s="147" t="str">
        <f t="shared" si="27"/>
        <v>#N/A</v>
      </c>
      <c r="F29" s="147" t="str">
        <f t="shared" si="27"/>
        <v>#N/A</v>
      </c>
      <c r="G29" s="147" t="str">
        <f t="shared" si="27"/>
        <v>#N/A</v>
      </c>
      <c r="H29" s="147" t="str">
        <f t="shared" si="27"/>
        <v>#N/A</v>
      </c>
      <c r="I29" s="147" t="str">
        <f t="shared" si="27"/>
        <v>#N/A</v>
      </c>
      <c r="J29" s="147" t="str">
        <f t="shared" si="27"/>
        <v>#N/A</v>
      </c>
      <c r="K29" s="147" t="str">
        <f t="shared" si="27"/>
        <v>#N/A</v>
      </c>
      <c r="L29" s="147" t="str">
        <f t="shared" si="27"/>
        <v>#N/A</v>
      </c>
      <c r="M29" s="147" t="str">
        <f t="shared" si="27"/>
        <v>#N/A</v>
      </c>
      <c r="N29" s="147" t="str">
        <f t="shared" si="27"/>
        <v>#N/A</v>
      </c>
      <c r="O29" s="147" t="str">
        <f t="shared" si="27"/>
        <v>#N/A</v>
      </c>
      <c r="P29" s="148" t="str">
        <f t="shared" si="17"/>
        <v>#N/A</v>
      </c>
    </row>
    <row r="30">
      <c r="A30" s="123" t="s">
        <v>50</v>
      </c>
      <c r="B30" s="160">
        <v>0.0</v>
      </c>
      <c r="C30" s="160">
        <v>0.0</v>
      </c>
      <c r="D30" s="160">
        <v>0.0</v>
      </c>
      <c r="E30" s="160">
        <v>0.0</v>
      </c>
      <c r="F30" s="160">
        <v>4980250.0</v>
      </c>
      <c r="G30" s="160">
        <v>1282500.0</v>
      </c>
      <c r="H30" s="160">
        <v>1675000.0</v>
      </c>
      <c r="I30" s="160">
        <v>2052750.0</v>
      </c>
      <c r="J30" s="160">
        <v>2586500.0</v>
      </c>
      <c r="K30" s="160">
        <v>500000.0</v>
      </c>
      <c r="L30" s="160">
        <v>0.0</v>
      </c>
      <c r="M30" s="160">
        <v>0.0</v>
      </c>
      <c r="N30" s="160">
        <v>0.0</v>
      </c>
      <c r="O30" s="160">
        <v>0.0</v>
      </c>
      <c r="P30" s="161">
        <f t="shared" si="17"/>
        <v>13077000</v>
      </c>
    </row>
    <row r="31">
      <c r="A31" s="162" t="s">
        <v>95</v>
      </c>
      <c r="B31" s="148" t="str">
        <f t="shared" ref="B31:O31" si="28">SUM(B18:B30)</f>
        <v>#N/A</v>
      </c>
      <c r="C31" s="148" t="str">
        <f t="shared" si="28"/>
        <v>#N/A</v>
      </c>
      <c r="D31" s="148" t="str">
        <f t="shared" si="28"/>
        <v>#N/A</v>
      </c>
      <c r="E31" s="148" t="str">
        <f t="shared" si="28"/>
        <v>#N/A</v>
      </c>
      <c r="F31" s="148" t="str">
        <f t="shared" si="28"/>
        <v>#N/A</v>
      </c>
      <c r="G31" s="148" t="str">
        <f t="shared" si="28"/>
        <v>#N/A</v>
      </c>
      <c r="H31" s="148" t="str">
        <f t="shared" si="28"/>
        <v>#N/A</v>
      </c>
      <c r="I31" s="148" t="str">
        <f t="shared" si="28"/>
        <v>#N/A</v>
      </c>
      <c r="J31" s="148" t="str">
        <f t="shared" si="28"/>
        <v>#N/A</v>
      </c>
      <c r="K31" s="148" t="str">
        <f t="shared" si="28"/>
        <v>#N/A</v>
      </c>
      <c r="L31" s="148" t="str">
        <f t="shared" si="28"/>
        <v>#N/A</v>
      </c>
      <c r="M31" s="148" t="str">
        <f t="shared" si="28"/>
        <v>#N/A</v>
      </c>
      <c r="N31" s="148" t="str">
        <f t="shared" si="28"/>
        <v>#N/A</v>
      </c>
      <c r="O31" s="148" t="str">
        <f t="shared" si="28"/>
        <v>#N/A</v>
      </c>
      <c r="P31" s="148"/>
    </row>
    <row r="32">
      <c r="A32" s="163" t="s">
        <v>169</v>
      </c>
    </row>
    <row r="33">
      <c r="A33" s="179"/>
      <c r="B33" s="179">
        <v>1.0</v>
      </c>
      <c r="C33" s="179">
        <v>2.0</v>
      </c>
      <c r="D33" s="179">
        <v>3.0</v>
      </c>
      <c r="E33" s="179">
        <v>4.0</v>
      </c>
      <c r="F33" s="179">
        <v>5.0</v>
      </c>
      <c r="G33" s="179">
        <v>6.0</v>
      </c>
      <c r="H33" s="179">
        <v>7.0</v>
      </c>
      <c r="I33" s="179">
        <v>8.0</v>
      </c>
      <c r="J33" s="179">
        <v>9.0</v>
      </c>
      <c r="K33" s="179">
        <v>10.0</v>
      </c>
      <c r="L33" s="179">
        <v>11.0</v>
      </c>
      <c r="M33" s="179">
        <v>12.0</v>
      </c>
      <c r="N33" s="179">
        <v>13.0</v>
      </c>
      <c r="O33" s="179">
        <v>14.0</v>
      </c>
      <c r="P33" s="179" t="s">
        <v>95</v>
      </c>
    </row>
    <row r="34">
      <c r="A34" s="180" t="s">
        <v>39</v>
      </c>
      <c r="B34" s="181" t="str">
        <f t="shared" ref="B34:O34" si="29">SUMIFS('Minuta MTA 2025 GR3'!$AF:$AF,'Minuta MTA 2025 GR3'!$AH:$AH,B$1,'Minuta MTA 2025 GR3'!$I:$I,$A34,'Minuta MTA 2025 GR3'!$T:$T,"A",'Minuta MTA 2025 GR3'!$AC:$AC,"&lt;&gt;")+SUMIFS('Minuta MTA 2025 GR3'!$AF:$AF,'Minuta MTA 2025 GR3'!$AH:$AH,B$1,'Minuta MTA 2025 GR3'!$I:$I,$A34,'Minuta MTA 2025 GR3'!$T:$T,"B",'Minuta MTA 2025 GR3'!$AC:$AC,"&lt;&gt;")</f>
        <v>#N/A</v>
      </c>
      <c r="C34" s="181" t="str">
        <f t="shared" si="29"/>
        <v>#N/A</v>
      </c>
      <c r="D34" s="181" t="str">
        <f t="shared" si="29"/>
        <v>#N/A</v>
      </c>
      <c r="E34" s="181" t="str">
        <f t="shared" si="29"/>
        <v>#N/A</v>
      </c>
      <c r="F34" s="181" t="str">
        <f t="shared" si="29"/>
        <v>#N/A</v>
      </c>
      <c r="G34" s="181" t="str">
        <f t="shared" si="29"/>
        <v>#N/A</v>
      </c>
      <c r="H34" s="181" t="str">
        <f t="shared" si="29"/>
        <v>#N/A</v>
      </c>
      <c r="I34" s="181" t="str">
        <f t="shared" si="29"/>
        <v>#N/A</v>
      </c>
      <c r="J34" s="181" t="str">
        <f t="shared" si="29"/>
        <v>#N/A</v>
      </c>
      <c r="K34" s="181" t="str">
        <f t="shared" si="29"/>
        <v>#N/A</v>
      </c>
      <c r="L34" s="181" t="str">
        <f t="shared" si="29"/>
        <v>#N/A</v>
      </c>
      <c r="M34" s="181" t="str">
        <f t="shared" si="29"/>
        <v>#N/A</v>
      </c>
      <c r="N34" s="181" t="str">
        <f t="shared" si="29"/>
        <v>#N/A</v>
      </c>
      <c r="O34" s="181" t="str">
        <f t="shared" si="29"/>
        <v>#N/A</v>
      </c>
      <c r="P34" s="188" t="str">
        <f t="shared" ref="P34:P46" si="31">SUM(B34:O34)</f>
        <v>#N/A</v>
      </c>
    </row>
    <row r="35">
      <c r="A35" s="180" t="s">
        <v>65</v>
      </c>
      <c r="B35" s="181" t="str">
        <f t="shared" ref="B35:O35" si="30">SUMIFS('Minuta MTA 2025 GR3'!$AF:$AF,'Minuta MTA 2025 GR3'!$AH:$AH,B$1,'Minuta MTA 2025 GR3'!$I:$I,$A35,'Minuta MTA 2025 GR3'!$T:$T,"A",'Minuta MTA 2025 GR3'!$AC:$AC,"&lt;&gt;")+SUMIFS('Minuta MTA 2025 GR3'!$AF:$AF,'Minuta MTA 2025 GR3'!$AH:$AH,B$1,'Minuta MTA 2025 GR3'!$I:$I,$A35,'Minuta MTA 2025 GR3'!$T:$T,"B",'Minuta MTA 2025 GR3'!$AC:$AC,"&lt;&gt;")</f>
        <v>#N/A</v>
      </c>
      <c r="C35" s="181" t="str">
        <f t="shared" si="30"/>
        <v>#N/A</v>
      </c>
      <c r="D35" s="181" t="str">
        <f t="shared" si="30"/>
        <v>#N/A</v>
      </c>
      <c r="E35" s="181" t="str">
        <f t="shared" si="30"/>
        <v>#N/A</v>
      </c>
      <c r="F35" s="181" t="str">
        <f t="shared" si="30"/>
        <v>#N/A</v>
      </c>
      <c r="G35" s="181" t="str">
        <f t="shared" si="30"/>
        <v>#N/A</v>
      </c>
      <c r="H35" s="181" t="str">
        <f t="shared" si="30"/>
        <v>#N/A</v>
      </c>
      <c r="I35" s="181" t="str">
        <f t="shared" si="30"/>
        <v>#N/A</v>
      </c>
      <c r="J35" s="181" t="str">
        <f t="shared" si="30"/>
        <v>#N/A</v>
      </c>
      <c r="K35" s="181" t="str">
        <f t="shared" si="30"/>
        <v>#N/A</v>
      </c>
      <c r="L35" s="181" t="str">
        <f t="shared" si="30"/>
        <v>#N/A</v>
      </c>
      <c r="M35" s="181" t="str">
        <f t="shared" si="30"/>
        <v>#N/A</v>
      </c>
      <c r="N35" s="181" t="str">
        <f t="shared" si="30"/>
        <v>#N/A</v>
      </c>
      <c r="O35" s="181" t="str">
        <f t="shared" si="30"/>
        <v>#N/A</v>
      </c>
      <c r="P35" s="188" t="str">
        <f t="shared" si="31"/>
        <v>#N/A</v>
      </c>
    </row>
    <row r="36">
      <c r="A36" s="180" t="s">
        <v>44</v>
      </c>
      <c r="B36" s="181" t="str">
        <f t="shared" ref="B36:O36" si="32">SUMIFS('Minuta MTA 2025 GR3'!$AF:$AF,'Minuta MTA 2025 GR3'!$AH:$AH,B$1,'Minuta MTA 2025 GR3'!$I:$I,$A36,'Minuta MTA 2025 GR3'!$T:$T,"A",'Minuta MTA 2025 GR3'!$AC:$AC,"&lt;&gt;")+SUMIFS('Minuta MTA 2025 GR3'!$AF:$AF,'Minuta MTA 2025 GR3'!$AH:$AH,B$1,'Minuta MTA 2025 GR3'!$I:$I,$A36,'Minuta MTA 2025 GR3'!$T:$T,"B",'Minuta MTA 2025 GR3'!$AC:$AC,"&lt;&gt;")</f>
        <v>#N/A</v>
      </c>
      <c r="C36" s="181" t="str">
        <f t="shared" si="32"/>
        <v>#N/A</v>
      </c>
      <c r="D36" s="181" t="str">
        <f t="shared" si="32"/>
        <v>#N/A</v>
      </c>
      <c r="E36" s="181" t="str">
        <f t="shared" si="32"/>
        <v>#N/A</v>
      </c>
      <c r="F36" s="181" t="str">
        <f t="shared" si="32"/>
        <v>#N/A</v>
      </c>
      <c r="G36" s="181" t="str">
        <f t="shared" si="32"/>
        <v>#N/A</v>
      </c>
      <c r="H36" s="181" t="str">
        <f t="shared" si="32"/>
        <v>#N/A</v>
      </c>
      <c r="I36" s="181" t="str">
        <f t="shared" si="32"/>
        <v>#N/A</v>
      </c>
      <c r="J36" s="181" t="str">
        <f t="shared" si="32"/>
        <v>#N/A</v>
      </c>
      <c r="K36" s="181" t="str">
        <f t="shared" si="32"/>
        <v>#N/A</v>
      </c>
      <c r="L36" s="181" t="str">
        <f t="shared" si="32"/>
        <v>#N/A</v>
      </c>
      <c r="M36" s="181" t="str">
        <f t="shared" si="32"/>
        <v>#N/A</v>
      </c>
      <c r="N36" s="181" t="str">
        <f t="shared" si="32"/>
        <v>#N/A</v>
      </c>
      <c r="O36" s="181" t="str">
        <f t="shared" si="32"/>
        <v>#N/A</v>
      </c>
      <c r="P36" s="188" t="str">
        <f t="shared" si="31"/>
        <v>#N/A</v>
      </c>
    </row>
    <row r="37">
      <c r="A37" s="180" t="s">
        <v>45</v>
      </c>
      <c r="B37" s="181" t="str">
        <f t="shared" ref="B37:O37" si="33">SUMIFS('Minuta MTA 2025 GR3'!$AF:$AF,'Minuta MTA 2025 GR3'!$AH:$AH,B$1,'Minuta MTA 2025 GR3'!$I:$I,$A37,'Minuta MTA 2025 GR3'!$T:$T,"A",'Minuta MTA 2025 GR3'!$AC:$AC,"&lt;&gt;")+SUMIFS('Minuta MTA 2025 GR3'!$AF:$AF,'Minuta MTA 2025 GR3'!$AH:$AH,B$1,'Minuta MTA 2025 GR3'!$I:$I,$A37,'Minuta MTA 2025 GR3'!$T:$T,"B",'Minuta MTA 2025 GR3'!$AC:$AC,"&lt;&gt;")</f>
        <v>#N/A</v>
      </c>
      <c r="C37" s="181" t="str">
        <f t="shared" si="33"/>
        <v>#N/A</v>
      </c>
      <c r="D37" s="181" t="str">
        <f t="shared" si="33"/>
        <v>#N/A</v>
      </c>
      <c r="E37" s="181" t="str">
        <f t="shared" si="33"/>
        <v>#N/A</v>
      </c>
      <c r="F37" s="181" t="str">
        <f t="shared" si="33"/>
        <v>#N/A</v>
      </c>
      <c r="G37" s="181" t="str">
        <f t="shared" si="33"/>
        <v>#N/A</v>
      </c>
      <c r="H37" s="181" t="str">
        <f t="shared" si="33"/>
        <v>#N/A</v>
      </c>
      <c r="I37" s="181" t="str">
        <f t="shared" si="33"/>
        <v>#N/A</v>
      </c>
      <c r="J37" s="181" t="str">
        <f t="shared" si="33"/>
        <v>#N/A</v>
      </c>
      <c r="K37" s="181" t="str">
        <f t="shared" si="33"/>
        <v>#N/A</v>
      </c>
      <c r="L37" s="181" t="str">
        <f t="shared" si="33"/>
        <v>#N/A</v>
      </c>
      <c r="M37" s="181" t="str">
        <f t="shared" si="33"/>
        <v>#N/A</v>
      </c>
      <c r="N37" s="181" t="str">
        <f t="shared" si="33"/>
        <v>#N/A</v>
      </c>
      <c r="O37" s="181" t="str">
        <f t="shared" si="33"/>
        <v>#N/A</v>
      </c>
      <c r="P37" s="188" t="str">
        <f t="shared" si="31"/>
        <v>#N/A</v>
      </c>
    </row>
    <row r="38">
      <c r="A38" s="180" t="s">
        <v>46</v>
      </c>
      <c r="B38" s="181" t="str">
        <f t="shared" ref="B38:O38" si="34">SUMIFS('Minuta MTA 2025 GR3'!$AF:$AF,'Minuta MTA 2025 GR3'!$AH:$AH,B$1,'Minuta MTA 2025 GR3'!$I:$I,$A38,'Minuta MTA 2025 GR3'!$T:$T,"A",'Minuta MTA 2025 GR3'!$AC:$AC,"&lt;&gt;")+SUMIFS('Minuta MTA 2025 GR3'!$AF:$AF,'Minuta MTA 2025 GR3'!$AH:$AH,B$1,'Minuta MTA 2025 GR3'!$I:$I,$A38,'Minuta MTA 2025 GR3'!$T:$T,"B",'Minuta MTA 2025 GR3'!$AC:$AC,"&lt;&gt;")</f>
        <v>#N/A</v>
      </c>
      <c r="C38" s="181" t="str">
        <f t="shared" si="34"/>
        <v>#N/A</v>
      </c>
      <c r="D38" s="181" t="str">
        <f t="shared" si="34"/>
        <v>#N/A</v>
      </c>
      <c r="E38" s="181" t="str">
        <f t="shared" si="34"/>
        <v>#N/A</v>
      </c>
      <c r="F38" s="181" t="str">
        <f t="shared" si="34"/>
        <v>#N/A</v>
      </c>
      <c r="G38" s="181" t="str">
        <f t="shared" si="34"/>
        <v>#N/A</v>
      </c>
      <c r="H38" s="181" t="str">
        <f t="shared" si="34"/>
        <v>#N/A</v>
      </c>
      <c r="I38" s="181" t="str">
        <f t="shared" si="34"/>
        <v>#N/A</v>
      </c>
      <c r="J38" s="181" t="str">
        <f t="shared" si="34"/>
        <v>#N/A</v>
      </c>
      <c r="K38" s="181" t="str">
        <f t="shared" si="34"/>
        <v>#N/A</v>
      </c>
      <c r="L38" s="181" t="str">
        <f t="shared" si="34"/>
        <v>#N/A</v>
      </c>
      <c r="M38" s="181" t="str">
        <f t="shared" si="34"/>
        <v>#N/A</v>
      </c>
      <c r="N38" s="181" t="str">
        <f t="shared" si="34"/>
        <v>#N/A</v>
      </c>
      <c r="O38" s="181" t="str">
        <f t="shared" si="34"/>
        <v>#N/A</v>
      </c>
      <c r="P38" s="188" t="str">
        <f t="shared" si="31"/>
        <v>#N/A</v>
      </c>
    </row>
    <row r="39">
      <c r="A39" s="180" t="s">
        <v>47</v>
      </c>
      <c r="B39" s="181" t="str">
        <f t="shared" ref="B39:O39" si="35">SUMIFS('Minuta MTA 2025 GR3'!$AF:$AF,'Minuta MTA 2025 GR3'!$AH:$AH,B$1,'Minuta MTA 2025 GR3'!$I:$I,$A39,'Minuta MTA 2025 GR3'!$T:$T,"A",'Minuta MTA 2025 GR3'!$AC:$AC,"&lt;&gt;")+SUMIFS('Minuta MTA 2025 GR3'!$AF:$AF,'Minuta MTA 2025 GR3'!$AH:$AH,B$1,'Minuta MTA 2025 GR3'!$I:$I,$A39,'Minuta MTA 2025 GR3'!$T:$T,"B",'Minuta MTA 2025 GR3'!$AC:$AC,"&lt;&gt;")</f>
        <v>#N/A</v>
      </c>
      <c r="C39" s="181" t="str">
        <f t="shared" si="35"/>
        <v>#N/A</v>
      </c>
      <c r="D39" s="181" t="str">
        <f t="shared" si="35"/>
        <v>#N/A</v>
      </c>
      <c r="E39" s="181" t="str">
        <f t="shared" si="35"/>
        <v>#N/A</v>
      </c>
      <c r="F39" s="181" t="str">
        <f t="shared" si="35"/>
        <v>#N/A</v>
      </c>
      <c r="G39" s="181" t="str">
        <f t="shared" si="35"/>
        <v>#N/A</v>
      </c>
      <c r="H39" s="181" t="str">
        <f t="shared" si="35"/>
        <v>#N/A</v>
      </c>
      <c r="I39" s="181" t="str">
        <f t="shared" si="35"/>
        <v>#N/A</v>
      </c>
      <c r="J39" s="181" t="str">
        <f t="shared" si="35"/>
        <v>#N/A</v>
      </c>
      <c r="K39" s="181" t="str">
        <f t="shared" si="35"/>
        <v>#N/A</v>
      </c>
      <c r="L39" s="181" t="str">
        <f t="shared" si="35"/>
        <v>#N/A</v>
      </c>
      <c r="M39" s="181" t="str">
        <f t="shared" si="35"/>
        <v>#N/A</v>
      </c>
      <c r="N39" s="181" t="str">
        <f t="shared" si="35"/>
        <v>#N/A</v>
      </c>
      <c r="O39" s="181" t="str">
        <f t="shared" si="35"/>
        <v>#N/A</v>
      </c>
      <c r="P39" s="188" t="str">
        <f t="shared" si="31"/>
        <v>#N/A</v>
      </c>
    </row>
    <row r="40">
      <c r="A40" s="180" t="s">
        <v>48</v>
      </c>
      <c r="B40" s="181" t="str">
        <f t="shared" ref="B40:O40" si="36">SUMIFS('Minuta MTA 2025 GR3'!$AF:$AF,'Minuta MTA 2025 GR3'!$AH:$AH,B$1,'Minuta MTA 2025 GR3'!$I:$I,$A40,'Minuta MTA 2025 GR3'!$T:$T,"A",'Minuta MTA 2025 GR3'!$AC:$AC,"&lt;&gt;")+SUMIFS('Minuta MTA 2025 GR3'!$AF:$AF,'Minuta MTA 2025 GR3'!$AH:$AH,B$1,'Minuta MTA 2025 GR3'!$I:$I,$A40,'Minuta MTA 2025 GR3'!$T:$T,"B",'Minuta MTA 2025 GR3'!$AC:$AC,"&lt;&gt;")</f>
        <v>#N/A</v>
      </c>
      <c r="C40" s="181" t="str">
        <f t="shared" si="36"/>
        <v>#N/A</v>
      </c>
      <c r="D40" s="181" t="str">
        <f t="shared" si="36"/>
        <v>#N/A</v>
      </c>
      <c r="E40" s="181" t="str">
        <f t="shared" si="36"/>
        <v>#N/A</v>
      </c>
      <c r="F40" s="181" t="str">
        <f t="shared" si="36"/>
        <v>#N/A</v>
      </c>
      <c r="G40" s="181" t="str">
        <f t="shared" si="36"/>
        <v>#N/A</v>
      </c>
      <c r="H40" s="181" t="str">
        <f t="shared" si="36"/>
        <v>#N/A</v>
      </c>
      <c r="I40" s="181" t="str">
        <f t="shared" si="36"/>
        <v>#N/A</v>
      </c>
      <c r="J40" s="181" t="str">
        <f t="shared" si="36"/>
        <v>#N/A</v>
      </c>
      <c r="K40" s="181" t="str">
        <f t="shared" si="36"/>
        <v>#N/A</v>
      </c>
      <c r="L40" s="181" t="str">
        <f t="shared" si="36"/>
        <v>#N/A</v>
      </c>
      <c r="M40" s="181" t="str">
        <f t="shared" si="36"/>
        <v>#N/A</v>
      </c>
      <c r="N40" s="181" t="str">
        <f t="shared" si="36"/>
        <v>#N/A</v>
      </c>
      <c r="O40" s="181" t="str">
        <f t="shared" si="36"/>
        <v>#N/A</v>
      </c>
      <c r="P40" s="188" t="str">
        <f t="shared" si="31"/>
        <v>#N/A</v>
      </c>
    </row>
    <row r="41">
      <c r="A41" s="180" t="s">
        <v>97</v>
      </c>
      <c r="B41" s="181" t="str">
        <f t="shared" ref="B41:O41" si="37">SUMIFS('Minuta MTA 2025 GR3'!$AF:$AF,'Minuta MTA 2025 GR3'!$AH:$AH,B$1,'Minuta MTA 2025 GR3'!$I:$I,$A41,'Minuta MTA 2025 GR3'!$T:$T,"A",'Minuta MTA 2025 GR3'!$AC:$AC,"&lt;&gt;")+SUMIFS('Minuta MTA 2025 GR3'!$AF:$AF,'Minuta MTA 2025 GR3'!$AH:$AH,B$1,'Minuta MTA 2025 GR3'!$I:$I,$A41,'Minuta MTA 2025 GR3'!$T:$T,"B",'Minuta MTA 2025 GR3'!$AC:$AC,"&lt;&gt;")</f>
        <v>#N/A</v>
      </c>
      <c r="C41" s="181" t="str">
        <f t="shared" si="37"/>
        <v>#N/A</v>
      </c>
      <c r="D41" s="181" t="str">
        <f t="shared" si="37"/>
        <v>#N/A</v>
      </c>
      <c r="E41" s="181" t="str">
        <f t="shared" si="37"/>
        <v>#N/A</v>
      </c>
      <c r="F41" s="181" t="str">
        <f t="shared" si="37"/>
        <v>#N/A</v>
      </c>
      <c r="G41" s="181" t="str">
        <f t="shared" si="37"/>
        <v>#N/A</v>
      </c>
      <c r="H41" s="181" t="str">
        <f t="shared" si="37"/>
        <v>#N/A</v>
      </c>
      <c r="I41" s="181" t="str">
        <f t="shared" si="37"/>
        <v>#N/A</v>
      </c>
      <c r="J41" s="181" t="str">
        <f t="shared" si="37"/>
        <v>#N/A</v>
      </c>
      <c r="K41" s="181" t="str">
        <f t="shared" si="37"/>
        <v>#N/A</v>
      </c>
      <c r="L41" s="181" t="str">
        <f t="shared" si="37"/>
        <v>#N/A</v>
      </c>
      <c r="M41" s="181" t="str">
        <f t="shared" si="37"/>
        <v>#N/A</v>
      </c>
      <c r="N41" s="181" t="str">
        <f t="shared" si="37"/>
        <v>#N/A</v>
      </c>
      <c r="O41" s="181" t="str">
        <f t="shared" si="37"/>
        <v>#N/A</v>
      </c>
      <c r="P41" s="188" t="str">
        <f t="shared" si="31"/>
        <v>#N/A</v>
      </c>
    </row>
    <row r="42">
      <c r="A42" s="180" t="s">
        <v>83</v>
      </c>
      <c r="B42" s="181" t="str">
        <f t="shared" ref="B42:O42" si="38">SUMIFS('Minuta MTA 2025 GR3'!$AF:$AF,'Minuta MTA 2025 GR3'!$AH:$AH,B$1,'Minuta MTA 2025 GR3'!$I:$I,$A42,'Minuta MTA 2025 GR3'!$T:$T,"A",'Minuta MTA 2025 GR3'!$AC:$AC,"&lt;&gt;")+SUMIFS('Minuta MTA 2025 GR3'!$AF:$AF,'Minuta MTA 2025 GR3'!$AH:$AH,B$1,'Minuta MTA 2025 GR3'!$I:$I,$A42,'Minuta MTA 2025 GR3'!$T:$T,"B",'Minuta MTA 2025 GR3'!$AC:$AC,"&lt;&gt;")</f>
        <v>#N/A</v>
      </c>
      <c r="C42" s="181" t="str">
        <f t="shared" si="38"/>
        <v>#N/A</v>
      </c>
      <c r="D42" s="181" t="str">
        <f t="shared" si="38"/>
        <v>#N/A</v>
      </c>
      <c r="E42" s="181" t="str">
        <f t="shared" si="38"/>
        <v>#N/A</v>
      </c>
      <c r="F42" s="181" t="str">
        <f t="shared" si="38"/>
        <v>#N/A</v>
      </c>
      <c r="G42" s="181" t="str">
        <f t="shared" si="38"/>
        <v>#N/A</v>
      </c>
      <c r="H42" s="181" t="str">
        <f t="shared" si="38"/>
        <v>#N/A</v>
      </c>
      <c r="I42" s="181" t="str">
        <f t="shared" si="38"/>
        <v>#N/A</v>
      </c>
      <c r="J42" s="181" t="str">
        <f t="shared" si="38"/>
        <v>#N/A</v>
      </c>
      <c r="K42" s="181" t="str">
        <f t="shared" si="38"/>
        <v>#N/A</v>
      </c>
      <c r="L42" s="181" t="str">
        <f t="shared" si="38"/>
        <v>#N/A</v>
      </c>
      <c r="M42" s="181" t="str">
        <f t="shared" si="38"/>
        <v>#N/A</v>
      </c>
      <c r="N42" s="181" t="str">
        <f t="shared" si="38"/>
        <v>#N/A</v>
      </c>
      <c r="O42" s="181" t="str">
        <f t="shared" si="38"/>
        <v>#N/A</v>
      </c>
      <c r="P42" s="188" t="str">
        <f t="shared" si="31"/>
        <v>#N/A</v>
      </c>
    </row>
    <row r="43">
      <c r="A43" s="180" t="s">
        <v>107</v>
      </c>
      <c r="B43" s="181" t="str">
        <f t="shared" ref="B43:O43" si="39">SUMIFS('Minuta MTA 2025 GR3'!$AF:$AF,'Minuta MTA 2025 GR3'!$AH:$AH,B$1,'Minuta MTA 2025 GR3'!$I:$I,$A43,'Minuta MTA 2025 GR3'!$T:$T,"A",'Minuta MTA 2025 GR3'!$AC:$AC,"&lt;&gt;")+SUMIFS('Minuta MTA 2025 GR3'!$AF:$AF,'Minuta MTA 2025 GR3'!$AH:$AH,B$1,'Minuta MTA 2025 GR3'!$I:$I,$A43,'Minuta MTA 2025 GR3'!$T:$T,"B",'Minuta MTA 2025 GR3'!$AC:$AC,"&lt;&gt;")</f>
        <v>#N/A</v>
      </c>
      <c r="C43" s="181" t="str">
        <f t="shared" si="39"/>
        <v>#N/A</v>
      </c>
      <c r="D43" s="181" t="str">
        <f t="shared" si="39"/>
        <v>#N/A</v>
      </c>
      <c r="E43" s="181" t="str">
        <f t="shared" si="39"/>
        <v>#N/A</v>
      </c>
      <c r="F43" s="181" t="str">
        <f t="shared" si="39"/>
        <v>#N/A</v>
      </c>
      <c r="G43" s="181" t="str">
        <f t="shared" si="39"/>
        <v>#N/A</v>
      </c>
      <c r="H43" s="181" t="str">
        <f t="shared" si="39"/>
        <v>#N/A</v>
      </c>
      <c r="I43" s="181" t="str">
        <f t="shared" si="39"/>
        <v>#N/A</v>
      </c>
      <c r="J43" s="181" t="str">
        <f t="shared" si="39"/>
        <v>#N/A</v>
      </c>
      <c r="K43" s="181" t="str">
        <f t="shared" si="39"/>
        <v>#N/A</v>
      </c>
      <c r="L43" s="181" t="str">
        <f t="shared" si="39"/>
        <v>#N/A</v>
      </c>
      <c r="M43" s="181" t="str">
        <f t="shared" si="39"/>
        <v>#N/A</v>
      </c>
      <c r="N43" s="181" t="str">
        <f t="shared" si="39"/>
        <v>#N/A</v>
      </c>
      <c r="O43" s="181" t="str">
        <f t="shared" si="39"/>
        <v>#N/A</v>
      </c>
      <c r="P43" s="188" t="str">
        <f t="shared" si="31"/>
        <v>#N/A</v>
      </c>
    </row>
    <row r="44">
      <c r="A44" s="180" t="s">
        <v>158</v>
      </c>
      <c r="B44" s="181" t="str">
        <f t="shared" ref="B44:O44" si="40">SUMIFS('Minuta MTA 2025 GR3'!$AF:$AF,'Minuta MTA 2025 GR3'!$AH:$AH,B$1,'Minuta MTA 2025 GR3'!$I:$I,$A44,'Minuta MTA 2025 GR3'!$T:$T,"A",'Minuta MTA 2025 GR3'!$AC:$AC,"&lt;&gt;")+SUMIFS('Minuta MTA 2025 GR3'!$AF:$AF,'Minuta MTA 2025 GR3'!$AH:$AH,B$1,'Minuta MTA 2025 GR3'!$I:$I,$A44,'Minuta MTA 2025 GR3'!$T:$T,"B",'Minuta MTA 2025 GR3'!$AC:$AC,"&lt;&gt;")</f>
        <v>#N/A</v>
      </c>
      <c r="C44" s="181" t="str">
        <f t="shared" si="40"/>
        <v>#N/A</v>
      </c>
      <c r="D44" s="181" t="str">
        <f t="shared" si="40"/>
        <v>#N/A</v>
      </c>
      <c r="E44" s="181" t="str">
        <f t="shared" si="40"/>
        <v>#N/A</v>
      </c>
      <c r="F44" s="181" t="str">
        <f t="shared" si="40"/>
        <v>#N/A</v>
      </c>
      <c r="G44" s="181" t="str">
        <f t="shared" si="40"/>
        <v>#N/A</v>
      </c>
      <c r="H44" s="181" t="str">
        <f t="shared" si="40"/>
        <v>#N/A</v>
      </c>
      <c r="I44" s="181" t="str">
        <f t="shared" si="40"/>
        <v>#N/A</v>
      </c>
      <c r="J44" s="181" t="str">
        <f t="shared" si="40"/>
        <v>#N/A</v>
      </c>
      <c r="K44" s="181" t="str">
        <f t="shared" si="40"/>
        <v>#N/A</v>
      </c>
      <c r="L44" s="181" t="str">
        <f t="shared" si="40"/>
        <v>#N/A</v>
      </c>
      <c r="M44" s="181" t="str">
        <f t="shared" si="40"/>
        <v>#N/A</v>
      </c>
      <c r="N44" s="181" t="str">
        <f t="shared" si="40"/>
        <v>#N/A</v>
      </c>
      <c r="O44" s="181" t="str">
        <f t="shared" si="40"/>
        <v>#N/A</v>
      </c>
      <c r="P44" s="188" t="str">
        <f t="shared" si="31"/>
        <v>#N/A</v>
      </c>
    </row>
    <row r="45">
      <c r="A45" s="180" t="s">
        <v>99</v>
      </c>
      <c r="B45" s="181" t="str">
        <f t="shared" ref="B45:O45" si="41">SUMIFS('Minuta MTA 2025 GR3'!$AF:$AF,'Minuta MTA 2025 GR3'!$AH:$AH,B$1,'Minuta MTA 2025 GR3'!$I:$I,$A45,'Minuta MTA 2025 GR3'!$T:$T,"A",'Minuta MTA 2025 GR3'!$AC:$AC,"&lt;&gt;")+SUMIFS('Minuta MTA 2025 GR3'!$AF:$AF,'Minuta MTA 2025 GR3'!$AH:$AH,B$1,'Minuta MTA 2025 GR3'!$I:$I,$A45,'Minuta MTA 2025 GR3'!$T:$T,"B",'Minuta MTA 2025 GR3'!$AC:$AC,"&lt;&gt;")</f>
        <v>#N/A</v>
      </c>
      <c r="C45" s="181" t="str">
        <f t="shared" si="41"/>
        <v>#N/A</v>
      </c>
      <c r="D45" s="181" t="str">
        <f t="shared" si="41"/>
        <v>#N/A</v>
      </c>
      <c r="E45" s="181" t="str">
        <f t="shared" si="41"/>
        <v>#N/A</v>
      </c>
      <c r="F45" s="181" t="str">
        <f t="shared" si="41"/>
        <v>#N/A</v>
      </c>
      <c r="G45" s="181" t="str">
        <f t="shared" si="41"/>
        <v>#N/A</v>
      </c>
      <c r="H45" s="181" t="str">
        <f t="shared" si="41"/>
        <v>#N/A</v>
      </c>
      <c r="I45" s="181" t="str">
        <f t="shared" si="41"/>
        <v>#N/A</v>
      </c>
      <c r="J45" s="181" t="str">
        <f t="shared" si="41"/>
        <v>#N/A</v>
      </c>
      <c r="K45" s="181" t="str">
        <f t="shared" si="41"/>
        <v>#N/A</v>
      </c>
      <c r="L45" s="181" t="str">
        <f t="shared" si="41"/>
        <v>#N/A</v>
      </c>
      <c r="M45" s="181" t="str">
        <f t="shared" si="41"/>
        <v>#N/A</v>
      </c>
      <c r="N45" s="181" t="str">
        <f t="shared" si="41"/>
        <v>#N/A</v>
      </c>
      <c r="O45" s="181" t="str">
        <f t="shared" si="41"/>
        <v>#N/A</v>
      </c>
      <c r="P45" s="188" t="str">
        <f t="shared" si="31"/>
        <v>#N/A</v>
      </c>
    </row>
    <row r="46">
      <c r="A46" s="180" t="s">
        <v>50</v>
      </c>
      <c r="B46" s="181" t="str">
        <f t="shared" ref="B46:O46" si="42">SUMIFS('Minuta MTA 2025 GR3'!$AF:$AF,'Minuta MTA 2025 GR3'!$AH:$AH,B$1,'Minuta MTA 2025 GR3'!$I:$I,$A46,'Minuta MTA 2025 GR3'!$T:$T,"A",'Minuta MTA 2025 GR3'!$AC:$AC,"&lt;&gt;")+SUMIFS('Minuta MTA 2025 GR3'!$AF:$AF,'Minuta MTA 2025 GR3'!$AH:$AH,B$1,'Minuta MTA 2025 GR3'!$I:$I,$A46,'Minuta MTA 2025 GR3'!$T:$T,"B",'Minuta MTA 2025 GR3'!$AC:$AC,"&lt;&gt;")</f>
        <v>#N/A</v>
      </c>
      <c r="C46" s="181" t="str">
        <f t="shared" si="42"/>
        <v>#N/A</v>
      </c>
      <c r="D46" s="181" t="str">
        <f t="shared" si="42"/>
        <v>#N/A</v>
      </c>
      <c r="E46" s="181" t="str">
        <f t="shared" si="42"/>
        <v>#N/A</v>
      </c>
      <c r="F46" s="181" t="str">
        <f t="shared" si="42"/>
        <v>#N/A</v>
      </c>
      <c r="G46" s="181" t="str">
        <f t="shared" si="42"/>
        <v>#N/A</v>
      </c>
      <c r="H46" s="181" t="str">
        <f t="shared" si="42"/>
        <v>#N/A</v>
      </c>
      <c r="I46" s="181" t="str">
        <f t="shared" si="42"/>
        <v>#N/A</v>
      </c>
      <c r="J46" s="181" t="str">
        <f t="shared" si="42"/>
        <v>#N/A</v>
      </c>
      <c r="K46" s="181" t="str">
        <f t="shared" si="42"/>
        <v>#N/A</v>
      </c>
      <c r="L46" s="181" t="str">
        <f t="shared" si="42"/>
        <v>#N/A</v>
      </c>
      <c r="M46" s="181" t="str">
        <f t="shared" si="42"/>
        <v>#N/A</v>
      </c>
      <c r="N46" s="181" t="str">
        <f t="shared" si="42"/>
        <v>#N/A</v>
      </c>
      <c r="O46" s="181" t="str">
        <f t="shared" si="42"/>
        <v>#N/A</v>
      </c>
      <c r="P46" s="188" t="str">
        <f t="shared" si="31"/>
        <v>#N/A</v>
      </c>
    </row>
    <row r="47">
      <c r="A47" s="179" t="s">
        <v>95</v>
      </c>
      <c r="B47" s="188" t="str">
        <f t="shared" ref="B47:O47" si="43">SUM(B34:B46)</f>
        <v>#N/A</v>
      </c>
      <c r="C47" s="188" t="str">
        <f t="shared" si="43"/>
        <v>#N/A</v>
      </c>
      <c r="D47" s="188" t="str">
        <f t="shared" si="43"/>
        <v>#N/A</v>
      </c>
      <c r="E47" s="188" t="str">
        <f t="shared" si="43"/>
        <v>#N/A</v>
      </c>
      <c r="F47" s="188" t="str">
        <f t="shared" si="43"/>
        <v>#N/A</v>
      </c>
      <c r="G47" s="188" t="str">
        <f t="shared" si="43"/>
        <v>#N/A</v>
      </c>
      <c r="H47" s="188" t="str">
        <f t="shared" si="43"/>
        <v>#N/A</v>
      </c>
      <c r="I47" s="188" t="str">
        <f t="shared" si="43"/>
        <v>#N/A</v>
      </c>
      <c r="J47" s="188" t="str">
        <f t="shared" si="43"/>
        <v>#N/A</v>
      </c>
      <c r="K47" s="188" t="str">
        <f t="shared" si="43"/>
        <v>#N/A</v>
      </c>
      <c r="L47" s="188" t="str">
        <f t="shared" si="43"/>
        <v>#N/A</v>
      </c>
      <c r="M47" s="188" t="str">
        <f t="shared" si="43"/>
        <v>#N/A</v>
      </c>
      <c r="N47" s="188" t="str">
        <f t="shared" si="43"/>
        <v>#N/A</v>
      </c>
      <c r="O47" s="188" t="str">
        <f t="shared" si="43"/>
        <v>#N/A</v>
      </c>
      <c r="P47" s="188"/>
    </row>
    <row r="48">
      <c r="P48" s="120"/>
    </row>
    <row r="49">
      <c r="P49" s="120"/>
    </row>
    <row r="50">
      <c r="P50" s="120"/>
    </row>
    <row r="51">
      <c r="P51" s="120"/>
    </row>
    <row r="52">
      <c r="P52" s="120"/>
    </row>
    <row r="53">
      <c r="P53" s="120"/>
    </row>
    <row r="54">
      <c r="P54" s="120"/>
    </row>
    <row r="55">
      <c r="P55" s="120"/>
    </row>
    <row r="56">
      <c r="P56" s="120"/>
    </row>
    <row r="57">
      <c r="P57" s="120"/>
    </row>
    <row r="58">
      <c r="P58" s="120"/>
    </row>
    <row r="59">
      <c r="P59" s="120"/>
    </row>
    <row r="60">
      <c r="P60" s="120"/>
    </row>
    <row r="61">
      <c r="P61" s="120"/>
    </row>
    <row r="62">
      <c r="P62" s="120"/>
    </row>
    <row r="63">
      <c r="P63" s="120"/>
    </row>
    <row r="64">
      <c r="P64" s="120"/>
    </row>
    <row r="65">
      <c r="P65" s="120"/>
    </row>
    <row r="66">
      <c r="P66" s="120"/>
    </row>
    <row r="67">
      <c r="P67" s="120"/>
    </row>
    <row r="68">
      <c r="P68" s="120"/>
    </row>
    <row r="69">
      <c r="P69" s="120"/>
    </row>
    <row r="70">
      <c r="P70" s="120"/>
    </row>
    <row r="71">
      <c r="P71" s="120"/>
    </row>
    <row r="72">
      <c r="P72" s="120"/>
    </row>
    <row r="73">
      <c r="P73" s="120"/>
    </row>
    <row r="74">
      <c r="P74" s="120"/>
    </row>
    <row r="75">
      <c r="P75" s="120"/>
    </row>
    <row r="76">
      <c r="P76" s="120"/>
    </row>
    <row r="77">
      <c r="P77" s="120"/>
    </row>
    <row r="78">
      <c r="P78" s="120"/>
    </row>
    <row r="79">
      <c r="P79" s="120"/>
    </row>
    <row r="80">
      <c r="P80" s="120"/>
    </row>
    <row r="81">
      <c r="P81" s="120"/>
    </row>
    <row r="82">
      <c r="P82" s="120"/>
    </row>
    <row r="83">
      <c r="P83" s="120"/>
    </row>
    <row r="84">
      <c r="P84" s="120"/>
    </row>
    <row r="85">
      <c r="P85" s="120"/>
    </row>
    <row r="86">
      <c r="P86" s="120"/>
    </row>
    <row r="87">
      <c r="P87" s="120"/>
    </row>
    <row r="88">
      <c r="P88" s="120"/>
    </row>
    <row r="89">
      <c r="P89" s="120"/>
    </row>
    <row r="90">
      <c r="P90" s="120"/>
    </row>
    <row r="91">
      <c r="P91" s="120"/>
    </row>
    <row r="92">
      <c r="P92" s="120"/>
    </row>
    <row r="93">
      <c r="P93" s="120"/>
    </row>
    <row r="94">
      <c r="P94" s="120"/>
    </row>
    <row r="95">
      <c r="P95" s="120"/>
    </row>
    <row r="96">
      <c r="P96" s="120"/>
    </row>
    <row r="97">
      <c r="P97" s="120"/>
    </row>
    <row r="98">
      <c r="P98" s="120"/>
    </row>
    <row r="99">
      <c r="P99" s="120"/>
    </row>
    <row r="100">
      <c r="P100" s="120"/>
    </row>
    <row r="101">
      <c r="P101" s="120"/>
    </row>
    <row r="102">
      <c r="P102" s="120"/>
    </row>
    <row r="103">
      <c r="P103" s="120"/>
    </row>
    <row r="104">
      <c r="P104" s="120"/>
    </row>
    <row r="105">
      <c r="P105" s="120"/>
    </row>
    <row r="106">
      <c r="P106" s="120"/>
    </row>
    <row r="107">
      <c r="P107" s="120"/>
    </row>
    <row r="108">
      <c r="P108" s="120"/>
    </row>
    <row r="109">
      <c r="P109" s="120"/>
    </row>
    <row r="110">
      <c r="P110" s="120"/>
    </row>
    <row r="111">
      <c r="P111" s="120"/>
    </row>
    <row r="112">
      <c r="P112" s="120"/>
    </row>
    <row r="113">
      <c r="P113" s="120"/>
    </row>
    <row r="114">
      <c r="P114" s="120"/>
    </row>
    <row r="115">
      <c r="P115" s="120"/>
    </row>
    <row r="116">
      <c r="P116" s="120"/>
    </row>
    <row r="117">
      <c r="P117" s="120"/>
    </row>
    <row r="118">
      <c r="P118" s="120"/>
    </row>
    <row r="119">
      <c r="P119" s="120"/>
    </row>
    <row r="120">
      <c r="P120" s="120"/>
    </row>
    <row r="121">
      <c r="P121" s="120"/>
    </row>
    <row r="122">
      <c r="P122" s="120"/>
    </row>
    <row r="123">
      <c r="P123" s="120"/>
    </row>
    <row r="124">
      <c r="P124" s="120"/>
    </row>
    <row r="125">
      <c r="P125" s="120"/>
    </row>
    <row r="126">
      <c r="P126" s="120"/>
    </row>
    <row r="127">
      <c r="P127" s="120"/>
    </row>
    <row r="128">
      <c r="P128" s="120"/>
    </row>
    <row r="129">
      <c r="P129" s="120"/>
    </row>
    <row r="130">
      <c r="P130" s="120"/>
    </row>
    <row r="131">
      <c r="P131" s="120"/>
    </row>
    <row r="132">
      <c r="P132" s="120"/>
    </row>
    <row r="133">
      <c r="P133" s="120"/>
    </row>
    <row r="134">
      <c r="P134" s="120"/>
    </row>
    <row r="135">
      <c r="P135" s="120"/>
    </row>
    <row r="136">
      <c r="P136" s="120"/>
    </row>
    <row r="137">
      <c r="P137" s="120"/>
    </row>
    <row r="138">
      <c r="P138" s="120"/>
    </row>
    <row r="139">
      <c r="P139" s="120"/>
    </row>
    <row r="140">
      <c r="P140" s="120"/>
    </row>
    <row r="141">
      <c r="P141" s="120"/>
    </row>
    <row r="142">
      <c r="P142" s="120"/>
    </row>
    <row r="143">
      <c r="P143" s="120"/>
    </row>
    <row r="144">
      <c r="P144" s="120"/>
    </row>
    <row r="145">
      <c r="P145" s="120"/>
    </row>
    <row r="146">
      <c r="P146" s="120"/>
    </row>
    <row r="147">
      <c r="P147" s="120"/>
    </row>
    <row r="148">
      <c r="P148" s="120"/>
    </row>
    <row r="149">
      <c r="P149" s="120"/>
    </row>
    <row r="150">
      <c r="P150" s="120"/>
    </row>
    <row r="151">
      <c r="P151" s="120"/>
    </row>
    <row r="152">
      <c r="P152" s="120"/>
    </row>
    <row r="153">
      <c r="P153" s="120"/>
    </row>
    <row r="154">
      <c r="P154" s="120"/>
    </row>
    <row r="155">
      <c r="P155" s="120"/>
    </row>
    <row r="156">
      <c r="P156" s="120"/>
    </row>
    <row r="157">
      <c r="P157" s="120"/>
    </row>
    <row r="158">
      <c r="P158" s="120"/>
    </row>
    <row r="159">
      <c r="P159" s="120"/>
    </row>
    <row r="160">
      <c r="P160" s="120"/>
    </row>
    <row r="161">
      <c r="P161" s="120"/>
    </row>
    <row r="162">
      <c r="P162" s="120"/>
    </row>
    <row r="163">
      <c r="P163" s="120"/>
    </row>
    <row r="164">
      <c r="P164" s="120"/>
    </row>
    <row r="165">
      <c r="P165" s="120"/>
    </row>
    <row r="166">
      <c r="P166" s="120"/>
    </row>
    <row r="167">
      <c r="P167" s="120"/>
    </row>
    <row r="168">
      <c r="P168" s="120"/>
    </row>
    <row r="169">
      <c r="P169" s="120"/>
    </row>
    <row r="170">
      <c r="P170" s="120"/>
    </row>
    <row r="171">
      <c r="P171" s="120"/>
    </row>
    <row r="172">
      <c r="P172" s="120"/>
    </row>
    <row r="173">
      <c r="P173" s="120"/>
    </row>
    <row r="174">
      <c r="P174" s="120"/>
    </row>
    <row r="175">
      <c r="P175" s="120"/>
    </row>
    <row r="176">
      <c r="P176" s="120"/>
    </row>
    <row r="177">
      <c r="P177" s="120"/>
    </row>
    <row r="178">
      <c r="P178" s="120"/>
    </row>
    <row r="179">
      <c r="P179" s="120"/>
    </row>
    <row r="180">
      <c r="P180" s="120"/>
    </row>
    <row r="181">
      <c r="P181" s="120"/>
    </row>
    <row r="182">
      <c r="P182" s="120"/>
    </row>
    <row r="183">
      <c r="P183" s="120"/>
    </row>
    <row r="184">
      <c r="P184" s="120"/>
    </row>
    <row r="185">
      <c r="P185" s="120"/>
    </row>
    <row r="186">
      <c r="P186" s="120"/>
    </row>
    <row r="187">
      <c r="P187" s="120"/>
    </row>
    <row r="188">
      <c r="P188" s="120"/>
    </row>
    <row r="189">
      <c r="P189" s="120"/>
    </row>
    <row r="190">
      <c r="P190" s="120"/>
    </row>
    <row r="191">
      <c r="P191" s="120"/>
    </row>
    <row r="192">
      <c r="P192" s="120"/>
    </row>
    <row r="193">
      <c r="P193" s="120"/>
    </row>
    <row r="194">
      <c r="P194" s="120"/>
    </row>
    <row r="195">
      <c r="P195" s="120"/>
    </row>
    <row r="196">
      <c r="P196" s="120"/>
    </row>
    <row r="197">
      <c r="P197" s="120"/>
    </row>
    <row r="198">
      <c r="P198" s="120"/>
    </row>
    <row r="199">
      <c r="P199" s="120"/>
    </row>
    <row r="200">
      <c r="P200" s="120"/>
    </row>
    <row r="201">
      <c r="P201" s="120"/>
    </row>
    <row r="202">
      <c r="P202" s="120"/>
    </row>
    <row r="203">
      <c r="P203" s="120"/>
    </row>
    <row r="204">
      <c r="P204" s="120"/>
    </row>
    <row r="205">
      <c r="P205" s="120"/>
    </row>
    <row r="206">
      <c r="P206" s="120"/>
    </row>
    <row r="207">
      <c r="P207" s="120"/>
    </row>
    <row r="208">
      <c r="P208" s="120"/>
    </row>
    <row r="209">
      <c r="P209" s="120"/>
    </row>
    <row r="210">
      <c r="P210" s="120"/>
    </row>
    <row r="211">
      <c r="P211" s="120"/>
    </row>
    <row r="212">
      <c r="P212" s="120"/>
    </row>
    <row r="213">
      <c r="P213" s="120"/>
    </row>
    <row r="214">
      <c r="P214" s="120"/>
    </row>
    <row r="215">
      <c r="P215" s="120"/>
    </row>
    <row r="216">
      <c r="P216" s="120"/>
    </row>
    <row r="217">
      <c r="P217" s="120"/>
    </row>
    <row r="218">
      <c r="P218" s="120"/>
    </row>
    <row r="219">
      <c r="P219" s="120"/>
    </row>
    <row r="220">
      <c r="P220" s="120"/>
    </row>
    <row r="221">
      <c r="P221" s="120"/>
    </row>
    <row r="222">
      <c r="P222" s="120"/>
    </row>
    <row r="223">
      <c r="P223" s="120"/>
    </row>
    <row r="224">
      <c r="P224" s="120"/>
    </row>
    <row r="225">
      <c r="P225" s="120"/>
    </row>
    <row r="226">
      <c r="P226" s="120"/>
    </row>
    <row r="227">
      <c r="P227" s="120"/>
    </row>
    <row r="228">
      <c r="P228" s="120"/>
    </row>
    <row r="229">
      <c r="P229" s="120"/>
    </row>
    <row r="230">
      <c r="P230" s="120"/>
    </row>
    <row r="231">
      <c r="P231" s="120"/>
    </row>
    <row r="232">
      <c r="P232" s="120"/>
    </row>
    <row r="233">
      <c r="P233" s="120"/>
    </row>
    <row r="234">
      <c r="P234" s="120"/>
    </row>
    <row r="235">
      <c r="P235" s="120"/>
    </row>
    <row r="236">
      <c r="P236" s="120"/>
    </row>
    <row r="237">
      <c r="P237" s="120"/>
    </row>
    <row r="238">
      <c r="P238" s="120"/>
    </row>
    <row r="239">
      <c r="P239" s="120"/>
    </row>
    <row r="240">
      <c r="P240" s="120"/>
    </row>
    <row r="241">
      <c r="P241" s="120"/>
    </row>
    <row r="242">
      <c r="P242" s="120"/>
    </row>
    <row r="243">
      <c r="P243" s="120"/>
    </row>
    <row r="244">
      <c r="P244" s="120"/>
    </row>
    <row r="245">
      <c r="P245" s="120"/>
    </row>
    <row r="246">
      <c r="P246" s="120"/>
    </row>
    <row r="247">
      <c r="P247" s="120"/>
    </row>
    <row r="248">
      <c r="P248" s="120"/>
    </row>
    <row r="249">
      <c r="P249" s="120"/>
    </row>
    <row r="250">
      <c r="P250" s="120"/>
    </row>
    <row r="251">
      <c r="P251" s="120"/>
    </row>
    <row r="252">
      <c r="P252" s="120"/>
    </row>
    <row r="253">
      <c r="P253" s="120"/>
    </row>
    <row r="254">
      <c r="P254" s="120"/>
    </row>
    <row r="255">
      <c r="P255" s="120"/>
    </row>
    <row r="256">
      <c r="P256" s="120"/>
    </row>
    <row r="257">
      <c r="P257" s="120"/>
    </row>
    <row r="258">
      <c r="P258" s="120"/>
    </row>
    <row r="259">
      <c r="P259" s="120"/>
    </row>
    <row r="260">
      <c r="P260" s="120"/>
    </row>
    <row r="261">
      <c r="P261" s="120"/>
    </row>
    <row r="262">
      <c r="P262" s="120"/>
    </row>
    <row r="263">
      <c r="P263" s="120"/>
    </row>
    <row r="264">
      <c r="P264" s="120"/>
    </row>
    <row r="265">
      <c r="P265" s="120"/>
    </row>
    <row r="266">
      <c r="P266" s="120"/>
    </row>
    <row r="267">
      <c r="P267" s="120"/>
    </row>
    <row r="268">
      <c r="P268" s="120"/>
    </row>
    <row r="269">
      <c r="P269" s="120"/>
    </row>
    <row r="270">
      <c r="P270" s="120"/>
    </row>
    <row r="271">
      <c r="P271" s="120"/>
    </row>
    <row r="272">
      <c r="P272" s="120"/>
    </row>
    <row r="273">
      <c r="P273" s="120"/>
    </row>
    <row r="274">
      <c r="P274" s="120"/>
    </row>
    <row r="275">
      <c r="P275" s="120"/>
    </row>
    <row r="276">
      <c r="P276" s="120"/>
    </row>
    <row r="277">
      <c r="P277" s="120"/>
    </row>
    <row r="278">
      <c r="P278" s="120"/>
    </row>
    <row r="279">
      <c r="P279" s="120"/>
    </row>
    <row r="280">
      <c r="P280" s="120"/>
    </row>
    <row r="281">
      <c r="P281" s="120"/>
    </row>
    <row r="282">
      <c r="P282" s="120"/>
    </row>
    <row r="283">
      <c r="P283" s="120"/>
    </row>
    <row r="284">
      <c r="P284" s="120"/>
    </row>
    <row r="285">
      <c r="P285" s="120"/>
    </row>
    <row r="286">
      <c r="P286" s="120"/>
    </row>
    <row r="287">
      <c r="P287" s="120"/>
    </row>
    <row r="288">
      <c r="P288" s="120"/>
    </row>
    <row r="289">
      <c r="P289" s="120"/>
    </row>
    <row r="290">
      <c r="P290" s="120"/>
    </row>
    <row r="291">
      <c r="P291" s="120"/>
    </row>
    <row r="292">
      <c r="P292" s="120"/>
    </row>
    <row r="293">
      <c r="P293" s="120"/>
    </row>
    <row r="294">
      <c r="P294" s="120"/>
    </row>
    <row r="295">
      <c r="P295" s="120"/>
    </row>
    <row r="296">
      <c r="P296" s="120"/>
    </row>
    <row r="297">
      <c r="P297" s="120"/>
    </row>
    <row r="298">
      <c r="P298" s="120"/>
    </row>
    <row r="299">
      <c r="P299" s="120"/>
    </row>
    <row r="300">
      <c r="P300" s="120"/>
    </row>
    <row r="301">
      <c r="P301" s="120"/>
    </row>
    <row r="302">
      <c r="P302" s="120"/>
    </row>
    <row r="303">
      <c r="P303" s="120"/>
    </row>
    <row r="304">
      <c r="P304" s="120"/>
    </row>
    <row r="305">
      <c r="P305" s="120"/>
    </row>
    <row r="306">
      <c r="P306" s="120"/>
    </row>
    <row r="307">
      <c r="P307" s="120"/>
    </row>
    <row r="308">
      <c r="P308" s="120"/>
    </row>
    <row r="309">
      <c r="P309" s="120"/>
    </row>
    <row r="310">
      <c r="P310" s="120"/>
    </row>
    <row r="311">
      <c r="P311" s="120"/>
    </row>
    <row r="312">
      <c r="P312" s="120"/>
    </row>
    <row r="313">
      <c r="P313" s="120"/>
    </row>
    <row r="314">
      <c r="P314" s="120"/>
    </row>
    <row r="315">
      <c r="P315" s="120"/>
    </row>
    <row r="316">
      <c r="P316" s="120"/>
    </row>
    <row r="317">
      <c r="P317" s="120"/>
    </row>
    <row r="318">
      <c r="P318" s="120"/>
    </row>
    <row r="319">
      <c r="P319" s="120"/>
    </row>
    <row r="320">
      <c r="P320" s="120"/>
    </row>
    <row r="321">
      <c r="P321" s="120"/>
    </row>
    <row r="322">
      <c r="P322" s="120"/>
    </row>
    <row r="323">
      <c r="P323" s="120"/>
    </row>
    <row r="324">
      <c r="P324" s="120"/>
    </row>
    <row r="325">
      <c r="P325" s="120"/>
    </row>
    <row r="326">
      <c r="P326" s="120"/>
    </row>
    <row r="327">
      <c r="P327" s="120"/>
    </row>
    <row r="328">
      <c r="P328" s="120"/>
    </row>
    <row r="329">
      <c r="P329" s="120"/>
    </row>
    <row r="330">
      <c r="P330" s="120"/>
    </row>
    <row r="331">
      <c r="P331" s="120"/>
    </row>
    <row r="332">
      <c r="P332" s="120"/>
    </row>
    <row r="333">
      <c r="P333" s="120"/>
    </row>
    <row r="334">
      <c r="P334" s="120"/>
    </row>
    <row r="335">
      <c r="P335" s="120"/>
    </row>
    <row r="336">
      <c r="P336" s="120"/>
    </row>
    <row r="337">
      <c r="P337" s="120"/>
    </row>
    <row r="338">
      <c r="P338" s="120"/>
    </row>
    <row r="339">
      <c r="P339" s="120"/>
    </row>
    <row r="340">
      <c r="P340" s="120"/>
    </row>
    <row r="341">
      <c r="P341" s="120"/>
    </row>
    <row r="342">
      <c r="P342" s="120"/>
    </row>
    <row r="343">
      <c r="P343" s="120"/>
    </row>
    <row r="344">
      <c r="P344" s="120"/>
    </row>
    <row r="345">
      <c r="P345" s="120"/>
    </row>
    <row r="346">
      <c r="P346" s="120"/>
    </row>
    <row r="347">
      <c r="P347" s="120"/>
    </row>
    <row r="348">
      <c r="P348" s="120"/>
    </row>
    <row r="349">
      <c r="P349" s="120"/>
    </row>
    <row r="350">
      <c r="P350" s="120"/>
    </row>
    <row r="351">
      <c r="P351" s="120"/>
    </row>
    <row r="352">
      <c r="P352" s="120"/>
    </row>
    <row r="353">
      <c r="P353" s="120"/>
    </row>
    <row r="354">
      <c r="P354" s="120"/>
    </row>
    <row r="355">
      <c r="P355" s="120"/>
    </row>
    <row r="356">
      <c r="P356" s="120"/>
    </row>
    <row r="357">
      <c r="P357" s="120"/>
    </row>
    <row r="358">
      <c r="P358" s="120"/>
    </row>
    <row r="359">
      <c r="P359" s="120"/>
    </row>
    <row r="360">
      <c r="P360" s="120"/>
    </row>
    <row r="361">
      <c r="P361" s="120"/>
    </row>
    <row r="362">
      <c r="P362" s="120"/>
    </row>
    <row r="363">
      <c r="P363" s="120"/>
    </row>
    <row r="364">
      <c r="P364" s="120"/>
    </row>
    <row r="365">
      <c r="P365" s="120"/>
    </row>
    <row r="366">
      <c r="P366" s="120"/>
    </row>
    <row r="367">
      <c r="P367" s="120"/>
    </row>
    <row r="368">
      <c r="P368" s="120"/>
    </row>
    <row r="369">
      <c r="P369" s="120"/>
    </row>
    <row r="370">
      <c r="P370" s="120"/>
    </row>
    <row r="371">
      <c r="P371" s="120"/>
    </row>
    <row r="372">
      <c r="P372" s="120"/>
    </row>
    <row r="373">
      <c r="P373" s="120"/>
    </row>
    <row r="374">
      <c r="P374" s="120"/>
    </row>
    <row r="375">
      <c r="P375" s="120"/>
    </row>
    <row r="376">
      <c r="P376" s="120"/>
    </row>
    <row r="377">
      <c r="P377" s="120"/>
    </row>
    <row r="378">
      <c r="P378" s="120"/>
    </row>
    <row r="379">
      <c r="P379" s="120"/>
    </row>
    <row r="380">
      <c r="P380" s="120"/>
    </row>
    <row r="381">
      <c r="P381" s="120"/>
    </row>
    <row r="382">
      <c r="P382" s="120"/>
    </row>
    <row r="383">
      <c r="P383" s="120"/>
    </row>
    <row r="384">
      <c r="P384" s="120"/>
    </row>
    <row r="385">
      <c r="P385" s="120"/>
    </row>
    <row r="386">
      <c r="P386" s="120"/>
    </row>
    <row r="387">
      <c r="P387" s="120"/>
    </row>
    <row r="388">
      <c r="P388" s="120"/>
    </row>
    <row r="389">
      <c r="P389" s="120"/>
    </row>
    <row r="390">
      <c r="P390" s="120"/>
    </row>
    <row r="391">
      <c r="P391" s="120"/>
    </row>
    <row r="392">
      <c r="P392" s="120"/>
    </row>
    <row r="393">
      <c r="P393" s="120"/>
    </row>
    <row r="394">
      <c r="P394" s="120"/>
    </row>
    <row r="395">
      <c r="P395" s="120"/>
    </row>
    <row r="396">
      <c r="P396" s="120"/>
    </row>
    <row r="397">
      <c r="P397" s="120"/>
    </row>
    <row r="398">
      <c r="P398" s="120"/>
    </row>
    <row r="399">
      <c r="P399" s="120"/>
    </row>
    <row r="400">
      <c r="P400" s="120"/>
    </row>
    <row r="401">
      <c r="P401" s="120"/>
    </row>
    <row r="402">
      <c r="P402" s="120"/>
    </row>
    <row r="403">
      <c r="P403" s="120"/>
    </row>
    <row r="404">
      <c r="P404" s="120"/>
    </row>
    <row r="405">
      <c r="P405" s="120"/>
    </row>
    <row r="406">
      <c r="P406" s="120"/>
    </row>
    <row r="407">
      <c r="P407" s="120"/>
    </row>
    <row r="408">
      <c r="P408" s="120"/>
    </row>
    <row r="409">
      <c r="P409" s="120"/>
    </row>
    <row r="410">
      <c r="P410" s="120"/>
    </row>
    <row r="411">
      <c r="P411" s="120"/>
    </row>
    <row r="412">
      <c r="P412" s="120"/>
    </row>
    <row r="413">
      <c r="P413" s="120"/>
    </row>
    <row r="414">
      <c r="P414" s="120"/>
    </row>
    <row r="415">
      <c r="P415" s="120"/>
    </row>
    <row r="416">
      <c r="P416" s="120"/>
    </row>
    <row r="417">
      <c r="P417" s="120"/>
    </row>
    <row r="418">
      <c r="P418" s="120"/>
    </row>
    <row r="419">
      <c r="P419" s="120"/>
    </row>
    <row r="420">
      <c r="P420" s="120"/>
    </row>
    <row r="421">
      <c r="P421" s="120"/>
    </row>
    <row r="422">
      <c r="P422" s="120"/>
    </row>
    <row r="423">
      <c r="P423" s="120"/>
    </row>
    <row r="424">
      <c r="P424" s="120"/>
    </row>
    <row r="425">
      <c r="P425" s="120"/>
    </row>
    <row r="426">
      <c r="P426" s="120"/>
    </row>
    <row r="427">
      <c r="P427" s="120"/>
    </row>
    <row r="428">
      <c r="P428" s="120"/>
    </row>
    <row r="429">
      <c r="P429" s="120"/>
    </row>
    <row r="430">
      <c r="P430" s="120"/>
    </row>
    <row r="431">
      <c r="P431" s="120"/>
    </row>
    <row r="432">
      <c r="P432" s="120"/>
    </row>
    <row r="433">
      <c r="P433" s="120"/>
    </row>
    <row r="434">
      <c r="P434" s="120"/>
    </row>
    <row r="435">
      <c r="P435" s="120"/>
    </row>
    <row r="436">
      <c r="P436" s="120"/>
    </row>
    <row r="437">
      <c r="P437" s="120"/>
    </row>
    <row r="438">
      <c r="P438" s="120"/>
    </row>
    <row r="439">
      <c r="P439" s="120"/>
    </row>
    <row r="440">
      <c r="P440" s="120"/>
    </row>
    <row r="441">
      <c r="P441" s="120"/>
    </row>
    <row r="442">
      <c r="P442" s="120"/>
    </row>
    <row r="443">
      <c r="P443" s="120"/>
    </row>
    <row r="444">
      <c r="P444" s="120"/>
    </row>
    <row r="445">
      <c r="P445" s="120"/>
    </row>
    <row r="446">
      <c r="P446" s="120"/>
    </row>
    <row r="447">
      <c r="P447" s="120"/>
    </row>
    <row r="448">
      <c r="P448" s="120"/>
    </row>
    <row r="449">
      <c r="P449" s="120"/>
    </row>
    <row r="450">
      <c r="P450" s="120"/>
    </row>
    <row r="451">
      <c r="P451" s="120"/>
    </row>
    <row r="452">
      <c r="P452" s="120"/>
    </row>
    <row r="453">
      <c r="P453" s="120"/>
    </row>
    <row r="454">
      <c r="P454" s="120"/>
    </row>
    <row r="455">
      <c r="P455" s="120"/>
    </row>
    <row r="456">
      <c r="P456" s="120"/>
    </row>
    <row r="457">
      <c r="P457" s="120"/>
    </row>
    <row r="458">
      <c r="P458" s="120"/>
    </row>
    <row r="459">
      <c r="P459" s="120"/>
    </row>
    <row r="460">
      <c r="P460" s="120"/>
    </row>
    <row r="461">
      <c r="P461" s="120"/>
    </row>
    <row r="462">
      <c r="P462" s="120"/>
    </row>
    <row r="463">
      <c r="P463" s="120"/>
    </row>
    <row r="464">
      <c r="P464" s="120"/>
    </row>
    <row r="465">
      <c r="P465" s="120"/>
    </row>
    <row r="466">
      <c r="P466" s="120"/>
    </row>
    <row r="467">
      <c r="P467" s="120"/>
    </row>
    <row r="468">
      <c r="P468" s="120"/>
    </row>
    <row r="469">
      <c r="P469" s="120"/>
    </row>
    <row r="470">
      <c r="P470" s="120"/>
    </row>
    <row r="471">
      <c r="P471" s="120"/>
    </row>
    <row r="472">
      <c r="P472" s="120"/>
    </row>
    <row r="473">
      <c r="P473" s="120"/>
    </row>
    <row r="474">
      <c r="P474" s="120"/>
    </row>
    <row r="475">
      <c r="P475" s="120"/>
    </row>
    <row r="476">
      <c r="P476" s="120"/>
    </row>
    <row r="477">
      <c r="P477" s="120"/>
    </row>
    <row r="478">
      <c r="P478" s="120"/>
    </row>
    <row r="479">
      <c r="P479" s="120"/>
    </row>
    <row r="480">
      <c r="P480" s="120"/>
    </row>
    <row r="481">
      <c r="P481" s="120"/>
    </row>
    <row r="482">
      <c r="P482" s="120"/>
    </row>
    <row r="483">
      <c r="P483" s="120"/>
    </row>
    <row r="484">
      <c r="P484" s="120"/>
    </row>
    <row r="485">
      <c r="P485" s="120"/>
    </row>
    <row r="486">
      <c r="P486" s="120"/>
    </row>
    <row r="487">
      <c r="P487" s="120"/>
    </row>
    <row r="488">
      <c r="P488" s="120"/>
    </row>
    <row r="489">
      <c r="P489" s="120"/>
    </row>
    <row r="490">
      <c r="P490" s="120"/>
    </row>
    <row r="491">
      <c r="P491" s="120"/>
    </row>
    <row r="492">
      <c r="P492" s="120"/>
    </row>
    <row r="493">
      <c r="P493" s="120"/>
    </row>
    <row r="494">
      <c r="P494" s="120"/>
    </row>
    <row r="495">
      <c r="P495" s="120"/>
    </row>
    <row r="496">
      <c r="P496" s="120"/>
    </row>
    <row r="497">
      <c r="P497" s="120"/>
    </row>
    <row r="498">
      <c r="P498" s="120"/>
    </row>
    <row r="499">
      <c r="P499" s="120"/>
    </row>
    <row r="500">
      <c r="P500" s="120"/>
    </row>
    <row r="501">
      <c r="P501" s="120"/>
    </row>
    <row r="502">
      <c r="P502" s="120"/>
    </row>
    <row r="503">
      <c r="P503" s="120"/>
    </row>
    <row r="504">
      <c r="P504" s="120"/>
    </row>
    <row r="505">
      <c r="P505" s="120"/>
    </row>
    <row r="506">
      <c r="P506" s="120"/>
    </row>
    <row r="507">
      <c r="P507" s="120"/>
    </row>
    <row r="508">
      <c r="P508" s="120"/>
    </row>
    <row r="509">
      <c r="P509" s="120"/>
    </row>
    <row r="510">
      <c r="P510" s="120"/>
    </row>
    <row r="511">
      <c r="P511" s="120"/>
    </row>
    <row r="512">
      <c r="P512" s="120"/>
    </row>
    <row r="513">
      <c r="P513" s="120"/>
    </row>
    <row r="514">
      <c r="P514" s="120"/>
    </row>
    <row r="515">
      <c r="P515" s="120"/>
    </row>
    <row r="516">
      <c r="P516" s="120"/>
    </row>
    <row r="517">
      <c r="P517" s="120"/>
    </row>
    <row r="518">
      <c r="P518" s="120"/>
    </row>
    <row r="519">
      <c r="P519" s="120"/>
    </row>
    <row r="520">
      <c r="P520" s="120"/>
    </row>
    <row r="521">
      <c r="P521" s="120"/>
    </row>
    <row r="522">
      <c r="P522" s="120"/>
    </row>
    <row r="523">
      <c r="P523" s="120"/>
    </row>
    <row r="524">
      <c r="P524" s="120"/>
    </row>
    <row r="525">
      <c r="P525" s="120"/>
    </row>
    <row r="526">
      <c r="P526" s="120"/>
    </row>
    <row r="527">
      <c r="P527" s="120"/>
    </row>
    <row r="528">
      <c r="P528" s="120"/>
    </row>
    <row r="529">
      <c r="P529" s="120"/>
    </row>
    <row r="530">
      <c r="P530" s="120"/>
    </row>
    <row r="531">
      <c r="P531" s="120"/>
    </row>
    <row r="532">
      <c r="P532" s="120"/>
    </row>
    <row r="533">
      <c r="P533" s="120"/>
    </row>
    <row r="534">
      <c r="P534" s="120"/>
    </row>
    <row r="535">
      <c r="P535" s="120"/>
    </row>
    <row r="536">
      <c r="P536" s="120"/>
    </row>
    <row r="537">
      <c r="P537" s="120"/>
    </row>
    <row r="538">
      <c r="P538" s="120"/>
    </row>
    <row r="539">
      <c r="P539" s="120"/>
    </row>
    <row r="540">
      <c r="P540" s="120"/>
    </row>
    <row r="541">
      <c r="P541" s="120"/>
    </row>
    <row r="542">
      <c r="P542" s="120"/>
    </row>
    <row r="543">
      <c r="P543" s="120"/>
    </row>
    <row r="544">
      <c r="P544" s="120"/>
    </row>
    <row r="545">
      <c r="P545" s="120"/>
    </row>
    <row r="546">
      <c r="P546" s="120"/>
    </row>
    <row r="547">
      <c r="P547" s="120"/>
    </row>
    <row r="548">
      <c r="P548" s="120"/>
    </row>
    <row r="549">
      <c r="P549" s="120"/>
    </row>
    <row r="550">
      <c r="P550" s="120"/>
    </row>
    <row r="551">
      <c r="P551" s="120"/>
    </row>
    <row r="552">
      <c r="P552" s="120"/>
    </row>
    <row r="553">
      <c r="P553" s="120"/>
    </row>
    <row r="554">
      <c r="P554" s="120"/>
    </row>
    <row r="555">
      <c r="P555" s="120"/>
    </row>
    <row r="556">
      <c r="P556" s="120"/>
    </row>
    <row r="557">
      <c r="P557" s="120"/>
    </row>
    <row r="558">
      <c r="P558" s="120"/>
    </row>
    <row r="559">
      <c r="P559" s="120"/>
    </row>
    <row r="560">
      <c r="P560" s="120"/>
    </row>
    <row r="561">
      <c r="P561" s="120"/>
    </row>
    <row r="562">
      <c r="P562" s="120"/>
    </row>
    <row r="563">
      <c r="P563" s="120"/>
    </row>
    <row r="564">
      <c r="P564" s="120"/>
    </row>
    <row r="565">
      <c r="P565" s="120"/>
    </row>
    <row r="566">
      <c r="P566" s="120"/>
    </row>
    <row r="567">
      <c r="P567" s="120"/>
    </row>
    <row r="568">
      <c r="P568" s="120"/>
    </row>
    <row r="569">
      <c r="P569" s="120"/>
    </row>
    <row r="570">
      <c r="P570" s="120"/>
    </row>
    <row r="571">
      <c r="P571" s="120"/>
    </row>
    <row r="572">
      <c r="P572" s="120"/>
    </row>
    <row r="573">
      <c r="P573" s="120"/>
    </row>
    <row r="574">
      <c r="P574" s="120"/>
    </row>
    <row r="575">
      <c r="P575" s="120"/>
    </row>
    <row r="576">
      <c r="P576" s="120"/>
    </row>
    <row r="577">
      <c r="P577" s="120"/>
    </row>
    <row r="578">
      <c r="P578" s="120"/>
    </row>
    <row r="579">
      <c r="P579" s="120"/>
    </row>
    <row r="580">
      <c r="P580" s="120"/>
    </row>
    <row r="581">
      <c r="P581" s="120"/>
    </row>
    <row r="582">
      <c r="P582" s="120"/>
    </row>
    <row r="583">
      <c r="P583" s="120"/>
    </row>
    <row r="584">
      <c r="P584" s="120"/>
    </row>
    <row r="585">
      <c r="P585" s="120"/>
    </row>
    <row r="586">
      <c r="P586" s="120"/>
    </row>
    <row r="587">
      <c r="P587" s="120"/>
    </row>
    <row r="588">
      <c r="P588" s="120"/>
    </row>
    <row r="589">
      <c r="P589" s="120"/>
    </row>
    <row r="590">
      <c r="P590" s="120"/>
    </row>
    <row r="591">
      <c r="P591" s="120"/>
    </row>
    <row r="592">
      <c r="P592" s="120"/>
    </row>
    <row r="593">
      <c r="P593" s="120"/>
    </row>
    <row r="594">
      <c r="P594" s="120"/>
    </row>
    <row r="595">
      <c r="P595" s="120"/>
    </row>
    <row r="596">
      <c r="P596" s="120"/>
    </row>
    <row r="597">
      <c r="P597" s="120"/>
    </row>
    <row r="598">
      <c r="P598" s="120"/>
    </row>
    <row r="599">
      <c r="P599" s="120"/>
    </row>
    <row r="600">
      <c r="P600" s="120"/>
    </row>
    <row r="601">
      <c r="P601" s="120"/>
    </row>
    <row r="602">
      <c r="P602" s="120"/>
    </row>
    <row r="603">
      <c r="P603" s="120"/>
    </row>
    <row r="604">
      <c r="P604" s="120"/>
    </row>
    <row r="605">
      <c r="P605" s="120"/>
    </row>
    <row r="606">
      <c r="P606" s="120"/>
    </row>
    <row r="607">
      <c r="P607" s="120"/>
    </row>
    <row r="608">
      <c r="P608" s="120"/>
    </row>
    <row r="609">
      <c r="P609" s="120"/>
    </row>
    <row r="610">
      <c r="P610" s="120"/>
    </row>
    <row r="611">
      <c r="P611" s="120"/>
    </row>
    <row r="612">
      <c r="P612" s="120"/>
    </row>
    <row r="613">
      <c r="P613" s="120"/>
    </row>
    <row r="614">
      <c r="P614" s="120"/>
    </row>
    <row r="615">
      <c r="P615" s="120"/>
    </row>
    <row r="616">
      <c r="P616" s="120"/>
    </row>
    <row r="617">
      <c r="P617" s="120"/>
    </row>
    <row r="618">
      <c r="P618" s="120"/>
    </row>
    <row r="619">
      <c r="P619" s="120"/>
    </row>
    <row r="620">
      <c r="P620" s="120"/>
    </row>
    <row r="621">
      <c r="P621" s="120"/>
    </row>
    <row r="622">
      <c r="P622" s="120"/>
    </row>
    <row r="623">
      <c r="P623" s="120"/>
    </row>
    <row r="624">
      <c r="P624" s="120"/>
    </row>
    <row r="625">
      <c r="P625" s="120"/>
    </row>
    <row r="626">
      <c r="P626" s="120"/>
    </row>
    <row r="627">
      <c r="P627" s="120"/>
    </row>
    <row r="628">
      <c r="P628" s="120"/>
    </row>
    <row r="629">
      <c r="P629" s="120"/>
    </row>
    <row r="630">
      <c r="P630" s="120"/>
    </row>
    <row r="631">
      <c r="P631" s="120"/>
    </row>
    <row r="632">
      <c r="P632" s="120"/>
    </row>
    <row r="633">
      <c r="P633" s="120"/>
    </row>
    <row r="634">
      <c r="P634" s="120"/>
    </row>
    <row r="635">
      <c r="P635" s="120"/>
    </row>
    <row r="636">
      <c r="P636" s="120"/>
    </row>
    <row r="637">
      <c r="P637" s="120"/>
    </row>
    <row r="638">
      <c r="P638" s="120"/>
    </row>
    <row r="639">
      <c r="P639" s="120"/>
    </row>
    <row r="640">
      <c r="P640" s="120"/>
    </row>
    <row r="641">
      <c r="P641" s="120"/>
    </row>
    <row r="642">
      <c r="P642" s="120"/>
    </row>
    <row r="643">
      <c r="P643" s="120"/>
    </row>
    <row r="644">
      <c r="P644" s="120"/>
    </row>
    <row r="645">
      <c r="P645" s="120"/>
    </row>
    <row r="646">
      <c r="P646" s="120"/>
    </row>
    <row r="647">
      <c r="P647" s="120"/>
    </row>
    <row r="648">
      <c r="P648" s="120"/>
    </row>
    <row r="649">
      <c r="P649" s="120"/>
    </row>
    <row r="650">
      <c r="P650" s="120"/>
    </row>
    <row r="651">
      <c r="P651" s="120"/>
    </row>
    <row r="652">
      <c r="P652" s="120"/>
    </row>
    <row r="653">
      <c r="P653" s="120"/>
    </row>
    <row r="654">
      <c r="P654" s="120"/>
    </row>
    <row r="655">
      <c r="P655" s="120"/>
    </row>
    <row r="656">
      <c r="P656" s="120"/>
    </row>
    <row r="657">
      <c r="P657" s="120"/>
    </row>
    <row r="658">
      <c r="P658" s="120"/>
    </row>
    <row r="659">
      <c r="P659" s="120"/>
    </row>
    <row r="660">
      <c r="P660" s="120"/>
    </row>
    <row r="661">
      <c r="P661" s="120"/>
    </row>
    <row r="662">
      <c r="P662" s="120"/>
    </row>
    <row r="663">
      <c r="P663" s="120"/>
    </row>
    <row r="664">
      <c r="P664" s="120"/>
    </row>
    <row r="665">
      <c r="P665" s="120"/>
    </row>
    <row r="666">
      <c r="P666" s="120"/>
    </row>
    <row r="667">
      <c r="P667" s="120"/>
    </row>
    <row r="668">
      <c r="P668" s="120"/>
    </row>
    <row r="669">
      <c r="P669" s="120"/>
    </row>
    <row r="670">
      <c r="P670" s="120"/>
    </row>
    <row r="671">
      <c r="P671" s="120"/>
    </row>
    <row r="672">
      <c r="P672" s="120"/>
    </row>
    <row r="673">
      <c r="P673" s="120"/>
    </row>
    <row r="674">
      <c r="P674" s="120"/>
    </row>
    <row r="675">
      <c r="P675" s="120"/>
    </row>
    <row r="676">
      <c r="P676" s="120"/>
    </row>
    <row r="677">
      <c r="P677" s="120"/>
    </row>
    <row r="678">
      <c r="P678" s="120"/>
    </row>
    <row r="679">
      <c r="P679" s="120"/>
    </row>
    <row r="680">
      <c r="P680" s="120"/>
    </row>
    <row r="681">
      <c r="P681" s="120"/>
    </row>
    <row r="682">
      <c r="P682" s="120"/>
    </row>
    <row r="683">
      <c r="P683" s="120"/>
    </row>
    <row r="684">
      <c r="P684" s="120"/>
    </row>
    <row r="685">
      <c r="P685" s="120"/>
    </row>
    <row r="686">
      <c r="P686" s="120"/>
    </row>
    <row r="687">
      <c r="P687" s="120"/>
    </row>
    <row r="688">
      <c r="P688" s="120"/>
    </row>
    <row r="689">
      <c r="P689" s="120"/>
    </row>
    <row r="690">
      <c r="P690" s="120"/>
    </row>
    <row r="691">
      <c r="P691" s="120"/>
    </row>
    <row r="692">
      <c r="P692" s="120"/>
    </row>
    <row r="693">
      <c r="P693" s="120"/>
    </row>
    <row r="694">
      <c r="P694" s="120"/>
    </row>
    <row r="695">
      <c r="P695" s="120"/>
    </row>
    <row r="696">
      <c r="P696" s="120"/>
    </row>
    <row r="697">
      <c r="P697" s="120"/>
    </row>
    <row r="698">
      <c r="P698" s="120"/>
    </row>
    <row r="699">
      <c r="P699" s="120"/>
    </row>
    <row r="700">
      <c r="P700" s="120"/>
    </row>
    <row r="701">
      <c r="P701" s="120"/>
    </row>
    <row r="702">
      <c r="P702" s="120"/>
    </row>
    <row r="703">
      <c r="P703" s="120"/>
    </row>
    <row r="704">
      <c r="P704" s="120"/>
    </row>
    <row r="705">
      <c r="P705" s="120"/>
    </row>
    <row r="706">
      <c r="P706" s="120"/>
    </row>
    <row r="707">
      <c r="P707" s="120"/>
    </row>
    <row r="708">
      <c r="P708" s="120"/>
    </row>
    <row r="709">
      <c r="P709" s="120"/>
    </row>
    <row r="710">
      <c r="P710" s="120"/>
    </row>
    <row r="711">
      <c r="P711" s="120"/>
    </row>
    <row r="712">
      <c r="P712" s="120"/>
    </row>
    <row r="713">
      <c r="P713" s="120"/>
    </row>
    <row r="714">
      <c r="P714" s="120"/>
    </row>
    <row r="715">
      <c r="P715" s="120"/>
    </row>
    <row r="716">
      <c r="P716" s="120"/>
    </row>
    <row r="717">
      <c r="P717" s="120"/>
    </row>
    <row r="718">
      <c r="P718" s="120"/>
    </row>
    <row r="719">
      <c r="P719" s="120"/>
    </row>
    <row r="720">
      <c r="P720" s="120"/>
    </row>
    <row r="721">
      <c r="P721" s="120"/>
    </row>
    <row r="722">
      <c r="P722" s="120"/>
    </row>
    <row r="723">
      <c r="P723" s="120"/>
    </row>
    <row r="724">
      <c r="P724" s="120"/>
    </row>
    <row r="725">
      <c r="P725" s="120"/>
    </row>
    <row r="726">
      <c r="P726" s="120"/>
    </row>
    <row r="727">
      <c r="P727" s="120"/>
    </row>
    <row r="728">
      <c r="P728" s="120"/>
    </row>
    <row r="729">
      <c r="P729" s="120"/>
    </row>
    <row r="730">
      <c r="P730" s="120"/>
    </row>
    <row r="731">
      <c r="P731" s="120"/>
    </row>
    <row r="732">
      <c r="P732" s="120"/>
    </row>
    <row r="733">
      <c r="P733" s="120"/>
    </row>
    <row r="734">
      <c r="P734" s="120"/>
    </row>
    <row r="735">
      <c r="P735" s="120"/>
    </row>
    <row r="736">
      <c r="P736" s="120"/>
    </row>
    <row r="737">
      <c r="P737" s="120"/>
    </row>
    <row r="738">
      <c r="P738" s="120"/>
    </row>
    <row r="739">
      <c r="P739" s="120"/>
    </row>
    <row r="740">
      <c r="P740" s="120"/>
    </row>
    <row r="741">
      <c r="P741" s="120"/>
    </row>
    <row r="742">
      <c r="P742" s="120"/>
    </row>
    <row r="743">
      <c r="P743" s="120"/>
    </row>
    <row r="744">
      <c r="P744" s="120"/>
    </row>
    <row r="745">
      <c r="P745" s="120"/>
    </row>
    <row r="746">
      <c r="P746" s="120"/>
    </row>
    <row r="747">
      <c r="P747" s="120"/>
    </row>
    <row r="748">
      <c r="P748" s="120"/>
    </row>
    <row r="749">
      <c r="P749" s="120"/>
    </row>
    <row r="750">
      <c r="P750" s="120"/>
    </row>
    <row r="751">
      <c r="P751" s="120"/>
    </row>
    <row r="752">
      <c r="P752" s="120"/>
    </row>
    <row r="753">
      <c r="P753" s="120"/>
    </row>
    <row r="754">
      <c r="P754" s="120"/>
    </row>
    <row r="755">
      <c r="P755" s="120"/>
    </row>
    <row r="756">
      <c r="P756" s="120"/>
    </row>
    <row r="757">
      <c r="P757" s="120"/>
    </row>
    <row r="758">
      <c r="P758" s="120"/>
    </row>
    <row r="759">
      <c r="P759" s="120"/>
    </row>
    <row r="760">
      <c r="P760" s="120"/>
    </row>
    <row r="761">
      <c r="P761" s="120"/>
    </row>
    <row r="762">
      <c r="P762" s="120"/>
    </row>
    <row r="763">
      <c r="P763" s="120"/>
    </row>
    <row r="764">
      <c r="P764" s="120"/>
    </row>
    <row r="765">
      <c r="P765" s="120"/>
    </row>
    <row r="766">
      <c r="P766" s="120"/>
    </row>
    <row r="767">
      <c r="P767" s="120"/>
    </row>
    <row r="768">
      <c r="P768" s="120"/>
    </row>
    <row r="769">
      <c r="P769" s="120"/>
    </row>
    <row r="770">
      <c r="P770" s="120"/>
    </row>
    <row r="771">
      <c r="P771" s="120"/>
    </row>
    <row r="772">
      <c r="P772" s="120"/>
    </row>
    <row r="773">
      <c r="P773" s="120"/>
    </row>
    <row r="774">
      <c r="P774" s="120"/>
    </row>
    <row r="775">
      <c r="P775" s="120"/>
    </row>
    <row r="776">
      <c r="P776" s="120"/>
    </row>
    <row r="777">
      <c r="P777" s="120"/>
    </row>
    <row r="778">
      <c r="P778" s="120"/>
    </row>
    <row r="779">
      <c r="P779" s="120"/>
    </row>
    <row r="780">
      <c r="P780" s="120"/>
    </row>
    <row r="781">
      <c r="P781" s="120"/>
    </row>
    <row r="782">
      <c r="P782" s="120"/>
    </row>
    <row r="783">
      <c r="P783" s="120"/>
    </row>
    <row r="784">
      <c r="P784" s="120"/>
    </row>
    <row r="785">
      <c r="P785" s="120"/>
    </row>
    <row r="786">
      <c r="P786" s="120"/>
    </row>
    <row r="787">
      <c r="P787" s="120"/>
    </row>
    <row r="788">
      <c r="P788" s="120"/>
    </row>
    <row r="789">
      <c r="P789" s="120"/>
    </row>
    <row r="790">
      <c r="P790" s="120"/>
    </row>
    <row r="791">
      <c r="P791" s="120"/>
    </row>
    <row r="792">
      <c r="P792" s="120"/>
    </row>
    <row r="793">
      <c r="P793" s="120"/>
    </row>
    <row r="794">
      <c r="P794" s="120"/>
    </row>
    <row r="795">
      <c r="P795" s="120"/>
    </row>
    <row r="796">
      <c r="P796" s="120"/>
    </row>
    <row r="797">
      <c r="P797" s="120"/>
    </row>
    <row r="798">
      <c r="P798" s="120"/>
    </row>
    <row r="799">
      <c r="P799" s="120"/>
    </row>
    <row r="800">
      <c r="P800" s="120"/>
    </row>
    <row r="801">
      <c r="P801" s="120"/>
    </row>
    <row r="802">
      <c r="P802" s="120"/>
    </row>
    <row r="803">
      <c r="P803" s="120"/>
    </row>
    <row r="804">
      <c r="P804" s="120"/>
    </row>
    <row r="805">
      <c r="P805" s="120"/>
    </row>
    <row r="806">
      <c r="P806" s="120"/>
    </row>
    <row r="807">
      <c r="P807" s="120"/>
    </row>
    <row r="808">
      <c r="P808" s="120"/>
    </row>
    <row r="809">
      <c r="P809" s="120"/>
    </row>
    <row r="810">
      <c r="P810" s="120"/>
    </row>
    <row r="811">
      <c r="P811" s="120"/>
    </row>
    <row r="812">
      <c r="P812" s="120"/>
    </row>
    <row r="813">
      <c r="P813" s="120"/>
    </row>
    <row r="814">
      <c r="P814" s="120"/>
    </row>
    <row r="815">
      <c r="P815" s="120"/>
    </row>
    <row r="816">
      <c r="P816" s="120"/>
    </row>
    <row r="817">
      <c r="P817" s="120"/>
    </row>
    <row r="818">
      <c r="P818" s="120"/>
    </row>
    <row r="819">
      <c r="P819" s="120"/>
    </row>
    <row r="820">
      <c r="P820" s="120"/>
    </row>
    <row r="821">
      <c r="P821" s="120"/>
    </row>
    <row r="822">
      <c r="P822" s="120"/>
    </row>
    <row r="823">
      <c r="P823" s="120"/>
    </row>
    <row r="824">
      <c r="P824" s="120"/>
    </row>
    <row r="825">
      <c r="P825" s="120"/>
    </row>
    <row r="826">
      <c r="P826" s="120"/>
    </row>
    <row r="827">
      <c r="P827" s="120"/>
    </row>
    <row r="828">
      <c r="P828" s="120"/>
    </row>
    <row r="829">
      <c r="P829" s="120"/>
    </row>
    <row r="830">
      <c r="P830" s="120"/>
    </row>
    <row r="831">
      <c r="P831" s="120"/>
    </row>
    <row r="832">
      <c r="P832" s="120"/>
    </row>
    <row r="833">
      <c r="P833" s="120"/>
    </row>
    <row r="834">
      <c r="P834" s="120"/>
    </row>
    <row r="835">
      <c r="P835" s="120"/>
    </row>
    <row r="836">
      <c r="P836" s="120"/>
    </row>
    <row r="837">
      <c r="P837" s="120"/>
    </row>
    <row r="838">
      <c r="P838" s="120"/>
    </row>
    <row r="839">
      <c r="P839" s="120"/>
    </row>
    <row r="840">
      <c r="P840" s="120"/>
    </row>
    <row r="841">
      <c r="P841" s="120"/>
    </row>
    <row r="842">
      <c r="P842" s="120"/>
    </row>
    <row r="843">
      <c r="P843" s="120"/>
    </row>
    <row r="844">
      <c r="P844" s="120"/>
    </row>
    <row r="845">
      <c r="P845" s="120"/>
    </row>
    <row r="846">
      <c r="P846" s="120"/>
    </row>
    <row r="847">
      <c r="P847" s="120"/>
    </row>
    <row r="848">
      <c r="P848" s="120"/>
    </row>
    <row r="849">
      <c r="P849" s="120"/>
    </row>
    <row r="850">
      <c r="P850" s="120"/>
    </row>
    <row r="851">
      <c r="P851" s="120"/>
    </row>
    <row r="852">
      <c r="P852" s="120"/>
    </row>
    <row r="853">
      <c r="P853" s="120"/>
    </row>
    <row r="854">
      <c r="P854" s="120"/>
    </row>
    <row r="855">
      <c r="P855" s="120"/>
    </row>
    <row r="856">
      <c r="P856" s="120"/>
    </row>
    <row r="857">
      <c r="P857" s="120"/>
    </row>
    <row r="858">
      <c r="P858" s="120"/>
    </row>
    <row r="859">
      <c r="P859" s="120"/>
    </row>
    <row r="860">
      <c r="P860" s="120"/>
    </row>
    <row r="861">
      <c r="P861" s="120"/>
    </row>
    <row r="862">
      <c r="P862" s="120"/>
    </row>
    <row r="863">
      <c r="P863" s="120"/>
    </row>
    <row r="864">
      <c r="P864" s="120"/>
    </row>
    <row r="865">
      <c r="P865" s="120"/>
    </row>
    <row r="866">
      <c r="P866" s="120"/>
    </row>
    <row r="867">
      <c r="P867" s="120"/>
    </row>
    <row r="868">
      <c r="P868" s="120"/>
    </row>
    <row r="869">
      <c r="P869" s="120"/>
    </row>
    <row r="870">
      <c r="P870" s="120"/>
    </row>
    <row r="871">
      <c r="P871" s="120"/>
    </row>
    <row r="872">
      <c r="P872" s="120"/>
    </row>
    <row r="873">
      <c r="P873" s="120"/>
    </row>
    <row r="874">
      <c r="P874" s="120"/>
    </row>
    <row r="875">
      <c r="P875" s="120"/>
    </row>
    <row r="876">
      <c r="P876" s="120"/>
    </row>
    <row r="877">
      <c r="P877" s="120"/>
    </row>
    <row r="878">
      <c r="P878" s="120"/>
    </row>
    <row r="879">
      <c r="P879" s="120"/>
    </row>
    <row r="880">
      <c r="P880" s="120"/>
    </row>
    <row r="881">
      <c r="P881" s="120"/>
    </row>
    <row r="882">
      <c r="P882" s="120"/>
    </row>
    <row r="883">
      <c r="P883" s="120"/>
    </row>
    <row r="884">
      <c r="P884" s="120"/>
    </row>
    <row r="885">
      <c r="P885" s="120"/>
    </row>
    <row r="886">
      <c r="P886" s="120"/>
    </row>
    <row r="887">
      <c r="P887" s="120"/>
    </row>
    <row r="888">
      <c r="P888" s="120"/>
    </row>
    <row r="889">
      <c r="P889" s="120"/>
    </row>
    <row r="890">
      <c r="P890" s="120"/>
    </row>
    <row r="891">
      <c r="P891" s="120"/>
    </row>
    <row r="892">
      <c r="P892" s="120"/>
    </row>
    <row r="893">
      <c r="P893" s="120"/>
    </row>
    <row r="894">
      <c r="P894" s="120"/>
    </row>
    <row r="895">
      <c r="P895" s="120"/>
    </row>
    <row r="896">
      <c r="P896" s="120"/>
    </row>
    <row r="897">
      <c r="P897" s="120"/>
    </row>
    <row r="898">
      <c r="P898" s="120"/>
    </row>
    <row r="899">
      <c r="P899" s="120"/>
    </row>
    <row r="900">
      <c r="P900" s="120"/>
    </row>
    <row r="901">
      <c r="P901" s="120"/>
    </row>
    <row r="902">
      <c r="P902" s="120"/>
    </row>
    <row r="903">
      <c r="P903" s="120"/>
    </row>
    <row r="904">
      <c r="P904" s="120"/>
    </row>
    <row r="905">
      <c r="P905" s="120"/>
    </row>
    <row r="906">
      <c r="P906" s="120"/>
    </row>
    <row r="907">
      <c r="P907" s="120"/>
    </row>
    <row r="908">
      <c r="P908" s="120"/>
    </row>
    <row r="909">
      <c r="P909" s="120"/>
    </row>
    <row r="910">
      <c r="P910" s="120"/>
    </row>
    <row r="911">
      <c r="P911" s="120"/>
    </row>
    <row r="912">
      <c r="P912" s="120"/>
    </row>
    <row r="913">
      <c r="P913" s="120"/>
    </row>
    <row r="914">
      <c r="P914" s="120"/>
    </row>
    <row r="915">
      <c r="P915" s="120"/>
    </row>
    <row r="916">
      <c r="P916" s="120"/>
    </row>
    <row r="917">
      <c r="P917" s="120"/>
    </row>
    <row r="918">
      <c r="P918" s="120"/>
    </row>
    <row r="919">
      <c r="P919" s="120"/>
    </row>
    <row r="920">
      <c r="P920" s="120"/>
    </row>
    <row r="921">
      <c r="P921" s="120"/>
    </row>
    <row r="922">
      <c r="P922" s="120"/>
    </row>
    <row r="923">
      <c r="P923" s="120"/>
    </row>
    <row r="924">
      <c r="P924" s="120"/>
    </row>
    <row r="925">
      <c r="P925" s="120"/>
    </row>
    <row r="926">
      <c r="P926" s="120"/>
    </row>
    <row r="927">
      <c r="P927" s="120"/>
    </row>
    <row r="928">
      <c r="P928" s="120"/>
    </row>
    <row r="929">
      <c r="P929" s="120"/>
    </row>
    <row r="930">
      <c r="P930" s="120"/>
    </row>
    <row r="931">
      <c r="P931" s="120"/>
    </row>
    <row r="932">
      <c r="P932" s="120"/>
    </row>
    <row r="933">
      <c r="P933" s="120"/>
    </row>
    <row r="934">
      <c r="P934" s="120"/>
    </row>
    <row r="935">
      <c r="P935" s="120"/>
    </row>
    <row r="936">
      <c r="P936" s="120"/>
    </row>
    <row r="937">
      <c r="P937" s="120"/>
    </row>
    <row r="938">
      <c r="P938" s="120"/>
    </row>
    <row r="939">
      <c r="P939" s="120"/>
    </row>
    <row r="940">
      <c r="P940" s="120"/>
    </row>
    <row r="941">
      <c r="P941" s="120"/>
    </row>
    <row r="942">
      <c r="P942" s="120"/>
    </row>
    <row r="943">
      <c r="P943" s="120"/>
    </row>
    <row r="944">
      <c r="P944" s="120"/>
    </row>
    <row r="945">
      <c r="P945" s="120"/>
    </row>
    <row r="946">
      <c r="P946" s="120"/>
    </row>
    <row r="947">
      <c r="P947" s="120"/>
    </row>
    <row r="948">
      <c r="P948" s="120"/>
    </row>
    <row r="949">
      <c r="P949" s="120"/>
    </row>
    <row r="950">
      <c r="P950" s="120"/>
    </row>
    <row r="951">
      <c r="P951" s="120"/>
    </row>
    <row r="952">
      <c r="P952" s="120"/>
    </row>
    <row r="953">
      <c r="P953" s="120"/>
    </row>
    <row r="954">
      <c r="P954" s="120"/>
    </row>
    <row r="955">
      <c r="P955" s="120"/>
    </row>
    <row r="956">
      <c r="P956" s="120"/>
    </row>
    <row r="957">
      <c r="P957" s="120"/>
    </row>
    <row r="958">
      <c r="P958" s="120"/>
    </row>
    <row r="959">
      <c r="P959" s="120"/>
    </row>
    <row r="960">
      <c r="P960" s="120"/>
    </row>
    <row r="961">
      <c r="P961" s="120"/>
    </row>
    <row r="962">
      <c r="P962" s="120"/>
    </row>
    <row r="963">
      <c r="P963" s="120"/>
    </row>
    <row r="964">
      <c r="P964" s="120"/>
    </row>
    <row r="965">
      <c r="P965" s="120"/>
    </row>
    <row r="966">
      <c r="P966" s="120"/>
    </row>
    <row r="967">
      <c r="P967" s="120"/>
    </row>
    <row r="968">
      <c r="P968" s="120"/>
    </row>
    <row r="969">
      <c r="P969" s="120"/>
    </row>
    <row r="970">
      <c r="P970" s="120"/>
    </row>
    <row r="971">
      <c r="P971" s="120"/>
    </row>
    <row r="972">
      <c r="P972" s="120"/>
    </row>
    <row r="973">
      <c r="P973" s="120"/>
    </row>
    <row r="974">
      <c r="P974" s="120"/>
    </row>
    <row r="975">
      <c r="P975" s="120"/>
    </row>
    <row r="976">
      <c r="P976" s="120"/>
    </row>
    <row r="977">
      <c r="P977" s="120"/>
    </row>
    <row r="978">
      <c r="P978" s="120"/>
    </row>
    <row r="979">
      <c r="P979" s="120"/>
    </row>
    <row r="980">
      <c r="P980" s="120"/>
    </row>
    <row r="981">
      <c r="P981" s="120"/>
    </row>
    <row r="982">
      <c r="P982" s="120"/>
    </row>
    <row r="983">
      <c r="P983" s="120"/>
    </row>
    <row r="984">
      <c r="P984" s="120"/>
    </row>
    <row r="985">
      <c r="P985" s="120"/>
    </row>
    <row r="986">
      <c r="P986" s="120"/>
    </row>
    <row r="987">
      <c r="P987" s="120"/>
    </row>
    <row r="988">
      <c r="P988" s="120"/>
    </row>
    <row r="989">
      <c r="P989" s="120"/>
    </row>
    <row r="990">
      <c r="P990" s="120"/>
    </row>
    <row r="991">
      <c r="P991" s="120"/>
    </row>
    <row r="992">
      <c r="P992" s="120"/>
    </row>
    <row r="993">
      <c r="P993" s="120"/>
    </row>
    <row r="994">
      <c r="P994" s="120"/>
    </row>
    <row r="995">
      <c r="P995" s="120"/>
    </row>
    <row r="996">
      <c r="P996" s="120"/>
    </row>
    <row r="997">
      <c r="P997" s="120"/>
    </row>
    <row r="998">
      <c r="P998" s="120"/>
    </row>
    <row r="999">
      <c r="P999" s="120"/>
    </row>
    <row r="1000">
      <c r="P1000" s="120"/>
    </row>
    <row r="1001">
      <c r="P1001" s="120"/>
    </row>
  </sheetData>
  <mergeCells count="2">
    <mergeCell ref="A16:P16"/>
    <mergeCell ref="A32:P32"/>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8" width="23.13"/>
    <col customWidth="1" min="9" max="9" width="20.38"/>
    <col customWidth="1" min="10" max="10" width="52.38"/>
    <col customWidth="1" min="11" max="27" width="12.5"/>
  </cols>
  <sheetData>
    <row r="1">
      <c r="A1" s="166" t="s">
        <v>6</v>
      </c>
      <c r="B1" s="166" t="s">
        <v>160</v>
      </c>
      <c r="C1" s="166" t="s">
        <v>161</v>
      </c>
      <c r="D1" s="166" t="s">
        <v>162</v>
      </c>
      <c r="E1" s="166" t="s">
        <v>163</v>
      </c>
      <c r="F1" s="166" t="s">
        <v>164</v>
      </c>
      <c r="G1" s="166" t="s">
        <v>165</v>
      </c>
      <c r="H1" s="166" t="s">
        <v>166</v>
      </c>
      <c r="I1" s="166" t="s">
        <v>167</v>
      </c>
      <c r="J1" s="166" t="s">
        <v>168</v>
      </c>
      <c r="K1" s="167"/>
      <c r="L1" s="167"/>
      <c r="M1" s="167"/>
      <c r="N1" s="167"/>
      <c r="O1" s="167"/>
      <c r="P1" s="167"/>
      <c r="Q1" s="167"/>
      <c r="R1" s="167"/>
      <c r="S1" s="167"/>
      <c r="T1" s="167"/>
      <c r="U1" s="167"/>
      <c r="V1" s="167"/>
      <c r="W1" s="167"/>
      <c r="X1" s="167"/>
      <c r="Y1" s="167"/>
      <c r="Z1" s="167"/>
      <c r="AA1" s="167"/>
    </row>
    <row r="2">
      <c r="A2" s="168" t="s">
        <v>39</v>
      </c>
      <c r="B2" s="169">
        <f>SUMIFS('Solicitações'!O:O,'Solicitações'!L:L,A2,'Solicitações'!C:C,"SIM")</f>
        <v>301072552.8</v>
      </c>
      <c r="C2" s="169">
        <f>SUMIFS('Solicitações'!O:O,'Solicitações'!L:L,A2,'Solicitações'!C:C,"SIM",'Solicitações'!E:E,"ATENDIDO")+SUMIFS('Solicitações'!O:O,'Solicitações'!L:L,A2,'Solicitações'!C:C,"SIM",'Solicitações'!E:E,"EM TRÂMITE")</f>
        <v>141773285.8</v>
      </c>
      <c r="D2" s="169">
        <f>SUMIFS('Solicitações'!O:O,'Solicitações'!L:L,A2,'Solicitações'!C:C,"SIM",'Solicitações'!E:E,"ATENDIDO",'Solicitações'!T:T,"&lt;&gt;NÃO")+SUMIFS('Solicitações'!O:O,'Solicitações'!L:L,A2,'Solicitações'!C:C,"SIM",'Solicitações'!E:E,"EM TRÂMITE",'Solicitações'!T:T,"&lt;&gt;NÃO")</f>
        <v>70972606.9</v>
      </c>
      <c r="E2" s="169">
        <f>SUMIFS('Solicitações'!O:O,'Solicitações'!L:L,A2,'Solicitações'!C:C,"SIM",'Solicitações'!E:E,"")+SUMIFS('Solicitações'!O:O,'Solicitações'!L:L,A2,'Solicitações'!C:C,"SIM",'Solicitações'!E:E,"ATENDER")</f>
        <v>114213095.5</v>
      </c>
      <c r="F2" s="169">
        <f>SUMIFS('Solicitações'!O:O,'Solicitações'!L:L,A2,'Solicitações'!C:C,"SIM",'Solicitações'!T:T,"&lt;&gt;NÃO")-D2</f>
        <v>117312324.6</v>
      </c>
      <c r="G2" s="169">
        <f>SUMIFS('Solicitações'!O:O,'Solicitações'!L:L,A2,'Solicitações'!C:C,"SIM",'Solicitações'!E:E,"",'Solicitações'!S:S,"PARCELA FIXA")+SUMIFS('Solicitações'!O:O,'Solicitações'!L:L,A2,'Solicitações'!C:C,"SIM",'Solicitações'!E:E,"ATENDER",'Solicitações'!S:S,"PARCELA FIXA")+SUMIFS('Solicitações'!O:O,'Solicitações'!L:L,A2,'Solicitações'!C:C,"SIM",'Solicitações'!E:E,"",'Solicitações'!S:S,"HORA DE VOO")+SUMIFS('Solicitações'!O:O,'Solicitações'!L:L,A2,'Solicitações'!C:C,"SIM",'Solicitações'!E:E,"ATENDER",'Solicitações'!S:S,"HORA DE VOO")</f>
        <v>28726850</v>
      </c>
      <c r="H2" s="170">
        <f t="shared" ref="H2:H10" si="1">E2-F2-G2</f>
        <v>-31826079.05</v>
      </c>
      <c r="I2" s="169"/>
      <c r="J2" s="171"/>
    </row>
    <row r="3">
      <c r="A3" s="168" t="s">
        <v>43</v>
      </c>
      <c r="B3" s="169">
        <f>SUMIFS('Solicitações'!O:O,'Solicitações'!L:L,A3,'Solicitações'!C:C,"SIM")</f>
        <v>46174752.57</v>
      </c>
      <c r="C3" s="169">
        <f>SUMIFS('Solicitações'!O:O,'Solicitações'!L:L,A3,'Solicitações'!C:C,"SIM",'Solicitações'!E:E,"ATENDIDO")+SUMIFS('Solicitações'!O:O,'Solicitações'!L:L,A3,'Solicitações'!C:C,"SIM",'Solicitações'!E:E,"EM TRÂMITE")</f>
        <v>43051689.06</v>
      </c>
      <c r="D3" s="169">
        <f>SUMIFS('Solicitações'!O:O,'Solicitações'!L:L,A3,'Solicitações'!C:C,"SIM",'Solicitações'!E:E,"ATENDIDO",'Solicitações'!T:T,"&lt;&gt;NÃO")+SUMIFS('Solicitações'!O:O,'Solicitações'!L:L,A3,'Solicitações'!C:C,"SIM",'Solicitações'!E:E,"EM TRÂMITE",'Solicitações'!T:T,"&lt;&gt;NÃO")</f>
        <v>24767290.47</v>
      </c>
      <c r="E3" s="169">
        <f>SUMIFS('Solicitações'!O:O,'Solicitações'!L:L,A3,'Solicitações'!C:C,"SIM",'Solicitações'!E:E,"")+SUMIFS('Solicitações'!O:O,'Solicitações'!L:L,A3,'Solicitações'!C:C,"SIM",'Solicitações'!E:E,"ATENDER")</f>
        <v>2520194.4</v>
      </c>
      <c r="F3" s="169">
        <f>SUMIFS('Solicitações'!O:O,'Solicitações'!L:L,A3,'Solicitações'!C:C,"SIM",'Solicitações'!T:T,"&lt;&gt;NÃO")-D3</f>
        <v>200000</v>
      </c>
      <c r="G3" s="169">
        <f>SUMIFS('Solicitações'!O:O,'Solicitações'!L:L,A3,'Solicitações'!C:C,"SIM",'Solicitações'!E:E,"",'Solicitações'!S:S,"PARCELA FIXA")+SUMIFS('Solicitações'!O:O,'Solicitações'!L:L,A3,'Solicitações'!C:C,"SIM",'Solicitações'!E:E,"ATENDER",'Solicitações'!S:S,"PARCELA FIXA")+SUMIFS('Solicitações'!O:O,'Solicitações'!L:L,A3,'Solicitações'!C:C,"SIM",'Solicitações'!E:E,"",'Solicitações'!S:S,"HORA DE VOO")+SUMIFS('Solicitações'!O:O,'Solicitações'!L:L,A3,'Solicitações'!C:C,"SIM",'Solicitações'!E:E,"ATENDER",'Solicitações'!S:S,"HORA DE VOO")</f>
        <v>1369287.57</v>
      </c>
      <c r="H3" s="170">
        <f t="shared" si="1"/>
        <v>950906.83</v>
      </c>
      <c r="I3" s="169"/>
      <c r="J3" s="168"/>
    </row>
    <row r="4">
      <c r="A4" s="168" t="s">
        <v>44</v>
      </c>
      <c r="B4" s="169">
        <f>SUMIFS('Solicitações'!O:O,'Solicitações'!L:L,A4,'Solicitações'!C:C,"SIM")</f>
        <v>29512751.63</v>
      </c>
      <c r="C4" s="169">
        <f>SUMIFS('Solicitações'!O:O,'Solicitações'!L:L,A4,'Solicitações'!C:C,"SIM",'Solicitações'!E:E,"ATENDIDO")+SUMIFS('Solicitações'!O:O,'Solicitações'!L:L,A4,'Solicitações'!C:C,"SIM",'Solicitações'!E:E,"EM TRÂMITE")</f>
        <v>27192693.92</v>
      </c>
      <c r="D4" s="169">
        <f>SUMIFS('Solicitações'!O:O,'Solicitações'!L:L,A4,'Solicitações'!C:C,"SIM",'Solicitações'!E:E,"ATENDIDO",'Solicitações'!T:T,"&lt;&gt;NÃO")+SUMIFS('Solicitações'!O:O,'Solicitações'!L:L,A4,'Solicitações'!C:C,"SIM",'Solicitações'!E:E,"EM TRÂMITE",'Solicitações'!T:T,"&lt;&gt;NÃO")</f>
        <v>0</v>
      </c>
      <c r="E4" s="169">
        <f>SUMIFS('Solicitações'!O:O,'Solicitações'!L:L,A4,'Solicitações'!C:C,"SIM",'Solicitações'!E:E,"")+SUMIFS('Solicitações'!O:O,'Solicitações'!L:L,A4,'Solicitações'!C:C,"SIM",'Solicitações'!E:E,"ATENDER")</f>
        <v>2320057.71</v>
      </c>
      <c r="F4" s="169">
        <f>SUMIFS('Solicitações'!O:O,'Solicitações'!L:L,A4,'Solicitações'!C:C,"SIM",'Solicitações'!T:T,"&lt;&gt;NÃO")-D4</f>
        <v>0</v>
      </c>
      <c r="G4" s="169">
        <f>SUMIFS('Solicitações'!O:O,'Solicitações'!L:L,A4,'Solicitações'!C:C,"SIM",'Solicitações'!E:E,"",'Solicitações'!S:S,"PARCELA FIXA")+SUMIFS('Solicitações'!O:O,'Solicitações'!L:L,A4,'Solicitações'!C:C,"SIM",'Solicitações'!E:E,"ATENDER",'Solicitações'!S:S,"PARCELA FIXA")+SUMIFS('Solicitações'!O:O,'Solicitações'!L:L,A4,'Solicitações'!C:C,"SIM",'Solicitações'!E:E,"",'Solicitações'!S:S,"HORA DE VOO")+SUMIFS('Solicitações'!O:O,'Solicitações'!L:L,A4,'Solicitações'!C:C,"SIM",'Solicitações'!E:E,"ATENDER",'Solicitações'!S:S,"HORA DE VOO")</f>
        <v>0</v>
      </c>
      <c r="H4" s="170">
        <f t="shared" si="1"/>
        <v>2320057.71</v>
      </c>
      <c r="I4" s="169"/>
      <c r="J4" s="171"/>
    </row>
    <row r="5">
      <c r="A5" s="168" t="s">
        <v>45</v>
      </c>
      <c r="B5" s="169">
        <f>SUMIFS('Solicitações'!O:O,'Solicitações'!L:L,A5,'Solicitações'!C:C,"SIM")</f>
        <v>63849375.64</v>
      </c>
      <c r="C5" s="169">
        <f>SUMIFS('Solicitações'!O:O,'Solicitações'!L:L,A5,'Solicitações'!C:C,"SIM",'Solicitações'!E:E,"ATENDIDO")+SUMIFS('Solicitações'!O:O,'Solicitações'!L:L,A5,'Solicitações'!C:C,"SIM",'Solicitações'!E:E,"EM TRÂMITE")</f>
        <v>21892524.94</v>
      </c>
      <c r="D5" s="169">
        <f>SUMIFS('Solicitações'!O:O,'Solicitações'!L:L,A5,'Solicitações'!C:C,"SIM",'Solicitações'!E:E,"ATENDIDO",'Solicitações'!T:T,"&lt;&gt;NÃO")+SUMIFS('Solicitações'!O:O,'Solicitações'!L:L,A5,'Solicitações'!C:C,"SIM",'Solicitações'!E:E,"EM TRÂMITE",'Solicitações'!T:T,"&lt;&gt;NÃO")</f>
        <v>12899999.6</v>
      </c>
      <c r="E5" s="169">
        <f>SUMIFS('Solicitações'!O:O,'Solicitações'!L:L,A5,'Solicitações'!C:C,"SIM",'Solicitações'!E:E,"")+SUMIFS('Solicitações'!O:O,'Solicitações'!L:L,A5,'Solicitações'!C:C,"SIM",'Solicitações'!E:E,"ATENDER")</f>
        <v>24402222.2</v>
      </c>
      <c r="F5" s="169">
        <f>SUMIFS('Solicitações'!O:O,'Solicitações'!L:L,A5,'Solicitações'!C:C,"SIM",'Solicitações'!T:T,"&lt;&gt;NÃO")-D5</f>
        <v>27532220</v>
      </c>
      <c r="G5" s="169">
        <f>SUMIFS('Solicitações'!O:O,'Solicitações'!L:L,A5,'Solicitações'!C:C,"SIM",'Solicitações'!E:E,"",'Solicitações'!S:S,"PARCELA FIXA")+SUMIFS('Solicitações'!O:O,'Solicitações'!L:L,A5,'Solicitações'!C:C,"SIM",'Solicitações'!E:E,"ATENDER",'Solicitações'!S:S,"PARCELA FIXA")+SUMIFS('Solicitações'!O:O,'Solicitações'!L:L,A5,'Solicitações'!C:C,"SIM",'Solicitações'!E:E,"",'Solicitações'!S:S,"HORA DE VOO")+SUMIFS('Solicitações'!O:O,'Solicitações'!L:L,A5,'Solicitações'!C:C,"SIM",'Solicitações'!E:E,"ATENDER",'Solicitações'!S:S,"HORA DE VOO")</f>
        <v>6658962.2</v>
      </c>
      <c r="H5" s="170">
        <f t="shared" si="1"/>
        <v>-9788960</v>
      </c>
      <c r="I5" s="169"/>
      <c r="J5" s="171"/>
    </row>
    <row r="6">
      <c r="A6" s="168" t="s">
        <v>47</v>
      </c>
      <c r="B6" s="169">
        <f>SUMIFS('Solicitações'!O:O,'Solicitações'!L:L,A6,'Solicitações'!C:C,"SIM")</f>
        <v>9935639.8</v>
      </c>
      <c r="C6" s="169">
        <f>SUMIFS('Solicitações'!O:O,'Solicitações'!L:L,A6,'Solicitações'!C:C,"SIM",'Solicitações'!E:E,"ATENDIDO")+SUMIFS('Solicitações'!O:O,'Solicitações'!L:L,A6,'Solicitações'!C:C,"SIM",'Solicitações'!E:E,"EM TRÂMITE")</f>
        <v>9079089.47</v>
      </c>
      <c r="D6" s="169">
        <f>SUMIFS('Solicitações'!O:O,'Solicitações'!L:L,A6,'Solicitações'!C:C,"SIM",'Solicitações'!E:E,"ATENDIDO",'Solicitações'!T:T,"&lt;&gt;NÃO")+SUMIFS('Solicitações'!O:O,'Solicitações'!L:L,A6,'Solicitações'!C:C,"SIM",'Solicitações'!E:E,"EM TRÂMITE",'Solicitações'!T:T,"&lt;&gt;NÃO")</f>
        <v>0</v>
      </c>
      <c r="E6" s="169">
        <f>SUMIFS('Solicitações'!O:O,'Solicitações'!L:L,A6,'Solicitações'!C:C,"SIM",'Solicitações'!E:E,"")+SUMIFS('Solicitações'!O:O,'Solicitações'!L:L,A6,'Solicitações'!C:C,"SIM",'Solicitações'!E:E,"ATENDER")</f>
        <v>856550.33</v>
      </c>
      <c r="F6" s="174">
        <v>0.0</v>
      </c>
      <c r="G6" s="174">
        <v>0.0</v>
      </c>
      <c r="H6" s="170">
        <f t="shared" si="1"/>
        <v>856550.33</v>
      </c>
      <c r="I6" s="175"/>
      <c r="J6" s="168"/>
    </row>
    <row r="7">
      <c r="A7" s="168" t="s">
        <v>46</v>
      </c>
      <c r="B7" s="169">
        <f>SUMIFS('Solicitações'!O:O,'Solicitações'!L:L,A7,'Solicitações'!C:C,"SIM")</f>
        <v>49106172.08</v>
      </c>
      <c r="C7" s="169">
        <f>SUMIFS('Solicitações'!O:O,'Solicitações'!L:L,A7,'Solicitações'!C:C,"SIM",'Solicitações'!E:E,"ATENDIDO")+SUMIFS('Solicitações'!O:O,'Solicitações'!L:L,A7,'Solicitações'!C:C,"SIM",'Solicitações'!E:E,"EM TRÂMITE")</f>
        <v>27032179.83</v>
      </c>
      <c r="D7" s="169">
        <f>SUMIFS('Solicitações'!O:O,'Solicitações'!L:L,A7,'Solicitações'!C:C,"SIM",'Solicitações'!E:E,"ATENDIDO",'Solicitações'!T:T,"&lt;&gt;NÃO")+SUMIFS('Solicitações'!O:O,'Solicitações'!L:L,A7,'Solicitações'!C:C,"SIM",'Solicitações'!E:E,"EM TRÂMITE",'Solicitações'!T:T,"&lt;&gt;NÃO")</f>
        <v>17317330.32</v>
      </c>
      <c r="E7" s="169">
        <f>SUMIFS('Solicitações'!O:O,'Solicitações'!L:L,A7,'Solicitações'!C:C,"SIM",'Solicitações'!E:E,"")+SUMIFS('Solicitações'!O:O,'Solicitações'!L:L,A7,'Solicitações'!C:C,"SIM",'Solicitações'!E:E,"ATENDER")</f>
        <v>12473992.25</v>
      </c>
      <c r="F7" s="169">
        <f>SUMIFS('Solicitações'!O:O,'Solicitações'!L:L,A7,'Solicitações'!C:C,"SIM",'Solicitações'!T:T,"&lt;&gt;NÃO")-D7</f>
        <v>12392580.09</v>
      </c>
      <c r="G7" s="169">
        <f>SUMIFS('Solicitações'!O:O,'Solicitações'!L:L,A7,'Solicitações'!C:C,"SIM",'Solicitações'!E:E,"",'Solicitações'!S:S,"PARCELA FIXA")+SUMIFS('Solicitações'!O:O,'Solicitações'!L:L,A7,'Solicitações'!C:C,"SIM",'Solicitações'!E:E,"ATENDER",'Solicitações'!S:S,"PARCELA FIXA")+SUMIFS('Solicitações'!O:O,'Solicitações'!L:L,A7,'Solicitações'!C:C,"SIM",'Solicitações'!E:E,"",'Solicitações'!S:S,"HORA DE VOO")+SUMIFS('Solicitações'!O:O,'Solicitações'!L:L,A7,'Solicitações'!C:C,"SIM",'Solicitações'!E:E,"ATENDER",'Solicitações'!S:S,"HORA DE VOO")</f>
        <v>2212577</v>
      </c>
      <c r="H7" s="170">
        <f t="shared" si="1"/>
        <v>-2131164.84</v>
      </c>
      <c r="I7" s="169"/>
      <c r="J7" s="171"/>
    </row>
    <row r="8">
      <c r="A8" s="168" t="s">
        <v>49</v>
      </c>
      <c r="B8" s="169">
        <f>SUMIFS('Solicitações'!O:O,'Solicitações'!L:L,A8,'Solicitações'!C:C,"SIM")</f>
        <v>52654616.32</v>
      </c>
      <c r="C8" s="169">
        <f>SUMIFS('Solicitações'!O:O,'Solicitações'!L:L,A8,'Solicitações'!C:C,"SIM",'Solicitações'!E:E,"ATENDIDO")+SUMIFS('Solicitações'!O:O,'Solicitações'!L:L,A8,'Solicitações'!C:C,"SIM",'Solicitações'!E:E,"EM TRÂMITE")</f>
        <v>42991736.32</v>
      </c>
      <c r="D8" s="169">
        <f>SUMIFS('Solicitações'!O:O,'Solicitações'!L:L,A8,'Solicitações'!C:C,"SIM",'Solicitações'!E:E,"ATENDIDO",'Solicitações'!T:T,"&lt;&gt;NÃO")+SUMIFS('Solicitações'!O:O,'Solicitações'!L:L,A8,'Solicitações'!C:C,"SIM",'Solicitações'!E:E,"EM TRÂMITE",'Solicitações'!T:T,"&lt;&gt;NÃO")</f>
        <v>5500000</v>
      </c>
      <c r="E8" s="169">
        <f>SUMIFS('Solicitações'!O:O,'Solicitações'!L:L,A8,'Solicitações'!C:C,"SIM",'Solicitações'!E:E,"")+SUMIFS('Solicitações'!O:O,'Solicitações'!L:L,A8,'Solicitações'!C:C,"SIM",'Solicitações'!E:E,"ATENDER")</f>
        <v>0</v>
      </c>
      <c r="F8" s="169">
        <f>SUMIFS('Solicitações'!O:O,'Solicitações'!L:L,A8,'Solicitações'!C:C,"SIM",'Solicitações'!T:T,"&lt;&gt;NÃO")-D8</f>
        <v>0</v>
      </c>
      <c r="G8" s="169">
        <f>SUMIFS('Solicitações'!O:O,'Solicitações'!L:L,A8,'Solicitações'!C:C,"SIM",'Solicitações'!E:E,"",'Solicitações'!S:S,"PARCELA FIXA")+SUMIFS('Solicitações'!O:O,'Solicitações'!L:L,A8,'Solicitações'!C:C,"SIM",'Solicitações'!E:E,"ATENDER",'Solicitações'!S:S,"PARCELA FIXA")+SUMIFS('Solicitações'!O:O,'Solicitações'!L:L,A8,'Solicitações'!C:C,"SIM",'Solicitações'!E:E,"",'Solicitações'!S:S,"HORA DE VOO")+SUMIFS('Solicitações'!O:O,'Solicitações'!L:L,A8,'Solicitações'!C:C,"SIM",'Solicitações'!E:E,"ATENDER",'Solicitações'!S:S,"HORA DE VOO")</f>
        <v>0</v>
      </c>
      <c r="H8" s="170">
        <f t="shared" si="1"/>
        <v>0</v>
      </c>
      <c r="I8" s="169"/>
      <c r="J8" s="171"/>
    </row>
    <row r="9">
      <c r="A9" s="168" t="s">
        <v>48</v>
      </c>
      <c r="B9" s="169">
        <f>SUMIFS('Solicitações'!O:O,'Solicitações'!L:L,A9,'Solicitações'!C:C,"SIM")</f>
        <v>437136.29</v>
      </c>
      <c r="C9" s="169">
        <f>SUMIFS('Solicitações'!O:O,'Solicitações'!L:L,A9,'Solicitações'!C:C,"SIM",'Solicitações'!E:E,"ATENDIDO")+SUMIFS('Solicitações'!O:O,'Solicitações'!L:L,A9,'Solicitações'!C:C,"SIM",'Solicitações'!E:E,"EM TRÂMITE")</f>
        <v>272136.29</v>
      </c>
      <c r="D9" s="169">
        <f>SUMIFS('Solicitações'!O:O,'Solicitações'!L:L,A9,'Solicitações'!C:C,"SIM",'Solicitações'!E:E,"ATENDIDO",'Solicitações'!T:T,"&lt;&gt;NÃO")+SUMIFS('Solicitações'!O:O,'Solicitações'!L:L,A9,'Solicitações'!C:C,"SIM",'Solicitações'!E:E,"EM TRÂMITE",'Solicitações'!T:T,"&lt;&gt;NÃO")</f>
        <v>0</v>
      </c>
      <c r="E9" s="169">
        <f>SUMIFS('Solicitações'!O:O,'Solicitações'!L:L,A9,'Solicitações'!C:C,"SIM",'Solicitações'!E:E,"")+SUMIFS('Solicitações'!O:O,'Solicitações'!L:L,A9,'Solicitações'!C:C,"SIM",'Solicitações'!E:E,"ATENDER")</f>
        <v>165000</v>
      </c>
      <c r="F9" s="169">
        <f>SUMIFS('Solicitações'!O:O,'Solicitações'!L:L,A9,'Solicitações'!C:C,"SIM",'Solicitações'!T:T,"&lt;&gt;NÃO")-D9</f>
        <v>0</v>
      </c>
      <c r="G9" s="169">
        <f>SUMIFS('Solicitações'!O:O,'Solicitações'!L:L,A9,'Solicitações'!C:C,"SIM",'Solicitações'!E:E,"",'Solicitações'!S:S,"PARCELA FIXA")+SUMIFS('Solicitações'!O:O,'Solicitações'!L:L,A9,'Solicitações'!C:C,"SIM",'Solicitações'!E:E,"ATENDER",'Solicitações'!S:S,"PARCELA FIXA")+SUMIFS('Solicitações'!O:O,'Solicitações'!L:L,A9,'Solicitações'!C:C,"SIM",'Solicitações'!E:E,"",'Solicitações'!S:S,"HORA DE VOO")+SUMIFS('Solicitações'!O:O,'Solicitações'!L:L,A9,'Solicitações'!C:C,"SIM",'Solicitações'!E:E,"ATENDER",'Solicitações'!S:S,"HORA DE VOO")</f>
        <v>0</v>
      </c>
      <c r="H9" s="170">
        <f t="shared" si="1"/>
        <v>165000</v>
      </c>
      <c r="I9" s="177"/>
      <c r="J9" s="168"/>
    </row>
    <row r="10">
      <c r="A10" s="168" t="s">
        <v>50</v>
      </c>
      <c r="B10" s="169">
        <f>SUMIFS('Solicitações'!O:O,'Solicitações'!L:L,A10,'Solicitações'!C:C,"SIM")</f>
        <v>39711034.18</v>
      </c>
      <c r="C10" s="169">
        <f>SUMIFS('Solicitações'!O:O,'Solicitações'!L:L,A10,'Solicitações'!C:C,"SIM",'Solicitações'!E:E,"ATENDIDO")+SUMIFS('Solicitações'!O:O,'Solicitações'!L:L,A10,'Solicitações'!C:C,"SIM",'Solicitações'!E:E,"EM TRÂMITE")</f>
        <v>13022163</v>
      </c>
      <c r="D10" s="169">
        <f>SUMIFS('Solicitações'!O:O,'Solicitações'!L:L,A10,'Solicitações'!C:C,"SIM",'Solicitações'!E:E,"ATENDIDO",'Solicitações'!T:T,"&lt;&gt;NÃO")+SUMIFS('Solicitações'!O:O,'Solicitações'!L:L,A10,'Solicitações'!C:C,"SIM",'Solicitações'!E:E,"EM TRÂMITE",'Solicitações'!T:T,"&lt;&gt;NÃO")</f>
        <v>0</v>
      </c>
      <c r="E10" s="169">
        <f>SUMIFS('Solicitações'!O:O,'Solicitações'!L:L,A10,'Solicitações'!C:C,"SIM",'Solicitações'!E:E,"")+SUMIFS('Solicitações'!O:O,'Solicitações'!L:L,A10,'Solicitações'!C:C,"SIM",'Solicitações'!E:E,"ATENDER")</f>
        <v>18309871.18</v>
      </c>
      <c r="F10" s="169">
        <f>SUMIFS('Solicitações'!O:O,'Solicitações'!L:L,A10,'Solicitações'!C:C,"SIM",'Solicitações'!T:T,"&lt;&gt;NÃO")-D10</f>
        <v>0</v>
      </c>
      <c r="G10" s="169">
        <f>SUMIFS('Solicitações'!O:O,'Solicitações'!L:L,A10,'Solicitações'!C:C,"SIM",'Solicitações'!E:E,"",'Solicitações'!S:S,"PARCELA FIXA")+SUMIFS('Solicitações'!O:O,'Solicitações'!L:L,A10,'Solicitações'!C:C,"SIM",'Solicitações'!E:E,"ATENDER",'Solicitações'!S:S,"PARCELA FIXA")+SUMIFS('Solicitações'!O:O,'Solicitações'!L:L,A10,'Solicitações'!C:C,"SIM",'Solicitações'!E:E,"",'Solicitações'!S:S,"HORA DE VOO")+SUMIFS('Solicitações'!O:O,'Solicitações'!L:L,A10,'Solicitações'!C:C,"SIM",'Solicitações'!E:E,"ATENDER",'Solicitações'!S:S,"HORA DE VOO")</f>
        <v>0</v>
      </c>
      <c r="H10" s="170">
        <f t="shared" si="1"/>
        <v>18309871.18</v>
      </c>
      <c r="I10" s="178"/>
      <c r="J10" s="168"/>
    </row>
    <row r="11">
      <c r="B11" s="151"/>
      <c r="C11" s="151"/>
      <c r="D11" s="151"/>
      <c r="E11" s="151"/>
      <c r="F11" s="151"/>
    </row>
    <row r="12">
      <c r="B12" s="151"/>
      <c r="C12" s="151"/>
      <c r="D12" s="151"/>
      <c r="E12" s="151"/>
      <c r="F12" s="151"/>
    </row>
    <row r="13">
      <c r="B13" s="151"/>
      <c r="C13" s="151"/>
      <c r="D13" s="151"/>
      <c r="E13" s="151"/>
      <c r="F13" s="151"/>
    </row>
    <row r="14">
      <c r="B14" s="151"/>
      <c r="C14" s="151"/>
      <c r="D14" s="151"/>
      <c r="E14" s="151"/>
      <c r="F14" s="151"/>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3.0"/>
    <col customWidth="1" min="3" max="3" width="19.0"/>
    <col customWidth="1" min="4" max="4" width="12.13"/>
    <col customWidth="1" min="5" max="5" width="21.38"/>
    <col customWidth="1" min="6" max="6" width="26.0"/>
    <col customWidth="1" min="7" max="7" width="13.38"/>
    <col customWidth="1" min="8" max="8" width="18.25"/>
    <col customWidth="1" min="9" max="9" width="18.88"/>
    <col customWidth="1" min="10" max="10" width="9.25"/>
    <col customWidth="1" min="11" max="11" width="8.25"/>
    <col customWidth="1" min="12" max="12" width="10.38"/>
    <col customWidth="1" min="13" max="13" width="13.13"/>
    <col customWidth="1" min="14" max="14" width="13.38"/>
    <col customWidth="1" min="15" max="15" width="18.0"/>
    <col customWidth="1" min="16" max="17" width="13.38"/>
    <col customWidth="1" min="18" max="18" width="17.0"/>
    <col customWidth="1" min="19" max="20" width="71.38"/>
    <col customWidth="1" min="21" max="21" width="11.25"/>
    <col customWidth="1" min="22" max="22" width="19.38"/>
    <col customWidth="1" min="23" max="24" width="17.0"/>
    <col customWidth="1" min="25" max="25" width="9.63"/>
    <col customWidth="1" min="26" max="26" width="7.13"/>
    <col customWidth="1" min="27" max="27" width="18.25"/>
    <col customWidth="1" min="28" max="28" width="23.38"/>
    <col customWidth="1" min="29" max="29" width="28.0"/>
    <col customWidth="1" min="30" max="30" width="25.38"/>
    <col customWidth="1" min="31" max="31" width="18.13"/>
    <col customWidth="1" min="32" max="41" width="148.75"/>
  </cols>
  <sheetData>
    <row r="1" ht="27.0" customHeight="1">
      <c r="A1" s="182" t="s">
        <v>170</v>
      </c>
      <c r="B1" s="182" t="s">
        <v>171</v>
      </c>
      <c r="C1" s="182" t="s">
        <v>172</v>
      </c>
      <c r="D1" s="182" t="s">
        <v>173</v>
      </c>
      <c r="E1" s="182" t="s">
        <v>174</v>
      </c>
      <c r="F1" s="182" t="s">
        <v>175</v>
      </c>
      <c r="G1" s="183" t="s">
        <v>176</v>
      </c>
      <c r="H1" s="182" t="s">
        <v>177</v>
      </c>
      <c r="I1" s="182" t="s">
        <v>178</v>
      </c>
      <c r="J1" s="182" t="s">
        <v>179</v>
      </c>
      <c r="K1" s="182" t="s">
        <v>180</v>
      </c>
      <c r="L1" s="182" t="s">
        <v>29</v>
      </c>
      <c r="M1" s="182" t="s">
        <v>181</v>
      </c>
      <c r="N1" s="182" t="s">
        <v>182</v>
      </c>
      <c r="O1" s="182" t="s">
        <v>183</v>
      </c>
      <c r="P1" s="182" t="s">
        <v>184</v>
      </c>
      <c r="Q1" s="184" t="s">
        <v>185</v>
      </c>
      <c r="R1" s="184" t="s">
        <v>186</v>
      </c>
      <c r="S1" s="184" t="s">
        <v>187</v>
      </c>
      <c r="T1" s="184" t="s">
        <v>188</v>
      </c>
      <c r="U1" s="184" t="s">
        <v>189</v>
      </c>
      <c r="V1" s="182" t="s">
        <v>190</v>
      </c>
      <c r="W1" s="182" t="s">
        <v>191</v>
      </c>
      <c r="X1" s="182" t="s">
        <v>192</v>
      </c>
      <c r="Y1" s="182" t="s">
        <v>193</v>
      </c>
      <c r="Z1" s="185" t="s">
        <v>194</v>
      </c>
      <c r="AA1" s="186" t="s">
        <v>195</v>
      </c>
      <c r="AB1" s="187" t="s">
        <v>196</v>
      </c>
      <c r="AC1" s="187" t="s">
        <v>197</v>
      </c>
      <c r="AD1" s="187" t="s">
        <v>198</v>
      </c>
      <c r="AE1" s="182" t="s">
        <v>199</v>
      </c>
      <c r="AF1" s="189" t="s">
        <v>200</v>
      </c>
      <c r="AG1" s="190"/>
      <c r="AH1" s="191" t="s">
        <v>201</v>
      </c>
      <c r="AI1" s="191" t="s">
        <v>202</v>
      </c>
      <c r="AJ1" s="192"/>
      <c r="AK1" s="190"/>
      <c r="AL1" s="190"/>
      <c r="AM1" s="190"/>
      <c r="AN1" s="190"/>
      <c r="AO1" s="190"/>
    </row>
    <row r="2">
      <c r="A2" s="193">
        <v>10000.0</v>
      </c>
      <c r="B2" s="194" t="s">
        <v>203</v>
      </c>
      <c r="C2" s="193">
        <v>2026.0</v>
      </c>
      <c r="D2" s="195">
        <v>2048.0</v>
      </c>
      <c r="E2" s="196"/>
      <c r="F2" s="193" t="s">
        <v>204</v>
      </c>
      <c r="G2" s="197">
        <v>46033.0</v>
      </c>
      <c r="H2" s="193">
        <v>31.0</v>
      </c>
      <c r="I2" s="198">
        <v>46052.0</v>
      </c>
      <c r="J2" s="193" t="s">
        <v>205</v>
      </c>
      <c r="K2" s="193" t="s">
        <v>206</v>
      </c>
      <c r="L2" s="194" t="s">
        <v>144</v>
      </c>
      <c r="M2" s="199"/>
      <c r="N2" s="193" t="s">
        <v>207</v>
      </c>
      <c r="O2" s="200" t="s">
        <v>206</v>
      </c>
      <c r="P2" s="200" t="s">
        <v>206</v>
      </c>
      <c r="Q2" s="201"/>
      <c r="R2" s="193" t="s">
        <v>208</v>
      </c>
      <c r="S2" s="193" t="s">
        <v>39</v>
      </c>
      <c r="T2" s="200" t="s">
        <v>209</v>
      </c>
      <c r="U2" s="193" t="s">
        <v>210</v>
      </c>
      <c r="V2" s="193" t="s">
        <v>211</v>
      </c>
      <c r="W2" s="193" t="s">
        <v>212</v>
      </c>
      <c r="X2" s="193" t="s">
        <v>213</v>
      </c>
      <c r="Y2" s="193">
        <v>3.0</v>
      </c>
      <c r="Z2" s="202" t="s">
        <v>214</v>
      </c>
      <c r="AA2" s="202" t="s">
        <v>215</v>
      </c>
      <c r="AB2" s="203">
        <v>664243.94</v>
      </c>
      <c r="AC2" s="203">
        <v>664243.94</v>
      </c>
      <c r="AD2" s="204">
        <v>46048.0</v>
      </c>
      <c r="AE2" s="204">
        <v>46107.0</v>
      </c>
      <c r="AF2" s="205"/>
      <c r="AG2" s="206"/>
      <c r="AH2" s="206"/>
      <c r="AI2" s="206"/>
      <c r="AJ2" s="206"/>
      <c r="AK2" s="206"/>
      <c r="AL2" s="206"/>
      <c r="AM2" s="206"/>
      <c r="AN2" s="206"/>
      <c r="AO2" s="206"/>
    </row>
    <row r="3" ht="16.5" customHeight="1">
      <c r="A3" s="193">
        <v>10001.0</v>
      </c>
      <c r="B3" s="194" t="s">
        <v>203</v>
      </c>
      <c r="C3" s="193">
        <v>2026.0</v>
      </c>
      <c r="D3" s="195">
        <v>2048.0</v>
      </c>
      <c r="E3" s="199"/>
      <c r="F3" s="193" t="s">
        <v>204</v>
      </c>
      <c r="G3" s="198">
        <v>46052.0</v>
      </c>
      <c r="H3" s="193">
        <v>30.0</v>
      </c>
      <c r="I3" s="198">
        <v>46052.0</v>
      </c>
      <c r="J3" s="193" t="s">
        <v>216</v>
      </c>
      <c r="K3" s="193" t="s">
        <v>206</v>
      </c>
      <c r="L3" s="194" t="s">
        <v>144</v>
      </c>
      <c r="M3" s="199"/>
      <c r="N3" s="193" t="s">
        <v>207</v>
      </c>
      <c r="O3" s="193" t="s">
        <v>206</v>
      </c>
      <c r="P3" s="193" t="s">
        <v>206</v>
      </c>
      <c r="Q3" s="207"/>
      <c r="R3" s="208" t="s">
        <v>208</v>
      </c>
      <c r="S3" s="193" t="s">
        <v>39</v>
      </c>
      <c r="T3" s="193" t="s">
        <v>209</v>
      </c>
      <c r="U3" s="193" t="s">
        <v>210</v>
      </c>
      <c r="V3" s="200" t="s">
        <v>211</v>
      </c>
      <c r="W3" s="193" t="s">
        <v>212</v>
      </c>
      <c r="X3" s="193" t="s">
        <v>213</v>
      </c>
      <c r="Y3" s="200">
        <v>3.0</v>
      </c>
      <c r="Z3" s="202" t="s">
        <v>214</v>
      </c>
      <c r="AA3" s="202" t="s">
        <v>215</v>
      </c>
      <c r="AB3" s="203">
        <v>1645756.06</v>
      </c>
      <c r="AC3" s="203">
        <v>1645756.06</v>
      </c>
      <c r="AD3" s="204">
        <v>46048.0</v>
      </c>
      <c r="AE3" s="204">
        <v>46107.0</v>
      </c>
      <c r="AF3" s="205"/>
      <c r="AG3" s="206"/>
      <c r="AH3" s="206"/>
      <c r="AI3" s="209"/>
      <c r="AJ3" s="206"/>
      <c r="AK3" s="206"/>
      <c r="AL3" s="206"/>
      <c r="AM3" s="206"/>
      <c r="AN3" s="206"/>
      <c r="AO3" s="206"/>
    </row>
    <row r="4" ht="17.25" customHeight="1">
      <c r="A4" s="193">
        <v>10020.0</v>
      </c>
      <c r="B4" s="194" t="s">
        <v>203</v>
      </c>
      <c r="C4" s="193">
        <v>2026.0</v>
      </c>
      <c r="D4" s="195">
        <v>2048.0</v>
      </c>
      <c r="E4" s="199"/>
      <c r="F4" s="193" t="s">
        <v>204</v>
      </c>
      <c r="G4" s="198">
        <v>46041.0</v>
      </c>
      <c r="H4" s="193">
        <v>5.0</v>
      </c>
      <c r="I4" s="198">
        <v>46041.0</v>
      </c>
      <c r="J4" s="193" t="s">
        <v>218</v>
      </c>
      <c r="K4" s="193" t="s">
        <v>206</v>
      </c>
      <c r="L4" s="212" t="s">
        <v>144</v>
      </c>
      <c r="M4" s="213"/>
      <c r="N4" s="193" t="s">
        <v>207</v>
      </c>
      <c r="O4" s="193" t="s">
        <v>206</v>
      </c>
      <c r="P4" s="193" t="s">
        <v>206</v>
      </c>
      <c r="Q4" s="207"/>
      <c r="R4" s="208" t="s">
        <v>219</v>
      </c>
      <c r="S4" s="193" t="s">
        <v>44</v>
      </c>
      <c r="T4" s="193" t="s">
        <v>220</v>
      </c>
      <c r="U4" s="193" t="s">
        <v>210</v>
      </c>
      <c r="V4" s="193" t="s">
        <v>211</v>
      </c>
      <c r="W4" s="193" t="s">
        <v>212</v>
      </c>
      <c r="X4" s="193" t="s">
        <v>213</v>
      </c>
      <c r="Y4" s="200">
        <v>3.0</v>
      </c>
      <c r="Z4" s="202" t="s">
        <v>214</v>
      </c>
      <c r="AA4" s="202" t="s">
        <v>215</v>
      </c>
      <c r="AB4" s="203">
        <v>332718.75</v>
      </c>
      <c r="AC4" s="203">
        <v>332718.75</v>
      </c>
      <c r="AD4" s="204">
        <v>46048.0</v>
      </c>
      <c r="AE4" s="204">
        <v>46107.0</v>
      </c>
      <c r="AF4" s="205"/>
      <c r="AG4" s="206"/>
      <c r="AH4" s="206"/>
      <c r="AI4" s="206"/>
      <c r="AJ4" s="206"/>
      <c r="AK4" s="206"/>
      <c r="AL4" s="206"/>
      <c r="AM4" s="206"/>
      <c r="AN4" s="206"/>
      <c r="AO4" s="206"/>
    </row>
    <row r="5">
      <c r="A5" s="193">
        <v>10040.0</v>
      </c>
      <c r="B5" s="194" t="s">
        <v>203</v>
      </c>
      <c r="C5" s="193">
        <v>2026.0</v>
      </c>
      <c r="D5" s="195">
        <v>2048.0</v>
      </c>
      <c r="E5" s="196"/>
      <c r="F5" s="193" t="s">
        <v>204</v>
      </c>
      <c r="G5" s="197">
        <v>46041.0</v>
      </c>
      <c r="H5" s="193">
        <v>6.0</v>
      </c>
      <c r="I5" s="198">
        <v>46041.0</v>
      </c>
      <c r="J5" s="193" t="s">
        <v>221</v>
      </c>
      <c r="K5" s="193" t="s">
        <v>206</v>
      </c>
      <c r="L5" s="194" t="s">
        <v>144</v>
      </c>
      <c r="M5" s="199"/>
      <c r="N5" s="193" t="s">
        <v>207</v>
      </c>
      <c r="O5" s="193" t="s">
        <v>206</v>
      </c>
      <c r="P5" s="193" t="s">
        <v>206</v>
      </c>
      <c r="Q5" s="199"/>
      <c r="R5" s="193" t="s">
        <v>219</v>
      </c>
      <c r="S5" s="193" t="s">
        <v>44</v>
      </c>
      <c r="T5" s="193" t="s">
        <v>220</v>
      </c>
      <c r="U5" s="193" t="s">
        <v>222</v>
      </c>
      <c r="V5" s="193" t="s">
        <v>211</v>
      </c>
      <c r="W5" s="193" t="s">
        <v>212</v>
      </c>
      <c r="X5" s="193" t="s">
        <v>223</v>
      </c>
      <c r="Y5" s="200">
        <v>3.0</v>
      </c>
      <c r="Z5" s="202" t="s">
        <v>214</v>
      </c>
      <c r="AA5" s="202" t="s">
        <v>215</v>
      </c>
      <c r="AB5" s="203">
        <v>581400.0</v>
      </c>
      <c r="AC5" s="203">
        <v>581400.0</v>
      </c>
      <c r="AD5" s="204">
        <v>46048.0</v>
      </c>
      <c r="AE5" s="204">
        <v>46107.0</v>
      </c>
      <c r="AF5" s="205"/>
      <c r="AG5" s="206"/>
      <c r="AH5" s="206"/>
      <c r="AI5" s="206"/>
      <c r="AJ5" s="206"/>
      <c r="AK5" s="206"/>
      <c r="AL5" s="206"/>
      <c r="AM5" s="206"/>
      <c r="AN5" s="206"/>
      <c r="AO5" s="206"/>
    </row>
    <row r="6">
      <c r="A6" s="193">
        <v>10060.0</v>
      </c>
      <c r="B6" s="194" t="s">
        <v>203</v>
      </c>
      <c r="C6" s="193">
        <v>2026.0</v>
      </c>
      <c r="D6" s="195">
        <v>2048.0</v>
      </c>
      <c r="E6" s="199"/>
      <c r="F6" s="193" t="s">
        <v>204</v>
      </c>
      <c r="G6" s="215">
        <v>46055.0</v>
      </c>
      <c r="H6" s="193">
        <v>33.0</v>
      </c>
      <c r="I6" s="215">
        <v>46055.0</v>
      </c>
      <c r="J6" s="193" t="s">
        <v>224</v>
      </c>
      <c r="K6" s="193" t="s">
        <v>206</v>
      </c>
      <c r="L6" s="194" t="s">
        <v>144</v>
      </c>
      <c r="M6" s="199"/>
      <c r="N6" s="193" t="s">
        <v>207</v>
      </c>
      <c r="O6" s="193" t="s">
        <v>206</v>
      </c>
      <c r="P6" s="193" t="s">
        <v>206</v>
      </c>
      <c r="Q6" s="199"/>
      <c r="R6" s="193" t="s">
        <v>219</v>
      </c>
      <c r="S6" s="193" t="s">
        <v>44</v>
      </c>
      <c r="T6" s="193" t="s">
        <v>220</v>
      </c>
      <c r="U6" s="193" t="s">
        <v>225</v>
      </c>
      <c r="V6" s="193" t="s">
        <v>211</v>
      </c>
      <c r="W6" s="193" t="s">
        <v>212</v>
      </c>
      <c r="X6" s="193" t="s">
        <v>223</v>
      </c>
      <c r="Y6" s="200">
        <v>3.0</v>
      </c>
      <c r="Z6" s="202" t="s">
        <v>214</v>
      </c>
      <c r="AA6" s="202" t="s">
        <v>215</v>
      </c>
      <c r="AB6" s="203">
        <v>2182992.97</v>
      </c>
      <c r="AC6" s="203">
        <v>2182992.97</v>
      </c>
      <c r="AD6" s="204">
        <v>46079.0</v>
      </c>
      <c r="AE6" s="204">
        <v>46107.0</v>
      </c>
      <c r="AF6" s="205"/>
      <c r="AG6" s="206"/>
      <c r="AH6" s="206"/>
      <c r="AI6" s="206"/>
      <c r="AJ6" s="206"/>
      <c r="AK6" s="206"/>
      <c r="AL6" s="206"/>
      <c r="AM6" s="206"/>
      <c r="AN6" s="206"/>
      <c r="AO6" s="206"/>
    </row>
    <row r="7">
      <c r="A7" s="193">
        <v>10061.0</v>
      </c>
      <c r="B7" s="194" t="s">
        <v>203</v>
      </c>
      <c r="C7" s="193">
        <v>2026.0</v>
      </c>
      <c r="D7" s="195">
        <v>2048.0</v>
      </c>
      <c r="E7" s="196"/>
      <c r="F7" s="193" t="s">
        <v>204</v>
      </c>
      <c r="G7" s="217">
        <v>46057.0</v>
      </c>
      <c r="H7" s="193">
        <v>44.0</v>
      </c>
      <c r="I7" s="215">
        <v>46057.0</v>
      </c>
      <c r="J7" s="193" t="s">
        <v>226</v>
      </c>
      <c r="K7" s="193" t="s">
        <v>206</v>
      </c>
      <c r="L7" s="194" t="s">
        <v>144</v>
      </c>
      <c r="M7" s="199"/>
      <c r="N7" s="193" t="s">
        <v>207</v>
      </c>
      <c r="O7" s="193" t="s">
        <v>206</v>
      </c>
      <c r="P7" s="193" t="s">
        <v>206</v>
      </c>
      <c r="Q7" s="199"/>
      <c r="R7" s="193" t="s">
        <v>219</v>
      </c>
      <c r="S7" s="193" t="s">
        <v>44</v>
      </c>
      <c r="T7" s="193" t="s">
        <v>220</v>
      </c>
      <c r="U7" s="193" t="s">
        <v>225</v>
      </c>
      <c r="V7" s="193" t="s">
        <v>211</v>
      </c>
      <c r="W7" s="193" t="s">
        <v>212</v>
      </c>
      <c r="X7" s="193" t="s">
        <v>223</v>
      </c>
      <c r="Y7" s="200">
        <v>3.0</v>
      </c>
      <c r="Z7" s="202" t="s">
        <v>214</v>
      </c>
      <c r="AA7" s="202" t="s">
        <v>215</v>
      </c>
      <c r="AB7" s="203">
        <v>221702.86</v>
      </c>
      <c r="AC7" s="203">
        <v>221702.86</v>
      </c>
      <c r="AD7" s="204">
        <v>46079.0</v>
      </c>
      <c r="AE7" s="204">
        <v>46107.0</v>
      </c>
      <c r="AF7" s="205"/>
      <c r="AG7" s="219"/>
      <c r="AH7" s="219"/>
      <c r="AI7" s="219"/>
      <c r="AJ7" s="219"/>
      <c r="AK7" s="219"/>
      <c r="AL7" s="219"/>
      <c r="AM7" s="219"/>
      <c r="AN7" s="219"/>
      <c r="AO7" s="219"/>
    </row>
    <row r="8">
      <c r="A8" s="193">
        <v>10062.0</v>
      </c>
      <c r="B8" s="194" t="s">
        <v>203</v>
      </c>
      <c r="C8" s="193">
        <v>2026.0</v>
      </c>
      <c r="D8" s="195">
        <v>2048.0</v>
      </c>
      <c r="E8" s="196"/>
      <c r="F8" s="193" t="s">
        <v>204</v>
      </c>
      <c r="G8" s="217">
        <v>46055.0</v>
      </c>
      <c r="H8" s="193">
        <v>33.0</v>
      </c>
      <c r="I8" s="215">
        <v>46055.0</v>
      </c>
      <c r="J8" s="193" t="s">
        <v>224</v>
      </c>
      <c r="K8" s="193" t="s">
        <v>206</v>
      </c>
      <c r="L8" s="194" t="s">
        <v>144</v>
      </c>
      <c r="M8" s="199"/>
      <c r="N8" s="193" t="s">
        <v>207</v>
      </c>
      <c r="O8" s="193" t="s">
        <v>206</v>
      </c>
      <c r="P8" s="193" t="s">
        <v>206</v>
      </c>
      <c r="Q8" s="207"/>
      <c r="R8" s="208" t="s">
        <v>219</v>
      </c>
      <c r="S8" s="193" t="s">
        <v>44</v>
      </c>
      <c r="T8" s="193" t="s">
        <v>220</v>
      </c>
      <c r="U8" s="193" t="s">
        <v>225</v>
      </c>
      <c r="V8" s="193" t="s">
        <v>211</v>
      </c>
      <c r="W8" s="193" t="s">
        <v>212</v>
      </c>
      <c r="X8" s="193" t="s">
        <v>223</v>
      </c>
      <c r="Y8" s="200">
        <v>3.0</v>
      </c>
      <c r="Z8" s="202" t="s">
        <v>214</v>
      </c>
      <c r="AA8" s="202" t="s">
        <v>215</v>
      </c>
      <c r="AB8" s="203">
        <v>167804.17</v>
      </c>
      <c r="AC8" s="203">
        <v>167804.17</v>
      </c>
      <c r="AD8" s="204">
        <v>46079.0</v>
      </c>
      <c r="AE8" s="204">
        <v>46107.0</v>
      </c>
      <c r="AF8" s="205"/>
      <c r="AG8" s="206"/>
      <c r="AH8" s="206"/>
      <c r="AI8" s="206"/>
      <c r="AJ8" s="206"/>
      <c r="AK8" s="206"/>
      <c r="AL8" s="206"/>
      <c r="AM8" s="206"/>
      <c r="AN8" s="206"/>
      <c r="AO8" s="206"/>
    </row>
    <row r="9">
      <c r="A9" s="193">
        <v>10080.0</v>
      </c>
      <c r="B9" s="194" t="s">
        <v>203</v>
      </c>
      <c r="C9" s="193">
        <v>2026.0</v>
      </c>
      <c r="D9" s="195">
        <v>2048.0</v>
      </c>
      <c r="E9" s="193">
        <v>26.0</v>
      </c>
      <c r="F9" s="199"/>
      <c r="G9" s="220"/>
      <c r="H9" s="199"/>
      <c r="I9" s="220"/>
      <c r="J9" s="199"/>
      <c r="K9" s="193" t="s">
        <v>206</v>
      </c>
      <c r="L9" s="194" t="s">
        <v>144</v>
      </c>
      <c r="M9" s="199"/>
      <c r="N9" s="193" t="s">
        <v>227</v>
      </c>
      <c r="O9" s="193" t="s">
        <v>206</v>
      </c>
      <c r="P9" s="193" t="s">
        <v>206</v>
      </c>
      <c r="Q9" s="199"/>
      <c r="R9" s="193" t="s">
        <v>228</v>
      </c>
      <c r="S9" s="193" t="s">
        <v>47</v>
      </c>
      <c r="T9" s="193" t="s">
        <v>229</v>
      </c>
      <c r="U9" s="193" t="s">
        <v>230</v>
      </c>
      <c r="V9" s="193" t="s">
        <v>231</v>
      </c>
      <c r="W9" s="193" t="s">
        <v>212</v>
      </c>
      <c r="X9" s="193" t="s">
        <v>232</v>
      </c>
      <c r="Y9" s="200">
        <v>3.0</v>
      </c>
      <c r="Z9" s="202" t="s">
        <v>233</v>
      </c>
      <c r="AA9" s="202" t="s">
        <v>234</v>
      </c>
      <c r="AB9" s="221"/>
      <c r="AC9" s="203">
        <v>374409.15</v>
      </c>
      <c r="AD9" s="204">
        <v>46229.0</v>
      </c>
      <c r="AE9" s="204">
        <v>46291.0</v>
      </c>
      <c r="AF9" s="205"/>
      <c r="AG9" s="206"/>
      <c r="AH9" s="206"/>
      <c r="AI9" s="206"/>
      <c r="AJ9" s="206"/>
      <c r="AK9" s="206"/>
      <c r="AL9" s="206"/>
      <c r="AM9" s="206"/>
      <c r="AN9" s="206"/>
      <c r="AO9" s="206"/>
    </row>
    <row r="10">
      <c r="A10" s="193">
        <v>10081.0</v>
      </c>
      <c r="B10" s="194" t="s">
        <v>203</v>
      </c>
      <c r="C10" s="193">
        <v>2026.0</v>
      </c>
      <c r="D10" s="195">
        <v>2048.0</v>
      </c>
      <c r="E10" s="199"/>
      <c r="F10" s="222" t="s">
        <v>204</v>
      </c>
      <c r="G10" s="223">
        <v>46098.0</v>
      </c>
      <c r="H10" s="193">
        <v>165.0</v>
      </c>
      <c r="I10" s="223">
        <v>46098.0</v>
      </c>
      <c r="J10" s="193" t="s">
        <v>235</v>
      </c>
      <c r="K10" s="193" t="s">
        <v>206</v>
      </c>
      <c r="L10" s="194" t="s">
        <v>144</v>
      </c>
      <c r="M10" s="199"/>
      <c r="N10" s="193" t="s">
        <v>227</v>
      </c>
      <c r="O10" s="193" t="s">
        <v>206</v>
      </c>
      <c r="P10" s="193" t="s">
        <v>206</v>
      </c>
      <c r="Q10" s="207"/>
      <c r="R10" s="208" t="s">
        <v>228</v>
      </c>
      <c r="S10" s="193" t="s">
        <v>47</v>
      </c>
      <c r="T10" s="193" t="s">
        <v>229</v>
      </c>
      <c r="U10" s="193" t="s">
        <v>236</v>
      </c>
      <c r="V10" s="193" t="s">
        <v>237</v>
      </c>
      <c r="W10" s="193" t="s">
        <v>212</v>
      </c>
      <c r="X10" s="193" t="s">
        <v>232</v>
      </c>
      <c r="Y10" s="200">
        <v>3.0</v>
      </c>
      <c r="Z10" s="202" t="s">
        <v>214</v>
      </c>
      <c r="AA10" s="202" t="s">
        <v>234</v>
      </c>
      <c r="AB10" s="203">
        <v>48257.56</v>
      </c>
      <c r="AC10" s="203">
        <v>260590.85</v>
      </c>
      <c r="AD10" s="204">
        <v>46107.0</v>
      </c>
      <c r="AE10" s="204">
        <v>46107.0</v>
      </c>
      <c r="AF10" s="205"/>
      <c r="AG10" s="219"/>
      <c r="AH10" s="219"/>
      <c r="AI10" s="219"/>
      <c r="AJ10" s="219"/>
      <c r="AK10" s="219"/>
      <c r="AL10" s="219"/>
      <c r="AM10" s="219"/>
      <c r="AN10" s="219"/>
      <c r="AO10" s="219"/>
    </row>
    <row r="11">
      <c r="A11" s="193">
        <v>10100.0</v>
      </c>
      <c r="B11" s="194" t="s">
        <v>203</v>
      </c>
      <c r="C11" s="193">
        <v>2026.0</v>
      </c>
      <c r="D11" s="195">
        <v>2048.0</v>
      </c>
      <c r="E11" s="224">
        <v>39.0</v>
      </c>
      <c r="F11" s="199"/>
      <c r="G11" s="225"/>
      <c r="H11" s="199"/>
      <c r="I11" s="220"/>
      <c r="J11" s="199"/>
      <c r="K11" s="193" t="s">
        <v>206</v>
      </c>
      <c r="L11" s="194" t="s">
        <v>144</v>
      </c>
      <c r="M11" s="199"/>
      <c r="N11" s="193" t="s">
        <v>227</v>
      </c>
      <c r="O11" s="193" t="s">
        <v>206</v>
      </c>
      <c r="P11" s="193" t="s">
        <v>206</v>
      </c>
      <c r="Q11" s="199"/>
      <c r="R11" s="193" t="s">
        <v>228</v>
      </c>
      <c r="S11" s="193" t="s">
        <v>47</v>
      </c>
      <c r="T11" s="193" t="s">
        <v>229</v>
      </c>
      <c r="U11" s="193" t="s">
        <v>230</v>
      </c>
      <c r="V11" s="193" t="s">
        <v>231</v>
      </c>
      <c r="W11" s="193" t="s">
        <v>212</v>
      </c>
      <c r="X11" s="193" t="s">
        <v>232</v>
      </c>
      <c r="Y11" s="200">
        <v>3.0</v>
      </c>
      <c r="Z11" s="202" t="s">
        <v>233</v>
      </c>
      <c r="AA11" s="202" t="s">
        <v>234</v>
      </c>
      <c r="AB11" s="221"/>
      <c r="AC11" s="203">
        <v>10000.0</v>
      </c>
      <c r="AD11" s="204">
        <v>46291.0</v>
      </c>
      <c r="AE11" s="204">
        <v>46352.0</v>
      </c>
      <c r="AF11" s="205"/>
      <c r="AG11" s="206"/>
      <c r="AH11" s="206"/>
      <c r="AI11" s="206"/>
      <c r="AJ11" s="206"/>
      <c r="AK11" s="206"/>
      <c r="AL11" s="206"/>
      <c r="AM11" s="206"/>
      <c r="AN11" s="206"/>
      <c r="AO11" s="206"/>
    </row>
    <row r="12">
      <c r="A12" s="193">
        <v>10120.0</v>
      </c>
      <c r="B12" s="194" t="s">
        <v>203</v>
      </c>
      <c r="C12" s="193">
        <v>2026.0</v>
      </c>
      <c r="D12" s="195">
        <v>2048.0</v>
      </c>
      <c r="E12" s="199"/>
      <c r="F12" s="207"/>
      <c r="G12" s="220"/>
      <c r="H12" s="199"/>
      <c r="I12" s="220"/>
      <c r="J12" s="199"/>
      <c r="K12" s="193" t="s">
        <v>206</v>
      </c>
      <c r="L12" s="194" t="s">
        <v>144</v>
      </c>
      <c r="M12" s="199"/>
      <c r="N12" s="193" t="s">
        <v>227</v>
      </c>
      <c r="O12" s="193" t="s">
        <v>206</v>
      </c>
      <c r="P12" s="193" t="s">
        <v>206</v>
      </c>
      <c r="Q12" s="199"/>
      <c r="R12" s="193" t="s">
        <v>228</v>
      </c>
      <c r="S12" s="193" t="s">
        <v>46</v>
      </c>
      <c r="T12" s="193" t="s">
        <v>229</v>
      </c>
      <c r="U12" s="193" t="s">
        <v>236</v>
      </c>
      <c r="V12" s="193" t="s">
        <v>237</v>
      </c>
      <c r="W12" s="193" t="s">
        <v>212</v>
      </c>
      <c r="X12" s="193" t="s">
        <v>232</v>
      </c>
      <c r="Y12" s="200">
        <v>3.0</v>
      </c>
      <c r="Z12" s="202" t="s">
        <v>214</v>
      </c>
      <c r="AA12" s="202" t="s">
        <v>234</v>
      </c>
      <c r="AB12" s="221"/>
      <c r="AC12" s="203">
        <v>391353.59</v>
      </c>
      <c r="AD12" s="204">
        <v>46229.0</v>
      </c>
      <c r="AE12" s="204">
        <v>46291.0</v>
      </c>
      <c r="AF12" s="226" t="s">
        <v>238</v>
      </c>
      <c r="AG12" s="219"/>
      <c r="AH12" s="219"/>
      <c r="AI12" s="219"/>
      <c r="AJ12" s="219"/>
      <c r="AK12" s="219"/>
      <c r="AL12" s="219"/>
      <c r="AM12" s="219"/>
      <c r="AN12" s="219"/>
      <c r="AO12" s="219"/>
    </row>
    <row r="13">
      <c r="A13" s="193">
        <v>10121.0</v>
      </c>
      <c r="B13" s="194" t="s">
        <v>203</v>
      </c>
      <c r="C13" s="193">
        <v>2026.0</v>
      </c>
      <c r="D13" s="195">
        <v>2048.0</v>
      </c>
      <c r="E13" s="199"/>
      <c r="F13" s="227" t="s">
        <v>204</v>
      </c>
      <c r="G13" s="223">
        <v>46098.0</v>
      </c>
      <c r="H13" s="193">
        <v>166.0</v>
      </c>
      <c r="I13" s="223">
        <v>46098.0</v>
      </c>
      <c r="J13" s="193" t="s">
        <v>239</v>
      </c>
      <c r="K13" s="193" t="s">
        <v>206</v>
      </c>
      <c r="L13" s="194" t="s">
        <v>144</v>
      </c>
      <c r="M13" s="199"/>
      <c r="N13" s="193" t="s">
        <v>227</v>
      </c>
      <c r="O13" s="193" t="s">
        <v>206</v>
      </c>
      <c r="P13" s="193" t="s">
        <v>206</v>
      </c>
      <c r="Q13" s="199"/>
      <c r="R13" s="193" t="s">
        <v>228</v>
      </c>
      <c r="S13" s="193" t="s">
        <v>46</v>
      </c>
      <c r="T13" s="193" t="s">
        <v>229</v>
      </c>
      <c r="U13" s="193" t="s">
        <v>236</v>
      </c>
      <c r="V13" s="193" t="s">
        <v>237</v>
      </c>
      <c r="W13" s="193" t="s">
        <v>212</v>
      </c>
      <c r="X13" s="193" t="s">
        <v>232</v>
      </c>
      <c r="Y13" s="200">
        <v>3.0</v>
      </c>
      <c r="Z13" s="202" t="s">
        <v>214</v>
      </c>
      <c r="AA13" s="202" t="s">
        <v>234</v>
      </c>
      <c r="AB13" s="203">
        <v>45418.88</v>
      </c>
      <c r="AC13" s="203">
        <v>245262.0</v>
      </c>
      <c r="AD13" s="204">
        <v>46107.0</v>
      </c>
      <c r="AE13" s="204">
        <v>46107.0</v>
      </c>
      <c r="AF13" s="205"/>
      <c r="AG13" s="219"/>
      <c r="AH13" s="219"/>
      <c r="AI13" s="219"/>
      <c r="AJ13" s="219"/>
      <c r="AK13" s="219"/>
      <c r="AL13" s="219"/>
      <c r="AM13" s="219"/>
      <c r="AN13" s="219"/>
      <c r="AO13" s="219"/>
    </row>
    <row r="14">
      <c r="A14" s="193">
        <v>10122.0</v>
      </c>
      <c r="B14" s="194" t="s">
        <v>203</v>
      </c>
      <c r="C14" s="193">
        <v>2026.0</v>
      </c>
      <c r="D14" s="195">
        <v>2048.0</v>
      </c>
      <c r="E14" s="199"/>
      <c r="F14" s="193" t="s">
        <v>204</v>
      </c>
      <c r="G14" s="198">
        <v>46098.0</v>
      </c>
      <c r="H14" s="193">
        <v>168.0</v>
      </c>
      <c r="I14" s="198">
        <v>46098.0</v>
      </c>
      <c r="J14" s="193" t="s">
        <v>240</v>
      </c>
      <c r="K14" s="193" t="s">
        <v>206</v>
      </c>
      <c r="L14" s="194" t="s">
        <v>144</v>
      </c>
      <c r="M14" s="199"/>
      <c r="N14" s="193" t="s">
        <v>207</v>
      </c>
      <c r="O14" s="193" t="s">
        <v>206</v>
      </c>
      <c r="P14" s="193" t="s">
        <v>206</v>
      </c>
      <c r="Q14" s="199"/>
      <c r="R14" s="193" t="s">
        <v>228</v>
      </c>
      <c r="S14" s="193" t="s">
        <v>46</v>
      </c>
      <c r="T14" s="193" t="s">
        <v>241</v>
      </c>
      <c r="U14" s="193" t="s">
        <v>242</v>
      </c>
      <c r="V14" s="193" t="s">
        <v>237</v>
      </c>
      <c r="W14" s="193" t="s">
        <v>212</v>
      </c>
      <c r="X14" s="193" t="s">
        <v>232</v>
      </c>
      <c r="Y14" s="200">
        <v>3.0</v>
      </c>
      <c r="Z14" s="202" t="s">
        <v>214</v>
      </c>
      <c r="AA14" s="202" t="s">
        <v>215</v>
      </c>
      <c r="AB14" s="203">
        <v>91984.41</v>
      </c>
      <c r="AC14" s="203">
        <v>91984.41</v>
      </c>
      <c r="AD14" s="204">
        <v>46107.0</v>
      </c>
      <c r="AE14" s="204">
        <v>46107.0</v>
      </c>
      <c r="AF14" s="205"/>
      <c r="AG14" s="219"/>
      <c r="AH14" s="219"/>
      <c r="AI14" s="219"/>
      <c r="AJ14" s="219"/>
      <c r="AK14" s="219"/>
      <c r="AL14" s="219"/>
      <c r="AM14" s="219"/>
      <c r="AN14" s="219"/>
      <c r="AO14" s="219"/>
    </row>
    <row r="15">
      <c r="A15" s="193">
        <v>10140.0</v>
      </c>
      <c r="B15" s="194" t="s">
        <v>203</v>
      </c>
      <c r="C15" s="193">
        <v>2026.0</v>
      </c>
      <c r="D15" s="195">
        <v>2048.0</v>
      </c>
      <c r="E15" s="199"/>
      <c r="F15" s="193" t="s">
        <v>204</v>
      </c>
      <c r="G15" s="215">
        <v>46192.0</v>
      </c>
      <c r="H15" s="193">
        <v>467.0</v>
      </c>
      <c r="I15" s="215">
        <v>46192.0</v>
      </c>
      <c r="J15" s="193" t="s">
        <v>243</v>
      </c>
      <c r="K15" s="193" t="s">
        <v>206</v>
      </c>
      <c r="L15" s="194" t="s">
        <v>144</v>
      </c>
      <c r="M15" s="199"/>
      <c r="N15" s="193" t="s">
        <v>227</v>
      </c>
      <c r="O15" s="193" t="s">
        <v>206</v>
      </c>
      <c r="P15" s="193" t="s">
        <v>244</v>
      </c>
      <c r="Q15" s="199"/>
      <c r="R15" s="193" t="s">
        <v>228</v>
      </c>
      <c r="S15" s="193" t="s">
        <v>46</v>
      </c>
      <c r="T15" s="193" t="s">
        <v>245</v>
      </c>
      <c r="U15" s="193" t="s">
        <v>246</v>
      </c>
      <c r="V15" s="193" t="s">
        <v>155</v>
      </c>
      <c r="W15" s="193" t="s">
        <v>203</v>
      </c>
      <c r="X15" s="193" t="s">
        <v>232</v>
      </c>
      <c r="Y15" s="200">
        <v>3.0</v>
      </c>
      <c r="Z15" s="202" t="s">
        <v>214</v>
      </c>
      <c r="AA15" s="202" t="s">
        <v>234</v>
      </c>
      <c r="AB15" s="221"/>
      <c r="AC15" s="203">
        <v>60000.0</v>
      </c>
      <c r="AD15" s="204">
        <v>46199.0</v>
      </c>
      <c r="AE15" s="204">
        <v>46229.0</v>
      </c>
      <c r="AF15" s="205"/>
      <c r="AG15" s="219"/>
      <c r="AH15" s="219"/>
      <c r="AI15" s="219"/>
      <c r="AJ15" s="219"/>
      <c r="AK15" s="219"/>
      <c r="AL15" s="219"/>
      <c r="AM15" s="219"/>
      <c r="AN15" s="219"/>
      <c r="AO15" s="219"/>
    </row>
    <row r="16">
      <c r="A16" s="193">
        <v>10160.0</v>
      </c>
      <c r="B16" s="194" t="s">
        <v>203</v>
      </c>
      <c r="C16" s="193">
        <v>2026.0</v>
      </c>
      <c r="D16" s="195">
        <v>2048.0</v>
      </c>
      <c r="E16" s="199"/>
      <c r="F16" s="193" t="s">
        <v>204</v>
      </c>
      <c r="G16" s="198">
        <v>46098.0</v>
      </c>
      <c r="H16" s="193">
        <v>170.0</v>
      </c>
      <c r="I16" s="198">
        <v>46098.0</v>
      </c>
      <c r="J16" s="193" t="s">
        <v>247</v>
      </c>
      <c r="K16" s="193" t="s">
        <v>206</v>
      </c>
      <c r="L16" s="194" t="s">
        <v>144</v>
      </c>
      <c r="M16" s="199"/>
      <c r="N16" s="193" t="s">
        <v>207</v>
      </c>
      <c r="O16" s="193" t="s">
        <v>206</v>
      </c>
      <c r="P16" s="193" t="s">
        <v>206</v>
      </c>
      <c r="Q16" s="199"/>
      <c r="R16" s="193" t="s">
        <v>208</v>
      </c>
      <c r="S16" s="193" t="s">
        <v>39</v>
      </c>
      <c r="T16" s="193" t="s">
        <v>248</v>
      </c>
      <c r="U16" s="193" t="s">
        <v>242</v>
      </c>
      <c r="V16" s="193" t="s">
        <v>237</v>
      </c>
      <c r="W16" s="193" t="s">
        <v>212</v>
      </c>
      <c r="X16" s="193" t="s">
        <v>232</v>
      </c>
      <c r="Y16" s="200">
        <v>3.0</v>
      </c>
      <c r="Z16" s="202" t="s">
        <v>214</v>
      </c>
      <c r="AA16" s="202" t="s">
        <v>215</v>
      </c>
      <c r="AB16" s="203">
        <v>1624451.94</v>
      </c>
      <c r="AC16" s="203">
        <v>1624451.94</v>
      </c>
      <c r="AD16" s="204">
        <v>46107.0</v>
      </c>
      <c r="AE16" s="204">
        <v>46107.0</v>
      </c>
      <c r="AF16" s="205"/>
      <c r="AG16" s="219"/>
      <c r="AH16" s="219"/>
      <c r="AI16" s="219"/>
      <c r="AJ16" s="219"/>
      <c r="AK16" s="219"/>
      <c r="AL16" s="219"/>
      <c r="AM16" s="219"/>
      <c r="AN16" s="219"/>
      <c r="AO16" s="219"/>
    </row>
    <row r="17">
      <c r="A17" s="193">
        <v>10180.0</v>
      </c>
      <c r="B17" s="194" t="s">
        <v>203</v>
      </c>
      <c r="C17" s="193">
        <v>2026.0</v>
      </c>
      <c r="D17" s="195">
        <v>2048.0</v>
      </c>
      <c r="E17" s="199"/>
      <c r="F17" s="193" t="s">
        <v>204</v>
      </c>
      <c r="G17" s="198">
        <v>46041.0</v>
      </c>
      <c r="H17" s="193">
        <v>3.0</v>
      </c>
      <c r="I17" s="198">
        <v>46041.0</v>
      </c>
      <c r="J17" s="193" t="s">
        <v>249</v>
      </c>
      <c r="K17" s="193" t="s">
        <v>206</v>
      </c>
      <c r="L17" s="194" t="s">
        <v>144</v>
      </c>
      <c r="M17" s="199"/>
      <c r="N17" s="193" t="s">
        <v>207</v>
      </c>
      <c r="O17" s="193" t="s">
        <v>206</v>
      </c>
      <c r="P17" s="193" t="s">
        <v>244</v>
      </c>
      <c r="Q17" s="199"/>
      <c r="R17" s="193" t="s">
        <v>208</v>
      </c>
      <c r="S17" s="193" t="s">
        <v>39</v>
      </c>
      <c r="T17" s="193" t="s">
        <v>250</v>
      </c>
      <c r="U17" s="193" t="s">
        <v>251</v>
      </c>
      <c r="V17" s="193" t="s">
        <v>155</v>
      </c>
      <c r="W17" s="193" t="s">
        <v>203</v>
      </c>
      <c r="X17" s="193" t="s">
        <v>252</v>
      </c>
      <c r="Y17" s="200">
        <v>3.0</v>
      </c>
      <c r="Z17" s="202" t="s">
        <v>214</v>
      </c>
      <c r="AA17" s="202" t="s">
        <v>215</v>
      </c>
      <c r="AB17" s="203">
        <v>2500000.0</v>
      </c>
      <c r="AC17" s="203">
        <v>2500000.0</v>
      </c>
      <c r="AD17" s="204">
        <v>46048.0</v>
      </c>
      <c r="AE17" s="204">
        <v>46079.0</v>
      </c>
      <c r="AF17" s="205"/>
      <c r="AG17" s="219"/>
      <c r="AH17" s="219"/>
      <c r="AI17" s="219"/>
      <c r="AJ17" s="219"/>
      <c r="AK17" s="219"/>
      <c r="AL17" s="219"/>
      <c r="AM17" s="219"/>
      <c r="AN17" s="219"/>
      <c r="AO17" s="219"/>
    </row>
    <row r="18">
      <c r="A18" s="193">
        <v>10200.0</v>
      </c>
      <c r="B18" s="194" t="s">
        <v>203</v>
      </c>
      <c r="C18" s="193">
        <v>2026.0</v>
      </c>
      <c r="D18" s="195">
        <v>2048.0</v>
      </c>
      <c r="E18" s="199"/>
      <c r="F18" s="193" t="s">
        <v>204</v>
      </c>
      <c r="G18" s="215">
        <v>46057.0</v>
      </c>
      <c r="H18" s="193">
        <v>41.0</v>
      </c>
      <c r="I18" s="215">
        <v>46057.0</v>
      </c>
      <c r="J18" s="193" t="s">
        <v>253</v>
      </c>
      <c r="K18" s="193" t="s">
        <v>206</v>
      </c>
      <c r="L18" s="194" t="s">
        <v>144</v>
      </c>
      <c r="M18" s="199"/>
      <c r="N18" s="193" t="s">
        <v>207</v>
      </c>
      <c r="O18" s="193" t="s">
        <v>206</v>
      </c>
      <c r="P18" s="193" t="s">
        <v>244</v>
      </c>
      <c r="Q18" s="199"/>
      <c r="R18" s="193" t="s">
        <v>208</v>
      </c>
      <c r="S18" s="193" t="s">
        <v>39</v>
      </c>
      <c r="T18" s="193" t="s">
        <v>254</v>
      </c>
      <c r="U18" s="193" t="s">
        <v>255</v>
      </c>
      <c r="V18" s="193" t="s">
        <v>155</v>
      </c>
      <c r="W18" s="193" t="s">
        <v>203</v>
      </c>
      <c r="X18" s="193" t="s">
        <v>252</v>
      </c>
      <c r="Y18" s="200">
        <v>3.0</v>
      </c>
      <c r="Z18" s="202" t="s">
        <v>233</v>
      </c>
      <c r="AA18" s="202" t="s">
        <v>215</v>
      </c>
      <c r="AB18" s="203">
        <v>1830598.96</v>
      </c>
      <c r="AC18" s="203">
        <v>1830598.96</v>
      </c>
      <c r="AD18" s="204">
        <v>46079.0</v>
      </c>
      <c r="AE18" s="204">
        <v>46079.0</v>
      </c>
      <c r="AF18" s="205"/>
      <c r="AG18" s="206"/>
      <c r="AH18" s="206"/>
      <c r="AI18" s="206"/>
      <c r="AJ18" s="206"/>
      <c r="AK18" s="206"/>
      <c r="AL18" s="206"/>
      <c r="AM18" s="206"/>
      <c r="AN18" s="206"/>
      <c r="AO18" s="206"/>
    </row>
    <row r="19">
      <c r="A19" s="193">
        <v>10201.0</v>
      </c>
      <c r="B19" s="194" t="s">
        <v>203</v>
      </c>
      <c r="C19" s="193">
        <v>2026.0</v>
      </c>
      <c r="D19" s="195">
        <v>2048.0</v>
      </c>
      <c r="E19" s="199"/>
      <c r="F19" s="193" t="s">
        <v>204</v>
      </c>
      <c r="G19" s="198">
        <v>46052.0</v>
      </c>
      <c r="H19" s="193">
        <v>32.0</v>
      </c>
      <c r="I19" s="198">
        <v>46052.0</v>
      </c>
      <c r="J19" s="193" t="s">
        <v>256</v>
      </c>
      <c r="K19" s="193" t="s">
        <v>206</v>
      </c>
      <c r="L19" s="194" t="s">
        <v>144</v>
      </c>
      <c r="M19" s="199"/>
      <c r="N19" s="193" t="s">
        <v>207</v>
      </c>
      <c r="O19" s="193" t="s">
        <v>206</v>
      </c>
      <c r="P19" s="193" t="s">
        <v>244</v>
      </c>
      <c r="Q19" s="199"/>
      <c r="R19" s="193" t="s">
        <v>208</v>
      </c>
      <c r="S19" s="193" t="s">
        <v>39</v>
      </c>
      <c r="T19" s="193" t="s">
        <v>254</v>
      </c>
      <c r="U19" s="193" t="s">
        <v>255</v>
      </c>
      <c r="V19" s="193" t="s">
        <v>155</v>
      </c>
      <c r="W19" s="193" t="s">
        <v>203</v>
      </c>
      <c r="X19" s="193" t="s">
        <v>252</v>
      </c>
      <c r="Y19" s="200">
        <v>3.0</v>
      </c>
      <c r="Z19" s="202" t="s">
        <v>233</v>
      </c>
      <c r="AA19" s="202" t="s">
        <v>215</v>
      </c>
      <c r="AB19" s="203">
        <v>1169401.04</v>
      </c>
      <c r="AC19" s="203">
        <v>1169401.04</v>
      </c>
      <c r="AD19" s="204">
        <v>46048.0</v>
      </c>
      <c r="AE19" s="204">
        <v>46079.0</v>
      </c>
      <c r="AF19" s="205"/>
      <c r="AG19" s="206"/>
      <c r="AH19" s="206"/>
      <c r="AI19" s="206"/>
      <c r="AJ19" s="206"/>
      <c r="AK19" s="206"/>
      <c r="AL19" s="206"/>
      <c r="AM19" s="206"/>
      <c r="AN19" s="206"/>
      <c r="AO19" s="206"/>
    </row>
    <row r="20">
      <c r="A20" s="193">
        <v>10220.0</v>
      </c>
      <c r="B20" s="194" t="s">
        <v>203</v>
      </c>
      <c r="C20" s="193">
        <v>2026.0</v>
      </c>
      <c r="D20" s="195">
        <v>2048.0</v>
      </c>
      <c r="E20" s="193">
        <v>22.0</v>
      </c>
      <c r="F20" s="199"/>
      <c r="G20" s="220"/>
      <c r="H20" s="199"/>
      <c r="I20" s="220"/>
      <c r="J20" s="199"/>
      <c r="K20" s="193" t="s">
        <v>206</v>
      </c>
      <c r="L20" s="194" t="s">
        <v>144</v>
      </c>
      <c r="M20" s="199"/>
      <c r="N20" s="193" t="s">
        <v>227</v>
      </c>
      <c r="O20" s="193" t="s">
        <v>206</v>
      </c>
      <c r="P20" s="193" t="s">
        <v>206</v>
      </c>
      <c r="Q20" s="199"/>
      <c r="R20" s="193" t="s">
        <v>219</v>
      </c>
      <c r="S20" s="193" t="s">
        <v>43</v>
      </c>
      <c r="T20" s="193" t="s">
        <v>229</v>
      </c>
      <c r="U20" s="193" t="s">
        <v>257</v>
      </c>
      <c r="V20" s="193" t="s">
        <v>231</v>
      </c>
      <c r="W20" s="193" t="s">
        <v>212</v>
      </c>
      <c r="X20" s="193" t="s">
        <v>232</v>
      </c>
      <c r="Y20" s="200">
        <v>3.0</v>
      </c>
      <c r="Z20" s="202" t="s">
        <v>233</v>
      </c>
      <c r="AA20" s="202" t="s">
        <v>234</v>
      </c>
      <c r="AB20" s="221"/>
      <c r="AC20" s="203">
        <v>149138.2</v>
      </c>
      <c r="AD20" s="204">
        <v>46229.0</v>
      </c>
      <c r="AE20" s="204">
        <v>46291.0</v>
      </c>
      <c r="AF20" s="205"/>
      <c r="AG20" s="206"/>
      <c r="AH20" s="206"/>
      <c r="AI20" s="206"/>
      <c r="AJ20" s="206"/>
      <c r="AK20" s="206"/>
      <c r="AL20" s="206"/>
      <c r="AM20" s="206"/>
      <c r="AN20" s="206"/>
      <c r="AO20" s="206"/>
    </row>
    <row r="21">
      <c r="A21" s="193">
        <v>10221.0</v>
      </c>
      <c r="B21" s="194" t="s">
        <v>203</v>
      </c>
      <c r="C21" s="193">
        <v>2026.0</v>
      </c>
      <c r="D21" s="229" t="s">
        <v>258</v>
      </c>
      <c r="E21" s="199"/>
      <c r="F21" s="193" t="s">
        <v>204</v>
      </c>
      <c r="G21" s="230">
        <v>46098.0</v>
      </c>
      <c r="H21" s="193">
        <v>159.0</v>
      </c>
      <c r="I21" s="223">
        <v>46098.0</v>
      </c>
      <c r="J21" s="193" t="s">
        <v>259</v>
      </c>
      <c r="K21" s="193" t="s">
        <v>206</v>
      </c>
      <c r="L21" s="194" t="s">
        <v>144</v>
      </c>
      <c r="M21" s="199"/>
      <c r="N21" s="193" t="s">
        <v>227</v>
      </c>
      <c r="O21" s="193" t="s">
        <v>206</v>
      </c>
      <c r="P21" s="193" t="s">
        <v>206</v>
      </c>
      <c r="Q21" s="199"/>
      <c r="R21" s="193" t="s">
        <v>219</v>
      </c>
      <c r="S21" s="193" t="s">
        <v>43</v>
      </c>
      <c r="T21" s="193" t="s">
        <v>229</v>
      </c>
      <c r="U21" s="193" t="s">
        <v>236</v>
      </c>
      <c r="V21" s="193" t="s">
        <v>237</v>
      </c>
      <c r="W21" s="193" t="s">
        <v>212</v>
      </c>
      <c r="X21" s="193" t="s">
        <v>232</v>
      </c>
      <c r="Y21" s="200">
        <v>3.0</v>
      </c>
      <c r="Z21" s="202" t="s">
        <v>214</v>
      </c>
      <c r="AA21" s="202" t="s">
        <v>234</v>
      </c>
      <c r="AB21" s="203">
        <v>27937.36</v>
      </c>
      <c r="AC21" s="203">
        <v>150861.8</v>
      </c>
      <c r="AD21" s="204">
        <v>46107.0</v>
      </c>
      <c r="AE21" s="204">
        <v>46107.0</v>
      </c>
      <c r="AF21" s="205"/>
      <c r="AG21" s="219"/>
      <c r="AH21" s="219"/>
      <c r="AI21" s="219"/>
      <c r="AJ21" s="219"/>
      <c r="AK21" s="219"/>
      <c r="AL21" s="219"/>
      <c r="AM21" s="219"/>
      <c r="AN21" s="219"/>
      <c r="AO21" s="219"/>
    </row>
    <row r="22">
      <c r="A22" s="193">
        <v>10240.0</v>
      </c>
      <c r="B22" s="194" t="s">
        <v>203</v>
      </c>
      <c r="C22" s="193">
        <v>2026.0</v>
      </c>
      <c r="D22" s="195">
        <v>2048.0</v>
      </c>
      <c r="E22" s="193">
        <v>35.0</v>
      </c>
      <c r="F22" s="199"/>
      <c r="G22" s="220"/>
      <c r="H22" s="199"/>
      <c r="I22" s="220"/>
      <c r="J22" s="199"/>
      <c r="K22" s="193" t="s">
        <v>206</v>
      </c>
      <c r="L22" s="194" t="s">
        <v>144</v>
      </c>
      <c r="M22" s="199"/>
      <c r="N22" s="193" t="s">
        <v>227</v>
      </c>
      <c r="O22" s="193" t="s">
        <v>206</v>
      </c>
      <c r="P22" s="193" t="s">
        <v>206</v>
      </c>
      <c r="Q22" s="199"/>
      <c r="R22" s="193" t="s">
        <v>219</v>
      </c>
      <c r="S22" s="193" t="s">
        <v>43</v>
      </c>
      <c r="T22" s="193" t="s">
        <v>229</v>
      </c>
      <c r="U22" s="193" t="s">
        <v>230</v>
      </c>
      <c r="V22" s="193" t="s">
        <v>231</v>
      </c>
      <c r="W22" s="193" t="s">
        <v>212</v>
      </c>
      <c r="X22" s="193" t="s">
        <v>232</v>
      </c>
      <c r="Y22" s="200">
        <v>3.0</v>
      </c>
      <c r="Z22" s="202" t="s">
        <v>233</v>
      </c>
      <c r="AA22" s="202" t="s">
        <v>234</v>
      </c>
      <c r="AB22" s="221"/>
      <c r="AC22" s="203">
        <v>451164.69</v>
      </c>
      <c r="AD22" s="204">
        <v>46199.0</v>
      </c>
      <c r="AE22" s="204">
        <v>46260.0</v>
      </c>
      <c r="AF22" s="226" t="s">
        <v>260</v>
      </c>
      <c r="AG22" s="219"/>
      <c r="AH22" s="219"/>
      <c r="AI22" s="219"/>
      <c r="AJ22" s="219"/>
      <c r="AK22" s="219"/>
      <c r="AL22" s="219"/>
      <c r="AM22" s="219"/>
      <c r="AN22" s="219"/>
      <c r="AO22" s="219"/>
    </row>
    <row r="23">
      <c r="A23" s="193">
        <v>10241.0</v>
      </c>
      <c r="B23" s="194" t="s">
        <v>203</v>
      </c>
      <c r="C23" s="193">
        <v>2026.0</v>
      </c>
      <c r="D23" s="229" t="s">
        <v>258</v>
      </c>
      <c r="E23" s="199"/>
      <c r="F23" s="193" t="s">
        <v>204</v>
      </c>
      <c r="G23" s="198">
        <v>46098.0</v>
      </c>
      <c r="H23" s="193">
        <v>160.0</v>
      </c>
      <c r="I23" s="198">
        <v>46098.0</v>
      </c>
      <c r="J23" s="193" t="s">
        <v>261</v>
      </c>
      <c r="K23" s="193" t="s">
        <v>206</v>
      </c>
      <c r="L23" s="194" t="s">
        <v>144</v>
      </c>
      <c r="M23" s="199"/>
      <c r="N23" s="193" t="s">
        <v>207</v>
      </c>
      <c r="O23" s="193" t="s">
        <v>206</v>
      </c>
      <c r="P23" s="193" t="s">
        <v>206</v>
      </c>
      <c r="Q23" s="199"/>
      <c r="R23" s="193" t="s">
        <v>219</v>
      </c>
      <c r="S23" s="193" t="s">
        <v>43</v>
      </c>
      <c r="T23" s="193" t="s">
        <v>241</v>
      </c>
      <c r="U23" s="193" t="s">
        <v>242</v>
      </c>
      <c r="V23" s="193" t="s">
        <v>237</v>
      </c>
      <c r="W23" s="193" t="s">
        <v>212</v>
      </c>
      <c r="X23" s="193" t="s">
        <v>232</v>
      </c>
      <c r="Y23" s="200">
        <v>3.0</v>
      </c>
      <c r="Z23" s="202" t="s">
        <v>214</v>
      </c>
      <c r="AA23" s="202" t="s">
        <v>215</v>
      </c>
      <c r="AB23" s="203">
        <v>15615.31</v>
      </c>
      <c r="AC23" s="203">
        <v>15615.31</v>
      </c>
      <c r="AD23" s="204">
        <v>46107.0</v>
      </c>
      <c r="AE23" s="204">
        <v>46107.0</v>
      </c>
      <c r="AF23" s="205"/>
      <c r="AG23" s="219"/>
      <c r="AH23" s="219"/>
      <c r="AI23" s="219"/>
      <c r="AJ23" s="219"/>
      <c r="AK23" s="219"/>
      <c r="AL23" s="219"/>
      <c r="AM23" s="219"/>
      <c r="AN23" s="219"/>
      <c r="AO23" s="219"/>
    </row>
    <row r="24">
      <c r="A24" s="193">
        <v>10242.0</v>
      </c>
      <c r="B24" s="194" t="s">
        <v>203</v>
      </c>
      <c r="C24" s="193">
        <v>2026.0</v>
      </c>
      <c r="D24" s="195">
        <v>2048.0</v>
      </c>
      <c r="E24" s="199"/>
      <c r="F24" s="193" t="s">
        <v>204</v>
      </c>
      <c r="G24" s="223">
        <v>46209.0</v>
      </c>
      <c r="H24" s="193">
        <v>541.0</v>
      </c>
      <c r="I24" s="223">
        <v>46209.0</v>
      </c>
      <c r="J24" s="193" t="s">
        <v>262</v>
      </c>
      <c r="K24" s="193" t="s">
        <v>206</v>
      </c>
      <c r="L24" s="194" t="s">
        <v>144</v>
      </c>
      <c r="M24" s="199"/>
      <c r="N24" s="193" t="s">
        <v>227</v>
      </c>
      <c r="O24" s="193" t="s">
        <v>206</v>
      </c>
      <c r="P24" s="193" t="s">
        <v>206</v>
      </c>
      <c r="Q24" s="199"/>
      <c r="R24" s="193" t="s">
        <v>219</v>
      </c>
      <c r="S24" s="193" t="s">
        <v>43</v>
      </c>
      <c r="T24" s="193" t="s">
        <v>229</v>
      </c>
      <c r="U24" s="193" t="s">
        <v>242</v>
      </c>
      <c r="V24" s="193" t="s">
        <v>237</v>
      </c>
      <c r="W24" s="193" t="s">
        <v>212</v>
      </c>
      <c r="X24" s="193" t="s">
        <v>232</v>
      </c>
      <c r="Y24" s="200">
        <v>3.0</v>
      </c>
      <c r="Z24" s="202" t="s">
        <v>214</v>
      </c>
      <c r="AA24" s="202" t="s">
        <v>234</v>
      </c>
      <c r="AB24" s="203">
        <v>10344.44</v>
      </c>
      <c r="AC24" s="203">
        <v>53149.73</v>
      </c>
      <c r="AD24" s="204">
        <v>46229.0</v>
      </c>
      <c r="AE24" s="204">
        <v>46260.0</v>
      </c>
      <c r="AF24" s="226" t="s">
        <v>263</v>
      </c>
      <c r="AG24" s="219"/>
      <c r="AH24" s="219"/>
      <c r="AI24" s="219"/>
      <c r="AJ24" s="219"/>
      <c r="AK24" s="219"/>
      <c r="AL24" s="219"/>
      <c r="AM24" s="219"/>
      <c r="AN24" s="219"/>
      <c r="AO24" s="219"/>
    </row>
    <row r="25">
      <c r="A25" s="193">
        <v>10260.0</v>
      </c>
      <c r="B25" s="232" t="s">
        <v>264</v>
      </c>
      <c r="C25" s="193">
        <v>2026.0</v>
      </c>
      <c r="D25" s="199"/>
      <c r="E25" s="199"/>
      <c r="F25" s="193" t="s">
        <v>265</v>
      </c>
      <c r="G25" s="233"/>
      <c r="H25" s="199"/>
      <c r="I25" s="233"/>
      <c r="J25" s="199"/>
      <c r="K25" s="193" t="s">
        <v>206</v>
      </c>
      <c r="L25" s="234" t="s">
        <v>145</v>
      </c>
      <c r="M25" s="199"/>
      <c r="N25" s="193" t="s">
        <v>227</v>
      </c>
      <c r="O25" s="193" t="s">
        <v>206</v>
      </c>
      <c r="P25" s="193" t="s">
        <v>206</v>
      </c>
      <c r="Q25" s="207"/>
      <c r="R25" s="208" t="s">
        <v>219</v>
      </c>
      <c r="S25" s="193" t="s">
        <v>44</v>
      </c>
      <c r="T25" s="193" t="s">
        <v>229</v>
      </c>
      <c r="U25" s="193" t="s">
        <v>242</v>
      </c>
      <c r="V25" s="193" t="s">
        <v>237</v>
      </c>
      <c r="W25" s="193" t="s">
        <v>212</v>
      </c>
      <c r="X25" s="193" t="s">
        <v>232</v>
      </c>
      <c r="Y25" s="200">
        <v>3.0</v>
      </c>
      <c r="Z25" s="202" t="s">
        <v>214</v>
      </c>
      <c r="AA25" s="202" t="s">
        <v>234</v>
      </c>
      <c r="AB25" s="221"/>
      <c r="AC25" s="203">
        <v>501640.62</v>
      </c>
      <c r="AD25" s="204">
        <v>46229.0</v>
      </c>
      <c r="AE25" s="204">
        <v>46291.0</v>
      </c>
      <c r="AF25" s="205"/>
      <c r="AG25" s="219"/>
      <c r="AH25" s="219"/>
      <c r="AI25" s="219"/>
      <c r="AJ25" s="219"/>
      <c r="AK25" s="219"/>
      <c r="AL25" s="219"/>
      <c r="AM25" s="219"/>
      <c r="AN25" s="219"/>
      <c r="AO25" s="219"/>
    </row>
    <row r="26">
      <c r="A26" s="193">
        <v>10261.0</v>
      </c>
      <c r="B26" s="194" t="s">
        <v>203</v>
      </c>
      <c r="C26" s="193">
        <v>2026.0</v>
      </c>
      <c r="D26" s="195">
        <v>2048.0</v>
      </c>
      <c r="E26" s="199"/>
      <c r="F26" s="193" t="s">
        <v>204</v>
      </c>
      <c r="G26" s="223">
        <v>46098.0</v>
      </c>
      <c r="H26" s="193">
        <v>171.0</v>
      </c>
      <c r="I26" s="223">
        <v>46098.0</v>
      </c>
      <c r="J26" s="193" t="s">
        <v>266</v>
      </c>
      <c r="K26" s="193" t="s">
        <v>206</v>
      </c>
      <c r="L26" s="194" t="s">
        <v>144</v>
      </c>
      <c r="M26" s="199"/>
      <c r="N26" s="193" t="s">
        <v>207</v>
      </c>
      <c r="O26" s="193" t="s">
        <v>206</v>
      </c>
      <c r="P26" s="193" t="s">
        <v>206</v>
      </c>
      <c r="Q26" s="199"/>
      <c r="R26" s="193" t="s">
        <v>219</v>
      </c>
      <c r="S26" s="193" t="s">
        <v>44</v>
      </c>
      <c r="T26" s="193" t="s">
        <v>241</v>
      </c>
      <c r="U26" s="193" t="s">
        <v>242</v>
      </c>
      <c r="V26" s="193" t="s">
        <v>237</v>
      </c>
      <c r="W26" s="193" t="s">
        <v>212</v>
      </c>
      <c r="X26" s="193" t="s">
        <v>232</v>
      </c>
      <c r="Y26" s="200">
        <v>3.0</v>
      </c>
      <c r="Z26" s="202" t="s">
        <v>214</v>
      </c>
      <c r="AA26" s="202" t="s">
        <v>215</v>
      </c>
      <c r="AB26" s="203">
        <v>48359.38</v>
      </c>
      <c r="AC26" s="203">
        <v>48359.38</v>
      </c>
      <c r="AD26" s="204">
        <v>46107.0</v>
      </c>
      <c r="AE26" s="204">
        <v>46107.0</v>
      </c>
      <c r="AF26" s="205"/>
      <c r="AG26" s="219"/>
      <c r="AH26" s="219"/>
      <c r="AI26" s="219"/>
      <c r="AJ26" s="219"/>
      <c r="AK26" s="219"/>
      <c r="AL26" s="219"/>
      <c r="AM26" s="219"/>
      <c r="AN26" s="219"/>
      <c r="AO26" s="219"/>
    </row>
    <row r="27">
      <c r="A27" s="193">
        <v>10280.0</v>
      </c>
      <c r="B27" s="194" t="s">
        <v>203</v>
      </c>
      <c r="C27" s="193">
        <v>2026.0</v>
      </c>
      <c r="D27" s="195">
        <v>2048.0</v>
      </c>
      <c r="E27" s="193">
        <v>57.0</v>
      </c>
      <c r="F27" s="199"/>
      <c r="G27" s="235"/>
      <c r="H27" s="199"/>
      <c r="I27" s="235"/>
      <c r="J27" s="199"/>
      <c r="K27" s="193" t="s">
        <v>206</v>
      </c>
      <c r="L27" s="194" t="s">
        <v>144</v>
      </c>
      <c r="M27" s="199"/>
      <c r="N27" s="193" t="s">
        <v>227</v>
      </c>
      <c r="O27" s="193" t="s">
        <v>206</v>
      </c>
      <c r="P27" s="193" t="s">
        <v>206</v>
      </c>
      <c r="Q27" s="199"/>
      <c r="R27" s="193" t="s">
        <v>219</v>
      </c>
      <c r="S27" s="193" t="s">
        <v>44</v>
      </c>
      <c r="T27" s="193" t="s">
        <v>229</v>
      </c>
      <c r="U27" s="193" t="s">
        <v>230</v>
      </c>
      <c r="V27" s="193" t="s">
        <v>231</v>
      </c>
      <c r="W27" s="193" t="s">
        <v>212</v>
      </c>
      <c r="X27" s="193" t="s">
        <v>232</v>
      </c>
      <c r="Y27" s="200">
        <v>3.0</v>
      </c>
      <c r="Z27" s="202" t="s">
        <v>233</v>
      </c>
      <c r="AA27" s="202" t="s">
        <v>234</v>
      </c>
      <c r="AB27" s="221"/>
      <c r="AC27" s="203">
        <v>235062.94</v>
      </c>
      <c r="AD27" s="204">
        <v>46229.0</v>
      </c>
      <c r="AE27" s="204">
        <v>46291.0</v>
      </c>
      <c r="AF27" s="205"/>
      <c r="AG27" s="219"/>
      <c r="AH27" s="219"/>
      <c r="AI27" s="219"/>
      <c r="AJ27" s="219"/>
      <c r="AK27" s="219"/>
      <c r="AL27" s="219"/>
      <c r="AM27" s="219"/>
      <c r="AN27" s="219"/>
      <c r="AO27" s="219"/>
    </row>
    <row r="28">
      <c r="A28" s="193">
        <v>10281.0</v>
      </c>
      <c r="B28" s="194" t="s">
        <v>203</v>
      </c>
      <c r="C28" s="193">
        <v>2026.0</v>
      </c>
      <c r="D28" s="195">
        <v>2048.0</v>
      </c>
      <c r="E28" s="199"/>
      <c r="F28" s="193" t="s">
        <v>204</v>
      </c>
      <c r="G28" s="215">
        <v>46192.0</v>
      </c>
      <c r="H28" s="193">
        <v>465.0</v>
      </c>
      <c r="I28" s="215">
        <v>46192.0</v>
      </c>
      <c r="J28" s="193" t="s">
        <v>267</v>
      </c>
      <c r="K28" s="193" t="s">
        <v>206</v>
      </c>
      <c r="L28" s="194" t="s">
        <v>144</v>
      </c>
      <c r="M28" s="199"/>
      <c r="N28" s="193" t="s">
        <v>227</v>
      </c>
      <c r="O28" s="193" t="s">
        <v>206</v>
      </c>
      <c r="P28" s="193" t="s">
        <v>206</v>
      </c>
      <c r="Q28" s="199"/>
      <c r="R28" s="193" t="s">
        <v>219</v>
      </c>
      <c r="S28" s="193" t="s">
        <v>44</v>
      </c>
      <c r="T28" s="193" t="s">
        <v>229</v>
      </c>
      <c r="U28" s="193" t="s">
        <v>236</v>
      </c>
      <c r="V28" s="193" t="s">
        <v>237</v>
      </c>
      <c r="W28" s="193" t="s">
        <v>212</v>
      </c>
      <c r="X28" s="193" t="s">
        <v>232</v>
      </c>
      <c r="Y28" s="200">
        <v>3.0</v>
      </c>
      <c r="Z28" s="202" t="s">
        <v>214</v>
      </c>
      <c r="AA28" s="202" t="s">
        <v>234</v>
      </c>
      <c r="AB28" s="203">
        <v>7591.94</v>
      </c>
      <c r="AC28" s="203">
        <v>37180.0</v>
      </c>
      <c r="AD28" s="204">
        <v>46199.0</v>
      </c>
      <c r="AE28" s="204">
        <v>46291.0</v>
      </c>
      <c r="AF28" s="226" t="s">
        <v>268</v>
      </c>
      <c r="AG28" s="219"/>
      <c r="AH28" s="219"/>
      <c r="AI28" s="219"/>
      <c r="AJ28" s="219"/>
      <c r="AK28" s="219"/>
      <c r="AL28" s="219"/>
      <c r="AM28" s="219"/>
      <c r="AN28" s="219"/>
      <c r="AO28" s="219"/>
    </row>
    <row r="29">
      <c r="A29" s="193">
        <v>10300.0</v>
      </c>
      <c r="B29" s="194" t="s">
        <v>203</v>
      </c>
      <c r="C29" s="193">
        <v>2026.0</v>
      </c>
      <c r="D29" s="195">
        <v>2048.0</v>
      </c>
      <c r="E29" s="224">
        <v>36.0</v>
      </c>
      <c r="F29" s="199"/>
      <c r="G29" s="225"/>
      <c r="H29" s="199"/>
      <c r="I29" s="220"/>
      <c r="J29" s="199"/>
      <c r="K29" s="193" t="s">
        <v>206</v>
      </c>
      <c r="L29" s="194" t="s">
        <v>144</v>
      </c>
      <c r="M29" s="199"/>
      <c r="N29" s="193" t="s">
        <v>227</v>
      </c>
      <c r="O29" s="193" t="s">
        <v>206</v>
      </c>
      <c r="P29" s="193" t="s">
        <v>206</v>
      </c>
      <c r="Q29" s="199"/>
      <c r="R29" s="193" t="s">
        <v>219</v>
      </c>
      <c r="S29" s="193" t="s">
        <v>45</v>
      </c>
      <c r="T29" s="193" t="s">
        <v>229</v>
      </c>
      <c r="U29" s="193" t="s">
        <v>230</v>
      </c>
      <c r="V29" s="193" t="s">
        <v>231</v>
      </c>
      <c r="W29" s="193" t="s">
        <v>212</v>
      </c>
      <c r="X29" s="193" t="s">
        <v>232</v>
      </c>
      <c r="Y29" s="200">
        <v>3.0</v>
      </c>
      <c r="Z29" s="202" t="s">
        <v>233</v>
      </c>
      <c r="AA29" s="202" t="s">
        <v>234</v>
      </c>
      <c r="AB29" s="221"/>
      <c r="AC29" s="203">
        <v>135000.0</v>
      </c>
      <c r="AD29" s="204">
        <v>46229.0</v>
      </c>
      <c r="AE29" s="204">
        <v>46291.0</v>
      </c>
      <c r="AF29" s="205"/>
      <c r="AG29" s="219"/>
      <c r="AH29" s="219"/>
      <c r="AI29" s="219"/>
      <c r="AJ29" s="219"/>
      <c r="AK29" s="219"/>
      <c r="AL29" s="219"/>
      <c r="AM29" s="219"/>
      <c r="AN29" s="219"/>
      <c r="AO29" s="219"/>
    </row>
    <row r="30">
      <c r="A30" s="193">
        <v>10320.0</v>
      </c>
      <c r="B30" s="232" t="s">
        <v>264</v>
      </c>
      <c r="C30" s="193">
        <v>2026.0</v>
      </c>
      <c r="D30" s="199"/>
      <c r="E30" s="196"/>
      <c r="F30" s="236"/>
      <c r="G30" s="237"/>
      <c r="H30" s="199"/>
      <c r="I30" s="235"/>
      <c r="J30" s="199"/>
      <c r="K30" s="193" t="s">
        <v>206</v>
      </c>
      <c r="L30" s="234" t="s">
        <v>145</v>
      </c>
      <c r="M30" s="199"/>
      <c r="N30" s="193" t="s">
        <v>227</v>
      </c>
      <c r="O30" s="193" t="s">
        <v>206</v>
      </c>
      <c r="P30" s="193" t="s">
        <v>206</v>
      </c>
      <c r="Q30" s="199"/>
      <c r="R30" s="193" t="s">
        <v>269</v>
      </c>
      <c r="S30" s="193" t="s">
        <v>49</v>
      </c>
      <c r="T30" s="193" t="s">
        <v>229</v>
      </c>
      <c r="U30" s="193" t="s">
        <v>236</v>
      </c>
      <c r="V30" s="193" t="s">
        <v>237</v>
      </c>
      <c r="W30" s="193" t="s">
        <v>212</v>
      </c>
      <c r="X30" s="193" t="s">
        <v>232</v>
      </c>
      <c r="Y30" s="200">
        <v>3.0</v>
      </c>
      <c r="Z30" s="202" t="s">
        <v>214</v>
      </c>
      <c r="AA30" s="202" t="s">
        <v>234</v>
      </c>
      <c r="AB30" s="203">
        <v>84685.36</v>
      </c>
      <c r="AC30" s="203">
        <v>435113.38</v>
      </c>
      <c r="AD30" s="204">
        <v>46199.0</v>
      </c>
      <c r="AE30" s="204">
        <v>46260.0</v>
      </c>
      <c r="AF30" s="226" t="s">
        <v>270</v>
      </c>
      <c r="AG30" s="219"/>
      <c r="AH30" s="219"/>
      <c r="AI30" s="219"/>
      <c r="AJ30" s="219"/>
      <c r="AK30" s="219"/>
      <c r="AL30" s="219"/>
      <c r="AM30" s="219"/>
      <c r="AN30" s="219"/>
      <c r="AO30" s="219"/>
    </row>
    <row r="31">
      <c r="A31" s="193">
        <v>10321.0</v>
      </c>
      <c r="B31" s="194" t="s">
        <v>203</v>
      </c>
      <c r="C31" s="193">
        <v>2026.0</v>
      </c>
      <c r="D31" s="229" t="s">
        <v>258</v>
      </c>
      <c r="E31" s="196"/>
      <c r="F31" s="238" t="s">
        <v>204</v>
      </c>
      <c r="G31" s="197">
        <v>46098.0</v>
      </c>
      <c r="H31" s="193">
        <v>161.0</v>
      </c>
      <c r="I31" s="230">
        <v>46098.0</v>
      </c>
      <c r="J31" s="193" t="s">
        <v>205</v>
      </c>
      <c r="K31" s="193" t="s">
        <v>206</v>
      </c>
      <c r="L31" s="194" t="s">
        <v>144</v>
      </c>
      <c r="M31" s="199"/>
      <c r="N31" s="193" t="s">
        <v>227</v>
      </c>
      <c r="O31" s="193" t="s">
        <v>206</v>
      </c>
      <c r="P31" s="193" t="s">
        <v>206</v>
      </c>
      <c r="Q31" s="199"/>
      <c r="R31" s="193" t="s">
        <v>269</v>
      </c>
      <c r="S31" s="193" t="s">
        <v>49</v>
      </c>
      <c r="T31" s="193" t="s">
        <v>229</v>
      </c>
      <c r="U31" s="193" t="s">
        <v>236</v>
      </c>
      <c r="V31" s="193" t="s">
        <v>237</v>
      </c>
      <c r="W31" s="193" t="s">
        <v>212</v>
      </c>
      <c r="X31" s="193" t="s">
        <v>232</v>
      </c>
      <c r="Y31" s="200">
        <v>3.0</v>
      </c>
      <c r="Z31" s="202" t="s">
        <v>214</v>
      </c>
      <c r="AA31" s="202" t="s">
        <v>234</v>
      </c>
      <c r="AB31" s="203">
        <v>24780.0</v>
      </c>
      <c r="AC31" s="203">
        <v>133812.0</v>
      </c>
      <c r="AD31" s="204">
        <v>46107.0</v>
      </c>
      <c r="AE31" s="204">
        <v>46107.0</v>
      </c>
      <c r="AF31" s="226" t="s">
        <v>271</v>
      </c>
      <c r="AG31" s="219"/>
      <c r="AH31" s="219"/>
      <c r="AI31" s="219"/>
      <c r="AJ31" s="219"/>
      <c r="AK31" s="219"/>
      <c r="AL31" s="219"/>
      <c r="AM31" s="219"/>
      <c r="AN31" s="219"/>
      <c r="AO31" s="219"/>
    </row>
    <row r="32">
      <c r="A32" s="193">
        <v>10322.0</v>
      </c>
      <c r="B32" s="194" t="s">
        <v>203</v>
      </c>
      <c r="C32" s="193">
        <v>2026.0</v>
      </c>
      <c r="D32" s="229" t="s">
        <v>258</v>
      </c>
      <c r="E32" s="196"/>
      <c r="F32" s="193" t="s">
        <v>204</v>
      </c>
      <c r="G32" s="197">
        <v>46210.0</v>
      </c>
      <c r="H32" s="193">
        <v>553.0</v>
      </c>
      <c r="I32" s="198">
        <v>46210.0</v>
      </c>
      <c r="J32" s="193" t="s">
        <v>205</v>
      </c>
      <c r="K32" s="193" t="s">
        <v>206</v>
      </c>
      <c r="L32" s="194" t="s">
        <v>144</v>
      </c>
      <c r="M32" s="199"/>
      <c r="N32" s="193" t="s">
        <v>227</v>
      </c>
      <c r="O32" s="193" t="s">
        <v>206</v>
      </c>
      <c r="P32" s="193" t="s">
        <v>206</v>
      </c>
      <c r="Q32" s="199"/>
      <c r="R32" s="193" t="s">
        <v>269</v>
      </c>
      <c r="S32" s="193" t="s">
        <v>49</v>
      </c>
      <c r="T32" s="193" t="s">
        <v>229</v>
      </c>
      <c r="U32" s="193" t="s">
        <v>236</v>
      </c>
      <c r="V32" s="193" t="s">
        <v>237</v>
      </c>
      <c r="W32" s="193" t="s">
        <v>212</v>
      </c>
      <c r="X32" s="193" t="s">
        <v>232</v>
      </c>
      <c r="Y32" s="200">
        <v>3.0</v>
      </c>
      <c r="Z32" s="202" t="s">
        <v>214</v>
      </c>
      <c r="AA32" s="202" t="s">
        <v>234</v>
      </c>
      <c r="AB32" s="203">
        <v>119907.03</v>
      </c>
      <c r="AC32" s="203">
        <v>616082.32</v>
      </c>
      <c r="AD32" s="204">
        <v>46229.0</v>
      </c>
      <c r="AE32" s="204">
        <v>46260.0</v>
      </c>
      <c r="AF32" s="226" t="s">
        <v>263</v>
      </c>
      <c r="AG32" s="219"/>
      <c r="AH32" s="219"/>
      <c r="AI32" s="219"/>
      <c r="AJ32" s="219"/>
      <c r="AK32" s="219"/>
      <c r="AL32" s="219"/>
      <c r="AM32" s="219"/>
      <c r="AN32" s="219"/>
      <c r="AO32" s="219"/>
    </row>
    <row r="33">
      <c r="A33" s="193">
        <v>10340.0</v>
      </c>
      <c r="B33" s="194" t="s">
        <v>203</v>
      </c>
      <c r="C33" s="193">
        <v>2026.0</v>
      </c>
      <c r="D33" s="229" t="s">
        <v>258</v>
      </c>
      <c r="E33" s="196"/>
      <c r="F33" s="193" t="s">
        <v>272</v>
      </c>
      <c r="G33" s="237"/>
      <c r="H33" s="199"/>
      <c r="I33" s="233"/>
      <c r="J33" s="199"/>
      <c r="K33" s="193" t="s">
        <v>206</v>
      </c>
      <c r="L33" s="194" t="s">
        <v>144</v>
      </c>
      <c r="M33" s="199"/>
      <c r="N33" s="193" t="s">
        <v>207</v>
      </c>
      <c r="O33" s="193" t="s">
        <v>206</v>
      </c>
      <c r="P33" s="193" t="s">
        <v>206</v>
      </c>
      <c r="Q33" s="199"/>
      <c r="R33" s="193" t="s">
        <v>269</v>
      </c>
      <c r="S33" s="193" t="s">
        <v>49</v>
      </c>
      <c r="T33" s="193" t="s">
        <v>273</v>
      </c>
      <c r="U33" s="193" t="s">
        <v>274</v>
      </c>
      <c r="V33" s="193" t="s">
        <v>155</v>
      </c>
      <c r="W33" s="193" t="s">
        <v>203</v>
      </c>
      <c r="X33" s="193" t="s">
        <v>252</v>
      </c>
      <c r="Y33" s="200">
        <v>3.0</v>
      </c>
      <c r="Z33" s="202" t="s">
        <v>214</v>
      </c>
      <c r="AA33" s="202" t="s">
        <v>215</v>
      </c>
      <c r="AB33" s="203" t="s">
        <v>275</v>
      </c>
      <c r="AC33" s="203" t="s">
        <v>275</v>
      </c>
      <c r="AD33" s="204">
        <v>46048.0</v>
      </c>
      <c r="AE33" s="204">
        <v>46107.0</v>
      </c>
      <c r="AF33" s="226" t="s">
        <v>276</v>
      </c>
      <c r="AG33" s="219"/>
      <c r="AH33" s="219"/>
      <c r="AI33" s="219"/>
      <c r="AJ33" s="219"/>
      <c r="AK33" s="219"/>
      <c r="AL33" s="219"/>
      <c r="AM33" s="219"/>
      <c r="AN33" s="219"/>
      <c r="AO33" s="219"/>
    </row>
    <row r="34">
      <c r="A34" s="193">
        <v>10341.0</v>
      </c>
      <c r="B34" s="194" t="s">
        <v>203</v>
      </c>
      <c r="C34" s="193">
        <v>2026.0</v>
      </c>
      <c r="D34" s="229" t="s">
        <v>258</v>
      </c>
      <c r="E34" s="199"/>
      <c r="F34" s="193" t="s">
        <v>204</v>
      </c>
      <c r="G34" s="230">
        <v>46191.0</v>
      </c>
      <c r="H34" s="193">
        <v>430.0</v>
      </c>
      <c r="I34" s="230">
        <v>46191.0</v>
      </c>
      <c r="J34" s="193" t="s">
        <v>277</v>
      </c>
      <c r="K34" s="193" t="s">
        <v>206</v>
      </c>
      <c r="L34" s="194" t="s">
        <v>144</v>
      </c>
      <c r="M34" s="199"/>
      <c r="N34" s="193" t="s">
        <v>207</v>
      </c>
      <c r="O34" s="193" t="s">
        <v>206</v>
      </c>
      <c r="P34" s="193" t="s">
        <v>206</v>
      </c>
      <c r="Q34" s="199"/>
      <c r="R34" s="193" t="s">
        <v>269</v>
      </c>
      <c r="S34" s="193" t="s">
        <v>49</v>
      </c>
      <c r="T34" s="193" t="s">
        <v>273</v>
      </c>
      <c r="U34" s="193" t="s">
        <v>274</v>
      </c>
      <c r="V34" s="193" t="s">
        <v>155</v>
      </c>
      <c r="W34" s="193" t="s">
        <v>203</v>
      </c>
      <c r="X34" s="193" t="s">
        <v>252</v>
      </c>
      <c r="Y34" s="200">
        <v>3.0</v>
      </c>
      <c r="Z34" s="202" t="s">
        <v>233</v>
      </c>
      <c r="AA34" s="202" t="s">
        <v>215</v>
      </c>
      <c r="AB34" s="203">
        <v>3000000.0</v>
      </c>
      <c r="AC34" s="203">
        <v>3000000.0</v>
      </c>
      <c r="AD34" s="204">
        <v>46199.0</v>
      </c>
      <c r="AE34" s="239"/>
      <c r="AF34" s="240" t="s">
        <v>278</v>
      </c>
      <c r="AG34" s="219"/>
      <c r="AH34" s="219"/>
      <c r="AI34" s="219"/>
      <c r="AJ34" s="219"/>
      <c r="AK34" s="219"/>
      <c r="AL34" s="219"/>
      <c r="AM34" s="219"/>
      <c r="AN34" s="219"/>
      <c r="AO34" s="219"/>
    </row>
    <row r="35">
      <c r="A35" s="193">
        <v>10360.0</v>
      </c>
      <c r="B35" s="232" t="s">
        <v>264</v>
      </c>
      <c r="C35" s="193">
        <v>2026.0</v>
      </c>
      <c r="D35" s="199"/>
      <c r="E35" s="199"/>
      <c r="F35" s="193" t="s">
        <v>265</v>
      </c>
      <c r="G35" s="233"/>
      <c r="H35" s="199"/>
      <c r="I35" s="233"/>
      <c r="J35" s="199"/>
      <c r="K35" s="193" t="s">
        <v>206</v>
      </c>
      <c r="L35" s="234" t="s">
        <v>145</v>
      </c>
      <c r="M35" s="199"/>
      <c r="N35" s="193" t="s">
        <v>227</v>
      </c>
      <c r="O35" s="193" t="s">
        <v>206</v>
      </c>
      <c r="P35" s="193" t="s">
        <v>206</v>
      </c>
      <c r="Q35" s="199"/>
      <c r="R35" s="193" t="s">
        <v>279</v>
      </c>
      <c r="S35" s="193" t="s">
        <v>50</v>
      </c>
      <c r="T35" s="193" t="s">
        <v>280</v>
      </c>
      <c r="U35" s="193" t="s">
        <v>281</v>
      </c>
      <c r="V35" s="193" t="s">
        <v>50</v>
      </c>
      <c r="W35" s="193" t="s">
        <v>264</v>
      </c>
      <c r="X35" s="193" t="s">
        <v>232</v>
      </c>
      <c r="Y35" s="200">
        <v>3.0</v>
      </c>
      <c r="Z35" s="202" t="s">
        <v>233</v>
      </c>
      <c r="AA35" s="202" t="s">
        <v>234</v>
      </c>
      <c r="AB35" s="221"/>
      <c r="AC35" s="203">
        <v>1679899.79</v>
      </c>
      <c r="AD35" s="204">
        <v>46352.0</v>
      </c>
      <c r="AE35" s="204">
        <v>46049.0</v>
      </c>
      <c r="AF35" s="205"/>
      <c r="AG35" s="219"/>
      <c r="AH35" s="219"/>
      <c r="AI35" s="219"/>
      <c r="AJ35" s="219"/>
      <c r="AK35" s="219"/>
      <c r="AL35" s="219"/>
      <c r="AM35" s="219"/>
      <c r="AN35" s="219"/>
      <c r="AO35" s="219"/>
    </row>
    <row r="36">
      <c r="A36" s="193">
        <v>10380.0</v>
      </c>
      <c r="B36" s="194" t="s">
        <v>203</v>
      </c>
      <c r="C36" s="193">
        <v>2026.0</v>
      </c>
      <c r="D36" s="195">
        <v>2048.0</v>
      </c>
      <c r="E36" s="199"/>
      <c r="F36" s="193" t="s">
        <v>204</v>
      </c>
      <c r="G36" s="198">
        <v>46063.0</v>
      </c>
      <c r="H36" s="193">
        <v>56.0</v>
      </c>
      <c r="I36" s="198">
        <v>46063.0</v>
      </c>
      <c r="J36" s="193" t="s">
        <v>282</v>
      </c>
      <c r="K36" s="193" t="s">
        <v>206</v>
      </c>
      <c r="L36" s="194" t="s">
        <v>144</v>
      </c>
      <c r="M36" s="199"/>
      <c r="N36" s="193" t="s">
        <v>227</v>
      </c>
      <c r="O36" s="193" t="s">
        <v>206</v>
      </c>
      <c r="P36" s="193" t="s">
        <v>206</v>
      </c>
      <c r="Q36" s="199"/>
      <c r="R36" s="193" t="s">
        <v>279</v>
      </c>
      <c r="S36" s="193" t="s">
        <v>50</v>
      </c>
      <c r="T36" s="193" t="s">
        <v>283</v>
      </c>
      <c r="U36" s="193" t="s">
        <v>284</v>
      </c>
      <c r="V36" s="193" t="s">
        <v>50</v>
      </c>
      <c r="W36" s="193" t="s">
        <v>264</v>
      </c>
      <c r="X36" s="193" t="s">
        <v>232</v>
      </c>
      <c r="Y36" s="200">
        <v>3.0</v>
      </c>
      <c r="Z36" s="202" t="s">
        <v>233</v>
      </c>
      <c r="AA36" s="202" t="s">
        <v>234</v>
      </c>
      <c r="AB36" s="221"/>
      <c r="AC36" s="203">
        <v>760240.53</v>
      </c>
      <c r="AD36" s="204">
        <v>46079.0</v>
      </c>
      <c r="AE36" s="204">
        <v>46107.0</v>
      </c>
      <c r="AF36" s="205"/>
      <c r="AG36" s="219"/>
      <c r="AH36" s="219"/>
      <c r="AI36" s="219"/>
      <c r="AJ36" s="219"/>
      <c r="AK36" s="219"/>
      <c r="AL36" s="219"/>
      <c r="AM36" s="219"/>
      <c r="AN36" s="219"/>
      <c r="AO36" s="219"/>
    </row>
    <row r="37">
      <c r="A37" s="193">
        <v>10400.0</v>
      </c>
      <c r="B37" s="194" t="s">
        <v>203</v>
      </c>
      <c r="C37" s="193">
        <v>2026.0</v>
      </c>
      <c r="D37" s="195">
        <v>2048.0</v>
      </c>
      <c r="E37" s="193">
        <v>27.0</v>
      </c>
      <c r="F37" s="199"/>
      <c r="G37" s="220"/>
      <c r="H37" s="199"/>
      <c r="I37" s="220"/>
      <c r="J37" s="199"/>
      <c r="K37" s="193" t="s">
        <v>206</v>
      </c>
      <c r="L37" s="194" t="s">
        <v>144</v>
      </c>
      <c r="M37" s="199"/>
      <c r="N37" s="193" t="s">
        <v>227</v>
      </c>
      <c r="O37" s="193" t="s">
        <v>206</v>
      </c>
      <c r="P37" s="193" t="s">
        <v>206</v>
      </c>
      <c r="Q37" s="199"/>
      <c r="R37" s="193" t="s">
        <v>279</v>
      </c>
      <c r="S37" s="193" t="s">
        <v>50</v>
      </c>
      <c r="T37" s="193" t="s">
        <v>283</v>
      </c>
      <c r="U37" s="193" t="s">
        <v>285</v>
      </c>
      <c r="V37" s="193" t="s">
        <v>231</v>
      </c>
      <c r="W37" s="193" t="s">
        <v>264</v>
      </c>
      <c r="X37" s="193" t="s">
        <v>232</v>
      </c>
      <c r="Y37" s="200">
        <v>3.0</v>
      </c>
      <c r="Z37" s="202" t="s">
        <v>233</v>
      </c>
      <c r="AA37" s="202" t="s">
        <v>234</v>
      </c>
      <c r="AB37" s="221"/>
      <c r="AC37" s="203">
        <v>5172.75</v>
      </c>
      <c r="AD37" s="204">
        <v>46352.0</v>
      </c>
      <c r="AE37" s="204">
        <v>46049.0</v>
      </c>
      <c r="AF37" s="205"/>
      <c r="AG37" s="206"/>
      <c r="AH37" s="206"/>
      <c r="AI37" s="206"/>
      <c r="AJ37" s="206"/>
      <c r="AK37" s="206"/>
      <c r="AL37" s="206"/>
      <c r="AM37" s="206"/>
      <c r="AN37" s="206"/>
      <c r="AO37" s="206"/>
    </row>
    <row r="38">
      <c r="A38" s="193">
        <v>10420.0</v>
      </c>
      <c r="B38" s="194" t="s">
        <v>203</v>
      </c>
      <c r="C38" s="193">
        <v>2026.0</v>
      </c>
      <c r="D38" s="195">
        <v>2048.0</v>
      </c>
      <c r="E38" s="196"/>
      <c r="F38" s="241" t="s">
        <v>204</v>
      </c>
      <c r="G38" s="197">
        <v>46041.0</v>
      </c>
      <c r="H38" s="193">
        <v>7.0</v>
      </c>
      <c r="I38" s="198">
        <v>46041.0</v>
      </c>
      <c r="J38" s="193" t="s">
        <v>286</v>
      </c>
      <c r="K38" s="193" t="s">
        <v>206</v>
      </c>
      <c r="L38" s="194" t="s">
        <v>144</v>
      </c>
      <c r="M38" s="199"/>
      <c r="N38" s="193" t="s">
        <v>207</v>
      </c>
      <c r="O38" s="193" t="s">
        <v>206</v>
      </c>
      <c r="P38" s="193" t="s">
        <v>206</v>
      </c>
      <c r="Q38" s="199"/>
      <c r="R38" s="193" t="s">
        <v>228</v>
      </c>
      <c r="S38" s="193" t="s">
        <v>46</v>
      </c>
      <c r="T38" s="193" t="s">
        <v>287</v>
      </c>
      <c r="U38" s="193" t="s">
        <v>288</v>
      </c>
      <c r="V38" s="193" t="s">
        <v>231</v>
      </c>
      <c r="W38" s="193" t="s">
        <v>212</v>
      </c>
      <c r="X38" s="193" t="s">
        <v>252</v>
      </c>
      <c r="Y38" s="200">
        <v>3.0</v>
      </c>
      <c r="Z38" s="202" t="s">
        <v>233</v>
      </c>
      <c r="AA38" s="202" t="s">
        <v>215</v>
      </c>
      <c r="AB38" s="203">
        <v>1130000.0</v>
      </c>
      <c r="AC38" s="203">
        <v>1130000.0</v>
      </c>
      <c r="AD38" s="204">
        <v>46048.0</v>
      </c>
      <c r="AE38" s="204">
        <v>46107.0</v>
      </c>
      <c r="AF38" s="205"/>
      <c r="AG38" s="219"/>
      <c r="AH38" s="219"/>
      <c r="AI38" s="219"/>
      <c r="AJ38" s="219"/>
      <c r="AK38" s="219"/>
      <c r="AL38" s="219"/>
      <c r="AM38" s="219"/>
      <c r="AN38" s="219"/>
      <c r="AO38" s="219"/>
    </row>
    <row r="39">
      <c r="A39" s="193">
        <v>10440.0</v>
      </c>
      <c r="B39" s="194" t="s">
        <v>203</v>
      </c>
      <c r="C39" s="193">
        <v>2026.0</v>
      </c>
      <c r="D39" s="195">
        <v>2048.0</v>
      </c>
      <c r="E39" s="196"/>
      <c r="F39" s="193" t="s">
        <v>204</v>
      </c>
      <c r="G39" s="197">
        <v>46041.0</v>
      </c>
      <c r="H39" s="193">
        <v>4.0</v>
      </c>
      <c r="I39" s="198">
        <v>46041.0</v>
      </c>
      <c r="J39" s="193" t="s">
        <v>205</v>
      </c>
      <c r="K39" s="193" t="s">
        <v>206</v>
      </c>
      <c r="L39" s="194" t="s">
        <v>144</v>
      </c>
      <c r="M39" s="199"/>
      <c r="N39" s="193" t="s">
        <v>207</v>
      </c>
      <c r="O39" s="193" t="s">
        <v>206</v>
      </c>
      <c r="P39" s="193" t="s">
        <v>206</v>
      </c>
      <c r="Q39" s="199"/>
      <c r="R39" s="193" t="s">
        <v>208</v>
      </c>
      <c r="S39" s="193" t="s">
        <v>39</v>
      </c>
      <c r="T39" s="193" t="s">
        <v>209</v>
      </c>
      <c r="U39" s="193" t="s">
        <v>289</v>
      </c>
      <c r="V39" s="193" t="s">
        <v>290</v>
      </c>
      <c r="W39" s="193" t="s">
        <v>212</v>
      </c>
      <c r="X39" s="193" t="s">
        <v>252</v>
      </c>
      <c r="Y39" s="200">
        <v>3.0</v>
      </c>
      <c r="Z39" s="202" t="s">
        <v>214</v>
      </c>
      <c r="AA39" s="202" t="s">
        <v>215</v>
      </c>
      <c r="AB39" s="203">
        <v>1294030.55</v>
      </c>
      <c r="AC39" s="203">
        <v>1294030.55</v>
      </c>
      <c r="AD39" s="204">
        <v>46048.0</v>
      </c>
      <c r="AE39" s="204">
        <v>46107.0</v>
      </c>
      <c r="AF39" s="205"/>
      <c r="AG39" s="219"/>
      <c r="AH39" s="219"/>
      <c r="AI39" s="242"/>
      <c r="AJ39" s="219"/>
      <c r="AK39" s="219"/>
      <c r="AL39" s="219"/>
      <c r="AM39" s="219"/>
      <c r="AN39" s="219"/>
      <c r="AO39" s="219"/>
    </row>
    <row r="40">
      <c r="A40" s="193">
        <v>10460.0</v>
      </c>
      <c r="B40" s="194" t="s">
        <v>203</v>
      </c>
      <c r="C40" s="193">
        <v>2026.0</v>
      </c>
      <c r="D40" s="195" t="s">
        <v>292</v>
      </c>
      <c r="E40" s="224">
        <v>18.0</v>
      </c>
      <c r="F40" s="193" t="s">
        <v>293</v>
      </c>
      <c r="G40" s="237"/>
      <c r="H40" s="199"/>
      <c r="I40" s="233"/>
      <c r="J40" s="199"/>
      <c r="K40" s="243" t="s">
        <v>206</v>
      </c>
      <c r="L40" s="194" t="s">
        <v>144</v>
      </c>
      <c r="M40" s="199"/>
      <c r="N40" s="193" t="s">
        <v>207</v>
      </c>
      <c r="O40" s="193" t="s">
        <v>206</v>
      </c>
      <c r="P40" s="193" t="s">
        <v>206</v>
      </c>
      <c r="Q40" s="199"/>
      <c r="R40" s="193" t="s">
        <v>208</v>
      </c>
      <c r="S40" s="193" t="s">
        <v>39</v>
      </c>
      <c r="T40" s="193" t="s">
        <v>294</v>
      </c>
      <c r="U40" s="193" t="s">
        <v>295</v>
      </c>
      <c r="V40" s="193" t="s">
        <v>296</v>
      </c>
      <c r="W40" s="193" t="s">
        <v>212</v>
      </c>
      <c r="X40" s="193" t="s">
        <v>252</v>
      </c>
      <c r="Y40" s="200">
        <v>3.0</v>
      </c>
      <c r="Z40" s="202" t="s">
        <v>214</v>
      </c>
      <c r="AA40" s="202" t="s">
        <v>215</v>
      </c>
      <c r="AB40" s="203">
        <v>412184.26</v>
      </c>
      <c r="AC40" s="203">
        <v>412184.26</v>
      </c>
      <c r="AD40" s="204">
        <v>46291.0</v>
      </c>
      <c r="AE40" s="204">
        <v>46321.0</v>
      </c>
      <c r="AF40" s="226" t="s">
        <v>297</v>
      </c>
      <c r="AG40" s="219"/>
      <c r="AH40" s="219"/>
      <c r="AI40" s="219"/>
      <c r="AJ40" s="219"/>
      <c r="AK40" s="219"/>
      <c r="AL40" s="219"/>
      <c r="AM40" s="219"/>
      <c r="AN40" s="219"/>
      <c r="AO40" s="219"/>
    </row>
    <row r="41">
      <c r="A41" s="193">
        <v>10480.0</v>
      </c>
      <c r="B41" s="194" t="s">
        <v>203</v>
      </c>
      <c r="C41" s="193">
        <v>2026.0</v>
      </c>
      <c r="D41" s="229" t="s">
        <v>258</v>
      </c>
      <c r="E41" s="196"/>
      <c r="F41" s="193" t="s">
        <v>204</v>
      </c>
      <c r="G41" s="244">
        <v>46176.0</v>
      </c>
      <c r="H41" s="193">
        <v>389.0</v>
      </c>
      <c r="I41" s="245">
        <v>46176.0</v>
      </c>
      <c r="J41" s="193" t="s">
        <v>298</v>
      </c>
      <c r="K41" s="193" t="s">
        <v>206</v>
      </c>
      <c r="L41" s="194" t="s">
        <v>144</v>
      </c>
      <c r="M41" s="199"/>
      <c r="N41" s="193" t="s">
        <v>207</v>
      </c>
      <c r="O41" s="193" t="s">
        <v>206</v>
      </c>
      <c r="P41" s="193" t="s">
        <v>206</v>
      </c>
      <c r="Q41" s="199"/>
      <c r="R41" s="193" t="s">
        <v>219</v>
      </c>
      <c r="S41" s="193" t="s">
        <v>43</v>
      </c>
      <c r="T41" s="193" t="s">
        <v>299</v>
      </c>
      <c r="U41" s="193" t="s">
        <v>289</v>
      </c>
      <c r="V41" s="193" t="s">
        <v>290</v>
      </c>
      <c r="W41" s="193" t="s">
        <v>212</v>
      </c>
      <c r="X41" s="193" t="s">
        <v>252</v>
      </c>
      <c r="Y41" s="200">
        <v>3.0</v>
      </c>
      <c r="Z41" s="202" t="s">
        <v>233</v>
      </c>
      <c r="AA41" s="202" t="s">
        <v>215</v>
      </c>
      <c r="AB41" s="203">
        <v>525000.0</v>
      </c>
      <c r="AC41" s="203">
        <v>525000.0</v>
      </c>
      <c r="AD41" s="204">
        <v>46199.0</v>
      </c>
      <c r="AE41" s="204">
        <v>46107.0</v>
      </c>
      <c r="AF41" s="226" t="s">
        <v>268</v>
      </c>
      <c r="AG41" s="219"/>
      <c r="AH41" s="219"/>
      <c r="AI41" s="219"/>
      <c r="AJ41" s="219"/>
      <c r="AK41" s="219"/>
      <c r="AL41" s="219"/>
      <c r="AM41" s="219"/>
      <c r="AN41" s="219"/>
      <c r="AO41" s="219"/>
    </row>
    <row r="42">
      <c r="A42" s="193">
        <v>10500.0</v>
      </c>
      <c r="B42" s="194" t="s">
        <v>203</v>
      </c>
      <c r="C42" s="193">
        <v>2026.0</v>
      </c>
      <c r="D42" s="229" t="s">
        <v>258</v>
      </c>
      <c r="E42" s="196"/>
      <c r="F42" s="193" t="s">
        <v>204</v>
      </c>
      <c r="G42" s="246">
        <v>46042.0</v>
      </c>
      <c r="H42" s="193">
        <v>66.0</v>
      </c>
      <c r="I42" s="198">
        <v>46066.0</v>
      </c>
      <c r="J42" s="193" t="s">
        <v>300</v>
      </c>
      <c r="K42" s="193" t="s">
        <v>206</v>
      </c>
      <c r="L42" s="194" t="s">
        <v>144</v>
      </c>
      <c r="M42" s="199"/>
      <c r="N42" s="193" t="s">
        <v>207</v>
      </c>
      <c r="O42" s="193" t="s">
        <v>206</v>
      </c>
      <c r="P42" s="193" t="s">
        <v>206</v>
      </c>
      <c r="Q42" s="199"/>
      <c r="R42" s="193" t="s">
        <v>301</v>
      </c>
      <c r="S42" s="193" t="s">
        <v>43</v>
      </c>
      <c r="T42" s="193" t="s">
        <v>302</v>
      </c>
      <c r="U42" s="193" t="s">
        <v>303</v>
      </c>
      <c r="V42" s="193" t="s">
        <v>231</v>
      </c>
      <c r="W42" s="193" t="s">
        <v>212</v>
      </c>
      <c r="X42" s="193" t="s">
        <v>252</v>
      </c>
      <c r="Y42" s="200">
        <v>3.0</v>
      </c>
      <c r="Z42" s="202" t="s">
        <v>233</v>
      </c>
      <c r="AA42" s="202" t="s">
        <v>215</v>
      </c>
      <c r="AB42" s="203">
        <v>1360000.0</v>
      </c>
      <c r="AC42" s="203">
        <v>1360000.0</v>
      </c>
      <c r="AD42" s="204">
        <v>46079.0</v>
      </c>
      <c r="AE42" s="204">
        <v>46107.0</v>
      </c>
      <c r="AF42" s="205"/>
      <c r="AG42" s="219"/>
      <c r="AH42" s="219"/>
      <c r="AI42" s="219"/>
      <c r="AJ42" s="219"/>
      <c r="AK42" s="219"/>
      <c r="AL42" s="219"/>
      <c r="AM42" s="219"/>
      <c r="AN42" s="219"/>
      <c r="AO42" s="219"/>
    </row>
    <row r="43">
      <c r="A43" s="193">
        <v>10520.0</v>
      </c>
      <c r="B43" s="194" t="s">
        <v>203</v>
      </c>
      <c r="C43" s="193">
        <v>2026.0</v>
      </c>
      <c r="D43" s="195">
        <v>2048.0</v>
      </c>
      <c r="E43" s="199"/>
      <c r="F43" s="193" t="s">
        <v>204</v>
      </c>
      <c r="G43" s="198">
        <v>46073.0</v>
      </c>
      <c r="H43" s="193">
        <v>90.0</v>
      </c>
      <c r="I43" s="198">
        <v>46073.0</v>
      </c>
      <c r="J43" s="193" t="s">
        <v>304</v>
      </c>
      <c r="K43" s="193" t="s">
        <v>206</v>
      </c>
      <c r="L43" s="194" t="s">
        <v>144</v>
      </c>
      <c r="M43" s="199"/>
      <c r="N43" s="193" t="s">
        <v>207</v>
      </c>
      <c r="O43" s="193" t="s">
        <v>206</v>
      </c>
      <c r="P43" s="193" t="s">
        <v>206</v>
      </c>
      <c r="Q43" s="199"/>
      <c r="R43" s="193" t="s">
        <v>208</v>
      </c>
      <c r="S43" s="193" t="s">
        <v>39</v>
      </c>
      <c r="T43" s="193" t="s">
        <v>209</v>
      </c>
      <c r="U43" s="193" t="s">
        <v>305</v>
      </c>
      <c r="V43" s="193" t="s">
        <v>211</v>
      </c>
      <c r="W43" s="193" t="s">
        <v>212</v>
      </c>
      <c r="X43" s="193" t="s">
        <v>213</v>
      </c>
      <c r="Y43" s="200">
        <v>3.0</v>
      </c>
      <c r="Z43" s="202" t="s">
        <v>214</v>
      </c>
      <c r="AA43" s="202" t="s">
        <v>215</v>
      </c>
      <c r="AB43" s="203">
        <v>2310000.0</v>
      </c>
      <c r="AC43" s="203">
        <v>2310000.0</v>
      </c>
      <c r="AD43" s="204">
        <v>46079.0</v>
      </c>
      <c r="AE43" s="204">
        <v>46138.0</v>
      </c>
      <c r="AF43" s="205"/>
      <c r="AG43" s="219"/>
      <c r="AH43" s="219"/>
      <c r="AI43" s="242"/>
      <c r="AJ43" s="219"/>
      <c r="AK43" s="219"/>
      <c r="AL43" s="219"/>
      <c r="AM43" s="219"/>
      <c r="AN43" s="219"/>
      <c r="AO43" s="219"/>
    </row>
    <row r="44">
      <c r="A44" s="193">
        <v>10540.0</v>
      </c>
      <c r="B44" s="194" t="s">
        <v>203</v>
      </c>
      <c r="C44" s="193">
        <v>2026.0</v>
      </c>
      <c r="D44" s="195">
        <v>2048.0</v>
      </c>
      <c r="E44" s="199"/>
      <c r="F44" s="193" t="s">
        <v>204</v>
      </c>
      <c r="G44" s="198">
        <v>46076.0</v>
      </c>
      <c r="H44" s="193">
        <v>91.0</v>
      </c>
      <c r="I44" s="198">
        <v>46076.0</v>
      </c>
      <c r="J44" s="193" t="s">
        <v>306</v>
      </c>
      <c r="K44" s="193" t="s">
        <v>206</v>
      </c>
      <c r="L44" s="194" t="s">
        <v>144</v>
      </c>
      <c r="M44" s="199"/>
      <c r="N44" s="193" t="s">
        <v>207</v>
      </c>
      <c r="O44" s="193" t="s">
        <v>206</v>
      </c>
      <c r="P44" s="193" t="s">
        <v>206</v>
      </c>
      <c r="Q44" s="199"/>
      <c r="R44" s="193" t="s">
        <v>219</v>
      </c>
      <c r="S44" s="193" t="s">
        <v>44</v>
      </c>
      <c r="T44" s="193" t="s">
        <v>220</v>
      </c>
      <c r="U44" s="193" t="s">
        <v>305</v>
      </c>
      <c r="V44" s="193" t="s">
        <v>211</v>
      </c>
      <c r="W44" s="193" t="s">
        <v>212</v>
      </c>
      <c r="X44" s="193" t="s">
        <v>213</v>
      </c>
      <c r="Y44" s="200">
        <v>3.0</v>
      </c>
      <c r="Z44" s="202" t="s">
        <v>214</v>
      </c>
      <c r="AA44" s="202" t="s">
        <v>215</v>
      </c>
      <c r="AB44" s="203">
        <v>332718.75</v>
      </c>
      <c r="AC44" s="203">
        <v>332718.75</v>
      </c>
      <c r="AD44" s="204">
        <v>46079.0</v>
      </c>
      <c r="AE44" s="247">
        <v>46138.0</v>
      </c>
      <c r="AF44" s="205"/>
      <c r="AG44" s="219"/>
      <c r="AH44" s="219"/>
      <c r="AI44" s="219"/>
      <c r="AJ44" s="219"/>
      <c r="AK44" s="219"/>
      <c r="AL44" s="219"/>
      <c r="AM44" s="219"/>
      <c r="AN44" s="219"/>
      <c r="AO44" s="219"/>
    </row>
    <row r="45">
      <c r="A45" s="193">
        <v>10560.0</v>
      </c>
      <c r="B45" s="194" t="s">
        <v>203</v>
      </c>
      <c r="C45" s="193">
        <v>2026.0</v>
      </c>
      <c r="D45" s="195">
        <v>2048.0</v>
      </c>
      <c r="E45" s="199"/>
      <c r="F45" s="193" t="s">
        <v>204</v>
      </c>
      <c r="G45" s="198">
        <v>46085.0</v>
      </c>
      <c r="H45" s="193">
        <v>132.0</v>
      </c>
      <c r="I45" s="198">
        <v>46085.0</v>
      </c>
      <c r="J45" s="193" t="s">
        <v>307</v>
      </c>
      <c r="K45" s="193" t="s">
        <v>206</v>
      </c>
      <c r="L45" s="194" t="s">
        <v>144</v>
      </c>
      <c r="M45" s="199"/>
      <c r="N45" s="193" t="s">
        <v>207</v>
      </c>
      <c r="O45" s="193" t="s">
        <v>206</v>
      </c>
      <c r="P45" s="193" t="s">
        <v>206</v>
      </c>
      <c r="Q45" s="199"/>
      <c r="R45" s="193" t="s">
        <v>208</v>
      </c>
      <c r="S45" s="193" t="s">
        <v>39</v>
      </c>
      <c r="T45" s="193" t="s">
        <v>209</v>
      </c>
      <c r="U45" s="193" t="s">
        <v>308</v>
      </c>
      <c r="V45" s="193" t="s">
        <v>211</v>
      </c>
      <c r="W45" s="193" t="s">
        <v>212</v>
      </c>
      <c r="X45" s="193" t="s">
        <v>223</v>
      </c>
      <c r="Y45" s="200">
        <v>3.0</v>
      </c>
      <c r="Z45" s="202" t="s">
        <v>214</v>
      </c>
      <c r="AA45" s="202" t="s">
        <v>215</v>
      </c>
      <c r="AB45" s="203">
        <v>4995310.98</v>
      </c>
      <c r="AC45" s="203">
        <v>4995310.98</v>
      </c>
      <c r="AD45" s="204">
        <v>46107.0</v>
      </c>
      <c r="AE45" s="247">
        <v>46168.0</v>
      </c>
      <c r="AF45" s="205"/>
      <c r="AG45" s="219"/>
      <c r="AH45" s="219"/>
      <c r="AI45" s="242"/>
      <c r="AJ45" s="219"/>
      <c r="AK45" s="219"/>
      <c r="AL45" s="219"/>
      <c r="AM45" s="219"/>
      <c r="AN45" s="219"/>
      <c r="AO45" s="219"/>
    </row>
    <row r="46">
      <c r="A46" s="193">
        <v>10561.0</v>
      </c>
      <c r="B46" s="194" t="s">
        <v>203</v>
      </c>
      <c r="C46" s="193">
        <v>2026.0</v>
      </c>
      <c r="D46" s="193" t="s">
        <v>309</v>
      </c>
      <c r="E46" s="199"/>
      <c r="F46" s="193" t="s">
        <v>204</v>
      </c>
      <c r="G46" s="230">
        <v>46085.0</v>
      </c>
      <c r="H46" s="193" t="s">
        <v>310</v>
      </c>
      <c r="I46" s="223">
        <v>46085.0</v>
      </c>
      <c r="J46" s="193" t="s">
        <v>311</v>
      </c>
      <c r="K46" s="193" t="s">
        <v>206</v>
      </c>
      <c r="L46" s="194" t="s">
        <v>144</v>
      </c>
      <c r="M46" s="199"/>
      <c r="N46" s="193" t="s">
        <v>207</v>
      </c>
      <c r="O46" s="193" t="s">
        <v>206</v>
      </c>
      <c r="P46" s="193" t="s">
        <v>206</v>
      </c>
      <c r="Q46" s="199"/>
      <c r="R46" s="193" t="s">
        <v>312</v>
      </c>
      <c r="S46" s="193" t="s">
        <v>39</v>
      </c>
      <c r="T46" s="193" t="s">
        <v>209</v>
      </c>
      <c r="U46" s="193" t="s">
        <v>308</v>
      </c>
      <c r="V46" s="193" t="s">
        <v>211</v>
      </c>
      <c r="W46" s="193" t="s">
        <v>212</v>
      </c>
      <c r="X46" s="193" t="s">
        <v>223</v>
      </c>
      <c r="Y46" s="200">
        <v>3.0</v>
      </c>
      <c r="Z46" s="202" t="s">
        <v>214</v>
      </c>
      <c r="AA46" s="202" t="s">
        <v>215</v>
      </c>
      <c r="AB46" s="203">
        <v>920987.62</v>
      </c>
      <c r="AC46" s="203">
        <v>920987.62</v>
      </c>
      <c r="AD46" s="204">
        <v>46107.0</v>
      </c>
      <c r="AE46" s="247">
        <v>46168.0</v>
      </c>
      <c r="AF46" s="205"/>
      <c r="AG46" s="219"/>
      <c r="AH46" s="219"/>
      <c r="AI46" s="219"/>
      <c r="AJ46" s="219"/>
      <c r="AK46" s="219"/>
      <c r="AL46" s="219"/>
      <c r="AM46" s="219"/>
      <c r="AN46" s="219"/>
      <c r="AO46" s="219"/>
    </row>
    <row r="47">
      <c r="A47" s="193">
        <v>10580.0</v>
      </c>
      <c r="B47" s="194" t="s">
        <v>203</v>
      </c>
      <c r="C47" s="193">
        <v>2026.0</v>
      </c>
      <c r="D47" s="195">
        <v>2048.0</v>
      </c>
      <c r="E47" s="193">
        <v>142.0</v>
      </c>
      <c r="F47" s="199"/>
      <c r="G47" s="235"/>
      <c r="H47" s="199"/>
      <c r="I47" s="235"/>
      <c r="J47" s="199"/>
      <c r="K47" s="193" t="s">
        <v>206</v>
      </c>
      <c r="L47" s="194" t="s">
        <v>144</v>
      </c>
      <c r="M47" s="199"/>
      <c r="N47" s="193" t="s">
        <v>207</v>
      </c>
      <c r="O47" s="193" t="s">
        <v>206</v>
      </c>
      <c r="P47" s="193" t="s">
        <v>244</v>
      </c>
      <c r="Q47" s="199"/>
      <c r="R47" s="193" t="s">
        <v>228</v>
      </c>
      <c r="S47" s="193" t="s">
        <v>46</v>
      </c>
      <c r="T47" s="193" t="s">
        <v>313</v>
      </c>
      <c r="U47" s="193" t="s">
        <v>314</v>
      </c>
      <c r="V47" s="193" t="s">
        <v>155</v>
      </c>
      <c r="W47" s="193" t="s">
        <v>203</v>
      </c>
      <c r="X47" s="193" t="s">
        <v>252</v>
      </c>
      <c r="Y47" s="200">
        <v>3.0</v>
      </c>
      <c r="Z47" s="202" t="s">
        <v>233</v>
      </c>
      <c r="AA47" s="202" t="s">
        <v>215</v>
      </c>
      <c r="AB47" s="203">
        <v>750000.0</v>
      </c>
      <c r="AC47" s="203">
        <v>750000.0</v>
      </c>
      <c r="AD47" s="204">
        <v>46321.0</v>
      </c>
      <c r="AE47" s="204">
        <v>46382.0</v>
      </c>
      <c r="AF47" s="226" t="s">
        <v>315</v>
      </c>
      <c r="AG47" s="219"/>
      <c r="AH47" s="219"/>
      <c r="AI47" s="219"/>
      <c r="AJ47" s="219"/>
      <c r="AK47" s="219"/>
      <c r="AL47" s="219"/>
      <c r="AM47" s="219"/>
      <c r="AN47" s="219"/>
      <c r="AO47" s="219"/>
    </row>
    <row r="48">
      <c r="A48" s="193">
        <v>10600.0</v>
      </c>
      <c r="B48" s="194" t="s">
        <v>203</v>
      </c>
      <c r="C48" s="193">
        <v>2026.0</v>
      </c>
      <c r="D48" s="195">
        <v>2048.0</v>
      </c>
      <c r="E48" s="193">
        <v>82.0</v>
      </c>
      <c r="F48" s="193" t="s">
        <v>272</v>
      </c>
      <c r="G48" s="248"/>
      <c r="H48" s="199"/>
      <c r="I48" s="220"/>
      <c r="J48" s="199"/>
      <c r="K48" s="193" t="s">
        <v>206</v>
      </c>
      <c r="L48" s="194" t="s">
        <v>144</v>
      </c>
      <c r="M48" s="199"/>
      <c r="N48" s="193" t="s">
        <v>227</v>
      </c>
      <c r="O48" s="193" t="s">
        <v>206</v>
      </c>
      <c r="P48" s="193" t="s">
        <v>244</v>
      </c>
      <c r="Q48" s="199"/>
      <c r="R48" s="193" t="s">
        <v>228</v>
      </c>
      <c r="S48" s="193" t="s">
        <v>46</v>
      </c>
      <c r="T48" s="193" t="s">
        <v>245</v>
      </c>
      <c r="U48" s="193" t="s">
        <v>316</v>
      </c>
      <c r="V48" s="193" t="s">
        <v>155</v>
      </c>
      <c r="W48" s="193" t="s">
        <v>203</v>
      </c>
      <c r="X48" s="193" t="s">
        <v>232</v>
      </c>
      <c r="Y48" s="200">
        <v>3.0</v>
      </c>
      <c r="Z48" s="202" t="s">
        <v>214</v>
      </c>
      <c r="AA48" s="202" t="s">
        <v>234</v>
      </c>
      <c r="AB48" s="221"/>
      <c r="AC48" s="203" t="s">
        <v>275</v>
      </c>
      <c r="AD48" s="249">
        <v>46291.0</v>
      </c>
      <c r="AE48" s="250">
        <v>46169.0</v>
      </c>
      <c r="AF48" s="226" t="s">
        <v>317</v>
      </c>
      <c r="AG48" s="219"/>
      <c r="AH48" s="219"/>
      <c r="AI48" s="219"/>
      <c r="AJ48" s="219"/>
      <c r="AK48" s="219"/>
      <c r="AL48" s="219"/>
      <c r="AM48" s="219"/>
      <c r="AN48" s="219"/>
      <c r="AO48" s="219"/>
    </row>
    <row r="49">
      <c r="A49" s="193">
        <v>10620.0</v>
      </c>
      <c r="B49" s="194" t="s">
        <v>203</v>
      </c>
      <c r="C49" s="193">
        <v>2026.0</v>
      </c>
      <c r="D49" s="195">
        <v>2048.0</v>
      </c>
      <c r="E49" s="193">
        <v>83.0</v>
      </c>
      <c r="F49" s="193" t="s">
        <v>272</v>
      </c>
      <c r="G49" s="233"/>
      <c r="H49" s="199"/>
      <c r="I49" s="233"/>
      <c r="J49" s="199"/>
      <c r="K49" s="193" t="s">
        <v>206</v>
      </c>
      <c r="L49" s="194" t="s">
        <v>144</v>
      </c>
      <c r="M49" s="199"/>
      <c r="N49" s="193" t="s">
        <v>227</v>
      </c>
      <c r="O49" s="193" t="s">
        <v>206</v>
      </c>
      <c r="P49" s="193" t="s">
        <v>244</v>
      </c>
      <c r="Q49" s="199"/>
      <c r="R49" s="193" t="s">
        <v>228</v>
      </c>
      <c r="S49" s="193" t="s">
        <v>46</v>
      </c>
      <c r="T49" s="193" t="s">
        <v>245</v>
      </c>
      <c r="U49" s="193" t="s">
        <v>318</v>
      </c>
      <c r="V49" s="193" t="s">
        <v>155</v>
      </c>
      <c r="W49" s="193" t="s">
        <v>203</v>
      </c>
      <c r="X49" s="193" t="s">
        <v>232</v>
      </c>
      <c r="Y49" s="200">
        <v>3.0</v>
      </c>
      <c r="Z49" s="202" t="s">
        <v>214</v>
      </c>
      <c r="AA49" s="202" t="s">
        <v>234</v>
      </c>
      <c r="AB49" s="221"/>
      <c r="AC49" s="203" t="s">
        <v>275</v>
      </c>
      <c r="AD49" s="249">
        <v>46291.0</v>
      </c>
      <c r="AE49" s="251">
        <v>46169.0</v>
      </c>
      <c r="AF49" s="226" t="s">
        <v>317</v>
      </c>
      <c r="AG49" s="219"/>
      <c r="AH49" s="206"/>
      <c r="AI49" s="206"/>
      <c r="AJ49" s="206"/>
      <c r="AK49" s="206"/>
      <c r="AL49" s="206"/>
      <c r="AM49" s="206"/>
      <c r="AN49" s="206"/>
      <c r="AO49" s="206"/>
    </row>
    <row r="50">
      <c r="A50" s="193">
        <v>10621.0</v>
      </c>
      <c r="B50" s="194" t="s">
        <v>203</v>
      </c>
      <c r="C50" s="193">
        <v>2026.0</v>
      </c>
      <c r="D50" s="195">
        <v>2048.0</v>
      </c>
      <c r="E50" s="199"/>
      <c r="F50" s="193" t="s">
        <v>204</v>
      </c>
      <c r="G50" s="198">
        <v>46251.0</v>
      </c>
      <c r="H50" s="252">
        <v>12417.0</v>
      </c>
      <c r="I50" s="198">
        <v>46251.0</v>
      </c>
      <c r="J50" s="193" t="s">
        <v>319</v>
      </c>
      <c r="K50" s="193" t="s">
        <v>206</v>
      </c>
      <c r="L50" s="194" t="s">
        <v>144</v>
      </c>
      <c r="M50" s="199"/>
      <c r="N50" s="193" t="s">
        <v>227</v>
      </c>
      <c r="O50" s="193" t="s">
        <v>206</v>
      </c>
      <c r="P50" s="193" t="s">
        <v>244</v>
      </c>
      <c r="Q50" s="199"/>
      <c r="R50" s="193" t="s">
        <v>228</v>
      </c>
      <c r="S50" s="193" t="s">
        <v>47</v>
      </c>
      <c r="T50" s="193" t="s">
        <v>320</v>
      </c>
      <c r="U50" s="193" t="s">
        <v>321</v>
      </c>
      <c r="V50" s="193" t="s">
        <v>290</v>
      </c>
      <c r="W50" s="193" t="s">
        <v>264</v>
      </c>
      <c r="X50" s="193" t="s">
        <v>232</v>
      </c>
      <c r="Y50" s="200">
        <v>3.0</v>
      </c>
      <c r="Z50" s="202" t="s">
        <v>233</v>
      </c>
      <c r="AA50" s="202" t="s">
        <v>234</v>
      </c>
      <c r="AB50" s="203">
        <v>15796.35</v>
      </c>
      <c r="AC50" s="203">
        <v>81185.35</v>
      </c>
      <c r="AD50" s="249">
        <v>46260.0</v>
      </c>
      <c r="AE50" s="250">
        <v>46169.0</v>
      </c>
      <c r="AF50" s="205"/>
      <c r="AG50" s="219"/>
      <c r="AH50" s="219"/>
      <c r="AI50" s="219"/>
      <c r="AJ50" s="219"/>
      <c r="AK50" s="219"/>
      <c r="AL50" s="219"/>
      <c r="AM50" s="219"/>
      <c r="AN50" s="219"/>
      <c r="AO50" s="219"/>
    </row>
    <row r="51">
      <c r="A51" s="193">
        <v>10640.0</v>
      </c>
      <c r="B51" s="194" t="s">
        <v>203</v>
      </c>
      <c r="C51" s="193">
        <v>2026.0</v>
      </c>
      <c r="D51" s="195">
        <v>2048.0</v>
      </c>
      <c r="E51" s="193">
        <v>84.0</v>
      </c>
      <c r="F51" s="193" t="s">
        <v>272</v>
      </c>
      <c r="G51" s="253"/>
      <c r="H51" s="199"/>
      <c r="I51" s="253"/>
      <c r="J51" s="199"/>
      <c r="K51" s="193" t="s">
        <v>206</v>
      </c>
      <c r="L51" s="194" t="s">
        <v>144</v>
      </c>
      <c r="M51" s="199"/>
      <c r="N51" s="193" t="s">
        <v>227</v>
      </c>
      <c r="O51" s="193" t="s">
        <v>206</v>
      </c>
      <c r="P51" s="193" t="s">
        <v>244</v>
      </c>
      <c r="Q51" s="199"/>
      <c r="R51" s="193" t="s">
        <v>228</v>
      </c>
      <c r="S51" s="193" t="s">
        <v>46</v>
      </c>
      <c r="T51" s="193" t="s">
        <v>245</v>
      </c>
      <c r="U51" s="193" t="s">
        <v>322</v>
      </c>
      <c r="V51" s="193" t="s">
        <v>155</v>
      </c>
      <c r="W51" s="193" t="s">
        <v>203</v>
      </c>
      <c r="X51" s="193" t="s">
        <v>232</v>
      </c>
      <c r="Y51" s="200">
        <v>3.0</v>
      </c>
      <c r="Z51" s="202" t="s">
        <v>214</v>
      </c>
      <c r="AA51" s="202" t="s">
        <v>234</v>
      </c>
      <c r="AB51" s="221"/>
      <c r="AC51" s="203" t="s">
        <v>275</v>
      </c>
      <c r="AD51" s="249">
        <v>46291.0</v>
      </c>
      <c r="AE51" s="251">
        <v>46169.0</v>
      </c>
      <c r="AF51" s="226" t="s">
        <v>317</v>
      </c>
      <c r="AG51" s="219"/>
      <c r="AH51" s="219"/>
      <c r="AI51" s="219"/>
      <c r="AJ51" s="219"/>
      <c r="AK51" s="219"/>
      <c r="AL51" s="219"/>
      <c r="AM51" s="219"/>
      <c r="AN51" s="219"/>
      <c r="AO51" s="219"/>
    </row>
    <row r="52">
      <c r="A52" s="193">
        <v>10660.0</v>
      </c>
      <c r="B52" s="194" t="s">
        <v>203</v>
      </c>
      <c r="C52" s="193">
        <v>2026.0</v>
      </c>
      <c r="D52" s="229" t="s">
        <v>258</v>
      </c>
      <c r="E52" s="199"/>
      <c r="F52" s="193" t="s">
        <v>204</v>
      </c>
      <c r="G52" s="198">
        <v>46083.0</v>
      </c>
      <c r="H52" s="193">
        <v>120.0</v>
      </c>
      <c r="I52" s="198">
        <v>46083.0</v>
      </c>
      <c r="J52" s="193" t="s">
        <v>323</v>
      </c>
      <c r="K52" s="193" t="s">
        <v>206</v>
      </c>
      <c r="L52" s="194" t="s">
        <v>144</v>
      </c>
      <c r="M52" s="199"/>
      <c r="N52" s="193" t="s">
        <v>227</v>
      </c>
      <c r="O52" s="193" t="s">
        <v>206</v>
      </c>
      <c r="P52" s="193" t="s">
        <v>244</v>
      </c>
      <c r="Q52" s="199"/>
      <c r="R52" s="193" t="s">
        <v>219</v>
      </c>
      <c r="S52" s="193" t="s">
        <v>43</v>
      </c>
      <c r="T52" s="193" t="s">
        <v>320</v>
      </c>
      <c r="U52" s="193" t="s">
        <v>324</v>
      </c>
      <c r="V52" s="193" t="s">
        <v>155</v>
      </c>
      <c r="W52" s="193" t="s">
        <v>203</v>
      </c>
      <c r="X52" s="193" t="s">
        <v>232</v>
      </c>
      <c r="Y52" s="200">
        <v>3.0</v>
      </c>
      <c r="Z52" s="202" t="s">
        <v>233</v>
      </c>
      <c r="AA52" s="202" t="s">
        <v>234</v>
      </c>
      <c r="AB52" s="221"/>
      <c r="AC52" s="203">
        <v>570000.0</v>
      </c>
      <c r="AD52" s="204">
        <v>46107.0</v>
      </c>
      <c r="AE52" s="204">
        <v>46260.0</v>
      </c>
      <c r="AF52" s="205"/>
      <c r="AG52" s="219"/>
      <c r="AH52" s="219"/>
      <c r="AI52" s="219"/>
      <c r="AJ52" s="219"/>
      <c r="AK52" s="219"/>
      <c r="AL52" s="219"/>
      <c r="AM52" s="219"/>
      <c r="AN52" s="219"/>
      <c r="AO52" s="219"/>
    </row>
    <row r="53">
      <c r="A53" s="193">
        <v>10680.0</v>
      </c>
      <c r="B53" s="194" t="s">
        <v>203</v>
      </c>
      <c r="C53" s="193">
        <v>2026.0</v>
      </c>
      <c r="D53" s="195">
        <v>2048.0</v>
      </c>
      <c r="E53" s="193">
        <v>130.0</v>
      </c>
      <c r="F53" s="193" t="s">
        <v>272</v>
      </c>
      <c r="G53" s="233"/>
      <c r="H53" s="199"/>
      <c r="I53" s="233"/>
      <c r="J53" s="199"/>
      <c r="K53" s="193" t="s">
        <v>206</v>
      </c>
      <c r="L53" s="194" t="s">
        <v>144</v>
      </c>
      <c r="M53" s="199"/>
      <c r="N53" s="193" t="s">
        <v>227</v>
      </c>
      <c r="O53" s="193" t="s">
        <v>206</v>
      </c>
      <c r="P53" s="193" t="s">
        <v>244</v>
      </c>
      <c r="Q53" s="199"/>
      <c r="R53" s="193" t="s">
        <v>219</v>
      </c>
      <c r="S53" s="193" t="s">
        <v>43</v>
      </c>
      <c r="T53" s="193" t="s">
        <v>245</v>
      </c>
      <c r="U53" s="193" t="s">
        <v>322</v>
      </c>
      <c r="V53" s="193" t="s">
        <v>155</v>
      </c>
      <c r="W53" s="193" t="s">
        <v>203</v>
      </c>
      <c r="X53" s="193" t="s">
        <v>232</v>
      </c>
      <c r="Y53" s="200">
        <v>3.0</v>
      </c>
      <c r="Z53" s="202" t="s">
        <v>214</v>
      </c>
      <c r="AA53" s="202" t="s">
        <v>234</v>
      </c>
      <c r="AB53" s="221"/>
      <c r="AC53" s="203" t="s">
        <v>275</v>
      </c>
      <c r="AD53" s="249">
        <v>46321.0</v>
      </c>
      <c r="AE53" s="250">
        <v>46169.0</v>
      </c>
      <c r="AF53" s="226" t="s">
        <v>317</v>
      </c>
      <c r="AG53" s="219"/>
      <c r="AH53" s="219"/>
      <c r="AI53" s="219"/>
      <c r="AJ53" s="219"/>
      <c r="AK53" s="219"/>
      <c r="AL53" s="219"/>
      <c r="AM53" s="219"/>
      <c r="AN53" s="219"/>
      <c r="AO53" s="219"/>
    </row>
    <row r="54">
      <c r="A54" s="193">
        <v>10700.0</v>
      </c>
      <c r="B54" s="194" t="s">
        <v>203</v>
      </c>
      <c r="C54" s="193">
        <v>2026.0</v>
      </c>
      <c r="D54" s="195">
        <v>2048.0</v>
      </c>
      <c r="E54" s="199"/>
      <c r="F54" s="193" t="s">
        <v>204</v>
      </c>
      <c r="G54" s="198">
        <v>46073.0</v>
      </c>
      <c r="H54" s="193">
        <v>85.0</v>
      </c>
      <c r="I54" s="198">
        <v>46073.0</v>
      </c>
      <c r="J54" s="193" t="s">
        <v>325</v>
      </c>
      <c r="K54" s="193" t="s">
        <v>206</v>
      </c>
      <c r="L54" s="194" t="s">
        <v>144</v>
      </c>
      <c r="M54" s="199"/>
      <c r="N54" s="193" t="s">
        <v>227</v>
      </c>
      <c r="O54" s="193" t="s">
        <v>206</v>
      </c>
      <c r="P54" s="193" t="s">
        <v>244</v>
      </c>
      <c r="Q54" s="199"/>
      <c r="R54" s="193" t="s">
        <v>219</v>
      </c>
      <c r="S54" s="193" t="s">
        <v>43</v>
      </c>
      <c r="T54" s="193" t="s">
        <v>245</v>
      </c>
      <c r="U54" s="193" t="s">
        <v>326</v>
      </c>
      <c r="V54" s="193" t="s">
        <v>155</v>
      </c>
      <c r="W54" s="193" t="s">
        <v>203</v>
      </c>
      <c r="X54" s="193" t="s">
        <v>232</v>
      </c>
      <c r="Y54" s="200">
        <v>3.0</v>
      </c>
      <c r="Z54" s="202" t="s">
        <v>214</v>
      </c>
      <c r="AA54" s="202" t="s">
        <v>234</v>
      </c>
      <c r="AB54" s="221"/>
      <c r="AC54" s="203">
        <v>110238.0</v>
      </c>
      <c r="AD54" s="204">
        <v>46079.0</v>
      </c>
      <c r="AE54" s="247">
        <v>46260.0</v>
      </c>
      <c r="AF54" s="205"/>
      <c r="AG54" s="206"/>
      <c r="AH54" s="206"/>
      <c r="AI54" s="206"/>
      <c r="AJ54" s="206"/>
      <c r="AK54" s="206"/>
      <c r="AL54" s="206"/>
      <c r="AM54" s="206"/>
      <c r="AN54" s="206"/>
      <c r="AO54" s="206"/>
    </row>
    <row r="55">
      <c r="A55" s="193">
        <v>10720.0</v>
      </c>
      <c r="B55" s="194" t="s">
        <v>203</v>
      </c>
      <c r="C55" s="193">
        <v>2026.0</v>
      </c>
      <c r="D55" s="195">
        <v>2048.0</v>
      </c>
      <c r="E55" s="199"/>
      <c r="F55" s="193" t="s">
        <v>204</v>
      </c>
      <c r="G55" s="198">
        <v>46265.0</v>
      </c>
      <c r="H55" s="193">
        <v>13234.0</v>
      </c>
      <c r="I55" s="198">
        <v>46265.0</v>
      </c>
      <c r="J55" s="193" t="s">
        <v>327</v>
      </c>
      <c r="K55" s="193" t="s">
        <v>206</v>
      </c>
      <c r="L55" s="194" t="s">
        <v>144</v>
      </c>
      <c r="M55" s="199"/>
      <c r="N55" s="193" t="s">
        <v>227</v>
      </c>
      <c r="O55" s="193" t="s">
        <v>206</v>
      </c>
      <c r="P55" s="193" t="s">
        <v>244</v>
      </c>
      <c r="Q55" s="199"/>
      <c r="R55" s="193" t="s">
        <v>219</v>
      </c>
      <c r="S55" s="193" t="s">
        <v>43</v>
      </c>
      <c r="T55" s="193" t="s">
        <v>245</v>
      </c>
      <c r="U55" s="193" t="s">
        <v>328</v>
      </c>
      <c r="V55" s="193" t="s">
        <v>155</v>
      </c>
      <c r="W55" s="193" t="s">
        <v>203</v>
      </c>
      <c r="X55" s="193" t="s">
        <v>232</v>
      </c>
      <c r="Y55" s="200">
        <v>3.0</v>
      </c>
      <c r="Z55" s="202" t="s">
        <v>214</v>
      </c>
      <c r="AA55" s="202" t="s">
        <v>234</v>
      </c>
      <c r="AB55" s="203">
        <v>21052.63</v>
      </c>
      <c r="AC55" s="203">
        <v>107231.58</v>
      </c>
      <c r="AD55" s="249">
        <v>46260.0</v>
      </c>
      <c r="AE55" s="250">
        <v>46169.0</v>
      </c>
      <c r="AF55" s="205"/>
      <c r="AG55" s="206"/>
      <c r="AH55" s="206"/>
      <c r="AI55" s="206"/>
      <c r="AJ55" s="206"/>
      <c r="AK55" s="206"/>
      <c r="AL55" s="206"/>
      <c r="AM55" s="206"/>
      <c r="AN55" s="206"/>
      <c r="AO55" s="206"/>
    </row>
    <row r="56">
      <c r="A56" s="193">
        <v>10740.0</v>
      </c>
      <c r="B56" s="194" t="s">
        <v>203</v>
      </c>
      <c r="C56" s="193">
        <v>2026.0</v>
      </c>
      <c r="D56" s="195">
        <v>2048.0</v>
      </c>
      <c r="E56" s="199"/>
      <c r="F56" s="199"/>
      <c r="G56" s="248"/>
      <c r="H56" s="199"/>
      <c r="I56" s="220"/>
      <c r="J56" s="199"/>
      <c r="K56" s="193" t="s">
        <v>206</v>
      </c>
      <c r="L56" s="194" t="s">
        <v>144</v>
      </c>
      <c r="M56" s="199"/>
      <c r="N56" s="193" t="s">
        <v>207</v>
      </c>
      <c r="O56" s="193" t="s">
        <v>206</v>
      </c>
      <c r="P56" s="193" t="s">
        <v>206</v>
      </c>
      <c r="Q56" s="199"/>
      <c r="R56" s="193" t="s">
        <v>279</v>
      </c>
      <c r="S56" s="193" t="s">
        <v>50</v>
      </c>
      <c r="T56" s="193" t="s">
        <v>329</v>
      </c>
      <c r="U56" s="193" t="s">
        <v>330</v>
      </c>
      <c r="V56" s="193" t="s">
        <v>50</v>
      </c>
      <c r="W56" s="193" t="s">
        <v>264</v>
      </c>
      <c r="X56" s="193" t="s">
        <v>232</v>
      </c>
      <c r="Y56" s="200">
        <v>3.0</v>
      </c>
      <c r="Z56" s="202" t="s">
        <v>233</v>
      </c>
      <c r="AA56" s="202" t="s">
        <v>215</v>
      </c>
      <c r="AB56" s="203">
        <v>538000.0</v>
      </c>
      <c r="AC56" s="203">
        <v>538000.0</v>
      </c>
      <c r="AD56" s="204">
        <v>46291.0</v>
      </c>
      <c r="AE56" s="204">
        <v>46352.0</v>
      </c>
      <c r="AF56" s="205"/>
      <c r="AG56" s="206"/>
      <c r="AH56" s="206"/>
      <c r="AI56" s="206"/>
      <c r="AJ56" s="206"/>
      <c r="AK56" s="206"/>
      <c r="AL56" s="206"/>
      <c r="AM56" s="206"/>
      <c r="AN56" s="206"/>
      <c r="AO56" s="206"/>
    </row>
    <row r="57">
      <c r="A57" s="193">
        <v>10741.0</v>
      </c>
      <c r="B57" s="194" t="s">
        <v>203</v>
      </c>
      <c r="C57" s="193">
        <v>2026.0</v>
      </c>
      <c r="D57" s="195">
        <v>2048.0</v>
      </c>
      <c r="E57" s="199"/>
      <c r="F57" s="193" t="s">
        <v>204</v>
      </c>
      <c r="G57" s="198">
        <v>46041.0</v>
      </c>
      <c r="H57" s="193">
        <v>8.0</v>
      </c>
      <c r="I57" s="223">
        <v>46042.0</v>
      </c>
      <c r="J57" s="193" t="s">
        <v>331</v>
      </c>
      <c r="K57" s="193" t="s">
        <v>206</v>
      </c>
      <c r="L57" s="194" t="s">
        <v>144</v>
      </c>
      <c r="M57" s="199"/>
      <c r="N57" s="193" t="s">
        <v>207</v>
      </c>
      <c r="O57" s="193" t="s">
        <v>206</v>
      </c>
      <c r="P57" s="193" t="s">
        <v>206</v>
      </c>
      <c r="Q57" s="199"/>
      <c r="R57" s="193" t="s">
        <v>279</v>
      </c>
      <c r="S57" s="193" t="s">
        <v>50</v>
      </c>
      <c r="T57" s="193" t="s">
        <v>329</v>
      </c>
      <c r="U57" s="193" t="s">
        <v>330</v>
      </c>
      <c r="V57" s="193" t="s">
        <v>50</v>
      </c>
      <c r="W57" s="193" t="s">
        <v>264</v>
      </c>
      <c r="X57" s="193" t="s">
        <v>232</v>
      </c>
      <c r="Y57" s="200">
        <v>3.0</v>
      </c>
      <c r="Z57" s="202" t="s">
        <v>233</v>
      </c>
      <c r="AA57" s="202" t="s">
        <v>215</v>
      </c>
      <c r="AB57" s="203">
        <v>462000.0</v>
      </c>
      <c r="AC57" s="203">
        <v>462000.0</v>
      </c>
      <c r="AD57" s="204">
        <v>46048.0</v>
      </c>
      <c r="AE57" s="204">
        <v>46107.0</v>
      </c>
      <c r="AF57" s="205"/>
      <c r="AG57" s="206"/>
      <c r="AH57" s="206"/>
      <c r="AI57" s="206"/>
      <c r="AJ57" s="206"/>
      <c r="AK57" s="206"/>
      <c r="AL57" s="206"/>
      <c r="AM57" s="206"/>
      <c r="AN57" s="206"/>
      <c r="AO57" s="206"/>
    </row>
    <row r="58">
      <c r="A58" s="193">
        <v>10760.0</v>
      </c>
      <c r="B58" s="194" t="s">
        <v>203</v>
      </c>
      <c r="C58" s="193">
        <v>2026.0</v>
      </c>
      <c r="D58" s="195">
        <v>2048.0</v>
      </c>
      <c r="E58" s="193">
        <v>75.0</v>
      </c>
      <c r="F58" s="193" t="s">
        <v>272</v>
      </c>
      <c r="G58" s="254"/>
      <c r="H58" s="199"/>
      <c r="I58" s="254"/>
      <c r="J58" s="199"/>
      <c r="K58" s="193" t="s">
        <v>206</v>
      </c>
      <c r="L58" s="194" t="s">
        <v>144</v>
      </c>
      <c r="M58" s="199"/>
      <c r="N58" s="193" t="s">
        <v>227</v>
      </c>
      <c r="O58" s="193" t="s">
        <v>206</v>
      </c>
      <c r="P58" s="193" t="s">
        <v>244</v>
      </c>
      <c r="Q58" s="199"/>
      <c r="R58" s="193" t="s">
        <v>219</v>
      </c>
      <c r="S58" s="193" t="s">
        <v>45</v>
      </c>
      <c r="T58" s="193" t="s">
        <v>229</v>
      </c>
      <c r="U58" s="193" t="s">
        <v>332</v>
      </c>
      <c r="V58" s="193" t="s">
        <v>155</v>
      </c>
      <c r="W58" s="193" t="s">
        <v>203</v>
      </c>
      <c r="X58" s="193" t="s">
        <v>232</v>
      </c>
      <c r="Y58" s="200">
        <v>3.0</v>
      </c>
      <c r="Z58" s="202" t="s">
        <v>233</v>
      </c>
      <c r="AA58" s="202" t="s">
        <v>234</v>
      </c>
      <c r="AB58" s="221"/>
      <c r="AC58" s="203" t="s">
        <v>275</v>
      </c>
      <c r="AD58" s="249">
        <v>46291.0</v>
      </c>
      <c r="AE58" s="251">
        <v>46382.0</v>
      </c>
      <c r="AF58" s="226" t="s">
        <v>317</v>
      </c>
      <c r="AG58" s="219"/>
      <c r="AH58" s="219"/>
      <c r="AI58" s="219"/>
      <c r="AJ58" s="219"/>
      <c r="AK58" s="219"/>
      <c r="AL58" s="219"/>
      <c r="AM58" s="219"/>
      <c r="AN58" s="219"/>
      <c r="AO58" s="219"/>
    </row>
    <row r="59">
      <c r="A59" s="193">
        <v>10780.0</v>
      </c>
      <c r="B59" s="194" t="s">
        <v>203</v>
      </c>
      <c r="C59" s="193">
        <v>2026.0</v>
      </c>
      <c r="D59" s="195">
        <v>2048.0</v>
      </c>
      <c r="E59" s="199"/>
      <c r="F59" s="193" t="s">
        <v>272</v>
      </c>
      <c r="G59" s="233"/>
      <c r="H59" s="196"/>
      <c r="I59" s="233"/>
      <c r="J59" s="207"/>
      <c r="K59" s="193" t="s">
        <v>206</v>
      </c>
      <c r="L59" s="194" t="s">
        <v>144</v>
      </c>
      <c r="M59" s="199"/>
      <c r="N59" s="193" t="s">
        <v>227</v>
      </c>
      <c r="O59" s="193" t="s">
        <v>206</v>
      </c>
      <c r="P59" s="193" t="s">
        <v>244</v>
      </c>
      <c r="Q59" s="199"/>
      <c r="R59" s="193" t="s">
        <v>219</v>
      </c>
      <c r="S59" s="193" t="s">
        <v>45</v>
      </c>
      <c r="T59" s="193" t="s">
        <v>245</v>
      </c>
      <c r="U59" s="193" t="s">
        <v>333</v>
      </c>
      <c r="V59" s="193" t="s">
        <v>155</v>
      </c>
      <c r="W59" s="193" t="s">
        <v>203</v>
      </c>
      <c r="X59" s="193" t="s">
        <v>232</v>
      </c>
      <c r="Y59" s="200">
        <v>3.0</v>
      </c>
      <c r="Z59" s="202" t="s">
        <v>214</v>
      </c>
      <c r="AA59" s="202" t="s">
        <v>234</v>
      </c>
      <c r="AB59" s="221"/>
      <c r="AC59" s="203" t="s">
        <v>275</v>
      </c>
      <c r="AD59" s="255">
        <v>46321.0</v>
      </c>
      <c r="AE59" s="251">
        <v>46169.0</v>
      </c>
      <c r="AF59" s="226" t="s">
        <v>334</v>
      </c>
      <c r="AG59" s="219"/>
      <c r="AH59" s="219"/>
      <c r="AI59" s="219"/>
      <c r="AJ59" s="219"/>
      <c r="AK59" s="219"/>
      <c r="AL59" s="219"/>
      <c r="AM59" s="219"/>
      <c r="AN59" s="219"/>
      <c r="AO59" s="219"/>
    </row>
    <row r="60">
      <c r="A60" s="193">
        <v>10800.0</v>
      </c>
      <c r="B60" s="194" t="s">
        <v>203</v>
      </c>
      <c r="C60" s="193">
        <v>2026.0</v>
      </c>
      <c r="D60" s="195">
        <v>2048.0</v>
      </c>
      <c r="E60" s="193">
        <v>135.0</v>
      </c>
      <c r="F60" s="193" t="s">
        <v>272</v>
      </c>
      <c r="G60" s="256"/>
      <c r="H60" s="199"/>
      <c r="I60" s="256"/>
      <c r="J60" s="199"/>
      <c r="K60" s="193" t="s">
        <v>206</v>
      </c>
      <c r="L60" s="194" t="s">
        <v>144</v>
      </c>
      <c r="M60" s="199"/>
      <c r="N60" s="193" t="s">
        <v>227</v>
      </c>
      <c r="O60" s="193" t="s">
        <v>206</v>
      </c>
      <c r="P60" s="193" t="s">
        <v>244</v>
      </c>
      <c r="Q60" s="199"/>
      <c r="R60" s="193" t="s">
        <v>219</v>
      </c>
      <c r="S60" s="193" t="s">
        <v>45</v>
      </c>
      <c r="T60" s="193" t="s">
        <v>245</v>
      </c>
      <c r="U60" s="193" t="s">
        <v>335</v>
      </c>
      <c r="V60" s="193" t="s">
        <v>155</v>
      </c>
      <c r="W60" s="193" t="s">
        <v>203</v>
      </c>
      <c r="X60" s="193" t="s">
        <v>232</v>
      </c>
      <c r="Y60" s="200">
        <v>3.0</v>
      </c>
      <c r="Z60" s="202" t="s">
        <v>214</v>
      </c>
      <c r="AA60" s="202" t="s">
        <v>234</v>
      </c>
      <c r="AB60" s="221"/>
      <c r="AC60" s="203" t="s">
        <v>275</v>
      </c>
      <c r="AD60" s="257">
        <v>46321.0</v>
      </c>
      <c r="AE60" s="251">
        <v>46169.0</v>
      </c>
      <c r="AF60" s="226" t="s">
        <v>336</v>
      </c>
      <c r="AG60" s="219"/>
      <c r="AH60" s="219"/>
      <c r="AI60" s="219"/>
      <c r="AJ60" s="219"/>
      <c r="AK60" s="219"/>
      <c r="AL60" s="219"/>
      <c r="AM60" s="219"/>
      <c r="AN60" s="219"/>
      <c r="AO60" s="219"/>
    </row>
    <row r="61">
      <c r="A61" s="193">
        <v>10820.0</v>
      </c>
      <c r="B61" s="194" t="s">
        <v>203</v>
      </c>
      <c r="C61" s="193">
        <v>2026.0</v>
      </c>
      <c r="D61" s="195">
        <v>2048.0</v>
      </c>
      <c r="E61" s="193">
        <v>81.0</v>
      </c>
      <c r="F61" s="199"/>
      <c r="G61" s="237"/>
      <c r="H61" s="199"/>
      <c r="I61" s="225"/>
      <c r="J61" s="199"/>
      <c r="K61" s="193" t="s">
        <v>206</v>
      </c>
      <c r="L61" s="194" t="s">
        <v>144</v>
      </c>
      <c r="M61" s="199"/>
      <c r="N61" s="193" t="s">
        <v>337</v>
      </c>
      <c r="O61" s="193" t="s">
        <v>206</v>
      </c>
      <c r="P61" s="193" t="s">
        <v>206</v>
      </c>
      <c r="Q61" s="199"/>
      <c r="R61" s="193" t="s">
        <v>279</v>
      </c>
      <c r="S61" s="193" t="s">
        <v>50</v>
      </c>
      <c r="T61" s="193" t="s">
        <v>280</v>
      </c>
      <c r="U61" s="193" t="s">
        <v>338</v>
      </c>
      <c r="V61" s="193" t="s">
        <v>50</v>
      </c>
      <c r="W61" s="193" t="s">
        <v>264</v>
      </c>
      <c r="X61" s="193" t="s">
        <v>232</v>
      </c>
      <c r="Y61" s="200">
        <v>3.0</v>
      </c>
      <c r="Z61" s="202" t="s">
        <v>233</v>
      </c>
      <c r="AA61" s="202" t="s">
        <v>234</v>
      </c>
      <c r="AB61" s="221"/>
      <c r="AC61" s="203">
        <v>364240.65</v>
      </c>
      <c r="AD61" s="204">
        <v>46291.0</v>
      </c>
      <c r="AE61" s="204">
        <v>46352.0</v>
      </c>
      <c r="AF61" s="205"/>
      <c r="AG61" s="219"/>
      <c r="AH61" s="219"/>
      <c r="AI61" s="219"/>
      <c r="AJ61" s="219"/>
      <c r="AK61" s="219"/>
      <c r="AL61" s="219"/>
      <c r="AM61" s="219"/>
      <c r="AN61" s="219"/>
      <c r="AO61" s="219"/>
    </row>
    <row r="62">
      <c r="A62" s="193">
        <v>10840.0</v>
      </c>
      <c r="B62" s="194" t="s">
        <v>203</v>
      </c>
      <c r="C62" s="193">
        <v>2026.0</v>
      </c>
      <c r="D62" s="195">
        <v>2048.0</v>
      </c>
      <c r="E62" s="193">
        <v>20.0</v>
      </c>
      <c r="F62" s="199"/>
      <c r="G62" s="237"/>
      <c r="H62" s="199"/>
      <c r="I62" s="237"/>
      <c r="J62" s="199"/>
      <c r="K62" s="193" t="s">
        <v>206</v>
      </c>
      <c r="L62" s="194" t="s">
        <v>144</v>
      </c>
      <c r="M62" s="199"/>
      <c r="N62" s="193" t="s">
        <v>207</v>
      </c>
      <c r="O62" s="193" t="s">
        <v>206</v>
      </c>
      <c r="P62" s="193" t="s">
        <v>206</v>
      </c>
      <c r="Q62" s="199"/>
      <c r="R62" s="193" t="s">
        <v>279</v>
      </c>
      <c r="S62" s="193" t="s">
        <v>50</v>
      </c>
      <c r="T62" s="193" t="s">
        <v>280</v>
      </c>
      <c r="U62" s="193" t="s">
        <v>339</v>
      </c>
      <c r="V62" s="193" t="s">
        <v>50</v>
      </c>
      <c r="W62" s="193" t="s">
        <v>264</v>
      </c>
      <c r="X62" s="193" t="s">
        <v>232</v>
      </c>
      <c r="Y62" s="200">
        <v>3.0</v>
      </c>
      <c r="Z62" s="202" t="s">
        <v>233</v>
      </c>
      <c r="AA62" s="202" t="s">
        <v>215</v>
      </c>
      <c r="AB62" s="221"/>
      <c r="AC62" s="203">
        <v>216272.2</v>
      </c>
      <c r="AD62" s="204">
        <v>46291.0</v>
      </c>
      <c r="AE62" s="204">
        <v>46352.0</v>
      </c>
      <c r="AF62" s="226" t="s">
        <v>340</v>
      </c>
      <c r="AG62" s="219"/>
      <c r="AH62" s="219"/>
      <c r="AI62" s="219"/>
      <c r="AJ62" s="219"/>
      <c r="AK62" s="219"/>
      <c r="AL62" s="219"/>
      <c r="AM62" s="219"/>
      <c r="AN62" s="219"/>
      <c r="AO62" s="219"/>
    </row>
    <row r="63">
      <c r="A63" s="193">
        <v>10841.0</v>
      </c>
      <c r="B63" s="194" t="s">
        <v>203</v>
      </c>
      <c r="C63" s="193">
        <v>2026.0</v>
      </c>
      <c r="D63" s="195">
        <v>2048.0</v>
      </c>
      <c r="E63" s="199"/>
      <c r="F63" s="193" t="s">
        <v>204</v>
      </c>
      <c r="G63" s="198">
        <v>46279.0</v>
      </c>
      <c r="H63" s="193">
        <v>14172.0</v>
      </c>
      <c r="I63" s="198">
        <v>46279.0</v>
      </c>
      <c r="J63" s="193" t="s">
        <v>341</v>
      </c>
      <c r="K63" s="193" t="s">
        <v>206</v>
      </c>
      <c r="L63" s="194" t="s">
        <v>144</v>
      </c>
      <c r="M63" s="199"/>
      <c r="N63" s="193" t="s">
        <v>207</v>
      </c>
      <c r="O63" s="193" t="s">
        <v>206</v>
      </c>
      <c r="P63" s="193" t="s">
        <v>206</v>
      </c>
      <c r="Q63" s="199"/>
      <c r="R63" s="193" t="s">
        <v>279</v>
      </c>
      <c r="S63" s="193" t="s">
        <v>50</v>
      </c>
      <c r="T63" s="193" t="s">
        <v>280</v>
      </c>
      <c r="U63" s="193" t="s">
        <v>339</v>
      </c>
      <c r="V63" s="193" t="s">
        <v>50</v>
      </c>
      <c r="W63" s="193" t="s">
        <v>264</v>
      </c>
      <c r="X63" s="193" t="s">
        <v>232</v>
      </c>
      <c r="Y63" s="200">
        <v>3.0</v>
      </c>
      <c r="Z63" s="202" t="s">
        <v>233</v>
      </c>
      <c r="AA63" s="202" t="s">
        <v>215</v>
      </c>
      <c r="AB63" s="221"/>
      <c r="AC63" s="203">
        <v>3581.99</v>
      </c>
      <c r="AD63" s="204">
        <v>46291.0</v>
      </c>
      <c r="AE63" s="204">
        <v>46352.0</v>
      </c>
      <c r="AF63" s="226" t="s">
        <v>340</v>
      </c>
      <c r="AG63" s="219"/>
      <c r="AH63" s="219"/>
      <c r="AI63" s="219"/>
      <c r="AJ63" s="219"/>
      <c r="AK63" s="219"/>
      <c r="AL63" s="219"/>
      <c r="AM63" s="219"/>
      <c r="AN63" s="219"/>
      <c r="AO63" s="219"/>
    </row>
    <row r="64">
      <c r="A64" s="193">
        <v>10860.0</v>
      </c>
      <c r="B64" s="194" t="s">
        <v>203</v>
      </c>
      <c r="C64" s="193">
        <v>2026.0</v>
      </c>
      <c r="D64" s="195">
        <v>2048.0</v>
      </c>
      <c r="E64" s="199"/>
      <c r="F64" s="193" t="s">
        <v>204</v>
      </c>
      <c r="G64" s="198">
        <v>46073.0</v>
      </c>
      <c r="H64" s="193">
        <v>84.0</v>
      </c>
      <c r="I64" s="198">
        <v>46073.0</v>
      </c>
      <c r="J64" s="193" t="s">
        <v>342</v>
      </c>
      <c r="K64" s="193" t="s">
        <v>206</v>
      </c>
      <c r="L64" s="194" t="s">
        <v>144</v>
      </c>
      <c r="M64" s="199"/>
      <c r="N64" s="193" t="s">
        <v>227</v>
      </c>
      <c r="O64" s="193" t="s">
        <v>206</v>
      </c>
      <c r="P64" s="193" t="s">
        <v>206</v>
      </c>
      <c r="Q64" s="199"/>
      <c r="R64" s="193" t="s">
        <v>279</v>
      </c>
      <c r="S64" s="193" t="s">
        <v>50</v>
      </c>
      <c r="T64" s="193" t="s">
        <v>283</v>
      </c>
      <c r="U64" s="193" t="s">
        <v>343</v>
      </c>
      <c r="V64" s="193" t="s">
        <v>50</v>
      </c>
      <c r="W64" s="193" t="s">
        <v>264</v>
      </c>
      <c r="X64" s="193" t="s">
        <v>232</v>
      </c>
      <c r="Y64" s="200">
        <v>3.0</v>
      </c>
      <c r="Z64" s="202" t="s">
        <v>233</v>
      </c>
      <c r="AA64" s="202" t="s">
        <v>234</v>
      </c>
      <c r="AB64" s="221"/>
      <c r="AC64" s="203">
        <v>760240.53</v>
      </c>
      <c r="AD64" s="204">
        <v>46079.0</v>
      </c>
      <c r="AE64" s="204">
        <v>46138.0</v>
      </c>
      <c r="AF64" s="205"/>
      <c r="AG64" s="219"/>
      <c r="AH64" s="219"/>
      <c r="AI64" s="219"/>
      <c r="AJ64" s="219"/>
      <c r="AK64" s="219"/>
      <c r="AL64" s="219"/>
      <c r="AM64" s="219"/>
      <c r="AN64" s="219"/>
      <c r="AO64" s="219"/>
    </row>
    <row r="65">
      <c r="A65" s="193">
        <v>10880.0</v>
      </c>
      <c r="B65" s="232" t="s">
        <v>264</v>
      </c>
      <c r="C65" s="193">
        <v>2026.0</v>
      </c>
      <c r="D65" s="199"/>
      <c r="E65" s="199"/>
      <c r="F65" s="199"/>
      <c r="G65" s="233"/>
      <c r="H65" s="199"/>
      <c r="I65" s="233"/>
      <c r="J65" s="199"/>
      <c r="K65" s="193" t="s">
        <v>206</v>
      </c>
      <c r="L65" s="234" t="s">
        <v>145</v>
      </c>
      <c r="M65" s="199"/>
      <c r="N65" s="193" t="s">
        <v>337</v>
      </c>
      <c r="O65" s="193" t="s">
        <v>206</v>
      </c>
      <c r="P65" s="193" t="s">
        <v>206</v>
      </c>
      <c r="Q65" s="199"/>
      <c r="R65" s="193" t="s">
        <v>279</v>
      </c>
      <c r="S65" s="193" t="s">
        <v>50</v>
      </c>
      <c r="T65" s="193" t="s">
        <v>283</v>
      </c>
      <c r="U65" s="193" t="s">
        <v>344</v>
      </c>
      <c r="V65" s="193" t="s">
        <v>50</v>
      </c>
      <c r="W65" s="193" t="s">
        <v>264</v>
      </c>
      <c r="X65" s="193" t="s">
        <v>232</v>
      </c>
      <c r="Y65" s="200">
        <v>3.0</v>
      </c>
      <c r="Z65" s="202" t="s">
        <v>233</v>
      </c>
      <c r="AA65" s="202" t="s">
        <v>234</v>
      </c>
      <c r="AB65" s="221"/>
      <c r="AC65" s="203">
        <v>139975.96</v>
      </c>
      <c r="AD65" s="204">
        <v>46291.0</v>
      </c>
      <c r="AE65" s="204">
        <v>46352.0</v>
      </c>
      <c r="AF65" s="226" t="s">
        <v>345</v>
      </c>
      <c r="AG65" s="219"/>
      <c r="AH65" s="219"/>
      <c r="AI65" s="219"/>
      <c r="AJ65" s="219"/>
      <c r="AK65" s="219"/>
      <c r="AL65" s="219"/>
      <c r="AM65" s="219"/>
      <c r="AN65" s="219"/>
      <c r="AO65" s="219"/>
    </row>
    <row r="66">
      <c r="A66" s="193">
        <v>10881.0</v>
      </c>
      <c r="B66" s="194" t="s">
        <v>203</v>
      </c>
      <c r="C66" s="193">
        <v>2026.0</v>
      </c>
      <c r="D66" s="229" t="s">
        <v>258</v>
      </c>
      <c r="E66" s="199"/>
      <c r="F66" s="193" t="s">
        <v>204</v>
      </c>
      <c r="G66" s="230">
        <v>46224.0</v>
      </c>
      <c r="H66" s="193">
        <v>617.0</v>
      </c>
      <c r="I66" s="230">
        <v>46224.0</v>
      </c>
      <c r="J66" s="193" t="s">
        <v>346</v>
      </c>
      <c r="K66" s="193" t="s">
        <v>206</v>
      </c>
      <c r="L66" s="194" t="s">
        <v>144</v>
      </c>
      <c r="M66" s="199"/>
      <c r="N66" s="193" t="s">
        <v>337</v>
      </c>
      <c r="O66" s="193" t="s">
        <v>206</v>
      </c>
      <c r="P66" s="193" t="s">
        <v>206</v>
      </c>
      <c r="Q66" s="199"/>
      <c r="R66" s="193" t="s">
        <v>279</v>
      </c>
      <c r="S66" s="193" t="s">
        <v>50</v>
      </c>
      <c r="T66" s="193" t="s">
        <v>283</v>
      </c>
      <c r="U66" s="193" t="s">
        <v>344</v>
      </c>
      <c r="V66" s="193" t="s">
        <v>50</v>
      </c>
      <c r="W66" s="193" t="s">
        <v>264</v>
      </c>
      <c r="X66" s="193" t="s">
        <v>232</v>
      </c>
      <c r="Y66" s="200">
        <v>3.0</v>
      </c>
      <c r="Z66" s="202" t="s">
        <v>233</v>
      </c>
      <c r="AA66" s="202" t="s">
        <v>234</v>
      </c>
      <c r="AB66" s="221"/>
      <c r="AC66" s="203">
        <v>660464.25</v>
      </c>
      <c r="AD66" s="204">
        <v>46229.0</v>
      </c>
      <c r="AE66" s="204">
        <v>46352.0</v>
      </c>
      <c r="AF66" s="205"/>
      <c r="AG66" s="206"/>
      <c r="AH66" s="206"/>
      <c r="AI66" s="206"/>
      <c r="AJ66" s="206"/>
      <c r="AK66" s="206"/>
      <c r="AL66" s="206"/>
      <c r="AM66" s="206"/>
      <c r="AN66" s="206"/>
      <c r="AO66" s="206"/>
    </row>
    <row r="67">
      <c r="A67" s="193">
        <v>10900.0</v>
      </c>
      <c r="B67" s="232" t="s">
        <v>264</v>
      </c>
      <c r="C67" s="193">
        <v>2026.0</v>
      </c>
      <c r="D67" s="199"/>
      <c r="E67" s="199"/>
      <c r="F67" s="193" t="s">
        <v>265</v>
      </c>
      <c r="G67" s="233"/>
      <c r="H67" s="199"/>
      <c r="I67" s="233"/>
      <c r="J67" s="199"/>
      <c r="K67" s="193" t="s">
        <v>206</v>
      </c>
      <c r="L67" s="234" t="s">
        <v>145</v>
      </c>
      <c r="M67" s="199"/>
      <c r="N67" s="193" t="s">
        <v>337</v>
      </c>
      <c r="O67" s="193" t="s">
        <v>206</v>
      </c>
      <c r="P67" s="193" t="s">
        <v>206</v>
      </c>
      <c r="Q67" s="199"/>
      <c r="R67" s="193" t="s">
        <v>279</v>
      </c>
      <c r="S67" s="193" t="s">
        <v>50</v>
      </c>
      <c r="T67" s="193" t="s">
        <v>347</v>
      </c>
      <c r="U67" s="193" t="s">
        <v>348</v>
      </c>
      <c r="V67" s="193" t="s">
        <v>50</v>
      </c>
      <c r="W67" s="193" t="s">
        <v>264</v>
      </c>
      <c r="X67" s="193" t="s">
        <v>232</v>
      </c>
      <c r="Y67" s="200">
        <v>3.0</v>
      </c>
      <c r="Z67" s="202" t="s">
        <v>233</v>
      </c>
      <c r="AA67" s="202" t="s">
        <v>234</v>
      </c>
      <c r="AB67" s="221"/>
      <c r="AC67" s="203">
        <v>1488230.04</v>
      </c>
      <c r="AD67" s="204">
        <v>46229.0</v>
      </c>
      <c r="AE67" s="204">
        <v>46291.0</v>
      </c>
      <c r="AF67" s="205"/>
      <c r="AG67" s="206"/>
      <c r="AH67" s="206"/>
      <c r="AI67" s="206"/>
      <c r="AJ67" s="206"/>
      <c r="AK67" s="206"/>
      <c r="AL67" s="206"/>
      <c r="AM67" s="206"/>
      <c r="AN67" s="206"/>
      <c r="AO67" s="206"/>
    </row>
    <row r="68">
      <c r="A68" s="193">
        <v>10920.0</v>
      </c>
      <c r="B68" s="194" t="s">
        <v>203</v>
      </c>
      <c r="C68" s="193">
        <v>2026.0</v>
      </c>
      <c r="D68" s="195">
        <v>2048.0</v>
      </c>
      <c r="E68" s="199"/>
      <c r="F68" s="222" t="s">
        <v>204</v>
      </c>
      <c r="G68" s="198">
        <v>46098.0</v>
      </c>
      <c r="H68" s="193">
        <v>172.0</v>
      </c>
      <c r="I68" s="198">
        <v>46098.0</v>
      </c>
      <c r="J68" s="193" t="s">
        <v>349</v>
      </c>
      <c r="K68" s="193" t="s">
        <v>206</v>
      </c>
      <c r="L68" s="194" t="s">
        <v>144</v>
      </c>
      <c r="M68" s="199"/>
      <c r="N68" s="193" t="s">
        <v>207</v>
      </c>
      <c r="O68" s="193" t="s">
        <v>206</v>
      </c>
      <c r="P68" s="193" t="s">
        <v>206</v>
      </c>
      <c r="Q68" s="199"/>
      <c r="R68" s="193" t="s">
        <v>208</v>
      </c>
      <c r="S68" s="193" t="s">
        <v>39</v>
      </c>
      <c r="T68" s="193" t="s">
        <v>209</v>
      </c>
      <c r="U68" s="193" t="s">
        <v>350</v>
      </c>
      <c r="V68" s="193" t="s">
        <v>211</v>
      </c>
      <c r="W68" s="193" t="s">
        <v>212</v>
      </c>
      <c r="X68" s="193" t="s">
        <v>213</v>
      </c>
      <c r="Y68" s="200">
        <v>3.0</v>
      </c>
      <c r="Z68" s="202" t="s">
        <v>214</v>
      </c>
      <c r="AA68" s="202" t="s">
        <v>215</v>
      </c>
      <c r="AB68" s="203">
        <v>2310000.0</v>
      </c>
      <c r="AC68" s="203">
        <v>2310000.0</v>
      </c>
      <c r="AD68" s="204">
        <v>46107.0</v>
      </c>
      <c r="AE68" s="204">
        <v>46168.0</v>
      </c>
      <c r="AF68" s="205"/>
      <c r="AG68" s="219"/>
      <c r="AH68" s="219"/>
      <c r="AI68" s="219"/>
      <c r="AJ68" s="219"/>
      <c r="AK68" s="219"/>
      <c r="AL68" s="219"/>
      <c r="AM68" s="219"/>
      <c r="AN68" s="219"/>
      <c r="AO68" s="219"/>
    </row>
    <row r="69">
      <c r="A69" s="193">
        <v>10940.0</v>
      </c>
      <c r="B69" s="194" t="s">
        <v>203</v>
      </c>
      <c r="C69" s="193">
        <v>2026.0</v>
      </c>
      <c r="D69" s="195">
        <v>2048.0</v>
      </c>
      <c r="E69" s="196"/>
      <c r="F69" s="193" t="s">
        <v>204</v>
      </c>
      <c r="G69" s="246">
        <v>46098.0</v>
      </c>
      <c r="H69" s="193">
        <v>173.0</v>
      </c>
      <c r="I69" s="230">
        <v>46098.0</v>
      </c>
      <c r="J69" s="193" t="s">
        <v>346</v>
      </c>
      <c r="K69" s="193" t="s">
        <v>206</v>
      </c>
      <c r="L69" s="194" t="s">
        <v>144</v>
      </c>
      <c r="M69" s="199"/>
      <c r="N69" s="193" t="s">
        <v>207</v>
      </c>
      <c r="O69" s="193" t="s">
        <v>206</v>
      </c>
      <c r="P69" s="193" t="s">
        <v>206</v>
      </c>
      <c r="Q69" s="199"/>
      <c r="R69" s="193" t="s">
        <v>219</v>
      </c>
      <c r="S69" s="193" t="s">
        <v>44</v>
      </c>
      <c r="T69" s="193" t="s">
        <v>220</v>
      </c>
      <c r="U69" s="193" t="s">
        <v>350</v>
      </c>
      <c r="V69" s="193" t="s">
        <v>211</v>
      </c>
      <c r="W69" s="193" t="s">
        <v>212</v>
      </c>
      <c r="X69" s="193" t="s">
        <v>213</v>
      </c>
      <c r="Y69" s="200">
        <v>3.0</v>
      </c>
      <c r="Z69" s="202" t="s">
        <v>214</v>
      </c>
      <c r="AA69" s="202" t="s">
        <v>215</v>
      </c>
      <c r="AB69" s="203">
        <v>332718.75</v>
      </c>
      <c r="AC69" s="203">
        <v>332718.75</v>
      </c>
      <c r="AD69" s="204">
        <v>46107.0</v>
      </c>
      <c r="AE69" s="204">
        <v>46168.0</v>
      </c>
      <c r="AF69" s="205"/>
      <c r="AG69" s="219"/>
      <c r="AH69" s="219"/>
      <c r="AI69" s="219"/>
      <c r="AJ69" s="219"/>
      <c r="AK69" s="219"/>
      <c r="AL69" s="219"/>
      <c r="AM69" s="219"/>
      <c r="AN69" s="219"/>
      <c r="AO69" s="219"/>
    </row>
    <row r="70">
      <c r="A70" s="193">
        <v>10941.0</v>
      </c>
      <c r="B70" s="194" t="s">
        <v>203</v>
      </c>
      <c r="C70" s="193">
        <v>2026.0</v>
      </c>
      <c r="D70" s="195">
        <v>2048.0</v>
      </c>
      <c r="E70" s="199"/>
      <c r="F70" s="193" t="s">
        <v>204</v>
      </c>
      <c r="G70" s="215">
        <v>46098.0</v>
      </c>
      <c r="H70" s="193">
        <v>169.0</v>
      </c>
      <c r="I70" s="215">
        <v>46098.0</v>
      </c>
      <c r="J70" s="193" t="s">
        <v>346</v>
      </c>
      <c r="K70" s="193" t="s">
        <v>206</v>
      </c>
      <c r="L70" s="194" t="s">
        <v>144</v>
      </c>
      <c r="M70" s="199"/>
      <c r="N70" s="193" t="s">
        <v>207</v>
      </c>
      <c r="O70" s="193" t="s">
        <v>206</v>
      </c>
      <c r="P70" s="193" t="s">
        <v>206</v>
      </c>
      <c r="Q70" s="199"/>
      <c r="R70" s="193" t="s">
        <v>219</v>
      </c>
      <c r="S70" s="193" t="s">
        <v>44</v>
      </c>
      <c r="T70" s="193" t="s">
        <v>220</v>
      </c>
      <c r="U70" s="193" t="s">
        <v>350</v>
      </c>
      <c r="V70" s="193" t="s">
        <v>211</v>
      </c>
      <c r="W70" s="193" t="s">
        <v>212</v>
      </c>
      <c r="X70" s="193" t="s">
        <v>213</v>
      </c>
      <c r="Y70" s="200">
        <v>3.0</v>
      </c>
      <c r="Z70" s="202" t="s">
        <v>214</v>
      </c>
      <c r="AA70" s="202" t="s">
        <v>215</v>
      </c>
      <c r="AB70" s="203">
        <v>28040.56</v>
      </c>
      <c r="AC70" s="203">
        <v>28040.56</v>
      </c>
      <c r="AD70" s="204">
        <v>46107.0</v>
      </c>
      <c r="AE70" s="204">
        <v>46168.0</v>
      </c>
      <c r="AF70" s="205"/>
      <c r="AG70" s="206"/>
      <c r="AH70" s="206"/>
      <c r="AI70" s="206"/>
      <c r="AJ70" s="206"/>
      <c r="AK70" s="206"/>
      <c r="AL70" s="206"/>
      <c r="AM70" s="206"/>
      <c r="AN70" s="206"/>
      <c r="AO70" s="206"/>
    </row>
    <row r="71">
      <c r="A71" s="193">
        <v>10960.0</v>
      </c>
      <c r="B71" s="194" t="s">
        <v>203</v>
      </c>
      <c r="C71" s="193">
        <v>2026.0</v>
      </c>
      <c r="D71" s="195">
        <v>2048.0</v>
      </c>
      <c r="E71" s="199"/>
      <c r="F71" s="193" t="s">
        <v>204</v>
      </c>
      <c r="G71" s="198">
        <v>46118.0</v>
      </c>
      <c r="H71" s="193">
        <v>233.0</v>
      </c>
      <c r="I71" s="198">
        <v>46118.0</v>
      </c>
      <c r="J71" s="193" t="s">
        <v>351</v>
      </c>
      <c r="K71" s="193" t="s">
        <v>206</v>
      </c>
      <c r="L71" s="194" t="s">
        <v>144</v>
      </c>
      <c r="M71" s="199"/>
      <c r="N71" s="193" t="s">
        <v>207</v>
      </c>
      <c r="O71" s="193" t="s">
        <v>206</v>
      </c>
      <c r="P71" s="193" t="s">
        <v>206</v>
      </c>
      <c r="Q71" s="199"/>
      <c r="R71" s="193" t="s">
        <v>208</v>
      </c>
      <c r="S71" s="193" t="s">
        <v>39</v>
      </c>
      <c r="T71" s="193" t="s">
        <v>294</v>
      </c>
      <c r="U71" s="193" t="s">
        <v>308</v>
      </c>
      <c r="V71" s="193" t="s">
        <v>296</v>
      </c>
      <c r="W71" s="193" t="s">
        <v>212</v>
      </c>
      <c r="X71" s="193" t="s">
        <v>223</v>
      </c>
      <c r="Y71" s="200">
        <v>3.0</v>
      </c>
      <c r="Z71" s="202" t="s">
        <v>214</v>
      </c>
      <c r="AA71" s="202" t="s">
        <v>215</v>
      </c>
      <c r="AB71" s="203">
        <v>853419.45</v>
      </c>
      <c r="AC71" s="203">
        <v>853419.45</v>
      </c>
      <c r="AD71" s="258">
        <v>46138.0</v>
      </c>
      <c r="AE71" s="204">
        <v>46168.0</v>
      </c>
      <c r="AF71" s="205"/>
      <c r="AG71" s="206"/>
      <c r="AH71" s="206"/>
      <c r="AI71" s="206"/>
      <c r="AJ71" s="206"/>
      <c r="AK71" s="206"/>
      <c r="AL71" s="206"/>
      <c r="AM71" s="206"/>
      <c r="AN71" s="206"/>
      <c r="AO71" s="206"/>
    </row>
    <row r="72">
      <c r="A72" s="193">
        <v>10980.0</v>
      </c>
      <c r="B72" s="194" t="s">
        <v>203</v>
      </c>
      <c r="C72" s="193">
        <v>2026.0</v>
      </c>
      <c r="D72" s="195">
        <v>2048.0</v>
      </c>
      <c r="E72" s="199"/>
      <c r="F72" s="193" t="s">
        <v>204</v>
      </c>
      <c r="G72" s="198">
        <v>46098.0</v>
      </c>
      <c r="H72" s="193">
        <v>174.0</v>
      </c>
      <c r="I72" s="198">
        <v>46098.0</v>
      </c>
      <c r="J72" s="193" t="s">
        <v>352</v>
      </c>
      <c r="K72" s="193" t="s">
        <v>206</v>
      </c>
      <c r="L72" s="194" t="s">
        <v>144</v>
      </c>
      <c r="M72" s="199"/>
      <c r="N72" s="193" t="s">
        <v>207</v>
      </c>
      <c r="O72" s="193" t="s">
        <v>206</v>
      </c>
      <c r="P72" s="193" t="s">
        <v>206</v>
      </c>
      <c r="Q72" s="199"/>
      <c r="R72" s="193" t="s">
        <v>219</v>
      </c>
      <c r="S72" s="193" t="s">
        <v>43</v>
      </c>
      <c r="T72" s="193" t="s">
        <v>299</v>
      </c>
      <c r="U72" s="193" t="s">
        <v>353</v>
      </c>
      <c r="V72" s="193" t="s">
        <v>296</v>
      </c>
      <c r="W72" s="193" t="s">
        <v>212</v>
      </c>
      <c r="X72" s="193" t="s">
        <v>223</v>
      </c>
      <c r="Y72" s="200">
        <v>3.0</v>
      </c>
      <c r="Z72" s="202" t="s">
        <v>214</v>
      </c>
      <c r="AA72" s="202" t="s">
        <v>215</v>
      </c>
      <c r="AB72" s="203">
        <v>635270.89</v>
      </c>
      <c r="AC72" s="203">
        <v>635270.89</v>
      </c>
      <c r="AD72" s="204">
        <v>46107.0</v>
      </c>
      <c r="AE72" s="204">
        <v>46168.0</v>
      </c>
      <c r="AF72" s="205"/>
      <c r="AG72" s="219"/>
      <c r="AH72" s="219"/>
      <c r="AI72" s="219"/>
      <c r="AJ72" s="219"/>
      <c r="AK72" s="219"/>
      <c r="AL72" s="219"/>
      <c r="AM72" s="219"/>
      <c r="AN72" s="219"/>
      <c r="AO72" s="219"/>
    </row>
    <row r="73">
      <c r="A73" s="193">
        <v>11000.0</v>
      </c>
      <c r="B73" s="194" t="s">
        <v>203</v>
      </c>
      <c r="C73" s="193">
        <v>2026.0</v>
      </c>
      <c r="D73" s="195">
        <v>2048.0</v>
      </c>
      <c r="E73" s="199"/>
      <c r="F73" s="193" t="s">
        <v>204</v>
      </c>
      <c r="G73" s="198">
        <v>46098.0</v>
      </c>
      <c r="H73" s="193">
        <v>175.0</v>
      </c>
      <c r="I73" s="198">
        <v>46098.0</v>
      </c>
      <c r="J73" s="193" t="s">
        <v>346</v>
      </c>
      <c r="K73" s="193" t="s">
        <v>206</v>
      </c>
      <c r="L73" s="194" t="s">
        <v>144</v>
      </c>
      <c r="M73" s="199"/>
      <c r="N73" s="193" t="s">
        <v>207</v>
      </c>
      <c r="O73" s="193" t="s">
        <v>206</v>
      </c>
      <c r="P73" s="193" t="s">
        <v>206</v>
      </c>
      <c r="Q73" s="199"/>
      <c r="R73" s="193" t="s">
        <v>219</v>
      </c>
      <c r="S73" s="193" t="s">
        <v>44</v>
      </c>
      <c r="T73" s="193" t="s">
        <v>220</v>
      </c>
      <c r="U73" s="193" t="s">
        <v>354</v>
      </c>
      <c r="V73" s="193" t="s">
        <v>211</v>
      </c>
      <c r="W73" s="193" t="s">
        <v>212</v>
      </c>
      <c r="X73" s="193" t="s">
        <v>223</v>
      </c>
      <c r="Y73" s="200">
        <v>3.0</v>
      </c>
      <c r="Z73" s="202" t="s">
        <v>214</v>
      </c>
      <c r="AA73" s="202" t="s">
        <v>215</v>
      </c>
      <c r="AB73" s="203">
        <v>2572500.0</v>
      </c>
      <c r="AC73" s="203">
        <v>2572500.0</v>
      </c>
      <c r="AD73" s="204">
        <v>46107.0</v>
      </c>
      <c r="AE73" s="204">
        <v>46168.0</v>
      </c>
      <c r="AF73" s="205"/>
      <c r="AG73" s="219"/>
      <c r="AH73" s="219"/>
      <c r="AI73" s="219"/>
      <c r="AJ73" s="219"/>
      <c r="AK73" s="219"/>
      <c r="AL73" s="219"/>
      <c r="AM73" s="219"/>
      <c r="AN73" s="219"/>
      <c r="AO73" s="219"/>
    </row>
    <row r="74">
      <c r="A74" s="193">
        <v>11020.0</v>
      </c>
      <c r="B74" s="194" t="s">
        <v>203</v>
      </c>
      <c r="C74" s="193">
        <v>2026.0</v>
      </c>
      <c r="D74" s="229" t="s">
        <v>258</v>
      </c>
      <c r="E74" s="199"/>
      <c r="F74" s="193" t="s">
        <v>204</v>
      </c>
      <c r="G74" s="215">
        <v>46065.0</v>
      </c>
      <c r="H74" s="193">
        <v>64.0</v>
      </c>
      <c r="I74" s="215">
        <v>46065.0</v>
      </c>
      <c r="J74" s="193" t="s">
        <v>355</v>
      </c>
      <c r="K74" s="193" t="s">
        <v>206</v>
      </c>
      <c r="L74" s="194" t="s">
        <v>144</v>
      </c>
      <c r="M74" s="199"/>
      <c r="N74" s="193" t="s">
        <v>207</v>
      </c>
      <c r="O74" s="193" t="s">
        <v>206</v>
      </c>
      <c r="P74" s="193" t="s">
        <v>206</v>
      </c>
      <c r="Q74" s="199"/>
      <c r="R74" s="193" t="s">
        <v>269</v>
      </c>
      <c r="S74" s="193" t="s">
        <v>49</v>
      </c>
      <c r="T74" s="193" t="s">
        <v>356</v>
      </c>
      <c r="U74" s="193" t="s">
        <v>357</v>
      </c>
      <c r="V74" s="193" t="s">
        <v>211</v>
      </c>
      <c r="W74" s="193" t="s">
        <v>212</v>
      </c>
      <c r="X74" s="193" t="s">
        <v>223</v>
      </c>
      <c r="Y74" s="200">
        <v>3.0</v>
      </c>
      <c r="Z74" s="202" t="s">
        <v>214</v>
      </c>
      <c r="AA74" s="202" t="s">
        <v>215</v>
      </c>
      <c r="AB74" s="203">
        <v>2303463.0</v>
      </c>
      <c r="AC74" s="203">
        <v>2303463.0</v>
      </c>
      <c r="AD74" s="204">
        <v>46079.0</v>
      </c>
      <c r="AE74" s="204">
        <v>46168.0</v>
      </c>
      <c r="AF74" s="205"/>
      <c r="AG74" s="219"/>
      <c r="AH74" s="219"/>
      <c r="AI74" s="219"/>
      <c r="AJ74" s="219"/>
      <c r="AK74" s="219"/>
      <c r="AL74" s="219"/>
      <c r="AM74" s="219"/>
      <c r="AN74" s="219"/>
      <c r="AO74" s="219"/>
    </row>
    <row r="75">
      <c r="A75" s="193">
        <v>11040.0</v>
      </c>
      <c r="B75" s="194" t="s">
        <v>203</v>
      </c>
      <c r="C75" s="193">
        <v>2026.0</v>
      </c>
      <c r="D75" s="195">
        <v>2048.0</v>
      </c>
      <c r="E75" s="207"/>
      <c r="F75" s="193" t="s">
        <v>204</v>
      </c>
      <c r="G75" s="259">
        <v>46219.0</v>
      </c>
      <c r="H75" s="208">
        <v>613.0</v>
      </c>
      <c r="I75" s="198">
        <v>46224.0</v>
      </c>
      <c r="J75" s="193" t="s">
        <v>349</v>
      </c>
      <c r="K75" s="193" t="s">
        <v>206</v>
      </c>
      <c r="L75" s="194" t="s">
        <v>144</v>
      </c>
      <c r="M75" s="199"/>
      <c r="N75" s="193" t="s">
        <v>227</v>
      </c>
      <c r="O75" s="193" t="s">
        <v>206</v>
      </c>
      <c r="P75" s="193" t="s">
        <v>206</v>
      </c>
      <c r="Q75" s="199"/>
      <c r="R75" s="193" t="s">
        <v>228</v>
      </c>
      <c r="S75" s="193" t="s">
        <v>47</v>
      </c>
      <c r="T75" s="193" t="s">
        <v>358</v>
      </c>
      <c r="U75" s="193" t="s">
        <v>359</v>
      </c>
      <c r="V75" s="193" t="s">
        <v>231</v>
      </c>
      <c r="W75" s="193" t="s">
        <v>212</v>
      </c>
      <c r="X75" s="193" t="s">
        <v>232</v>
      </c>
      <c r="Y75" s="200">
        <v>3.0</v>
      </c>
      <c r="Z75" s="202" t="s">
        <v>233</v>
      </c>
      <c r="AA75" s="202" t="s">
        <v>234</v>
      </c>
      <c r="AB75" s="203">
        <v>53166.7</v>
      </c>
      <c r="AC75" s="203">
        <v>272054.0</v>
      </c>
      <c r="AD75" s="204">
        <v>46229.0</v>
      </c>
      <c r="AE75" s="204">
        <v>46291.0</v>
      </c>
      <c r="AF75" s="205"/>
      <c r="AG75" s="219"/>
      <c r="AH75" s="219"/>
      <c r="AI75" s="219"/>
      <c r="AJ75" s="219"/>
      <c r="AK75" s="219"/>
      <c r="AL75" s="219"/>
      <c r="AM75" s="219"/>
      <c r="AN75" s="219"/>
      <c r="AO75" s="219"/>
    </row>
    <row r="76">
      <c r="A76" s="193">
        <v>11060.0</v>
      </c>
      <c r="B76" s="194" t="s">
        <v>203</v>
      </c>
      <c r="C76" s="193">
        <v>2026.0</v>
      </c>
      <c r="D76" s="260">
        <v>2048.0</v>
      </c>
      <c r="E76" s="199"/>
      <c r="F76" s="193" t="s">
        <v>204</v>
      </c>
      <c r="G76" s="198">
        <v>46213.0</v>
      </c>
      <c r="H76" s="208">
        <v>583.0</v>
      </c>
      <c r="I76" s="198">
        <v>46213.0</v>
      </c>
      <c r="J76" s="193" t="s">
        <v>349</v>
      </c>
      <c r="K76" s="193" t="s">
        <v>206</v>
      </c>
      <c r="L76" s="194" t="s">
        <v>144</v>
      </c>
      <c r="M76" s="199"/>
      <c r="N76" s="193" t="s">
        <v>227</v>
      </c>
      <c r="O76" s="193" t="s">
        <v>206</v>
      </c>
      <c r="P76" s="193" t="s">
        <v>206</v>
      </c>
      <c r="Q76" s="199"/>
      <c r="R76" s="193" t="s">
        <v>228</v>
      </c>
      <c r="S76" s="193" t="s">
        <v>47</v>
      </c>
      <c r="T76" s="193" t="s">
        <v>229</v>
      </c>
      <c r="U76" s="193" t="s">
        <v>359</v>
      </c>
      <c r="V76" s="193" t="s">
        <v>231</v>
      </c>
      <c r="W76" s="193" t="s">
        <v>212</v>
      </c>
      <c r="X76" s="193" t="s">
        <v>232</v>
      </c>
      <c r="Y76" s="200">
        <v>3.0</v>
      </c>
      <c r="Z76" s="202" t="s">
        <v>233</v>
      </c>
      <c r="AA76" s="202" t="s">
        <v>234</v>
      </c>
      <c r="AB76" s="203">
        <v>79546.81</v>
      </c>
      <c r="AC76" s="203">
        <v>403533.01</v>
      </c>
      <c r="AD76" s="204">
        <v>46229.0</v>
      </c>
      <c r="AE76" s="204">
        <v>46352.0</v>
      </c>
      <c r="AF76" s="205"/>
      <c r="AG76" s="219"/>
      <c r="AH76" s="219"/>
      <c r="AI76" s="219"/>
      <c r="AJ76" s="219"/>
      <c r="AK76" s="219"/>
      <c r="AL76" s="219"/>
      <c r="AM76" s="219"/>
      <c r="AN76" s="219"/>
      <c r="AO76" s="219"/>
    </row>
    <row r="77">
      <c r="A77" s="193">
        <v>11061.0</v>
      </c>
      <c r="B77" s="194" t="s">
        <v>203</v>
      </c>
      <c r="C77" s="193">
        <v>2026.0</v>
      </c>
      <c r="D77" s="195">
        <v>2048.0</v>
      </c>
      <c r="E77" s="219"/>
      <c r="F77" s="238" t="s">
        <v>204</v>
      </c>
      <c r="G77" s="261">
        <v>46055.0</v>
      </c>
      <c r="H77" s="193">
        <v>34.0</v>
      </c>
      <c r="I77" s="198">
        <v>46055.0</v>
      </c>
      <c r="J77" s="193" t="s">
        <v>360</v>
      </c>
      <c r="K77" s="193" t="s">
        <v>206</v>
      </c>
      <c r="L77" s="194" t="s">
        <v>144</v>
      </c>
      <c r="M77" s="199"/>
      <c r="N77" s="193" t="s">
        <v>227</v>
      </c>
      <c r="O77" s="193" t="s">
        <v>206</v>
      </c>
      <c r="P77" s="193" t="s">
        <v>206</v>
      </c>
      <c r="Q77" s="199"/>
      <c r="R77" s="193" t="s">
        <v>228</v>
      </c>
      <c r="S77" s="193" t="s">
        <v>47</v>
      </c>
      <c r="T77" s="193" t="s">
        <v>229</v>
      </c>
      <c r="U77" s="193" t="s">
        <v>359</v>
      </c>
      <c r="V77" s="193" t="s">
        <v>231</v>
      </c>
      <c r="W77" s="193" t="s">
        <v>212</v>
      </c>
      <c r="X77" s="193" t="s">
        <v>232</v>
      </c>
      <c r="Y77" s="200">
        <v>3.0</v>
      </c>
      <c r="Z77" s="202" t="s">
        <v>233</v>
      </c>
      <c r="AA77" s="202" t="s">
        <v>234</v>
      </c>
      <c r="AB77" s="221"/>
      <c r="AC77" s="203">
        <v>1300000.0</v>
      </c>
      <c r="AD77" s="204">
        <v>46079.0</v>
      </c>
      <c r="AE77" s="204">
        <v>46107.0</v>
      </c>
      <c r="AF77" s="205"/>
      <c r="AG77" s="219"/>
      <c r="AH77" s="219"/>
      <c r="AI77" s="219"/>
      <c r="AJ77" s="219"/>
      <c r="AK77" s="219"/>
      <c r="AL77" s="219"/>
      <c r="AM77" s="219"/>
      <c r="AN77" s="219"/>
      <c r="AO77" s="219"/>
    </row>
    <row r="78">
      <c r="A78" s="193">
        <v>11062.0</v>
      </c>
      <c r="B78" s="194" t="s">
        <v>203</v>
      </c>
      <c r="C78" s="193">
        <v>2026.0</v>
      </c>
      <c r="D78" s="260">
        <v>2048.0</v>
      </c>
      <c r="E78" s="199"/>
      <c r="F78" s="193" t="s">
        <v>204</v>
      </c>
      <c r="G78" s="230">
        <v>46118.0</v>
      </c>
      <c r="H78" s="208">
        <v>246.0</v>
      </c>
      <c r="I78" s="215">
        <v>46118.0</v>
      </c>
      <c r="J78" s="193" t="s">
        <v>361</v>
      </c>
      <c r="K78" s="193" t="s">
        <v>206</v>
      </c>
      <c r="L78" s="194" t="s">
        <v>144</v>
      </c>
      <c r="M78" s="199"/>
      <c r="N78" s="193" t="s">
        <v>227</v>
      </c>
      <c r="O78" s="193" t="s">
        <v>206</v>
      </c>
      <c r="P78" s="193" t="s">
        <v>206</v>
      </c>
      <c r="Q78" s="199"/>
      <c r="R78" s="193" t="s">
        <v>228</v>
      </c>
      <c r="S78" s="193" t="s">
        <v>47</v>
      </c>
      <c r="T78" s="193" t="s">
        <v>229</v>
      </c>
      <c r="U78" s="193" t="s">
        <v>359</v>
      </c>
      <c r="V78" s="193" t="s">
        <v>231</v>
      </c>
      <c r="W78" s="193" t="s">
        <v>212</v>
      </c>
      <c r="X78" s="193" t="s">
        <v>232</v>
      </c>
      <c r="Y78" s="200">
        <v>3.0</v>
      </c>
      <c r="Z78" s="202" t="s">
        <v>233</v>
      </c>
      <c r="AA78" s="202" t="s">
        <v>234</v>
      </c>
      <c r="AB78" s="203">
        <v>23531.51</v>
      </c>
      <c r="AC78" s="203">
        <v>119775.39</v>
      </c>
      <c r="AD78" s="258">
        <v>46138.0</v>
      </c>
      <c r="AE78" s="204">
        <v>46168.0</v>
      </c>
      <c r="AF78" s="205"/>
      <c r="AG78" s="219"/>
      <c r="AH78" s="219"/>
      <c r="AI78" s="219"/>
      <c r="AJ78" s="219"/>
      <c r="AK78" s="219"/>
      <c r="AL78" s="219"/>
      <c r="AM78" s="219"/>
      <c r="AN78" s="219"/>
      <c r="AO78" s="219"/>
    </row>
    <row r="79">
      <c r="A79" s="193">
        <v>11063.0</v>
      </c>
      <c r="B79" s="194" t="s">
        <v>203</v>
      </c>
      <c r="C79" s="193">
        <v>2026.0</v>
      </c>
      <c r="D79" s="260">
        <v>2048.0</v>
      </c>
      <c r="E79" s="199"/>
      <c r="F79" s="193" t="s">
        <v>204</v>
      </c>
      <c r="G79" s="198">
        <v>46192.0</v>
      </c>
      <c r="H79" s="208">
        <v>466.0</v>
      </c>
      <c r="I79" s="198">
        <v>46192.0</v>
      </c>
      <c r="J79" s="193" t="s">
        <v>362</v>
      </c>
      <c r="K79" s="193" t="s">
        <v>206</v>
      </c>
      <c r="L79" s="194" t="s">
        <v>144</v>
      </c>
      <c r="M79" s="199"/>
      <c r="N79" s="193" t="s">
        <v>227</v>
      </c>
      <c r="O79" s="193" t="s">
        <v>206</v>
      </c>
      <c r="P79" s="193" t="s">
        <v>206</v>
      </c>
      <c r="Q79" s="199"/>
      <c r="R79" s="193" t="s">
        <v>228</v>
      </c>
      <c r="S79" s="193" t="s">
        <v>47</v>
      </c>
      <c r="T79" s="193" t="s">
        <v>229</v>
      </c>
      <c r="U79" s="193" t="s">
        <v>359</v>
      </c>
      <c r="V79" s="193" t="s">
        <v>231</v>
      </c>
      <c r="W79" s="193" t="s">
        <v>212</v>
      </c>
      <c r="X79" s="193" t="s">
        <v>232</v>
      </c>
      <c r="Y79" s="200">
        <v>3.0</v>
      </c>
      <c r="Z79" s="202" t="s">
        <v>233</v>
      </c>
      <c r="AA79" s="202" t="s">
        <v>234</v>
      </c>
      <c r="AB79" s="203">
        <v>128908.71</v>
      </c>
      <c r="AC79" s="203">
        <v>670330.0</v>
      </c>
      <c r="AD79" s="204">
        <v>46199.0</v>
      </c>
      <c r="AE79" s="204">
        <v>46260.0</v>
      </c>
      <c r="AF79" s="226" t="s">
        <v>363</v>
      </c>
      <c r="AG79" s="219"/>
      <c r="AH79" s="219"/>
      <c r="AI79" s="219"/>
      <c r="AJ79" s="219"/>
      <c r="AK79" s="219"/>
      <c r="AL79" s="219"/>
      <c r="AM79" s="219"/>
      <c r="AN79" s="219"/>
      <c r="AO79" s="219"/>
    </row>
    <row r="80">
      <c r="A80" s="193">
        <v>11080.0</v>
      </c>
      <c r="B80" s="232" t="s">
        <v>264</v>
      </c>
      <c r="C80" s="193">
        <v>2026.0</v>
      </c>
      <c r="D80" s="199"/>
      <c r="E80" s="207"/>
      <c r="F80" s="193" t="s">
        <v>265</v>
      </c>
      <c r="G80" s="256"/>
      <c r="H80" s="199"/>
      <c r="I80" s="235"/>
      <c r="J80" s="199"/>
      <c r="K80" s="193" t="s">
        <v>206</v>
      </c>
      <c r="L80" s="234" t="s">
        <v>145</v>
      </c>
      <c r="M80" s="199"/>
      <c r="N80" s="193" t="s">
        <v>227</v>
      </c>
      <c r="O80" s="193" t="s">
        <v>206</v>
      </c>
      <c r="P80" s="193" t="s">
        <v>206</v>
      </c>
      <c r="Q80" s="199"/>
      <c r="R80" s="193" t="s">
        <v>228</v>
      </c>
      <c r="S80" s="193" t="s">
        <v>47</v>
      </c>
      <c r="T80" s="193" t="s">
        <v>229</v>
      </c>
      <c r="U80" s="193" t="s">
        <v>364</v>
      </c>
      <c r="V80" s="193" t="s">
        <v>231</v>
      </c>
      <c r="W80" s="193" t="s">
        <v>212</v>
      </c>
      <c r="X80" s="193" t="s">
        <v>232</v>
      </c>
      <c r="Y80" s="200">
        <v>3.0</v>
      </c>
      <c r="Z80" s="202" t="s">
        <v>233</v>
      </c>
      <c r="AA80" s="202" t="s">
        <v>234</v>
      </c>
      <c r="AB80" s="221"/>
      <c r="AC80" s="203">
        <v>2500000.0</v>
      </c>
      <c r="AD80" s="204">
        <v>46352.0</v>
      </c>
      <c r="AE80" s="204">
        <v>46049.0</v>
      </c>
      <c r="AF80" s="205"/>
      <c r="AG80" s="219"/>
      <c r="AH80" s="219"/>
      <c r="AI80" s="219"/>
      <c r="AJ80" s="219"/>
      <c r="AK80" s="219"/>
      <c r="AL80" s="219"/>
      <c r="AM80" s="219"/>
      <c r="AN80" s="219"/>
      <c r="AO80" s="219"/>
    </row>
    <row r="81">
      <c r="A81" s="193">
        <v>11100.0</v>
      </c>
      <c r="B81" s="194" t="s">
        <v>203</v>
      </c>
      <c r="C81" s="193">
        <v>2026.0</v>
      </c>
      <c r="D81" s="195">
        <v>2048.0</v>
      </c>
      <c r="E81" s="199"/>
      <c r="F81" s="193" t="s">
        <v>204</v>
      </c>
      <c r="G81" s="230">
        <v>46213.0</v>
      </c>
      <c r="H81" s="193">
        <v>583.0</v>
      </c>
      <c r="I81" s="230">
        <v>46213.0</v>
      </c>
      <c r="J81" s="193" t="s">
        <v>349</v>
      </c>
      <c r="K81" s="193" t="s">
        <v>206</v>
      </c>
      <c r="L81" s="194" t="s">
        <v>144</v>
      </c>
      <c r="M81" s="199"/>
      <c r="N81" s="193" t="s">
        <v>227</v>
      </c>
      <c r="O81" s="193" t="s">
        <v>206</v>
      </c>
      <c r="P81" s="193" t="s">
        <v>206</v>
      </c>
      <c r="Q81" s="199"/>
      <c r="R81" s="193" t="s">
        <v>228</v>
      </c>
      <c r="S81" s="193" t="s">
        <v>47</v>
      </c>
      <c r="T81" s="193" t="s">
        <v>229</v>
      </c>
      <c r="U81" s="193" t="s">
        <v>365</v>
      </c>
      <c r="V81" s="193" t="s">
        <v>290</v>
      </c>
      <c r="W81" s="193" t="s">
        <v>212</v>
      </c>
      <c r="X81" s="193" t="s">
        <v>232</v>
      </c>
      <c r="Y81" s="200">
        <v>3.0</v>
      </c>
      <c r="Z81" s="202" t="s">
        <v>233</v>
      </c>
      <c r="AA81" s="202" t="s">
        <v>234</v>
      </c>
      <c r="AB81" s="203">
        <v>19298.25</v>
      </c>
      <c r="AC81" s="203">
        <v>97898.07</v>
      </c>
      <c r="AD81" s="204">
        <v>46229.0</v>
      </c>
      <c r="AE81" s="204">
        <v>46049.0</v>
      </c>
      <c r="AF81" s="205"/>
      <c r="AG81" s="219"/>
      <c r="AH81" s="219"/>
      <c r="AI81" s="219"/>
      <c r="AJ81" s="219"/>
      <c r="AK81" s="219"/>
      <c r="AL81" s="219"/>
      <c r="AM81" s="219"/>
      <c r="AN81" s="219"/>
      <c r="AO81" s="219"/>
    </row>
    <row r="82">
      <c r="A82" s="193">
        <v>11120.0</v>
      </c>
      <c r="B82" s="194" t="s">
        <v>203</v>
      </c>
      <c r="C82" s="193">
        <v>2026.0</v>
      </c>
      <c r="D82" s="195">
        <v>2048.0</v>
      </c>
      <c r="E82" s="199"/>
      <c r="F82" s="193" t="s">
        <v>204</v>
      </c>
      <c r="G82" s="215">
        <v>46213.0</v>
      </c>
      <c r="H82" s="193">
        <v>583.0</v>
      </c>
      <c r="I82" s="215">
        <v>46213.0</v>
      </c>
      <c r="J82" s="193" t="s">
        <v>349</v>
      </c>
      <c r="K82" s="193" t="s">
        <v>206</v>
      </c>
      <c r="L82" s="194" t="s">
        <v>144</v>
      </c>
      <c r="M82" s="199"/>
      <c r="N82" s="193" t="s">
        <v>227</v>
      </c>
      <c r="O82" s="193" t="s">
        <v>206</v>
      </c>
      <c r="P82" s="193" t="s">
        <v>206</v>
      </c>
      <c r="Q82" s="199"/>
      <c r="R82" s="193" t="s">
        <v>228</v>
      </c>
      <c r="S82" s="193" t="s">
        <v>47</v>
      </c>
      <c r="T82" s="193" t="s">
        <v>229</v>
      </c>
      <c r="U82" s="193" t="s">
        <v>366</v>
      </c>
      <c r="V82" s="193" t="s">
        <v>290</v>
      </c>
      <c r="W82" s="193" t="s">
        <v>212</v>
      </c>
      <c r="X82" s="193" t="s">
        <v>232</v>
      </c>
      <c r="Y82" s="200">
        <v>3.0</v>
      </c>
      <c r="Z82" s="202" t="s">
        <v>233</v>
      </c>
      <c r="AA82" s="202" t="s">
        <v>234</v>
      </c>
      <c r="AB82" s="203">
        <v>18757.01</v>
      </c>
      <c r="AC82" s="203">
        <v>95152.41</v>
      </c>
      <c r="AD82" s="204">
        <v>46229.0</v>
      </c>
      <c r="AE82" s="204">
        <v>46049.0</v>
      </c>
      <c r="AF82" s="205"/>
      <c r="AG82" s="219"/>
      <c r="AH82" s="219"/>
      <c r="AI82" s="219"/>
      <c r="AJ82" s="219"/>
      <c r="AK82" s="219"/>
      <c r="AL82" s="219"/>
      <c r="AM82" s="219"/>
      <c r="AN82" s="219"/>
      <c r="AO82" s="219"/>
    </row>
    <row r="83">
      <c r="A83" s="193">
        <v>11121.0</v>
      </c>
      <c r="B83" s="194" t="s">
        <v>203</v>
      </c>
      <c r="C83" s="193">
        <v>2026.0</v>
      </c>
      <c r="D83" s="195">
        <v>2048.0</v>
      </c>
      <c r="E83" s="199"/>
      <c r="F83" s="193" t="s">
        <v>204</v>
      </c>
      <c r="G83" s="217">
        <v>46251.0</v>
      </c>
      <c r="H83" s="252">
        <v>12418.0</v>
      </c>
      <c r="I83" s="215">
        <v>46251.0</v>
      </c>
      <c r="J83" s="193" t="s">
        <v>367</v>
      </c>
      <c r="K83" s="193" t="s">
        <v>206</v>
      </c>
      <c r="L83" s="194" t="s">
        <v>144</v>
      </c>
      <c r="M83" s="199"/>
      <c r="N83" s="193" t="s">
        <v>368</v>
      </c>
      <c r="O83" s="193" t="s">
        <v>206</v>
      </c>
      <c r="P83" s="193" t="s">
        <v>206</v>
      </c>
      <c r="Q83" s="199"/>
      <c r="R83" s="193" t="s">
        <v>228</v>
      </c>
      <c r="S83" s="193" t="s">
        <v>46</v>
      </c>
      <c r="T83" s="193" t="s">
        <v>369</v>
      </c>
      <c r="U83" s="193" t="s">
        <v>366</v>
      </c>
      <c r="V83" s="193" t="s">
        <v>290</v>
      </c>
      <c r="W83" s="193" t="s">
        <v>212</v>
      </c>
      <c r="X83" s="193" t="s">
        <v>232</v>
      </c>
      <c r="Y83" s="200">
        <v>3.0</v>
      </c>
      <c r="Z83" s="202" t="s">
        <v>233</v>
      </c>
      <c r="AA83" s="202" t="s">
        <v>215</v>
      </c>
      <c r="AB83" s="221"/>
      <c r="AC83" s="203">
        <v>3402.0</v>
      </c>
      <c r="AD83" s="204">
        <v>46229.0</v>
      </c>
      <c r="AE83" s="204">
        <v>46260.0</v>
      </c>
      <c r="AF83" s="226" t="s">
        <v>370</v>
      </c>
      <c r="AG83" s="219"/>
      <c r="AH83" s="219"/>
      <c r="AI83" s="219"/>
      <c r="AJ83" s="219"/>
      <c r="AK83" s="219"/>
      <c r="AL83" s="219"/>
      <c r="AM83" s="219"/>
      <c r="AN83" s="219"/>
      <c r="AO83" s="219"/>
    </row>
    <row r="84">
      <c r="A84" s="193">
        <v>11140.0</v>
      </c>
      <c r="B84" s="194" t="s">
        <v>203</v>
      </c>
      <c r="C84" s="193">
        <v>2026.0</v>
      </c>
      <c r="D84" s="195">
        <v>2048.0</v>
      </c>
      <c r="E84" s="193">
        <v>23.0</v>
      </c>
      <c r="F84" s="196"/>
      <c r="G84" s="262"/>
      <c r="H84" s="207"/>
      <c r="I84" s="235"/>
      <c r="J84" s="199"/>
      <c r="K84" s="193" t="s">
        <v>206</v>
      </c>
      <c r="L84" s="194" t="s">
        <v>144</v>
      </c>
      <c r="M84" s="199"/>
      <c r="N84" s="193" t="s">
        <v>227</v>
      </c>
      <c r="O84" s="193" t="s">
        <v>206</v>
      </c>
      <c r="P84" s="193" t="s">
        <v>206</v>
      </c>
      <c r="Q84" s="199"/>
      <c r="R84" s="193" t="s">
        <v>228</v>
      </c>
      <c r="S84" s="193" t="s">
        <v>46</v>
      </c>
      <c r="T84" s="193" t="s">
        <v>229</v>
      </c>
      <c r="U84" s="193" t="s">
        <v>371</v>
      </c>
      <c r="V84" s="193" t="s">
        <v>231</v>
      </c>
      <c r="W84" s="193" t="s">
        <v>212</v>
      </c>
      <c r="X84" s="193" t="s">
        <v>232</v>
      </c>
      <c r="Y84" s="200">
        <v>3.0</v>
      </c>
      <c r="Z84" s="202" t="s">
        <v>233</v>
      </c>
      <c r="AA84" s="202" t="s">
        <v>234</v>
      </c>
      <c r="AB84" s="221"/>
      <c r="AC84" s="203">
        <v>266598.0</v>
      </c>
      <c r="AD84" s="204">
        <v>46291.0</v>
      </c>
      <c r="AE84" s="247">
        <v>46352.0</v>
      </c>
      <c r="AF84" s="205"/>
      <c r="AG84" s="219"/>
      <c r="AH84" s="219"/>
      <c r="AI84" s="219"/>
      <c r="AJ84" s="219"/>
      <c r="AK84" s="219"/>
      <c r="AL84" s="219"/>
      <c r="AM84" s="219"/>
      <c r="AN84" s="219"/>
      <c r="AO84" s="219"/>
    </row>
    <row r="85">
      <c r="A85" s="193">
        <v>11141.0</v>
      </c>
      <c r="B85" s="194" t="s">
        <v>203</v>
      </c>
      <c r="C85" s="193">
        <v>2026.0</v>
      </c>
      <c r="D85" s="195">
        <v>2048.0</v>
      </c>
      <c r="E85" s="199"/>
      <c r="F85" s="193" t="s">
        <v>204</v>
      </c>
      <c r="G85" s="246">
        <v>46205.0</v>
      </c>
      <c r="H85" s="193">
        <v>532.0</v>
      </c>
      <c r="I85" s="215">
        <v>46205.0</v>
      </c>
      <c r="J85" s="252" t="s">
        <v>372</v>
      </c>
      <c r="K85" s="193" t="s">
        <v>206</v>
      </c>
      <c r="L85" s="194" t="s">
        <v>144</v>
      </c>
      <c r="M85" s="199"/>
      <c r="N85" s="193" t="s">
        <v>227</v>
      </c>
      <c r="O85" s="193" t="s">
        <v>206</v>
      </c>
      <c r="P85" s="193" t="s">
        <v>206</v>
      </c>
      <c r="Q85" s="199"/>
      <c r="R85" s="193" t="s">
        <v>228</v>
      </c>
      <c r="S85" s="193" t="s">
        <v>47</v>
      </c>
      <c r="T85" s="193" t="s">
        <v>358</v>
      </c>
      <c r="U85" s="193" t="s">
        <v>359</v>
      </c>
      <c r="V85" s="193" t="s">
        <v>231</v>
      </c>
      <c r="W85" s="193" t="s">
        <v>212</v>
      </c>
      <c r="X85" s="193" t="s">
        <v>232</v>
      </c>
      <c r="Y85" s="200">
        <v>3.0</v>
      </c>
      <c r="Z85" s="202" t="s">
        <v>233</v>
      </c>
      <c r="AA85" s="202" t="s">
        <v>234</v>
      </c>
      <c r="AB85" s="221"/>
      <c r="AC85" s="203">
        <v>3085.07</v>
      </c>
      <c r="AD85" s="204">
        <v>46229.0</v>
      </c>
      <c r="AE85" s="247">
        <v>46260.0</v>
      </c>
      <c r="AF85" s="226" t="s">
        <v>373</v>
      </c>
      <c r="AG85" s="219"/>
      <c r="AH85" s="219"/>
      <c r="AI85" s="219"/>
      <c r="AJ85" s="219"/>
      <c r="AK85" s="219"/>
      <c r="AL85" s="219"/>
      <c r="AM85" s="219"/>
      <c r="AN85" s="219"/>
      <c r="AO85" s="219"/>
    </row>
    <row r="86">
      <c r="A86" s="193">
        <v>11160.0</v>
      </c>
      <c r="B86" s="194" t="s">
        <v>203</v>
      </c>
      <c r="C86" s="193">
        <v>2026.0</v>
      </c>
      <c r="D86" s="195">
        <v>2048.0</v>
      </c>
      <c r="E86" s="199"/>
      <c r="F86" s="193" t="s">
        <v>204</v>
      </c>
      <c r="G86" s="198">
        <v>46091.0</v>
      </c>
      <c r="H86" s="193">
        <v>145.0</v>
      </c>
      <c r="I86" s="198">
        <v>46091.0</v>
      </c>
      <c r="J86" s="193" t="s">
        <v>374</v>
      </c>
      <c r="K86" s="193" t="s">
        <v>206</v>
      </c>
      <c r="L86" s="194" t="s">
        <v>144</v>
      </c>
      <c r="M86" s="199"/>
      <c r="N86" s="193" t="s">
        <v>227</v>
      </c>
      <c r="O86" s="193" t="s">
        <v>206</v>
      </c>
      <c r="P86" s="193" t="s">
        <v>206</v>
      </c>
      <c r="Q86" s="199"/>
      <c r="R86" s="193" t="s">
        <v>228</v>
      </c>
      <c r="S86" s="193" t="s">
        <v>46</v>
      </c>
      <c r="T86" s="193" t="s">
        <v>229</v>
      </c>
      <c r="U86" s="193" t="s">
        <v>359</v>
      </c>
      <c r="V86" s="193" t="s">
        <v>231</v>
      </c>
      <c r="W86" s="193" t="s">
        <v>212</v>
      </c>
      <c r="X86" s="193" t="s">
        <v>232</v>
      </c>
      <c r="Y86" s="200">
        <v>3.0</v>
      </c>
      <c r="Z86" s="202" t="s">
        <v>233</v>
      </c>
      <c r="AA86" s="202" t="s">
        <v>234</v>
      </c>
      <c r="AB86" s="221"/>
      <c r="AC86" s="203">
        <v>1059188.08</v>
      </c>
      <c r="AD86" s="204">
        <v>46107.0</v>
      </c>
      <c r="AE86" s="247">
        <v>46107.0</v>
      </c>
      <c r="AF86" s="205"/>
      <c r="AG86" s="219"/>
      <c r="AH86" s="219"/>
      <c r="AI86" s="219"/>
      <c r="AJ86" s="219"/>
      <c r="AK86" s="219"/>
      <c r="AL86" s="219"/>
      <c r="AM86" s="219"/>
      <c r="AN86" s="219"/>
      <c r="AO86" s="219"/>
    </row>
    <row r="87">
      <c r="A87" s="193">
        <v>11180.0</v>
      </c>
      <c r="B87" s="194" t="s">
        <v>203</v>
      </c>
      <c r="C87" s="193">
        <v>2026.0</v>
      </c>
      <c r="D87" s="195">
        <v>2048.0</v>
      </c>
      <c r="E87" s="199"/>
      <c r="F87" s="193" t="s">
        <v>204</v>
      </c>
      <c r="G87" s="230">
        <v>46072.0</v>
      </c>
      <c r="H87" s="193">
        <v>75.0</v>
      </c>
      <c r="I87" s="215">
        <v>46072.0</v>
      </c>
      <c r="J87" s="193" t="s">
        <v>374</v>
      </c>
      <c r="K87" s="193" t="s">
        <v>206</v>
      </c>
      <c r="L87" s="194" t="s">
        <v>144</v>
      </c>
      <c r="M87" s="199"/>
      <c r="N87" s="193" t="s">
        <v>227</v>
      </c>
      <c r="O87" s="193" t="s">
        <v>206</v>
      </c>
      <c r="P87" s="193" t="s">
        <v>244</v>
      </c>
      <c r="Q87" s="199"/>
      <c r="R87" s="193" t="s">
        <v>228</v>
      </c>
      <c r="S87" s="193" t="s">
        <v>46</v>
      </c>
      <c r="T87" s="193" t="s">
        <v>229</v>
      </c>
      <c r="U87" s="193" t="s">
        <v>364</v>
      </c>
      <c r="V87" s="193" t="s">
        <v>231</v>
      </c>
      <c r="W87" s="193" t="s">
        <v>212</v>
      </c>
      <c r="X87" s="193" t="s">
        <v>232</v>
      </c>
      <c r="Y87" s="200">
        <v>3.0</v>
      </c>
      <c r="Z87" s="202" t="s">
        <v>233</v>
      </c>
      <c r="AA87" s="202" t="s">
        <v>234</v>
      </c>
      <c r="AB87" s="221"/>
      <c r="AC87" s="203">
        <v>1000000.0</v>
      </c>
      <c r="AD87" s="204">
        <v>46079.0</v>
      </c>
      <c r="AE87" s="204">
        <v>46107.0</v>
      </c>
      <c r="AF87" s="205"/>
      <c r="AG87" s="219"/>
      <c r="AH87" s="219"/>
      <c r="AI87" s="219"/>
      <c r="AJ87" s="219"/>
      <c r="AK87" s="219"/>
      <c r="AL87" s="219"/>
      <c r="AM87" s="219"/>
      <c r="AN87" s="219"/>
      <c r="AO87" s="219"/>
    </row>
    <row r="88">
      <c r="A88" s="193">
        <v>11200.0</v>
      </c>
      <c r="B88" s="194" t="s">
        <v>203</v>
      </c>
      <c r="C88" s="193">
        <v>2026.0</v>
      </c>
      <c r="D88" s="195">
        <v>2048.0</v>
      </c>
      <c r="E88" s="199"/>
      <c r="F88" s="193" t="s">
        <v>204</v>
      </c>
      <c r="G88" s="230">
        <v>46073.0</v>
      </c>
      <c r="H88" s="193">
        <v>88.0</v>
      </c>
      <c r="I88" s="215">
        <v>46073.0</v>
      </c>
      <c r="J88" s="193" t="s">
        <v>376</v>
      </c>
      <c r="K88" s="193" t="s">
        <v>206</v>
      </c>
      <c r="L88" s="194" t="s">
        <v>144</v>
      </c>
      <c r="M88" s="199"/>
      <c r="N88" s="193" t="s">
        <v>207</v>
      </c>
      <c r="O88" s="193" t="s">
        <v>206</v>
      </c>
      <c r="P88" s="193" t="s">
        <v>244</v>
      </c>
      <c r="Q88" s="199"/>
      <c r="R88" s="193" t="s">
        <v>228</v>
      </c>
      <c r="S88" s="193" t="s">
        <v>46</v>
      </c>
      <c r="T88" s="193" t="s">
        <v>377</v>
      </c>
      <c r="U88" s="193" t="s">
        <v>378</v>
      </c>
      <c r="V88" s="193" t="s">
        <v>155</v>
      </c>
      <c r="W88" s="193" t="s">
        <v>203</v>
      </c>
      <c r="X88" s="193" t="s">
        <v>252</v>
      </c>
      <c r="Y88" s="200">
        <v>3.0</v>
      </c>
      <c r="Z88" s="202" t="s">
        <v>233</v>
      </c>
      <c r="AA88" s="202" t="s">
        <v>215</v>
      </c>
      <c r="AB88" s="203">
        <v>750000.0</v>
      </c>
      <c r="AC88" s="203">
        <v>750000.0</v>
      </c>
      <c r="AD88" s="204">
        <v>46079.0</v>
      </c>
      <c r="AE88" s="204">
        <v>46260.0</v>
      </c>
      <c r="AF88" s="226" t="s">
        <v>379</v>
      </c>
      <c r="AG88" s="219"/>
      <c r="AH88" s="219"/>
      <c r="AI88" s="219"/>
      <c r="AJ88" s="219"/>
      <c r="AK88" s="219"/>
      <c r="AL88" s="219"/>
      <c r="AM88" s="219"/>
      <c r="AN88" s="219"/>
      <c r="AO88" s="219"/>
    </row>
    <row r="89">
      <c r="A89" s="193">
        <v>11220.0</v>
      </c>
      <c r="B89" s="194" t="s">
        <v>203</v>
      </c>
      <c r="C89" s="193">
        <v>2026.0</v>
      </c>
      <c r="D89" s="195">
        <v>2048.0</v>
      </c>
      <c r="E89" s="199"/>
      <c r="F89" s="199"/>
      <c r="G89" s="248"/>
      <c r="H89" s="199"/>
      <c r="I89" s="235"/>
      <c r="J89" s="199"/>
      <c r="K89" s="193" t="s">
        <v>206</v>
      </c>
      <c r="L89" s="194" t="s">
        <v>144</v>
      </c>
      <c r="M89" s="199"/>
      <c r="N89" s="193" t="s">
        <v>227</v>
      </c>
      <c r="O89" s="193" t="s">
        <v>206</v>
      </c>
      <c r="P89" s="193" t="s">
        <v>244</v>
      </c>
      <c r="Q89" s="199"/>
      <c r="R89" s="193" t="s">
        <v>228</v>
      </c>
      <c r="S89" s="193" t="s">
        <v>46</v>
      </c>
      <c r="T89" s="193" t="s">
        <v>320</v>
      </c>
      <c r="U89" s="193" t="s">
        <v>380</v>
      </c>
      <c r="V89" s="193" t="s">
        <v>155</v>
      </c>
      <c r="W89" s="193" t="s">
        <v>203</v>
      </c>
      <c r="X89" s="193" t="s">
        <v>232</v>
      </c>
      <c r="Y89" s="200">
        <v>3.0</v>
      </c>
      <c r="Z89" s="202" t="s">
        <v>233</v>
      </c>
      <c r="AA89" s="202" t="s">
        <v>234</v>
      </c>
      <c r="AB89" s="221"/>
      <c r="AC89" s="203" t="s">
        <v>275</v>
      </c>
      <c r="AD89" s="204">
        <v>46079.0</v>
      </c>
      <c r="AE89" s="204">
        <v>46168.0</v>
      </c>
      <c r="AF89" s="205"/>
      <c r="AG89" s="219"/>
      <c r="AH89" s="219"/>
      <c r="AI89" s="219"/>
      <c r="AJ89" s="219"/>
      <c r="AK89" s="219"/>
      <c r="AL89" s="219"/>
      <c r="AM89" s="219"/>
      <c r="AN89" s="219"/>
      <c r="AO89" s="219"/>
    </row>
    <row r="90">
      <c r="A90" s="193">
        <v>11221.0</v>
      </c>
      <c r="B90" s="194" t="s">
        <v>203</v>
      </c>
      <c r="C90" s="193">
        <v>2026.0</v>
      </c>
      <c r="D90" s="195">
        <v>2048.0</v>
      </c>
      <c r="E90" s="199"/>
      <c r="F90" s="193" t="s">
        <v>204</v>
      </c>
      <c r="G90" s="230">
        <v>46079.0</v>
      </c>
      <c r="H90" s="193">
        <v>666.0</v>
      </c>
      <c r="I90" s="215">
        <v>46247.0</v>
      </c>
      <c r="J90" s="193" t="s">
        <v>243</v>
      </c>
      <c r="K90" s="193" t="s">
        <v>206</v>
      </c>
      <c r="L90" s="194" t="s">
        <v>144</v>
      </c>
      <c r="M90" s="199"/>
      <c r="N90" s="193" t="s">
        <v>227</v>
      </c>
      <c r="O90" s="193" t="s">
        <v>206</v>
      </c>
      <c r="P90" s="193" t="s">
        <v>244</v>
      </c>
      <c r="Q90" s="199"/>
      <c r="R90" s="193" t="s">
        <v>228</v>
      </c>
      <c r="S90" s="193" t="s">
        <v>46</v>
      </c>
      <c r="T90" s="193" t="s">
        <v>245</v>
      </c>
      <c r="U90" s="193" t="s">
        <v>381</v>
      </c>
      <c r="V90" s="193" t="s">
        <v>382</v>
      </c>
      <c r="W90" s="193" t="s">
        <v>203</v>
      </c>
      <c r="X90" s="193" t="s">
        <v>232</v>
      </c>
      <c r="Y90" s="200">
        <v>3.0</v>
      </c>
      <c r="Z90" s="202" t="s">
        <v>214</v>
      </c>
      <c r="AA90" s="202" t="s">
        <v>234</v>
      </c>
      <c r="AB90" s="203">
        <v>53405.82</v>
      </c>
      <c r="AC90" s="203">
        <v>261544.32</v>
      </c>
      <c r="AD90" s="204">
        <v>46079.0</v>
      </c>
      <c r="AE90" s="204">
        <v>46168.0</v>
      </c>
      <c r="AF90" s="205"/>
      <c r="AG90" s="219"/>
      <c r="AH90" s="219"/>
      <c r="AI90" s="219"/>
      <c r="AJ90" s="219"/>
      <c r="AK90" s="219"/>
      <c r="AL90" s="219"/>
      <c r="AM90" s="219"/>
      <c r="AN90" s="219"/>
      <c r="AO90" s="219"/>
    </row>
    <row r="91">
      <c r="A91" s="193">
        <v>11240.0</v>
      </c>
      <c r="B91" s="194" t="s">
        <v>203</v>
      </c>
      <c r="C91" s="193">
        <v>2026.0</v>
      </c>
      <c r="D91" s="195">
        <v>2048.0</v>
      </c>
      <c r="E91" s="193">
        <v>78.0</v>
      </c>
      <c r="F91" s="193" t="s">
        <v>272</v>
      </c>
      <c r="G91" s="248"/>
      <c r="H91" s="199"/>
      <c r="I91" s="235"/>
      <c r="J91" s="199"/>
      <c r="K91" s="193" t="s">
        <v>206</v>
      </c>
      <c r="L91" s="194" t="s">
        <v>144</v>
      </c>
      <c r="M91" s="199"/>
      <c r="N91" s="193" t="s">
        <v>227</v>
      </c>
      <c r="O91" s="193" t="s">
        <v>206</v>
      </c>
      <c r="P91" s="193" t="s">
        <v>244</v>
      </c>
      <c r="Q91" s="199"/>
      <c r="R91" s="193" t="s">
        <v>228</v>
      </c>
      <c r="S91" s="193" t="s">
        <v>46</v>
      </c>
      <c r="T91" s="193" t="s">
        <v>245</v>
      </c>
      <c r="U91" s="193" t="s">
        <v>383</v>
      </c>
      <c r="V91" s="193" t="s">
        <v>155</v>
      </c>
      <c r="W91" s="193" t="s">
        <v>203</v>
      </c>
      <c r="X91" s="193" t="s">
        <v>232</v>
      </c>
      <c r="Y91" s="200">
        <v>3.0</v>
      </c>
      <c r="Z91" s="202" t="s">
        <v>214</v>
      </c>
      <c r="AA91" s="202" t="s">
        <v>234</v>
      </c>
      <c r="AB91" s="221"/>
      <c r="AC91" s="203" t="s">
        <v>275</v>
      </c>
      <c r="AD91" s="249">
        <v>46291.0</v>
      </c>
      <c r="AE91" s="251">
        <v>46200.0</v>
      </c>
      <c r="AF91" s="226" t="s">
        <v>317</v>
      </c>
      <c r="AG91" s="219"/>
      <c r="AH91" s="219"/>
      <c r="AI91" s="219"/>
      <c r="AJ91" s="219"/>
      <c r="AK91" s="219"/>
      <c r="AL91" s="219"/>
      <c r="AM91" s="219"/>
      <c r="AN91" s="219"/>
      <c r="AO91" s="219"/>
    </row>
    <row r="92">
      <c r="A92" s="193">
        <v>11260.0</v>
      </c>
      <c r="B92" s="194" t="s">
        <v>203</v>
      </c>
      <c r="C92" s="193">
        <v>2026.0</v>
      </c>
      <c r="D92" s="195">
        <v>2048.0</v>
      </c>
      <c r="E92" s="199"/>
      <c r="F92" s="193" t="s">
        <v>272</v>
      </c>
      <c r="G92" s="253"/>
      <c r="H92" s="199"/>
      <c r="I92" s="253"/>
      <c r="J92" s="199"/>
      <c r="K92" s="193" t="s">
        <v>206</v>
      </c>
      <c r="L92" s="194" t="s">
        <v>144</v>
      </c>
      <c r="M92" s="199"/>
      <c r="N92" s="193" t="s">
        <v>227</v>
      </c>
      <c r="O92" s="193" t="s">
        <v>206</v>
      </c>
      <c r="P92" s="193" t="s">
        <v>244</v>
      </c>
      <c r="Q92" s="199"/>
      <c r="R92" s="193" t="s">
        <v>228</v>
      </c>
      <c r="S92" s="193" t="s">
        <v>46</v>
      </c>
      <c r="T92" s="193" t="s">
        <v>245</v>
      </c>
      <c r="U92" s="193" t="s">
        <v>384</v>
      </c>
      <c r="V92" s="193" t="s">
        <v>155</v>
      </c>
      <c r="W92" s="193" t="s">
        <v>203</v>
      </c>
      <c r="X92" s="193" t="s">
        <v>232</v>
      </c>
      <c r="Y92" s="200">
        <v>3.0</v>
      </c>
      <c r="Z92" s="202" t="s">
        <v>214</v>
      </c>
      <c r="AA92" s="202" t="s">
        <v>234</v>
      </c>
      <c r="AB92" s="221"/>
      <c r="AC92" s="203" t="s">
        <v>275</v>
      </c>
      <c r="AD92" s="249">
        <v>46291.0</v>
      </c>
      <c r="AE92" s="251">
        <v>46200.0</v>
      </c>
      <c r="AF92" s="226" t="s">
        <v>385</v>
      </c>
      <c r="AG92" s="219"/>
      <c r="AH92" s="219"/>
      <c r="AI92" s="219"/>
      <c r="AJ92" s="219"/>
      <c r="AK92" s="219"/>
      <c r="AL92" s="219"/>
      <c r="AM92" s="219"/>
      <c r="AN92" s="219"/>
      <c r="AO92" s="219"/>
    </row>
    <row r="93">
      <c r="A93" s="193">
        <v>11280.0</v>
      </c>
      <c r="B93" s="194" t="s">
        <v>203</v>
      </c>
      <c r="C93" s="193">
        <v>2026.0</v>
      </c>
      <c r="D93" s="195">
        <v>2048.0</v>
      </c>
      <c r="E93" s="193">
        <v>81.0</v>
      </c>
      <c r="F93" s="193" t="s">
        <v>272</v>
      </c>
      <c r="G93" s="253"/>
      <c r="H93" s="199"/>
      <c r="I93" s="253"/>
      <c r="J93" s="199"/>
      <c r="K93" s="193" t="s">
        <v>206</v>
      </c>
      <c r="L93" s="194" t="s">
        <v>144</v>
      </c>
      <c r="M93" s="199"/>
      <c r="N93" s="193" t="s">
        <v>227</v>
      </c>
      <c r="O93" s="193" t="s">
        <v>206</v>
      </c>
      <c r="P93" s="193" t="s">
        <v>244</v>
      </c>
      <c r="Q93" s="199"/>
      <c r="R93" s="193" t="s">
        <v>228</v>
      </c>
      <c r="S93" s="193" t="s">
        <v>46</v>
      </c>
      <c r="T93" s="193" t="s">
        <v>245</v>
      </c>
      <c r="U93" s="193" t="s">
        <v>386</v>
      </c>
      <c r="V93" s="193" t="s">
        <v>155</v>
      </c>
      <c r="W93" s="193" t="s">
        <v>203</v>
      </c>
      <c r="X93" s="193" t="s">
        <v>232</v>
      </c>
      <c r="Y93" s="200">
        <v>3.0</v>
      </c>
      <c r="Z93" s="202" t="s">
        <v>214</v>
      </c>
      <c r="AA93" s="202" t="s">
        <v>234</v>
      </c>
      <c r="AB93" s="221"/>
      <c r="AC93" s="203" t="s">
        <v>275</v>
      </c>
      <c r="AD93" s="249">
        <v>46291.0</v>
      </c>
      <c r="AE93" s="251">
        <v>46200.0</v>
      </c>
      <c r="AF93" s="226" t="s">
        <v>317</v>
      </c>
      <c r="AG93" s="219"/>
      <c r="AH93" s="219"/>
      <c r="AI93" s="219"/>
      <c r="AJ93" s="219"/>
      <c r="AK93" s="219"/>
      <c r="AL93" s="219"/>
      <c r="AM93" s="219"/>
      <c r="AN93" s="219"/>
      <c r="AO93" s="219"/>
    </row>
    <row r="94">
      <c r="A94" s="193">
        <v>11300.0</v>
      </c>
      <c r="B94" s="194" t="s">
        <v>203</v>
      </c>
      <c r="C94" s="193">
        <v>2026.0</v>
      </c>
      <c r="D94" s="195">
        <v>2048.0</v>
      </c>
      <c r="E94" s="199"/>
      <c r="F94" s="193" t="s">
        <v>204</v>
      </c>
      <c r="G94" s="215">
        <v>46205.0</v>
      </c>
      <c r="H94" s="193">
        <v>529.0</v>
      </c>
      <c r="I94" s="215">
        <v>46205.0</v>
      </c>
      <c r="J94" s="193" t="s">
        <v>307</v>
      </c>
      <c r="K94" s="193" t="s">
        <v>206</v>
      </c>
      <c r="L94" s="194" t="s">
        <v>144</v>
      </c>
      <c r="M94" s="199"/>
      <c r="N94" s="193" t="s">
        <v>227</v>
      </c>
      <c r="O94" s="193" t="s">
        <v>206</v>
      </c>
      <c r="P94" s="193" t="s">
        <v>206</v>
      </c>
      <c r="Q94" s="199"/>
      <c r="R94" s="193" t="s">
        <v>208</v>
      </c>
      <c r="S94" s="193" t="s">
        <v>39</v>
      </c>
      <c r="T94" s="193" t="s">
        <v>229</v>
      </c>
      <c r="U94" s="193" t="s">
        <v>387</v>
      </c>
      <c r="V94" s="193" t="s">
        <v>231</v>
      </c>
      <c r="W94" s="193" t="s">
        <v>212</v>
      </c>
      <c r="X94" s="193" t="s">
        <v>232</v>
      </c>
      <c r="Y94" s="200">
        <v>3.0</v>
      </c>
      <c r="Z94" s="202" t="s">
        <v>233</v>
      </c>
      <c r="AA94" s="202" t="s">
        <v>234</v>
      </c>
      <c r="AB94" s="203">
        <v>26315.77</v>
      </c>
      <c r="AC94" s="203">
        <v>136026.22</v>
      </c>
      <c r="AD94" s="204">
        <v>46229.0</v>
      </c>
      <c r="AE94" s="204">
        <v>46260.0</v>
      </c>
      <c r="AF94" s="226" t="s">
        <v>388</v>
      </c>
      <c r="AG94" s="219"/>
      <c r="AH94" s="219"/>
      <c r="AI94" s="219"/>
      <c r="AJ94" s="219"/>
      <c r="AK94" s="219"/>
      <c r="AL94" s="219"/>
      <c r="AM94" s="219"/>
      <c r="AN94" s="219"/>
      <c r="AO94" s="219"/>
    </row>
    <row r="95">
      <c r="A95" s="193">
        <v>11320.0</v>
      </c>
      <c r="B95" s="194" t="s">
        <v>203</v>
      </c>
      <c r="C95" s="193">
        <v>2026.0</v>
      </c>
      <c r="D95" s="229" t="s">
        <v>258</v>
      </c>
      <c r="E95" s="199"/>
      <c r="F95" s="193" t="s">
        <v>204</v>
      </c>
      <c r="G95" s="215">
        <v>46176.0</v>
      </c>
      <c r="H95" s="193">
        <v>394.0</v>
      </c>
      <c r="I95" s="215">
        <v>46176.0</v>
      </c>
      <c r="J95" s="193" t="s">
        <v>389</v>
      </c>
      <c r="K95" s="193" t="s">
        <v>206</v>
      </c>
      <c r="L95" s="194" t="s">
        <v>144</v>
      </c>
      <c r="M95" s="199"/>
      <c r="N95" s="193" t="s">
        <v>227</v>
      </c>
      <c r="O95" s="193" t="s">
        <v>206</v>
      </c>
      <c r="P95" s="193" t="s">
        <v>244</v>
      </c>
      <c r="Q95" s="199"/>
      <c r="R95" s="193" t="s">
        <v>208</v>
      </c>
      <c r="S95" s="193" t="s">
        <v>39</v>
      </c>
      <c r="T95" s="193" t="s">
        <v>390</v>
      </c>
      <c r="U95" s="193" t="s">
        <v>391</v>
      </c>
      <c r="V95" s="193" t="s">
        <v>155</v>
      </c>
      <c r="W95" s="193" t="s">
        <v>203</v>
      </c>
      <c r="X95" s="193" t="s">
        <v>252</v>
      </c>
      <c r="Y95" s="200">
        <v>3.0</v>
      </c>
      <c r="Z95" s="202" t="s">
        <v>214</v>
      </c>
      <c r="AA95" s="202" t="s">
        <v>234</v>
      </c>
      <c r="AB95" s="221"/>
      <c r="AC95" s="203">
        <v>2835685.74</v>
      </c>
      <c r="AD95" s="204">
        <v>46199.0</v>
      </c>
      <c r="AE95" s="204">
        <v>46260.0</v>
      </c>
      <c r="AF95" s="205"/>
      <c r="AG95" s="219"/>
      <c r="AH95" s="219"/>
      <c r="AI95" s="219"/>
      <c r="AJ95" s="219"/>
      <c r="AK95" s="219"/>
      <c r="AL95" s="219"/>
      <c r="AM95" s="219"/>
      <c r="AN95" s="219"/>
      <c r="AO95" s="219"/>
    </row>
    <row r="96">
      <c r="A96" s="193">
        <v>11321.0</v>
      </c>
      <c r="B96" s="194" t="s">
        <v>203</v>
      </c>
      <c r="C96" s="193">
        <v>2026.0</v>
      </c>
      <c r="D96" s="193" t="s">
        <v>392</v>
      </c>
      <c r="E96" s="199"/>
      <c r="F96" s="193" t="s">
        <v>204</v>
      </c>
      <c r="G96" s="230">
        <v>46176.0</v>
      </c>
      <c r="H96" s="193">
        <v>382.0</v>
      </c>
      <c r="I96" s="215">
        <v>46176.0</v>
      </c>
      <c r="J96" s="193" t="s">
        <v>393</v>
      </c>
      <c r="K96" s="193" t="s">
        <v>206</v>
      </c>
      <c r="L96" s="194" t="s">
        <v>144</v>
      </c>
      <c r="M96" s="199"/>
      <c r="N96" s="193" t="s">
        <v>227</v>
      </c>
      <c r="O96" s="193" t="s">
        <v>206</v>
      </c>
      <c r="P96" s="193" t="s">
        <v>244</v>
      </c>
      <c r="Q96" s="199"/>
      <c r="R96" s="193" t="s">
        <v>312</v>
      </c>
      <c r="S96" s="193" t="s">
        <v>39</v>
      </c>
      <c r="T96" s="193" t="s">
        <v>390</v>
      </c>
      <c r="U96" s="193" t="s">
        <v>391</v>
      </c>
      <c r="V96" s="193" t="s">
        <v>155</v>
      </c>
      <c r="W96" s="193" t="s">
        <v>203</v>
      </c>
      <c r="X96" s="193" t="s">
        <v>252</v>
      </c>
      <c r="Y96" s="200">
        <v>3.0</v>
      </c>
      <c r="Z96" s="202" t="s">
        <v>214</v>
      </c>
      <c r="AA96" s="202" t="s">
        <v>234</v>
      </c>
      <c r="AB96" s="221"/>
      <c r="AC96" s="203">
        <v>2063195.79</v>
      </c>
      <c r="AD96" s="204">
        <v>46199.0</v>
      </c>
      <c r="AE96" s="204">
        <v>46260.0</v>
      </c>
      <c r="AF96" s="205"/>
      <c r="AG96" s="219"/>
      <c r="AH96" s="219"/>
      <c r="AI96" s="219"/>
      <c r="AJ96" s="219"/>
      <c r="AK96" s="219"/>
      <c r="AL96" s="219"/>
      <c r="AM96" s="219"/>
      <c r="AN96" s="219"/>
      <c r="AO96" s="219"/>
    </row>
    <row r="97">
      <c r="A97" s="193">
        <v>11322.0</v>
      </c>
      <c r="B97" s="194" t="s">
        <v>203</v>
      </c>
      <c r="C97" s="193">
        <v>2026.0</v>
      </c>
      <c r="D97" s="193" t="s">
        <v>394</v>
      </c>
      <c r="E97" s="199"/>
      <c r="F97" s="193" t="s">
        <v>204</v>
      </c>
      <c r="G97" s="245">
        <v>46176.0</v>
      </c>
      <c r="H97" s="193">
        <v>383.0</v>
      </c>
      <c r="I97" s="245">
        <v>46176.0</v>
      </c>
      <c r="J97" s="193" t="s">
        <v>393</v>
      </c>
      <c r="K97" s="193" t="s">
        <v>206</v>
      </c>
      <c r="L97" s="194" t="s">
        <v>144</v>
      </c>
      <c r="M97" s="199"/>
      <c r="N97" s="193" t="s">
        <v>227</v>
      </c>
      <c r="O97" s="193" t="s">
        <v>206</v>
      </c>
      <c r="P97" s="193" t="s">
        <v>244</v>
      </c>
      <c r="Q97" s="199"/>
      <c r="R97" s="193" t="s">
        <v>312</v>
      </c>
      <c r="S97" s="193" t="s">
        <v>39</v>
      </c>
      <c r="T97" s="193" t="s">
        <v>390</v>
      </c>
      <c r="U97" s="193" t="s">
        <v>391</v>
      </c>
      <c r="V97" s="193" t="s">
        <v>155</v>
      </c>
      <c r="W97" s="193" t="s">
        <v>203</v>
      </c>
      <c r="X97" s="193" t="s">
        <v>252</v>
      </c>
      <c r="Y97" s="200">
        <v>3.0</v>
      </c>
      <c r="Z97" s="202" t="s">
        <v>214</v>
      </c>
      <c r="AA97" s="202" t="s">
        <v>234</v>
      </c>
      <c r="AB97" s="221"/>
      <c r="AC97" s="203">
        <v>478271.48</v>
      </c>
      <c r="AD97" s="204">
        <v>46199.0</v>
      </c>
      <c r="AE97" s="204">
        <v>46260.0</v>
      </c>
      <c r="AF97" s="205"/>
      <c r="AG97" s="219"/>
      <c r="AH97" s="219"/>
      <c r="AI97" s="219"/>
      <c r="AJ97" s="219"/>
      <c r="AK97" s="219"/>
      <c r="AL97" s="219"/>
      <c r="AM97" s="219"/>
      <c r="AN97" s="219"/>
      <c r="AO97" s="219"/>
    </row>
    <row r="98">
      <c r="A98" s="193">
        <v>11323.0</v>
      </c>
      <c r="B98" s="194" t="s">
        <v>203</v>
      </c>
      <c r="C98" s="193">
        <v>2026.0</v>
      </c>
      <c r="D98" s="193" t="s">
        <v>395</v>
      </c>
      <c r="E98" s="199"/>
      <c r="F98" s="193" t="s">
        <v>204</v>
      </c>
      <c r="G98" s="198">
        <v>46176.0</v>
      </c>
      <c r="H98" s="193">
        <v>384.0</v>
      </c>
      <c r="I98" s="198">
        <v>46176.0</v>
      </c>
      <c r="J98" s="193" t="s">
        <v>393</v>
      </c>
      <c r="K98" s="193" t="s">
        <v>206</v>
      </c>
      <c r="L98" s="194" t="s">
        <v>144</v>
      </c>
      <c r="M98" s="199"/>
      <c r="N98" s="193" t="s">
        <v>227</v>
      </c>
      <c r="O98" s="193" t="s">
        <v>206</v>
      </c>
      <c r="P98" s="193" t="s">
        <v>244</v>
      </c>
      <c r="Q98" s="199"/>
      <c r="R98" s="193" t="s">
        <v>312</v>
      </c>
      <c r="S98" s="193" t="s">
        <v>39</v>
      </c>
      <c r="T98" s="193" t="s">
        <v>390</v>
      </c>
      <c r="U98" s="193" t="s">
        <v>391</v>
      </c>
      <c r="V98" s="193" t="s">
        <v>155</v>
      </c>
      <c r="W98" s="193" t="s">
        <v>203</v>
      </c>
      <c r="X98" s="193" t="s">
        <v>252</v>
      </c>
      <c r="Y98" s="200">
        <v>3.0</v>
      </c>
      <c r="Z98" s="202" t="s">
        <v>214</v>
      </c>
      <c r="AA98" s="202" t="s">
        <v>234</v>
      </c>
      <c r="AB98" s="221"/>
      <c r="AC98" s="203">
        <v>55298.61</v>
      </c>
      <c r="AD98" s="204">
        <v>46199.0</v>
      </c>
      <c r="AE98" s="204">
        <v>46260.0</v>
      </c>
      <c r="AF98" s="205"/>
      <c r="AG98" s="219"/>
      <c r="AH98" s="219"/>
      <c r="AI98" s="219"/>
      <c r="AJ98" s="219"/>
      <c r="AK98" s="219"/>
      <c r="AL98" s="219"/>
      <c r="AM98" s="219"/>
      <c r="AN98" s="219"/>
      <c r="AO98" s="219"/>
    </row>
    <row r="99">
      <c r="A99" s="193">
        <v>11324.0</v>
      </c>
      <c r="B99" s="194" t="s">
        <v>203</v>
      </c>
      <c r="C99" s="193">
        <v>2026.0</v>
      </c>
      <c r="D99" s="193" t="s">
        <v>396</v>
      </c>
      <c r="E99" s="199"/>
      <c r="F99" s="193" t="s">
        <v>204</v>
      </c>
      <c r="G99" s="215">
        <v>46176.0</v>
      </c>
      <c r="H99" s="193">
        <v>385.0</v>
      </c>
      <c r="I99" s="215">
        <v>46176.0</v>
      </c>
      <c r="J99" s="193" t="s">
        <v>304</v>
      </c>
      <c r="K99" s="193" t="s">
        <v>206</v>
      </c>
      <c r="L99" s="194" t="s">
        <v>144</v>
      </c>
      <c r="M99" s="199"/>
      <c r="N99" s="193" t="s">
        <v>227</v>
      </c>
      <c r="O99" s="193" t="s">
        <v>206</v>
      </c>
      <c r="P99" s="193" t="s">
        <v>244</v>
      </c>
      <c r="Q99" s="199"/>
      <c r="R99" s="193" t="s">
        <v>397</v>
      </c>
      <c r="S99" s="193" t="s">
        <v>39</v>
      </c>
      <c r="T99" s="193" t="s">
        <v>390</v>
      </c>
      <c r="U99" s="193" t="s">
        <v>391</v>
      </c>
      <c r="V99" s="193" t="s">
        <v>155</v>
      </c>
      <c r="W99" s="193" t="s">
        <v>203</v>
      </c>
      <c r="X99" s="193" t="s">
        <v>252</v>
      </c>
      <c r="Y99" s="200">
        <v>3.0</v>
      </c>
      <c r="Z99" s="202" t="s">
        <v>214</v>
      </c>
      <c r="AA99" s="202" t="s">
        <v>234</v>
      </c>
      <c r="AB99" s="221"/>
      <c r="AC99" s="203">
        <v>35301.14</v>
      </c>
      <c r="AD99" s="204">
        <v>46199.0</v>
      </c>
      <c r="AE99" s="204">
        <v>46260.0</v>
      </c>
      <c r="AF99" s="205"/>
      <c r="AG99" s="219"/>
      <c r="AH99" s="219"/>
      <c r="AI99" s="219"/>
      <c r="AJ99" s="219"/>
      <c r="AK99" s="219"/>
      <c r="AL99" s="219"/>
      <c r="AM99" s="219"/>
      <c r="AN99" s="219"/>
      <c r="AO99" s="219"/>
    </row>
    <row r="100">
      <c r="A100" s="193">
        <v>11325.0</v>
      </c>
      <c r="B100" s="194" t="s">
        <v>203</v>
      </c>
      <c r="C100" s="193">
        <v>2026.0</v>
      </c>
      <c r="D100" s="193" t="s">
        <v>398</v>
      </c>
      <c r="E100" s="199"/>
      <c r="F100" s="193" t="s">
        <v>204</v>
      </c>
      <c r="G100" s="198">
        <v>46134.0</v>
      </c>
      <c r="H100" s="193">
        <v>310.0</v>
      </c>
      <c r="I100" s="198">
        <v>46134.0</v>
      </c>
      <c r="J100" s="193" t="s">
        <v>393</v>
      </c>
      <c r="K100" s="193" t="s">
        <v>206</v>
      </c>
      <c r="L100" s="194" t="s">
        <v>144</v>
      </c>
      <c r="M100" s="199"/>
      <c r="N100" s="193" t="s">
        <v>227</v>
      </c>
      <c r="O100" s="193" t="s">
        <v>206</v>
      </c>
      <c r="P100" s="193" t="s">
        <v>244</v>
      </c>
      <c r="Q100" s="199"/>
      <c r="R100" s="193" t="s">
        <v>312</v>
      </c>
      <c r="S100" s="193" t="s">
        <v>39</v>
      </c>
      <c r="T100" s="193" t="s">
        <v>390</v>
      </c>
      <c r="U100" s="193" t="s">
        <v>391</v>
      </c>
      <c r="V100" s="193" t="s">
        <v>155</v>
      </c>
      <c r="W100" s="193" t="s">
        <v>203</v>
      </c>
      <c r="X100" s="193" t="s">
        <v>252</v>
      </c>
      <c r="Y100" s="200">
        <v>3.0</v>
      </c>
      <c r="Z100" s="202" t="s">
        <v>214</v>
      </c>
      <c r="AA100" s="202" t="s">
        <v>234</v>
      </c>
      <c r="AB100" s="221"/>
      <c r="AC100" s="203">
        <v>1200000.0</v>
      </c>
      <c r="AD100" s="258">
        <v>46138.0</v>
      </c>
      <c r="AE100" s="204">
        <v>46168.0</v>
      </c>
      <c r="AF100" s="226" t="s">
        <v>399</v>
      </c>
      <c r="AG100" s="219"/>
      <c r="AH100" s="219"/>
      <c r="AI100" s="219"/>
      <c r="AJ100" s="219"/>
      <c r="AK100" s="219"/>
      <c r="AL100" s="219"/>
      <c r="AM100" s="219"/>
      <c r="AN100" s="219"/>
      <c r="AO100" s="219"/>
    </row>
    <row r="101">
      <c r="A101" s="193">
        <v>11326.0</v>
      </c>
      <c r="B101" s="194" t="s">
        <v>203</v>
      </c>
      <c r="C101" s="193">
        <v>2026.0</v>
      </c>
      <c r="D101" s="193" t="s">
        <v>400</v>
      </c>
      <c r="E101" s="199"/>
      <c r="F101" s="193" t="s">
        <v>204</v>
      </c>
      <c r="G101" s="198">
        <v>46146.0</v>
      </c>
      <c r="H101" s="193">
        <v>332.0</v>
      </c>
      <c r="I101" s="223">
        <v>46146.0</v>
      </c>
      <c r="J101" s="193" t="s">
        <v>304</v>
      </c>
      <c r="K101" s="193" t="s">
        <v>206</v>
      </c>
      <c r="L101" s="194" t="s">
        <v>144</v>
      </c>
      <c r="M101" s="199"/>
      <c r="N101" s="193" t="s">
        <v>227</v>
      </c>
      <c r="O101" s="193" t="s">
        <v>206</v>
      </c>
      <c r="P101" s="193" t="s">
        <v>244</v>
      </c>
      <c r="Q101" s="199"/>
      <c r="R101" s="193" t="s">
        <v>397</v>
      </c>
      <c r="S101" s="193" t="s">
        <v>39</v>
      </c>
      <c r="T101" s="193" t="s">
        <v>390</v>
      </c>
      <c r="U101" s="193" t="s">
        <v>391</v>
      </c>
      <c r="V101" s="193" t="s">
        <v>155</v>
      </c>
      <c r="W101" s="193" t="s">
        <v>203</v>
      </c>
      <c r="X101" s="193" t="s">
        <v>252</v>
      </c>
      <c r="Y101" s="200">
        <v>3.0</v>
      </c>
      <c r="Z101" s="202" t="s">
        <v>214</v>
      </c>
      <c r="AA101" s="202" t="s">
        <v>234</v>
      </c>
      <c r="AB101" s="221"/>
      <c r="AC101" s="203">
        <v>1255102.0</v>
      </c>
      <c r="AD101" s="204">
        <v>46168.0</v>
      </c>
      <c r="AE101" s="204">
        <v>46168.0</v>
      </c>
      <c r="AF101" s="205"/>
      <c r="AG101" s="219"/>
      <c r="AH101" s="219"/>
      <c r="AI101" s="219"/>
      <c r="AJ101" s="219"/>
      <c r="AK101" s="219"/>
      <c r="AL101" s="219"/>
      <c r="AM101" s="219"/>
      <c r="AN101" s="219"/>
      <c r="AO101" s="219"/>
    </row>
    <row r="102">
      <c r="A102" s="193">
        <v>11327.0</v>
      </c>
      <c r="B102" s="194" t="s">
        <v>203</v>
      </c>
      <c r="C102" s="193">
        <v>2026.0</v>
      </c>
      <c r="D102" s="193" t="s">
        <v>401</v>
      </c>
      <c r="E102" s="199"/>
      <c r="F102" s="193" t="s">
        <v>204</v>
      </c>
      <c r="G102" s="230">
        <v>46176.0</v>
      </c>
      <c r="H102" s="193">
        <v>386.0</v>
      </c>
      <c r="I102" s="198">
        <v>46176.0</v>
      </c>
      <c r="J102" s="193" t="s">
        <v>304</v>
      </c>
      <c r="K102" s="193" t="s">
        <v>206</v>
      </c>
      <c r="L102" s="194" t="s">
        <v>144</v>
      </c>
      <c r="M102" s="199"/>
      <c r="N102" s="193" t="s">
        <v>227</v>
      </c>
      <c r="O102" s="193" t="s">
        <v>206</v>
      </c>
      <c r="P102" s="193" t="s">
        <v>244</v>
      </c>
      <c r="Q102" s="199"/>
      <c r="R102" s="193" t="s">
        <v>397</v>
      </c>
      <c r="S102" s="193" t="s">
        <v>39</v>
      </c>
      <c r="T102" s="193" t="s">
        <v>390</v>
      </c>
      <c r="U102" s="193" t="s">
        <v>391</v>
      </c>
      <c r="V102" s="193" t="s">
        <v>155</v>
      </c>
      <c r="W102" s="193" t="s">
        <v>203</v>
      </c>
      <c r="X102" s="193" t="s">
        <v>252</v>
      </c>
      <c r="Y102" s="200">
        <v>3.0</v>
      </c>
      <c r="Z102" s="202" t="s">
        <v>214</v>
      </c>
      <c r="AA102" s="202" t="s">
        <v>234</v>
      </c>
      <c r="AB102" s="221"/>
      <c r="AC102" s="203">
        <v>65142.46</v>
      </c>
      <c r="AD102" s="204">
        <v>46199.0</v>
      </c>
      <c r="AE102" s="204">
        <v>46260.0</v>
      </c>
      <c r="AF102" s="205"/>
      <c r="AG102" s="219"/>
      <c r="AH102" s="219"/>
      <c r="AI102" s="219"/>
      <c r="AJ102" s="219"/>
      <c r="AK102" s="219"/>
      <c r="AL102" s="219"/>
      <c r="AM102" s="219"/>
      <c r="AN102" s="219"/>
      <c r="AO102" s="219"/>
    </row>
    <row r="103">
      <c r="A103" s="193">
        <v>11328.0</v>
      </c>
      <c r="B103" s="194" t="s">
        <v>203</v>
      </c>
      <c r="C103" s="193">
        <v>2026.0</v>
      </c>
      <c r="D103" s="193" t="s">
        <v>402</v>
      </c>
      <c r="E103" s="199"/>
      <c r="F103" s="193" t="s">
        <v>204</v>
      </c>
      <c r="G103" s="230">
        <v>46176.0</v>
      </c>
      <c r="H103" s="193">
        <v>387.0</v>
      </c>
      <c r="I103" s="215">
        <v>46176.0</v>
      </c>
      <c r="J103" s="193" t="s">
        <v>304</v>
      </c>
      <c r="K103" s="193" t="s">
        <v>206</v>
      </c>
      <c r="L103" s="194" t="s">
        <v>144</v>
      </c>
      <c r="M103" s="199"/>
      <c r="N103" s="193" t="s">
        <v>227</v>
      </c>
      <c r="O103" s="193" t="s">
        <v>206</v>
      </c>
      <c r="P103" s="193" t="s">
        <v>244</v>
      </c>
      <c r="Q103" s="199"/>
      <c r="R103" s="193" t="s">
        <v>397</v>
      </c>
      <c r="S103" s="193" t="s">
        <v>39</v>
      </c>
      <c r="T103" s="193" t="s">
        <v>390</v>
      </c>
      <c r="U103" s="193" t="s">
        <v>391</v>
      </c>
      <c r="V103" s="193" t="s">
        <v>155</v>
      </c>
      <c r="W103" s="193" t="s">
        <v>203</v>
      </c>
      <c r="X103" s="193" t="s">
        <v>252</v>
      </c>
      <c r="Y103" s="200">
        <v>3.0</v>
      </c>
      <c r="Z103" s="202" t="s">
        <v>214</v>
      </c>
      <c r="AA103" s="202" t="s">
        <v>234</v>
      </c>
      <c r="AB103" s="221"/>
      <c r="AC103" s="203">
        <v>12002.78</v>
      </c>
      <c r="AD103" s="204">
        <v>46199.0</v>
      </c>
      <c r="AE103" s="204">
        <v>46260.0</v>
      </c>
      <c r="AF103" s="205"/>
      <c r="AG103" s="219"/>
      <c r="AH103" s="219"/>
      <c r="AI103" s="219"/>
      <c r="AJ103" s="219"/>
      <c r="AK103" s="219"/>
      <c r="AL103" s="219"/>
      <c r="AM103" s="219"/>
      <c r="AN103" s="219"/>
      <c r="AO103" s="219"/>
    </row>
    <row r="104">
      <c r="A104" s="193">
        <v>11340.0</v>
      </c>
      <c r="B104" s="194" t="s">
        <v>203</v>
      </c>
      <c r="C104" s="193">
        <v>2026.0</v>
      </c>
      <c r="D104" s="229" t="s">
        <v>258</v>
      </c>
      <c r="E104" s="199"/>
      <c r="F104" s="193" t="s">
        <v>204</v>
      </c>
      <c r="G104" s="264">
        <v>46176.0</v>
      </c>
      <c r="H104" s="193">
        <v>394.0</v>
      </c>
      <c r="I104" s="265">
        <v>46176.0</v>
      </c>
      <c r="J104" s="193" t="s">
        <v>389</v>
      </c>
      <c r="K104" s="193" t="s">
        <v>206</v>
      </c>
      <c r="L104" s="194" t="s">
        <v>144</v>
      </c>
      <c r="M104" s="199"/>
      <c r="N104" s="193" t="s">
        <v>227</v>
      </c>
      <c r="O104" s="193" t="s">
        <v>206</v>
      </c>
      <c r="P104" s="193" t="s">
        <v>244</v>
      </c>
      <c r="Q104" s="199"/>
      <c r="R104" s="193" t="s">
        <v>208</v>
      </c>
      <c r="S104" s="193" t="s">
        <v>39</v>
      </c>
      <c r="T104" s="193" t="s">
        <v>390</v>
      </c>
      <c r="U104" s="193" t="s">
        <v>403</v>
      </c>
      <c r="V104" s="193" t="s">
        <v>155</v>
      </c>
      <c r="W104" s="193" t="s">
        <v>203</v>
      </c>
      <c r="X104" s="193" t="s">
        <v>252</v>
      </c>
      <c r="Y104" s="200">
        <v>3.0</v>
      </c>
      <c r="Z104" s="202" t="s">
        <v>214</v>
      </c>
      <c r="AA104" s="202" t="s">
        <v>234</v>
      </c>
      <c r="AB104" s="221"/>
      <c r="AC104" s="203">
        <v>8000000.0</v>
      </c>
      <c r="AD104" s="204">
        <v>46199.0</v>
      </c>
      <c r="AE104" s="204">
        <v>46260.0</v>
      </c>
      <c r="AF104" s="205"/>
      <c r="AG104" s="219"/>
      <c r="AH104" s="219"/>
      <c r="AI104" s="219"/>
      <c r="AJ104" s="219"/>
      <c r="AK104" s="219"/>
      <c r="AL104" s="219"/>
      <c r="AM104" s="219"/>
      <c r="AN104" s="219"/>
      <c r="AO104" s="219"/>
    </row>
    <row r="105">
      <c r="A105" s="193">
        <v>11360.0</v>
      </c>
      <c r="B105" s="194" t="s">
        <v>203</v>
      </c>
      <c r="C105" s="193">
        <v>2026.0</v>
      </c>
      <c r="D105" s="195">
        <v>2048.0</v>
      </c>
      <c r="E105" s="199"/>
      <c r="F105" s="193" t="s">
        <v>204</v>
      </c>
      <c r="G105" s="197">
        <v>46121.0</v>
      </c>
      <c r="H105" s="208">
        <v>259.0</v>
      </c>
      <c r="I105" s="197">
        <v>46121.0</v>
      </c>
      <c r="J105" s="208" t="s">
        <v>404</v>
      </c>
      <c r="K105" s="193" t="s">
        <v>206</v>
      </c>
      <c r="L105" s="194" t="s">
        <v>144</v>
      </c>
      <c r="M105" s="199"/>
      <c r="N105" s="193" t="s">
        <v>207</v>
      </c>
      <c r="O105" s="193" t="s">
        <v>206</v>
      </c>
      <c r="P105" s="193" t="s">
        <v>244</v>
      </c>
      <c r="Q105" s="199"/>
      <c r="R105" s="193" t="s">
        <v>208</v>
      </c>
      <c r="S105" s="193" t="s">
        <v>39</v>
      </c>
      <c r="T105" s="193" t="s">
        <v>250</v>
      </c>
      <c r="U105" s="193" t="s">
        <v>405</v>
      </c>
      <c r="V105" s="193" t="s">
        <v>155</v>
      </c>
      <c r="W105" s="193" t="s">
        <v>203</v>
      </c>
      <c r="X105" s="193" t="s">
        <v>252</v>
      </c>
      <c r="Y105" s="200">
        <v>3.0</v>
      </c>
      <c r="Z105" s="202" t="s">
        <v>214</v>
      </c>
      <c r="AA105" s="202" t="s">
        <v>215</v>
      </c>
      <c r="AB105" s="203">
        <v>1800000.0</v>
      </c>
      <c r="AC105" s="203">
        <v>1800000.0</v>
      </c>
      <c r="AD105" s="258">
        <v>46138.0</v>
      </c>
      <c r="AE105" s="247">
        <v>46199.0</v>
      </c>
      <c r="AF105" s="205"/>
      <c r="AG105" s="219"/>
      <c r="AH105" s="219"/>
      <c r="AI105" s="219"/>
      <c r="AJ105" s="219"/>
      <c r="AK105" s="219"/>
      <c r="AL105" s="219"/>
      <c r="AM105" s="219"/>
      <c r="AN105" s="219"/>
      <c r="AO105" s="219"/>
    </row>
    <row r="106">
      <c r="A106" s="193">
        <v>11380.0</v>
      </c>
      <c r="B106" s="194" t="s">
        <v>203</v>
      </c>
      <c r="C106" s="193">
        <v>2026.0</v>
      </c>
      <c r="D106" s="195">
        <v>2048.0</v>
      </c>
      <c r="E106" s="199"/>
      <c r="F106" s="193" t="s">
        <v>272</v>
      </c>
      <c r="G106" s="266"/>
      <c r="H106" s="207"/>
      <c r="I106" s="266"/>
      <c r="J106" s="207"/>
      <c r="K106" s="193" t="s">
        <v>206</v>
      </c>
      <c r="L106" s="194" t="s">
        <v>144</v>
      </c>
      <c r="M106" s="199"/>
      <c r="N106" s="193" t="s">
        <v>227</v>
      </c>
      <c r="O106" s="193" t="s">
        <v>206</v>
      </c>
      <c r="P106" s="193" t="s">
        <v>206</v>
      </c>
      <c r="Q106" s="199"/>
      <c r="R106" s="193" t="s">
        <v>219</v>
      </c>
      <c r="S106" s="193" t="s">
        <v>43</v>
      </c>
      <c r="T106" s="193" t="s">
        <v>229</v>
      </c>
      <c r="U106" s="193" t="s">
        <v>359</v>
      </c>
      <c r="V106" s="193" t="s">
        <v>231</v>
      </c>
      <c r="W106" s="193" t="s">
        <v>212</v>
      </c>
      <c r="X106" s="193" t="s">
        <v>232</v>
      </c>
      <c r="Y106" s="200">
        <v>3.0</v>
      </c>
      <c r="Z106" s="202" t="s">
        <v>233</v>
      </c>
      <c r="AA106" s="202" t="s">
        <v>234</v>
      </c>
      <c r="AB106" s="221"/>
      <c r="AC106" s="203" t="s">
        <v>275</v>
      </c>
      <c r="AD106" s="204">
        <v>46291.0</v>
      </c>
      <c r="AE106" s="204">
        <v>46352.0</v>
      </c>
      <c r="AF106" s="226" t="s">
        <v>406</v>
      </c>
      <c r="AG106" s="219"/>
      <c r="AH106" s="219"/>
      <c r="AI106" s="219"/>
      <c r="AJ106" s="219"/>
      <c r="AK106" s="219"/>
      <c r="AL106" s="219"/>
      <c r="AM106" s="219"/>
      <c r="AN106" s="219"/>
      <c r="AO106" s="219"/>
    </row>
    <row r="107">
      <c r="A107" s="193">
        <v>11381.0</v>
      </c>
      <c r="B107" s="194" t="s">
        <v>203</v>
      </c>
      <c r="C107" s="193">
        <v>2026.0</v>
      </c>
      <c r="D107" s="195">
        <v>2048.0</v>
      </c>
      <c r="E107" s="199"/>
      <c r="F107" s="193" t="s">
        <v>204</v>
      </c>
      <c r="G107" s="198">
        <v>46042.0</v>
      </c>
      <c r="H107" s="193">
        <v>22.0</v>
      </c>
      <c r="I107" s="198">
        <v>46043.0</v>
      </c>
      <c r="J107" s="193" t="s">
        <v>407</v>
      </c>
      <c r="K107" s="193" t="s">
        <v>206</v>
      </c>
      <c r="L107" s="194" t="s">
        <v>144</v>
      </c>
      <c r="M107" s="199"/>
      <c r="N107" s="193" t="s">
        <v>227</v>
      </c>
      <c r="O107" s="193" t="s">
        <v>206</v>
      </c>
      <c r="P107" s="193" t="s">
        <v>206</v>
      </c>
      <c r="Q107" s="199"/>
      <c r="R107" s="193" t="s">
        <v>301</v>
      </c>
      <c r="S107" s="193" t="s">
        <v>43</v>
      </c>
      <c r="T107" s="193" t="s">
        <v>229</v>
      </c>
      <c r="U107" s="193" t="s">
        <v>359</v>
      </c>
      <c r="V107" s="193" t="s">
        <v>231</v>
      </c>
      <c r="W107" s="193" t="s">
        <v>212</v>
      </c>
      <c r="X107" s="193" t="s">
        <v>232</v>
      </c>
      <c r="Y107" s="200">
        <v>3.0</v>
      </c>
      <c r="Z107" s="202" t="s">
        <v>233</v>
      </c>
      <c r="AA107" s="202" t="s">
        <v>234</v>
      </c>
      <c r="AB107" s="221"/>
      <c r="AC107" s="203">
        <v>2000000.0</v>
      </c>
      <c r="AD107" s="204">
        <v>46048.0</v>
      </c>
      <c r="AE107" s="247">
        <v>46107.0</v>
      </c>
      <c r="AF107" s="205"/>
      <c r="AG107" s="219"/>
      <c r="AH107" s="219"/>
      <c r="AI107" s="219"/>
      <c r="AJ107" s="219"/>
      <c r="AK107" s="219"/>
      <c r="AL107" s="219"/>
      <c r="AM107" s="219"/>
      <c r="AN107" s="219"/>
      <c r="AO107" s="219"/>
    </row>
    <row r="108">
      <c r="A108" s="193">
        <v>11382.0</v>
      </c>
      <c r="B108" s="194" t="s">
        <v>203</v>
      </c>
      <c r="C108" s="193">
        <v>2026.0</v>
      </c>
      <c r="D108" s="195">
        <v>2048.0</v>
      </c>
      <c r="E108" s="199"/>
      <c r="F108" s="193" t="s">
        <v>204</v>
      </c>
      <c r="G108" s="198">
        <v>46192.0</v>
      </c>
      <c r="H108" s="193">
        <v>464.0</v>
      </c>
      <c r="I108" s="198">
        <v>46192.0</v>
      </c>
      <c r="J108" s="193" t="s">
        <v>408</v>
      </c>
      <c r="K108" s="193" t="s">
        <v>206</v>
      </c>
      <c r="L108" s="194" t="s">
        <v>144</v>
      </c>
      <c r="M108" s="199"/>
      <c r="N108" s="193" t="s">
        <v>227</v>
      </c>
      <c r="O108" s="193" t="s">
        <v>206</v>
      </c>
      <c r="P108" s="193" t="s">
        <v>206</v>
      </c>
      <c r="Q108" s="207"/>
      <c r="R108" s="208" t="s">
        <v>219</v>
      </c>
      <c r="S108" s="193" t="s">
        <v>43</v>
      </c>
      <c r="T108" s="193" t="s">
        <v>229</v>
      </c>
      <c r="U108" s="193" t="s">
        <v>359</v>
      </c>
      <c r="V108" s="193" t="s">
        <v>231</v>
      </c>
      <c r="W108" s="193" t="s">
        <v>212</v>
      </c>
      <c r="X108" s="193" t="s">
        <v>232</v>
      </c>
      <c r="Y108" s="200">
        <v>3.0</v>
      </c>
      <c r="Z108" s="202" t="s">
        <v>233</v>
      </c>
      <c r="AA108" s="202" t="s">
        <v>234</v>
      </c>
      <c r="AB108" s="203">
        <v>28182.63</v>
      </c>
      <c r="AC108" s="203">
        <v>146550.0</v>
      </c>
      <c r="AD108" s="204">
        <v>46199.0</v>
      </c>
      <c r="AE108" s="204">
        <v>46260.0</v>
      </c>
      <c r="AF108" s="226" t="s">
        <v>409</v>
      </c>
      <c r="AG108" s="219"/>
      <c r="AH108" s="219"/>
      <c r="AI108" s="219"/>
      <c r="AJ108" s="219"/>
      <c r="AK108" s="219"/>
      <c r="AL108" s="219"/>
      <c r="AM108" s="219"/>
      <c r="AN108" s="219"/>
      <c r="AO108" s="219"/>
    </row>
    <row r="109">
      <c r="A109" s="193">
        <v>11400.0</v>
      </c>
      <c r="B109" s="194" t="s">
        <v>203</v>
      </c>
      <c r="C109" s="193">
        <v>2026.0</v>
      </c>
      <c r="D109" s="195">
        <v>2048.0</v>
      </c>
      <c r="E109" s="193">
        <v>58.0</v>
      </c>
      <c r="F109" s="199"/>
      <c r="G109" s="235"/>
      <c r="H109" s="199"/>
      <c r="I109" s="235"/>
      <c r="J109" s="199"/>
      <c r="K109" s="193" t="s">
        <v>206</v>
      </c>
      <c r="L109" s="194" t="s">
        <v>144</v>
      </c>
      <c r="M109" s="199"/>
      <c r="N109" s="193" t="s">
        <v>227</v>
      </c>
      <c r="O109" s="193" t="s">
        <v>206</v>
      </c>
      <c r="P109" s="193" t="s">
        <v>206</v>
      </c>
      <c r="Q109" s="207"/>
      <c r="R109" s="208" t="s">
        <v>219</v>
      </c>
      <c r="S109" s="193" t="s">
        <v>43</v>
      </c>
      <c r="T109" s="193" t="s">
        <v>229</v>
      </c>
      <c r="U109" s="193" t="s">
        <v>364</v>
      </c>
      <c r="V109" s="193" t="s">
        <v>231</v>
      </c>
      <c r="W109" s="193" t="s">
        <v>212</v>
      </c>
      <c r="X109" s="193" t="s">
        <v>232</v>
      </c>
      <c r="Y109" s="200">
        <v>3.0</v>
      </c>
      <c r="Z109" s="202" t="s">
        <v>233</v>
      </c>
      <c r="AA109" s="202" t="s">
        <v>234</v>
      </c>
      <c r="AB109" s="221"/>
      <c r="AC109" s="203">
        <v>350603.94</v>
      </c>
      <c r="AD109" s="204">
        <v>46291.0</v>
      </c>
      <c r="AE109" s="247">
        <v>46352.0</v>
      </c>
      <c r="AF109" s="226" t="s">
        <v>410</v>
      </c>
      <c r="AG109" s="219"/>
      <c r="AH109" s="219"/>
      <c r="AI109" s="219"/>
      <c r="AJ109" s="219"/>
      <c r="AK109" s="219"/>
      <c r="AL109" s="219"/>
      <c r="AM109" s="219"/>
      <c r="AN109" s="219"/>
      <c r="AO109" s="219"/>
    </row>
    <row r="110">
      <c r="A110" s="193">
        <v>11420.0</v>
      </c>
      <c r="B110" s="232" t="s">
        <v>264</v>
      </c>
      <c r="C110" s="193">
        <v>2026.0</v>
      </c>
      <c r="D110" s="199"/>
      <c r="E110" s="199"/>
      <c r="F110" s="193" t="s">
        <v>265</v>
      </c>
      <c r="G110" s="248"/>
      <c r="H110" s="199"/>
      <c r="I110" s="233"/>
      <c r="J110" s="199"/>
      <c r="K110" s="193" t="s">
        <v>206</v>
      </c>
      <c r="L110" s="234" t="s">
        <v>145</v>
      </c>
      <c r="M110" s="199"/>
      <c r="N110" s="193" t="s">
        <v>337</v>
      </c>
      <c r="O110" s="193" t="s">
        <v>206</v>
      </c>
      <c r="P110" s="193" t="s">
        <v>206</v>
      </c>
      <c r="Q110" s="199"/>
      <c r="R110" s="193" t="s">
        <v>219</v>
      </c>
      <c r="S110" s="193" t="s">
        <v>43</v>
      </c>
      <c r="T110" s="193" t="s">
        <v>358</v>
      </c>
      <c r="U110" s="193" t="s">
        <v>359</v>
      </c>
      <c r="V110" s="193" t="s">
        <v>231</v>
      </c>
      <c r="W110" s="193" t="s">
        <v>212</v>
      </c>
      <c r="X110" s="193" t="s">
        <v>232</v>
      </c>
      <c r="Y110" s="200">
        <v>3.0</v>
      </c>
      <c r="Z110" s="202" t="s">
        <v>233</v>
      </c>
      <c r="AA110" s="202" t="s">
        <v>234</v>
      </c>
      <c r="AB110" s="221"/>
      <c r="AC110" s="203">
        <v>750000.0</v>
      </c>
      <c r="AD110" s="204">
        <v>46229.0</v>
      </c>
      <c r="AE110" s="247">
        <v>46291.0</v>
      </c>
      <c r="AF110" s="205"/>
      <c r="AG110" s="219"/>
      <c r="AH110" s="219"/>
      <c r="AI110" s="219"/>
      <c r="AJ110" s="219"/>
      <c r="AK110" s="219"/>
      <c r="AL110" s="219"/>
      <c r="AM110" s="219"/>
      <c r="AN110" s="219"/>
      <c r="AO110" s="219"/>
    </row>
    <row r="111">
      <c r="A111" s="193">
        <v>11440.0</v>
      </c>
      <c r="B111" s="194" t="s">
        <v>203</v>
      </c>
      <c r="C111" s="193">
        <v>2026.0</v>
      </c>
      <c r="D111" s="195">
        <v>2048.0</v>
      </c>
      <c r="E111" s="193">
        <v>71.0</v>
      </c>
      <c r="F111" s="193" t="s">
        <v>272</v>
      </c>
      <c r="G111" s="233"/>
      <c r="H111" s="199"/>
      <c r="I111" s="233"/>
      <c r="J111" s="199"/>
      <c r="K111" s="193" t="s">
        <v>206</v>
      </c>
      <c r="L111" s="194" t="s">
        <v>144</v>
      </c>
      <c r="M111" s="199"/>
      <c r="N111" s="193" t="s">
        <v>227</v>
      </c>
      <c r="O111" s="193" t="s">
        <v>206</v>
      </c>
      <c r="P111" s="193" t="s">
        <v>244</v>
      </c>
      <c r="Q111" s="199"/>
      <c r="R111" s="193" t="s">
        <v>219</v>
      </c>
      <c r="S111" s="193" t="s">
        <v>43</v>
      </c>
      <c r="T111" s="193" t="s">
        <v>229</v>
      </c>
      <c r="U111" s="193" t="s">
        <v>411</v>
      </c>
      <c r="V111" s="193" t="s">
        <v>155</v>
      </c>
      <c r="W111" s="193" t="s">
        <v>203</v>
      </c>
      <c r="X111" s="193" t="s">
        <v>232</v>
      </c>
      <c r="Y111" s="200">
        <v>3.0</v>
      </c>
      <c r="Z111" s="202" t="s">
        <v>233</v>
      </c>
      <c r="AA111" s="202" t="s">
        <v>234</v>
      </c>
      <c r="AB111" s="221"/>
      <c r="AC111" s="203">
        <v>0.0</v>
      </c>
      <c r="AD111" s="249">
        <v>46291.0</v>
      </c>
      <c r="AE111" s="250">
        <v>46049.0</v>
      </c>
      <c r="AF111" s="226" t="s">
        <v>317</v>
      </c>
      <c r="AG111" s="219"/>
      <c r="AH111" s="219"/>
      <c r="AI111" s="219"/>
      <c r="AJ111" s="219"/>
      <c r="AK111" s="219"/>
      <c r="AL111" s="219"/>
      <c r="AM111" s="219"/>
      <c r="AN111" s="219"/>
      <c r="AO111" s="219"/>
    </row>
    <row r="112">
      <c r="A112" s="193">
        <v>11441.0</v>
      </c>
      <c r="B112" s="194" t="s">
        <v>203</v>
      </c>
      <c r="C112" s="193">
        <v>2026.0</v>
      </c>
      <c r="D112" s="195">
        <v>2048.0</v>
      </c>
      <c r="E112" s="199"/>
      <c r="F112" s="193" t="s">
        <v>204</v>
      </c>
      <c r="G112" s="198">
        <v>46192.0</v>
      </c>
      <c r="H112" s="193">
        <v>464.0</v>
      </c>
      <c r="I112" s="198">
        <v>46192.0</v>
      </c>
      <c r="J112" s="193" t="s">
        <v>412</v>
      </c>
      <c r="K112" s="193" t="s">
        <v>206</v>
      </c>
      <c r="L112" s="194" t="s">
        <v>144</v>
      </c>
      <c r="M112" s="199"/>
      <c r="N112" s="193" t="s">
        <v>227</v>
      </c>
      <c r="O112" s="193" t="s">
        <v>206</v>
      </c>
      <c r="P112" s="193" t="s">
        <v>244</v>
      </c>
      <c r="Q112" s="199"/>
      <c r="R112" s="193" t="s">
        <v>219</v>
      </c>
      <c r="S112" s="193" t="s">
        <v>43</v>
      </c>
      <c r="T112" s="193" t="s">
        <v>229</v>
      </c>
      <c r="U112" s="193" t="s">
        <v>411</v>
      </c>
      <c r="V112" s="193" t="s">
        <v>155</v>
      </c>
      <c r="W112" s="193" t="s">
        <v>203</v>
      </c>
      <c r="X112" s="193" t="s">
        <v>232</v>
      </c>
      <c r="Y112" s="200">
        <v>3.0</v>
      </c>
      <c r="Z112" s="202" t="s">
        <v>233</v>
      </c>
      <c r="AA112" s="202" t="s">
        <v>234</v>
      </c>
      <c r="AB112" s="203">
        <v>97314.2</v>
      </c>
      <c r="AC112" s="203">
        <v>554690.94</v>
      </c>
      <c r="AD112" s="204">
        <v>46199.0</v>
      </c>
      <c r="AE112" s="247">
        <v>46108.0</v>
      </c>
      <c r="AF112" s="226" t="s">
        <v>413</v>
      </c>
      <c r="AG112" s="219"/>
      <c r="AH112" s="219"/>
      <c r="AI112" s="219"/>
      <c r="AJ112" s="219"/>
      <c r="AK112" s="219"/>
      <c r="AL112" s="219"/>
      <c r="AM112" s="219"/>
      <c r="AN112" s="219"/>
      <c r="AO112" s="219"/>
    </row>
    <row r="113">
      <c r="A113" s="193">
        <v>11460.0</v>
      </c>
      <c r="B113" s="194" t="s">
        <v>203</v>
      </c>
      <c r="C113" s="193">
        <v>2026.0</v>
      </c>
      <c r="D113" s="195">
        <v>2048.0</v>
      </c>
      <c r="E113" s="199"/>
      <c r="F113" s="193" t="s">
        <v>204</v>
      </c>
      <c r="G113" s="215">
        <v>46255.0</v>
      </c>
      <c r="H113" s="252">
        <v>12753.0</v>
      </c>
      <c r="I113" s="215">
        <v>46255.0</v>
      </c>
      <c r="J113" s="193" t="s">
        <v>325</v>
      </c>
      <c r="K113" s="193" t="s">
        <v>206</v>
      </c>
      <c r="L113" s="194" t="s">
        <v>144</v>
      </c>
      <c r="M113" s="199"/>
      <c r="N113" s="193" t="s">
        <v>227</v>
      </c>
      <c r="O113" s="193" t="s">
        <v>206</v>
      </c>
      <c r="P113" s="193" t="s">
        <v>244</v>
      </c>
      <c r="Q113" s="199"/>
      <c r="R113" s="193" t="s">
        <v>219</v>
      </c>
      <c r="S113" s="193" t="s">
        <v>43</v>
      </c>
      <c r="T113" s="193" t="s">
        <v>245</v>
      </c>
      <c r="U113" s="193" t="s">
        <v>414</v>
      </c>
      <c r="V113" s="193" t="s">
        <v>155</v>
      </c>
      <c r="W113" s="193" t="s">
        <v>203</v>
      </c>
      <c r="X113" s="193" t="s">
        <v>232</v>
      </c>
      <c r="Y113" s="200">
        <v>3.0</v>
      </c>
      <c r="Z113" s="202" t="s">
        <v>214</v>
      </c>
      <c r="AA113" s="202" t="s">
        <v>234</v>
      </c>
      <c r="AB113" s="203">
        <v>69051.32</v>
      </c>
      <c r="AC113" s="203">
        <v>338165.03</v>
      </c>
      <c r="AD113" s="249">
        <v>46260.0</v>
      </c>
      <c r="AE113" s="250">
        <v>46169.0</v>
      </c>
      <c r="AF113" s="205"/>
      <c r="AG113" s="219"/>
      <c r="AH113" s="219"/>
      <c r="AI113" s="219"/>
      <c r="AJ113" s="219"/>
      <c r="AK113" s="219"/>
      <c r="AL113" s="219"/>
      <c r="AM113" s="219"/>
      <c r="AN113" s="219"/>
      <c r="AO113" s="219"/>
    </row>
    <row r="114">
      <c r="A114" s="193">
        <v>11461.0</v>
      </c>
      <c r="B114" s="194" t="s">
        <v>203</v>
      </c>
      <c r="C114" s="193">
        <v>2026.0</v>
      </c>
      <c r="D114" s="195">
        <v>2048.0</v>
      </c>
      <c r="E114" s="199"/>
      <c r="F114" s="193" t="s">
        <v>204</v>
      </c>
      <c r="G114" s="198">
        <v>46149.0</v>
      </c>
      <c r="H114" s="193">
        <v>339.0</v>
      </c>
      <c r="I114" s="198">
        <v>46149.0</v>
      </c>
      <c r="J114" s="193" t="s">
        <v>415</v>
      </c>
      <c r="K114" s="193" t="s">
        <v>206</v>
      </c>
      <c r="L114" s="194" t="s">
        <v>144</v>
      </c>
      <c r="M114" s="199"/>
      <c r="N114" s="193" t="s">
        <v>227</v>
      </c>
      <c r="O114" s="193" t="s">
        <v>206</v>
      </c>
      <c r="P114" s="193" t="s">
        <v>244</v>
      </c>
      <c r="Q114" s="199"/>
      <c r="R114" s="193" t="s">
        <v>219</v>
      </c>
      <c r="S114" s="193" t="s">
        <v>43</v>
      </c>
      <c r="T114" s="193" t="s">
        <v>320</v>
      </c>
      <c r="U114" s="193" t="s">
        <v>324</v>
      </c>
      <c r="V114" s="193" t="s">
        <v>155</v>
      </c>
      <c r="W114" s="193" t="s">
        <v>203</v>
      </c>
      <c r="X114" s="193" t="s">
        <v>232</v>
      </c>
      <c r="Y114" s="200">
        <v>3.0</v>
      </c>
      <c r="Z114" s="202" t="s">
        <v>233</v>
      </c>
      <c r="AA114" s="202" t="s">
        <v>234</v>
      </c>
      <c r="AB114" s="203">
        <v>35281.5</v>
      </c>
      <c r="AC114" s="203">
        <v>172769.98</v>
      </c>
      <c r="AD114" s="204">
        <v>46168.0</v>
      </c>
      <c r="AE114" s="204">
        <v>46199.0</v>
      </c>
      <c r="AF114" s="226" t="s">
        <v>416</v>
      </c>
      <c r="AG114" s="219"/>
      <c r="AH114" s="219"/>
      <c r="AI114" s="219"/>
      <c r="AJ114" s="219"/>
      <c r="AK114" s="219"/>
      <c r="AL114" s="219"/>
      <c r="AM114" s="219"/>
      <c r="AN114" s="219"/>
      <c r="AO114" s="219"/>
    </row>
    <row r="115">
      <c r="A115" s="193">
        <v>11480.0</v>
      </c>
      <c r="B115" s="194" t="s">
        <v>203</v>
      </c>
      <c r="C115" s="193">
        <v>2026.0</v>
      </c>
      <c r="D115" s="195">
        <v>2048.0</v>
      </c>
      <c r="E115" s="199"/>
      <c r="F115" s="193" t="s">
        <v>204</v>
      </c>
      <c r="G115" s="198">
        <v>46265.0</v>
      </c>
      <c r="H115" s="193">
        <v>13239.0</v>
      </c>
      <c r="I115" s="198">
        <v>46265.0</v>
      </c>
      <c r="J115" s="193" t="s">
        <v>417</v>
      </c>
      <c r="K115" s="193" t="s">
        <v>206</v>
      </c>
      <c r="L115" s="194" t="s">
        <v>144</v>
      </c>
      <c r="M115" s="199"/>
      <c r="N115" s="193" t="s">
        <v>227</v>
      </c>
      <c r="O115" s="193" t="s">
        <v>206</v>
      </c>
      <c r="P115" s="193" t="s">
        <v>244</v>
      </c>
      <c r="Q115" s="199"/>
      <c r="R115" s="193" t="s">
        <v>219</v>
      </c>
      <c r="S115" s="193" t="s">
        <v>43</v>
      </c>
      <c r="T115" s="193" t="s">
        <v>245</v>
      </c>
      <c r="U115" s="193" t="s">
        <v>386</v>
      </c>
      <c r="V115" s="193" t="s">
        <v>155</v>
      </c>
      <c r="W115" s="193" t="s">
        <v>203</v>
      </c>
      <c r="X115" s="193" t="s">
        <v>232</v>
      </c>
      <c r="Y115" s="200">
        <v>3.0</v>
      </c>
      <c r="Z115" s="202" t="s">
        <v>214</v>
      </c>
      <c r="AA115" s="202" t="s">
        <v>234</v>
      </c>
      <c r="AB115" s="203">
        <v>53302.24</v>
      </c>
      <c r="AC115" s="203">
        <v>303822.79</v>
      </c>
      <c r="AD115" s="249">
        <v>46260.0</v>
      </c>
      <c r="AE115" s="251">
        <v>46169.0</v>
      </c>
      <c r="AF115" s="267"/>
      <c r="AG115" s="219"/>
      <c r="AH115" s="219"/>
      <c r="AI115" s="219"/>
      <c r="AJ115" s="219"/>
      <c r="AK115" s="219"/>
      <c r="AL115" s="219"/>
      <c r="AM115" s="219"/>
      <c r="AN115" s="219"/>
      <c r="AO115" s="219"/>
    </row>
    <row r="116">
      <c r="A116" s="193">
        <v>11500.0</v>
      </c>
      <c r="B116" s="194" t="s">
        <v>203</v>
      </c>
      <c r="C116" s="193">
        <v>2026.0</v>
      </c>
      <c r="D116" s="195">
        <v>2048.0</v>
      </c>
      <c r="E116" s="193">
        <v>73.0</v>
      </c>
      <c r="F116" s="193" t="s">
        <v>272</v>
      </c>
      <c r="G116" s="248"/>
      <c r="H116" s="199"/>
      <c r="I116" s="235"/>
      <c r="J116" s="199"/>
      <c r="K116" s="193" t="s">
        <v>206</v>
      </c>
      <c r="L116" s="194" t="s">
        <v>144</v>
      </c>
      <c r="M116" s="199"/>
      <c r="N116" s="193" t="s">
        <v>227</v>
      </c>
      <c r="O116" s="193" t="s">
        <v>206</v>
      </c>
      <c r="P116" s="193" t="s">
        <v>244</v>
      </c>
      <c r="Q116" s="199"/>
      <c r="R116" s="193" t="s">
        <v>219</v>
      </c>
      <c r="S116" s="193" t="s">
        <v>43</v>
      </c>
      <c r="T116" s="193" t="s">
        <v>245</v>
      </c>
      <c r="U116" s="193" t="s">
        <v>418</v>
      </c>
      <c r="V116" s="193" t="s">
        <v>155</v>
      </c>
      <c r="W116" s="193" t="s">
        <v>203</v>
      </c>
      <c r="X116" s="193" t="s">
        <v>232</v>
      </c>
      <c r="Y116" s="200">
        <v>3.0</v>
      </c>
      <c r="Z116" s="202" t="s">
        <v>214</v>
      </c>
      <c r="AA116" s="202" t="s">
        <v>234</v>
      </c>
      <c r="AB116" s="221"/>
      <c r="AC116" s="203" t="s">
        <v>275</v>
      </c>
      <c r="AD116" s="249">
        <v>46291.0</v>
      </c>
      <c r="AE116" s="251">
        <v>46200.0</v>
      </c>
      <c r="AF116" s="226" t="s">
        <v>317</v>
      </c>
      <c r="AG116" s="219"/>
      <c r="AH116" s="219"/>
      <c r="AI116" s="219"/>
      <c r="AJ116" s="219"/>
      <c r="AK116" s="219"/>
      <c r="AL116" s="219"/>
      <c r="AM116" s="219"/>
      <c r="AN116" s="219"/>
      <c r="AO116" s="219"/>
    </row>
    <row r="117">
      <c r="A117" s="193">
        <v>11520.0</v>
      </c>
      <c r="B117" s="194" t="s">
        <v>203</v>
      </c>
      <c r="C117" s="193">
        <v>2026.0</v>
      </c>
      <c r="D117" s="195">
        <v>2048.0</v>
      </c>
      <c r="E117" s="193">
        <v>64.0</v>
      </c>
      <c r="F117" s="199"/>
      <c r="G117" s="233"/>
      <c r="H117" s="199"/>
      <c r="I117" s="233"/>
      <c r="J117" s="199"/>
      <c r="K117" s="193" t="s">
        <v>206</v>
      </c>
      <c r="L117" s="194" t="s">
        <v>144</v>
      </c>
      <c r="M117" s="199"/>
      <c r="N117" s="193" t="s">
        <v>227</v>
      </c>
      <c r="O117" s="193" t="s">
        <v>206</v>
      </c>
      <c r="P117" s="193" t="s">
        <v>244</v>
      </c>
      <c r="Q117" s="199"/>
      <c r="R117" s="193" t="s">
        <v>219</v>
      </c>
      <c r="S117" s="193" t="s">
        <v>43</v>
      </c>
      <c r="T117" s="193" t="s">
        <v>419</v>
      </c>
      <c r="U117" s="193" t="s">
        <v>420</v>
      </c>
      <c r="V117" s="193" t="s">
        <v>155</v>
      </c>
      <c r="W117" s="193" t="s">
        <v>203</v>
      </c>
      <c r="X117" s="193" t="s">
        <v>232</v>
      </c>
      <c r="Y117" s="200">
        <v>3.0</v>
      </c>
      <c r="Z117" s="202" t="s">
        <v>214</v>
      </c>
      <c r="AA117" s="202" t="s">
        <v>234</v>
      </c>
      <c r="AB117" s="221"/>
      <c r="AC117" s="203">
        <v>200000.0</v>
      </c>
      <c r="AD117" s="249">
        <v>46291.0</v>
      </c>
      <c r="AE117" s="251">
        <v>46352.0</v>
      </c>
      <c r="AF117" s="268"/>
      <c r="AG117" s="219"/>
      <c r="AH117" s="219"/>
      <c r="AI117" s="219"/>
      <c r="AJ117" s="219"/>
      <c r="AK117" s="219"/>
      <c r="AL117" s="219"/>
      <c r="AM117" s="219"/>
      <c r="AN117" s="219"/>
      <c r="AO117" s="219"/>
    </row>
    <row r="118">
      <c r="A118" s="193">
        <v>11540.0</v>
      </c>
      <c r="B118" s="194" t="s">
        <v>203</v>
      </c>
      <c r="C118" s="193">
        <v>2026.0</v>
      </c>
      <c r="D118" s="195">
        <v>2048.0</v>
      </c>
      <c r="E118" s="193">
        <v>67.0</v>
      </c>
      <c r="F118" s="193" t="s">
        <v>272</v>
      </c>
      <c r="G118" s="248"/>
      <c r="H118" s="199"/>
      <c r="I118" s="248"/>
      <c r="J118" s="199"/>
      <c r="K118" s="193" t="s">
        <v>206</v>
      </c>
      <c r="L118" s="194" t="s">
        <v>144</v>
      </c>
      <c r="M118" s="199"/>
      <c r="N118" s="193" t="s">
        <v>227</v>
      </c>
      <c r="O118" s="193" t="s">
        <v>206</v>
      </c>
      <c r="P118" s="193" t="s">
        <v>244</v>
      </c>
      <c r="Q118" s="199"/>
      <c r="R118" s="193" t="s">
        <v>219</v>
      </c>
      <c r="S118" s="193" t="s">
        <v>43</v>
      </c>
      <c r="T118" s="193" t="s">
        <v>419</v>
      </c>
      <c r="U118" s="193" t="s">
        <v>422</v>
      </c>
      <c r="V118" s="193" t="s">
        <v>155</v>
      </c>
      <c r="W118" s="193" t="s">
        <v>203</v>
      </c>
      <c r="X118" s="193" t="s">
        <v>232</v>
      </c>
      <c r="Y118" s="200">
        <v>3.0</v>
      </c>
      <c r="Z118" s="202" t="s">
        <v>214</v>
      </c>
      <c r="AA118" s="202" t="s">
        <v>234</v>
      </c>
      <c r="AB118" s="221"/>
      <c r="AC118" s="203" t="s">
        <v>275</v>
      </c>
      <c r="AD118" s="249">
        <v>46291.0</v>
      </c>
      <c r="AE118" s="251">
        <v>46352.0</v>
      </c>
      <c r="AF118" s="226" t="s">
        <v>317</v>
      </c>
      <c r="AG118" s="219"/>
      <c r="AH118" s="219"/>
      <c r="AI118" s="219"/>
      <c r="AJ118" s="219"/>
      <c r="AK118" s="219"/>
      <c r="AL118" s="219"/>
      <c r="AM118" s="219"/>
      <c r="AN118" s="219"/>
      <c r="AO118" s="219"/>
    </row>
    <row r="119">
      <c r="A119" s="193">
        <v>11560.0</v>
      </c>
      <c r="B119" s="194" t="s">
        <v>203</v>
      </c>
      <c r="C119" s="193">
        <v>2026.0</v>
      </c>
      <c r="D119" s="195">
        <v>2048.0</v>
      </c>
      <c r="E119" s="199"/>
      <c r="F119" s="199"/>
      <c r="G119" s="233"/>
      <c r="H119" s="199"/>
      <c r="I119" s="233"/>
      <c r="J119" s="199"/>
      <c r="K119" s="193" t="s">
        <v>206</v>
      </c>
      <c r="L119" s="194" t="s">
        <v>144</v>
      </c>
      <c r="M119" s="199"/>
      <c r="N119" s="193" t="s">
        <v>207</v>
      </c>
      <c r="O119" s="193" t="s">
        <v>206</v>
      </c>
      <c r="P119" s="193" t="s">
        <v>206</v>
      </c>
      <c r="Q119" s="199"/>
      <c r="R119" s="193" t="s">
        <v>279</v>
      </c>
      <c r="S119" s="193" t="s">
        <v>50</v>
      </c>
      <c r="T119" s="193" t="s">
        <v>229</v>
      </c>
      <c r="U119" s="193" t="s">
        <v>387</v>
      </c>
      <c r="V119" s="193" t="s">
        <v>50</v>
      </c>
      <c r="W119" s="193" t="s">
        <v>264</v>
      </c>
      <c r="X119" s="193" t="s">
        <v>232</v>
      </c>
      <c r="Y119" s="200">
        <v>3.0</v>
      </c>
      <c r="Z119" s="202" t="s">
        <v>233</v>
      </c>
      <c r="AA119" s="202" t="s">
        <v>215</v>
      </c>
      <c r="AB119" s="203">
        <v>190000.0</v>
      </c>
      <c r="AC119" s="203">
        <v>190000.0</v>
      </c>
      <c r="AD119" s="204">
        <v>46291.0</v>
      </c>
      <c r="AE119" s="204">
        <v>46352.0</v>
      </c>
      <c r="AF119" s="205"/>
      <c r="AG119" s="219"/>
      <c r="AH119" s="219"/>
      <c r="AI119" s="219"/>
      <c r="AJ119" s="219"/>
      <c r="AK119" s="219"/>
      <c r="AL119" s="219"/>
      <c r="AM119" s="219"/>
      <c r="AN119" s="219"/>
      <c r="AO119" s="219"/>
    </row>
    <row r="120">
      <c r="A120" s="193">
        <v>11580.0</v>
      </c>
      <c r="B120" s="232" t="s">
        <v>264</v>
      </c>
      <c r="C120" s="193">
        <v>2026.0</v>
      </c>
      <c r="D120" s="199"/>
      <c r="E120" s="199"/>
      <c r="F120" s="193" t="s">
        <v>265</v>
      </c>
      <c r="G120" s="233"/>
      <c r="H120" s="199"/>
      <c r="I120" s="233"/>
      <c r="J120" s="199"/>
      <c r="K120" s="193" t="s">
        <v>206</v>
      </c>
      <c r="L120" s="234" t="s">
        <v>145</v>
      </c>
      <c r="M120" s="199"/>
      <c r="N120" s="193" t="s">
        <v>207</v>
      </c>
      <c r="O120" s="193" t="s">
        <v>206</v>
      </c>
      <c r="P120" s="193" t="s">
        <v>206</v>
      </c>
      <c r="Q120" s="199"/>
      <c r="R120" s="193" t="s">
        <v>219</v>
      </c>
      <c r="S120" s="193" t="s">
        <v>44</v>
      </c>
      <c r="T120" s="193" t="s">
        <v>423</v>
      </c>
      <c r="U120" s="193" t="s">
        <v>424</v>
      </c>
      <c r="V120" s="193" t="s">
        <v>155</v>
      </c>
      <c r="W120" s="193" t="s">
        <v>203</v>
      </c>
      <c r="X120" s="193" t="s">
        <v>252</v>
      </c>
      <c r="Y120" s="200">
        <v>3.0</v>
      </c>
      <c r="Z120" s="202" t="s">
        <v>214</v>
      </c>
      <c r="AA120" s="202" t="s">
        <v>215</v>
      </c>
      <c r="AB120" s="203">
        <v>4700000.0</v>
      </c>
      <c r="AC120" s="203">
        <v>4700000.0</v>
      </c>
      <c r="AD120" s="204">
        <v>46291.0</v>
      </c>
      <c r="AE120" s="247">
        <v>46382.0</v>
      </c>
      <c r="AF120" s="205"/>
      <c r="AG120" s="219"/>
      <c r="AH120" s="219"/>
      <c r="AI120" s="219"/>
      <c r="AJ120" s="219"/>
      <c r="AK120" s="219"/>
      <c r="AL120" s="219"/>
      <c r="AM120" s="219"/>
      <c r="AN120" s="219"/>
      <c r="AO120" s="219"/>
    </row>
    <row r="121">
      <c r="A121" s="193">
        <v>11600.0</v>
      </c>
      <c r="B121" s="232" t="s">
        <v>264</v>
      </c>
      <c r="C121" s="193">
        <v>2026.0</v>
      </c>
      <c r="D121" s="199"/>
      <c r="E121" s="199"/>
      <c r="F121" s="193" t="s">
        <v>265</v>
      </c>
      <c r="G121" s="248"/>
      <c r="H121" s="199"/>
      <c r="I121" s="233"/>
      <c r="J121" s="199"/>
      <c r="K121" s="193" t="s">
        <v>206</v>
      </c>
      <c r="L121" s="234" t="s">
        <v>145</v>
      </c>
      <c r="M121" s="199"/>
      <c r="N121" s="193" t="s">
        <v>207</v>
      </c>
      <c r="O121" s="193" t="s">
        <v>206</v>
      </c>
      <c r="P121" s="193" t="s">
        <v>206</v>
      </c>
      <c r="Q121" s="199"/>
      <c r="R121" s="193" t="s">
        <v>219</v>
      </c>
      <c r="S121" s="193" t="s">
        <v>44</v>
      </c>
      <c r="T121" s="193" t="s">
        <v>423</v>
      </c>
      <c r="U121" s="193" t="s">
        <v>425</v>
      </c>
      <c r="V121" s="193" t="s">
        <v>155</v>
      </c>
      <c r="W121" s="193" t="s">
        <v>203</v>
      </c>
      <c r="X121" s="193" t="s">
        <v>252</v>
      </c>
      <c r="Y121" s="200">
        <v>3.0</v>
      </c>
      <c r="Z121" s="202" t="s">
        <v>214</v>
      </c>
      <c r="AA121" s="202" t="s">
        <v>215</v>
      </c>
      <c r="AB121" s="203">
        <v>2800000.0</v>
      </c>
      <c r="AC121" s="203">
        <v>2800000.0</v>
      </c>
      <c r="AD121" s="204">
        <v>46291.0</v>
      </c>
      <c r="AE121" s="204">
        <v>46382.0</v>
      </c>
      <c r="AF121" s="205"/>
      <c r="AG121" s="219"/>
      <c r="AH121" s="219"/>
      <c r="AI121" s="219"/>
      <c r="AJ121" s="219"/>
      <c r="AK121" s="219"/>
      <c r="AL121" s="219"/>
      <c r="AM121" s="219"/>
      <c r="AN121" s="219"/>
      <c r="AO121" s="219"/>
    </row>
    <row r="122">
      <c r="A122" s="193">
        <v>11620.0</v>
      </c>
      <c r="B122" s="232" t="s">
        <v>264</v>
      </c>
      <c r="C122" s="193">
        <v>2026.0</v>
      </c>
      <c r="D122" s="199"/>
      <c r="E122" s="199"/>
      <c r="F122" s="193" t="s">
        <v>265</v>
      </c>
      <c r="G122" s="233"/>
      <c r="H122" s="199"/>
      <c r="I122" s="233"/>
      <c r="J122" s="199"/>
      <c r="K122" s="193" t="s">
        <v>206</v>
      </c>
      <c r="L122" s="234" t="s">
        <v>145</v>
      </c>
      <c r="M122" s="199"/>
      <c r="N122" s="193" t="s">
        <v>207</v>
      </c>
      <c r="O122" s="193" t="s">
        <v>206</v>
      </c>
      <c r="P122" s="193" t="s">
        <v>206</v>
      </c>
      <c r="Q122" s="199"/>
      <c r="R122" s="193" t="s">
        <v>219</v>
      </c>
      <c r="S122" s="193" t="s">
        <v>44</v>
      </c>
      <c r="T122" s="193" t="s">
        <v>423</v>
      </c>
      <c r="U122" s="193" t="s">
        <v>426</v>
      </c>
      <c r="V122" s="193" t="s">
        <v>155</v>
      </c>
      <c r="W122" s="193" t="s">
        <v>203</v>
      </c>
      <c r="X122" s="193" t="s">
        <v>252</v>
      </c>
      <c r="Y122" s="200">
        <v>3.0</v>
      </c>
      <c r="Z122" s="202" t="s">
        <v>214</v>
      </c>
      <c r="AA122" s="202" t="s">
        <v>215</v>
      </c>
      <c r="AB122" s="203">
        <v>2800000.0</v>
      </c>
      <c r="AC122" s="203">
        <v>2800000.0</v>
      </c>
      <c r="AD122" s="204">
        <v>46291.0</v>
      </c>
      <c r="AE122" s="269">
        <v>46382.0</v>
      </c>
      <c r="AF122" s="205"/>
      <c r="AG122" s="219"/>
      <c r="AH122" s="219"/>
      <c r="AI122" s="219"/>
      <c r="AJ122" s="219"/>
      <c r="AK122" s="219"/>
      <c r="AL122" s="219"/>
      <c r="AM122" s="219"/>
      <c r="AN122" s="219"/>
      <c r="AO122" s="219"/>
    </row>
    <row r="123">
      <c r="A123" s="193">
        <v>11640.0</v>
      </c>
      <c r="B123" s="194" t="s">
        <v>203</v>
      </c>
      <c r="C123" s="193">
        <v>2026.0</v>
      </c>
      <c r="D123" s="195">
        <v>2048.0</v>
      </c>
      <c r="E123" s="199"/>
      <c r="F123" s="193" t="s">
        <v>204</v>
      </c>
      <c r="G123" s="198">
        <v>46205.0</v>
      </c>
      <c r="H123" s="193">
        <v>538.0</v>
      </c>
      <c r="I123" s="198">
        <v>46205.0</v>
      </c>
      <c r="J123" s="193" t="s">
        <v>427</v>
      </c>
      <c r="K123" s="193" t="s">
        <v>206</v>
      </c>
      <c r="L123" s="194" t="s">
        <v>144</v>
      </c>
      <c r="M123" s="199"/>
      <c r="N123" s="193" t="s">
        <v>227</v>
      </c>
      <c r="O123" s="193" t="s">
        <v>206</v>
      </c>
      <c r="P123" s="193" t="s">
        <v>206</v>
      </c>
      <c r="Q123" s="199"/>
      <c r="R123" s="193" t="s">
        <v>219</v>
      </c>
      <c r="S123" s="193" t="s">
        <v>44</v>
      </c>
      <c r="T123" s="193" t="s">
        <v>229</v>
      </c>
      <c r="U123" s="193" t="s">
        <v>359</v>
      </c>
      <c r="V123" s="193" t="s">
        <v>231</v>
      </c>
      <c r="W123" s="193" t="s">
        <v>212</v>
      </c>
      <c r="X123" s="193" t="s">
        <v>232</v>
      </c>
      <c r="Y123" s="200">
        <v>3.0</v>
      </c>
      <c r="Z123" s="202" t="s">
        <v>233</v>
      </c>
      <c r="AA123" s="202" t="s">
        <v>234</v>
      </c>
      <c r="AB123" s="203">
        <v>17017.54</v>
      </c>
      <c r="AC123" s="203">
        <v>87963.66</v>
      </c>
      <c r="AD123" s="204">
        <v>46229.0</v>
      </c>
      <c r="AE123" s="247">
        <v>46291.0</v>
      </c>
      <c r="AF123" s="226" t="s">
        <v>428</v>
      </c>
      <c r="AG123" s="219"/>
      <c r="AH123" s="219"/>
      <c r="AI123" s="219"/>
      <c r="AJ123" s="219"/>
      <c r="AK123" s="219"/>
      <c r="AL123" s="219"/>
      <c r="AM123" s="219"/>
      <c r="AN123" s="219"/>
      <c r="AO123" s="219"/>
    </row>
    <row r="124">
      <c r="A124" s="193">
        <v>11660.0</v>
      </c>
      <c r="B124" s="194" t="s">
        <v>203</v>
      </c>
      <c r="C124" s="193">
        <v>2026.0</v>
      </c>
      <c r="D124" s="193" t="s">
        <v>429</v>
      </c>
      <c r="E124" s="199"/>
      <c r="F124" s="193" t="s">
        <v>204</v>
      </c>
      <c r="G124" s="198">
        <v>46199.0</v>
      </c>
      <c r="H124" s="193" t="s">
        <v>430</v>
      </c>
      <c r="I124" s="198">
        <v>46199.0</v>
      </c>
      <c r="J124" s="193" t="s">
        <v>431</v>
      </c>
      <c r="K124" s="193" t="s">
        <v>206</v>
      </c>
      <c r="L124" s="194" t="s">
        <v>144</v>
      </c>
      <c r="M124" s="199"/>
      <c r="N124" s="193" t="s">
        <v>207</v>
      </c>
      <c r="O124" s="193" t="s">
        <v>206</v>
      </c>
      <c r="P124" s="193" t="s">
        <v>206</v>
      </c>
      <c r="Q124" s="199"/>
      <c r="R124" s="193" t="s">
        <v>432</v>
      </c>
      <c r="S124" s="193" t="s">
        <v>44</v>
      </c>
      <c r="T124" s="193" t="s">
        <v>220</v>
      </c>
      <c r="U124" s="193" t="s">
        <v>433</v>
      </c>
      <c r="V124" s="193" t="s">
        <v>290</v>
      </c>
      <c r="W124" s="193" t="s">
        <v>212</v>
      </c>
      <c r="X124" s="193" t="s">
        <v>252</v>
      </c>
      <c r="Y124" s="200">
        <v>3.0</v>
      </c>
      <c r="Z124" s="202" t="s">
        <v>214</v>
      </c>
      <c r="AA124" s="202" t="s">
        <v>215</v>
      </c>
      <c r="AB124" s="203">
        <v>2675833.86</v>
      </c>
      <c r="AC124" s="203">
        <v>2675833.86</v>
      </c>
      <c r="AD124" s="204">
        <v>46199.0</v>
      </c>
      <c r="AE124" s="247">
        <v>46260.0</v>
      </c>
      <c r="AF124" s="205"/>
      <c r="AG124" s="219"/>
      <c r="AH124" s="219"/>
      <c r="AI124" s="219"/>
      <c r="AJ124" s="219"/>
      <c r="AK124" s="219"/>
      <c r="AL124" s="219"/>
      <c r="AM124" s="219"/>
      <c r="AN124" s="219"/>
      <c r="AO124" s="219"/>
    </row>
    <row r="125">
      <c r="A125" s="193">
        <v>11680.0</v>
      </c>
      <c r="B125" s="194" t="s">
        <v>203</v>
      </c>
      <c r="C125" s="193">
        <v>2026.0</v>
      </c>
      <c r="D125" s="195">
        <v>2048.0</v>
      </c>
      <c r="E125" s="193">
        <v>65.0</v>
      </c>
      <c r="F125" s="193" t="s">
        <v>272</v>
      </c>
      <c r="G125" s="233"/>
      <c r="H125" s="199"/>
      <c r="I125" s="233"/>
      <c r="J125" s="199"/>
      <c r="K125" s="193" t="s">
        <v>206</v>
      </c>
      <c r="L125" s="194" t="s">
        <v>144</v>
      </c>
      <c r="M125" s="199"/>
      <c r="N125" s="193" t="s">
        <v>227</v>
      </c>
      <c r="O125" s="193" t="s">
        <v>206</v>
      </c>
      <c r="P125" s="193" t="s">
        <v>244</v>
      </c>
      <c r="Q125" s="199"/>
      <c r="R125" s="193" t="s">
        <v>219</v>
      </c>
      <c r="S125" s="193" t="s">
        <v>45</v>
      </c>
      <c r="T125" s="193" t="s">
        <v>419</v>
      </c>
      <c r="U125" s="193" t="s">
        <v>434</v>
      </c>
      <c r="V125" s="193" t="s">
        <v>155</v>
      </c>
      <c r="W125" s="193" t="s">
        <v>203</v>
      </c>
      <c r="X125" s="193" t="s">
        <v>232</v>
      </c>
      <c r="Y125" s="200">
        <v>3.0</v>
      </c>
      <c r="Z125" s="202" t="s">
        <v>214</v>
      </c>
      <c r="AA125" s="202" t="s">
        <v>234</v>
      </c>
      <c r="AB125" s="221"/>
      <c r="AC125" s="203" t="s">
        <v>275</v>
      </c>
      <c r="AD125" s="249">
        <v>46291.0</v>
      </c>
      <c r="AE125" s="250">
        <v>46352.0</v>
      </c>
      <c r="AF125" s="226" t="s">
        <v>435</v>
      </c>
      <c r="AG125" s="219"/>
      <c r="AH125" s="219"/>
      <c r="AI125" s="219"/>
      <c r="AJ125" s="219"/>
      <c r="AK125" s="219"/>
      <c r="AL125" s="219"/>
      <c r="AM125" s="219"/>
      <c r="AN125" s="219"/>
      <c r="AO125" s="219"/>
    </row>
    <row r="126">
      <c r="A126" s="193">
        <v>11700.0</v>
      </c>
      <c r="B126" s="194" t="s">
        <v>203</v>
      </c>
      <c r="C126" s="193">
        <v>2026.0</v>
      </c>
      <c r="D126" s="195">
        <v>2048.0</v>
      </c>
      <c r="E126" s="199"/>
      <c r="F126" s="193" t="s">
        <v>204</v>
      </c>
      <c r="G126" s="198">
        <v>46121.0</v>
      </c>
      <c r="H126" s="193">
        <v>270.0</v>
      </c>
      <c r="I126" s="198">
        <v>46121.0</v>
      </c>
      <c r="J126" s="193" t="s">
        <v>436</v>
      </c>
      <c r="K126" s="193" t="s">
        <v>206</v>
      </c>
      <c r="L126" s="194" t="s">
        <v>144</v>
      </c>
      <c r="M126" s="199"/>
      <c r="N126" s="193" t="s">
        <v>207</v>
      </c>
      <c r="O126" s="193" t="s">
        <v>206</v>
      </c>
      <c r="P126" s="193" t="s">
        <v>244</v>
      </c>
      <c r="Q126" s="199"/>
      <c r="R126" s="193" t="s">
        <v>219</v>
      </c>
      <c r="S126" s="193" t="s">
        <v>45</v>
      </c>
      <c r="T126" s="193" t="s">
        <v>437</v>
      </c>
      <c r="U126" s="193" t="s">
        <v>438</v>
      </c>
      <c r="V126" s="193" t="s">
        <v>155</v>
      </c>
      <c r="W126" s="193" t="s">
        <v>203</v>
      </c>
      <c r="X126" s="193" t="s">
        <v>252</v>
      </c>
      <c r="Y126" s="200">
        <v>3.0</v>
      </c>
      <c r="Z126" s="202" t="s">
        <v>214</v>
      </c>
      <c r="AA126" s="202" t="s">
        <v>215</v>
      </c>
      <c r="AB126" s="203">
        <v>3799999.6</v>
      </c>
      <c r="AC126" s="203">
        <v>3799999.6</v>
      </c>
      <c r="AD126" s="258">
        <v>46138.0</v>
      </c>
      <c r="AE126" s="204">
        <v>46138.0</v>
      </c>
      <c r="AF126" s="226" t="s">
        <v>439</v>
      </c>
      <c r="AG126" s="219"/>
      <c r="AH126" s="219"/>
      <c r="AI126" s="219"/>
      <c r="AJ126" s="219"/>
      <c r="AK126" s="219"/>
      <c r="AL126" s="219"/>
      <c r="AM126" s="219"/>
      <c r="AN126" s="219"/>
      <c r="AO126" s="219"/>
    </row>
    <row r="127">
      <c r="A127" s="193">
        <v>11720.0</v>
      </c>
      <c r="B127" s="194" t="s">
        <v>203</v>
      </c>
      <c r="C127" s="193">
        <v>2026.0</v>
      </c>
      <c r="D127" s="195">
        <v>2048.0</v>
      </c>
      <c r="E127" s="193">
        <v>79.0</v>
      </c>
      <c r="F127" s="193" t="s">
        <v>272</v>
      </c>
      <c r="G127" s="248"/>
      <c r="H127" s="199"/>
      <c r="I127" s="233"/>
      <c r="J127" s="199"/>
      <c r="K127" s="193" t="s">
        <v>206</v>
      </c>
      <c r="L127" s="194" t="s">
        <v>144</v>
      </c>
      <c r="M127" s="199"/>
      <c r="N127" s="193" t="s">
        <v>227</v>
      </c>
      <c r="O127" s="193" t="s">
        <v>206</v>
      </c>
      <c r="P127" s="193" t="s">
        <v>244</v>
      </c>
      <c r="Q127" s="199"/>
      <c r="R127" s="193" t="s">
        <v>219</v>
      </c>
      <c r="S127" s="193" t="s">
        <v>45</v>
      </c>
      <c r="T127" s="193" t="s">
        <v>245</v>
      </c>
      <c r="U127" s="193" t="s">
        <v>440</v>
      </c>
      <c r="V127" s="193" t="s">
        <v>155</v>
      </c>
      <c r="W127" s="193" t="s">
        <v>203</v>
      </c>
      <c r="X127" s="193" t="s">
        <v>232</v>
      </c>
      <c r="Y127" s="200">
        <v>3.0</v>
      </c>
      <c r="Z127" s="202" t="s">
        <v>214</v>
      </c>
      <c r="AA127" s="202" t="s">
        <v>234</v>
      </c>
      <c r="AB127" s="221"/>
      <c r="AC127" s="203" t="s">
        <v>275</v>
      </c>
      <c r="AD127" s="249">
        <v>46291.0</v>
      </c>
      <c r="AE127" s="251">
        <v>46200.0</v>
      </c>
      <c r="AF127" s="226" t="s">
        <v>441</v>
      </c>
      <c r="AG127" s="219"/>
      <c r="AH127" s="219"/>
      <c r="AI127" s="219"/>
      <c r="AJ127" s="219"/>
      <c r="AK127" s="219"/>
      <c r="AL127" s="219"/>
      <c r="AM127" s="219"/>
      <c r="AN127" s="219"/>
      <c r="AO127" s="219"/>
    </row>
    <row r="128">
      <c r="A128" s="193">
        <v>11740.0</v>
      </c>
      <c r="B128" s="194" t="s">
        <v>203</v>
      </c>
      <c r="C128" s="193">
        <v>2026.0</v>
      </c>
      <c r="D128" s="195">
        <v>2048.0</v>
      </c>
      <c r="E128" s="193">
        <v>80.0</v>
      </c>
      <c r="F128" s="199"/>
      <c r="G128" s="248"/>
      <c r="H128" s="199"/>
      <c r="I128" s="233"/>
      <c r="J128" s="199"/>
      <c r="K128" s="193" t="s">
        <v>206</v>
      </c>
      <c r="L128" s="194" t="s">
        <v>144</v>
      </c>
      <c r="M128" s="199"/>
      <c r="N128" s="193" t="s">
        <v>227</v>
      </c>
      <c r="O128" s="193" t="s">
        <v>206</v>
      </c>
      <c r="P128" s="193" t="s">
        <v>244</v>
      </c>
      <c r="Q128" s="199"/>
      <c r="R128" s="193" t="s">
        <v>219</v>
      </c>
      <c r="S128" s="193" t="s">
        <v>45</v>
      </c>
      <c r="T128" s="193" t="s">
        <v>245</v>
      </c>
      <c r="U128" s="193" t="s">
        <v>442</v>
      </c>
      <c r="V128" s="193" t="s">
        <v>155</v>
      </c>
      <c r="W128" s="193" t="s">
        <v>203</v>
      </c>
      <c r="X128" s="193" t="s">
        <v>232</v>
      </c>
      <c r="Y128" s="200">
        <v>3.0</v>
      </c>
      <c r="Z128" s="202" t="s">
        <v>214</v>
      </c>
      <c r="AA128" s="202" t="s">
        <v>234</v>
      </c>
      <c r="AB128" s="221"/>
      <c r="AC128" s="203">
        <v>60000.0</v>
      </c>
      <c r="AD128" s="249">
        <v>46291.0</v>
      </c>
      <c r="AE128" s="251">
        <v>46200.0</v>
      </c>
      <c r="AF128" s="205"/>
      <c r="AG128" s="219"/>
      <c r="AH128" s="219"/>
      <c r="AI128" s="219"/>
      <c r="AJ128" s="219"/>
      <c r="AK128" s="219"/>
      <c r="AL128" s="219"/>
      <c r="AM128" s="219"/>
      <c r="AN128" s="219"/>
      <c r="AO128" s="219"/>
    </row>
    <row r="129">
      <c r="A129" s="193">
        <v>11760.0</v>
      </c>
      <c r="B129" s="194" t="s">
        <v>203</v>
      </c>
      <c r="C129" s="193">
        <v>2026.0</v>
      </c>
      <c r="D129" s="195">
        <v>2048.0</v>
      </c>
      <c r="E129" s="193">
        <v>68.0</v>
      </c>
      <c r="F129" s="193" t="s">
        <v>272</v>
      </c>
      <c r="G129" s="233"/>
      <c r="H129" s="199"/>
      <c r="I129" s="233"/>
      <c r="J129" s="199"/>
      <c r="K129" s="193" t="s">
        <v>206</v>
      </c>
      <c r="L129" s="194" t="s">
        <v>144</v>
      </c>
      <c r="M129" s="199"/>
      <c r="N129" s="193" t="s">
        <v>227</v>
      </c>
      <c r="O129" s="193" t="s">
        <v>206</v>
      </c>
      <c r="P129" s="193" t="s">
        <v>244</v>
      </c>
      <c r="Q129" s="199"/>
      <c r="R129" s="193" t="s">
        <v>219</v>
      </c>
      <c r="S129" s="193" t="s">
        <v>45</v>
      </c>
      <c r="T129" s="193" t="s">
        <v>419</v>
      </c>
      <c r="U129" s="193" t="s">
        <v>420</v>
      </c>
      <c r="V129" s="193" t="s">
        <v>155</v>
      </c>
      <c r="W129" s="193" t="s">
        <v>203</v>
      </c>
      <c r="X129" s="193" t="s">
        <v>232</v>
      </c>
      <c r="Y129" s="200">
        <v>3.0</v>
      </c>
      <c r="Z129" s="202" t="s">
        <v>214</v>
      </c>
      <c r="AA129" s="202" t="s">
        <v>234</v>
      </c>
      <c r="AB129" s="221"/>
      <c r="AC129" s="203" t="s">
        <v>275</v>
      </c>
      <c r="AD129" s="249">
        <v>46291.0</v>
      </c>
      <c r="AE129" s="251">
        <v>46352.0</v>
      </c>
      <c r="AF129" s="226" t="s">
        <v>435</v>
      </c>
      <c r="AG129" s="219"/>
      <c r="AH129" s="219"/>
      <c r="AI129" s="219"/>
      <c r="AJ129" s="219"/>
      <c r="AK129" s="219"/>
      <c r="AL129" s="219"/>
      <c r="AM129" s="219"/>
      <c r="AN129" s="219"/>
      <c r="AO129" s="219"/>
    </row>
    <row r="130">
      <c r="A130" s="193">
        <v>11780.0</v>
      </c>
      <c r="B130" s="194" t="s">
        <v>203</v>
      </c>
      <c r="C130" s="193">
        <v>2026.0</v>
      </c>
      <c r="D130" s="195">
        <v>2048.0</v>
      </c>
      <c r="E130" s="193">
        <v>69.0</v>
      </c>
      <c r="F130" s="193" t="s">
        <v>272</v>
      </c>
      <c r="G130" s="235"/>
      <c r="H130" s="199"/>
      <c r="I130" s="235"/>
      <c r="J130" s="199"/>
      <c r="K130" s="193" t="s">
        <v>206</v>
      </c>
      <c r="L130" s="194" t="s">
        <v>144</v>
      </c>
      <c r="M130" s="199"/>
      <c r="N130" s="193" t="s">
        <v>227</v>
      </c>
      <c r="O130" s="193" t="s">
        <v>206</v>
      </c>
      <c r="P130" s="193" t="s">
        <v>244</v>
      </c>
      <c r="Q130" s="199"/>
      <c r="R130" s="193" t="s">
        <v>219</v>
      </c>
      <c r="S130" s="193" t="s">
        <v>45</v>
      </c>
      <c r="T130" s="193" t="s">
        <v>419</v>
      </c>
      <c r="U130" s="193" t="s">
        <v>443</v>
      </c>
      <c r="V130" s="193" t="s">
        <v>155</v>
      </c>
      <c r="W130" s="193" t="s">
        <v>203</v>
      </c>
      <c r="X130" s="193" t="s">
        <v>232</v>
      </c>
      <c r="Y130" s="200">
        <v>3.0</v>
      </c>
      <c r="Z130" s="202" t="s">
        <v>214</v>
      </c>
      <c r="AA130" s="202" t="s">
        <v>234</v>
      </c>
      <c r="AB130" s="221"/>
      <c r="AC130" s="203" t="s">
        <v>275</v>
      </c>
      <c r="AD130" s="249">
        <v>46291.0</v>
      </c>
      <c r="AE130" s="251">
        <v>46352.0</v>
      </c>
      <c r="AF130" s="226" t="s">
        <v>435</v>
      </c>
      <c r="AG130" s="219"/>
      <c r="AH130" s="219"/>
      <c r="AI130" s="219"/>
      <c r="AJ130" s="219"/>
      <c r="AK130" s="219"/>
      <c r="AL130" s="219"/>
      <c r="AM130" s="219"/>
      <c r="AN130" s="219"/>
      <c r="AO130" s="219"/>
    </row>
    <row r="131">
      <c r="A131" s="193">
        <v>11800.0</v>
      </c>
      <c r="B131" s="194" t="s">
        <v>203</v>
      </c>
      <c r="C131" s="193">
        <v>2026.0</v>
      </c>
      <c r="D131" s="195">
        <v>2048.0</v>
      </c>
      <c r="E131" s="199"/>
      <c r="F131" s="193" t="s">
        <v>204</v>
      </c>
      <c r="G131" s="198">
        <v>46079.0</v>
      </c>
      <c r="H131" s="193">
        <v>109.0</v>
      </c>
      <c r="I131" s="198">
        <v>46079.0</v>
      </c>
      <c r="J131" s="193" t="s">
        <v>444</v>
      </c>
      <c r="K131" s="193" t="s">
        <v>206</v>
      </c>
      <c r="L131" s="194" t="s">
        <v>144</v>
      </c>
      <c r="M131" s="199"/>
      <c r="N131" s="193" t="s">
        <v>227</v>
      </c>
      <c r="O131" s="193" t="s">
        <v>206</v>
      </c>
      <c r="P131" s="193" t="s">
        <v>206</v>
      </c>
      <c r="Q131" s="199"/>
      <c r="R131" s="193" t="s">
        <v>219</v>
      </c>
      <c r="S131" s="193" t="s">
        <v>45</v>
      </c>
      <c r="T131" s="193" t="s">
        <v>229</v>
      </c>
      <c r="U131" s="193" t="s">
        <v>445</v>
      </c>
      <c r="V131" s="193" t="s">
        <v>231</v>
      </c>
      <c r="W131" s="193" t="s">
        <v>212</v>
      </c>
      <c r="X131" s="193" t="s">
        <v>232</v>
      </c>
      <c r="Y131" s="200">
        <v>3.0</v>
      </c>
      <c r="Z131" s="202" t="s">
        <v>233</v>
      </c>
      <c r="AA131" s="202" t="s">
        <v>234</v>
      </c>
      <c r="AB131" s="221"/>
      <c r="AC131" s="203">
        <v>1187433.02</v>
      </c>
      <c r="AD131" s="204">
        <v>46079.0</v>
      </c>
      <c r="AE131" s="204">
        <v>46168.0</v>
      </c>
      <c r="AF131" s="205"/>
      <c r="AG131" s="219"/>
      <c r="AH131" s="219"/>
      <c r="AI131" s="219"/>
      <c r="AJ131" s="219"/>
      <c r="AK131" s="219"/>
      <c r="AL131" s="219"/>
      <c r="AM131" s="219"/>
      <c r="AN131" s="219"/>
      <c r="AO131" s="219"/>
    </row>
    <row r="132">
      <c r="A132" s="193">
        <v>11820.0</v>
      </c>
      <c r="B132" s="194" t="s">
        <v>203</v>
      </c>
      <c r="C132" s="193">
        <v>2026.0</v>
      </c>
      <c r="D132" s="195">
        <v>2048.0</v>
      </c>
      <c r="E132" s="193">
        <v>43.0</v>
      </c>
      <c r="F132" s="199"/>
      <c r="G132" s="233"/>
      <c r="H132" s="199"/>
      <c r="I132" s="233"/>
      <c r="J132" s="199"/>
      <c r="K132" s="193" t="s">
        <v>206</v>
      </c>
      <c r="L132" s="194" t="s">
        <v>144</v>
      </c>
      <c r="M132" s="199"/>
      <c r="N132" s="193" t="s">
        <v>227</v>
      </c>
      <c r="O132" s="193" t="s">
        <v>206</v>
      </c>
      <c r="P132" s="193" t="s">
        <v>206</v>
      </c>
      <c r="Q132" s="199"/>
      <c r="R132" s="193" t="s">
        <v>219</v>
      </c>
      <c r="S132" s="193" t="s">
        <v>45</v>
      </c>
      <c r="T132" s="193" t="s">
        <v>229</v>
      </c>
      <c r="U132" s="193" t="s">
        <v>446</v>
      </c>
      <c r="V132" s="193" t="s">
        <v>231</v>
      </c>
      <c r="W132" s="193" t="s">
        <v>212</v>
      </c>
      <c r="X132" s="193" t="s">
        <v>232</v>
      </c>
      <c r="Y132" s="200">
        <v>3.0</v>
      </c>
      <c r="Z132" s="202" t="s">
        <v>233</v>
      </c>
      <c r="AA132" s="202" t="s">
        <v>234</v>
      </c>
      <c r="AB132" s="221"/>
      <c r="AC132" s="203">
        <v>1000000.0</v>
      </c>
      <c r="AD132" s="204">
        <v>46352.0</v>
      </c>
      <c r="AE132" s="204">
        <v>46049.0</v>
      </c>
      <c r="AF132" s="205"/>
      <c r="AG132" s="219"/>
      <c r="AH132" s="219"/>
      <c r="AI132" s="219"/>
      <c r="AJ132" s="219"/>
      <c r="AK132" s="219"/>
      <c r="AL132" s="219"/>
      <c r="AM132" s="219"/>
      <c r="AN132" s="219"/>
      <c r="AO132" s="219"/>
    </row>
    <row r="133">
      <c r="A133" s="193">
        <v>11840.0</v>
      </c>
      <c r="B133" s="194" t="s">
        <v>203</v>
      </c>
      <c r="C133" s="193">
        <v>2026.0</v>
      </c>
      <c r="D133" s="195">
        <v>2048.0</v>
      </c>
      <c r="E133" s="193">
        <v>47.0</v>
      </c>
      <c r="F133" s="199"/>
      <c r="G133" s="233"/>
      <c r="H133" s="199"/>
      <c r="I133" s="233"/>
      <c r="J133" s="199"/>
      <c r="K133" s="193" t="s">
        <v>206</v>
      </c>
      <c r="L133" s="194" t="s">
        <v>144</v>
      </c>
      <c r="M133" s="199"/>
      <c r="N133" s="193" t="s">
        <v>227</v>
      </c>
      <c r="O133" s="193" t="s">
        <v>206</v>
      </c>
      <c r="P133" s="193" t="s">
        <v>206</v>
      </c>
      <c r="Q133" s="199"/>
      <c r="R133" s="193" t="s">
        <v>219</v>
      </c>
      <c r="S133" s="193" t="s">
        <v>45</v>
      </c>
      <c r="T133" s="193" t="s">
        <v>229</v>
      </c>
      <c r="U133" s="193" t="s">
        <v>447</v>
      </c>
      <c r="V133" s="193" t="s">
        <v>231</v>
      </c>
      <c r="W133" s="193" t="s">
        <v>212</v>
      </c>
      <c r="X133" s="193" t="s">
        <v>232</v>
      </c>
      <c r="Y133" s="200">
        <v>3.0</v>
      </c>
      <c r="Z133" s="202" t="s">
        <v>233</v>
      </c>
      <c r="AA133" s="202" t="s">
        <v>234</v>
      </c>
      <c r="AB133" s="221"/>
      <c r="AC133" s="203">
        <v>1000000.0</v>
      </c>
      <c r="AD133" s="204">
        <v>46352.0</v>
      </c>
      <c r="AE133" s="204">
        <v>46049.0</v>
      </c>
      <c r="AF133" s="205"/>
      <c r="AG133" s="219"/>
      <c r="AH133" s="219"/>
      <c r="AI133" s="219"/>
      <c r="AJ133" s="219"/>
      <c r="AK133" s="219"/>
      <c r="AL133" s="219"/>
      <c r="AM133" s="219"/>
      <c r="AN133" s="219"/>
      <c r="AO133" s="219"/>
    </row>
    <row r="134">
      <c r="A134" s="193">
        <v>11860.0</v>
      </c>
      <c r="B134" s="194" t="s">
        <v>203</v>
      </c>
      <c r="C134" s="193">
        <v>2026.0</v>
      </c>
      <c r="D134" s="195">
        <v>2048.0</v>
      </c>
      <c r="E134" s="193">
        <v>54.0</v>
      </c>
      <c r="F134" s="199"/>
      <c r="G134" s="233"/>
      <c r="H134" s="199"/>
      <c r="I134" s="233"/>
      <c r="J134" s="199"/>
      <c r="K134" s="193" t="s">
        <v>206</v>
      </c>
      <c r="L134" s="194" t="s">
        <v>144</v>
      </c>
      <c r="M134" s="199"/>
      <c r="N134" s="193" t="s">
        <v>227</v>
      </c>
      <c r="O134" s="193" t="s">
        <v>206</v>
      </c>
      <c r="P134" s="193" t="s">
        <v>206</v>
      </c>
      <c r="Q134" s="199"/>
      <c r="R134" s="193" t="s">
        <v>219</v>
      </c>
      <c r="S134" s="193" t="s">
        <v>45</v>
      </c>
      <c r="T134" s="193" t="s">
        <v>229</v>
      </c>
      <c r="U134" s="193" t="s">
        <v>448</v>
      </c>
      <c r="V134" s="193" t="s">
        <v>231</v>
      </c>
      <c r="W134" s="193" t="s">
        <v>212</v>
      </c>
      <c r="X134" s="193" t="s">
        <v>232</v>
      </c>
      <c r="Y134" s="200">
        <v>3.0</v>
      </c>
      <c r="Z134" s="202" t="s">
        <v>233</v>
      </c>
      <c r="AA134" s="202" t="s">
        <v>234</v>
      </c>
      <c r="AB134" s="221"/>
      <c r="AC134" s="203">
        <v>1000000.0</v>
      </c>
      <c r="AD134" s="204">
        <v>46352.0</v>
      </c>
      <c r="AE134" s="204">
        <v>46049.0</v>
      </c>
      <c r="AF134" s="205"/>
      <c r="AG134" s="219"/>
      <c r="AH134" s="219"/>
      <c r="AI134" s="219"/>
      <c r="AJ134" s="219"/>
      <c r="AK134" s="219"/>
      <c r="AL134" s="219"/>
      <c r="AM134" s="219"/>
      <c r="AN134" s="219"/>
      <c r="AO134" s="219"/>
    </row>
    <row r="135">
      <c r="A135" s="193">
        <v>11880.0</v>
      </c>
      <c r="B135" s="194" t="s">
        <v>203</v>
      </c>
      <c r="C135" s="193">
        <v>2026.0</v>
      </c>
      <c r="D135" s="195">
        <v>2048.0</v>
      </c>
      <c r="E135" s="193">
        <v>77.0</v>
      </c>
      <c r="F135" s="272"/>
      <c r="G135" s="248"/>
      <c r="H135" s="199"/>
      <c r="I135" s="235"/>
      <c r="J135" s="199"/>
      <c r="K135" s="193" t="s">
        <v>206</v>
      </c>
      <c r="L135" s="194" t="s">
        <v>144</v>
      </c>
      <c r="M135" s="199"/>
      <c r="N135" s="193" t="s">
        <v>337</v>
      </c>
      <c r="O135" s="193" t="s">
        <v>206</v>
      </c>
      <c r="P135" s="193" t="s">
        <v>206</v>
      </c>
      <c r="Q135" s="199"/>
      <c r="R135" s="193" t="s">
        <v>219</v>
      </c>
      <c r="S135" s="193" t="s">
        <v>45</v>
      </c>
      <c r="T135" s="193" t="s">
        <v>358</v>
      </c>
      <c r="U135" s="193" t="s">
        <v>359</v>
      </c>
      <c r="V135" s="193" t="s">
        <v>231</v>
      </c>
      <c r="W135" s="193" t="s">
        <v>212</v>
      </c>
      <c r="X135" s="193" t="s">
        <v>232</v>
      </c>
      <c r="Y135" s="200">
        <v>3.0</v>
      </c>
      <c r="Z135" s="202" t="s">
        <v>233</v>
      </c>
      <c r="AA135" s="202" t="s">
        <v>234</v>
      </c>
      <c r="AB135" s="221"/>
      <c r="AC135" s="203">
        <v>100000.0</v>
      </c>
      <c r="AD135" s="204">
        <v>46229.0</v>
      </c>
      <c r="AE135" s="204">
        <v>46291.0</v>
      </c>
      <c r="AF135" s="226" t="s">
        <v>449</v>
      </c>
      <c r="AG135" s="219"/>
      <c r="AH135" s="219"/>
      <c r="AI135" s="219"/>
      <c r="AJ135" s="219"/>
      <c r="AK135" s="219"/>
      <c r="AL135" s="219"/>
      <c r="AM135" s="219"/>
      <c r="AN135" s="219"/>
      <c r="AO135" s="219"/>
    </row>
    <row r="136">
      <c r="A136" s="193">
        <v>11900.0</v>
      </c>
      <c r="B136" s="194" t="s">
        <v>203</v>
      </c>
      <c r="C136" s="193">
        <v>2026.0</v>
      </c>
      <c r="D136" s="195">
        <v>2048.0</v>
      </c>
      <c r="E136" s="196"/>
      <c r="F136" s="193" t="s">
        <v>272</v>
      </c>
      <c r="G136" s="225"/>
      <c r="H136" s="199"/>
      <c r="I136" s="235"/>
      <c r="J136" s="199"/>
      <c r="K136" s="193" t="s">
        <v>206</v>
      </c>
      <c r="L136" s="194" t="s">
        <v>144</v>
      </c>
      <c r="M136" s="199"/>
      <c r="N136" s="193" t="s">
        <v>227</v>
      </c>
      <c r="O136" s="193" t="s">
        <v>206</v>
      </c>
      <c r="P136" s="193" t="s">
        <v>206</v>
      </c>
      <c r="Q136" s="199"/>
      <c r="R136" s="193" t="s">
        <v>269</v>
      </c>
      <c r="S136" s="193" t="s">
        <v>49</v>
      </c>
      <c r="T136" s="193" t="s">
        <v>229</v>
      </c>
      <c r="U136" s="193" t="s">
        <v>359</v>
      </c>
      <c r="V136" s="193" t="s">
        <v>231</v>
      </c>
      <c r="W136" s="193" t="s">
        <v>212</v>
      </c>
      <c r="X136" s="193" t="s">
        <v>232</v>
      </c>
      <c r="Y136" s="200">
        <v>3.0</v>
      </c>
      <c r="Z136" s="202" t="s">
        <v>233</v>
      </c>
      <c r="AA136" s="202" t="s">
        <v>234</v>
      </c>
      <c r="AB136" s="203" t="s">
        <v>275</v>
      </c>
      <c r="AC136" s="203" t="s">
        <v>275</v>
      </c>
      <c r="AD136" s="204">
        <v>46291.0</v>
      </c>
      <c r="AE136" s="204">
        <v>46352.0</v>
      </c>
      <c r="AF136" s="226" t="s">
        <v>450</v>
      </c>
      <c r="AG136" s="219"/>
      <c r="AH136" s="219"/>
      <c r="AI136" s="219"/>
      <c r="AJ136" s="219"/>
      <c r="AK136" s="219"/>
      <c r="AL136" s="219"/>
      <c r="AM136" s="219"/>
      <c r="AN136" s="219"/>
      <c r="AO136" s="219"/>
    </row>
    <row r="137">
      <c r="A137" s="193">
        <v>11920.0</v>
      </c>
      <c r="B137" s="194" t="s">
        <v>203</v>
      </c>
      <c r="C137" s="193">
        <v>2026.0</v>
      </c>
      <c r="D137" s="195">
        <v>2048.0</v>
      </c>
      <c r="E137" s="199"/>
      <c r="F137" s="208" t="s">
        <v>204</v>
      </c>
      <c r="G137" s="230">
        <v>46079.0</v>
      </c>
      <c r="H137" s="193">
        <v>106.0</v>
      </c>
      <c r="I137" s="223">
        <v>46079.0</v>
      </c>
      <c r="J137" s="193" t="s">
        <v>451</v>
      </c>
      <c r="K137" s="193" t="s">
        <v>206</v>
      </c>
      <c r="L137" s="194" t="s">
        <v>144</v>
      </c>
      <c r="M137" s="199"/>
      <c r="N137" s="193" t="s">
        <v>227</v>
      </c>
      <c r="O137" s="193" t="s">
        <v>206</v>
      </c>
      <c r="P137" s="193" t="s">
        <v>206</v>
      </c>
      <c r="Q137" s="199"/>
      <c r="R137" s="193" t="s">
        <v>228</v>
      </c>
      <c r="S137" s="193" t="s">
        <v>48</v>
      </c>
      <c r="T137" s="193" t="s">
        <v>229</v>
      </c>
      <c r="U137" s="193" t="s">
        <v>445</v>
      </c>
      <c r="V137" s="193" t="s">
        <v>231</v>
      </c>
      <c r="W137" s="193" t="s">
        <v>212</v>
      </c>
      <c r="X137" s="193" t="s">
        <v>232</v>
      </c>
      <c r="Y137" s="200">
        <v>3.0</v>
      </c>
      <c r="Z137" s="202" t="s">
        <v>233</v>
      </c>
      <c r="AA137" s="202" t="s">
        <v>234</v>
      </c>
      <c r="AB137" s="221"/>
      <c r="AC137" s="203">
        <v>143554.6</v>
      </c>
      <c r="AD137" s="204">
        <v>46079.0</v>
      </c>
      <c r="AE137" s="204">
        <v>46168.0</v>
      </c>
      <c r="AF137" s="205"/>
      <c r="AG137" s="219"/>
      <c r="AH137" s="219"/>
      <c r="AI137" s="219"/>
      <c r="AJ137" s="219"/>
      <c r="AK137" s="219"/>
      <c r="AL137" s="219"/>
      <c r="AM137" s="219"/>
      <c r="AN137" s="219"/>
      <c r="AO137" s="219"/>
    </row>
    <row r="138">
      <c r="A138" s="193">
        <v>11921.0</v>
      </c>
      <c r="B138" s="194" t="s">
        <v>203</v>
      </c>
      <c r="C138" s="193">
        <v>2026.0</v>
      </c>
      <c r="D138" s="195">
        <v>2048.0</v>
      </c>
      <c r="E138" s="199"/>
      <c r="F138" s="193" t="s">
        <v>204</v>
      </c>
      <c r="G138" s="230">
        <v>46079.0</v>
      </c>
      <c r="H138" s="193">
        <v>106.0</v>
      </c>
      <c r="I138" s="230">
        <v>46079.0</v>
      </c>
      <c r="J138" s="193" t="s">
        <v>361</v>
      </c>
      <c r="K138" s="193" t="s">
        <v>206</v>
      </c>
      <c r="L138" s="194" t="s">
        <v>144</v>
      </c>
      <c r="M138" s="199"/>
      <c r="N138" s="193" t="s">
        <v>227</v>
      </c>
      <c r="O138" s="193" t="s">
        <v>206</v>
      </c>
      <c r="P138" s="193" t="s">
        <v>206</v>
      </c>
      <c r="Q138" s="199"/>
      <c r="R138" s="193" t="s">
        <v>228</v>
      </c>
      <c r="S138" s="193" t="s">
        <v>47</v>
      </c>
      <c r="T138" s="193" t="s">
        <v>229</v>
      </c>
      <c r="U138" s="193" t="s">
        <v>359</v>
      </c>
      <c r="V138" s="193" t="s">
        <v>231</v>
      </c>
      <c r="W138" s="193" t="s">
        <v>212</v>
      </c>
      <c r="X138" s="193" t="s">
        <v>232</v>
      </c>
      <c r="Y138" s="200">
        <v>3.0</v>
      </c>
      <c r="Z138" s="202" t="s">
        <v>233</v>
      </c>
      <c r="AA138" s="202" t="s">
        <v>234</v>
      </c>
      <c r="AB138" s="203">
        <v>113.4</v>
      </c>
      <c r="AC138" s="203">
        <v>594.84</v>
      </c>
      <c r="AD138" s="204">
        <v>46079.0</v>
      </c>
      <c r="AE138" s="204">
        <v>46168.0</v>
      </c>
      <c r="AF138" s="205"/>
      <c r="AG138" s="219"/>
      <c r="AH138" s="219"/>
      <c r="AI138" s="219"/>
      <c r="AJ138" s="219"/>
      <c r="AK138" s="219"/>
      <c r="AL138" s="219"/>
      <c r="AM138" s="219"/>
      <c r="AN138" s="219"/>
      <c r="AO138" s="219"/>
    </row>
    <row r="139">
      <c r="A139" s="193">
        <v>11922.0</v>
      </c>
      <c r="B139" s="194" t="s">
        <v>203</v>
      </c>
      <c r="C139" s="193">
        <v>2026.0</v>
      </c>
      <c r="D139" s="195">
        <v>2048.0</v>
      </c>
      <c r="E139" s="199"/>
      <c r="F139" s="193" t="s">
        <v>204</v>
      </c>
      <c r="G139" s="230">
        <v>46079.0</v>
      </c>
      <c r="H139" s="193">
        <v>106.0</v>
      </c>
      <c r="I139" s="230">
        <v>46079.0</v>
      </c>
      <c r="J139" s="193" t="s">
        <v>374</v>
      </c>
      <c r="K139" s="193" t="s">
        <v>206</v>
      </c>
      <c r="L139" s="194" t="s">
        <v>144</v>
      </c>
      <c r="M139" s="199"/>
      <c r="N139" s="193" t="s">
        <v>227</v>
      </c>
      <c r="O139" s="193" t="s">
        <v>206</v>
      </c>
      <c r="P139" s="193" t="s">
        <v>206</v>
      </c>
      <c r="Q139" s="199"/>
      <c r="R139" s="193" t="s">
        <v>228</v>
      </c>
      <c r="S139" s="193" t="s">
        <v>46</v>
      </c>
      <c r="T139" s="193" t="s">
        <v>229</v>
      </c>
      <c r="U139" s="193" t="s">
        <v>371</v>
      </c>
      <c r="V139" s="193" t="s">
        <v>231</v>
      </c>
      <c r="W139" s="193" t="s">
        <v>212</v>
      </c>
      <c r="X139" s="193" t="s">
        <v>232</v>
      </c>
      <c r="Y139" s="200">
        <v>3.0</v>
      </c>
      <c r="Z139" s="202" t="s">
        <v>233</v>
      </c>
      <c r="AA139" s="202" t="s">
        <v>234</v>
      </c>
      <c r="AB139" s="203">
        <v>162.15</v>
      </c>
      <c r="AC139" s="203">
        <v>850.56</v>
      </c>
      <c r="AD139" s="204">
        <v>46079.0</v>
      </c>
      <c r="AE139" s="204">
        <v>46168.0</v>
      </c>
      <c r="AF139" s="205"/>
      <c r="AG139" s="219"/>
      <c r="AH139" s="219"/>
      <c r="AI139" s="219"/>
      <c r="AJ139" s="219"/>
      <c r="AK139" s="219"/>
      <c r="AL139" s="219"/>
      <c r="AM139" s="219"/>
      <c r="AN139" s="219"/>
      <c r="AO139" s="219"/>
    </row>
    <row r="140">
      <c r="A140" s="193">
        <v>11940.0</v>
      </c>
      <c r="B140" s="194" t="s">
        <v>203</v>
      </c>
      <c r="C140" s="193">
        <v>2026.0</v>
      </c>
      <c r="D140" s="195">
        <v>2048.0</v>
      </c>
      <c r="E140" s="199"/>
      <c r="F140" s="193" t="s">
        <v>204</v>
      </c>
      <c r="G140" s="198">
        <v>46079.0</v>
      </c>
      <c r="H140" s="193">
        <v>106.0</v>
      </c>
      <c r="I140" s="198">
        <v>46079.0</v>
      </c>
      <c r="J140" s="193" t="s">
        <v>451</v>
      </c>
      <c r="K140" s="193" t="s">
        <v>206</v>
      </c>
      <c r="L140" s="194" t="s">
        <v>144</v>
      </c>
      <c r="M140" s="199"/>
      <c r="N140" s="193" t="s">
        <v>227</v>
      </c>
      <c r="O140" s="193" t="s">
        <v>206</v>
      </c>
      <c r="P140" s="193" t="s">
        <v>206</v>
      </c>
      <c r="Q140" s="199"/>
      <c r="R140" s="193" t="s">
        <v>228</v>
      </c>
      <c r="S140" s="193" t="s">
        <v>48</v>
      </c>
      <c r="T140" s="193" t="s">
        <v>229</v>
      </c>
      <c r="U140" s="193" t="s">
        <v>446</v>
      </c>
      <c r="V140" s="193" t="s">
        <v>231</v>
      </c>
      <c r="W140" s="193" t="s">
        <v>212</v>
      </c>
      <c r="X140" s="193" t="s">
        <v>232</v>
      </c>
      <c r="Y140" s="200">
        <v>3.0</v>
      </c>
      <c r="Z140" s="202" t="s">
        <v>233</v>
      </c>
      <c r="AA140" s="202" t="s">
        <v>234</v>
      </c>
      <c r="AB140" s="221"/>
      <c r="AC140" s="203">
        <v>128581.69</v>
      </c>
      <c r="AD140" s="204">
        <v>46079.0</v>
      </c>
      <c r="AE140" s="204">
        <v>46168.0</v>
      </c>
      <c r="AF140" s="205"/>
      <c r="AG140" s="219"/>
      <c r="AH140" s="219"/>
      <c r="AI140" s="219"/>
      <c r="AJ140" s="219"/>
      <c r="AK140" s="219"/>
      <c r="AL140" s="219"/>
      <c r="AM140" s="219"/>
      <c r="AN140" s="219"/>
      <c r="AO140" s="219"/>
    </row>
    <row r="141">
      <c r="A141" s="193">
        <v>11960.0</v>
      </c>
      <c r="B141" s="232" t="s">
        <v>264</v>
      </c>
      <c r="C141" s="193">
        <v>2026.0</v>
      </c>
      <c r="D141" s="199"/>
      <c r="E141" s="199"/>
      <c r="F141" s="193" t="s">
        <v>265</v>
      </c>
      <c r="G141" s="233"/>
      <c r="H141" s="199"/>
      <c r="I141" s="233"/>
      <c r="J141" s="199"/>
      <c r="K141" s="193" t="s">
        <v>206</v>
      </c>
      <c r="L141" s="234" t="s">
        <v>145</v>
      </c>
      <c r="M141" s="199"/>
      <c r="N141" s="193" t="s">
        <v>337</v>
      </c>
      <c r="O141" s="193" t="s">
        <v>206</v>
      </c>
      <c r="P141" s="193" t="s">
        <v>206</v>
      </c>
      <c r="Q141" s="199"/>
      <c r="R141" s="193" t="s">
        <v>228</v>
      </c>
      <c r="S141" s="193" t="s">
        <v>48</v>
      </c>
      <c r="T141" s="193" t="s">
        <v>358</v>
      </c>
      <c r="U141" s="193" t="s">
        <v>359</v>
      </c>
      <c r="V141" s="193" t="s">
        <v>231</v>
      </c>
      <c r="W141" s="193" t="s">
        <v>212</v>
      </c>
      <c r="X141" s="193" t="s">
        <v>232</v>
      </c>
      <c r="Y141" s="200">
        <v>3.0</v>
      </c>
      <c r="Z141" s="202" t="s">
        <v>233</v>
      </c>
      <c r="AA141" s="202" t="s">
        <v>234</v>
      </c>
      <c r="AB141" s="221"/>
      <c r="AC141" s="203">
        <v>20000.0</v>
      </c>
      <c r="AD141" s="204">
        <v>46229.0</v>
      </c>
      <c r="AE141" s="204">
        <v>46291.0</v>
      </c>
      <c r="AF141" s="205"/>
      <c r="AG141" s="219"/>
      <c r="AH141" s="219"/>
      <c r="AI141" s="219"/>
      <c r="AJ141" s="219"/>
      <c r="AK141" s="219"/>
      <c r="AL141" s="219"/>
      <c r="AM141" s="219"/>
      <c r="AN141" s="219"/>
      <c r="AO141" s="219"/>
    </row>
    <row r="142">
      <c r="A142" s="193">
        <v>11980.0</v>
      </c>
      <c r="B142" s="232" t="s">
        <v>264</v>
      </c>
      <c r="C142" s="193">
        <v>2026.0</v>
      </c>
      <c r="D142" s="199"/>
      <c r="E142" s="199"/>
      <c r="F142" s="193" t="s">
        <v>265</v>
      </c>
      <c r="G142" s="248"/>
      <c r="H142" s="199"/>
      <c r="I142" s="248"/>
      <c r="J142" s="199"/>
      <c r="K142" s="193" t="s">
        <v>206</v>
      </c>
      <c r="L142" s="234" t="s">
        <v>145</v>
      </c>
      <c r="M142" s="199"/>
      <c r="N142" s="193" t="s">
        <v>227</v>
      </c>
      <c r="O142" s="193" t="s">
        <v>206</v>
      </c>
      <c r="P142" s="193" t="s">
        <v>206</v>
      </c>
      <c r="Q142" s="199"/>
      <c r="R142" s="193" t="s">
        <v>279</v>
      </c>
      <c r="S142" s="193" t="s">
        <v>50</v>
      </c>
      <c r="T142" s="193" t="s">
        <v>280</v>
      </c>
      <c r="U142" s="193" t="s">
        <v>452</v>
      </c>
      <c r="V142" s="193" t="s">
        <v>50</v>
      </c>
      <c r="W142" s="193" t="s">
        <v>264</v>
      </c>
      <c r="X142" s="193" t="s">
        <v>232</v>
      </c>
      <c r="Y142" s="200">
        <v>3.0</v>
      </c>
      <c r="Z142" s="202" t="s">
        <v>233</v>
      </c>
      <c r="AA142" s="202" t="s">
        <v>234</v>
      </c>
      <c r="AB142" s="221"/>
      <c r="AC142" s="203">
        <v>1679899.79</v>
      </c>
      <c r="AD142" s="204">
        <v>46352.0</v>
      </c>
      <c r="AE142" s="204">
        <v>46049.0</v>
      </c>
      <c r="AF142" s="205"/>
      <c r="AG142" s="219"/>
      <c r="AH142" s="219"/>
      <c r="AI142" s="219"/>
      <c r="AJ142" s="219"/>
      <c r="AK142" s="219"/>
      <c r="AL142" s="219"/>
      <c r="AM142" s="219"/>
      <c r="AN142" s="219"/>
      <c r="AO142" s="219"/>
    </row>
    <row r="143">
      <c r="A143" s="193">
        <v>12000.0</v>
      </c>
      <c r="B143" s="194" t="s">
        <v>203</v>
      </c>
      <c r="C143" s="193">
        <v>2026.0</v>
      </c>
      <c r="D143" s="195">
        <v>2048.0</v>
      </c>
      <c r="E143" s="193">
        <v>40.0</v>
      </c>
      <c r="F143" s="199"/>
      <c r="G143" s="235"/>
      <c r="H143" s="199"/>
      <c r="I143" s="235"/>
      <c r="J143" s="199"/>
      <c r="K143" s="193" t="s">
        <v>206</v>
      </c>
      <c r="L143" s="194" t="s">
        <v>144</v>
      </c>
      <c r="M143" s="199"/>
      <c r="N143" s="193" t="s">
        <v>227</v>
      </c>
      <c r="O143" s="193" t="s">
        <v>206</v>
      </c>
      <c r="P143" s="193" t="s">
        <v>206</v>
      </c>
      <c r="Q143" s="199"/>
      <c r="R143" s="193" t="s">
        <v>279</v>
      </c>
      <c r="S143" s="193" t="s">
        <v>50</v>
      </c>
      <c r="T143" s="193" t="s">
        <v>453</v>
      </c>
      <c r="U143" s="193" t="s">
        <v>454</v>
      </c>
      <c r="V143" s="193" t="s">
        <v>50</v>
      </c>
      <c r="W143" s="193" t="s">
        <v>264</v>
      </c>
      <c r="X143" s="193" t="s">
        <v>232</v>
      </c>
      <c r="Y143" s="200">
        <v>3.0</v>
      </c>
      <c r="Z143" s="202" t="s">
        <v>214</v>
      </c>
      <c r="AA143" s="202" t="s">
        <v>234</v>
      </c>
      <c r="AB143" s="203">
        <v>6720.0</v>
      </c>
      <c r="AC143" s="203">
        <v>38304.0</v>
      </c>
      <c r="AD143" s="204">
        <v>46199.0</v>
      </c>
      <c r="AE143" s="204">
        <v>46260.0</v>
      </c>
      <c r="AF143" s="226" t="s">
        <v>455</v>
      </c>
      <c r="AG143" s="219"/>
      <c r="AH143" s="219"/>
      <c r="AI143" s="219"/>
      <c r="AJ143" s="219"/>
      <c r="AK143" s="219"/>
      <c r="AL143" s="219"/>
      <c r="AM143" s="219"/>
      <c r="AN143" s="219"/>
      <c r="AO143" s="219"/>
    </row>
    <row r="144">
      <c r="A144" s="193">
        <v>12001.0</v>
      </c>
      <c r="B144" s="194" t="s">
        <v>203</v>
      </c>
      <c r="C144" s="193">
        <v>2026.0</v>
      </c>
      <c r="D144" s="195">
        <v>2048.0</v>
      </c>
      <c r="E144" s="199"/>
      <c r="F144" s="193" t="s">
        <v>204</v>
      </c>
      <c r="G144" s="230">
        <v>46196.0</v>
      </c>
      <c r="H144" s="193">
        <v>481.0</v>
      </c>
      <c r="I144" s="230">
        <v>46196.0</v>
      </c>
      <c r="J144" s="193" t="s">
        <v>456</v>
      </c>
      <c r="K144" s="193" t="s">
        <v>206</v>
      </c>
      <c r="L144" s="194" t="s">
        <v>144</v>
      </c>
      <c r="M144" s="199"/>
      <c r="N144" s="193" t="s">
        <v>227</v>
      </c>
      <c r="O144" s="193" t="s">
        <v>206</v>
      </c>
      <c r="P144" s="193" t="s">
        <v>206</v>
      </c>
      <c r="Q144" s="199"/>
      <c r="R144" s="193" t="s">
        <v>279</v>
      </c>
      <c r="S144" s="193" t="s">
        <v>50</v>
      </c>
      <c r="T144" s="193" t="s">
        <v>453</v>
      </c>
      <c r="U144" s="193" t="s">
        <v>454</v>
      </c>
      <c r="V144" s="193" t="s">
        <v>50</v>
      </c>
      <c r="W144" s="193" t="s">
        <v>264</v>
      </c>
      <c r="X144" s="193" t="s">
        <v>232</v>
      </c>
      <c r="Y144" s="200">
        <v>3.0</v>
      </c>
      <c r="Z144" s="202" t="s">
        <v>214</v>
      </c>
      <c r="AA144" s="202" t="s">
        <v>234</v>
      </c>
      <c r="AB144" s="203">
        <v>5700.0</v>
      </c>
      <c r="AC144" s="203">
        <v>27914.61</v>
      </c>
      <c r="AD144" s="204">
        <v>46199.0</v>
      </c>
      <c r="AE144" s="273">
        <v>46260.0</v>
      </c>
      <c r="AF144" s="205"/>
      <c r="AG144" s="219"/>
      <c r="AH144" s="219"/>
      <c r="AI144" s="219"/>
      <c r="AJ144" s="219"/>
      <c r="AK144" s="219"/>
      <c r="AL144" s="219"/>
      <c r="AM144" s="219"/>
      <c r="AN144" s="219"/>
      <c r="AO144" s="219"/>
    </row>
    <row r="145">
      <c r="A145" s="193">
        <v>12020.0</v>
      </c>
      <c r="B145" s="194" t="s">
        <v>203</v>
      </c>
      <c r="C145" s="193">
        <v>2026.0</v>
      </c>
      <c r="D145" s="195">
        <v>2048.0</v>
      </c>
      <c r="E145" s="199"/>
      <c r="F145" s="193" t="s">
        <v>204</v>
      </c>
      <c r="G145" s="215">
        <v>46042.0</v>
      </c>
      <c r="H145" s="193">
        <v>20.0</v>
      </c>
      <c r="I145" s="215">
        <v>46043.0</v>
      </c>
      <c r="J145" s="193" t="s">
        <v>457</v>
      </c>
      <c r="K145" s="193" t="s">
        <v>206</v>
      </c>
      <c r="L145" s="194" t="s">
        <v>144</v>
      </c>
      <c r="M145" s="199"/>
      <c r="N145" s="193" t="s">
        <v>227</v>
      </c>
      <c r="O145" s="193" t="s">
        <v>206</v>
      </c>
      <c r="P145" s="193" t="s">
        <v>206</v>
      </c>
      <c r="Q145" s="199"/>
      <c r="R145" s="193" t="s">
        <v>279</v>
      </c>
      <c r="S145" s="193" t="s">
        <v>50</v>
      </c>
      <c r="T145" s="193" t="s">
        <v>229</v>
      </c>
      <c r="U145" s="193" t="s">
        <v>359</v>
      </c>
      <c r="V145" s="193" t="s">
        <v>50</v>
      </c>
      <c r="W145" s="193" t="s">
        <v>264</v>
      </c>
      <c r="X145" s="193" t="s">
        <v>232</v>
      </c>
      <c r="Y145" s="200">
        <v>3.0</v>
      </c>
      <c r="Z145" s="202" t="s">
        <v>233</v>
      </c>
      <c r="AA145" s="202" t="s">
        <v>234</v>
      </c>
      <c r="AB145" s="221"/>
      <c r="AC145" s="203">
        <v>280000.0</v>
      </c>
      <c r="AD145" s="204">
        <v>46048.0</v>
      </c>
      <c r="AE145" s="247">
        <v>46107.0</v>
      </c>
      <c r="AF145" s="205"/>
      <c r="AG145" s="219"/>
      <c r="AH145" s="219"/>
      <c r="AI145" s="219"/>
      <c r="AJ145" s="219"/>
      <c r="AK145" s="219"/>
      <c r="AL145" s="219"/>
      <c r="AM145" s="219"/>
      <c r="AN145" s="219"/>
      <c r="AO145" s="219"/>
    </row>
    <row r="146">
      <c r="A146" s="193">
        <v>12040.0</v>
      </c>
      <c r="B146" s="232" t="s">
        <v>264</v>
      </c>
      <c r="C146" s="193">
        <v>2026.0</v>
      </c>
      <c r="D146" s="199"/>
      <c r="E146" s="199"/>
      <c r="F146" s="199"/>
      <c r="G146" s="233"/>
      <c r="H146" s="199"/>
      <c r="I146" s="233"/>
      <c r="J146" s="199"/>
      <c r="K146" s="193" t="s">
        <v>206</v>
      </c>
      <c r="L146" s="234" t="s">
        <v>145</v>
      </c>
      <c r="M146" s="199"/>
      <c r="N146" s="193" t="s">
        <v>227</v>
      </c>
      <c r="O146" s="193" t="s">
        <v>206</v>
      </c>
      <c r="P146" s="193" t="s">
        <v>206</v>
      </c>
      <c r="Q146" s="199"/>
      <c r="R146" s="193" t="s">
        <v>279</v>
      </c>
      <c r="S146" s="193" t="s">
        <v>50</v>
      </c>
      <c r="T146" s="193" t="s">
        <v>229</v>
      </c>
      <c r="U146" s="193" t="s">
        <v>364</v>
      </c>
      <c r="V146" s="193" t="s">
        <v>50</v>
      </c>
      <c r="W146" s="193" t="s">
        <v>264</v>
      </c>
      <c r="X146" s="193" t="s">
        <v>232</v>
      </c>
      <c r="Y146" s="200">
        <v>3.0</v>
      </c>
      <c r="Z146" s="202" t="s">
        <v>233</v>
      </c>
      <c r="AA146" s="202" t="s">
        <v>234</v>
      </c>
      <c r="AB146" s="221"/>
      <c r="AC146" s="203">
        <v>82000.0</v>
      </c>
      <c r="AD146" s="204">
        <v>46291.0</v>
      </c>
      <c r="AE146" s="204">
        <v>46352.0</v>
      </c>
      <c r="AF146" s="205"/>
      <c r="AG146" s="219"/>
      <c r="AH146" s="219"/>
      <c r="AI146" s="219"/>
      <c r="AJ146" s="219"/>
      <c r="AK146" s="219"/>
      <c r="AL146" s="219"/>
      <c r="AM146" s="219"/>
      <c r="AN146" s="219"/>
      <c r="AO146" s="219"/>
    </row>
    <row r="147">
      <c r="A147" s="193">
        <v>12060.0</v>
      </c>
      <c r="B147" s="194" t="s">
        <v>203</v>
      </c>
      <c r="C147" s="193">
        <v>2026.0</v>
      </c>
      <c r="D147" s="195">
        <v>2048.0</v>
      </c>
      <c r="E147" s="199"/>
      <c r="F147" s="193" t="s">
        <v>204</v>
      </c>
      <c r="G147" s="198">
        <v>46079.0</v>
      </c>
      <c r="H147" s="193">
        <v>108.0</v>
      </c>
      <c r="I147" s="198">
        <v>46079.0</v>
      </c>
      <c r="J147" s="193" t="s">
        <v>458</v>
      </c>
      <c r="K147" s="193" t="s">
        <v>206</v>
      </c>
      <c r="L147" s="194" t="s">
        <v>144</v>
      </c>
      <c r="M147" s="199"/>
      <c r="N147" s="193" t="s">
        <v>227</v>
      </c>
      <c r="O147" s="193" t="s">
        <v>206</v>
      </c>
      <c r="P147" s="193" t="s">
        <v>206</v>
      </c>
      <c r="Q147" s="199"/>
      <c r="R147" s="193" t="s">
        <v>279</v>
      </c>
      <c r="S147" s="193" t="s">
        <v>50</v>
      </c>
      <c r="T147" s="193" t="s">
        <v>229</v>
      </c>
      <c r="U147" s="193" t="s">
        <v>359</v>
      </c>
      <c r="V147" s="193" t="s">
        <v>50</v>
      </c>
      <c r="W147" s="193" t="s">
        <v>264</v>
      </c>
      <c r="X147" s="193" t="s">
        <v>232</v>
      </c>
      <c r="Y147" s="200">
        <v>3.0</v>
      </c>
      <c r="Z147" s="202" t="s">
        <v>233</v>
      </c>
      <c r="AA147" s="202" t="s">
        <v>234</v>
      </c>
      <c r="AB147" s="221"/>
      <c r="AC147" s="203">
        <v>250000.0</v>
      </c>
      <c r="AD147" s="204">
        <v>46079.0</v>
      </c>
      <c r="AE147" s="204">
        <v>46168.0</v>
      </c>
      <c r="AF147" s="205"/>
      <c r="AG147" s="219"/>
      <c r="AH147" s="219"/>
      <c r="AI147" s="219"/>
      <c r="AJ147" s="219"/>
      <c r="AK147" s="219"/>
      <c r="AL147" s="219"/>
      <c r="AM147" s="219"/>
      <c r="AN147" s="219"/>
      <c r="AO147" s="219"/>
    </row>
    <row r="148">
      <c r="A148" s="193">
        <v>12080.0</v>
      </c>
      <c r="B148" s="194" t="s">
        <v>203</v>
      </c>
      <c r="C148" s="193">
        <v>2026.0</v>
      </c>
      <c r="D148" s="195">
        <v>2048.0</v>
      </c>
      <c r="E148" s="199"/>
      <c r="F148" s="193" t="s">
        <v>204</v>
      </c>
      <c r="G148" s="198">
        <v>46205.0</v>
      </c>
      <c r="H148" s="193">
        <v>536.0</v>
      </c>
      <c r="I148" s="198">
        <v>46205.0</v>
      </c>
      <c r="J148" s="193" t="s">
        <v>459</v>
      </c>
      <c r="K148" s="193" t="s">
        <v>206</v>
      </c>
      <c r="L148" s="194" t="s">
        <v>144</v>
      </c>
      <c r="M148" s="199"/>
      <c r="N148" s="193" t="s">
        <v>227</v>
      </c>
      <c r="O148" s="193" t="s">
        <v>206</v>
      </c>
      <c r="P148" s="193" t="s">
        <v>206</v>
      </c>
      <c r="Q148" s="199"/>
      <c r="R148" s="193" t="s">
        <v>279</v>
      </c>
      <c r="S148" s="193" t="s">
        <v>50</v>
      </c>
      <c r="T148" s="193" t="s">
        <v>229</v>
      </c>
      <c r="U148" s="193" t="s">
        <v>364</v>
      </c>
      <c r="V148" s="193" t="s">
        <v>50</v>
      </c>
      <c r="W148" s="193" t="s">
        <v>264</v>
      </c>
      <c r="X148" s="193" t="s">
        <v>232</v>
      </c>
      <c r="Y148" s="200">
        <v>3.0</v>
      </c>
      <c r="Z148" s="202" t="s">
        <v>233</v>
      </c>
      <c r="AA148" s="202" t="s">
        <v>234</v>
      </c>
      <c r="AB148" s="221"/>
      <c r="AC148" s="203">
        <v>61665.24</v>
      </c>
      <c r="AD148" s="204">
        <v>46229.0</v>
      </c>
      <c r="AE148" s="204">
        <v>46291.0</v>
      </c>
      <c r="AF148" s="226" t="s">
        <v>388</v>
      </c>
      <c r="AG148" s="219"/>
      <c r="AH148" s="219"/>
      <c r="AI148" s="219"/>
      <c r="AJ148" s="219"/>
      <c r="AK148" s="219"/>
      <c r="AL148" s="219"/>
      <c r="AM148" s="219"/>
      <c r="AN148" s="219"/>
      <c r="AO148" s="219"/>
    </row>
    <row r="149">
      <c r="A149" s="193">
        <v>12100.0</v>
      </c>
      <c r="B149" s="194" t="s">
        <v>203</v>
      </c>
      <c r="C149" s="193">
        <v>2026.0</v>
      </c>
      <c r="D149" s="195">
        <v>2048.0</v>
      </c>
      <c r="E149" s="199"/>
      <c r="F149" s="193" t="s">
        <v>204</v>
      </c>
      <c r="G149" s="215">
        <v>46073.0</v>
      </c>
      <c r="H149" s="193">
        <v>83.0</v>
      </c>
      <c r="I149" s="223">
        <v>46073.0</v>
      </c>
      <c r="J149" s="193" t="s">
        <v>460</v>
      </c>
      <c r="K149" s="193" t="s">
        <v>206</v>
      </c>
      <c r="L149" s="194" t="s">
        <v>144</v>
      </c>
      <c r="M149" s="199"/>
      <c r="N149" s="193" t="s">
        <v>227</v>
      </c>
      <c r="O149" s="193" t="s">
        <v>206</v>
      </c>
      <c r="P149" s="193" t="s">
        <v>206</v>
      </c>
      <c r="Q149" s="199"/>
      <c r="R149" s="193" t="s">
        <v>279</v>
      </c>
      <c r="S149" s="193" t="s">
        <v>50</v>
      </c>
      <c r="T149" s="193" t="s">
        <v>229</v>
      </c>
      <c r="U149" s="193" t="s">
        <v>359</v>
      </c>
      <c r="V149" s="193" t="s">
        <v>50</v>
      </c>
      <c r="W149" s="193" t="s">
        <v>264</v>
      </c>
      <c r="X149" s="193" t="s">
        <v>232</v>
      </c>
      <c r="Y149" s="200">
        <v>3.0</v>
      </c>
      <c r="Z149" s="202" t="s">
        <v>233</v>
      </c>
      <c r="AA149" s="202" t="s">
        <v>234</v>
      </c>
      <c r="AB149" s="221"/>
      <c r="AC149" s="203">
        <v>380000.0</v>
      </c>
      <c r="AD149" s="204">
        <v>46079.0</v>
      </c>
      <c r="AE149" s="204">
        <v>46352.0</v>
      </c>
      <c r="AF149" s="205"/>
      <c r="AG149" s="219"/>
      <c r="AH149" s="219"/>
      <c r="AI149" s="219"/>
      <c r="AJ149" s="219"/>
      <c r="AK149" s="219"/>
      <c r="AL149" s="219"/>
      <c r="AM149" s="219"/>
      <c r="AN149" s="219"/>
      <c r="AO149" s="219"/>
    </row>
    <row r="150">
      <c r="A150" s="193">
        <v>12120.0</v>
      </c>
      <c r="B150" s="194" t="s">
        <v>203</v>
      </c>
      <c r="C150" s="193">
        <v>2026.0</v>
      </c>
      <c r="D150" s="195">
        <v>2048.0</v>
      </c>
      <c r="E150" s="199"/>
      <c r="F150" s="193" t="s">
        <v>204</v>
      </c>
      <c r="G150" s="215">
        <v>46192.0</v>
      </c>
      <c r="H150" s="193">
        <v>463.0</v>
      </c>
      <c r="I150" s="215">
        <v>46192.0</v>
      </c>
      <c r="J150" s="193" t="s">
        <v>458</v>
      </c>
      <c r="K150" s="193" t="s">
        <v>206</v>
      </c>
      <c r="L150" s="194" t="s">
        <v>144</v>
      </c>
      <c r="M150" s="199"/>
      <c r="N150" s="193" t="s">
        <v>227</v>
      </c>
      <c r="O150" s="193" t="s">
        <v>206</v>
      </c>
      <c r="P150" s="193" t="s">
        <v>206</v>
      </c>
      <c r="Q150" s="199"/>
      <c r="R150" s="193" t="s">
        <v>279</v>
      </c>
      <c r="S150" s="193" t="s">
        <v>50</v>
      </c>
      <c r="T150" s="193" t="s">
        <v>229</v>
      </c>
      <c r="U150" s="193" t="s">
        <v>364</v>
      </c>
      <c r="V150" s="193" t="s">
        <v>50</v>
      </c>
      <c r="W150" s="193" t="s">
        <v>264</v>
      </c>
      <c r="X150" s="193" t="s">
        <v>232</v>
      </c>
      <c r="Y150" s="200">
        <v>3.0</v>
      </c>
      <c r="Z150" s="202" t="s">
        <v>233</v>
      </c>
      <c r="AA150" s="202" t="s">
        <v>234</v>
      </c>
      <c r="AB150" s="221"/>
      <c r="AC150" s="203">
        <v>1161000.0</v>
      </c>
      <c r="AD150" s="204">
        <v>46199.0</v>
      </c>
      <c r="AE150" s="204">
        <v>46260.0</v>
      </c>
      <c r="AF150" s="226" t="s">
        <v>268</v>
      </c>
      <c r="AG150" s="219"/>
      <c r="AH150" s="219"/>
      <c r="AI150" s="219"/>
      <c r="AJ150" s="219"/>
      <c r="AK150" s="219"/>
      <c r="AL150" s="219"/>
      <c r="AM150" s="219"/>
      <c r="AN150" s="219"/>
      <c r="AO150" s="219"/>
    </row>
    <row r="151">
      <c r="A151" s="193">
        <v>12140.0</v>
      </c>
      <c r="B151" s="194" t="s">
        <v>203</v>
      </c>
      <c r="C151" s="193">
        <v>2026.0</v>
      </c>
      <c r="D151" s="195">
        <v>2048.0</v>
      </c>
      <c r="E151" s="199"/>
      <c r="F151" s="193" t="s">
        <v>204</v>
      </c>
      <c r="G151" s="215">
        <v>46079.0</v>
      </c>
      <c r="H151" s="193">
        <v>108.0</v>
      </c>
      <c r="I151" s="215">
        <v>46079.0</v>
      </c>
      <c r="J151" s="193" t="s">
        <v>458</v>
      </c>
      <c r="K151" s="193" t="s">
        <v>206</v>
      </c>
      <c r="L151" s="194" t="s">
        <v>144</v>
      </c>
      <c r="M151" s="199"/>
      <c r="N151" s="193" t="s">
        <v>227</v>
      </c>
      <c r="O151" s="193" t="s">
        <v>206</v>
      </c>
      <c r="P151" s="193" t="s">
        <v>206</v>
      </c>
      <c r="Q151" s="199"/>
      <c r="R151" s="193" t="s">
        <v>279</v>
      </c>
      <c r="S151" s="193" t="s">
        <v>50</v>
      </c>
      <c r="T151" s="193" t="s">
        <v>229</v>
      </c>
      <c r="U151" s="193" t="s">
        <v>359</v>
      </c>
      <c r="V151" s="193" t="s">
        <v>50</v>
      </c>
      <c r="W151" s="193" t="s">
        <v>264</v>
      </c>
      <c r="X151" s="193" t="s">
        <v>232</v>
      </c>
      <c r="Y151" s="200">
        <v>3.0</v>
      </c>
      <c r="Z151" s="202" t="s">
        <v>233</v>
      </c>
      <c r="AA151" s="202" t="s">
        <v>234</v>
      </c>
      <c r="AB151" s="221"/>
      <c r="AC151" s="203">
        <v>50000.0</v>
      </c>
      <c r="AD151" s="276">
        <v>46079.0</v>
      </c>
      <c r="AE151" s="204">
        <v>46168.0</v>
      </c>
      <c r="AF151" s="205"/>
      <c r="AG151" s="219"/>
      <c r="AH151" s="219"/>
      <c r="AI151" s="219"/>
      <c r="AJ151" s="219"/>
      <c r="AK151" s="219"/>
      <c r="AL151" s="219"/>
      <c r="AM151" s="219"/>
      <c r="AN151" s="219"/>
      <c r="AO151" s="219"/>
    </row>
    <row r="152">
      <c r="A152" s="193">
        <v>12160.0</v>
      </c>
      <c r="B152" s="194" t="s">
        <v>203</v>
      </c>
      <c r="C152" s="193">
        <v>2026.0</v>
      </c>
      <c r="D152" s="195">
        <v>2048.0</v>
      </c>
      <c r="E152" s="199"/>
      <c r="F152" s="193" t="s">
        <v>204</v>
      </c>
      <c r="G152" s="230">
        <v>46079.0</v>
      </c>
      <c r="H152" s="193">
        <v>108.0</v>
      </c>
      <c r="I152" s="230">
        <v>46079.0</v>
      </c>
      <c r="J152" s="193" t="s">
        <v>458</v>
      </c>
      <c r="K152" s="193" t="s">
        <v>206</v>
      </c>
      <c r="L152" s="194" t="s">
        <v>144</v>
      </c>
      <c r="M152" s="199"/>
      <c r="N152" s="193" t="s">
        <v>227</v>
      </c>
      <c r="O152" s="193" t="s">
        <v>206</v>
      </c>
      <c r="P152" s="193" t="s">
        <v>206</v>
      </c>
      <c r="Q152" s="199"/>
      <c r="R152" s="193" t="s">
        <v>279</v>
      </c>
      <c r="S152" s="193" t="s">
        <v>50</v>
      </c>
      <c r="T152" s="193" t="s">
        <v>229</v>
      </c>
      <c r="U152" s="193" t="s">
        <v>359</v>
      </c>
      <c r="V152" s="193" t="s">
        <v>50</v>
      </c>
      <c r="W152" s="193" t="s">
        <v>264</v>
      </c>
      <c r="X152" s="193" t="s">
        <v>232</v>
      </c>
      <c r="Y152" s="200">
        <v>3.0</v>
      </c>
      <c r="Z152" s="202" t="s">
        <v>233</v>
      </c>
      <c r="AA152" s="202" t="s">
        <v>234</v>
      </c>
      <c r="AB152" s="221"/>
      <c r="AC152" s="203">
        <v>82000.0</v>
      </c>
      <c r="AD152" s="204">
        <v>46079.0</v>
      </c>
      <c r="AE152" s="204">
        <v>46168.0</v>
      </c>
      <c r="AF152" s="205"/>
      <c r="AG152" s="219"/>
      <c r="AH152" s="219"/>
      <c r="AI152" s="219"/>
      <c r="AJ152" s="219"/>
      <c r="AK152" s="219"/>
      <c r="AL152" s="219"/>
      <c r="AM152" s="219"/>
      <c r="AN152" s="219"/>
      <c r="AO152" s="219"/>
    </row>
    <row r="153">
      <c r="A153" s="193">
        <v>12180.0</v>
      </c>
      <c r="B153" s="194" t="s">
        <v>203</v>
      </c>
      <c r="C153" s="193">
        <v>2026.0</v>
      </c>
      <c r="D153" s="195">
        <v>2048.0</v>
      </c>
      <c r="E153" s="199"/>
      <c r="F153" s="193" t="s">
        <v>204</v>
      </c>
      <c r="G153" s="198">
        <v>46079.0</v>
      </c>
      <c r="H153" s="193">
        <v>108.0</v>
      </c>
      <c r="I153" s="215">
        <v>46079.0</v>
      </c>
      <c r="J153" s="193" t="s">
        <v>458</v>
      </c>
      <c r="K153" s="193" t="s">
        <v>206</v>
      </c>
      <c r="L153" s="194" t="s">
        <v>144</v>
      </c>
      <c r="M153" s="199"/>
      <c r="N153" s="193" t="s">
        <v>227</v>
      </c>
      <c r="O153" s="193" t="s">
        <v>206</v>
      </c>
      <c r="P153" s="193" t="s">
        <v>206</v>
      </c>
      <c r="Q153" s="199"/>
      <c r="R153" s="193" t="s">
        <v>279</v>
      </c>
      <c r="S153" s="193" t="s">
        <v>50</v>
      </c>
      <c r="T153" s="193" t="s">
        <v>229</v>
      </c>
      <c r="U153" s="193" t="s">
        <v>359</v>
      </c>
      <c r="V153" s="193" t="s">
        <v>50</v>
      </c>
      <c r="W153" s="193" t="s">
        <v>264</v>
      </c>
      <c r="X153" s="193" t="s">
        <v>232</v>
      </c>
      <c r="Y153" s="200">
        <v>3.0</v>
      </c>
      <c r="Z153" s="202" t="s">
        <v>233</v>
      </c>
      <c r="AA153" s="202" t="s">
        <v>234</v>
      </c>
      <c r="AB153" s="221"/>
      <c r="AC153" s="203">
        <v>497000.0</v>
      </c>
      <c r="AD153" s="204">
        <v>46079.0</v>
      </c>
      <c r="AE153" s="204">
        <v>46168.0</v>
      </c>
      <c r="AF153" s="205"/>
      <c r="AG153" s="219"/>
      <c r="AH153" s="219"/>
      <c r="AI153" s="219"/>
      <c r="AJ153" s="219"/>
      <c r="AK153" s="219"/>
      <c r="AL153" s="219"/>
      <c r="AM153" s="219"/>
      <c r="AN153" s="219"/>
      <c r="AO153" s="219"/>
    </row>
    <row r="154">
      <c r="A154" s="193">
        <v>12200.0</v>
      </c>
      <c r="B154" s="194" t="s">
        <v>203</v>
      </c>
      <c r="C154" s="193">
        <v>2026.0</v>
      </c>
      <c r="D154" s="195">
        <v>2048.0</v>
      </c>
      <c r="E154" s="196"/>
      <c r="F154" s="193" t="s">
        <v>204</v>
      </c>
      <c r="G154" s="246">
        <v>46205.0</v>
      </c>
      <c r="H154" s="193">
        <v>536.0</v>
      </c>
      <c r="I154" s="215">
        <v>46205.0</v>
      </c>
      <c r="J154" s="193" t="s">
        <v>459</v>
      </c>
      <c r="K154" s="193" t="s">
        <v>206</v>
      </c>
      <c r="L154" s="194" t="s">
        <v>144</v>
      </c>
      <c r="M154" s="199"/>
      <c r="N154" s="193" t="s">
        <v>227</v>
      </c>
      <c r="O154" s="193" t="s">
        <v>206</v>
      </c>
      <c r="P154" s="193" t="s">
        <v>206</v>
      </c>
      <c r="Q154" s="199"/>
      <c r="R154" s="193" t="s">
        <v>279</v>
      </c>
      <c r="S154" s="193" t="s">
        <v>50</v>
      </c>
      <c r="T154" s="193" t="s">
        <v>229</v>
      </c>
      <c r="U154" s="193" t="s">
        <v>364</v>
      </c>
      <c r="V154" s="193" t="s">
        <v>50</v>
      </c>
      <c r="W154" s="193" t="s">
        <v>264</v>
      </c>
      <c r="X154" s="193" t="s">
        <v>232</v>
      </c>
      <c r="Y154" s="200">
        <v>3.0</v>
      </c>
      <c r="Z154" s="202" t="s">
        <v>233</v>
      </c>
      <c r="AA154" s="202" t="s">
        <v>234</v>
      </c>
      <c r="AB154" s="221"/>
      <c r="AC154" s="203">
        <v>450700.51</v>
      </c>
      <c r="AD154" s="204">
        <v>46229.0</v>
      </c>
      <c r="AE154" s="204">
        <v>46291.0</v>
      </c>
      <c r="AF154" s="226" t="s">
        <v>388</v>
      </c>
      <c r="AG154" s="219"/>
      <c r="AH154" s="219"/>
      <c r="AI154" s="219"/>
      <c r="AJ154" s="219"/>
      <c r="AK154" s="219"/>
      <c r="AL154" s="219"/>
      <c r="AM154" s="219"/>
      <c r="AN154" s="219"/>
      <c r="AO154" s="219"/>
    </row>
    <row r="155">
      <c r="A155" s="193">
        <v>12220.0</v>
      </c>
      <c r="B155" s="194" t="s">
        <v>203</v>
      </c>
      <c r="C155" s="193">
        <v>2026.0</v>
      </c>
      <c r="D155" s="195">
        <v>2048.0</v>
      </c>
      <c r="E155" s="199"/>
      <c r="F155" s="193" t="s">
        <v>204</v>
      </c>
      <c r="G155" s="198">
        <v>46192.0</v>
      </c>
      <c r="H155" s="193">
        <v>463.0</v>
      </c>
      <c r="I155" s="198">
        <v>46192.0</v>
      </c>
      <c r="J155" s="193" t="s">
        <v>458</v>
      </c>
      <c r="K155" s="193" t="s">
        <v>206</v>
      </c>
      <c r="L155" s="194" t="s">
        <v>144</v>
      </c>
      <c r="M155" s="199"/>
      <c r="N155" s="193" t="s">
        <v>227</v>
      </c>
      <c r="O155" s="193" t="s">
        <v>206</v>
      </c>
      <c r="P155" s="193" t="s">
        <v>206</v>
      </c>
      <c r="Q155" s="199"/>
      <c r="R155" s="193" t="s">
        <v>279</v>
      </c>
      <c r="S155" s="193" t="s">
        <v>50</v>
      </c>
      <c r="T155" s="193" t="s">
        <v>229</v>
      </c>
      <c r="U155" s="193" t="s">
        <v>364</v>
      </c>
      <c r="V155" s="193" t="s">
        <v>50</v>
      </c>
      <c r="W155" s="193" t="s">
        <v>264</v>
      </c>
      <c r="X155" s="193" t="s">
        <v>232</v>
      </c>
      <c r="Y155" s="200">
        <v>3.0</v>
      </c>
      <c r="Z155" s="202" t="s">
        <v>233</v>
      </c>
      <c r="AA155" s="202" t="s">
        <v>234</v>
      </c>
      <c r="AB155" s="221"/>
      <c r="AC155" s="203">
        <v>71600.0</v>
      </c>
      <c r="AD155" s="204">
        <v>46199.0</v>
      </c>
      <c r="AE155" s="204">
        <v>46260.0</v>
      </c>
      <c r="AF155" s="226" t="s">
        <v>268</v>
      </c>
      <c r="AG155" s="219"/>
      <c r="AH155" s="219"/>
      <c r="AI155" s="219"/>
      <c r="AJ155" s="219"/>
      <c r="AK155" s="219"/>
      <c r="AL155" s="219"/>
      <c r="AM155" s="219"/>
      <c r="AN155" s="219"/>
      <c r="AO155" s="219"/>
    </row>
    <row r="156">
      <c r="A156" s="193">
        <v>12240.0</v>
      </c>
      <c r="B156" s="194" t="s">
        <v>203</v>
      </c>
      <c r="C156" s="193">
        <v>2026.0</v>
      </c>
      <c r="D156" s="195">
        <v>2048.0</v>
      </c>
      <c r="E156" s="199"/>
      <c r="F156" s="193" t="s">
        <v>204</v>
      </c>
      <c r="G156" s="230">
        <v>46118.0</v>
      </c>
      <c r="H156" s="193">
        <v>247.0</v>
      </c>
      <c r="I156" s="230">
        <v>46118.0</v>
      </c>
      <c r="J156" s="193" t="s">
        <v>458</v>
      </c>
      <c r="K156" s="193" t="s">
        <v>206</v>
      </c>
      <c r="L156" s="194" t="s">
        <v>144</v>
      </c>
      <c r="M156" s="199"/>
      <c r="N156" s="193" t="s">
        <v>227</v>
      </c>
      <c r="O156" s="193" t="s">
        <v>206</v>
      </c>
      <c r="P156" s="193" t="s">
        <v>206</v>
      </c>
      <c r="Q156" s="207"/>
      <c r="R156" s="208" t="s">
        <v>279</v>
      </c>
      <c r="S156" s="193" t="s">
        <v>50</v>
      </c>
      <c r="T156" s="193" t="s">
        <v>229</v>
      </c>
      <c r="U156" s="193" t="s">
        <v>364</v>
      </c>
      <c r="V156" s="193" t="s">
        <v>50</v>
      </c>
      <c r="W156" s="193" t="s">
        <v>264</v>
      </c>
      <c r="X156" s="193" t="s">
        <v>232</v>
      </c>
      <c r="Y156" s="200">
        <v>3.0</v>
      </c>
      <c r="Z156" s="202" t="s">
        <v>233</v>
      </c>
      <c r="AA156" s="202" t="s">
        <v>234</v>
      </c>
      <c r="AB156" s="203">
        <v>123068.83</v>
      </c>
      <c r="AC156" s="203">
        <v>626420.34</v>
      </c>
      <c r="AD156" s="258">
        <v>46138.0</v>
      </c>
      <c r="AE156" s="204">
        <v>46168.0</v>
      </c>
      <c r="AF156" s="226" t="s">
        <v>461</v>
      </c>
      <c r="AG156" s="219"/>
      <c r="AH156" s="219"/>
      <c r="AI156" s="219"/>
      <c r="AJ156" s="219"/>
      <c r="AK156" s="219"/>
      <c r="AL156" s="219"/>
      <c r="AM156" s="219"/>
      <c r="AN156" s="219"/>
      <c r="AO156" s="219"/>
    </row>
    <row r="157">
      <c r="A157" s="193">
        <v>12260.0</v>
      </c>
      <c r="B157" s="194" t="s">
        <v>203</v>
      </c>
      <c r="C157" s="193">
        <v>2026.0</v>
      </c>
      <c r="D157" s="195">
        <v>2048.0</v>
      </c>
      <c r="E157" s="199"/>
      <c r="F157" s="193" t="s">
        <v>272</v>
      </c>
      <c r="G157" s="233"/>
      <c r="H157" s="199"/>
      <c r="I157" s="233"/>
      <c r="J157" s="199"/>
      <c r="K157" s="193" t="s">
        <v>206</v>
      </c>
      <c r="L157" s="194" t="s">
        <v>144</v>
      </c>
      <c r="M157" s="199"/>
      <c r="N157" s="193" t="s">
        <v>227</v>
      </c>
      <c r="O157" s="193" t="s">
        <v>206</v>
      </c>
      <c r="P157" s="193" t="s">
        <v>206</v>
      </c>
      <c r="Q157" s="199"/>
      <c r="R157" s="193" t="s">
        <v>279</v>
      </c>
      <c r="S157" s="193" t="s">
        <v>50</v>
      </c>
      <c r="T157" s="193" t="s">
        <v>462</v>
      </c>
      <c r="U157" s="193" t="s">
        <v>462</v>
      </c>
      <c r="V157" s="193" t="s">
        <v>50</v>
      </c>
      <c r="W157" s="193" t="s">
        <v>264</v>
      </c>
      <c r="X157" s="193" t="s">
        <v>232</v>
      </c>
      <c r="Y157" s="200">
        <v>3.0</v>
      </c>
      <c r="Z157" s="202" t="s">
        <v>214</v>
      </c>
      <c r="AA157" s="202" t="s">
        <v>234</v>
      </c>
      <c r="AB157" s="221"/>
      <c r="AC157" s="203" t="s">
        <v>275</v>
      </c>
      <c r="AD157" s="204">
        <v>46229.0</v>
      </c>
      <c r="AE157" s="204">
        <v>46291.0</v>
      </c>
      <c r="AF157" s="226" t="s">
        <v>463</v>
      </c>
      <c r="AG157" s="219"/>
      <c r="AH157" s="219"/>
      <c r="AI157" s="219"/>
      <c r="AJ157" s="219"/>
      <c r="AK157" s="219"/>
      <c r="AL157" s="219"/>
      <c r="AM157" s="219"/>
      <c r="AN157" s="219"/>
      <c r="AO157" s="219"/>
    </row>
    <row r="158">
      <c r="A158" s="193">
        <v>12280.0</v>
      </c>
      <c r="B158" s="194" t="s">
        <v>203</v>
      </c>
      <c r="C158" s="193">
        <v>2026.0</v>
      </c>
      <c r="D158" s="195">
        <v>2048.0</v>
      </c>
      <c r="E158" s="199"/>
      <c r="F158" s="193" t="s">
        <v>204</v>
      </c>
      <c r="G158" s="198">
        <v>46192.0</v>
      </c>
      <c r="H158" s="193">
        <v>463.0</v>
      </c>
      <c r="I158" s="215">
        <v>46192.0</v>
      </c>
      <c r="J158" s="193" t="s">
        <v>458</v>
      </c>
      <c r="K158" s="193" t="s">
        <v>206</v>
      </c>
      <c r="L158" s="194" t="s">
        <v>144</v>
      </c>
      <c r="M158" s="199"/>
      <c r="N158" s="193" t="s">
        <v>227</v>
      </c>
      <c r="O158" s="193" t="s">
        <v>206</v>
      </c>
      <c r="P158" s="193" t="s">
        <v>206</v>
      </c>
      <c r="Q158" s="199"/>
      <c r="R158" s="193" t="s">
        <v>279</v>
      </c>
      <c r="S158" s="193" t="s">
        <v>50</v>
      </c>
      <c r="T158" s="193" t="s">
        <v>229</v>
      </c>
      <c r="U158" s="193" t="s">
        <v>364</v>
      </c>
      <c r="V158" s="193" t="s">
        <v>50</v>
      </c>
      <c r="W158" s="193" t="s">
        <v>264</v>
      </c>
      <c r="X158" s="193" t="s">
        <v>232</v>
      </c>
      <c r="Y158" s="200">
        <v>3.0</v>
      </c>
      <c r="Z158" s="202" t="s">
        <v>233</v>
      </c>
      <c r="AA158" s="202" t="s">
        <v>234</v>
      </c>
      <c r="AB158" s="221"/>
      <c r="AC158" s="203">
        <v>649000.0</v>
      </c>
      <c r="AD158" s="204">
        <v>46199.0</v>
      </c>
      <c r="AE158" s="204">
        <v>46260.0</v>
      </c>
      <c r="AF158" s="226" t="s">
        <v>268</v>
      </c>
      <c r="AG158" s="219"/>
      <c r="AH158" s="219"/>
      <c r="AI158" s="219"/>
      <c r="AJ158" s="219"/>
      <c r="AK158" s="219"/>
      <c r="AL158" s="219"/>
      <c r="AM158" s="219"/>
      <c r="AN158" s="219"/>
      <c r="AO158" s="219"/>
    </row>
    <row r="159">
      <c r="A159" s="193">
        <v>12300.0</v>
      </c>
      <c r="B159" s="194" t="s">
        <v>203</v>
      </c>
      <c r="C159" s="193">
        <v>2026.0</v>
      </c>
      <c r="D159" s="195">
        <v>2048.0</v>
      </c>
      <c r="E159" s="196"/>
      <c r="F159" s="193" t="s">
        <v>204</v>
      </c>
      <c r="G159" s="197">
        <v>46079.0</v>
      </c>
      <c r="H159" s="193">
        <v>108.0</v>
      </c>
      <c r="I159" s="197">
        <v>46079.0</v>
      </c>
      <c r="J159" s="193" t="s">
        <v>458</v>
      </c>
      <c r="K159" s="193" t="s">
        <v>206</v>
      </c>
      <c r="L159" s="194" t="s">
        <v>144</v>
      </c>
      <c r="M159" s="199"/>
      <c r="N159" s="193" t="s">
        <v>227</v>
      </c>
      <c r="O159" s="193" t="s">
        <v>206</v>
      </c>
      <c r="P159" s="193" t="s">
        <v>206</v>
      </c>
      <c r="Q159" s="199"/>
      <c r="R159" s="193" t="s">
        <v>279</v>
      </c>
      <c r="S159" s="193" t="s">
        <v>50</v>
      </c>
      <c r="T159" s="193" t="s">
        <v>229</v>
      </c>
      <c r="U159" s="193" t="s">
        <v>359</v>
      </c>
      <c r="V159" s="193" t="s">
        <v>50</v>
      </c>
      <c r="W159" s="193" t="s">
        <v>264</v>
      </c>
      <c r="X159" s="193" t="s">
        <v>232</v>
      </c>
      <c r="Y159" s="200">
        <v>3.0</v>
      </c>
      <c r="Z159" s="202" t="s">
        <v>233</v>
      </c>
      <c r="AA159" s="202" t="s">
        <v>234</v>
      </c>
      <c r="AB159" s="221"/>
      <c r="AC159" s="203">
        <v>68000.0</v>
      </c>
      <c r="AD159" s="204">
        <v>46079.0</v>
      </c>
      <c r="AE159" s="204">
        <v>46168.0</v>
      </c>
      <c r="AF159" s="205"/>
      <c r="AG159" s="219"/>
      <c r="AH159" s="219"/>
      <c r="AI159" s="219"/>
      <c r="AJ159" s="219"/>
      <c r="AK159" s="219"/>
      <c r="AL159" s="219"/>
      <c r="AM159" s="219"/>
      <c r="AN159" s="219"/>
      <c r="AO159" s="219"/>
    </row>
    <row r="160">
      <c r="A160" s="193">
        <v>12320.0</v>
      </c>
      <c r="B160" s="232" t="s">
        <v>264</v>
      </c>
      <c r="C160" s="193">
        <v>2026.0</v>
      </c>
      <c r="D160" s="199"/>
      <c r="E160" s="199"/>
      <c r="F160" s="208" t="s">
        <v>265</v>
      </c>
      <c r="G160" s="235"/>
      <c r="H160" s="199"/>
      <c r="I160" s="235"/>
      <c r="J160" s="199"/>
      <c r="K160" s="193" t="s">
        <v>206</v>
      </c>
      <c r="L160" s="234" t="s">
        <v>145</v>
      </c>
      <c r="M160" s="199"/>
      <c r="N160" s="193" t="s">
        <v>207</v>
      </c>
      <c r="O160" s="193" t="s">
        <v>206</v>
      </c>
      <c r="P160" s="193" t="s">
        <v>206</v>
      </c>
      <c r="Q160" s="199"/>
      <c r="R160" s="193" t="s">
        <v>228</v>
      </c>
      <c r="S160" s="193" t="s">
        <v>47</v>
      </c>
      <c r="T160" s="193" t="s">
        <v>464</v>
      </c>
      <c r="U160" s="193" t="s">
        <v>465</v>
      </c>
      <c r="V160" s="193" t="s">
        <v>382</v>
      </c>
      <c r="W160" s="193" t="s">
        <v>212</v>
      </c>
      <c r="X160" s="193" t="s">
        <v>252</v>
      </c>
      <c r="Y160" s="200">
        <v>3.0</v>
      </c>
      <c r="Z160" s="202" t="s">
        <v>214</v>
      </c>
      <c r="AA160" s="202" t="s">
        <v>215</v>
      </c>
      <c r="AB160" s="203">
        <v>310000.0</v>
      </c>
      <c r="AC160" s="203">
        <v>310000.0</v>
      </c>
      <c r="AD160" s="204">
        <v>46321.0</v>
      </c>
      <c r="AE160" s="204">
        <v>46382.0</v>
      </c>
      <c r="AF160" s="205"/>
      <c r="AG160" s="219"/>
      <c r="AH160" s="219"/>
      <c r="AI160" s="219"/>
      <c r="AJ160" s="219"/>
      <c r="AK160" s="219"/>
      <c r="AL160" s="219"/>
      <c r="AM160" s="219"/>
      <c r="AN160" s="219"/>
      <c r="AO160" s="219"/>
    </row>
    <row r="161">
      <c r="A161" s="193">
        <v>12340.0</v>
      </c>
      <c r="B161" s="194" t="s">
        <v>203</v>
      </c>
      <c r="C161" s="193">
        <v>2026.0</v>
      </c>
      <c r="D161" s="195">
        <v>2048.0</v>
      </c>
      <c r="E161" s="199"/>
      <c r="F161" s="193" t="s">
        <v>204</v>
      </c>
      <c r="G161" s="215">
        <v>46118.0</v>
      </c>
      <c r="H161" s="193">
        <v>249.0</v>
      </c>
      <c r="I161" s="198">
        <v>46118.0</v>
      </c>
      <c r="J161" s="193" t="s">
        <v>240</v>
      </c>
      <c r="K161" s="193" t="s">
        <v>206</v>
      </c>
      <c r="L161" s="194" t="s">
        <v>144</v>
      </c>
      <c r="M161" s="199"/>
      <c r="N161" s="193" t="s">
        <v>207</v>
      </c>
      <c r="O161" s="193" t="s">
        <v>206</v>
      </c>
      <c r="P161" s="193" t="s">
        <v>206</v>
      </c>
      <c r="Q161" s="199"/>
      <c r="R161" s="193" t="s">
        <v>228</v>
      </c>
      <c r="S161" s="193" t="s">
        <v>46</v>
      </c>
      <c r="T161" s="193" t="s">
        <v>464</v>
      </c>
      <c r="U161" s="193" t="s">
        <v>465</v>
      </c>
      <c r="V161" s="193" t="s">
        <v>382</v>
      </c>
      <c r="W161" s="193" t="s">
        <v>212</v>
      </c>
      <c r="X161" s="193" t="s">
        <v>252</v>
      </c>
      <c r="Y161" s="200">
        <v>3.0</v>
      </c>
      <c r="Z161" s="202" t="s">
        <v>214</v>
      </c>
      <c r="AA161" s="202" t="s">
        <v>215</v>
      </c>
      <c r="AB161" s="203">
        <v>330000.0</v>
      </c>
      <c r="AC161" s="203">
        <v>330000.0</v>
      </c>
      <c r="AD161" s="258">
        <v>46138.0</v>
      </c>
      <c r="AE161" s="204">
        <v>46138.0</v>
      </c>
      <c r="AF161" s="205"/>
      <c r="AG161" s="219"/>
      <c r="AH161" s="219"/>
      <c r="AI161" s="219"/>
      <c r="AJ161" s="219"/>
      <c r="AK161" s="219"/>
      <c r="AL161" s="219"/>
      <c r="AM161" s="219"/>
      <c r="AN161" s="219"/>
      <c r="AO161" s="219"/>
    </row>
    <row r="162">
      <c r="A162" s="193">
        <v>12360.0</v>
      </c>
      <c r="B162" s="194" t="s">
        <v>203</v>
      </c>
      <c r="C162" s="193">
        <v>2026.0</v>
      </c>
      <c r="D162" s="195">
        <v>2048.0</v>
      </c>
      <c r="E162" s="196"/>
      <c r="F162" s="193" t="s">
        <v>204</v>
      </c>
      <c r="G162" s="217">
        <v>46205.0</v>
      </c>
      <c r="H162" s="193">
        <v>528.0</v>
      </c>
      <c r="I162" s="223">
        <v>46213.0</v>
      </c>
      <c r="J162" s="193" t="s">
        <v>466</v>
      </c>
      <c r="K162" s="193" t="s">
        <v>206</v>
      </c>
      <c r="L162" s="194" t="s">
        <v>144</v>
      </c>
      <c r="M162" s="199"/>
      <c r="N162" s="193" t="s">
        <v>207</v>
      </c>
      <c r="O162" s="193" t="s">
        <v>206</v>
      </c>
      <c r="P162" s="193" t="s">
        <v>206</v>
      </c>
      <c r="Q162" s="199"/>
      <c r="R162" s="193" t="s">
        <v>208</v>
      </c>
      <c r="S162" s="193" t="s">
        <v>39</v>
      </c>
      <c r="T162" s="193" t="s">
        <v>209</v>
      </c>
      <c r="U162" s="193" t="s">
        <v>467</v>
      </c>
      <c r="V162" s="193" t="s">
        <v>468</v>
      </c>
      <c r="W162" s="193" t="s">
        <v>212</v>
      </c>
      <c r="X162" s="193" t="s">
        <v>252</v>
      </c>
      <c r="Y162" s="200">
        <v>3.0</v>
      </c>
      <c r="Z162" s="202" t="s">
        <v>233</v>
      </c>
      <c r="AA162" s="202" t="s">
        <v>215</v>
      </c>
      <c r="AB162" s="203">
        <v>5756640.0</v>
      </c>
      <c r="AC162" s="203">
        <v>5756640.0</v>
      </c>
      <c r="AD162" s="204">
        <v>46229.0</v>
      </c>
      <c r="AE162" s="204">
        <v>46229.0</v>
      </c>
      <c r="AF162" s="226" t="s">
        <v>268</v>
      </c>
      <c r="AG162" s="219"/>
      <c r="AH162" s="219"/>
      <c r="AI162" s="219"/>
      <c r="AJ162" s="219"/>
      <c r="AK162" s="219"/>
      <c r="AL162" s="219"/>
      <c r="AM162" s="219"/>
      <c r="AN162" s="219"/>
      <c r="AO162" s="219"/>
    </row>
    <row r="163">
      <c r="A163" s="193">
        <v>12380.0</v>
      </c>
      <c r="B163" s="194" t="s">
        <v>203</v>
      </c>
      <c r="C163" s="193">
        <v>2026.0</v>
      </c>
      <c r="D163" s="195">
        <v>2048.0</v>
      </c>
      <c r="E163" s="196"/>
      <c r="F163" s="193" t="s">
        <v>272</v>
      </c>
      <c r="G163" s="256"/>
      <c r="H163" s="199"/>
      <c r="I163" s="233"/>
      <c r="J163" s="199"/>
      <c r="K163" s="193" t="s">
        <v>206</v>
      </c>
      <c r="L163" s="194" t="s">
        <v>144</v>
      </c>
      <c r="M163" s="199"/>
      <c r="N163" s="193" t="s">
        <v>207</v>
      </c>
      <c r="O163" s="193" t="s">
        <v>206</v>
      </c>
      <c r="P163" s="193" t="s">
        <v>206</v>
      </c>
      <c r="Q163" s="199"/>
      <c r="R163" s="193" t="s">
        <v>219</v>
      </c>
      <c r="S163" s="193" t="s">
        <v>43</v>
      </c>
      <c r="T163" s="193" t="s">
        <v>464</v>
      </c>
      <c r="U163" s="193" t="s">
        <v>469</v>
      </c>
      <c r="V163" s="193" t="s">
        <v>382</v>
      </c>
      <c r="W163" s="193" t="s">
        <v>212</v>
      </c>
      <c r="X163" s="193" t="s">
        <v>252</v>
      </c>
      <c r="Y163" s="200">
        <v>3.0</v>
      </c>
      <c r="Z163" s="202" t="s">
        <v>214</v>
      </c>
      <c r="AA163" s="202" t="s">
        <v>215</v>
      </c>
      <c r="AB163" s="203" t="s">
        <v>275</v>
      </c>
      <c r="AC163" s="203" t="s">
        <v>275</v>
      </c>
      <c r="AD163" s="204">
        <v>46321.0</v>
      </c>
      <c r="AE163" s="204">
        <v>46049.0</v>
      </c>
      <c r="AF163" s="226" t="s">
        <v>470</v>
      </c>
      <c r="AG163" s="219"/>
      <c r="AH163" s="219"/>
      <c r="AI163" s="219"/>
      <c r="AJ163" s="219"/>
      <c r="AK163" s="219"/>
      <c r="AL163" s="219"/>
      <c r="AM163" s="219"/>
      <c r="AN163" s="219"/>
      <c r="AO163" s="219"/>
    </row>
    <row r="164">
      <c r="A164" s="193">
        <v>12400.0</v>
      </c>
      <c r="B164" s="232" t="s">
        <v>264</v>
      </c>
      <c r="C164" s="193">
        <v>2026.0</v>
      </c>
      <c r="D164" s="199"/>
      <c r="E164" s="196"/>
      <c r="F164" s="193" t="s">
        <v>265</v>
      </c>
      <c r="G164" s="237"/>
      <c r="H164" s="199"/>
      <c r="I164" s="233"/>
      <c r="J164" s="199"/>
      <c r="K164" s="193" t="s">
        <v>206</v>
      </c>
      <c r="L164" s="234" t="s">
        <v>145</v>
      </c>
      <c r="M164" s="199"/>
      <c r="N164" s="193" t="s">
        <v>207</v>
      </c>
      <c r="O164" s="193" t="s">
        <v>206</v>
      </c>
      <c r="P164" s="193" t="s">
        <v>206</v>
      </c>
      <c r="Q164" s="199"/>
      <c r="R164" s="193" t="s">
        <v>219</v>
      </c>
      <c r="S164" s="193" t="s">
        <v>44</v>
      </c>
      <c r="T164" s="193" t="s">
        <v>220</v>
      </c>
      <c r="U164" s="193" t="s">
        <v>471</v>
      </c>
      <c r="V164" s="193" t="s">
        <v>290</v>
      </c>
      <c r="W164" s="193" t="s">
        <v>212</v>
      </c>
      <c r="X164" s="193" t="s">
        <v>252</v>
      </c>
      <c r="Y164" s="200">
        <v>3.0</v>
      </c>
      <c r="Z164" s="202" t="s">
        <v>214</v>
      </c>
      <c r="AA164" s="202" t="s">
        <v>215</v>
      </c>
      <c r="AB164" s="203">
        <v>1500000.0</v>
      </c>
      <c r="AC164" s="203">
        <v>1500000.0</v>
      </c>
      <c r="AD164" s="276">
        <v>46291.0</v>
      </c>
      <c r="AE164" s="204">
        <v>46352.0</v>
      </c>
      <c r="AF164" s="205"/>
      <c r="AG164" s="219"/>
      <c r="AH164" s="219"/>
      <c r="AI164" s="219"/>
      <c r="AJ164" s="219"/>
      <c r="AK164" s="219"/>
      <c r="AL164" s="219"/>
      <c r="AM164" s="219"/>
      <c r="AN164" s="219"/>
      <c r="AO164" s="219"/>
    </row>
    <row r="165">
      <c r="A165" s="193">
        <v>12420.0</v>
      </c>
      <c r="B165" s="194" t="s">
        <v>203</v>
      </c>
      <c r="C165" s="193">
        <v>2026.0</v>
      </c>
      <c r="D165" s="195">
        <v>2048.0</v>
      </c>
      <c r="E165" s="199"/>
      <c r="F165" s="193" t="s">
        <v>204</v>
      </c>
      <c r="G165" s="215">
        <v>46118.0</v>
      </c>
      <c r="H165" s="193">
        <v>240.0</v>
      </c>
      <c r="I165" s="215">
        <v>46118.0</v>
      </c>
      <c r="J165" s="193" t="s">
        <v>226</v>
      </c>
      <c r="K165" s="193" t="s">
        <v>206</v>
      </c>
      <c r="L165" s="194" t="s">
        <v>144</v>
      </c>
      <c r="M165" s="199"/>
      <c r="N165" s="193" t="s">
        <v>207</v>
      </c>
      <c r="O165" s="193" t="s">
        <v>206</v>
      </c>
      <c r="P165" s="193" t="s">
        <v>206</v>
      </c>
      <c r="Q165" s="199"/>
      <c r="R165" s="193" t="s">
        <v>219</v>
      </c>
      <c r="S165" s="193" t="s">
        <v>44</v>
      </c>
      <c r="T165" s="193" t="s">
        <v>220</v>
      </c>
      <c r="U165" s="193" t="s">
        <v>472</v>
      </c>
      <c r="V165" s="193" t="s">
        <v>211</v>
      </c>
      <c r="W165" s="193" t="s">
        <v>212</v>
      </c>
      <c r="X165" s="193" t="s">
        <v>213</v>
      </c>
      <c r="Y165" s="200">
        <v>3.0</v>
      </c>
      <c r="Z165" s="202" t="s">
        <v>214</v>
      </c>
      <c r="AA165" s="202" t="s">
        <v>215</v>
      </c>
      <c r="AB165" s="203">
        <v>332718.75</v>
      </c>
      <c r="AC165" s="203">
        <v>332718.75</v>
      </c>
      <c r="AD165" s="258">
        <v>46138.0</v>
      </c>
      <c r="AE165" s="204">
        <v>46199.0</v>
      </c>
      <c r="AF165" s="226" t="s">
        <v>461</v>
      </c>
      <c r="AG165" s="219"/>
      <c r="AH165" s="219"/>
      <c r="AI165" s="219"/>
      <c r="AJ165" s="219"/>
      <c r="AK165" s="219"/>
      <c r="AL165" s="219"/>
      <c r="AM165" s="219"/>
      <c r="AN165" s="219"/>
      <c r="AO165" s="219"/>
    </row>
    <row r="166">
      <c r="A166" s="193">
        <v>12440.0</v>
      </c>
      <c r="B166" s="194" t="s">
        <v>203</v>
      </c>
      <c r="C166" s="193">
        <v>2026.0</v>
      </c>
      <c r="D166" s="195">
        <v>2048.0</v>
      </c>
      <c r="E166" s="199"/>
      <c r="F166" s="193" t="s">
        <v>204</v>
      </c>
      <c r="G166" s="230">
        <v>46213.0</v>
      </c>
      <c r="H166" s="193">
        <v>584.0</v>
      </c>
      <c r="I166" s="223">
        <v>46213.0</v>
      </c>
      <c r="J166" s="193" t="s">
        <v>459</v>
      </c>
      <c r="K166" s="193" t="s">
        <v>206</v>
      </c>
      <c r="L166" s="194" t="s">
        <v>144</v>
      </c>
      <c r="M166" s="199"/>
      <c r="N166" s="193" t="s">
        <v>227</v>
      </c>
      <c r="O166" s="193" t="s">
        <v>206</v>
      </c>
      <c r="P166" s="193" t="s">
        <v>206</v>
      </c>
      <c r="Q166" s="199"/>
      <c r="R166" s="193" t="s">
        <v>279</v>
      </c>
      <c r="S166" s="193" t="s">
        <v>50</v>
      </c>
      <c r="T166" s="222" t="s">
        <v>229</v>
      </c>
      <c r="U166" s="222" t="s">
        <v>473</v>
      </c>
      <c r="V166" s="193" t="s">
        <v>50</v>
      </c>
      <c r="W166" s="193" t="s">
        <v>264</v>
      </c>
      <c r="X166" s="193" t="s">
        <v>252</v>
      </c>
      <c r="Y166" s="200">
        <v>3.0</v>
      </c>
      <c r="Z166" s="277" t="s">
        <v>233</v>
      </c>
      <c r="AA166" s="277" t="s">
        <v>234</v>
      </c>
      <c r="AB166" s="221"/>
      <c r="AC166" s="203">
        <v>33488.24</v>
      </c>
      <c r="AD166" s="204">
        <v>46229.0</v>
      </c>
      <c r="AE166" s="204">
        <v>46382.0</v>
      </c>
      <c r="AF166" s="226" t="s">
        <v>474</v>
      </c>
      <c r="AG166" s="219"/>
      <c r="AH166" s="219"/>
      <c r="AI166" s="219"/>
      <c r="AJ166" s="219"/>
      <c r="AK166" s="219"/>
      <c r="AL166" s="219"/>
      <c r="AM166" s="219"/>
      <c r="AN166" s="219"/>
      <c r="AO166" s="219"/>
    </row>
    <row r="167">
      <c r="A167" s="193">
        <v>12460.0</v>
      </c>
      <c r="B167" s="194" t="s">
        <v>203</v>
      </c>
      <c r="C167" s="193">
        <v>2026.0</v>
      </c>
      <c r="D167" s="195">
        <v>2048.0</v>
      </c>
      <c r="E167" s="199"/>
      <c r="F167" s="193" t="s">
        <v>272</v>
      </c>
      <c r="G167" s="198">
        <v>46136.0</v>
      </c>
      <c r="H167" s="199"/>
      <c r="I167" s="233"/>
      <c r="J167" s="199"/>
      <c r="K167" s="193" t="s">
        <v>206</v>
      </c>
      <c r="L167" s="194" t="s">
        <v>144</v>
      </c>
      <c r="M167" s="199"/>
      <c r="N167" s="193" t="s">
        <v>475</v>
      </c>
      <c r="O167" s="193" t="s">
        <v>206</v>
      </c>
      <c r="P167" s="193" t="s">
        <v>206</v>
      </c>
      <c r="Q167" s="199"/>
      <c r="R167" s="193" t="s">
        <v>279</v>
      </c>
      <c r="S167" s="224" t="s">
        <v>50</v>
      </c>
      <c r="T167" s="193" t="s">
        <v>476</v>
      </c>
      <c r="U167" s="193" t="s">
        <v>477</v>
      </c>
      <c r="V167" s="193" t="s">
        <v>50</v>
      </c>
      <c r="W167" s="193" t="s">
        <v>264</v>
      </c>
      <c r="X167" s="193" t="s">
        <v>252</v>
      </c>
      <c r="Y167" s="278">
        <v>3.0</v>
      </c>
      <c r="Z167" s="202" t="s">
        <v>214</v>
      </c>
      <c r="AA167" s="202" t="s">
        <v>215</v>
      </c>
      <c r="AB167" s="279"/>
      <c r="AC167" s="203" t="s">
        <v>275</v>
      </c>
      <c r="AD167" s="203" t="s">
        <v>367</v>
      </c>
      <c r="AE167" s="193" t="s">
        <v>367</v>
      </c>
      <c r="AF167" s="226" t="s">
        <v>478</v>
      </c>
      <c r="AG167" s="219"/>
      <c r="AH167" s="219"/>
      <c r="AI167" s="219"/>
      <c r="AJ167" s="219"/>
      <c r="AK167" s="219"/>
      <c r="AL167" s="219"/>
      <c r="AM167" s="219"/>
      <c r="AN167" s="219"/>
      <c r="AO167" s="219"/>
    </row>
    <row r="168">
      <c r="A168" s="193">
        <v>12480.0</v>
      </c>
      <c r="B168" s="194" t="s">
        <v>203</v>
      </c>
      <c r="C168" s="193">
        <v>2026.0</v>
      </c>
      <c r="D168" s="195">
        <v>2048.0</v>
      </c>
      <c r="E168" s="199"/>
      <c r="F168" s="193" t="s">
        <v>272</v>
      </c>
      <c r="G168" s="230">
        <v>46136.0</v>
      </c>
      <c r="H168" s="199"/>
      <c r="I168" s="248"/>
      <c r="J168" s="199"/>
      <c r="K168" s="193" t="s">
        <v>206</v>
      </c>
      <c r="L168" s="194" t="s">
        <v>144</v>
      </c>
      <c r="M168" s="199"/>
      <c r="N168" s="193" t="s">
        <v>207</v>
      </c>
      <c r="O168" s="193" t="s">
        <v>206</v>
      </c>
      <c r="P168" s="193" t="s">
        <v>206</v>
      </c>
      <c r="Q168" s="199"/>
      <c r="R168" s="193" t="s">
        <v>279</v>
      </c>
      <c r="S168" s="193" t="s">
        <v>50</v>
      </c>
      <c r="T168" s="208" t="s">
        <v>479</v>
      </c>
      <c r="U168" s="208" t="s">
        <v>480</v>
      </c>
      <c r="V168" s="193" t="s">
        <v>50</v>
      </c>
      <c r="W168" s="193" t="s">
        <v>264</v>
      </c>
      <c r="X168" s="193" t="s">
        <v>252</v>
      </c>
      <c r="Y168" s="200">
        <v>3.0</v>
      </c>
      <c r="Z168" s="280" t="s">
        <v>233</v>
      </c>
      <c r="AA168" s="280" t="s">
        <v>215</v>
      </c>
      <c r="AB168" s="221"/>
      <c r="AC168" s="203" t="s">
        <v>275</v>
      </c>
      <c r="AD168" s="281" t="s">
        <v>367</v>
      </c>
      <c r="AE168" s="193" t="s">
        <v>367</v>
      </c>
      <c r="AF168" s="226" t="s">
        <v>481</v>
      </c>
      <c r="AG168" s="219"/>
      <c r="AH168" s="219"/>
      <c r="AI168" s="219"/>
      <c r="AJ168" s="219"/>
      <c r="AK168" s="219"/>
      <c r="AL168" s="219"/>
      <c r="AM168" s="219"/>
      <c r="AN168" s="219"/>
      <c r="AO168" s="219"/>
    </row>
    <row r="169">
      <c r="A169" s="193">
        <v>12500.0</v>
      </c>
      <c r="B169" s="194" t="s">
        <v>203</v>
      </c>
      <c r="C169" s="193">
        <v>2026.0</v>
      </c>
      <c r="D169" s="195">
        <v>2048.0</v>
      </c>
      <c r="E169" s="199"/>
      <c r="F169" s="193" t="s">
        <v>272</v>
      </c>
      <c r="G169" s="215">
        <v>46136.0</v>
      </c>
      <c r="H169" s="199"/>
      <c r="I169" s="235"/>
      <c r="J169" s="199"/>
      <c r="K169" s="193" t="s">
        <v>206</v>
      </c>
      <c r="L169" s="194" t="s">
        <v>144</v>
      </c>
      <c r="M169" s="199"/>
      <c r="N169" s="193" t="s">
        <v>207</v>
      </c>
      <c r="O169" s="193" t="s">
        <v>206</v>
      </c>
      <c r="P169" s="193" t="s">
        <v>206</v>
      </c>
      <c r="Q169" s="199"/>
      <c r="R169" s="193" t="s">
        <v>279</v>
      </c>
      <c r="S169" s="193" t="s">
        <v>50</v>
      </c>
      <c r="T169" s="193" t="s">
        <v>479</v>
      </c>
      <c r="U169" s="193" t="s">
        <v>480</v>
      </c>
      <c r="V169" s="193" t="s">
        <v>50</v>
      </c>
      <c r="W169" s="193" t="s">
        <v>264</v>
      </c>
      <c r="X169" s="193" t="s">
        <v>252</v>
      </c>
      <c r="Y169" s="200">
        <v>3.0</v>
      </c>
      <c r="Z169" s="202" t="s">
        <v>233</v>
      </c>
      <c r="AA169" s="202" t="s">
        <v>215</v>
      </c>
      <c r="AB169" s="221"/>
      <c r="AC169" s="203" t="s">
        <v>275</v>
      </c>
      <c r="AD169" s="203" t="s">
        <v>367</v>
      </c>
      <c r="AE169" s="193" t="s">
        <v>367</v>
      </c>
      <c r="AF169" s="226" t="s">
        <v>482</v>
      </c>
      <c r="AG169" s="219"/>
      <c r="AH169" s="219"/>
      <c r="AI169" s="219"/>
      <c r="AJ169" s="219"/>
      <c r="AK169" s="219"/>
      <c r="AL169" s="219"/>
      <c r="AM169" s="219"/>
      <c r="AN169" s="219"/>
      <c r="AO169" s="219"/>
    </row>
    <row r="170">
      <c r="A170" s="193">
        <v>12520.0</v>
      </c>
      <c r="B170" s="194" t="s">
        <v>203</v>
      </c>
      <c r="C170" s="193">
        <v>2026.0</v>
      </c>
      <c r="D170" s="195">
        <v>2048.0</v>
      </c>
      <c r="E170" s="199"/>
      <c r="F170" s="193" t="s">
        <v>272</v>
      </c>
      <c r="G170" s="217">
        <v>46136.0</v>
      </c>
      <c r="H170" s="199"/>
      <c r="I170" s="235"/>
      <c r="J170" s="199"/>
      <c r="K170" s="193" t="s">
        <v>206</v>
      </c>
      <c r="L170" s="194" t="s">
        <v>144</v>
      </c>
      <c r="M170" s="199"/>
      <c r="N170" s="193" t="s">
        <v>475</v>
      </c>
      <c r="O170" s="193" t="s">
        <v>206</v>
      </c>
      <c r="P170" s="193" t="s">
        <v>206</v>
      </c>
      <c r="Q170" s="199"/>
      <c r="R170" s="193" t="s">
        <v>279</v>
      </c>
      <c r="S170" s="193" t="s">
        <v>50</v>
      </c>
      <c r="T170" s="193" t="s">
        <v>476</v>
      </c>
      <c r="U170" s="193" t="s">
        <v>477</v>
      </c>
      <c r="V170" s="193" t="s">
        <v>50</v>
      </c>
      <c r="W170" s="193" t="s">
        <v>264</v>
      </c>
      <c r="X170" s="193" t="s">
        <v>252</v>
      </c>
      <c r="Y170" s="200">
        <v>3.0</v>
      </c>
      <c r="Z170" s="202" t="s">
        <v>214</v>
      </c>
      <c r="AA170" s="202" t="s">
        <v>215</v>
      </c>
      <c r="AB170" s="221"/>
      <c r="AC170" s="203" t="s">
        <v>275</v>
      </c>
      <c r="AD170" s="203" t="s">
        <v>367</v>
      </c>
      <c r="AE170" s="193" t="s">
        <v>367</v>
      </c>
      <c r="AF170" s="226" t="s">
        <v>483</v>
      </c>
      <c r="AG170" s="219"/>
      <c r="AH170" s="219"/>
      <c r="AI170" s="219"/>
      <c r="AJ170" s="219"/>
      <c r="AK170" s="219"/>
      <c r="AL170" s="219"/>
      <c r="AM170" s="219"/>
      <c r="AN170" s="219"/>
      <c r="AO170" s="219"/>
    </row>
    <row r="171">
      <c r="A171" s="193">
        <v>12540.0</v>
      </c>
      <c r="B171" s="194" t="s">
        <v>203</v>
      </c>
      <c r="C171" s="193">
        <v>2026.0</v>
      </c>
      <c r="D171" s="195">
        <v>2048.0</v>
      </c>
      <c r="E171" s="199"/>
      <c r="F171" s="193" t="s">
        <v>204</v>
      </c>
      <c r="G171" s="215">
        <v>46213.0</v>
      </c>
      <c r="H171" s="193">
        <v>584.0</v>
      </c>
      <c r="I171" s="215">
        <v>46213.0</v>
      </c>
      <c r="J171" s="193" t="s">
        <v>459</v>
      </c>
      <c r="K171" s="193" t="s">
        <v>206</v>
      </c>
      <c r="L171" s="194" t="s">
        <v>144</v>
      </c>
      <c r="M171" s="199"/>
      <c r="N171" s="193" t="s">
        <v>227</v>
      </c>
      <c r="O171" s="193" t="s">
        <v>206</v>
      </c>
      <c r="P171" s="193" t="s">
        <v>206</v>
      </c>
      <c r="Q171" s="199"/>
      <c r="R171" s="193" t="s">
        <v>279</v>
      </c>
      <c r="S171" s="193" t="s">
        <v>50</v>
      </c>
      <c r="T171" s="222" t="s">
        <v>229</v>
      </c>
      <c r="U171" s="222" t="s">
        <v>473</v>
      </c>
      <c r="V171" s="193" t="s">
        <v>50</v>
      </c>
      <c r="W171" s="193" t="s">
        <v>264</v>
      </c>
      <c r="X171" s="193" t="s">
        <v>252</v>
      </c>
      <c r="Y171" s="200">
        <v>3.0</v>
      </c>
      <c r="Z171" s="277" t="s">
        <v>233</v>
      </c>
      <c r="AA171" s="277" t="s">
        <v>234</v>
      </c>
      <c r="AB171" s="221"/>
      <c r="AC171" s="203">
        <v>533.97</v>
      </c>
      <c r="AD171" s="204">
        <v>46229.0</v>
      </c>
      <c r="AE171" s="204">
        <v>46382.0</v>
      </c>
      <c r="AF171" s="226" t="s">
        <v>484</v>
      </c>
      <c r="AG171" s="219"/>
      <c r="AH171" s="219"/>
      <c r="AI171" s="219"/>
      <c r="AJ171" s="219"/>
      <c r="AK171" s="219"/>
      <c r="AL171" s="219"/>
      <c r="AM171" s="219"/>
      <c r="AN171" s="219"/>
      <c r="AO171" s="219"/>
    </row>
    <row r="172">
      <c r="A172" s="193">
        <v>12560.0</v>
      </c>
      <c r="B172" s="194" t="s">
        <v>203</v>
      </c>
      <c r="C172" s="193">
        <v>2026.0</v>
      </c>
      <c r="D172" s="195">
        <v>2048.0</v>
      </c>
      <c r="E172" s="199"/>
      <c r="F172" s="193" t="s">
        <v>204</v>
      </c>
      <c r="G172" s="198">
        <v>46213.0</v>
      </c>
      <c r="H172" s="193">
        <v>584.0</v>
      </c>
      <c r="I172" s="198">
        <v>46213.0</v>
      </c>
      <c r="J172" s="193" t="s">
        <v>459</v>
      </c>
      <c r="K172" s="193" t="s">
        <v>206</v>
      </c>
      <c r="L172" s="194" t="s">
        <v>144</v>
      </c>
      <c r="M172" s="272"/>
      <c r="N172" s="222" t="s">
        <v>227</v>
      </c>
      <c r="O172" s="193" t="s">
        <v>206</v>
      </c>
      <c r="P172" s="193" t="s">
        <v>485</v>
      </c>
      <c r="Q172" s="199"/>
      <c r="R172" s="193" t="s">
        <v>279</v>
      </c>
      <c r="S172" s="224" t="s">
        <v>50</v>
      </c>
      <c r="T172" s="193" t="s">
        <v>229</v>
      </c>
      <c r="U172" s="193" t="s">
        <v>473</v>
      </c>
      <c r="V172" s="193" t="s">
        <v>50</v>
      </c>
      <c r="W172" s="193" t="s">
        <v>264</v>
      </c>
      <c r="X172" s="193" t="s">
        <v>252</v>
      </c>
      <c r="Y172" s="278">
        <v>3.0</v>
      </c>
      <c r="Z172" s="202" t="s">
        <v>233</v>
      </c>
      <c r="AA172" s="202" t="s">
        <v>234</v>
      </c>
      <c r="AB172" s="279"/>
      <c r="AC172" s="203">
        <v>15183.34</v>
      </c>
      <c r="AD172" s="204">
        <v>46229.0</v>
      </c>
      <c r="AE172" s="204">
        <v>46382.0</v>
      </c>
      <c r="AF172" s="205"/>
      <c r="AG172" s="219"/>
      <c r="AH172" s="219"/>
      <c r="AI172" s="219"/>
      <c r="AJ172" s="219"/>
      <c r="AK172" s="219"/>
      <c r="AL172" s="219"/>
      <c r="AM172" s="219"/>
      <c r="AN172" s="219"/>
      <c r="AO172" s="219"/>
    </row>
    <row r="173">
      <c r="A173" s="193">
        <v>12561.0</v>
      </c>
      <c r="B173" s="194" t="s">
        <v>203</v>
      </c>
      <c r="C173" s="193">
        <v>2026.0</v>
      </c>
      <c r="D173" s="195">
        <v>2048.0</v>
      </c>
      <c r="E173" s="196"/>
      <c r="F173" s="193" t="s">
        <v>204</v>
      </c>
      <c r="G173" s="217">
        <v>46077.0</v>
      </c>
      <c r="H173" s="193">
        <v>104.0</v>
      </c>
      <c r="I173" s="215">
        <v>46077.0</v>
      </c>
      <c r="J173" s="193" t="s">
        <v>486</v>
      </c>
      <c r="K173" s="193" t="s">
        <v>206</v>
      </c>
      <c r="L173" s="194" t="s">
        <v>144</v>
      </c>
      <c r="M173" s="199"/>
      <c r="N173" s="193" t="s">
        <v>485</v>
      </c>
      <c r="O173" s="208" t="s">
        <v>206</v>
      </c>
      <c r="P173" s="193" t="s">
        <v>485</v>
      </c>
      <c r="Q173" s="199"/>
      <c r="R173" s="193" t="s">
        <v>279</v>
      </c>
      <c r="S173" s="224" t="s">
        <v>50</v>
      </c>
      <c r="T173" s="193" t="s">
        <v>476</v>
      </c>
      <c r="U173" s="193" t="s">
        <v>477</v>
      </c>
      <c r="V173" s="193" t="s">
        <v>50</v>
      </c>
      <c r="W173" s="193" t="s">
        <v>264</v>
      </c>
      <c r="X173" s="193" t="s">
        <v>252</v>
      </c>
      <c r="Y173" s="278">
        <v>3.0</v>
      </c>
      <c r="Z173" s="202" t="s">
        <v>233</v>
      </c>
      <c r="AA173" s="202" t="s">
        <v>215</v>
      </c>
      <c r="AB173" s="282">
        <v>42500.0</v>
      </c>
      <c r="AC173" s="203">
        <v>42500.0</v>
      </c>
      <c r="AD173" s="204">
        <v>46079.0</v>
      </c>
      <c r="AE173" s="204">
        <v>46107.0</v>
      </c>
      <c r="AF173" s="205"/>
      <c r="AG173" s="219"/>
      <c r="AH173" s="206"/>
      <c r="AI173" s="206"/>
      <c r="AJ173" s="206"/>
      <c r="AK173" s="206"/>
      <c r="AL173" s="206"/>
      <c r="AM173" s="206"/>
      <c r="AN173" s="206"/>
      <c r="AO173" s="206"/>
    </row>
    <row r="174">
      <c r="A174" s="193">
        <v>12562.0</v>
      </c>
      <c r="B174" s="194" t="s">
        <v>203</v>
      </c>
      <c r="C174" s="193">
        <v>2026.0</v>
      </c>
      <c r="D174" s="195">
        <v>2048.0</v>
      </c>
      <c r="E174" s="199"/>
      <c r="F174" s="222" t="s">
        <v>204</v>
      </c>
      <c r="G174" s="215">
        <v>46092.0</v>
      </c>
      <c r="H174" s="193">
        <v>152.0</v>
      </c>
      <c r="I174" s="215">
        <v>46092.0</v>
      </c>
      <c r="J174" s="193" t="s">
        <v>249</v>
      </c>
      <c r="K174" s="193" t="s">
        <v>206</v>
      </c>
      <c r="L174" s="194" t="s">
        <v>144</v>
      </c>
      <c r="M174" s="207"/>
      <c r="N174" s="208" t="s">
        <v>485</v>
      </c>
      <c r="O174" s="193" t="s">
        <v>206</v>
      </c>
      <c r="P174" s="193" t="s">
        <v>485</v>
      </c>
      <c r="Q174" s="199"/>
      <c r="R174" s="193" t="s">
        <v>279</v>
      </c>
      <c r="S174" s="193" t="s">
        <v>50</v>
      </c>
      <c r="T174" s="208" t="s">
        <v>476</v>
      </c>
      <c r="U174" s="208" t="s">
        <v>477</v>
      </c>
      <c r="V174" s="193" t="s">
        <v>50</v>
      </c>
      <c r="W174" s="193" t="s">
        <v>264</v>
      </c>
      <c r="X174" s="193" t="s">
        <v>252</v>
      </c>
      <c r="Y174" s="200">
        <v>3.0</v>
      </c>
      <c r="Z174" s="280" t="s">
        <v>233</v>
      </c>
      <c r="AA174" s="280" t="s">
        <v>215</v>
      </c>
      <c r="AB174" s="203">
        <v>10439.8</v>
      </c>
      <c r="AC174" s="203">
        <v>10439.8</v>
      </c>
      <c r="AD174" s="204">
        <v>46107.0</v>
      </c>
      <c r="AE174" s="204">
        <v>46168.0</v>
      </c>
      <c r="AF174" s="226" t="s">
        <v>487</v>
      </c>
      <c r="AG174" s="219"/>
      <c r="AH174" s="219"/>
      <c r="AI174" s="219"/>
      <c r="AJ174" s="219"/>
      <c r="AK174" s="219"/>
      <c r="AL174" s="219"/>
      <c r="AM174" s="219"/>
      <c r="AN174" s="219"/>
      <c r="AO174" s="219"/>
    </row>
    <row r="175">
      <c r="A175" s="193">
        <v>12580.0</v>
      </c>
      <c r="B175" s="194" t="s">
        <v>203</v>
      </c>
      <c r="C175" s="193">
        <v>2026.0</v>
      </c>
      <c r="D175" s="195">
        <v>2048.0</v>
      </c>
      <c r="E175" s="196"/>
      <c r="F175" s="193" t="s">
        <v>272</v>
      </c>
      <c r="G175" s="283">
        <v>46136.0</v>
      </c>
      <c r="H175" s="199"/>
      <c r="I175" s="220"/>
      <c r="J175" s="199"/>
      <c r="K175" s="193" t="s">
        <v>206</v>
      </c>
      <c r="L175" s="194" t="s">
        <v>144</v>
      </c>
      <c r="M175" s="199"/>
      <c r="N175" s="193" t="s">
        <v>207</v>
      </c>
      <c r="O175" s="193" t="s">
        <v>206</v>
      </c>
      <c r="P175" s="193" t="s">
        <v>206</v>
      </c>
      <c r="Q175" s="199"/>
      <c r="R175" s="193" t="s">
        <v>279</v>
      </c>
      <c r="S175" s="193" t="s">
        <v>50</v>
      </c>
      <c r="T175" s="193" t="s">
        <v>479</v>
      </c>
      <c r="U175" s="193" t="s">
        <v>480</v>
      </c>
      <c r="V175" s="193" t="s">
        <v>50</v>
      </c>
      <c r="W175" s="193" t="s">
        <v>264</v>
      </c>
      <c r="X175" s="193" t="s">
        <v>252</v>
      </c>
      <c r="Y175" s="200">
        <v>3.0</v>
      </c>
      <c r="Z175" s="202" t="s">
        <v>233</v>
      </c>
      <c r="AA175" s="202" t="s">
        <v>215</v>
      </c>
      <c r="AB175" s="221"/>
      <c r="AC175" s="203" t="s">
        <v>275</v>
      </c>
      <c r="AD175" s="204">
        <v>46107.0</v>
      </c>
      <c r="AE175" s="204">
        <v>46168.0</v>
      </c>
      <c r="AF175" s="226" t="s">
        <v>488</v>
      </c>
      <c r="AG175" s="219"/>
      <c r="AH175" s="219"/>
      <c r="AI175" s="219"/>
      <c r="AJ175" s="219"/>
      <c r="AK175" s="219"/>
      <c r="AL175" s="219"/>
      <c r="AM175" s="219"/>
      <c r="AN175" s="219"/>
      <c r="AO175" s="219"/>
    </row>
    <row r="176">
      <c r="A176" s="193">
        <v>12600.0</v>
      </c>
      <c r="B176" s="194" t="s">
        <v>203</v>
      </c>
      <c r="C176" s="193">
        <v>2026.0</v>
      </c>
      <c r="D176" s="195">
        <v>2048.0</v>
      </c>
      <c r="E176" s="196"/>
      <c r="F176" s="193" t="s">
        <v>204</v>
      </c>
      <c r="G176" s="217">
        <v>46213.0</v>
      </c>
      <c r="H176" s="193">
        <v>584.0</v>
      </c>
      <c r="I176" s="215">
        <v>46213.0</v>
      </c>
      <c r="J176" s="193" t="s">
        <v>459</v>
      </c>
      <c r="K176" s="193" t="s">
        <v>206</v>
      </c>
      <c r="L176" s="194" t="s">
        <v>144</v>
      </c>
      <c r="M176" s="199"/>
      <c r="N176" s="193" t="s">
        <v>227</v>
      </c>
      <c r="O176" s="193" t="s">
        <v>206</v>
      </c>
      <c r="P176" s="193" t="s">
        <v>206</v>
      </c>
      <c r="Q176" s="199"/>
      <c r="R176" s="193" t="s">
        <v>279</v>
      </c>
      <c r="S176" s="193" t="s">
        <v>50</v>
      </c>
      <c r="T176" s="222" t="s">
        <v>229</v>
      </c>
      <c r="U176" s="222" t="s">
        <v>473</v>
      </c>
      <c r="V176" s="193" t="s">
        <v>50</v>
      </c>
      <c r="W176" s="193" t="s">
        <v>264</v>
      </c>
      <c r="X176" s="193" t="s">
        <v>252</v>
      </c>
      <c r="Y176" s="200">
        <v>3.0</v>
      </c>
      <c r="Z176" s="277" t="s">
        <v>233</v>
      </c>
      <c r="AA176" s="277" t="s">
        <v>234</v>
      </c>
      <c r="AB176" s="221"/>
      <c r="AC176" s="203">
        <v>9611.78</v>
      </c>
      <c r="AD176" s="204">
        <v>46229.0</v>
      </c>
      <c r="AE176" s="204">
        <v>46382.0</v>
      </c>
      <c r="AF176" s="205"/>
      <c r="AG176" s="219"/>
      <c r="AH176" s="219"/>
      <c r="AI176" s="219"/>
      <c r="AJ176" s="219"/>
      <c r="AK176" s="219"/>
      <c r="AL176" s="219"/>
      <c r="AM176" s="219"/>
      <c r="AN176" s="219"/>
      <c r="AO176" s="219"/>
    </row>
    <row r="177">
      <c r="A177" s="193">
        <v>12620.0</v>
      </c>
      <c r="B177" s="194" t="s">
        <v>203</v>
      </c>
      <c r="C177" s="193">
        <v>2026.0</v>
      </c>
      <c r="D177" s="195">
        <v>2048.0</v>
      </c>
      <c r="E177" s="196"/>
      <c r="F177" s="193" t="s">
        <v>204</v>
      </c>
      <c r="G177" s="197">
        <v>46118.0</v>
      </c>
      <c r="H177" s="193">
        <v>233.0</v>
      </c>
      <c r="I177" s="198">
        <v>46118.0</v>
      </c>
      <c r="J177" s="193" t="s">
        <v>307</v>
      </c>
      <c r="K177" s="193" t="s">
        <v>206</v>
      </c>
      <c r="L177" s="194" t="s">
        <v>144</v>
      </c>
      <c r="M177" s="219"/>
      <c r="N177" s="227" t="s">
        <v>207</v>
      </c>
      <c r="O177" s="193" t="s">
        <v>206</v>
      </c>
      <c r="P177" s="193" t="s">
        <v>206</v>
      </c>
      <c r="Q177" s="199"/>
      <c r="R177" s="193" t="s">
        <v>208</v>
      </c>
      <c r="S177" s="224" t="s">
        <v>39</v>
      </c>
      <c r="T177" s="193" t="s">
        <v>209</v>
      </c>
      <c r="U177" s="193" t="s">
        <v>472</v>
      </c>
      <c r="V177" s="193" t="s">
        <v>211</v>
      </c>
      <c r="W177" s="193" t="s">
        <v>212</v>
      </c>
      <c r="X177" s="193" t="s">
        <v>213</v>
      </c>
      <c r="Y177" s="278">
        <v>3.0</v>
      </c>
      <c r="Z177" s="202" t="s">
        <v>214</v>
      </c>
      <c r="AA177" s="202" t="s">
        <v>215</v>
      </c>
      <c r="AB177" s="282">
        <v>2310000.0</v>
      </c>
      <c r="AC177" s="203">
        <v>2310000.0</v>
      </c>
      <c r="AD177" s="258">
        <v>46138.0</v>
      </c>
      <c r="AE177" s="204">
        <v>46199.0</v>
      </c>
      <c r="AF177" s="205"/>
      <c r="AG177" s="219"/>
      <c r="AH177" s="219"/>
      <c r="AI177" s="219"/>
      <c r="AJ177" s="219"/>
      <c r="AK177" s="219"/>
      <c r="AL177" s="219"/>
      <c r="AM177" s="219"/>
      <c r="AN177" s="219"/>
      <c r="AO177" s="219"/>
    </row>
    <row r="178">
      <c r="A178" s="193">
        <v>12640.0</v>
      </c>
      <c r="B178" s="194" t="s">
        <v>203</v>
      </c>
      <c r="C178" s="193">
        <v>2026.0</v>
      </c>
      <c r="D178" s="195">
        <v>2048.0</v>
      </c>
      <c r="E178" s="196"/>
      <c r="F178" s="193" t="s">
        <v>204</v>
      </c>
      <c r="G178" s="246">
        <v>46118.0</v>
      </c>
      <c r="H178" s="193">
        <v>240.0</v>
      </c>
      <c r="I178" s="284">
        <v>46118.0</v>
      </c>
      <c r="J178" s="193" t="s">
        <v>226</v>
      </c>
      <c r="K178" s="193" t="s">
        <v>206</v>
      </c>
      <c r="L178" s="194" t="s">
        <v>144</v>
      </c>
      <c r="M178" s="199"/>
      <c r="N178" s="193" t="s">
        <v>207</v>
      </c>
      <c r="O178" s="193" t="s">
        <v>206</v>
      </c>
      <c r="P178" s="193" t="s">
        <v>206</v>
      </c>
      <c r="Q178" s="199"/>
      <c r="R178" s="193" t="s">
        <v>219</v>
      </c>
      <c r="S178" s="193" t="s">
        <v>44</v>
      </c>
      <c r="T178" s="208" t="s">
        <v>220</v>
      </c>
      <c r="U178" s="208" t="s">
        <v>489</v>
      </c>
      <c r="V178" s="193" t="s">
        <v>211</v>
      </c>
      <c r="W178" s="193" t="s">
        <v>212</v>
      </c>
      <c r="X178" s="193" t="s">
        <v>223</v>
      </c>
      <c r="Y178" s="200">
        <v>3.0</v>
      </c>
      <c r="Z178" s="280" t="s">
        <v>214</v>
      </c>
      <c r="AA178" s="280" t="s">
        <v>215</v>
      </c>
      <c r="AB178" s="203">
        <v>2572500.0</v>
      </c>
      <c r="AC178" s="203">
        <v>2572500.0</v>
      </c>
      <c r="AD178" s="258">
        <v>46138.0</v>
      </c>
      <c r="AE178" s="204">
        <v>46199.0</v>
      </c>
      <c r="AF178" s="226" t="s">
        <v>461</v>
      </c>
      <c r="AG178" s="219"/>
      <c r="AH178" s="219"/>
      <c r="AI178" s="219"/>
      <c r="AJ178" s="219"/>
      <c r="AK178" s="219"/>
      <c r="AL178" s="219"/>
      <c r="AM178" s="219"/>
      <c r="AN178" s="219"/>
      <c r="AO178" s="219"/>
    </row>
    <row r="179">
      <c r="A179" s="193">
        <v>12660.0</v>
      </c>
      <c r="B179" s="194" t="s">
        <v>203</v>
      </c>
      <c r="C179" s="193">
        <v>2026.0</v>
      </c>
      <c r="D179" s="195">
        <v>2048.0</v>
      </c>
      <c r="E179" s="199"/>
      <c r="F179" s="208" t="s">
        <v>204</v>
      </c>
      <c r="G179" s="230">
        <v>46118.0</v>
      </c>
      <c r="H179" s="193">
        <v>233.0</v>
      </c>
      <c r="I179" s="223">
        <v>46118.0</v>
      </c>
      <c r="J179" s="193" t="s">
        <v>351</v>
      </c>
      <c r="K179" s="193" t="s">
        <v>206</v>
      </c>
      <c r="L179" s="194" t="s">
        <v>144</v>
      </c>
      <c r="M179" s="199"/>
      <c r="N179" s="193" t="s">
        <v>207</v>
      </c>
      <c r="O179" s="193" t="s">
        <v>206</v>
      </c>
      <c r="P179" s="193" t="s">
        <v>206</v>
      </c>
      <c r="Q179" s="207"/>
      <c r="R179" s="208" t="s">
        <v>208</v>
      </c>
      <c r="S179" s="193" t="s">
        <v>39</v>
      </c>
      <c r="T179" s="193" t="s">
        <v>294</v>
      </c>
      <c r="U179" s="193" t="s">
        <v>490</v>
      </c>
      <c r="V179" s="193" t="s">
        <v>296</v>
      </c>
      <c r="W179" s="193" t="s">
        <v>212</v>
      </c>
      <c r="X179" s="193" t="s">
        <v>223</v>
      </c>
      <c r="Y179" s="200">
        <v>3.0</v>
      </c>
      <c r="Z179" s="202" t="s">
        <v>214</v>
      </c>
      <c r="AA179" s="202" t="s">
        <v>215</v>
      </c>
      <c r="AB179" s="203">
        <v>1260800.55</v>
      </c>
      <c r="AC179" s="203">
        <v>1260800.55</v>
      </c>
      <c r="AD179" s="258">
        <v>46138.0</v>
      </c>
      <c r="AE179" s="204">
        <v>46199.0</v>
      </c>
      <c r="AF179" s="205"/>
      <c r="AG179" s="219"/>
      <c r="AH179" s="219"/>
      <c r="AI179" s="219"/>
      <c r="AJ179" s="219"/>
      <c r="AK179" s="219"/>
      <c r="AL179" s="219"/>
      <c r="AM179" s="219"/>
      <c r="AN179" s="219"/>
      <c r="AO179" s="219"/>
    </row>
    <row r="180">
      <c r="A180" s="193">
        <v>12680.0</v>
      </c>
      <c r="B180" s="194" t="s">
        <v>203</v>
      </c>
      <c r="C180" s="193">
        <v>2026.0</v>
      </c>
      <c r="D180" s="195">
        <v>2048.0</v>
      </c>
      <c r="E180" s="199"/>
      <c r="F180" s="193" t="s">
        <v>204</v>
      </c>
      <c r="G180" s="215">
        <v>46118.0</v>
      </c>
      <c r="H180" s="193">
        <v>233.0</v>
      </c>
      <c r="I180" s="215">
        <v>46118.0</v>
      </c>
      <c r="J180" s="193" t="s">
        <v>307</v>
      </c>
      <c r="K180" s="193" t="s">
        <v>206</v>
      </c>
      <c r="L180" s="194" t="s">
        <v>144</v>
      </c>
      <c r="M180" s="199"/>
      <c r="N180" s="193" t="s">
        <v>207</v>
      </c>
      <c r="O180" s="193" t="s">
        <v>206</v>
      </c>
      <c r="P180" s="193" t="s">
        <v>206</v>
      </c>
      <c r="Q180" s="207"/>
      <c r="R180" s="208" t="s">
        <v>208</v>
      </c>
      <c r="S180" s="193" t="s">
        <v>39</v>
      </c>
      <c r="T180" s="193" t="s">
        <v>209</v>
      </c>
      <c r="U180" s="193" t="s">
        <v>490</v>
      </c>
      <c r="V180" s="193" t="s">
        <v>211</v>
      </c>
      <c r="W180" s="193" t="s">
        <v>212</v>
      </c>
      <c r="X180" s="193" t="s">
        <v>223</v>
      </c>
      <c r="Y180" s="200">
        <v>3.0</v>
      </c>
      <c r="Z180" s="202" t="s">
        <v>214</v>
      </c>
      <c r="AA180" s="202" t="s">
        <v>215</v>
      </c>
      <c r="AB180" s="203">
        <v>4072680.0</v>
      </c>
      <c r="AC180" s="203">
        <v>4072680.0</v>
      </c>
      <c r="AD180" s="285">
        <v>46138.0</v>
      </c>
      <c r="AE180" s="204">
        <v>46199.0</v>
      </c>
      <c r="AF180" s="226" t="s">
        <v>461</v>
      </c>
      <c r="AG180" s="219"/>
      <c r="AH180" s="219"/>
      <c r="AI180" s="219"/>
      <c r="AJ180" s="219"/>
      <c r="AK180" s="219"/>
      <c r="AL180" s="219"/>
      <c r="AM180" s="219"/>
      <c r="AN180" s="219"/>
      <c r="AO180" s="219"/>
    </row>
    <row r="181">
      <c r="A181" s="193">
        <v>12700.0</v>
      </c>
      <c r="B181" s="194" t="s">
        <v>203</v>
      </c>
      <c r="C181" s="193">
        <v>2026.0</v>
      </c>
      <c r="D181" s="195">
        <v>2048.0</v>
      </c>
      <c r="E181" s="199"/>
      <c r="F181" s="193" t="s">
        <v>204</v>
      </c>
      <c r="G181" s="223">
        <v>46098.0</v>
      </c>
      <c r="H181" s="193">
        <v>176.0</v>
      </c>
      <c r="I181" s="223">
        <v>46098.0</v>
      </c>
      <c r="J181" s="193" t="s">
        <v>352</v>
      </c>
      <c r="K181" s="193" t="s">
        <v>206</v>
      </c>
      <c r="L181" s="194" t="s">
        <v>144</v>
      </c>
      <c r="M181" s="199"/>
      <c r="N181" s="193" t="s">
        <v>207</v>
      </c>
      <c r="O181" s="193" t="s">
        <v>206</v>
      </c>
      <c r="P181" s="193" t="s">
        <v>206</v>
      </c>
      <c r="Q181" s="207"/>
      <c r="R181" s="208" t="s">
        <v>219</v>
      </c>
      <c r="S181" s="193" t="s">
        <v>43</v>
      </c>
      <c r="T181" s="193" t="s">
        <v>299</v>
      </c>
      <c r="U181" s="193" t="s">
        <v>491</v>
      </c>
      <c r="V181" s="193" t="s">
        <v>296</v>
      </c>
      <c r="W181" s="193" t="s">
        <v>212</v>
      </c>
      <c r="X181" s="193" t="s">
        <v>223</v>
      </c>
      <c r="Y181" s="200">
        <v>3.0</v>
      </c>
      <c r="Z181" s="202" t="s">
        <v>214</v>
      </c>
      <c r="AA181" s="202" t="s">
        <v>215</v>
      </c>
      <c r="AB181" s="203">
        <v>619070.0</v>
      </c>
      <c r="AC181" s="203">
        <v>619070.0</v>
      </c>
      <c r="AD181" s="276">
        <v>46107.0</v>
      </c>
      <c r="AE181" s="204">
        <v>46229.0</v>
      </c>
      <c r="AF181" s="205"/>
      <c r="AG181" s="219"/>
      <c r="AH181" s="219"/>
      <c r="AI181" s="219"/>
      <c r="AJ181" s="219"/>
      <c r="AK181" s="219"/>
      <c r="AL181" s="219"/>
      <c r="AM181" s="219"/>
      <c r="AN181" s="219"/>
      <c r="AO181" s="219"/>
    </row>
    <row r="182">
      <c r="A182" s="193">
        <v>12720.0</v>
      </c>
      <c r="B182" s="194" t="s">
        <v>203</v>
      </c>
      <c r="C182" s="193">
        <v>2026.0</v>
      </c>
      <c r="D182" s="195">
        <v>2048.0</v>
      </c>
      <c r="E182" s="199"/>
      <c r="F182" s="193" t="s">
        <v>204</v>
      </c>
      <c r="G182" s="223">
        <v>46121.0</v>
      </c>
      <c r="H182" s="193">
        <v>269.0</v>
      </c>
      <c r="I182" s="223">
        <v>46121.0</v>
      </c>
      <c r="J182" s="193" t="s">
        <v>346</v>
      </c>
      <c r="K182" s="193" t="s">
        <v>206</v>
      </c>
      <c r="L182" s="194" t="s">
        <v>144</v>
      </c>
      <c r="M182" s="199"/>
      <c r="N182" s="193" t="s">
        <v>207</v>
      </c>
      <c r="O182" s="193" t="s">
        <v>206</v>
      </c>
      <c r="P182" s="193" t="s">
        <v>206</v>
      </c>
      <c r="Q182" s="207"/>
      <c r="R182" s="208" t="s">
        <v>219</v>
      </c>
      <c r="S182" s="193" t="s">
        <v>44</v>
      </c>
      <c r="T182" s="193" t="s">
        <v>220</v>
      </c>
      <c r="U182" s="193" t="s">
        <v>492</v>
      </c>
      <c r="V182" s="193" t="s">
        <v>211</v>
      </c>
      <c r="W182" s="193" t="s">
        <v>212</v>
      </c>
      <c r="X182" s="193" t="s">
        <v>213</v>
      </c>
      <c r="Y182" s="200">
        <v>3.0</v>
      </c>
      <c r="Z182" s="202" t="s">
        <v>214</v>
      </c>
      <c r="AA182" s="202" t="s">
        <v>215</v>
      </c>
      <c r="AB182" s="203">
        <v>332718.75</v>
      </c>
      <c r="AC182" s="203">
        <v>332718.75</v>
      </c>
      <c r="AD182" s="285">
        <v>46138.0</v>
      </c>
      <c r="AE182" s="204">
        <v>46229.0</v>
      </c>
      <c r="AF182" s="205"/>
      <c r="AG182" s="206"/>
      <c r="AH182" s="206"/>
      <c r="AI182" s="206"/>
      <c r="AJ182" s="206"/>
      <c r="AK182" s="206"/>
      <c r="AL182" s="206"/>
      <c r="AM182" s="206"/>
      <c r="AN182" s="206"/>
      <c r="AO182" s="206"/>
    </row>
    <row r="183">
      <c r="A183" s="193">
        <v>12740.0</v>
      </c>
      <c r="B183" s="194" t="s">
        <v>203</v>
      </c>
      <c r="C183" s="193">
        <v>2026.0</v>
      </c>
      <c r="D183" s="195">
        <v>2048.0</v>
      </c>
      <c r="E183" s="199"/>
      <c r="F183" s="193" t="s">
        <v>204</v>
      </c>
      <c r="G183" s="223">
        <v>46098.0</v>
      </c>
      <c r="H183" s="193">
        <v>178.0</v>
      </c>
      <c r="I183" s="223">
        <v>46098.0</v>
      </c>
      <c r="J183" s="193" t="s">
        <v>493</v>
      </c>
      <c r="K183" s="193" t="s">
        <v>206</v>
      </c>
      <c r="L183" s="194" t="s">
        <v>144</v>
      </c>
      <c r="M183" s="199"/>
      <c r="N183" s="193" t="s">
        <v>207</v>
      </c>
      <c r="O183" s="193" t="s">
        <v>206</v>
      </c>
      <c r="P183" s="193" t="s">
        <v>206</v>
      </c>
      <c r="Q183" s="207"/>
      <c r="R183" s="208" t="s">
        <v>219</v>
      </c>
      <c r="S183" s="193" t="s">
        <v>45</v>
      </c>
      <c r="T183" s="193" t="s">
        <v>494</v>
      </c>
      <c r="U183" s="193" t="s">
        <v>490</v>
      </c>
      <c r="V183" s="193" t="s">
        <v>211</v>
      </c>
      <c r="W183" s="193" t="s">
        <v>212</v>
      </c>
      <c r="X183" s="193" t="s">
        <v>223</v>
      </c>
      <c r="Y183" s="200">
        <v>3.0</v>
      </c>
      <c r="Z183" s="202" t="s">
        <v>214</v>
      </c>
      <c r="AA183" s="202" t="s">
        <v>215</v>
      </c>
      <c r="AB183" s="203">
        <v>1770880.5</v>
      </c>
      <c r="AC183" s="203">
        <v>1770880.5</v>
      </c>
      <c r="AD183" s="286">
        <v>46107.0</v>
      </c>
      <c r="AE183" s="247">
        <v>46168.0</v>
      </c>
      <c r="AF183" s="205"/>
      <c r="AG183" s="219"/>
      <c r="AH183" s="219"/>
      <c r="AI183" s="219"/>
      <c r="AJ183" s="219"/>
      <c r="AK183" s="219"/>
      <c r="AL183" s="219"/>
      <c r="AM183" s="219"/>
      <c r="AN183" s="219"/>
      <c r="AO183" s="219"/>
    </row>
    <row r="184">
      <c r="A184" s="193">
        <v>12760.0</v>
      </c>
      <c r="B184" s="194" t="s">
        <v>203</v>
      </c>
      <c r="C184" s="193">
        <v>2026.0</v>
      </c>
      <c r="D184" s="229" t="s">
        <v>258</v>
      </c>
      <c r="E184" s="199"/>
      <c r="F184" s="193" t="s">
        <v>204</v>
      </c>
      <c r="G184" s="223">
        <v>46098.0</v>
      </c>
      <c r="H184" s="193">
        <v>162.0</v>
      </c>
      <c r="I184" s="223">
        <v>46098.0</v>
      </c>
      <c r="J184" s="193" t="s">
        <v>495</v>
      </c>
      <c r="K184" s="193" t="s">
        <v>206</v>
      </c>
      <c r="L184" s="194" t="s">
        <v>144</v>
      </c>
      <c r="M184" s="199"/>
      <c r="N184" s="193" t="s">
        <v>207</v>
      </c>
      <c r="O184" s="193" t="s">
        <v>206</v>
      </c>
      <c r="P184" s="193" t="s">
        <v>206</v>
      </c>
      <c r="Q184" s="207"/>
      <c r="R184" s="208" t="s">
        <v>269</v>
      </c>
      <c r="S184" s="193" t="s">
        <v>49</v>
      </c>
      <c r="T184" s="193" t="s">
        <v>356</v>
      </c>
      <c r="U184" s="193" t="s">
        <v>496</v>
      </c>
      <c r="V184" s="193" t="s">
        <v>211</v>
      </c>
      <c r="W184" s="193" t="s">
        <v>212</v>
      </c>
      <c r="X184" s="193" t="s">
        <v>223</v>
      </c>
      <c r="Y184" s="200">
        <v>3.0</v>
      </c>
      <c r="Z184" s="202" t="s">
        <v>214</v>
      </c>
      <c r="AA184" s="202" t="s">
        <v>215</v>
      </c>
      <c r="AB184" s="203">
        <v>1892821.0</v>
      </c>
      <c r="AC184" s="203">
        <v>1892821.0</v>
      </c>
      <c r="AD184" s="247">
        <v>46107.0</v>
      </c>
      <c r="AE184" s="204">
        <v>46199.0</v>
      </c>
      <c r="AF184" s="205"/>
      <c r="AG184" s="219"/>
      <c r="AH184" s="219"/>
      <c r="AI184" s="219"/>
      <c r="AJ184" s="219"/>
      <c r="AK184" s="219"/>
      <c r="AL184" s="219"/>
      <c r="AM184" s="219"/>
      <c r="AN184" s="219"/>
      <c r="AO184" s="219"/>
    </row>
    <row r="185">
      <c r="A185" s="193">
        <v>12780.0</v>
      </c>
      <c r="B185" s="194" t="s">
        <v>203</v>
      </c>
      <c r="C185" s="193">
        <v>2026.0</v>
      </c>
      <c r="D185" s="195">
        <v>2048.0</v>
      </c>
      <c r="E185" s="199"/>
      <c r="F185" s="199"/>
      <c r="G185" s="220"/>
      <c r="H185" s="199"/>
      <c r="I185" s="220"/>
      <c r="J185" s="199"/>
      <c r="K185" s="193" t="s">
        <v>206</v>
      </c>
      <c r="L185" s="194" t="s">
        <v>144</v>
      </c>
      <c r="M185" s="199"/>
      <c r="N185" s="193" t="s">
        <v>227</v>
      </c>
      <c r="O185" s="193" t="s">
        <v>206</v>
      </c>
      <c r="P185" s="193" t="s">
        <v>244</v>
      </c>
      <c r="Q185" s="207"/>
      <c r="R185" s="208" t="s">
        <v>228</v>
      </c>
      <c r="S185" s="193" t="s">
        <v>46</v>
      </c>
      <c r="T185" s="193" t="s">
        <v>229</v>
      </c>
      <c r="U185" s="193" t="s">
        <v>497</v>
      </c>
      <c r="V185" s="193" t="s">
        <v>155</v>
      </c>
      <c r="W185" s="193" t="s">
        <v>203</v>
      </c>
      <c r="X185" s="193" t="s">
        <v>232</v>
      </c>
      <c r="Y185" s="200">
        <v>3.0</v>
      </c>
      <c r="Z185" s="202" t="s">
        <v>233</v>
      </c>
      <c r="AA185" s="202" t="s">
        <v>234</v>
      </c>
      <c r="AB185" s="221"/>
      <c r="AC185" s="203" t="s">
        <v>275</v>
      </c>
      <c r="AD185" s="276">
        <v>46107.0</v>
      </c>
      <c r="AE185" s="204">
        <v>46199.0</v>
      </c>
      <c r="AF185" s="205"/>
      <c r="AG185" s="219"/>
      <c r="AH185" s="219"/>
      <c r="AI185" s="219"/>
      <c r="AJ185" s="219"/>
      <c r="AK185" s="219"/>
      <c r="AL185" s="219"/>
      <c r="AM185" s="219"/>
      <c r="AN185" s="219"/>
      <c r="AO185" s="219"/>
    </row>
    <row r="186">
      <c r="A186" s="193">
        <v>12800.0</v>
      </c>
      <c r="B186" s="194" t="s">
        <v>203</v>
      </c>
      <c r="C186" s="193">
        <v>2026.0</v>
      </c>
      <c r="D186" s="195">
        <v>2048.0</v>
      </c>
      <c r="E186" s="193">
        <v>139.0</v>
      </c>
      <c r="F186" s="193" t="s">
        <v>272</v>
      </c>
      <c r="G186" s="220"/>
      <c r="H186" s="199"/>
      <c r="I186" s="220"/>
      <c r="J186" s="199"/>
      <c r="K186" s="193" t="s">
        <v>206</v>
      </c>
      <c r="L186" s="194" t="s">
        <v>144</v>
      </c>
      <c r="M186" s="199"/>
      <c r="N186" s="193" t="s">
        <v>227</v>
      </c>
      <c r="O186" s="193" t="s">
        <v>206</v>
      </c>
      <c r="P186" s="193" t="s">
        <v>244</v>
      </c>
      <c r="Q186" s="207"/>
      <c r="R186" s="208" t="s">
        <v>228</v>
      </c>
      <c r="S186" s="193" t="s">
        <v>46</v>
      </c>
      <c r="T186" s="193" t="s">
        <v>245</v>
      </c>
      <c r="U186" s="193" t="s">
        <v>498</v>
      </c>
      <c r="V186" s="193" t="s">
        <v>155</v>
      </c>
      <c r="W186" s="193" t="s">
        <v>203</v>
      </c>
      <c r="X186" s="193" t="s">
        <v>232</v>
      </c>
      <c r="Y186" s="200">
        <v>3.0</v>
      </c>
      <c r="Z186" s="202" t="s">
        <v>214</v>
      </c>
      <c r="AA186" s="202" t="s">
        <v>234</v>
      </c>
      <c r="AB186" s="221"/>
      <c r="AC186" s="203" t="s">
        <v>275</v>
      </c>
      <c r="AD186" s="249">
        <v>46321.0</v>
      </c>
      <c r="AE186" s="251">
        <v>46230.0</v>
      </c>
      <c r="AF186" s="226" t="s">
        <v>317</v>
      </c>
      <c r="AG186" s="219"/>
      <c r="AH186" s="219"/>
      <c r="AI186" s="219"/>
      <c r="AJ186" s="219"/>
      <c r="AK186" s="219"/>
      <c r="AL186" s="219"/>
      <c r="AM186" s="219"/>
      <c r="AN186" s="219"/>
      <c r="AO186" s="219"/>
    </row>
    <row r="187">
      <c r="A187" s="193">
        <v>12820.0</v>
      </c>
      <c r="B187" s="194" t="s">
        <v>203</v>
      </c>
      <c r="C187" s="193">
        <v>2026.0</v>
      </c>
      <c r="D187" s="229" t="s">
        <v>258</v>
      </c>
      <c r="E187" s="199"/>
      <c r="F187" s="193" t="s">
        <v>204</v>
      </c>
      <c r="G187" s="223">
        <v>46176.0</v>
      </c>
      <c r="H187" s="193">
        <v>390.0</v>
      </c>
      <c r="I187" s="223">
        <v>46176.0</v>
      </c>
      <c r="J187" s="193" t="s">
        <v>499</v>
      </c>
      <c r="K187" s="193" t="s">
        <v>206</v>
      </c>
      <c r="L187" s="194" t="s">
        <v>144</v>
      </c>
      <c r="M187" s="199"/>
      <c r="N187" s="193" t="s">
        <v>207</v>
      </c>
      <c r="O187" s="193" t="s">
        <v>206</v>
      </c>
      <c r="P187" s="193" t="s">
        <v>244</v>
      </c>
      <c r="Q187" s="207"/>
      <c r="R187" s="208" t="s">
        <v>208</v>
      </c>
      <c r="S187" s="193" t="s">
        <v>39</v>
      </c>
      <c r="T187" s="193" t="s">
        <v>254</v>
      </c>
      <c r="U187" s="193" t="s">
        <v>500</v>
      </c>
      <c r="V187" s="193" t="s">
        <v>155</v>
      </c>
      <c r="W187" s="193" t="s">
        <v>203</v>
      </c>
      <c r="X187" s="193" t="s">
        <v>252</v>
      </c>
      <c r="Y187" s="200">
        <v>3.0</v>
      </c>
      <c r="Z187" s="202" t="s">
        <v>233</v>
      </c>
      <c r="AA187" s="202" t="s">
        <v>215</v>
      </c>
      <c r="AB187" s="203">
        <v>3000000.0</v>
      </c>
      <c r="AC187" s="203">
        <v>3000000.0</v>
      </c>
      <c r="AD187" s="204">
        <v>46199.0</v>
      </c>
      <c r="AE187" s="204">
        <v>46168.0</v>
      </c>
      <c r="AF187" s="205"/>
      <c r="AG187" s="219"/>
      <c r="AH187" s="219"/>
      <c r="AI187" s="219"/>
      <c r="AJ187" s="219"/>
      <c r="AK187" s="219"/>
      <c r="AL187" s="219"/>
      <c r="AM187" s="219"/>
      <c r="AN187" s="219"/>
      <c r="AO187" s="219"/>
    </row>
    <row r="188">
      <c r="A188" s="193">
        <v>12840.0</v>
      </c>
      <c r="B188" s="194" t="s">
        <v>203</v>
      </c>
      <c r="C188" s="193">
        <v>2026.0</v>
      </c>
      <c r="D188" s="195">
        <v>2048.0</v>
      </c>
      <c r="E188" s="199"/>
      <c r="F188" s="193" t="s">
        <v>204</v>
      </c>
      <c r="G188" s="230">
        <v>46205.0</v>
      </c>
      <c r="H188" s="193">
        <v>529.0</v>
      </c>
      <c r="I188" s="223">
        <v>46205.0</v>
      </c>
      <c r="J188" s="193" t="s">
        <v>307</v>
      </c>
      <c r="K188" s="193" t="s">
        <v>206</v>
      </c>
      <c r="L188" s="194" t="s">
        <v>144</v>
      </c>
      <c r="M188" s="199"/>
      <c r="N188" s="193" t="s">
        <v>227</v>
      </c>
      <c r="O188" s="193" t="s">
        <v>206</v>
      </c>
      <c r="P188" s="193" t="s">
        <v>206</v>
      </c>
      <c r="Q188" s="207"/>
      <c r="R188" s="208" t="s">
        <v>208</v>
      </c>
      <c r="S188" s="193" t="s">
        <v>39</v>
      </c>
      <c r="T188" s="193" t="s">
        <v>229</v>
      </c>
      <c r="U188" s="193" t="s">
        <v>501</v>
      </c>
      <c r="V188" s="193" t="s">
        <v>502</v>
      </c>
      <c r="W188" s="193" t="s">
        <v>212</v>
      </c>
      <c r="X188" s="193" t="s">
        <v>232</v>
      </c>
      <c r="Y188" s="200">
        <v>3.0</v>
      </c>
      <c r="Z188" s="202" t="s">
        <v>233</v>
      </c>
      <c r="AA188" s="202" t="s">
        <v>234</v>
      </c>
      <c r="AB188" s="203">
        <v>315789.47</v>
      </c>
      <c r="AC188" s="203">
        <v>1632315.77</v>
      </c>
      <c r="AD188" s="204">
        <v>46229.0</v>
      </c>
      <c r="AE188" s="204">
        <v>46382.0</v>
      </c>
      <c r="AF188" s="226" t="s">
        <v>388</v>
      </c>
      <c r="AG188" s="219"/>
      <c r="AH188" s="219"/>
      <c r="AI188" s="219"/>
      <c r="AJ188" s="219"/>
      <c r="AK188" s="219"/>
      <c r="AL188" s="219"/>
      <c r="AM188" s="219"/>
      <c r="AN188" s="219"/>
      <c r="AO188" s="219"/>
    </row>
    <row r="189">
      <c r="A189" s="193">
        <v>12860.0</v>
      </c>
      <c r="B189" s="194" t="s">
        <v>203</v>
      </c>
      <c r="C189" s="193">
        <v>2026.0</v>
      </c>
      <c r="D189" s="195">
        <v>2048.0</v>
      </c>
      <c r="E189" s="199"/>
      <c r="F189" s="193" t="s">
        <v>204</v>
      </c>
      <c r="G189" s="230">
        <v>46205.0</v>
      </c>
      <c r="H189" s="193">
        <v>529.0</v>
      </c>
      <c r="I189" s="198">
        <v>46205.0</v>
      </c>
      <c r="J189" s="193" t="s">
        <v>307</v>
      </c>
      <c r="K189" s="193" t="s">
        <v>206</v>
      </c>
      <c r="L189" s="194" t="s">
        <v>144</v>
      </c>
      <c r="M189" s="199"/>
      <c r="N189" s="193" t="s">
        <v>227</v>
      </c>
      <c r="O189" s="193" t="s">
        <v>206</v>
      </c>
      <c r="P189" s="193" t="s">
        <v>206</v>
      </c>
      <c r="Q189" s="207"/>
      <c r="R189" s="208" t="s">
        <v>208</v>
      </c>
      <c r="S189" s="193" t="s">
        <v>39</v>
      </c>
      <c r="T189" s="193" t="s">
        <v>229</v>
      </c>
      <c r="U189" s="193" t="s">
        <v>503</v>
      </c>
      <c r="V189" s="193" t="s">
        <v>502</v>
      </c>
      <c r="W189" s="193" t="s">
        <v>212</v>
      </c>
      <c r="X189" s="193" t="s">
        <v>232</v>
      </c>
      <c r="Y189" s="200">
        <v>3.0</v>
      </c>
      <c r="Z189" s="202" t="s">
        <v>233</v>
      </c>
      <c r="AA189" s="202" t="s">
        <v>234</v>
      </c>
      <c r="AB189" s="203">
        <v>315789.4</v>
      </c>
      <c r="AC189" s="203">
        <v>1632315.41</v>
      </c>
      <c r="AD189" s="204">
        <v>46229.0</v>
      </c>
      <c r="AE189" s="204">
        <v>46382.0</v>
      </c>
      <c r="AF189" s="226" t="s">
        <v>388</v>
      </c>
      <c r="AG189" s="219"/>
      <c r="AH189" s="219"/>
      <c r="AI189" s="219"/>
      <c r="AJ189" s="219"/>
      <c r="AK189" s="219"/>
      <c r="AL189" s="219"/>
      <c r="AM189" s="219"/>
      <c r="AN189" s="219"/>
      <c r="AO189" s="219"/>
    </row>
    <row r="190">
      <c r="A190" s="193">
        <v>12880.0</v>
      </c>
      <c r="B190" s="194" t="s">
        <v>203</v>
      </c>
      <c r="C190" s="193">
        <v>2026.0</v>
      </c>
      <c r="D190" s="195">
        <v>2048.0</v>
      </c>
      <c r="E190" s="199"/>
      <c r="F190" s="193" t="s">
        <v>204</v>
      </c>
      <c r="G190" s="230">
        <v>46268.0</v>
      </c>
      <c r="H190" s="193">
        <v>13489.0</v>
      </c>
      <c r="I190" s="223">
        <v>46268.0</v>
      </c>
      <c r="J190" s="193" t="s">
        <v>307</v>
      </c>
      <c r="K190" s="193" t="s">
        <v>206</v>
      </c>
      <c r="L190" s="194" t="s">
        <v>144</v>
      </c>
      <c r="M190" s="199"/>
      <c r="N190" s="193" t="s">
        <v>227</v>
      </c>
      <c r="O190" s="193" t="s">
        <v>206</v>
      </c>
      <c r="P190" s="193" t="s">
        <v>206</v>
      </c>
      <c r="Q190" s="207"/>
      <c r="R190" s="208" t="s">
        <v>208</v>
      </c>
      <c r="S190" s="193" t="s">
        <v>39</v>
      </c>
      <c r="T190" s="193" t="s">
        <v>229</v>
      </c>
      <c r="U190" s="193" t="s">
        <v>504</v>
      </c>
      <c r="V190" s="193" t="s">
        <v>502</v>
      </c>
      <c r="W190" s="193" t="s">
        <v>212</v>
      </c>
      <c r="X190" s="193" t="s">
        <v>232</v>
      </c>
      <c r="Y190" s="200">
        <v>3.0</v>
      </c>
      <c r="Z190" s="202" t="s">
        <v>233</v>
      </c>
      <c r="AA190" s="202" t="s">
        <v>234</v>
      </c>
      <c r="AB190" s="203">
        <v>350399.06</v>
      </c>
      <c r="AC190" s="203">
        <v>1800000.0</v>
      </c>
      <c r="AD190" s="204">
        <v>46229.0</v>
      </c>
      <c r="AE190" s="204">
        <v>46382.0</v>
      </c>
      <c r="AF190" s="205"/>
      <c r="AG190" s="219"/>
      <c r="AH190" s="219"/>
      <c r="AI190" s="219"/>
      <c r="AJ190" s="219"/>
      <c r="AK190" s="219"/>
      <c r="AL190" s="219"/>
      <c r="AM190" s="219"/>
      <c r="AN190" s="219"/>
      <c r="AO190" s="219"/>
    </row>
    <row r="191">
      <c r="A191" s="193">
        <v>12900.0</v>
      </c>
      <c r="B191" s="194" t="s">
        <v>203</v>
      </c>
      <c r="C191" s="193">
        <v>2026.0</v>
      </c>
      <c r="D191" s="195">
        <v>2048.0</v>
      </c>
      <c r="E191" s="193">
        <v>1.0</v>
      </c>
      <c r="F191" s="193" t="s">
        <v>204</v>
      </c>
      <c r="G191" s="230">
        <v>46282.0</v>
      </c>
      <c r="H191" s="252">
        <v>14447.0</v>
      </c>
      <c r="I191" s="198">
        <v>46282.0</v>
      </c>
      <c r="J191" s="193" t="s">
        <v>307</v>
      </c>
      <c r="K191" s="193" t="s">
        <v>206</v>
      </c>
      <c r="L191" s="194" t="s">
        <v>144</v>
      </c>
      <c r="M191" s="199"/>
      <c r="N191" s="193" t="s">
        <v>227</v>
      </c>
      <c r="O191" s="193" t="s">
        <v>206</v>
      </c>
      <c r="P191" s="193" t="s">
        <v>206</v>
      </c>
      <c r="Q191" s="199"/>
      <c r="R191" s="193" t="s">
        <v>208</v>
      </c>
      <c r="S191" s="193" t="s">
        <v>39</v>
      </c>
      <c r="T191" s="193" t="s">
        <v>229</v>
      </c>
      <c r="U191" s="193" t="s">
        <v>505</v>
      </c>
      <c r="V191" s="193" t="s">
        <v>502</v>
      </c>
      <c r="W191" s="193" t="s">
        <v>212</v>
      </c>
      <c r="X191" s="193" t="s">
        <v>232</v>
      </c>
      <c r="Y191" s="200">
        <v>3.0</v>
      </c>
      <c r="Z191" s="202" t="s">
        <v>233</v>
      </c>
      <c r="AA191" s="202" t="s">
        <v>234</v>
      </c>
      <c r="AB191" s="203">
        <v>201846.94</v>
      </c>
      <c r="AC191" s="203">
        <v>1032850.8</v>
      </c>
      <c r="AD191" s="204">
        <v>46229.0</v>
      </c>
      <c r="AE191" s="204">
        <v>46382.0</v>
      </c>
      <c r="AF191" s="226" t="s">
        <v>506</v>
      </c>
      <c r="AG191" s="219"/>
      <c r="AH191" s="219"/>
      <c r="AI191" s="219"/>
      <c r="AJ191" s="219"/>
      <c r="AK191" s="219"/>
      <c r="AL191" s="219"/>
      <c r="AM191" s="219"/>
      <c r="AN191" s="219"/>
      <c r="AO191" s="219"/>
    </row>
    <row r="192">
      <c r="A192" s="193">
        <v>12920.0</v>
      </c>
      <c r="B192" s="194" t="s">
        <v>203</v>
      </c>
      <c r="C192" s="193">
        <v>2026.0</v>
      </c>
      <c r="D192" s="195">
        <v>2048.0</v>
      </c>
      <c r="E192" s="199"/>
      <c r="F192" s="193" t="s">
        <v>204</v>
      </c>
      <c r="G192" s="230">
        <v>46205.0</v>
      </c>
      <c r="H192" s="193">
        <v>529.0</v>
      </c>
      <c r="I192" s="198">
        <v>46205.0</v>
      </c>
      <c r="J192" s="193" t="s">
        <v>307</v>
      </c>
      <c r="K192" s="193" t="s">
        <v>206</v>
      </c>
      <c r="L192" s="194" t="s">
        <v>144</v>
      </c>
      <c r="M192" s="199"/>
      <c r="N192" s="193" t="s">
        <v>227</v>
      </c>
      <c r="O192" s="193" t="s">
        <v>206</v>
      </c>
      <c r="P192" s="193" t="s">
        <v>206</v>
      </c>
      <c r="Q192" s="207"/>
      <c r="R192" s="208" t="s">
        <v>208</v>
      </c>
      <c r="S192" s="193" t="s">
        <v>39</v>
      </c>
      <c r="T192" s="193" t="s">
        <v>229</v>
      </c>
      <c r="U192" s="193" t="s">
        <v>507</v>
      </c>
      <c r="V192" s="193" t="s">
        <v>502</v>
      </c>
      <c r="W192" s="193" t="s">
        <v>212</v>
      </c>
      <c r="X192" s="193" t="s">
        <v>232</v>
      </c>
      <c r="Y192" s="200">
        <v>3.0</v>
      </c>
      <c r="Z192" s="202" t="s">
        <v>233</v>
      </c>
      <c r="AA192" s="202" t="s">
        <v>234</v>
      </c>
      <c r="AB192" s="203">
        <v>234521.5</v>
      </c>
      <c r="AC192" s="203">
        <v>1212241.63</v>
      </c>
      <c r="AD192" s="204">
        <v>46229.0</v>
      </c>
      <c r="AE192" s="204">
        <v>46382.0</v>
      </c>
      <c r="AF192" s="226" t="s">
        <v>508</v>
      </c>
      <c r="AG192" s="219"/>
      <c r="AH192" s="219"/>
      <c r="AI192" s="219"/>
      <c r="AJ192" s="219"/>
      <c r="AK192" s="219"/>
      <c r="AL192" s="219"/>
      <c r="AM192" s="219"/>
      <c r="AN192" s="219"/>
      <c r="AO192" s="219"/>
    </row>
    <row r="193">
      <c r="A193" s="193">
        <v>12921.0</v>
      </c>
      <c r="B193" s="194" t="s">
        <v>203</v>
      </c>
      <c r="C193" s="193">
        <v>2026.0</v>
      </c>
      <c r="D193" s="195">
        <v>2048.0</v>
      </c>
      <c r="E193" s="199"/>
      <c r="F193" s="193" t="s">
        <v>204</v>
      </c>
      <c r="G193" s="230">
        <v>46265.0</v>
      </c>
      <c r="H193" s="193">
        <v>13268.0</v>
      </c>
      <c r="I193" s="223">
        <v>46265.0</v>
      </c>
      <c r="J193" s="193" t="s">
        <v>307</v>
      </c>
      <c r="K193" s="193" t="s">
        <v>206</v>
      </c>
      <c r="L193" s="194" t="s">
        <v>144</v>
      </c>
      <c r="M193" s="199"/>
      <c r="N193" s="193" t="s">
        <v>227</v>
      </c>
      <c r="O193" s="193" t="s">
        <v>206</v>
      </c>
      <c r="P193" s="193" t="s">
        <v>206</v>
      </c>
      <c r="Q193" s="207"/>
      <c r="R193" s="208" t="s">
        <v>208</v>
      </c>
      <c r="S193" s="193" t="s">
        <v>39</v>
      </c>
      <c r="T193" s="193" t="s">
        <v>229</v>
      </c>
      <c r="U193" s="193" t="s">
        <v>507</v>
      </c>
      <c r="V193" s="193" t="s">
        <v>502</v>
      </c>
      <c r="W193" s="193" t="s">
        <v>212</v>
      </c>
      <c r="X193" s="193" t="s">
        <v>232</v>
      </c>
      <c r="Y193" s="200">
        <v>3.0</v>
      </c>
      <c r="Z193" s="202" t="s">
        <v>233</v>
      </c>
      <c r="AA193" s="202" t="s">
        <v>234</v>
      </c>
      <c r="AB193" s="203">
        <v>90953.86</v>
      </c>
      <c r="AC193" s="203">
        <v>463228.01</v>
      </c>
      <c r="AD193" s="204">
        <v>46229.0</v>
      </c>
      <c r="AE193" s="193" t="s">
        <v>509</v>
      </c>
      <c r="AF193" s="288" t="s">
        <v>510</v>
      </c>
      <c r="AG193" s="219"/>
      <c r="AH193" s="219"/>
      <c r="AI193" s="219"/>
      <c r="AJ193" s="219"/>
      <c r="AK193" s="219"/>
      <c r="AL193" s="219"/>
      <c r="AM193" s="219"/>
      <c r="AN193" s="219"/>
      <c r="AO193" s="219"/>
    </row>
    <row r="194">
      <c r="A194" s="193">
        <v>12940.0</v>
      </c>
      <c r="B194" s="194" t="s">
        <v>203</v>
      </c>
      <c r="C194" s="193">
        <v>2026.0</v>
      </c>
      <c r="D194" s="195">
        <v>2048.0</v>
      </c>
      <c r="E194" s="199"/>
      <c r="F194" s="193" t="s">
        <v>204</v>
      </c>
      <c r="G194" s="223">
        <v>46255.0</v>
      </c>
      <c r="H194" s="252">
        <v>12729.0</v>
      </c>
      <c r="I194" s="223">
        <v>46255.0</v>
      </c>
      <c r="J194" s="193" t="s">
        <v>404</v>
      </c>
      <c r="K194" s="193" t="s">
        <v>206</v>
      </c>
      <c r="L194" s="194" t="s">
        <v>144</v>
      </c>
      <c r="M194" s="199"/>
      <c r="N194" s="193" t="s">
        <v>207</v>
      </c>
      <c r="O194" s="193" t="s">
        <v>206</v>
      </c>
      <c r="P194" s="193" t="s">
        <v>244</v>
      </c>
      <c r="Q194" s="199"/>
      <c r="R194" s="193" t="s">
        <v>208</v>
      </c>
      <c r="S194" s="193" t="s">
        <v>39</v>
      </c>
      <c r="T194" s="193" t="s">
        <v>250</v>
      </c>
      <c r="U194" s="193" t="s">
        <v>511</v>
      </c>
      <c r="V194" s="193" t="s">
        <v>155</v>
      </c>
      <c r="W194" s="193" t="s">
        <v>203</v>
      </c>
      <c r="X194" s="193" t="s">
        <v>252</v>
      </c>
      <c r="Y194" s="200">
        <v>3.0</v>
      </c>
      <c r="Z194" s="202" t="s">
        <v>214</v>
      </c>
      <c r="AA194" s="202" t="s">
        <v>215</v>
      </c>
      <c r="AB194" s="203">
        <v>2500000.0</v>
      </c>
      <c r="AC194" s="203">
        <v>1.0</v>
      </c>
      <c r="AD194" s="204">
        <v>46260.0</v>
      </c>
      <c r="AE194" s="204">
        <v>46291.0</v>
      </c>
      <c r="AF194" s="205"/>
      <c r="AG194" s="219"/>
      <c r="AH194" s="219"/>
      <c r="AI194" s="219"/>
      <c r="AJ194" s="219"/>
      <c r="AK194" s="219"/>
      <c r="AL194" s="219"/>
      <c r="AM194" s="219"/>
      <c r="AN194" s="219"/>
      <c r="AO194" s="219"/>
    </row>
    <row r="195">
      <c r="A195" s="193">
        <v>12960.0</v>
      </c>
      <c r="B195" s="194" t="s">
        <v>203</v>
      </c>
      <c r="C195" s="193">
        <v>2026.0</v>
      </c>
      <c r="D195" s="229" t="s">
        <v>258</v>
      </c>
      <c r="E195" s="199"/>
      <c r="F195" s="193" t="s">
        <v>204</v>
      </c>
      <c r="G195" s="230">
        <v>46083.0</v>
      </c>
      <c r="H195" s="193">
        <v>118.0</v>
      </c>
      <c r="I195" s="223">
        <v>46083.0</v>
      </c>
      <c r="J195" s="193" t="s">
        <v>459</v>
      </c>
      <c r="K195" s="193" t="s">
        <v>206</v>
      </c>
      <c r="L195" s="194" t="s">
        <v>144</v>
      </c>
      <c r="M195" s="199"/>
      <c r="N195" s="193" t="s">
        <v>207</v>
      </c>
      <c r="O195" s="193" t="s">
        <v>206</v>
      </c>
      <c r="P195" s="193" t="s">
        <v>244</v>
      </c>
      <c r="Q195" s="199"/>
      <c r="R195" s="193" t="s">
        <v>219</v>
      </c>
      <c r="S195" s="193" t="s">
        <v>43</v>
      </c>
      <c r="T195" s="193" t="s">
        <v>512</v>
      </c>
      <c r="U195" s="193" t="s">
        <v>513</v>
      </c>
      <c r="V195" s="193" t="s">
        <v>155</v>
      </c>
      <c r="W195" s="193" t="s">
        <v>203</v>
      </c>
      <c r="X195" s="193" t="s">
        <v>252</v>
      </c>
      <c r="Y195" s="200">
        <v>3.0</v>
      </c>
      <c r="Z195" s="202" t="s">
        <v>214</v>
      </c>
      <c r="AA195" s="202" t="s">
        <v>215</v>
      </c>
      <c r="AB195" s="203">
        <v>3799000.0</v>
      </c>
      <c r="AC195" s="203">
        <v>3799000.0</v>
      </c>
      <c r="AD195" s="204">
        <v>46107.0</v>
      </c>
      <c r="AE195" s="204">
        <v>46199.0</v>
      </c>
      <c r="AF195" s="226" t="s">
        <v>514</v>
      </c>
      <c r="AG195" s="219"/>
      <c r="AH195" s="219"/>
      <c r="AI195" s="219"/>
      <c r="AJ195" s="219"/>
      <c r="AK195" s="219"/>
      <c r="AL195" s="219"/>
      <c r="AM195" s="219"/>
      <c r="AN195" s="219"/>
      <c r="AO195" s="219"/>
    </row>
    <row r="196">
      <c r="A196" s="193">
        <v>12961.0</v>
      </c>
      <c r="B196" s="194" t="s">
        <v>203</v>
      </c>
      <c r="C196" s="193">
        <v>2026.0</v>
      </c>
      <c r="D196" s="229" t="s">
        <v>258</v>
      </c>
      <c r="E196" s="199"/>
      <c r="F196" s="193" t="s">
        <v>204</v>
      </c>
      <c r="G196" s="245">
        <v>46083.0</v>
      </c>
      <c r="H196" s="193">
        <v>117.0</v>
      </c>
      <c r="I196" s="245">
        <v>46083.0</v>
      </c>
      <c r="J196" s="193" t="s">
        <v>362</v>
      </c>
      <c r="K196" s="193" t="s">
        <v>206</v>
      </c>
      <c r="L196" s="194" t="s">
        <v>144</v>
      </c>
      <c r="M196" s="199"/>
      <c r="N196" s="193" t="s">
        <v>207</v>
      </c>
      <c r="O196" s="193" t="s">
        <v>206</v>
      </c>
      <c r="P196" s="193" t="s">
        <v>244</v>
      </c>
      <c r="Q196" s="199"/>
      <c r="R196" s="193" t="s">
        <v>219</v>
      </c>
      <c r="S196" s="193" t="s">
        <v>43</v>
      </c>
      <c r="T196" s="193" t="s">
        <v>512</v>
      </c>
      <c r="U196" s="193" t="s">
        <v>513</v>
      </c>
      <c r="V196" s="193" t="s">
        <v>155</v>
      </c>
      <c r="W196" s="193" t="s">
        <v>203</v>
      </c>
      <c r="X196" s="193" t="s">
        <v>252</v>
      </c>
      <c r="Y196" s="200">
        <v>3.0</v>
      </c>
      <c r="Z196" s="202" t="s">
        <v>233</v>
      </c>
      <c r="AA196" s="202" t="s">
        <v>215</v>
      </c>
      <c r="AB196" s="203">
        <v>1000.0</v>
      </c>
      <c r="AC196" s="203">
        <v>1000.0</v>
      </c>
      <c r="AD196" s="204">
        <v>46107.0</v>
      </c>
      <c r="AE196" s="247">
        <v>46352.0</v>
      </c>
      <c r="AF196" s="205"/>
      <c r="AG196" s="219"/>
      <c r="AH196" s="219"/>
      <c r="AI196" s="219"/>
      <c r="AJ196" s="219"/>
      <c r="AK196" s="219"/>
      <c r="AL196" s="219"/>
      <c r="AM196" s="219"/>
      <c r="AN196" s="219"/>
      <c r="AO196" s="219"/>
    </row>
    <row r="197">
      <c r="A197" s="193">
        <v>12980.0</v>
      </c>
      <c r="B197" s="194" t="s">
        <v>203</v>
      </c>
      <c r="C197" s="193">
        <v>2026.0</v>
      </c>
      <c r="D197" s="195">
        <v>2048.0</v>
      </c>
      <c r="E197" s="199"/>
      <c r="F197" s="193" t="s">
        <v>204</v>
      </c>
      <c r="G197" s="198">
        <v>46099.0</v>
      </c>
      <c r="H197" s="193">
        <v>188.0</v>
      </c>
      <c r="I197" s="198">
        <v>46099.0</v>
      </c>
      <c r="J197" s="193" t="s">
        <v>515</v>
      </c>
      <c r="K197" s="193" t="s">
        <v>206</v>
      </c>
      <c r="L197" s="194" t="s">
        <v>144</v>
      </c>
      <c r="M197" s="199"/>
      <c r="N197" s="193" t="s">
        <v>207</v>
      </c>
      <c r="O197" s="193" t="s">
        <v>206</v>
      </c>
      <c r="P197" s="193" t="s">
        <v>244</v>
      </c>
      <c r="Q197" s="199"/>
      <c r="R197" s="193" t="s">
        <v>219</v>
      </c>
      <c r="S197" s="193" t="s">
        <v>43</v>
      </c>
      <c r="T197" s="193" t="s">
        <v>377</v>
      </c>
      <c r="U197" s="193" t="s">
        <v>516</v>
      </c>
      <c r="V197" s="193" t="s">
        <v>155</v>
      </c>
      <c r="W197" s="193" t="s">
        <v>203</v>
      </c>
      <c r="X197" s="193" t="s">
        <v>252</v>
      </c>
      <c r="Y197" s="200">
        <v>3.0</v>
      </c>
      <c r="Z197" s="202" t="s">
        <v>233</v>
      </c>
      <c r="AA197" s="202" t="s">
        <v>215</v>
      </c>
      <c r="AB197" s="203">
        <v>260000.0</v>
      </c>
      <c r="AC197" s="203">
        <v>260000.0</v>
      </c>
      <c r="AD197" s="204">
        <v>46107.0</v>
      </c>
      <c r="AE197" s="247">
        <v>46260.0</v>
      </c>
      <c r="AF197" s="205"/>
      <c r="AG197" s="219"/>
      <c r="AH197" s="219"/>
      <c r="AI197" s="219"/>
      <c r="AJ197" s="219"/>
      <c r="AK197" s="219"/>
      <c r="AL197" s="219"/>
      <c r="AM197" s="219"/>
      <c r="AN197" s="219"/>
      <c r="AO197" s="219"/>
    </row>
    <row r="198">
      <c r="A198" s="193">
        <v>13000.0</v>
      </c>
      <c r="B198" s="194" t="s">
        <v>203</v>
      </c>
      <c r="C198" s="193">
        <v>2026.0</v>
      </c>
      <c r="D198" s="195">
        <v>2048.0</v>
      </c>
      <c r="E198" s="199"/>
      <c r="F198" s="193" t="s">
        <v>204</v>
      </c>
      <c r="G198" s="245">
        <v>46099.0</v>
      </c>
      <c r="H198" s="193">
        <v>188.0</v>
      </c>
      <c r="I198" s="284">
        <v>46099.0</v>
      </c>
      <c r="J198" s="193" t="s">
        <v>515</v>
      </c>
      <c r="K198" s="193" t="s">
        <v>206</v>
      </c>
      <c r="L198" s="194" t="s">
        <v>144</v>
      </c>
      <c r="M198" s="199"/>
      <c r="N198" s="193" t="s">
        <v>207</v>
      </c>
      <c r="O198" s="193" t="s">
        <v>206</v>
      </c>
      <c r="P198" s="193" t="s">
        <v>244</v>
      </c>
      <c r="Q198" s="207"/>
      <c r="R198" s="208" t="s">
        <v>219</v>
      </c>
      <c r="S198" s="193" t="s">
        <v>43</v>
      </c>
      <c r="T198" s="193" t="s">
        <v>377</v>
      </c>
      <c r="U198" s="193" t="s">
        <v>517</v>
      </c>
      <c r="V198" s="193" t="s">
        <v>155</v>
      </c>
      <c r="W198" s="193" t="s">
        <v>203</v>
      </c>
      <c r="X198" s="193" t="s">
        <v>252</v>
      </c>
      <c r="Y198" s="200">
        <v>3.0</v>
      </c>
      <c r="Z198" s="202" t="s">
        <v>233</v>
      </c>
      <c r="AA198" s="202" t="s">
        <v>215</v>
      </c>
      <c r="AB198" s="203">
        <v>1000000.0</v>
      </c>
      <c r="AC198" s="203">
        <v>1000000.0</v>
      </c>
      <c r="AD198" s="204">
        <v>46107.0</v>
      </c>
      <c r="AE198" s="247">
        <v>46260.0</v>
      </c>
      <c r="AF198" s="205"/>
      <c r="AG198" s="219"/>
      <c r="AH198" s="219"/>
      <c r="AI198" s="219"/>
      <c r="AJ198" s="219"/>
      <c r="AK198" s="219"/>
      <c r="AL198" s="219"/>
      <c r="AM198" s="219"/>
      <c r="AN198" s="219"/>
      <c r="AO198" s="219"/>
    </row>
    <row r="199">
      <c r="A199" s="193">
        <v>13020.0</v>
      </c>
      <c r="B199" s="194" t="s">
        <v>203</v>
      </c>
      <c r="C199" s="193">
        <v>2026.0</v>
      </c>
      <c r="D199" s="195">
        <v>2048.0</v>
      </c>
      <c r="E199" s="193">
        <v>74.0</v>
      </c>
      <c r="F199" s="193" t="s">
        <v>272</v>
      </c>
      <c r="G199" s="235"/>
      <c r="H199" s="199"/>
      <c r="I199" s="235"/>
      <c r="J199" s="199"/>
      <c r="K199" s="193" t="s">
        <v>206</v>
      </c>
      <c r="L199" s="194" t="s">
        <v>144</v>
      </c>
      <c r="M199" s="199"/>
      <c r="N199" s="193" t="s">
        <v>227</v>
      </c>
      <c r="O199" s="193" t="s">
        <v>206</v>
      </c>
      <c r="P199" s="193" t="s">
        <v>244</v>
      </c>
      <c r="Q199" s="207"/>
      <c r="R199" s="208" t="s">
        <v>219</v>
      </c>
      <c r="S199" s="193" t="s">
        <v>43</v>
      </c>
      <c r="T199" s="193" t="s">
        <v>245</v>
      </c>
      <c r="U199" s="193" t="s">
        <v>518</v>
      </c>
      <c r="V199" s="193" t="s">
        <v>155</v>
      </c>
      <c r="W199" s="193" t="s">
        <v>203</v>
      </c>
      <c r="X199" s="193" t="s">
        <v>232</v>
      </c>
      <c r="Y199" s="200">
        <v>3.0</v>
      </c>
      <c r="Z199" s="202" t="s">
        <v>214</v>
      </c>
      <c r="AA199" s="202" t="s">
        <v>234</v>
      </c>
      <c r="AB199" s="221"/>
      <c r="AC199" s="203" t="s">
        <v>275</v>
      </c>
      <c r="AD199" s="249">
        <v>46291.0</v>
      </c>
      <c r="AE199" s="251">
        <v>46200.0</v>
      </c>
      <c r="AF199" s="226" t="s">
        <v>317</v>
      </c>
      <c r="AG199" s="219"/>
      <c r="AH199" s="219"/>
      <c r="AI199" s="219"/>
      <c r="AJ199" s="219"/>
      <c r="AK199" s="219"/>
      <c r="AL199" s="219"/>
      <c r="AM199" s="219"/>
      <c r="AN199" s="219"/>
      <c r="AO199" s="219"/>
    </row>
    <row r="200">
      <c r="A200" s="193">
        <v>13040.0</v>
      </c>
      <c r="B200" s="194" t="s">
        <v>203</v>
      </c>
      <c r="C200" s="193">
        <v>2026.0</v>
      </c>
      <c r="D200" s="195">
        <v>2048.0</v>
      </c>
      <c r="E200" s="193">
        <v>125.0</v>
      </c>
      <c r="F200" s="193" t="s">
        <v>272</v>
      </c>
      <c r="G200" s="235"/>
      <c r="H200" s="199"/>
      <c r="I200" s="248"/>
      <c r="J200" s="199"/>
      <c r="K200" s="193" t="s">
        <v>206</v>
      </c>
      <c r="L200" s="194" t="s">
        <v>144</v>
      </c>
      <c r="M200" s="199"/>
      <c r="N200" s="193" t="s">
        <v>227</v>
      </c>
      <c r="O200" s="193" t="s">
        <v>206</v>
      </c>
      <c r="P200" s="193" t="s">
        <v>244</v>
      </c>
      <c r="Q200" s="207"/>
      <c r="R200" s="208" t="s">
        <v>219</v>
      </c>
      <c r="S200" s="193" t="s">
        <v>43</v>
      </c>
      <c r="T200" s="193" t="s">
        <v>245</v>
      </c>
      <c r="U200" s="193" t="s">
        <v>519</v>
      </c>
      <c r="V200" s="193" t="s">
        <v>155</v>
      </c>
      <c r="W200" s="193" t="s">
        <v>203</v>
      </c>
      <c r="X200" s="193" t="s">
        <v>232</v>
      </c>
      <c r="Y200" s="200">
        <v>3.0</v>
      </c>
      <c r="Z200" s="202" t="s">
        <v>214</v>
      </c>
      <c r="AA200" s="202" t="s">
        <v>234</v>
      </c>
      <c r="AB200" s="221"/>
      <c r="AC200" s="203" t="s">
        <v>275</v>
      </c>
      <c r="AD200" s="249">
        <v>46321.0</v>
      </c>
      <c r="AE200" s="251">
        <v>46200.0</v>
      </c>
      <c r="AF200" s="226" t="s">
        <v>520</v>
      </c>
      <c r="AG200" s="219"/>
      <c r="AH200" s="219"/>
      <c r="AI200" s="219"/>
      <c r="AJ200" s="219"/>
      <c r="AK200" s="219"/>
      <c r="AL200" s="219"/>
      <c r="AM200" s="219"/>
      <c r="AN200" s="219"/>
      <c r="AO200" s="219"/>
    </row>
    <row r="201">
      <c r="A201" s="193">
        <v>13060.0</v>
      </c>
      <c r="B201" s="194" t="s">
        <v>203</v>
      </c>
      <c r="C201" s="193">
        <v>2026.0</v>
      </c>
      <c r="D201" s="195">
        <v>2048.0</v>
      </c>
      <c r="E201" s="193">
        <v>126.0</v>
      </c>
      <c r="F201" s="193" t="s">
        <v>272</v>
      </c>
      <c r="G201" s="235"/>
      <c r="H201" s="199"/>
      <c r="I201" s="235"/>
      <c r="J201" s="199"/>
      <c r="K201" s="193" t="s">
        <v>206</v>
      </c>
      <c r="L201" s="194" t="s">
        <v>144</v>
      </c>
      <c r="M201" s="199"/>
      <c r="N201" s="193" t="s">
        <v>227</v>
      </c>
      <c r="O201" s="193" t="s">
        <v>206</v>
      </c>
      <c r="P201" s="193" t="s">
        <v>244</v>
      </c>
      <c r="Q201" s="207"/>
      <c r="R201" s="208" t="s">
        <v>219</v>
      </c>
      <c r="S201" s="193" t="s">
        <v>43</v>
      </c>
      <c r="T201" s="193" t="s">
        <v>245</v>
      </c>
      <c r="U201" s="193" t="s">
        <v>521</v>
      </c>
      <c r="V201" s="193" t="s">
        <v>155</v>
      </c>
      <c r="W201" s="193" t="s">
        <v>203</v>
      </c>
      <c r="X201" s="193" t="s">
        <v>232</v>
      </c>
      <c r="Y201" s="200">
        <v>3.0</v>
      </c>
      <c r="Z201" s="202" t="s">
        <v>214</v>
      </c>
      <c r="AA201" s="202" t="s">
        <v>234</v>
      </c>
      <c r="AB201" s="221"/>
      <c r="AC201" s="203" t="s">
        <v>275</v>
      </c>
      <c r="AD201" s="249">
        <v>46321.0</v>
      </c>
      <c r="AE201" s="251">
        <v>46230.0</v>
      </c>
      <c r="AF201" s="226" t="s">
        <v>317</v>
      </c>
      <c r="AG201" s="219"/>
      <c r="AH201" s="219"/>
      <c r="AI201" s="219"/>
      <c r="AJ201" s="219"/>
      <c r="AK201" s="219"/>
      <c r="AL201" s="219"/>
      <c r="AM201" s="219"/>
      <c r="AN201" s="219"/>
      <c r="AO201" s="219"/>
    </row>
    <row r="202">
      <c r="A202" s="193">
        <v>13080.0</v>
      </c>
      <c r="B202" s="194" t="s">
        <v>203</v>
      </c>
      <c r="C202" s="193">
        <v>2026.0</v>
      </c>
      <c r="D202" s="195">
        <v>2048.0</v>
      </c>
      <c r="E202" s="199"/>
      <c r="F202" s="193" t="s">
        <v>204</v>
      </c>
      <c r="G202" s="261">
        <v>46265.0</v>
      </c>
      <c r="H202" s="222">
        <v>13250.0</v>
      </c>
      <c r="I202" s="261">
        <v>46265.0</v>
      </c>
      <c r="J202" s="222" t="s">
        <v>262</v>
      </c>
      <c r="K202" s="193" t="s">
        <v>206</v>
      </c>
      <c r="L202" s="194" t="s">
        <v>144</v>
      </c>
      <c r="M202" s="199"/>
      <c r="N202" s="193" t="s">
        <v>475</v>
      </c>
      <c r="O202" s="193" t="s">
        <v>206</v>
      </c>
      <c r="P202" s="193" t="s">
        <v>206</v>
      </c>
      <c r="Q202" s="207"/>
      <c r="R202" s="208" t="s">
        <v>279</v>
      </c>
      <c r="S202" s="193" t="s">
        <v>50</v>
      </c>
      <c r="T202" s="193" t="s">
        <v>522</v>
      </c>
      <c r="U202" s="193" t="s">
        <v>523</v>
      </c>
      <c r="V202" s="193" t="s">
        <v>524</v>
      </c>
      <c r="W202" s="193" t="s">
        <v>264</v>
      </c>
      <c r="X202" s="193" t="s">
        <v>232</v>
      </c>
      <c r="Y202" s="200">
        <v>3.0</v>
      </c>
      <c r="Z202" s="202" t="s">
        <v>214</v>
      </c>
      <c r="AA202" s="202" t="s">
        <v>215</v>
      </c>
      <c r="AB202" s="203">
        <v>46527.73</v>
      </c>
      <c r="AC202" s="203">
        <v>46527.73</v>
      </c>
      <c r="AD202" s="204">
        <v>46229.0</v>
      </c>
      <c r="AE202" s="204">
        <v>46291.0</v>
      </c>
      <c r="AF202" s="205"/>
      <c r="AG202" s="219"/>
      <c r="AH202" s="219"/>
      <c r="AI202" s="219"/>
      <c r="AJ202" s="219"/>
      <c r="AK202" s="219"/>
      <c r="AL202" s="219"/>
      <c r="AM202" s="219"/>
      <c r="AN202" s="219"/>
      <c r="AO202" s="219"/>
    </row>
    <row r="203">
      <c r="A203" s="193">
        <v>13100.0</v>
      </c>
      <c r="B203" s="232" t="s">
        <v>264</v>
      </c>
      <c r="C203" s="193">
        <v>2026.0</v>
      </c>
      <c r="D203" s="199"/>
      <c r="E203" s="199"/>
      <c r="F203" s="224" t="s">
        <v>265</v>
      </c>
      <c r="G203" s="235"/>
      <c r="H203" s="199"/>
      <c r="I203" s="235"/>
      <c r="J203" s="199"/>
      <c r="K203" s="208" t="s">
        <v>206</v>
      </c>
      <c r="L203" s="234" t="s">
        <v>145</v>
      </c>
      <c r="M203" s="199"/>
      <c r="N203" s="193" t="s">
        <v>207</v>
      </c>
      <c r="O203" s="193" t="s">
        <v>206</v>
      </c>
      <c r="P203" s="193" t="s">
        <v>206</v>
      </c>
      <c r="Q203" s="207"/>
      <c r="R203" s="208" t="s">
        <v>279</v>
      </c>
      <c r="S203" s="193" t="s">
        <v>50</v>
      </c>
      <c r="T203" s="193" t="s">
        <v>329</v>
      </c>
      <c r="U203" s="193" t="s">
        <v>525</v>
      </c>
      <c r="V203" s="193" t="s">
        <v>50</v>
      </c>
      <c r="W203" s="193" t="s">
        <v>264</v>
      </c>
      <c r="X203" s="193" t="s">
        <v>232</v>
      </c>
      <c r="Y203" s="200">
        <v>3.0</v>
      </c>
      <c r="Z203" s="202" t="s">
        <v>233</v>
      </c>
      <c r="AA203" s="202" t="s">
        <v>215</v>
      </c>
      <c r="AB203" s="203">
        <v>400000.0</v>
      </c>
      <c r="AC203" s="203">
        <v>400000.0</v>
      </c>
      <c r="AD203" s="204">
        <v>46138.0</v>
      </c>
      <c r="AE203" s="204">
        <v>46199.0</v>
      </c>
      <c r="AF203" s="226" t="s">
        <v>526</v>
      </c>
      <c r="AG203" s="219"/>
      <c r="AH203" s="206"/>
      <c r="AI203" s="206"/>
      <c r="AJ203" s="206"/>
      <c r="AK203" s="206"/>
      <c r="AL203" s="206"/>
      <c r="AM203" s="206"/>
      <c r="AN203" s="206"/>
      <c r="AO203" s="206"/>
    </row>
    <row r="204">
      <c r="A204" s="193">
        <v>13101.0</v>
      </c>
      <c r="B204" s="232" t="s">
        <v>264</v>
      </c>
      <c r="C204" s="193">
        <v>2026.0</v>
      </c>
      <c r="D204" s="199"/>
      <c r="E204" s="199"/>
      <c r="F204" s="199"/>
      <c r="G204" s="235"/>
      <c r="H204" s="199"/>
      <c r="I204" s="235"/>
      <c r="J204" s="199"/>
      <c r="K204" s="208" t="s">
        <v>206</v>
      </c>
      <c r="L204" s="234" t="s">
        <v>145</v>
      </c>
      <c r="M204" s="199"/>
      <c r="N204" s="193" t="s">
        <v>207</v>
      </c>
      <c r="O204" s="193" t="s">
        <v>206</v>
      </c>
      <c r="P204" s="193" t="s">
        <v>206</v>
      </c>
      <c r="Q204" s="207"/>
      <c r="R204" s="208" t="s">
        <v>279</v>
      </c>
      <c r="S204" s="193" t="s">
        <v>50</v>
      </c>
      <c r="T204" s="193" t="s">
        <v>329</v>
      </c>
      <c r="U204" s="193" t="s">
        <v>525</v>
      </c>
      <c r="V204" s="193" t="s">
        <v>50</v>
      </c>
      <c r="W204" s="193" t="s">
        <v>264</v>
      </c>
      <c r="X204" s="193" t="s">
        <v>232</v>
      </c>
      <c r="Y204" s="200">
        <v>3.0</v>
      </c>
      <c r="Z204" s="202" t="s">
        <v>233</v>
      </c>
      <c r="AA204" s="202" t="s">
        <v>215</v>
      </c>
      <c r="AB204" s="203">
        <v>600000.0</v>
      </c>
      <c r="AC204" s="203">
        <v>600000.0</v>
      </c>
      <c r="AD204" s="204">
        <v>46138.0</v>
      </c>
      <c r="AE204" s="204">
        <v>46199.0</v>
      </c>
      <c r="AF204" s="226" t="s">
        <v>527</v>
      </c>
      <c r="AG204" s="219"/>
      <c r="AH204" s="219"/>
      <c r="AI204" s="219"/>
      <c r="AJ204" s="219"/>
      <c r="AK204" s="219"/>
      <c r="AL204" s="219"/>
      <c r="AM204" s="219"/>
      <c r="AN204" s="219"/>
      <c r="AO204" s="219"/>
    </row>
    <row r="205">
      <c r="A205" s="193">
        <v>13120.0</v>
      </c>
      <c r="B205" s="194" t="s">
        <v>203</v>
      </c>
      <c r="C205" s="193">
        <v>2026.0</v>
      </c>
      <c r="D205" s="195">
        <v>2048.0</v>
      </c>
      <c r="E205" s="199"/>
      <c r="F205" s="193" t="s">
        <v>204</v>
      </c>
      <c r="G205" s="223">
        <v>46176.0</v>
      </c>
      <c r="H205" s="193">
        <v>398.0</v>
      </c>
      <c r="I205" s="223">
        <v>46176.0</v>
      </c>
      <c r="J205" s="193" t="s">
        <v>528</v>
      </c>
      <c r="K205" s="208" t="s">
        <v>206</v>
      </c>
      <c r="L205" s="194" t="s">
        <v>144</v>
      </c>
      <c r="M205" s="199"/>
      <c r="N205" s="193" t="s">
        <v>207</v>
      </c>
      <c r="O205" s="193" t="s">
        <v>206</v>
      </c>
      <c r="P205" s="193" t="s">
        <v>206</v>
      </c>
      <c r="Q205" s="207"/>
      <c r="R205" s="208" t="s">
        <v>279</v>
      </c>
      <c r="S205" s="193" t="s">
        <v>50</v>
      </c>
      <c r="T205" s="193" t="s">
        <v>529</v>
      </c>
      <c r="U205" s="193" t="s">
        <v>530</v>
      </c>
      <c r="V205" s="193" t="s">
        <v>50</v>
      </c>
      <c r="W205" s="193" t="s">
        <v>264</v>
      </c>
      <c r="X205" s="193" t="s">
        <v>232</v>
      </c>
      <c r="Y205" s="200">
        <v>4.0</v>
      </c>
      <c r="Z205" s="202" t="s">
        <v>531</v>
      </c>
      <c r="AA205" s="202" t="s">
        <v>215</v>
      </c>
      <c r="AB205" s="203">
        <v>162912.0</v>
      </c>
      <c r="AC205" s="203">
        <v>162912.0</v>
      </c>
      <c r="AD205" s="204">
        <v>46199.0</v>
      </c>
      <c r="AE205" s="204">
        <v>46199.0</v>
      </c>
      <c r="AF205" s="226" t="s">
        <v>532</v>
      </c>
      <c r="AG205" s="219"/>
      <c r="AH205" s="219"/>
      <c r="AI205" s="219"/>
      <c r="AJ205" s="219"/>
      <c r="AK205" s="219"/>
      <c r="AL205" s="219"/>
      <c r="AM205" s="219"/>
      <c r="AN205" s="219"/>
      <c r="AO205" s="219"/>
    </row>
    <row r="206">
      <c r="A206" s="193">
        <v>13121.0</v>
      </c>
      <c r="B206" s="194" t="s">
        <v>203</v>
      </c>
      <c r="C206" s="193">
        <v>2026.0</v>
      </c>
      <c r="D206" s="195">
        <v>2048.0</v>
      </c>
      <c r="E206" s="199"/>
      <c r="F206" s="193" t="s">
        <v>204</v>
      </c>
      <c r="G206" s="217">
        <v>46071.0</v>
      </c>
      <c r="H206" s="208">
        <v>74.0</v>
      </c>
      <c r="I206" s="217">
        <v>46071.0</v>
      </c>
      <c r="J206" s="208" t="s">
        <v>533</v>
      </c>
      <c r="K206" s="193" t="s">
        <v>206</v>
      </c>
      <c r="L206" s="194" t="s">
        <v>144</v>
      </c>
      <c r="M206" s="199"/>
      <c r="N206" s="193" t="s">
        <v>207</v>
      </c>
      <c r="O206" s="193" t="s">
        <v>206</v>
      </c>
      <c r="P206" s="193" t="s">
        <v>206</v>
      </c>
      <c r="Q206" s="207"/>
      <c r="R206" s="208" t="s">
        <v>279</v>
      </c>
      <c r="S206" s="193" t="s">
        <v>50</v>
      </c>
      <c r="T206" s="193" t="s">
        <v>529</v>
      </c>
      <c r="U206" s="193" t="s">
        <v>530</v>
      </c>
      <c r="V206" s="193" t="s">
        <v>50</v>
      </c>
      <c r="W206" s="193" t="s">
        <v>264</v>
      </c>
      <c r="X206" s="193" t="s">
        <v>232</v>
      </c>
      <c r="Y206" s="200">
        <v>3.0</v>
      </c>
      <c r="Z206" s="202" t="s">
        <v>233</v>
      </c>
      <c r="AA206" s="202" t="s">
        <v>215</v>
      </c>
      <c r="AB206" s="203">
        <v>44954.11</v>
      </c>
      <c r="AC206" s="203">
        <v>44954.11</v>
      </c>
      <c r="AD206" s="204">
        <v>46079.0</v>
      </c>
      <c r="AE206" s="204">
        <v>46199.0</v>
      </c>
      <c r="AF206" s="205"/>
      <c r="AG206" s="219"/>
      <c r="AH206" s="219"/>
      <c r="AI206" s="219"/>
      <c r="AJ206" s="219"/>
      <c r="AK206" s="219"/>
      <c r="AL206" s="219"/>
      <c r="AM206" s="219"/>
      <c r="AN206" s="219"/>
      <c r="AO206" s="219"/>
    </row>
    <row r="207">
      <c r="A207" s="193">
        <v>13122.0</v>
      </c>
      <c r="B207" s="194" t="s">
        <v>203</v>
      </c>
      <c r="C207" s="193">
        <v>2026.0</v>
      </c>
      <c r="D207" s="195">
        <v>2048.0</v>
      </c>
      <c r="E207" s="199"/>
      <c r="F207" s="193" t="s">
        <v>204</v>
      </c>
      <c r="G207" s="198">
        <v>46071.0</v>
      </c>
      <c r="H207" s="193">
        <v>74.0</v>
      </c>
      <c r="I207" s="198">
        <v>46098.0</v>
      </c>
      <c r="J207" s="252" t="s">
        <v>534</v>
      </c>
      <c r="K207" s="193" t="s">
        <v>206</v>
      </c>
      <c r="L207" s="194" t="s">
        <v>144</v>
      </c>
      <c r="M207" s="199"/>
      <c r="N207" s="193" t="s">
        <v>207</v>
      </c>
      <c r="O207" s="193" t="s">
        <v>206</v>
      </c>
      <c r="P207" s="193" t="s">
        <v>206</v>
      </c>
      <c r="Q207" s="207"/>
      <c r="R207" s="208" t="s">
        <v>279</v>
      </c>
      <c r="S207" s="193" t="s">
        <v>50</v>
      </c>
      <c r="T207" s="193" t="s">
        <v>529</v>
      </c>
      <c r="U207" s="193" t="s">
        <v>530</v>
      </c>
      <c r="V207" s="193" t="s">
        <v>50</v>
      </c>
      <c r="W207" s="193" t="s">
        <v>264</v>
      </c>
      <c r="X207" s="193" t="s">
        <v>232</v>
      </c>
      <c r="Y207" s="200">
        <v>3.0</v>
      </c>
      <c r="Z207" s="202" t="s">
        <v>233</v>
      </c>
      <c r="AA207" s="202" t="s">
        <v>215</v>
      </c>
      <c r="AB207" s="203">
        <v>15045.89</v>
      </c>
      <c r="AC207" s="203">
        <v>15045.89</v>
      </c>
      <c r="AD207" s="204">
        <v>46107.0</v>
      </c>
      <c r="AE207" s="204">
        <v>46199.0</v>
      </c>
      <c r="AF207" s="205"/>
      <c r="AG207" s="219"/>
      <c r="AH207" s="219"/>
      <c r="AI207" s="219"/>
      <c r="AJ207" s="219"/>
      <c r="AK207" s="219"/>
      <c r="AL207" s="219"/>
      <c r="AM207" s="219"/>
      <c r="AN207" s="219"/>
      <c r="AO207" s="219"/>
    </row>
    <row r="208">
      <c r="A208" s="193">
        <v>13140.0</v>
      </c>
      <c r="B208" s="232" t="s">
        <v>264</v>
      </c>
      <c r="C208" s="193">
        <v>2026.0</v>
      </c>
      <c r="D208" s="199"/>
      <c r="E208" s="199"/>
      <c r="F208" s="199"/>
      <c r="G208" s="220"/>
      <c r="H208" s="199"/>
      <c r="I208" s="220"/>
      <c r="J208" s="199"/>
      <c r="K208" s="193" t="s">
        <v>206</v>
      </c>
      <c r="L208" s="234" t="s">
        <v>145</v>
      </c>
      <c r="M208" s="199"/>
      <c r="N208" s="193" t="s">
        <v>207</v>
      </c>
      <c r="O208" s="193" t="s">
        <v>206</v>
      </c>
      <c r="P208" s="193" t="s">
        <v>206</v>
      </c>
      <c r="Q208" s="207"/>
      <c r="R208" s="208" t="s">
        <v>279</v>
      </c>
      <c r="S208" s="193" t="s">
        <v>50</v>
      </c>
      <c r="T208" s="193" t="s">
        <v>529</v>
      </c>
      <c r="U208" s="193" t="s">
        <v>535</v>
      </c>
      <c r="V208" s="193" t="s">
        <v>50</v>
      </c>
      <c r="W208" s="193" t="s">
        <v>264</v>
      </c>
      <c r="X208" s="193" t="s">
        <v>232</v>
      </c>
      <c r="Y208" s="200">
        <v>3.0</v>
      </c>
      <c r="Z208" s="202" t="s">
        <v>233</v>
      </c>
      <c r="AA208" s="202" t="s">
        <v>215</v>
      </c>
      <c r="AB208" s="203">
        <v>260000.0</v>
      </c>
      <c r="AC208" s="203">
        <v>260000.0</v>
      </c>
      <c r="AD208" s="204">
        <v>46138.0</v>
      </c>
      <c r="AE208" s="247">
        <v>46199.0</v>
      </c>
      <c r="AF208" s="205"/>
      <c r="AG208" s="219"/>
      <c r="AH208" s="219"/>
      <c r="AI208" s="219"/>
      <c r="AJ208" s="219"/>
      <c r="AK208" s="219"/>
      <c r="AL208" s="219"/>
      <c r="AM208" s="219"/>
      <c r="AN208" s="219"/>
      <c r="AO208" s="219"/>
    </row>
    <row r="209">
      <c r="A209" s="193">
        <v>13160.0</v>
      </c>
      <c r="B209" s="232" t="s">
        <v>264</v>
      </c>
      <c r="C209" s="193">
        <v>2026.0</v>
      </c>
      <c r="D209" s="199"/>
      <c r="E209" s="199"/>
      <c r="F209" s="193" t="s">
        <v>265</v>
      </c>
      <c r="G209" s="248"/>
      <c r="H209" s="199"/>
      <c r="I209" s="220"/>
      <c r="J209" s="199"/>
      <c r="K209" s="193" t="s">
        <v>206</v>
      </c>
      <c r="L209" s="234" t="s">
        <v>145</v>
      </c>
      <c r="M209" s="199"/>
      <c r="N209" s="193" t="s">
        <v>475</v>
      </c>
      <c r="O209" s="193" t="s">
        <v>206</v>
      </c>
      <c r="P209" s="193" t="s">
        <v>206</v>
      </c>
      <c r="Q209" s="207"/>
      <c r="R209" s="208" t="s">
        <v>279</v>
      </c>
      <c r="S209" s="193" t="s">
        <v>50</v>
      </c>
      <c r="T209" s="193" t="s">
        <v>536</v>
      </c>
      <c r="U209" s="193" t="s">
        <v>530</v>
      </c>
      <c r="V209" s="193" t="s">
        <v>50</v>
      </c>
      <c r="W209" s="193" t="s">
        <v>264</v>
      </c>
      <c r="X209" s="193" t="s">
        <v>232</v>
      </c>
      <c r="Y209" s="200">
        <v>3.0</v>
      </c>
      <c r="Z209" s="202" t="s">
        <v>233</v>
      </c>
      <c r="AA209" s="202" t="s">
        <v>215</v>
      </c>
      <c r="AB209" s="203">
        <v>54000.0</v>
      </c>
      <c r="AC209" s="203">
        <v>54000.0</v>
      </c>
      <c r="AD209" s="204">
        <v>46138.0</v>
      </c>
      <c r="AE209" s="247">
        <v>46199.0</v>
      </c>
      <c r="AF209" s="205"/>
      <c r="AG209" s="219"/>
      <c r="AH209" s="219"/>
      <c r="AI209" s="219"/>
      <c r="AJ209" s="219"/>
      <c r="AK209" s="219"/>
      <c r="AL209" s="219"/>
      <c r="AM209" s="219"/>
      <c r="AN209" s="219"/>
      <c r="AO209" s="219"/>
    </row>
    <row r="210">
      <c r="A210" s="193">
        <v>13180.0</v>
      </c>
      <c r="B210" s="194" t="s">
        <v>203</v>
      </c>
      <c r="C210" s="193">
        <v>2026.0</v>
      </c>
      <c r="D210" s="195">
        <v>2048.0</v>
      </c>
      <c r="E210" s="199"/>
      <c r="F210" s="193" t="s">
        <v>204</v>
      </c>
      <c r="G210" s="230">
        <v>46076.0</v>
      </c>
      <c r="H210" s="193">
        <v>94.0</v>
      </c>
      <c r="I210" s="223">
        <v>46076.0</v>
      </c>
      <c r="J210" s="193" t="s">
        <v>537</v>
      </c>
      <c r="K210" s="193" t="s">
        <v>206</v>
      </c>
      <c r="L210" s="194" t="s">
        <v>144</v>
      </c>
      <c r="M210" s="199"/>
      <c r="N210" s="193" t="s">
        <v>207</v>
      </c>
      <c r="O210" s="193" t="s">
        <v>206</v>
      </c>
      <c r="P210" s="193" t="s">
        <v>244</v>
      </c>
      <c r="Q210" s="199"/>
      <c r="R210" s="193" t="s">
        <v>219</v>
      </c>
      <c r="S210" s="193" t="s">
        <v>45</v>
      </c>
      <c r="T210" s="193" t="s">
        <v>377</v>
      </c>
      <c r="U210" s="193" t="s">
        <v>538</v>
      </c>
      <c r="V210" s="193" t="s">
        <v>155</v>
      </c>
      <c r="W210" s="193" t="s">
        <v>203</v>
      </c>
      <c r="X210" s="193" t="s">
        <v>252</v>
      </c>
      <c r="Y210" s="200">
        <v>3.0</v>
      </c>
      <c r="Z210" s="202" t="s">
        <v>233</v>
      </c>
      <c r="AA210" s="202" t="s">
        <v>215</v>
      </c>
      <c r="AB210" s="203">
        <v>350000.0</v>
      </c>
      <c r="AC210" s="203">
        <v>350000.0</v>
      </c>
      <c r="AD210" s="204">
        <v>46079.0</v>
      </c>
      <c r="AE210" s="247">
        <v>46260.0</v>
      </c>
      <c r="AF210" s="205"/>
      <c r="AG210" s="219"/>
      <c r="AH210" s="219"/>
      <c r="AI210" s="219"/>
      <c r="AJ210" s="219"/>
      <c r="AK210" s="219"/>
      <c r="AL210" s="219"/>
      <c r="AM210" s="219"/>
      <c r="AN210" s="219"/>
      <c r="AO210" s="219"/>
    </row>
    <row r="211">
      <c r="A211" s="193">
        <v>13181.0</v>
      </c>
      <c r="B211" s="194" t="s">
        <v>203</v>
      </c>
      <c r="C211" s="193">
        <v>2026.0</v>
      </c>
      <c r="D211" s="195">
        <v>2048.0</v>
      </c>
      <c r="E211" s="199"/>
      <c r="F211" s="193" t="s">
        <v>204</v>
      </c>
      <c r="G211" s="230">
        <v>46076.0</v>
      </c>
      <c r="H211" s="193">
        <v>94.0</v>
      </c>
      <c r="I211" s="223">
        <v>46076.0</v>
      </c>
      <c r="J211" s="193" t="s">
        <v>537</v>
      </c>
      <c r="K211" s="193" t="s">
        <v>206</v>
      </c>
      <c r="L211" s="194" t="s">
        <v>144</v>
      </c>
      <c r="M211" s="199"/>
      <c r="N211" s="193" t="s">
        <v>207</v>
      </c>
      <c r="O211" s="193" t="s">
        <v>206</v>
      </c>
      <c r="P211" s="193" t="s">
        <v>244</v>
      </c>
      <c r="Q211" s="199"/>
      <c r="R211" s="193" t="s">
        <v>219</v>
      </c>
      <c r="S211" s="193" t="s">
        <v>45</v>
      </c>
      <c r="T211" s="193" t="s">
        <v>377</v>
      </c>
      <c r="U211" s="193" t="s">
        <v>539</v>
      </c>
      <c r="V211" s="193" t="s">
        <v>155</v>
      </c>
      <c r="W211" s="193" t="s">
        <v>203</v>
      </c>
      <c r="X211" s="193" t="s">
        <v>252</v>
      </c>
      <c r="Y211" s="278">
        <v>3.0</v>
      </c>
      <c r="Z211" s="290" t="s">
        <v>233</v>
      </c>
      <c r="AA211" s="202" t="s">
        <v>215</v>
      </c>
      <c r="AB211" s="203">
        <v>350000.0</v>
      </c>
      <c r="AC211" s="203">
        <v>350000.0</v>
      </c>
      <c r="AD211" s="204">
        <v>46079.0</v>
      </c>
      <c r="AE211" s="269">
        <v>46260.0</v>
      </c>
      <c r="AF211" s="267"/>
      <c r="AG211" s="219"/>
      <c r="AH211" s="219"/>
      <c r="AI211" s="219"/>
      <c r="AJ211" s="219"/>
      <c r="AK211" s="219"/>
      <c r="AL211" s="219"/>
      <c r="AM211" s="219"/>
      <c r="AN211" s="219"/>
      <c r="AO211" s="219"/>
    </row>
    <row r="212">
      <c r="A212" s="193">
        <v>13200.0</v>
      </c>
      <c r="B212" s="194" t="s">
        <v>203</v>
      </c>
      <c r="C212" s="193">
        <v>2026.0</v>
      </c>
      <c r="D212" s="195">
        <v>2048.0</v>
      </c>
      <c r="E212" s="193">
        <v>131.0</v>
      </c>
      <c r="F212" s="199"/>
      <c r="G212" s="233"/>
      <c r="H212" s="199"/>
      <c r="I212" s="233"/>
      <c r="J212" s="199"/>
      <c r="K212" s="193" t="s">
        <v>206</v>
      </c>
      <c r="L212" s="194" t="s">
        <v>144</v>
      </c>
      <c r="M212" s="199"/>
      <c r="N212" s="193" t="s">
        <v>207</v>
      </c>
      <c r="O212" s="193" t="s">
        <v>206</v>
      </c>
      <c r="P212" s="193" t="s">
        <v>244</v>
      </c>
      <c r="Q212" s="199"/>
      <c r="R212" s="193" t="s">
        <v>219</v>
      </c>
      <c r="S212" s="193" t="s">
        <v>45</v>
      </c>
      <c r="T212" s="193" t="s">
        <v>540</v>
      </c>
      <c r="U212" s="193" t="s">
        <v>541</v>
      </c>
      <c r="V212" s="193" t="s">
        <v>155</v>
      </c>
      <c r="W212" s="193" t="s">
        <v>203</v>
      </c>
      <c r="X212" s="193" t="s">
        <v>252</v>
      </c>
      <c r="Y212" s="291">
        <v>3.0</v>
      </c>
      <c r="Z212" s="280" t="s">
        <v>233</v>
      </c>
      <c r="AA212" s="202" t="s">
        <v>215</v>
      </c>
      <c r="AB212" s="203">
        <v>1000000.0</v>
      </c>
      <c r="AC212" s="203">
        <v>1000000.0</v>
      </c>
      <c r="AD212" s="249">
        <v>46321.0</v>
      </c>
      <c r="AE212" s="251">
        <v>46382.0</v>
      </c>
      <c r="AF212" s="205"/>
      <c r="AG212" s="219"/>
      <c r="AH212" s="219"/>
      <c r="AI212" s="219"/>
      <c r="AJ212" s="219"/>
      <c r="AK212" s="219"/>
      <c r="AL212" s="219"/>
      <c r="AM212" s="219"/>
      <c r="AN212" s="219"/>
      <c r="AO212" s="219"/>
    </row>
    <row r="213">
      <c r="A213" s="193">
        <v>13220.0</v>
      </c>
      <c r="B213" s="194" t="s">
        <v>203</v>
      </c>
      <c r="C213" s="193">
        <v>2026.0</v>
      </c>
      <c r="D213" s="195">
        <v>2048.0</v>
      </c>
      <c r="E213" s="193">
        <v>136.0</v>
      </c>
      <c r="F213" s="193" t="s">
        <v>272</v>
      </c>
      <c r="G213" s="235"/>
      <c r="H213" s="199"/>
      <c r="I213" s="235"/>
      <c r="J213" s="199"/>
      <c r="K213" s="193" t="s">
        <v>206</v>
      </c>
      <c r="L213" s="194" t="s">
        <v>144</v>
      </c>
      <c r="M213" s="199"/>
      <c r="N213" s="193" t="s">
        <v>227</v>
      </c>
      <c r="O213" s="193" t="s">
        <v>206</v>
      </c>
      <c r="P213" s="193" t="s">
        <v>244</v>
      </c>
      <c r="Q213" s="199"/>
      <c r="R213" s="193" t="s">
        <v>219</v>
      </c>
      <c r="S213" s="193" t="s">
        <v>45</v>
      </c>
      <c r="T213" s="193" t="s">
        <v>229</v>
      </c>
      <c r="U213" s="193" t="s">
        <v>542</v>
      </c>
      <c r="V213" s="193" t="s">
        <v>155</v>
      </c>
      <c r="W213" s="193" t="s">
        <v>203</v>
      </c>
      <c r="X213" s="193" t="s">
        <v>232</v>
      </c>
      <c r="Y213" s="200">
        <v>3.0</v>
      </c>
      <c r="Z213" s="202" t="s">
        <v>233</v>
      </c>
      <c r="AA213" s="202" t="s">
        <v>234</v>
      </c>
      <c r="AB213" s="221"/>
      <c r="AC213" s="203" t="s">
        <v>275</v>
      </c>
      <c r="AD213" s="249">
        <v>46321.0</v>
      </c>
      <c r="AE213" s="251">
        <v>46382.0</v>
      </c>
      <c r="AF213" s="226" t="s">
        <v>317</v>
      </c>
      <c r="AG213" s="219"/>
      <c r="AH213" s="219"/>
      <c r="AI213" s="219"/>
      <c r="AJ213" s="219"/>
      <c r="AK213" s="219"/>
      <c r="AL213" s="219"/>
      <c r="AM213" s="219"/>
      <c r="AN213" s="219"/>
      <c r="AO213" s="219"/>
    </row>
    <row r="214">
      <c r="A214" s="193">
        <v>13240.0</v>
      </c>
      <c r="B214" s="194" t="s">
        <v>203</v>
      </c>
      <c r="C214" s="193">
        <v>2026.0</v>
      </c>
      <c r="D214" s="195">
        <v>2048.0</v>
      </c>
      <c r="E214" s="193">
        <v>137.0</v>
      </c>
      <c r="F214" s="193" t="s">
        <v>272</v>
      </c>
      <c r="G214" s="233"/>
      <c r="H214" s="199"/>
      <c r="I214" s="233"/>
      <c r="J214" s="199"/>
      <c r="K214" s="193" t="s">
        <v>206</v>
      </c>
      <c r="L214" s="194" t="s">
        <v>144</v>
      </c>
      <c r="M214" s="199"/>
      <c r="N214" s="193" t="s">
        <v>227</v>
      </c>
      <c r="O214" s="193" t="s">
        <v>206</v>
      </c>
      <c r="P214" s="193" t="s">
        <v>244</v>
      </c>
      <c r="Q214" s="199"/>
      <c r="R214" s="193" t="s">
        <v>219</v>
      </c>
      <c r="S214" s="193" t="s">
        <v>45</v>
      </c>
      <c r="T214" s="193" t="s">
        <v>245</v>
      </c>
      <c r="U214" s="193" t="s">
        <v>543</v>
      </c>
      <c r="V214" s="193" t="s">
        <v>155</v>
      </c>
      <c r="W214" s="193" t="s">
        <v>203</v>
      </c>
      <c r="X214" s="193" t="s">
        <v>232</v>
      </c>
      <c r="Y214" s="200">
        <v>3.0</v>
      </c>
      <c r="Z214" s="202" t="s">
        <v>214</v>
      </c>
      <c r="AA214" s="202" t="s">
        <v>234</v>
      </c>
      <c r="AB214" s="221"/>
      <c r="AC214" s="203" t="s">
        <v>275</v>
      </c>
      <c r="AD214" s="249">
        <v>46321.0</v>
      </c>
      <c r="AE214" s="251">
        <v>46230.0</v>
      </c>
      <c r="AF214" s="226" t="s">
        <v>317</v>
      </c>
      <c r="AG214" s="219"/>
      <c r="AH214" s="219"/>
      <c r="AI214" s="219"/>
      <c r="AJ214" s="219"/>
      <c r="AK214" s="219"/>
      <c r="AL214" s="219"/>
      <c r="AM214" s="219"/>
      <c r="AN214" s="219"/>
      <c r="AO214" s="219"/>
    </row>
    <row r="215">
      <c r="A215" s="193">
        <v>13260.0</v>
      </c>
      <c r="B215" s="194" t="s">
        <v>203</v>
      </c>
      <c r="C215" s="193">
        <v>2026.0</v>
      </c>
      <c r="D215" s="195">
        <v>2048.0</v>
      </c>
      <c r="E215" s="193">
        <v>138.0</v>
      </c>
      <c r="F215" s="193" t="s">
        <v>272</v>
      </c>
      <c r="G215" s="220"/>
      <c r="H215" s="199"/>
      <c r="I215" s="220"/>
      <c r="J215" s="199"/>
      <c r="K215" s="193" t="s">
        <v>206</v>
      </c>
      <c r="L215" s="194" t="s">
        <v>144</v>
      </c>
      <c r="M215" s="199"/>
      <c r="N215" s="193" t="s">
        <v>227</v>
      </c>
      <c r="O215" s="193" t="s">
        <v>206</v>
      </c>
      <c r="P215" s="193" t="s">
        <v>244</v>
      </c>
      <c r="Q215" s="199"/>
      <c r="R215" s="193" t="s">
        <v>219</v>
      </c>
      <c r="S215" s="193" t="s">
        <v>45</v>
      </c>
      <c r="T215" s="193" t="s">
        <v>245</v>
      </c>
      <c r="U215" s="193" t="s">
        <v>544</v>
      </c>
      <c r="V215" s="193" t="s">
        <v>155</v>
      </c>
      <c r="W215" s="193" t="s">
        <v>203</v>
      </c>
      <c r="X215" s="193" t="s">
        <v>232</v>
      </c>
      <c r="Y215" s="200">
        <v>3.0</v>
      </c>
      <c r="Z215" s="202" t="s">
        <v>214</v>
      </c>
      <c r="AA215" s="202" t="s">
        <v>234</v>
      </c>
      <c r="AB215" s="221"/>
      <c r="AC215" s="203" t="s">
        <v>275</v>
      </c>
      <c r="AD215" s="249">
        <v>46321.0</v>
      </c>
      <c r="AE215" s="251">
        <v>46230.0</v>
      </c>
      <c r="AF215" s="226" t="s">
        <v>317</v>
      </c>
      <c r="AG215" s="219"/>
      <c r="AH215" s="219"/>
      <c r="AI215" s="219"/>
      <c r="AJ215" s="219"/>
      <c r="AK215" s="219"/>
      <c r="AL215" s="219"/>
      <c r="AM215" s="219"/>
      <c r="AN215" s="219"/>
      <c r="AO215" s="219"/>
    </row>
    <row r="216">
      <c r="A216" s="193">
        <v>13280.0</v>
      </c>
      <c r="B216" s="232" t="s">
        <v>264</v>
      </c>
      <c r="C216" s="193">
        <v>2026.0</v>
      </c>
      <c r="D216" s="199"/>
      <c r="E216" s="199"/>
      <c r="F216" s="193" t="s">
        <v>265</v>
      </c>
      <c r="G216" s="235"/>
      <c r="H216" s="199"/>
      <c r="I216" s="235"/>
      <c r="J216" s="199"/>
      <c r="K216" s="193" t="s">
        <v>206</v>
      </c>
      <c r="L216" s="234" t="s">
        <v>145</v>
      </c>
      <c r="M216" s="199"/>
      <c r="N216" s="193" t="s">
        <v>337</v>
      </c>
      <c r="O216" s="193" t="s">
        <v>206</v>
      </c>
      <c r="P216" s="193" t="s">
        <v>206</v>
      </c>
      <c r="Q216" s="199"/>
      <c r="R216" s="193" t="s">
        <v>279</v>
      </c>
      <c r="S216" s="193" t="s">
        <v>50</v>
      </c>
      <c r="T216" s="193" t="s">
        <v>358</v>
      </c>
      <c r="U216" s="193" t="s">
        <v>545</v>
      </c>
      <c r="V216" s="193" t="s">
        <v>50</v>
      </c>
      <c r="W216" s="193" t="s">
        <v>264</v>
      </c>
      <c r="X216" s="193" t="s">
        <v>232</v>
      </c>
      <c r="Y216" s="200">
        <v>3.0</v>
      </c>
      <c r="Z216" s="202" t="s">
        <v>233</v>
      </c>
      <c r="AA216" s="202" t="s">
        <v>234</v>
      </c>
      <c r="AB216" s="221"/>
      <c r="AC216" s="203">
        <v>17000.0</v>
      </c>
      <c r="AD216" s="204">
        <v>46138.0</v>
      </c>
      <c r="AE216" s="204">
        <v>46199.0</v>
      </c>
      <c r="AF216" s="205"/>
      <c r="AG216" s="219"/>
      <c r="AH216" s="219"/>
      <c r="AI216" s="219"/>
      <c r="AJ216" s="219"/>
      <c r="AK216" s="219"/>
      <c r="AL216" s="219"/>
      <c r="AM216" s="219"/>
      <c r="AN216" s="219"/>
      <c r="AO216" s="219"/>
    </row>
    <row r="217">
      <c r="A217" s="193">
        <v>13300.0</v>
      </c>
      <c r="B217" s="232" t="s">
        <v>264</v>
      </c>
      <c r="C217" s="193">
        <v>2026.0</v>
      </c>
      <c r="D217" s="199"/>
      <c r="E217" s="199"/>
      <c r="F217" s="193" t="s">
        <v>265</v>
      </c>
      <c r="G217" s="235"/>
      <c r="H217" s="199"/>
      <c r="I217" s="235"/>
      <c r="J217" s="199"/>
      <c r="K217" s="193" t="s">
        <v>206</v>
      </c>
      <c r="L217" s="234" t="s">
        <v>145</v>
      </c>
      <c r="M217" s="199"/>
      <c r="N217" s="193" t="s">
        <v>337</v>
      </c>
      <c r="O217" s="193" t="s">
        <v>206</v>
      </c>
      <c r="P217" s="193" t="s">
        <v>206</v>
      </c>
      <c r="Q217" s="199"/>
      <c r="R217" s="193" t="s">
        <v>279</v>
      </c>
      <c r="S217" s="193" t="s">
        <v>50</v>
      </c>
      <c r="T217" s="193" t="s">
        <v>358</v>
      </c>
      <c r="U217" s="193" t="s">
        <v>387</v>
      </c>
      <c r="V217" s="193" t="s">
        <v>50</v>
      </c>
      <c r="W217" s="193" t="s">
        <v>264</v>
      </c>
      <c r="X217" s="193" t="s">
        <v>232</v>
      </c>
      <c r="Y217" s="200">
        <v>3.0</v>
      </c>
      <c r="Z217" s="202" t="s">
        <v>233</v>
      </c>
      <c r="AA217" s="202" t="s">
        <v>234</v>
      </c>
      <c r="AB217" s="221"/>
      <c r="AC217" s="203">
        <v>25000.0</v>
      </c>
      <c r="AD217" s="204">
        <v>46138.0</v>
      </c>
      <c r="AE217" s="204">
        <v>46199.0</v>
      </c>
      <c r="AF217" s="205"/>
      <c r="AG217" s="219"/>
      <c r="AH217" s="219"/>
      <c r="AI217" s="219"/>
      <c r="AJ217" s="219"/>
      <c r="AK217" s="219"/>
      <c r="AL217" s="219"/>
      <c r="AM217" s="219"/>
      <c r="AN217" s="219"/>
      <c r="AO217" s="219"/>
    </row>
    <row r="218">
      <c r="A218" s="193">
        <v>13320.0</v>
      </c>
      <c r="B218" s="232" t="s">
        <v>264</v>
      </c>
      <c r="C218" s="193">
        <v>2026.0</v>
      </c>
      <c r="D218" s="199"/>
      <c r="E218" s="199"/>
      <c r="F218" s="193" t="s">
        <v>265</v>
      </c>
      <c r="G218" s="220"/>
      <c r="H218" s="199"/>
      <c r="I218" s="220"/>
      <c r="J218" s="199"/>
      <c r="K218" s="193" t="s">
        <v>206</v>
      </c>
      <c r="L218" s="234" t="s">
        <v>145</v>
      </c>
      <c r="M218" s="199"/>
      <c r="N218" s="193" t="s">
        <v>337</v>
      </c>
      <c r="O218" s="193" t="s">
        <v>206</v>
      </c>
      <c r="P218" s="193" t="s">
        <v>206</v>
      </c>
      <c r="Q218" s="199"/>
      <c r="R218" s="193" t="s">
        <v>279</v>
      </c>
      <c r="S218" s="193" t="s">
        <v>50</v>
      </c>
      <c r="T218" s="193" t="s">
        <v>358</v>
      </c>
      <c r="U218" s="193" t="s">
        <v>546</v>
      </c>
      <c r="V218" s="193" t="s">
        <v>50</v>
      </c>
      <c r="W218" s="193" t="s">
        <v>264</v>
      </c>
      <c r="X218" s="193" t="s">
        <v>232</v>
      </c>
      <c r="Y218" s="200">
        <v>3.0</v>
      </c>
      <c r="Z218" s="202" t="s">
        <v>233</v>
      </c>
      <c r="AA218" s="202" t="s">
        <v>234</v>
      </c>
      <c r="AB218" s="221"/>
      <c r="AC218" s="203">
        <v>25000.0</v>
      </c>
      <c r="AD218" s="204">
        <v>46138.0</v>
      </c>
      <c r="AE218" s="204">
        <v>46199.0</v>
      </c>
      <c r="AF218" s="205"/>
      <c r="AG218" s="219"/>
      <c r="AH218" s="219"/>
      <c r="AI218" s="219"/>
      <c r="AJ218" s="219"/>
      <c r="AK218" s="219"/>
      <c r="AL218" s="219"/>
      <c r="AM218" s="219"/>
      <c r="AN218" s="219"/>
      <c r="AO218" s="219"/>
    </row>
    <row r="219">
      <c r="A219" s="193">
        <v>13340.0</v>
      </c>
      <c r="B219" s="194" t="s">
        <v>203</v>
      </c>
      <c r="C219" s="193">
        <v>2026.0</v>
      </c>
      <c r="D219" s="195">
        <v>2048.0</v>
      </c>
      <c r="E219" s="199"/>
      <c r="F219" s="222" t="s">
        <v>204</v>
      </c>
      <c r="G219" s="215">
        <v>46213.0</v>
      </c>
      <c r="H219" s="193">
        <v>542.0</v>
      </c>
      <c r="I219" s="215">
        <v>46213.0</v>
      </c>
      <c r="J219" s="193" t="s">
        <v>261</v>
      </c>
      <c r="K219" s="193" t="s">
        <v>206</v>
      </c>
      <c r="L219" s="194" t="s">
        <v>144</v>
      </c>
      <c r="M219" s="199"/>
      <c r="N219" s="193" t="s">
        <v>227</v>
      </c>
      <c r="O219" s="193" t="s">
        <v>206</v>
      </c>
      <c r="P219" s="193" t="s">
        <v>206</v>
      </c>
      <c r="Q219" s="199"/>
      <c r="R219" s="193" t="s">
        <v>279</v>
      </c>
      <c r="S219" s="193" t="s">
        <v>50</v>
      </c>
      <c r="T219" s="193" t="s">
        <v>547</v>
      </c>
      <c r="U219" s="193" t="s">
        <v>548</v>
      </c>
      <c r="V219" s="193" t="s">
        <v>50</v>
      </c>
      <c r="W219" s="193" t="s">
        <v>264</v>
      </c>
      <c r="X219" s="193" t="s">
        <v>232</v>
      </c>
      <c r="Y219" s="200">
        <v>3.0</v>
      </c>
      <c r="Z219" s="202" t="s">
        <v>233</v>
      </c>
      <c r="AA219" s="202" t="s">
        <v>234</v>
      </c>
      <c r="AB219" s="203">
        <v>263888.89</v>
      </c>
      <c r="AC219" s="203">
        <v>1355861.12</v>
      </c>
      <c r="AD219" s="204">
        <v>46229.0</v>
      </c>
      <c r="AE219" s="204">
        <v>46049.0</v>
      </c>
      <c r="AF219" s="226" t="s">
        <v>549</v>
      </c>
      <c r="AG219" s="219"/>
      <c r="AH219" s="219"/>
      <c r="AI219" s="219"/>
      <c r="AJ219" s="219"/>
      <c r="AK219" s="219"/>
      <c r="AL219" s="219"/>
      <c r="AM219" s="219"/>
      <c r="AN219" s="219"/>
      <c r="AO219" s="219"/>
    </row>
    <row r="220">
      <c r="A220" s="193">
        <v>13360.0</v>
      </c>
      <c r="B220" s="232" t="s">
        <v>264</v>
      </c>
      <c r="C220" s="193">
        <v>2026.0</v>
      </c>
      <c r="D220" s="199"/>
      <c r="E220" s="196"/>
      <c r="F220" s="193" t="s">
        <v>265</v>
      </c>
      <c r="G220" s="266"/>
      <c r="H220" s="199"/>
      <c r="I220" s="220"/>
      <c r="J220" s="199"/>
      <c r="K220" s="193" t="s">
        <v>206</v>
      </c>
      <c r="L220" s="234" t="s">
        <v>145</v>
      </c>
      <c r="M220" s="199"/>
      <c r="N220" s="193" t="s">
        <v>337</v>
      </c>
      <c r="O220" s="193" t="s">
        <v>206</v>
      </c>
      <c r="P220" s="193" t="s">
        <v>206</v>
      </c>
      <c r="Q220" s="199"/>
      <c r="R220" s="193" t="s">
        <v>279</v>
      </c>
      <c r="S220" s="193" t="s">
        <v>50</v>
      </c>
      <c r="T220" s="193" t="s">
        <v>358</v>
      </c>
      <c r="U220" s="193" t="s">
        <v>550</v>
      </c>
      <c r="V220" s="193" t="s">
        <v>50</v>
      </c>
      <c r="W220" s="193" t="s">
        <v>264</v>
      </c>
      <c r="X220" s="193" t="s">
        <v>232</v>
      </c>
      <c r="Y220" s="200">
        <v>3.0</v>
      </c>
      <c r="Z220" s="202" t="s">
        <v>233</v>
      </c>
      <c r="AA220" s="202" t="s">
        <v>234</v>
      </c>
      <c r="AB220" s="221"/>
      <c r="AC220" s="203">
        <v>17000.0</v>
      </c>
      <c r="AD220" s="204">
        <v>46138.0</v>
      </c>
      <c r="AE220" s="204">
        <v>46199.0</v>
      </c>
      <c r="AF220" s="205"/>
      <c r="AG220" s="219"/>
      <c r="AH220" s="219"/>
      <c r="AI220" s="219"/>
      <c r="AJ220" s="219"/>
      <c r="AK220" s="219"/>
      <c r="AL220" s="219"/>
      <c r="AM220" s="219"/>
      <c r="AN220" s="219"/>
      <c r="AO220" s="219"/>
    </row>
    <row r="221">
      <c r="A221" s="193">
        <v>13380.0</v>
      </c>
      <c r="B221" s="232" t="s">
        <v>264</v>
      </c>
      <c r="C221" s="193">
        <v>2026.0</v>
      </c>
      <c r="D221" s="199"/>
      <c r="E221" s="199"/>
      <c r="F221" s="193" t="s">
        <v>265</v>
      </c>
      <c r="G221" s="233"/>
      <c r="H221" s="199"/>
      <c r="I221" s="233"/>
      <c r="J221" s="199"/>
      <c r="K221" s="193" t="s">
        <v>206</v>
      </c>
      <c r="L221" s="234" t="s">
        <v>145</v>
      </c>
      <c r="M221" s="199"/>
      <c r="N221" s="193" t="s">
        <v>337</v>
      </c>
      <c r="O221" s="193" t="s">
        <v>206</v>
      </c>
      <c r="P221" s="193" t="s">
        <v>206</v>
      </c>
      <c r="Q221" s="199"/>
      <c r="R221" s="193" t="s">
        <v>279</v>
      </c>
      <c r="S221" s="193" t="s">
        <v>50</v>
      </c>
      <c r="T221" s="193" t="s">
        <v>358</v>
      </c>
      <c r="U221" s="193" t="s">
        <v>551</v>
      </c>
      <c r="V221" s="193" t="s">
        <v>50</v>
      </c>
      <c r="W221" s="193" t="s">
        <v>264</v>
      </c>
      <c r="X221" s="193" t="s">
        <v>232</v>
      </c>
      <c r="Y221" s="200">
        <v>3.0</v>
      </c>
      <c r="Z221" s="202" t="s">
        <v>233</v>
      </c>
      <c r="AA221" s="202" t="s">
        <v>234</v>
      </c>
      <c r="AB221" s="221"/>
      <c r="AC221" s="203">
        <v>17000.0</v>
      </c>
      <c r="AD221" s="204">
        <v>46138.0</v>
      </c>
      <c r="AE221" s="204">
        <v>46199.0</v>
      </c>
      <c r="AF221" s="205"/>
      <c r="AG221" s="219"/>
      <c r="AH221" s="219"/>
      <c r="AI221" s="219"/>
      <c r="AJ221" s="219"/>
      <c r="AK221" s="219"/>
      <c r="AL221" s="219"/>
      <c r="AM221" s="219"/>
      <c r="AN221" s="219"/>
      <c r="AO221" s="219"/>
    </row>
    <row r="222">
      <c r="A222" s="193">
        <v>13400.0</v>
      </c>
      <c r="B222" s="232" t="s">
        <v>264</v>
      </c>
      <c r="C222" s="193">
        <v>2026.0</v>
      </c>
      <c r="D222" s="199"/>
      <c r="E222" s="199"/>
      <c r="F222" s="199"/>
      <c r="G222" s="235"/>
      <c r="H222" s="199"/>
      <c r="I222" s="235"/>
      <c r="J222" s="199"/>
      <c r="K222" s="193" t="s">
        <v>206</v>
      </c>
      <c r="L222" s="234" t="s">
        <v>145</v>
      </c>
      <c r="M222" s="199"/>
      <c r="N222" s="193" t="s">
        <v>227</v>
      </c>
      <c r="O222" s="193" t="s">
        <v>206</v>
      </c>
      <c r="P222" s="193" t="s">
        <v>206</v>
      </c>
      <c r="Q222" s="199"/>
      <c r="R222" s="193" t="s">
        <v>279</v>
      </c>
      <c r="S222" s="193" t="s">
        <v>50</v>
      </c>
      <c r="T222" s="193" t="s">
        <v>347</v>
      </c>
      <c r="U222" s="193" t="s">
        <v>552</v>
      </c>
      <c r="V222" s="193" t="s">
        <v>50</v>
      </c>
      <c r="W222" s="193" t="s">
        <v>264</v>
      </c>
      <c r="X222" s="193" t="s">
        <v>232</v>
      </c>
      <c r="Y222" s="200">
        <v>3.0</v>
      </c>
      <c r="Z222" s="202" t="s">
        <v>233</v>
      </c>
      <c r="AA222" s="202" t="s">
        <v>234</v>
      </c>
      <c r="AB222" s="221"/>
      <c r="AC222" s="203">
        <v>1045152.4</v>
      </c>
      <c r="AD222" s="204">
        <v>46138.0</v>
      </c>
      <c r="AE222" s="204">
        <v>46199.0</v>
      </c>
      <c r="AF222" s="205"/>
      <c r="AG222" s="219"/>
      <c r="AH222" s="219"/>
      <c r="AI222" s="219"/>
      <c r="AJ222" s="219"/>
      <c r="AK222" s="219"/>
      <c r="AL222" s="219"/>
      <c r="AM222" s="219"/>
      <c r="AN222" s="219"/>
      <c r="AO222" s="219"/>
    </row>
    <row r="223">
      <c r="A223" s="193">
        <v>13420.0</v>
      </c>
      <c r="B223" s="194" t="s">
        <v>203</v>
      </c>
      <c r="C223" s="193">
        <v>2026.0</v>
      </c>
      <c r="D223" s="195">
        <v>2048.0</v>
      </c>
      <c r="E223" s="199"/>
      <c r="F223" s="193" t="s">
        <v>204</v>
      </c>
      <c r="G223" s="198">
        <v>46118.0</v>
      </c>
      <c r="H223" s="193">
        <v>238.0</v>
      </c>
      <c r="I223" s="223">
        <v>46118.0</v>
      </c>
      <c r="J223" s="193" t="s">
        <v>553</v>
      </c>
      <c r="K223" s="193" t="s">
        <v>206</v>
      </c>
      <c r="L223" s="194" t="s">
        <v>144</v>
      </c>
      <c r="M223" s="199"/>
      <c r="N223" s="193" t="s">
        <v>207</v>
      </c>
      <c r="O223" s="193" t="s">
        <v>206</v>
      </c>
      <c r="P223" s="193" t="s">
        <v>206</v>
      </c>
      <c r="Q223" s="199"/>
      <c r="R223" s="193" t="s">
        <v>228</v>
      </c>
      <c r="S223" s="193" t="s">
        <v>46</v>
      </c>
      <c r="T223" s="193" t="s">
        <v>287</v>
      </c>
      <c r="U223" s="193" t="s">
        <v>554</v>
      </c>
      <c r="V223" s="193" t="s">
        <v>231</v>
      </c>
      <c r="W223" s="193" t="s">
        <v>212</v>
      </c>
      <c r="X223" s="193" t="s">
        <v>252</v>
      </c>
      <c r="Y223" s="200">
        <v>3.0</v>
      </c>
      <c r="Z223" s="202" t="s">
        <v>233</v>
      </c>
      <c r="AA223" s="202" t="s">
        <v>215</v>
      </c>
      <c r="AB223" s="203">
        <v>1130000.0</v>
      </c>
      <c r="AC223" s="203">
        <v>1130000.0</v>
      </c>
      <c r="AD223" s="258">
        <v>46138.0</v>
      </c>
      <c r="AE223" s="204">
        <v>46199.0</v>
      </c>
      <c r="AF223" s="205"/>
      <c r="AG223" s="219"/>
      <c r="AH223" s="219"/>
      <c r="AI223" s="219"/>
      <c r="AJ223" s="219"/>
      <c r="AK223" s="219"/>
      <c r="AL223" s="219"/>
      <c r="AM223" s="219"/>
      <c r="AN223" s="219"/>
      <c r="AO223" s="219"/>
    </row>
    <row r="224">
      <c r="A224" s="193">
        <v>13440.0</v>
      </c>
      <c r="B224" s="194" t="s">
        <v>203</v>
      </c>
      <c r="C224" s="193">
        <v>2026.0</v>
      </c>
      <c r="D224" s="195">
        <v>2048.0</v>
      </c>
      <c r="E224" s="199"/>
      <c r="F224" s="193" t="s">
        <v>272</v>
      </c>
      <c r="G224" s="235"/>
      <c r="H224" s="199"/>
      <c r="I224" s="235"/>
      <c r="J224" s="199"/>
      <c r="K224" s="193" t="s">
        <v>206</v>
      </c>
      <c r="L224" s="194" t="s">
        <v>144</v>
      </c>
      <c r="M224" s="199"/>
      <c r="N224" s="193" t="s">
        <v>207</v>
      </c>
      <c r="O224" s="193" t="s">
        <v>206</v>
      </c>
      <c r="P224" s="193" t="s">
        <v>206</v>
      </c>
      <c r="Q224" s="199"/>
      <c r="R224" s="193" t="s">
        <v>208</v>
      </c>
      <c r="S224" s="193" t="s">
        <v>39</v>
      </c>
      <c r="T224" s="193" t="s">
        <v>209</v>
      </c>
      <c r="U224" s="193" t="s">
        <v>555</v>
      </c>
      <c r="V224" s="193" t="s">
        <v>290</v>
      </c>
      <c r="W224" s="193" t="s">
        <v>212</v>
      </c>
      <c r="X224" s="193" t="s">
        <v>252</v>
      </c>
      <c r="Y224" s="200">
        <v>3.0</v>
      </c>
      <c r="Z224" s="202" t="s">
        <v>214</v>
      </c>
      <c r="AA224" s="202" t="s">
        <v>215</v>
      </c>
      <c r="AB224" s="203" t="s">
        <v>275</v>
      </c>
      <c r="AC224" s="203" t="s">
        <v>275</v>
      </c>
      <c r="AD224" s="292" t="s">
        <v>367</v>
      </c>
      <c r="AE224" s="293" t="s">
        <v>367</v>
      </c>
      <c r="AF224" s="226" t="s">
        <v>556</v>
      </c>
      <c r="AG224" s="219"/>
      <c r="AH224" s="219"/>
      <c r="AI224" s="219"/>
      <c r="AJ224" s="219"/>
      <c r="AK224" s="219"/>
      <c r="AL224" s="219"/>
      <c r="AM224" s="219"/>
      <c r="AN224" s="219"/>
      <c r="AO224" s="219"/>
    </row>
    <row r="225">
      <c r="A225" s="193">
        <v>13460.0</v>
      </c>
      <c r="B225" s="194" t="s">
        <v>203</v>
      </c>
      <c r="C225" s="193">
        <v>2026.0</v>
      </c>
      <c r="D225" s="195">
        <v>2048.0</v>
      </c>
      <c r="E225" s="199"/>
      <c r="F225" s="193" t="s">
        <v>204</v>
      </c>
      <c r="G225" s="198">
        <v>46191.0</v>
      </c>
      <c r="H225" s="193">
        <v>444.0</v>
      </c>
      <c r="I225" s="198">
        <v>46191.0</v>
      </c>
      <c r="J225" s="193" t="s">
        <v>557</v>
      </c>
      <c r="K225" s="193" t="s">
        <v>206</v>
      </c>
      <c r="L225" s="194" t="s">
        <v>144</v>
      </c>
      <c r="M225" s="199"/>
      <c r="N225" s="193" t="s">
        <v>207</v>
      </c>
      <c r="O225" s="193" t="s">
        <v>206</v>
      </c>
      <c r="P225" s="193" t="s">
        <v>206</v>
      </c>
      <c r="Q225" s="199"/>
      <c r="R225" s="193" t="s">
        <v>219</v>
      </c>
      <c r="S225" s="193" t="s">
        <v>43</v>
      </c>
      <c r="T225" s="193" t="s">
        <v>299</v>
      </c>
      <c r="U225" s="193" t="s">
        <v>555</v>
      </c>
      <c r="V225" s="193" t="s">
        <v>290</v>
      </c>
      <c r="W225" s="193" t="s">
        <v>212</v>
      </c>
      <c r="X225" s="193" t="s">
        <v>252</v>
      </c>
      <c r="Y225" s="200">
        <v>3.0</v>
      </c>
      <c r="Z225" s="202" t="s">
        <v>233</v>
      </c>
      <c r="AA225" s="202" t="s">
        <v>215</v>
      </c>
      <c r="AB225" s="203">
        <v>525000.0</v>
      </c>
      <c r="AC225" s="203">
        <v>525000.0</v>
      </c>
      <c r="AD225" s="276">
        <v>46199.0</v>
      </c>
      <c r="AE225" s="204">
        <v>46260.0</v>
      </c>
      <c r="AF225" s="226" t="s">
        <v>268</v>
      </c>
      <c r="AG225" s="219"/>
      <c r="AH225" s="219"/>
      <c r="AI225" s="219"/>
      <c r="AJ225" s="219"/>
      <c r="AK225" s="219"/>
      <c r="AL225" s="219"/>
      <c r="AM225" s="219"/>
      <c r="AN225" s="219"/>
      <c r="AO225" s="219"/>
    </row>
    <row r="226">
      <c r="A226" s="193">
        <v>13480.0</v>
      </c>
      <c r="B226" s="194" t="s">
        <v>203</v>
      </c>
      <c r="C226" s="193">
        <v>2026.0</v>
      </c>
      <c r="D226" s="195">
        <v>2048.0</v>
      </c>
      <c r="E226" s="199"/>
      <c r="F226" s="193" t="s">
        <v>204</v>
      </c>
      <c r="G226" s="215">
        <v>46121.0</v>
      </c>
      <c r="H226" s="193">
        <v>260.0</v>
      </c>
      <c r="I226" s="215">
        <v>46121.0</v>
      </c>
      <c r="J226" s="193" t="s">
        <v>558</v>
      </c>
      <c r="K226" s="193" t="s">
        <v>206</v>
      </c>
      <c r="L226" s="194" t="s">
        <v>144</v>
      </c>
      <c r="M226" s="199"/>
      <c r="N226" s="193" t="s">
        <v>207</v>
      </c>
      <c r="O226" s="193" t="s">
        <v>206</v>
      </c>
      <c r="P226" s="193" t="s">
        <v>206</v>
      </c>
      <c r="Q226" s="199"/>
      <c r="R226" s="193" t="s">
        <v>219</v>
      </c>
      <c r="S226" s="193" t="s">
        <v>43</v>
      </c>
      <c r="T226" s="193" t="s">
        <v>302</v>
      </c>
      <c r="U226" s="193" t="s">
        <v>559</v>
      </c>
      <c r="V226" s="193" t="s">
        <v>231</v>
      </c>
      <c r="W226" s="193" t="s">
        <v>212</v>
      </c>
      <c r="X226" s="193" t="s">
        <v>252</v>
      </c>
      <c r="Y226" s="200">
        <v>3.0</v>
      </c>
      <c r="Z226" s="202" t="s">
        <v>233</v>
      </c>
      <c r="AA226" s="202" t="s">
        <v>215</v>
      </c>
      <c r="AB226" s="203">
        <v>1360000.0</v>
      </c>
      <c r="AC226" s="203">
        <v>1360000.0</v>
      </c>
      <c r="AD226" s="258">
        <v>46138.0</v>
      </c>
      <c r="AE226" s="204">
        <v>46199.0</v>
      </c>
      <c r="AF226" s="205"/>
      <c r="AG226" s="219"/>
      <c r="AH226" s="219"/>
      <c r="AI226" s="219"/>
      <c r="AJ226" s="219"/>
      <c r="AK226" s="219"/>
      <c r="AL226" s="219"/>
      <c r="AM226" s="219"/>
      <c r="AN226" s="219"/>
      <c r="AO226" s="219"/>
    </row>
    <row r="227">
      <c r="A227" s="193">
        <v>13500.0</v>
      </c>
      <c r="B227" s="232" t="s">
        <v>264</v>
      </c>
      <c r="C227" s="193">
        <v>2026.0</v>
      </c>
      <c r="D227" s="199"/>
      <c r="E227" s="199"/>
      <c r="F227" s="193" t="s">
        <v>265</v>
      </c>
      <c r="G227" s="233"/>
      <c r="H227" s="199"/>
      <c r="I227" s="233"/>
      <c r="J227" s="199"/>
      <c r="K227" s="193" t="s">
        <v>206</v>
      </c>
      <c r="L227" s="234" t="s">
        <v>145</v>
      </c>
      <c r="M227" s="199"/>
      <c r="N227" s="193" t="s">
        <v>475</v>
      </c>
      <c r="O227" s="193" t="s">
        <v>206</v>
      </c>
      <c r="P227" s="193" t="s">
        <v>206</v>
      </c>
      <c r="Q227" s="199"/>
      <c r="R227" s="193" t="s">
        <v>279</v>
      </c>
      <c r="S227" s="193" t="s">
        <v>50</v>
      </c>
      <c r="T227" s="193" t="s">
        <v>560</v>
      </c>
      <c r="U227" s="193" t="s">
        <v>561</v>
      </c>
      <c r="V227" s="193" t="s">
        <v>50</v>
      </c>
      <c r="W227" s="193" t="s">
        <v>264</v>
      </c>
      <c r="X227" s="193" t="s">
        <v>252</v>
      </c>
      <c r="Y227" s="200">
        <v>3.0</v>
      </c>
      <c r="Z227" s="202" t="s">
        <v>214</v>
      </c>
      <c r="AA227" s="202" t="s">
        <v>215</v>
      </c>
      <c r="AB227" s="203">
        <v>324000.0</v>
      </c>
      <c r="AC227" s="203">
        <v>324000.0</v>
      </c>
      <c r="AD227" s="204">
        <v>46138.0</v>
      </c>
      <c r="AE227" s="204">
        <v>46199.0</v>
      </c>
      <c r="AF227" s="205"/>
      <c r="AG227" s="219"/>
      <c r="AH227" s="219"/>
      <c r="AI227" s="219"/>
      <c r="AJ227" s="219"/>
      <c r="AK227" s="219"/>
      <c r="AL227" s="219"/>
      <c r="AM227" s="219"/>
      <c r="AN227" s="219"/>
      <c r="AO227" s="219"/>
    </row>
    <row r="228">
      <c r="A228" s="193">
        <v>13520.0</v>
      </c>
      <c r="B228" s="232" t="s">
        <v>264</v>
      </c>
      <c r="C228" s="193">
        <v>2026.0</v>
      </c>
      <c r="D228" s="199"/>
      <c r="E228" s="199"/>
      <c r="F228" s="193" t="s">
        <v>265</v>
      </c>
      <c r="G228" s="233"/>
      <c r="H228" s="199"/>
      <c r="I228" s="233"/>
      <c r="J228" s="199"/>
      <c r="K228" s="193" t="s">
        <v>206</v>
      </c>
      <c r="L228" s="234" t="s">
        <v>145</v>
      </c>
      <c r="M228" s="199"/>
      <c r="N228" s="193" t="s">
        <v>475</v>
      </c>
      <c r="O228" s="193" t="s">
        <v>206</v>
      </c>
      <c r="P228" s="193" t="s">
        <v>206</v>
      </c>
      <c r="Q228" s="207"/>
      <c r="R228" s="208" t="s">
        <v>279</v>
      </c>
      <c r="S228" s="193" t="s">
        <v>50</v>
      </c>
      <c r="T228" s="193" t="s">
        <v>560</v>
      </c>
      <c r="U228" s="193" t="s">
        <v>562</v>
      </c>
      <c r="V228" s="193" t="s">
        <v>50</v>
      </c>
      <c r="W228" s="193" t="s">
        <v>264</v>
      </c>
      <c r="X228" s="193" t="s">
        <v>252</v>
      </c>
      <c r="Y228" s="200">
        <v>3.0</v>
      </c>
      <c r="Z228" s="202" t="s">
        <v>214</v>
      </c>
      <c r="AA228" s="202" t="s">
        <v>215</v>
      </c>
      <c r="AB228" s="203">
        <v>324000.0</v>
      </c>
      <c r="AC228" s="203">
        <v>324000.0</v>
      </c>
      <c r="AD228" s="276">
        <v>46138.0</v>
      </c>
      <c r="AE228" s="204">
        <v>46199.0</v>
      </c>
      <c r="AF228" s="205"/>
      <c r="AG228" s="219"/>
      <c r="AH228" s="219"/>
      <c r="AI228" s="219"/>
      <c r="AJ228" s="219"/>
      <c r="AK228" s="219"/>
      <c r="AL228" s="219"/>
      <c r="AM228" s="219"/>
      <c r="AN228" s="219"/>
      <c r="AO228" s="219"/>
    </row>
    <row r="229">
      <c r="A229" s="193">
        <v>13540.0</v>
      </c>
      <c r="B229" s="194" t="s">
        <v>203</v>
      </c>
      <c r="C229" s="193">
        <v>2026.0</v>
      </c>
      <c r="D229" s="195">
        <v>2048.0</v>
      </c>
      <c r="E229" s="199"/>
      <c r="F229" s="193" t="s">
        <v>272</v>
      </c>
      <c r="G229" s="233"/>
      <c r="H229" s="199"/>
      <c r="I229" s="233"/>
      <c r="J229" s="199"/>
      <c r="K229" s="193" t="s">
        <v>206</v>
      </c>
      <c r="L229" s="194" t="s">
        <v>144</v>
      </c>
      <c r="M229" s="199"/>
      <c r="N229" s="193" t="s">
        <v>475</v>
      </c>
      <c r="O229" s="193" t="s">
        <v>206</v>
      </c>
      <c r="P229" s="193" t="s">
        <v>206</v>
      </c>
      <c r="Q229" s="207"/>
      <c r="R229" s="208" t="s">
        <v>279</v>
      </c>
      <c r="S229" s="193" t="s">
        <v>50</v>
      </c>
      <c r="T229" s="193" t="s">
        <v>563</v>
      </c>
      <c r="U229" s="193" t="s">
        <v>564</v>
      </c>
      <c r="V229" s="193" t="s">
        <v>524</v>
      </c>
      <c r="W229" s="193" t="s">
        <v>264</v>
      </c>
      <c r="X229" s="193" t="s">
        <v>252</v>
      </c>
      <c r="Y229" s="200">
        <v>3.0</v>
      </c>
      <c r="Z229" s="202" t="s">
        <v>214</v>
      </c>
      <c r="AA229" s="202" t="s">
        <v>215</v>
      </c>
      <c r="AB229" s="203" t="s">
        <v>275</v>
      </c>
      <c r="AC229" s="203" t="s">
        <v>275</v>
      </c>
      <c r="AD229" s="292" t="s">
        <v>367</v>
      </c>
      <c r="AE229" s="293" t="s">
        <v>367</v>
      </c>
      <c r="AF229" s="226" t="s">
        <v>556</v>
      </c>
      <c r="AG229" s="219"/>
      <c r="AH229" s="219"/>
      <c r="AI229" s="219"/>
      <c r="AJ229" s="219"/>
      <c r="AK229" s="219"/>
      <c r="AL229" s="219"/>
      <c r="AM229" s="219"/>
      <c r="AN229" s="219"/>
      <c r="AO229" s="219"/>
    </row>
    <row r="230">
      <c r="A230" s="193">
        <v>13560.0</v>
      </c>
      <c r="B230" s="232" t="s">
        <v>264</v>
      </c>
      <c r="C230" s="193">
        <v>2026.0</v>
      </c>
      <c r="D230" s="199"/>
      <c r="E230" s="199"/>
      <c r="F230" s="193" t="s">
        <v>265</v>
      </c>
      <c r="G230" s="235"/>
      <c r="H230" s="199"/>
      <c r="I230" s="235"/>
      <c r="J230" s="199"/>
      <c r="K230" s="193" t="s">
        <v>206</v>
      </c>
      <c r="L230" s="234" t="s">
        <v>145</v>
      </c>
      <c r="M230" s="199"/>
      <c r="N230" s="193" t="s">
        <v>207</v>
      </c>
      <c r="O230" s="193" t="s">
        <v>206</v>
      </c>
      <c r="P230" s="193" t="s">
        <v>206</v>
      </c>
      <c r="Q230" s="207"/>
      <c r="R230" s="208" t="s">
        <v>279</v>
      </c>
      <c r="S230" s="193" t="s">
        <v>50</v>
      </c>
      <c r="T230" s="193" t="s">
        <v>565</v>
      </c>
      <c r="U230" s="193" t="s">
        <v>566</v>
      </c>
      <c r="V230" s="193" t="s">
        <v>50</v>
      </c>
      <c r="W230" s="193" t="s">
        <v>264</v>
      </c>
      <c r="X230" s="193" t="s">
        <v>252</v>
      </c>
      <c r="Y230" s="200">
        <v>3.0</v>
      </c>
      <c r="Z230" s="202" t="s">
        <v>214</v>
      </c>
      <c r="AA230" s="202" t="s">
        <v>215</v>
      </c>
      <c r="AB230" s="221"/>
      <c r="AC230" s="203">
        <v>148000.0</v>
      </c>
      <c r="AD230" s="204">
        <v>46138.0</v>
      </c>
      <c r="AE230" s="204">
        <v>46199.0</v>
      </c>
      <c r="AF230" s="205"/>
      <c r="AG230" s="219"/>
      <c r="AH230" s="219"/>
      <c r="AI230" s="219"/>
      <c r="AJ230" s="219"/>
      <c r="AK230" s="219"/>
      <c r="AL230" s="219"/>
      <c r="AM230" s="219"/>
      <c r="AN230" s="219"/>
      <c r="AO230" s="219"/>
    </row>
    <row r="231">
      <c r="A231" s="193">
        <v>13561.0</v>
      </c>
      <c r="B231" s="194" t="s">
        <v>203</v>
      </c>
      <c r="C231" s="193">
        <v>2026.0</v>
      </c>
      <c r="D231" s="195">
        <v>2048.0</v>
      </c>
      <c r="E231" s="199"/>
      <c r="F231" s="193" t="s">
        <v>204</v>
      </c>
      <c r="G231" s="230">
        <v>46265.0</v>
      </c>
      <c r="H231" s="193">
        <v>13214.0</v>
      </c>
      <c r="I231" s="230">
        <v>46265.0</v>
      </c>
      <c r="J231" s="193" t="s">
        <v>567</v>
      </c>
      <c r="K231" s="193" t="s">
        <v>206</v>
      </c>
      <c r="L231" s="194" t="s">
        <v>144</v>
      </c>
      <c r="M231" s="199"/>
      <c r="N231" s="193" t="s">
        <v>207</v>
      </c>
      <c r="O231" s="193" t="s">
        <v>206</v>
      </c>
      <c r="P231" s="193" t="s">
        <v>206</v>
      </c>
      <c r="Q231" s="207"/>
      <c r="R231" s="208" t="s">
        <v>279</v>
      </c>
      <c r="S231" s="193" t="s">
        <v>50</v>
      </c>
      <c r="T231" s="193" t="s">
        <v>565</v>
      </c>
      <c r="U231" s="193" t="s">
        <v>566</v>
      </c>
      <c r="V231" s="193" t="s">
        <v>50</v>
      </c>
      <c r="W231" s="193" t="s">
        <v>264</v>
      </c>
      <c r="X231" s="193" t="s">
        <v>252</v>
      </c>
      <c r="Y231" s="200">
        <v>3.0</v>
      </c>
      <c r="Z231" s="202" t="s">
        <v>214</v>
      </c>
      <c r="AA231" s="202" t="s">
        <v>215</v>
      </c>
      <c r="AB231" s="221"/>
      <c r="AC231" s="203">
        <v>500000.0</v>
      </c>
      <c r="AD231" s="204">
        <v>46138.0</v>
      </c>
      <c r="AE231" s="204">
        <v>46199.0</v>
      </c>
      <c r="AF231" s="226" t="s">
        <v>568</v>
      </c>
      <c r="AG231" s="219"/>
      <c r="AH231" s="219"/>
      <c r="AI231" s="219"/>
      <c r="AJ231" s="219"/>
      <c r="AK231" s="219"/>
      <c r="AL231" s="219"/>
      <c r="AM231" s="219"/>
      <c r="AN231" s="219"/>
      <c r="AO231" s="219"/>
    </row>
    <row r="232">
      <c r="A232" s="193">
        <v>13580.0</v>
      </c>
      <c r="B232" s="194" t="s">
        <v>203</v>
      </c>
      <c r="C232" s="193">
        <v>2026.0</v>
      </c>
      <c r="D232" s="229" t="s">
        <v>258</v>
      </c>
      <c r="E232" s="199"/>
      <c r="F232" s="193" t="s">
        <v>204</v>
      </c>
      <c r="G232" s="230">
        <v>46113.0</v>
      </c>
      <c r="H232" s="193">
        <v>217.0</v>
      </c>
      <c r="I232" s="230">
        <v>46113.0</v>
      </c>
      <c r="J232" s="193" t="s">
        <v>495</v>
      </c>
      <c r="K232" s="193" t="s">
        <v>206</v>
      </c>
      <c r="L232" s="194" t="s">
        <v>144</v>
      </c>
      <c r="M232" s="199"/>
      <c r="N232" s="193" t="s">
        <v>207</v>
      </c>
      <c r="O232" s="193" t="s">
        <v>206</v>
      </c>
      <c r="P232" s="193" t="s">
        <v>206</v>
      </c>
      <c r="Q232" s="207"/>
      <c r="R232" s="208" t="s">
        <v>269</v>
      </c>
      <c r="S232" s="193" t="s">
        <v>49</v>
      </c>
      <c r="T232" s="193" t="s">
        <v>356</v>
      </c>
      <c r="U232" s="193" t="s">
        <v>569</v>
      </c>
      <c r="V232" s="193" t="s">
        <v>211</v>
      </c>
      <c r="W232" s="193" t="s">
        <v>212</v>
      </c>
      <c r="X232" s="193" t="s">
        <v>252</v>
      </c>
      <c r="Y232" s="200">
        <v>3.0</v>
      </c>
      <c r="Z232" s="202" t="s">
        <v>214</v>
      </c>
      <c r="AA232" s="202" t="s">
        <v>215</v>
      </c>
      <c r="AB232" s="203">
        <v>1100000.0</v>
      </c>
      <c r="AC232" s="203">
        <v>1100000.0</v>
      </c>
      <c r="AD232" s="258">
        <v>46138.0</v>
      </c>
      <c r="AE232" s="204">
        <v>46199.0</v>
      </c>
      <c r="AF232" s="226" t="s">
        <v>570</v>
      </c>
      <c r="AG232" s="219"/>
      <c r="AH232" s="219"/>
      <c r="AI232" s="219"/>
      <c r="AJ232" s="219"/>
      <c r="AK232" s="219"/>
      <c r="AL232" s="219"/>
      <c r="AM232" s="219"/>
      <c r="AN232" s="219"/>
      <c r="AO232" s="219"/>
    </row>
    <row r="233">
      <c r="A233" s="193">
        <v>13600.0</v>
      </c>
      <c r="B233" s="232" t="s">
        <v>264</v>
      </c>
      <c r="C233" s="193">
        <v>2026.0</v>
      </c>
      <c r="D233" s="199"/>
      <c r="E233" s="199"/>
      <c r="F233" s="193" t="s">
        <v>265</v>
      </c>
      <c r="G233" s="233"/>
      <c r="H233" s="199"/>
      <c r="I233" s="233"/>
      <c r="J233" s="199"/>
      <c r="K233" s="193" t="s">
        <v>206</v>
      </c>
      <c r="L233" s="234" t="s">
        <v>145</v>
      </c>
      <c r="M233" s="199"/>
      <c r="N233" s="193" t="s">
        <v>475</v>
      </c>
      <c r="O233" s="193" t="s">
        <v>206</v>
      </c>
      <c r="P233" s="193" t="s">
        <v>206</v>
      </c>
      <c r="Q233" s="207"/>
      <c r="R233" s="208" t="s">
        <v>279</v>
      </c>
      <c r="S233" s="193" t="s">
        <v>50</v>
      </c>
      <c r="T233" s="193" t="s">
        <v>476</v>
      </c>
      <c r="U233" s="193" t="s">
        <v>571</v>
      </c>
      <c r="V233" s="193" t="s">
        <v>50</v>
      </c>
      <c r="W233" s="193" t="s">
        <v>264</v>
      </c>
      <c r="X233" s="193" t="s">
        <v>252</v>
      </c>
      <c r="Y233" s="200">
        <v>3.0</v>
      </c>
      <c r="Z233" s="202" t="s">
        <v>214</v>
      </c>
      <c r="AA233" s="202" t="s">
        <v>215</v>
      </c>
      <c r="AB233" s="203">
        <v>70000.0</v>
      </c>
      <c r="AC233" s="203">
        <v>70000.0</v>
      </c>
      <c r="AD233" s="204">
        <v>46138.0</v>
      </c>
      <c r="AE233" s="204">
        <v>46199.0</v>
      </c>
      <c r="AF233" s="205"/>
      <c r="AG233" s="219"/>
      <c r="AH233" s="219"/>
      <c r="AI233" s="219"/>
      <c r="AJ233" s="219"/>
      <c r="AK233" s="219"/>
      <c r="AL233" s="219"/>
      <c r="AM233" s="219"/>
      <c r="AN233" s="219"/>
      <c r="AO233" s="219"/>
    </row>
    <row r="234">
      <c r="A234" s="193">
        <v>13620.0</v>
      </c>
      <c r="B234" s="232" t="s">
        <v>264</v>
      </c>
      <c r="C234" s="193">
        <v>2026.0</v>
      </c>
      <c r="D234" s="199"/>
      <c r="E234" s="199"/>
      <c r="F234" s="193" t="s">
        <v>265</v>
      </c>
      <c r="G234" s="233"/>
      <c r="H234" s="199"/>
      <c r="I234" s="233"/>
      <c r="J234" s="199"/>
      <c r="K234" s="193" t="s">
        <v>206</v>
      </c>
      <c r="L234" s="234" t="s">
        <v>145</v>
      </c>
      <c r="M234" s="199"/>
      <c r="N234" s="193" t="s">
        <v>475</v>
      </c>
      <c r="O234" s="193" t="s">
        <v>206</v>
      </c>
      <c r="P234" s="193" t="s">
        <v>206</v>
      </c>
      <c r="Q234" s="207"/>
      <c r="R234" s="208" t="s">
        <v>279</v>
      </c>
      <c r="S234" s="193" t="s">
        <v>50</v>
      </c>
      <c r="T234" s="193" t="s">
        <v>476</v>
      </c>
      <c r="U234" s="193" t="s">
        <v>571</v>
      </c>
      <c r="V234" s="193" t="s">
        <v>50</v>
      </c>
      <c r="W234" s="193" t="s">
        <v>264</v>
      </c>
      <c r="X234" s="193" t="s">
        <v>252</v>
      </c>
      <c r="Y234" s="200">
        <v>3.0</v>
      </c>
      <c r="Z234" s="202" t="s">
        <v>214</v>
      </c>
      <c r="AA234" s="202" t="s">
        <v>215</v>
      </c>
      <c r="AB234" s="203">
        <v>25000.0</v>
      </c>
      <c r="AC234" s="203">
        <v>25000.0</v>
      </c>
      <c r="AD234" s="276">
        <v>46138.0</v>
      </c>
      <c r="AE234" s="204">
        <v>46199.0</v>
      </c>
      <c r="AF234" s="205"/>
      <c r="AG234" s="219"/>
      <c r="AH234" s="219"/>
      <c r="AI234" s="219"/>
      <c r="AJ234" s="219"/>
      <c r="AK234" s="219"/>
      <c r="AL234" s="219"/>
      <c r="AM234" s="219"/>
      <c r="AN234" s="219"/>
      <c r="AO234" s="219"/>
    </row>
    <row r="235">
      <c r="A235" s="193">
        <v>13640.0</v>
      </c>
      <c r="B235" s="194" t="s">
        <v>203</v>
      </c>
      <c r="C235" s="193">
        <v>2026.0</v>
      </c>
      <c r="D235" s="195">
        <v>2048.0</v>
      </c>
      <c r="E235" s="199"/>
      <c r="F235" s="193" t="s">
        <v>204</v>
      </c>
      <c r="G235" s="230">
        <v>46121.0</v>
      </c>
      <c r="H235" s="193">
        <v>259.0</v>
      </c>
      <c r="I235" s="215">
        <v>46121.0</v>
      </c>
      <c r="J235" s="193" t="s">
        <v>307</v>
      </c>
      <c r="K235" s="193" t="s">
        <v>206</v>
      </c>
      <c r="L235" s="194" t="s">
        <v>144</v>
      </c>
      <c r="M235" s="199"/>
      <c r="N235" s="193" t="s">
        <v>207</v>
      </c>
      <c r="O235" s="193" t="s">
        <v>206</v>
      </c>
      <c r="P235" s="193" t="s">
        <v>206</v>
      </c>
      <c r="Q235" s="207"/>
      <c r="R235" s="208" t="s">
        <v>208</v>
      </c>
      <c r="S235" s="193" t="s">
        <v>39</v>
      </c>
      <c r="T235" s="193" t="s">
        <v>209</v>
      </c>
      <c r="U235" s="193" t="s">
        <v>492</v>
      </c>
      <c r="V235" s="193" t="s">
        <v>211</v>
      </c>
      <c r="W235" s="193" t="s">
        <v>212</v>
      </c>
      <c r="X235" s="193" t="s">
        <v>213</v>
      </c>
      <c r="Y235" s="200">
        <v>3.0</v>
      </c>
      <c r="Z235" s="202" t="s">
        <v>214</v>
      </c>
      <c r="AA235" s="202" t="s">
        <v>215</v>
      </c>
      <c r="AB235" s="203">
        <v>2310000.0</v>
      </c>
      <c r="AC235" s="203">
        <v>2310000.0</v>
      </c>
      <c r="AD235" s="258">
        <v>46138.0</v>
      </c>
      <c r="AE235" s="204">
        <v>46229.0</v>
      </c>
      <c r="AF235" s="205"/>
      <c r="AG235" s="219"/>
      <c r="AH235" s="206"/>
      <c r="AI235" s="206"/>
      <c r="AJ235" s="206"/>
      <c r="AK235" s="206"/>
      <c r="AL235" s="206"/>
      <c r="AM235" s="206"/>
      <c r="AN235" s="206"/>
      <c r="AO235" s="206"/>
    </row>
    <row r="236">
      <c r="A236" s="193">
        <v>13660.0</v>
      </c>
      <c r="B236" s="194" t="s">
        <v>203</v>
      </c>
      <c r="C236" s="193">
        <v>2026.0</v>
      </c>
      <c r="D236" s="195">
        <v>2048.0</v>
      </c>
      <c r="E236" s="199"/>
      <c r="F236" s="193" t="s">
        <v>204</v>
      </c>
      <c r="G236" s="230">
        <v>46121.0</v>
      </c>
      <c r="H236" s="193">
        <v>269.0</v>
      </c>
      <c r="I236" s="230">
        <v>46121.0</v>
      </c>
      <c r="J236" s="193" t="s">
        <v>346</v>
      </c>
      <c r="K236" s="193" t="s">
        <v>206</v>
      </c>
      <c r="L236" s="194" t="s">
        <v>144</v>
      </c>
      <c r="M236" s="199"/>
      <c r="N236" s="193" t="s">
        <v>207</v>
      </c>
      <c r="O236" s="193" t="s">
        <v>206</v>
      </c>
      <c r="P236" s="193" t="s">
        <v>206</v>
      </c>
      <c r="Q236" s="199"/>
      <c r="R236" s="193" t="s">
        <v>219</v>
      </c>
      <c r="S236" s="193" t="s">
        <v>44</v>
      </c>
      <c r="T236" s="193" t="s">
        <v>220</v>
      </c>
      <c r="U236" s="193" t="s">
        <v>572</v>
      </c>
      <c r="V236" s="193" t="s">
        <v>211</v>
      </c>
      <c r="W236" s="193" t="s">
        <v>212</v>
      </c>
      <c r="X236" s="193" t="s">
        <v>223</v>
      </c>
      <c r="Y236" s="200">
        <v>3.0</v>
      </c>
      <c r="Z236" s="202" t="s">
        <v>214</v>
      </c>
      <c r="AA236" s="202" t="s">
        <v>215</v>
      </c>
      <c r="AB236" s="203">
        <v>2572500.0</v>
      </c>
      <c r="AC236" s="203">
        <v>2572500.0</v>
      </c>
      <c r="AD236" s="258">
        <v>46138.0</v>
      </c>
      <c r="AE236" s="204">
        <v>46229.0</v>
      </c>
      <c r="AF236" s="205"/>
      <c r="AG236" s="219"/>
      <c r="AH236" s="219"/>
      <c r="AI236" s="219"/>
      <c r="AJ236" s="219"/>
      <c r="AK236" s="219"/>
      <c r="AL236" s="219"/>
      <c r="AM236" s="219"/>
      <c r="AN236" s="219"/>
      <c r="AO236" s="219"/>
    </row>
    <row r="237">
      <c r="A237" s="193">
        <v>13680.0</v>
      </c>
      <c r="B237" s="194" t="s">
        <v>203</v>
      </c>
      <c r="C237" s="193">
        <v>2026.0</v>
      </c>
      <c r="D237" s="195">
        <v>2048.0</v>
      </c>
      <c r="E237" s="199"/>
      <c r="F237" s="193" t="s">
        <v>204</v>
      </c>
      <c r="G237" s="230">
        <v>46121.0</v>
      </c>
      <c r="H237" s="193">
        <v>259.0</v>
      </c>
      <c r="I237" s="230">
        <v>46121.0</v>
      </c>
      <c r="J237" s="193" t="s">
        <v>351</v>
      </c>
      <c r="K237" s="193" t="s">
        <v>206</v>
      </c>
      <c r="L237" s="194" t="s">
        <v>144</v>
      </c>
      <c r="M237" s="199"/>
      <c r="N237" s="193" t="s">
        <v>207</v>
      </c>
      <c r="O237" s="193" t="s">
        <v>206</v>
      </c>
      <c r="P237" s="193" t="s">
        <v>206</v>
      </c>
      <c r="Q237" s="199"/>
      <c r="R237" s="193" t="s">
        <v>208</v>
      </c>
      <c r="S237" s="193" t="s">
        <v>39</v>
      </c>
      <c r="T237" s="193" t="s">
        <v>294</v>
      </c>
      <c r="U237" s="193" t="s">
        <v>573</v>
      </c>
      <c r="V237" s="193" t="s">
        <v>296</v>
      </c>
      <c r="W237" s="193" t="s">
        <v>212</v>
      </c>
      <c r="X237" s="193" t="s">
        <v>223</v>
      </c>
      <c r="Y237" s="200">
        <v>3.0</v>
      </c>
      <c r="Z237" s="202" t="s">
        <v>214</v>
      </c>
      <c r="AA237" s="202" t="s">
        <v>215</v>
      </c>
      <c r="AB237" s="203">
        <v>1057110.0</v>
      </c>
      <c r="AC237" s="203">
        <v>1057110.0</v>
      </c>
      <c r="AD237" s="285">
        <v>46138.0</v>
      </c>
      <c r="AE237" s="204">
        <v>46229.0</v>
      </c>
      <c r="AF237" s="205"/>
      <c r="AG237" s="219"/>
      <c r="AH237" s="219"/>
      <c r="AI237" s="219"/>
      <c r="AJ237" s="219"/>
      <c r="AK237" s="219"/>
      <c r="AL237" s="219"/>
      <c r="AM237" s="219"/>
      <c r="AN237" s="219"/>
      <c r="AO237" s="219"/>
    </row>
    <row r="238">
      <c r="A238" s="193">
        <v>13700.0</v>
      </c>
      <c r="B238" s="194" t="s">
        <v>203</v>
      </c>
      <c r="C238" s="193">
        <v>2026.0</v>
      </c>
      <c r="D238" s="195">
        <v>2048.0</v>
      </c>
      <c r="E238" s="199"/>
      <c r="F238" s="193" t="s">
        <v>204</v>
      </c>
      <c r="G238" s="198">
        <v>46121.0</v>
      </c>
      <c r="H238" s="193">
        <v>259.0</v>
      </c>
      <c r="I238" s="198">
        <v>46121.0</v>
      </c>
      <c r="J238" s="193" t="s">
        <v>307</v>
      </c>
      <c r="K238" s="193" t="s">
        <v>206</v>
      </c>
      <c r="L238" s="194" t="s">
        <v>144</v>
      </c>
      <c r="M238" s="199"/>
      <c r="N238" s="193" t="s">
        <v>207</v>
      </c>
      <c r="O238" s="193" t="s">
        <v>206</v>
      </c>
      <c r="P238" s="193" t="s">
        <v>206</v>
      </c>
      <c r="Q238" s="199"/>
      <c r="R238" s="193" t="s">
        <v>208</v>
      </c>
      <c r="S238" s="193" t="s">
        <v>39</v>
      </c>
      <c r="T238" s="193" t="s">
        <v>209</v>
      </c>
      <c r="U238" s="193" t="s">
        <v>573</v>
      </c>
      <c r="V238" s="193" t="s">
        <v>211</v>
      </c>
      <c r="W238" s="193" t="s">
        <v>212</v>
      </c>
      <c r="X238" s="193" t="s">
        <v>223</v>
      </c>
      <c r="Y238" s="200">
        <v>3.0</v>
      </c>
      <c r="Z238" s="202" t="s">
        <v>214</v>
      </c>
      <c r="AA238" s="202" t="s">
        <v>215</v>
      </c>
      <c r="AB238" s="203">
        <v>4072680.0</v>
      </c>
      <c r="AC238" s="203">
        <v>4072680.0</v>
      </c>
      <c r="AD238" s="285">
        <v>46138.0</v>
      </c>
      <c r="AE238" s="204">
        <v>46229.0</v>
      </c>
      <c r="AF238" s="205"/>
      <c r="AG238" s="219"/>
      <c r="AH238" s="219"/>
      <c r="AI238" s="219"/>
      <c r="AJ238" s="219"/>
      <c r="AK238" s="219"/>
      <c r="AL238" s="219"/>
      <c r="AM238" s="219"/>
      <c r="AN238" s="219"/>
      <c r="AO238" s="219"/>
    </row>
    <row r="239">
      <c r="A239" s="193">
        <v>13720.0</v>
      </c>
      <c r="B239" s="194" t="s">
        <v>203</v>
      </c>
      <c r="C239" s="193">
        <v>2026.0</v>
      </c>
      <c r="D239" s="195">
        <v>2048.0</v>
      </c>
      <c r="E239" s="199"/>
      <c r="F239" s="193" t="s">
        <v>204</v>
      </c>
      <c r="G239" s="198">
        <v>46191.0</v>
      </c>
      <c r="H239" s="193">
        <v>441.0</v>
      </c>
      <c r="I239" s="198">
        <v>46191.0</v>
      </c>
      <c r="J239" s="193" t="s">
        <v>574</v>
      </c>
      <c r="K239" s="193" t="s">
        <v>206</v>
      </c>
      <c r="L239" s="194" t="s">
        <v>144</v>
      </c>
      <c r="M239" s="199"/>
      <c r="N239" s="193" t="s">
        <v>207</v>
      </c>
      <c r="O239" s="193" t="s">
        <v>206</v>
      </c>
      <c r="P239" s="193" t="s">
        <v>206</v>
      </c>
      <c r="Q239" s="199"/>
      <c r="R239" s="193" t="s">
        <v>219</v>
      </c>
      <c r="S239" s="193" t="s">
        <v>43</v>
      </c>
      <c r="T239" s="193" t="s">
        <v>299</v>
      </c>
      <c r="U239" s="193" t="s">
        <v>575</v>
      </c>
      <c r="V239" s="193" t="s">
        <v>296</v>
      </c>
      <c r="W239" s="193" t="s">
        <v>212</v>
      </c>
      <c r="X239" s="193" t="s">
        <v>223</v>
      </c>
      <c r="Y239" s="200">
        <v>3.0</v>
      </c>
      <c r="Z239" s="202" t="s">
        <v>214</v>
      </c>
      <c r="AA239" s="202" t="s">
        <v>215</v>
      </c>
      <c r="AB239" s="221"/>
      <c r="AC239" s="203">
        <v>619070.0</v>
      </c>
      <c r="AD239" s="276">
        <v>46199.0</v>
      </c>
      <c r="AE239" s="204">
        <v>46291.0</v>
      </c>
      <c r="AF239" s="226" t="s">
        <v>268</v>
      </c>
      <c r="AG239" s="219"/>
      <c r="AH239" s="219"/>
      <c r="AI239" s="219"/>
      <c r="AJ239" s="219"/>
      <c r="AK239" s="219"/>
      <c r="AL239" s="219"/>
      <c r="AM239" s="219"/>
      <c r="AN239" s="219"/>
      <c r="AO239" s="219"/>
    </row>
    <row r="240">
      <c r="A240" s="193">
        <v>13740.0</v>
      </c>
      <c r="B240" s="194" t="s">
        <v>203</v>
      </c>
      <c r="C240" s="193">
        <v>2026.0</v>
      </c>
      <c r="D240" s="195">
        <v>2048.0</v>
      </c>
      <c r="E240" s="199"/>
      <c r="F240" s="193" t="s">
        <v>204</v>
      </c>
      <c r="G240" s="230">
        <v>46191.0</v>
      </c>
      <c r="H240" s="193">
        <v>451.0</v>
      </c>
      <c r="I240" s="223">
        <v>46191.0</v>
      </c>
      <c r="J240" s="193" t="s">
        <v>226</v>
      </c>
      <c r="K240" s="193" t="s">
        <v>206</v>
      </c>
      <c r="L240" s="194" t="s">
        <v>144</v>
      </c>
      <c r="M240" s="199"/>
      <c r="N240" s="193" t="s">
        <v>207</v>
      </c>
      <c r="O240" s="193" t="s">
        <v>206</v>
      </c>
      <c r="P240" s="193" t="s">
        <v>206</v>
      </c>
      <c r="Q240" s="199"/>
      <c r="R240" s="193" t="s">
        <v>219</v>
      </c>
      <c r="S240" s="193" t="s">
        <v>44</v>
      </c>
      <c r="T240" s="193" t="s">
        <v>220</v>
      </c>
      <c r="U240" s="193" t="s">
        <v>576</v>
      </c>
      <c r="V240" s="193" t="s">
        <v>211</v>
      </c>
      <c r="W240" s="193" t="s">
        <v>212</v>
      </c>
      <c r="X240" s="193" t="s">
        <v>213</v>
      </c>
      <c r="Y240" s="200">
        <v>3.0</v>
      </c>
      <c r="Z240" s="202" t="s">
        <v>214</v>
      </c>
      <c r="AA240" s="202" t="s">
        <v>215</v>
      </c>
      <c r="AB240" s="221"/>
      <c r="AC240" s="203">
        <v>332718.75</v>
      </c>
      <c r="AD240" s="276">
        <v>46199.0</v>
      </c>
      <c r="AE240" s="204">
        <v>46260.0</v>
      </c>
      <c r="AF240" s="226" t="s">
        <v>268</v>
      </c>
      <c r="AG240" s="219"/>
      <c r="AH240" s="219"/>
      <c r="AI240" s="219"/>
      <c r="AJ240" s="219"/>
      <c r="AK240" s="219"/>
      <c r="AL240" s="219"/>
      <c r="AM240" s="219"/>
      <c r="AN240" s="219"/>
      <c r="AO240" s="219"/>
    </row>
    <row r="241">
      <c r="A241" s="193">
        <v>13760.0</v>
      </c>
      <c r="B241" s="194" t="s">
        <v>203</v>
      </c>
      <c r="C241" s="193">
        <v>2026.0</v>
      </c>
      <c r="D241" s="193" t="s">
        <v>577</v>
      </c>
      <c r="E241" s="199"/>
      <c r="F241" s="193" t="s">
        <v>204</v>
      </c>
      <c r="G241" s="215">
        <v>46119.0</v>
      </c>
      <c r="H241" s="193" t="s">
        <v>578</v>
      </c>
      <c r="I241" s="215">
        <v>46119.0</v>
      </c>
      <c r="J241" s="193" t="s">
        <v>579</v>
      </c>
      <c r="K241" s="193" t="s">
        <v>206</v>
      </c>
      <c r="L241" s="194" t="s">
        <v>144</v>
      </c>
      <c r="M241" s="199"/>
      <c r="N241" s="193" t="s">
        <v>207</v>
      </c>
      <c r="O241" s="193" t="s">
        <v>206</v>
      </c>
      <c r="P241" s="193" t="s">
        <v>206</v>
      </c>
      <c r="Q241" s="207"/>
      <c r="R241" s="208" t="s">
        <v>312</v>
      </c>
      <c r="S241" s="193" t="s">
        <v>45</v>
      </c>
      <c r="T241" s="193" t="s">
        <v>494</v>
      </c>
      <c r="U241" s="193" t="s">
        <v>573</v>
      </c>
      <c r="V241" s="193" t="s">
        <v>211</v>
      </c>
      <c r="W241" s="193" t="s">
        <v>212</v>
      </c>
      <c r="X241" s="193" t="s">
        <v>223</v>
      </c>
      <c r="Y241" s="200">
        <v>3.0</v>
      </c>
      <c r="Z241" s="202" t="s">
        <v>214</v>
      </c>
      <c r="AA241" s="202" t="s">
        <v>215</v>
      </c>
      <c r="AB241" s="203">
        <v>1704503.0</v>
      </c>
      <c r="AC241" s="203">
        <v>1704503.0</v>
      </c>
      <c r="AD241" s="258">
        <v>46138.0</v>
      </c>
      <c r="AE241" s="204">
        <v>46199.0</v>
      </c>
      <c r="AF241" s="205"/>
      <c r="AG241" s="219"/>
      <c r="AH241" s="219"/>
      <c r="AI241" s="219"/>
      <c r="AJ241" s="219"/>
      <c r="AK241" s="219"/>
      <c r="AL241" s="219"/>
      <c r="AM241" s="219"/>
      <c r="AN241" s="219"/>
      <c r="AO241" s="219"/>
    </row>
    <row r="242">
      <c r="A242" s="193">
        <v>13780.0</v>
      </c>
      <c r="B242" s="194" t="s">
        <v>203</v>
      </c>
      <c r="C242" s="193">
        <v>2026.0</v>
      </c>
      <c r="D242" s="229" t="s">
        <v>258</v>
      </c>
      <c r="E242" s="199"/>
      <c r="F242" s="193" t="s">
        <v>204</v>
      </c>
      <c r="G242" s="198">
        <v>46113.0</v>
      </c>
      <c r="H242" s="193">
        <v>217.0</v>
      </c>
      <c r="I242" s="198">
        <v>46113.0</v>
      </c>
      <c r="J242" s="193" t="s">
        <v>495</v>
      </c>
      <c r="K242" s="193" t="s">
        <v>206</v>
      </c>
      <c r="L242" s="194" t="s">
        <v>144</v>
      </c>
      <c r="M242" s="199"/>
      <c r="N242" s="193" t="s">
        <v>207</v>
      </c>
      <c r="O242" s="193" t="s">
        <v>206</v>
      </c>
      <c r="P242" s="193" t="s">
        <v>206</v>
      </c>
      <c r="Q242" s="207"/>
      <c r="R242" s="208" t="s">
        <v>269</v>
      </c>
      <c r="S242" s="193" t="s">
        <v>49</v>
      </c>
      <c r="T242" s="193" t="s">
        <v>356</v>
      </c>
      <c r="U242" s="193" t="s">
        <v>580</v>
      </c>
      <c r="V242" s="193" t="s">
        <v>211</v>
      </c>
      <c r="W242" s="193" t="s">
        <v>212</v>
      </c>
      <c r="X242" s="193" t="s">
        <v>223</v>
      </c>
      <c r="Y242" s="200">
        <v>3.0</v>
      </c>
      <c r="Z242" s="202" t="s">
        <v>214</v>
      </c>
      <c r="AA242" s="202" t="s">
        <v>215</v>
      </c>
      <c r="AB242" s="203">
        <v>1892821.0</v>
      </c>
      <c r="AC242" s="203">
        <v>1892821.0</v>
      </c>
      <c r="AD242" s="258">
        <v>46138.0</v>
      </c>
      <c r="AE242" s="204">
        <v>46229.0</v>
      </c>
      <c r="AF242" s="205"/>
      <c r="AG242" s="219"/>
      <c r="AH242" s="219"/>
      <c r="AI242" s="219"/>
      <c r="AJ242" s="219"/>
      <c r="AK242" s="219"/>
      <c r="AL242" s="219"/>
      <c r="AM242" s="219"/>
      <c r="AN242" s="219"/>
      <c r="AO242" s="219"/>
    </row>
    <row r="243">
      <c r="A243" s="193">
        <v>13800.0</v>
      </c>
      <c r="B243" s="194" t="s">
        <v>203</v>
      </c>
      <c r="C243" s="193">
        <v>2026.0</v>
      </c>
      <c r="D243" s="195">
        <v>2048.0</v>
      </c>
      <c r="E243" s="196"/>
      <c r="F243" s="193" t="s">
        <v>204</v>
      </c>
      <c r="G243" s="246">
        <v>46213.0</v>
      </c>
      <c r="H243" s="193">
        <v>583.0</v>
      </c>
      <c r="I243" s="223">
        <v>46213.0</v>
      </c>
      <c r="J243" s="193" t="s">
        <v>349</v>
      </c>
      <c r="K243" s="193" t="s">
        <v>206</v>
      </c>
      <c r="L243" s="194" t="s">
        <v>144</v>
      </c>
      <c r="M243" s="199"/>
      <c r="N243" s="193" t="s">
        <v>227</v>
      </c>
      <c r="O243" s="193" t="s">
        <v>206</v>
      </c>
      <c r="P243" s="193" t="s">
        <v>206</v>
      </c>
      <c r="Q243" s="207"/>
      <c r="R243" s="208" t="s">
        <v>228</v>
      </c>
      <c r="S243" s="193" t="s">
        <v>47</v>
      </c>
      <c r="T243" s="193" t="s">
        <v>358</v>
      </c>
      <c r="U243" s="193" t="s">
        <v>581</v>
      </c>
      <c r="V243" s="193" t="s">
        <v>231</v>
      </c>
      <c r="W243" s="193" t="s">
        <v>212</v>
      </c>
      <c r="X243" s="193" t="s">
        <v>232</v>
      </c>
      <c r="Y243" s="200">
        <v>3.0</v>
      </c>
      <c r="Z243" s="202" t="s">
        <v>233</v>
      </c>
      <c r="AA243" s="202" t="s">
        <v>234</v>
      </c>
      <c r="AB243" s="203">
        <v>52631.58</v>
      </c>
      <c r="AC243" s="203">
        <v>266994.73</v>
      </c>
      <c r="AD243" s="204">
        <v>46229.0</v>
      </c>
      <c r="AE243" s="204">
        <v>46049.0</v>
      </c>
      <c r="AF243" s="205"/>
      <c r="AG243" s="206"/>
      <c r="AH243" s="206"/>
      <c r="AI243" s="206"/>
      <c r="AJ243" s="206"/>
      <c r="AK243" s="206"/>
      <c r="AL243" s="206"/>
      <c r="AM243" s="206"/>
      <c r="AN243" s="206"/>
      <c r="AO243" s="206"/>
    </row>
    <row r="244">
      <c r="A244" s="193">
        <v>13820.0</v>
      </c>
      <c r="B244" s="194" t="s">
        <v>203</v>
      </c>
      <c r="C244" s="193">
        <v>2026.0</v>
      </c>
      <c r="D244" s="195">
        <v>2048.0</v>
      </c>
      <c r="E244" s="199"/>
      <c r="F244" s="199"/>
      <c r="G244" s="233"/>
      <c r="H244" s="199"/>
      <c r="I244" s="233"/>
      <c r="J244" s="199"/>
      <c r="K244" s="193" t="s">
        <v>206</v>
      </c>
      <c r="L244" s="194" t="s">
        <v>144</v>
      </c>
      <c r="M244" s="199"/>
      <c r="N244" s="193" t="s">
        <v>337</v>
      </c>
      <c r="O244" s="193" t="s">
        <v>206</v>
      </c>
      <c r="P244" s="193" t="s">
        <v>206</v>
      </c>
      <c r="Q244" s="199"/>
      <c r="R244" s="193" t="s">
        <v>228</v>
      </c>
      <c r="S244" s="193" t="s">
        <v>46</v>
      </c>
      <c r="T244" s="193" t="s">
        <v>358</v>
      </c>
      <c r="U244" s="193" t="s">
        <v>581</v>
      </c>
      <c r="V244" s="193" t="s">
        <v>231</v>
      </c>
      <c r="W244" s="193" t="s">
        <v>212</v>
      </c>
      <c r="X244" s="193" t="s">
        <v>232</v>
      </c>
      <c r="Y244" s="200">
        <v>3.0</v>
      </c>
      <c r="Z244" s="202" t="s">
        <v>233</v>
      </c>
      <c r="AA244" s="202" t="s">
        <v>234</v>
      </c>
      <c r="AB244" s="221"/>
      <c r="AC244" s="203">
        <v>270000.0</v>
      </c>
      <c r="AD244" s="286">
        <v>46352.0</v>
      </c>
      <c r="AE244" s="204">
        <v>46050.0</v>
      </c>
      <c r="AF244" s="205"/>
      <c r="AG244" s="219"/>
      <c r="AH244" s="219"/>
      <c r="AI244" s="219"/>
      <c r="AJ244" s="219"/>
      <c r="AK244" s="219"/>
      <c r="AL244" s="219"/>
      <c r="AM244" s="219"/>
      <c r="AN244" s="219"/>
      <c r="AO244" s="219"/>
    </row>
    <row r="245">
      <c r="A245" s="193">
        <v>13840.0</v>
      </c>
      <c r="B245" s="194" t="s">
        <v>203</v>
      </c>
      <c r="C245" s="193">
        <v>2026.0</v>
      </c>
      <c r="D245" s="195">
        <v>2048.0</v>
      </c>
      <c r="E245" s="199"/>
      <c r="F245" s="193" t="s">
        <v>204</v>
      </c>
      <c r="G245" s="230">
        <v>46105.0</v>
      </c>
      <c r="H245" s="193">
        <v>208.0</v>
      </c>
      <c r="I245" s="215">
        <v>46105.0</v>
      </c>
      <c r="J245" s="252" t="s">
        <v>582</v>
      </c>
      <c r="K245" s="193" t="s">
        <v>206</v>
      </c>
      <c r="L245" s="194" t="s">
        <v>144</v>
      </c>
      <c r="M245" s="199"/>
      <c r="N245" s="193" t="s">
        <v>227</v>
      </c>
      <c r="O245" s="193" t="s">
        <v>206</v>
      </c>
      <c r="P245" s="193" t="s">
        <v>244</v>
      </c>
      <c r="Q245" s="207"/>
      <c r="R245" s="208" t="s">
        <v>228</v>
      </c>
      <c r="S245" s="193" t="s">
        <v>46</v>
      </c>
      <c r="T245" s="193" t="s">
        <v>583</v>
      </c>
      <c r="U245" s="193" t="s">
        <v>584</v>
      </c>
      <c r="V245" s="193" t="s">
        <v>155</v>
      </c>
      <c r="W245" s="193" t="s">
        <v>203</v>
      </c>
      <c r="X245" s="193" t="s">
        <v>252</v>
      </c>
      <c r="Y245" s="200">
        <v>3.0</v>
      </c>
      <c r="Z245" s="202" t="s">
        <v>214</v>
      </c>
      <c r="AA245" s="202" t="s">
        <v>234</v>
      </c>
      <c r="AB245" s="203">
        <v>814263.45</v>
      </c>
      <c r="AC245" s="203">
        <v>4206485.0</v>
      </c>
      <c r="AD245" s="247">
        <v>46107.0</v>
      </c>
      <c r="AE245" s="247">
        <v>46352.0</v>
      </c>
      <c r="AF245" s="205"/>
      <c r="AG245" s="219"/>
      <c r="AH245" s="219"/>
      <c r="AI245" s="219"/>
      <c r="AJ245" s="219"/>
      <c r="AK245" s="219"/>
      <c r="AL245" s="219"/>
      <c r="AM245" s="219"/>
      <c r="AN245" s="219"/>
      <c r="AO245" s="219"/>
    </row>
    <row r="246">
      <c r="A246" s="193">
        <v>13841.0</v>
      </c>
      <c r="B246" s="194" t="s">
        <v>203</v>
      </c>
      <c r="C246" s="193">
        <v>2026.0</v>
      </c>
      <c r="D246" s="195">
        <v>2048.0</v>
      </c>
      <c r="E246" s="199"/>
      <c r="F246" s="199"/>
      <c r="G246" s="235"/>
      <c r="H246" s="199"/>
      <c r="I246" s="235"/>
      <c r="J246" s="199"/>
      <c r="K246" s="193" t="s">
        <v>206</v>
      </c>
      <c r="L246" s="194" t="s">
        <v>144</v>
      </c>
      <c r="M246" s="199"/>
      <c r="N246" s="193" t="s">
        <v>227</v>
      </c>
      <c r="O246" s="193" t="s">
        <v>206</v>
      </c>
      <c r="P246" s="193" t="s">
        <v>244</v>
      </c>
      <c r="Q246" s="207"/>
      <c r="R246" s="208" t="s">
        <v>228</v>
      </c>
      <c r="S246" s="193" t="s">
        <v>46</v>
      </c>
      <c r="T246" s="193" t="s">
        <v>583</v>
      </c>
      <c r="U246" s="193" t="s">
        <v>584</v>
      </c>
      <c r="V246" s="193" t="s">
        <v>155</v>
      </c>
      <c r="W246" s="193" t="s">
        <v>203</v>
      </c>
      <c r="X246" s="193" t="s">
        <v>252</v>
      </c>
      <c r="Y246" s="200">
        <v>3.0</v>
      </c>
      <c r="Z246" s="202" t="s">
        <v>233</v>
      </c>
      <c r="AA246" s="202" t="s">
        <v>234</v>
      </c>
      <c r="AB246" s="203">
        <v>193.65</v>
      </c>
      <c r="AC246" s="203" t="s">
        <v>275</v>
      </c>
      <c r="AD246" s="204">
        <v>46107.0</v>
      </c>
      <c r="AE246" s="247">
        <v>46352.0</v>
      </c>
      <c r="AF246" s="205"/>
      <c r="AG246" s="219"/>
      <c r="AH246" s="219"/>
      <c r="AI246" s="219"/>
      <c r="AJ246" s="219"/>
      <c r="AK246" s="219"/>
      <c r="AL246" s="219"/>
      <c r="AM246" s="219"/>
      <c r="AN246" s="219"/>
      <c r="AO246" s="219"/>
    </row>
    <row r="247">
      <c r="A247" s="193">
        <v>13842.0</v>
      </c>
      <c r="B247" s="194" t="s">
        <v>203</v>
      </c>
      <c r="C247" s="193">
        <v>2026.0</v>
      </c>
      <c r="D247" s="195">
        <v>2048.0</v>
      </c>
      <c r="E247" s="199"/>
      <c r="F247" s="193" t="s">
        <v>204</v>
      </c>
      <c r="G247" s="230">
        <v>46121.0</v>
      </c>
      <c r="H247" s="193">
        <v>279.0</v>
      </c>
      <c r="I247" s="223">
        <v>46121.0</v>
      </c>
      <c r="J247" s="252" t="s">
        <v>226</v>
      </c>
      <c r="K247" s="193" t="s">
        <v>206</v>
      </c>
      <c r="L247" s="194" t="s">
        <v>144</v>
      </c>
      <c r="M247" s="199"/>
      <c r="N247" s="193" t="s">
        <v>227</v>
      </c>
      <c r="O247" s="193" t="s">
        <v>206</v>
      </c>
      <c r="P247" s="193" t="s">
        <v>244</v>
      </c>
      <c r="Q247" s="199"/>
      <c r="R247" s="193" t="s">
        <v>228</v>
      </c>
      <c r="S247" s="193" t="s">
        <v>46</v>
      </c>
      <c r="T247" s="193" t="s">
        <v>583</v>
      </c>
      <c r="U247" s="193" t="s">
        <v>584</v>
      </c>
      <c r="V247" s="193" t="s">
        <v>155</v>
      </c>
      <c r="W247" s="193" t="s">
        <v>203</v>
      </c>
      <c r="X247" s="193" t="s">
        <v>252</v>
      </c>
      <c r="Y247" s="200">
        <v>3.0</v>
      </c>
      <c r="Z247" s="202" t="s">
        <v>214</v>
      </c>
      <c r="AA247" s="202" t="s">
        <v>234</v>
      </c>
      <c r="AB247" s="203">
        <v>117962.73</v>
      </c>
      <c r="AC247" s="203">
        <v>592515.0</v>
      </c>
      <c r="AD247" s="258">
        <v>46138.0</v>
      </c>
      <c r="AE247" s="247">
        <v>46352.0</v>
      </c>
      <c r="AF247" s="205"/>
      <c r="AG247" s="219"/>
      <c r="AH247" s="206"/>
      <c r="AI247" s="206"/>
      <c r="AJ247" s="206"/>
      <c r="AK247" s="206"/>
      <c r="AL247" s="206"/>
      <c r="AM247" s="206"/>
      <c r="AN247" s="206"/>
      <c r="AO247" s="206"/>
    </row>
    <row r="248">
      <c r="A248" s="193">
        <v>13860.0</v>
      </c>
      <c r="B248" s="194" t="s">
        <v>203</v>
      </c>
      <c r="C248" s="193">
        <v>2026.0</v>
      </c>
      <c r="D248" s="195">
        <v>2048.0</v>
      </c>
      <c r="E248" s="193">
        <v>143.0</v>
      </c>
      <c r="F248" s="199"/>
      <c r="G248" s="248"/>
      <c r="H248" s="199"/>
      <c r="I248" s="235"/>
      <c r="J248" s="199"/>
      <c r="K248" s="193" t="s">
        <v>206</v>
      </c>
      <c r="L248" s="194" t="s">
        <v>144</v>
      </c>
      <c r="M248" s="199"/>
      <c r="N248" s="193" t="s">
        <v>207</v>
      </c>
      <c r="O248" s="193" t="s">
        <v>206</v>
      </c>
      <c r="P248" s="193" t="s">
        <v>244</v>
      </c>
      <c r="Q248" s="199"/>
      <c r="R248" s="193" t="s">
        <v>228</v>
      </c>
      <c r="S248" s="193" t="s">
        <v>46</v>
      </c>
      <c r="T248" s="193" t="s">
        <v>313</v>
      </c>
      <c r="U248" s="193" t="s">
        <v>585</v>
      </c>
      <c r="V248" s="193" t="s">
        <v>155</v>
      </c>
      <c r="W248" s="193" t="s">
        <v>203</v>
      </c>
      <c r="X248" s="193" t="s">
        <v>252</v>
      </c>
      <c r="Y248" s="200">
        <v>3.0</v>
      </c>
      <c r="Z248" s="202" t="s">
        <v>233</v>
      </c>
      <c r="AA248" s="202" t="s">
        <v>215</v>
      </c>
      <c r="AB248" s="203">
        <v>542580.09</v>
      </c>
      <c r="AC248" s="203">
        <v>542580.09</v>
      </c>
      <c r="AD248" s="204">
        <v>46199.0</v>
      </c>
      <c r="AE248" s="204">
        <v>46229.0</v>
      </c>
      <c r="AF248" s="226" t="s">
        <v>586</v>
      </c>
      <c r="AG248" s="219"/>
      <c r="AH248" s="219"/>
      <c r="AI248" s="219"/>
      <c r="AJ248" s="219"/>
      <c r="AK248" s="219"/>
      <c r="AL248" s="219"/>
      <c r="AM248" s="219"/>
      <c r="AN248" s="219"/>
      <c r="AO248" s="219"/>
    </row>
    <row r="249">
      <c r="A249" s="193">
        <v>13880.0</v>
      </c>
      <c r="B249" s="194" t="s">
        <v>203</v>
      </c>
      <c r="C249" s="193">
        <v>2026.0</v>
      </c>
      <c r="D249" s="195">
        <v>2048.0</v>
      </c>
      <c r="E249" s="193">
        <v>76.0</v>
      </c>
      <c r="F249" s="208" t="s">
        <v>272</v>
      </c>
      <c r="G249" s="248"/>
      <c r="H249" s="199"/>
      <c r="I249" s="220"/>
      <c r="J249" s="199"/>
      <c r="K249" s="193" t="s">
        <v>206</v>
      </c>
      <c r="L249" s="194" t="s">
        <v>144</v>
      </c>
      <c r="M249" s="199"/>
      <c r="N249" s="193" t="s">
        <v>227</v>
      </c>
      <c r="O249" s="193" t="s">
        <v>206</v>
      </c>
      <c r="P249" s="193" t="s">
        <v>244</v>
      </c>
      <c r="Q249" s="199"/>
      <c r="R249" s="193" t="s">
        <v>228</v>
      </c>
      <c r="S249" s="193" t="s">
        <v>46</v>
      </c>
      <c r="T249" s="193" t="s">
        <v>229</v>
      </c>
      <c r="U249" s="193" t="s">
        <v>587</v>
      </c>
      <c r="V249" s="193" t="s">
        <v>155</v>
      </c>
      <c r="W249" s="193" t="s">
        <v>203</v>
      </c>
      <c r="X249" s="193" t="s">
        <v>232</v>
      </c>
      <c r="Y249" s="200">
        <v>3.0</v>
      </c>
      <c r="Z249" s="202" t="s">
        <v>233</v>
      </c>
      <c r="AA249" s="202" t="s">
        <v>234</v>
      </c>
      <c r="AB249" s="221"/>
      <c r="AC249" s="203" t="s">
        <v>275</v>
      </c>
      <c r="AD249" s="249">
        <v>46291.0</v>
      </c>
      <c r="AE249" s="251">
        <v>46382.0</v>
      </c>
      <c r="AF249" s="226" t="s">
        <v>588</v>
      </c>
      <c r="AG249" s="219"/>
      <c r="AH249" s="219"/>
      <c r="AI249" s="219"/>
      <c r="AJ249" s="219"/>
      <c r="AK249" s="219"/>
      <c r="AL249" s="219"/>
      <c r="AM249" s="219"/>
      <c r="AN249" s="219"/>
      <c r="AO249" s="219"/>
    </row>
    <row r="250">
      <c r="A250" s="193">
        <v>13900.0</v>
      </c>
      <c r="B250" s="194" t="s">
        <v>203</v>
      </c>
      <c r="C250" s="193">
        <v>2026.0</v>
      </c>
      <c r="D250" s="195">
        <v>2048.0</v>
      </c>
      <c r="E250" s="193">
        <v>140.0</v>
      </c>
      <c r="F250" s="193" t="s">
        <v>272</v>
      </c>
      <c r="G250" s="248"/>
      <c r="H250" s="199"/>
      <c r="I250" s="235"/>
      <c r="J250" s="199"/>
      <c r="K250" s="193" t="s">
        <v>206</v>
      </c>
      <c r="L250" s="194" t="s">
        <v>144</v>
      </c>
      <c r="M250" s="199"/>
      <c r="N250" s="193" t="s">
        <v>227</v>
      </c>
      <c r="O250" s="193" t="s">
        <v>206</v>
      </c>
      <c r="P250" s="193" t="s">
        <v>244</v>
      </c>
      <c r="Q250" s="199"/>
      <c r="R250" s="193" t="s">
        <v>228</v>
      </c>
      <c r="S250" s="193" t="s">
        <v>46</v>
      </c>
      <c r="T250" s="193" t="s">
        <v>245</v>
      </c>
      <c r="U250" s="193" t="s">
        <v>589</v>
      </c>
      <c r="V250" s="193" t="s">
        <v>155</v>
      </c>
      <c r="W250" s="193" t="s">
        <v>203</v>
      </c>
      <c r="X250" s="193" t="s">
        <v>232</v>
      </c>
      <c r="Y250" s="200">
        <v>3.0</v>
      </c>
      <c r="Z250" s="202" t="s">
        <v>214</v>
      </c>
      <c r="AA250" s="202" t="s">
        <v>234</v>
      </c>
      <c r="AB250" s="221"/>
      <c r="AC250" s="203" t="s">
        <v>275</v>
      </c>
      <c r="AD250" s="257">
        <v>46321.0</v>
      </c>
      <c r="AE250" s="251">
        <v>46230.0</v>
      </c>
      <c r="AF250" s="226" t="s">
        <v>435</v>
      </c>
      <c r="AG250" s="219"/>
      <c r="AH250" s="206"/>
      <c r="AI250" s="206"/>
      <c r="AJ250" s="206"/>
      <c r="AK250" s="206"/>
      <c r="AL250" s="206"/>
      <c r="AM250" s="206"/>
      <c r="AN250" s="206"/>
      <c r="AO250" s="206"/>
    </row>
    <row r="251">
      <c r="A251" s="193">
        <v>13920.0</v>
      </c>
      <c r="B251" s="194" t="s">
        <v>203</v>
      </c>
      <c r="C251" s="193">
        <v>2026.0</v>
      </c>
      <c r="D251" s="195">
        <v>2048.0</v>
      </c>
      <c r="E251" s="193" t="s">
        <v>590</v>
      </c>
      <c r="F251" s="199"/>
      <c r="G251" s="248"/>
      <c r="H251" s="199"/>
      <c r="I251" s="220"/>
      <c r="J251" s="199"/>
      <c r="K251" s="243" t="s">
        <v>206</v>
      </c>
      <c r="L251" s="194" t="s">
        <v>144</v>
      </c>
      <c r="M251" s="199"/>
      <c r="N251" s="193" t="s">
        <v>207</v>
      </c>
      <c r="O251" s="193" t="s">
        <v>206</v>
      </c>
      <c r="P251" s="193" t="s">
        <v>244</v>
      </c>
      <c r="Q251" s="199"/>
      <c r="R251" s="193" t="s">
        <v>208</v>
      </c>
      <c r="S251" s="193" t="s">
        <v>39</v>
      </c>
      <c r="T251" s="193" t="s">
        <v>419</v>
      </c>
      <c r="U251" s="193" t="s">
        <v>591</v>
      </c>
      <c r="V251" s="193" t="s">
        <v>155</v>
      </c>
      <c r="W251" s="193" t="s">
        <v>203</v>
      </c>
      <c r="X251" s="193" t="s">
        <v>232</v>
      </c>
      <c r="Y251" s="200">
        <v>3.0</v>
      </c>
      <c r="Z251" s="202" t="s">
        <v>233</v>
      </c>
      <c r="AA251" s="202" t="s">
        <v>215</v>
      </c>
      <c r="AB251" s="203">
        <v>195946.0</v>
      </c>
      <c r="AC251" s="203">
        <v>195946.0</v>
      </c>
      <c r="AD251" s="257">
        <v>46291.0</v>
      </c>
      <c r="AE251" s="251">
        <v>46352.0</v>
      </c>
      <c r="AF251" s="226" t="s">
        <v>592</v>
      </c>
      <c r="AG251" s="219"/>
      <c r="AH251" s="206"/>
      <c r="AI251" s="206"/>
      <c r="AJ251" s="206"/>
      <c r="AK251" s="206"/>
      <c r="AL251" s="206"/>
      <c r="AM251" s="206"/>
      <c r="AN251" s="206"/>
      <c r="AO251" s="206"/>
    </row>
    <row r="252">
      <c r="A252" s="193">
        <v>13921.0</v>
      </c>
      <c r="B252" s="194" t="s">
        <v>203</v>
      </c>
      <c r="C252" s="193">
        <v>2026.0</v>
      </c>
      <c r="D252" s="195">
        <v>2048.0</v>
      </c>
      <c r="E252" s="199"/>
      <c r="F252" s="193" t="s">
        <v>204</v>
      </c>
      <c r="G252" s="198">
        <v>46149.0</v>
      </c>
      <c r="H252" s="193">
        <v>400.0</v>
      </c>
      <c r="I252" s="223">
        <v>46149.0</v>
      </c>
      <c r="J252" s="193" t="s">
        <v>533</v>
      </c>
      <c r="K252" s="193" t="s">
        <v>206</v>
      </c>
      <c r="L252" s="194" t="s">
        <v>144</v>
      </c>
      <c r="M252" s="199"/>
      <c r="N252" s="193" t="s">
        <v>227</v>
      </c>
      <c r="O252" s="193" t="s">
        <v>206</v>
      </c>
      <c r="P252" s="193" t="s">
        <v>244</v>
      </c>
      <c r="Q252" s="207"/>
      <c r="R252" s="208" t="s">
        <v>208</v>
      </c>
      <c r="S252" s="193" t="s">
        <v>39</v>
      </c>
      <c r="T252" s="193" t="s">
        <v>320</v>
      </c>
      <c r="U252" s="193" t="s">
        <v>593</v>
      </c>
      <c r="V252" s="193" t="s">
        <v>155</v>
      </c>
      <c r="W252" s="193" t="s">
        <v>203</v>
      </c>
      <c r="X252" s="193" t="s">
        <v>232</v>
      </c>
      <c r="Y252" s="200">
        <v>3.0</v>
      </c>
      <c r="Z252" s="202" t="s">
        <v>233</v>
      </c>
      <c r="AA252" s="202" t="s">
        <v>234</v>
      </c>
      <c r="AB252" s="203">
        <v>24010.8</v>
      </c>
      <c r="AC252" s="203">
        <v>117578.49</v>
      </c>
      <c r="AD252" s="204">
        <v>46168.0</v>
      </c>
      <c r="AE252" s="204">
        <v>46168.0</v>
      </c>
      <c r="AF252" s="226" t="s">
        <v>594</v>
      </c>
      <c r="AG252" s="219"/>
      <c r="AH252" s="219"/>
      <c r="AI252" s="219"/>
      <c r="AJ252" s="219"/>
      <c r="AK252" s="219"/>
      <c r="AL252" s="219"/>
      <c r="AM252" s="219"/>
      <c r="AN252" s="219"/>
      <c r="AO252" s="219"/>
    </row>
    <row r="253">
      <c r="A253" s="193">
        <v>13940.0</v>
      </c>
      <c r="B253" s="194" t="s">
        <v>203</v>
      </c>
      <c r="C253" s="193">
        <v>2026.0</v>
      </c>
      <c r="D253" s="195">
        <v>2048.0</v>
      </c>
      <c r="E253" s="199"/>
      <c r="F253" s="193" t="s">
        <v>204</v>
      </c>
      <c r="G253" s="198">
        <v>46192.0</v>
      </c>
      <c r="H253" s="193">
        <v>480.0</v>
      </c>
      <c r="I253" s="198">
        <v>46195.0</v>
      </c>
      <c r="J253" s="193" t="s">
        <v>595</v>
      </c>
      <c r="K253" s="193" t="s">
        <v>206</v>
      </c>
      <c r="L253" s="194" t="s">
        <v>144</v>
      </c>
      <c r="M253" s="199"/>
      <c r="N253" s="193" t="s">
        <v>227</v>
      </c>
      <c r="O253" s="193" t="s">
        <v>206</v>
      </c>
      <c r="P253" s="193" t="s">
        <v>244</v>
      </c>
      <c r="Q253" s="207"/>
      <c r="R253" s="208" t="s">
        <v>208</v>
      </c>
      <c r="S253" s="193" t="s">
        <v>39</v>
      </c>
      <c r="T253" s="193" t="s">
        <v>390</v>
      </c>
      <c r="U253" s="193" t="s">
        <v>596</v>
      </c>
      <c r="V253" s="193" t="s">
        <v>155</v>
      </c>
      <c r="W253" s="193" t="s">
        <v>203</v>
      </c>
      <c r="X253" s="193" t="s">
        <v>252</v>
      </c>
      <c r="Y253" s="200">
        <v>3.0</v>
      </c>
      <c r="Z253" s="202" t="s">
        <v>214</v>
      </c>
      <c r="AA253" s="202" t="s">
        <v>234</v>
      </c>
      <c r="AB253" s="221"/>
      <c r="AC253" s="203">
        <v>8000000.0</v>
      </c>
      <c r="AD253" s="204">
        <v>46199.0</v>
      </c>
      <c r="AE253" s="204">
        <v>46321.0</v>
      </c>
      <c r="AF253" s="205"/>
      <c r="AG253" s="219"/>
      <c r="AH253" s="219"/>
      <c r="AI253" s="219"/>
      <c r="AJ253" s="219"/>
      <c r="AK253" s="219"/>
      <c r="AL253" s="219"/>
      <c r="AM253" s="219"/>
      <c r="AN253" s="219"/>
      <c r="AO253" s="219"/>
    </row>
    <row r="254">
      <c r="A254" s="193">
        <v>13960.0</v>
      </c>
      <c r="B254" s="194" t="s">
        <v>203</v>
      </c>
      <c r="C254" s="193">
        <v>2026.0</v>
      </c>
      <c r="D254" s="195">
        <v>2048.0</v>
      </c>
      <c r="E254" s="199"/>
      <c r="F254" s="193" t="s">
        <v>204</v>
      </c>
      <c r="G254" s="297">
        <v>46258.0</v>
      </c>
      <c r="H254" s="252">
        <v>12817.0</v>
      </c>
      <c r="I254" s="265">
        <v>46258.0</v>
      </c>
      <c r="J254" s="193" t="s">
        <v>404</v>
      </c>
      <c r="K254" s="193" t="s">
        <v>206</v>
      </c>
      <c r="L254" s="194" t="s">
        <v>144</v>
      </c>
      <c r="M254" s="199"/>
      <c r="N254" s="193" t="s">
        <v>207</v>
      </c>
      <c r="O254" s="193" t="s">
        <v>206</v>
      </c>
      <c r="P254" s="193" t="s">
        <v>244</v>
      </c>
      <c r="Q254" s="207"/>
      <c r="R254" s="208" t="s">
        <v>208</v>
      </c>
      <c r="S254" s="193" t="s">
        <v>39</v>
      </c>
      <c r="T254" s="193" t="s">
        <v>250</v>
      </c>
      <c r="U254" s="193" t="s">
        <v>597</v>
      </c>
      <c r="V254" s="193" t="s">
        <v>155</v>
      </c>
      <c r="W254" s="193" t="s">
        <v>203</v>
      </c>
      <c r="X254" s="193" t="s">
        <v>252</v>
      </c>
      <c r="Y254" s="200">
        <v>3.0</v>
      </c>
      <c r="Z254" s="202" t="s">
        <v>214</v>
      </c>
      <c r="AA254" s="202" t="s">
        <v>215</v>
      </c>
      <c r="AB254" s="203">
        <v>1950000.0</v>
      </c>
      <c r="AC254" s="203">
        <v>1950000.0</v>
      </c>
      <c r="AD254" s="204">
        <v>46260.0</v>
      </c>
      <c r="AE254" s="204">
        <v>46291.0</v>
      </c>
      <c r="AF254" s="226" t="s">
        <v>598</v>
      </c>
      <c r="AG254" s="219"/>
      <c r="AH254" s="219"/>
      <c r="AI254" s="219"/>
      <c r="AJ254" s="219"/>
      <c r="AK254" s="219"/>
      <c r="AL254" s="219"/>
      <c r="AM254" s="219"/>
      <c r="AN254" s="219"/>
      <c r="AO254" s="219"/>
    </row>
    <row r="255">
      <c r="A255" s="193">
        <v>13980.0</v>
      </c>
      <c r="B255" s="232" t="s">
        <v>264</v>
      </c>
      <c r="C255" s="193">
        <v>2026.0</v>
      </c>
      <c r="D255" s="199"/>
      <c r="E255" s="199"/>
      <c r="F255" s="193" t="s">
        <v>265</v>
      </c>
      <c r="G255" s="233"/>
      <c r="H255" s="199"/>
      <c r="I255" s="237"/>
      <c r="J255" s="199"/>
      <c r="K255" s="193" t="s">
        <v>206</v>
      </c>
      <c r="L255" s="234" t="s">
        <v>145</v>
      </c>
      <c r="M255" s="199"/>
      <c r="N255" s="193" t="s">
        <v>337</v>
      </c>
      <c r="O255" s="193" t="s">
        <v>206</v>
      </c>
      <c r="P255" s="193" t="s">
        <v>206</v>
      </c>
      <c r="Q255" s="207"/>
      <c r="R255" s="208" t="s">
        <v>219</v>
      </c>
      <c r="S255" s="193" t="s">
        <v>43</v>
      </c>
      <c r="T255" s="193" t="s">
        <v>358</v>
      </c>
      <c r="U255" s="193" t="s">
        <v>581</v>
      </c>
      <c r="V255" s="193" t="s">
        <v>231</v>
      </c>
      <c r="W255" s="193" t="s">
        <v>212</v>
      </c>
      <c r="X255" s="193" t="s">
        <v>232</v>
      </c>
      <c r="Y255" s="200">
        <v>3.0</v>
      </c>
      <c r="Z255" s="202" t="s">
        <v>233</v>
      </c>
      <c r="AA255" s="202" t="s">
        <v>234</v>
      </c>
      <c r="AB255" s="221"/>
      <c r="AC255" s="203">
        <v>750000.0</v>
      </c>
      <c r="AD255" s="204">
        <v>46291.0</v>
      </c>
      <c r="AE255" s="247">
        <v>46352.0</v>
      </c>
      <c r="AF255" s="205"/>
      <c r="AG255" s="206"/>
      <c r="AH255" s="206"/>
      <c r="AI255" s="206"/>
      <c r="AJ255" s="206"/>
      <c r="AK255" s="206"/>
      <c r="AL255" s="206"/>
      <c r="AM255" s="206"/>
      <c r="AN255" s="206"/>
      <c r="AO255" s="206"/>
    </row>
    <row r="256">
      <c r="A256" s="193">
        <v>14000.0</v>
      </c>
      <c r="B256" s="194" t="s">
        <v>203</v>
      </c>
      <c r="C256" s="193">
        <v>2026.0</v>
      </c>
      <c r="D256" s="195">
        <v>2048.0</v>
      </c>
      <c r="E256" s="199"/>
      <c r="F256" s="193" t="s">
        <v>204</v>
      </c>
      <c r="G256" s="198">
        <v>46098.0</v>
      </c>
      <c r="H256" s="193">
        <v>177.0</v>
      </c>
      <c r="I256" s="198">
        <v>46098.0</v>
      </c>
      <c r="J256" s="193" t="s">
        <v>599</v>
      </c>
      <c r="K256" s="193" t="s">
        <v>206</v>
      </c>
      <c r="L256" s="194" t="s">
        <v>144</v>
      </c>
      <c r="M256" s="199"/>
      <c r="N256" s="193" t="s">
        <v>207</v>
      </c>
      <c r="O256" s="193" t="s">
        <v>206</v>
      </c>
      <c r="P256" s="193" t="s">
        <v>244</v>
      </c>
      <c r="Q256" s="207"/>
      <c r="R256" s="208" t="s">
        <v>219</v>
      </c>
      <c r="S256" s="193" t="s">
        <v>43</v>
      </c>
      <c r="T256" s="193" t="s">
        <v>512</v>
      </c>
      <c r="U256" s="193" t="s">
        <v>600</v>
      </c>
      <c r="V256" s="193" t="s">
        <v>155</v>
      </c>
      <c r="W256" s="193" t="s">
        <v>203</v>
      </c>
      <c r="X256" s="193" t="s">
        <v>252</v>
      </c>
      <c r="Y256" s="200">
        <v>3.0</v>
      </c>
      <c r="Z256" s="202" t="s">
        <v>214</v>
      </c>
      <c r="AA256" s="202" t="s">
        <v>215</v>
      </c>
      <c r="AB256" s="203">
        <v>3800000.0</v>
      </c>
      <c r="AC256" s="203">
        <v>3800000.0</v>
      </c>
      <c r="AD256" s="204">
        <v>46107.0</v>
      </c>
      <c r="AE256" s="247">
        <v>46291.0</v>
      </c>
      <c r="AF256" s="205"/>
      <c r="AG256" s="219"/>
      <c r="AH256" s="219"/>
      <c r="AI256" s="219"/>
      <c r="AJ256" s="219"/>
      <c r="AK256" s="219"/>
      <c r="AL256" s="219"/>
      <c r="AM256" s="219"/>
      <c r="AN256" s="219"/>
      <c r="AO256" s="219"/>
    </row>
    <row r="257">
      <c r="A257" s="193">
        <v>14020.0</v>
      </c>
      <c r="B257" s="194" t="s">
        <v>203</v>
      </c>
      <c r="C257" s="193">
        <v>2026.0</v>
      </c>
      <c r="D257" s="195">
        <v>2048.0</v>
      </c>
      <c r="E257" s="193">
        <v>128.0</v>
      </c>
      <c r="F257" s="193" t="s">
        <v>272</v>
      </c>
      <c r="G257" s="235"/>
      <c r="H257" s="199"/>
      <c r="I257" s="235"/>
      <c r="J257" s="199"/>
      <c r="K257" s="193" t="s">
        <v>206</v>
      </c>
      <c r="L257" s="194" t="s">
        <v>144</v>
      </c>
      <c r="M257" s="199"/>
      <c r="N257" s="193" t="s">
        <v>227</v>
      </c>
      <c r="O257" s="193" t="s">
        <v>206</v>
      </c>
      <c r="P257" s="193" t="s">
        <v>244</v>
      </c>
      <c r="Q257" s="207"/>
      <c r="R257" s="208" t="s">
        <v>219</v>
      </c>
      <c r="S257" s="193" t="s">
        <v>43</v>
      </c>
      <c r="T257" s="193" t="s">
        <v>245</v>
      </c>
      <c r="U257" s="193" t="s">
        <v>601</v>
      </c>
      <c r="V257" s="193" t="s">
        <v>155</v>
      </c>
      <c r="W257" s="193" t="s">
        <v>203</v>
      </c>
      <c r="X257" s="193" t="s">
        <v>232</v>
      </c>
      <c r="Y257" s="200">
        <v>3.0</v>
      </c>
      <c r="Z257" s="202" t="s">
        <v>214</v>
      </c>
      <c r="AA257" s="202" t="s">
        <v>234</v>
      </c>
      <c r="AB257" s="221"/>
      <c r="AC257" s="203" t="s">
        <v>275</v>
      </c>
      <c r="AD257" s="249">
        <v>46321.0</v>
      </c>
      <c r="AE257" s="251">
        <v>46230.0</v>
      </c>
      <c r="AF257" s="226" t="s">
        <v>435</v>
      </c>
      <c r="AG257" s="219"/>
      <c r="AH257" s="219"/>
      <c r="AI257" s="219"/>
      <c r="AJ257" s="219"/>
      <c r="AK257" s="219"/>
      <c r="AL257" s="219"/>
      <c r="AM257" s="219"/>
      <c r="AN257" s="219"/>
      <c r="AO257" s="219"/>
    </row>
    <row r="258">
      <c r="A258" s="193">
        <v>14040.0</v>
      </c>
      <c r="B258" s="194" t="s">
        <v>203</v>
      </c>
      <c r="C258" s="193">
        <v>2026.0</v>
      </c>
      <c r="D258" s="195">
        <v>2048.0</v>
      </c>
      <c r="E258" s="193">
        <v>129.0</v>
      </c>
      <c r="F258" s="193" t="s">
        <v>272</v>
      </c>
      <c r="G258" s="248"/>
      <c r="H258" s="199"/>
      <c r="I258" s="235"/>
      <c r="J258" s="199"/>
      <c r="K258" s="193" t="s">
        <v>206</v>
      </c>
      <c r="L258" s="194" t="s">
        <v>144</v>
      </c>
      <c r="M258" s="199"/>
      <c r="N258" s="193" t="s">
        <v>227</v>
      </c>
      <c r="O258" s="193" t="s">
        <v>206</v>
      </c>
      <c r="P258" s="193" t="s">
        <v>244</v>
      </c>
      <c r="Q258" s="199"/>
      <c r="R258" s="193" t="s">
        <v>219</v>
      </c>
      <c r="S258" s="193" t="s">
        <v>43</v>
      </c>
      <c r="T258" s="193" t="s">
        <v>245</v>
      </c>
      <c r="U258" s="193" t="s">
        <v>602</v>
      </c>
      <c r="V258" s="193" t="s">
        <v>155</v>
      </c>
      <c r="W258" s="193" t="s">
        <v>203</v>
      </c>
      <c r="X258" s="193" t="s">
        <v>232</v>
      </c>
      <c r="Y258" s="200">
        <v>3.0</v>
      </c>
      <c r="Z258" s="202" t="s">
        <v>214</v>
      </c>
      <c r="AA258" s="202" t="s">
        <v>234</v>
      </c>
      <c r="AB258" s="221"/>
      <c r="AC258" s="281" t="s">
        <v>275</v>
      </c>
      <c r="AD258" s="249">
        <v>46321.0</v>
      </c>
      <c r="AE258" s="251">
        <v>46230.0</v>
      </c>
      <c r="AF258" s="226" t="s">
        <v>435</v>
      </c>
      <c r="AG258" s="219"/>
      <c r="AH258" s="219"/>
      <c r="AI258" s="219"/>
      <c r="AJ258" s="219"/>
      <c r="AK258" s="219"/>
      <c r="AL258" s="219"/>
      <c r="AM258" s="219"/>
      <c r="AN258" s="219"/>
      <c r="AO258" s="219"/>
    </row>
    <row r="259">
      <c r="A259" s="193">
        <v>14060.0</v>
      </c>
      <c r="B259" s="232" t="s">
        <v>264</v>
      </c>
      <c r="C259" s="193">
        <v>2026.0</v>
      </c>
      <c r="D259" s="199"/>
      <c r="E259" s="199"/>
      <c r="F259" s="199"/>
      <c r="G259" s="233"/>
      <c r="H259" s="199"/>
      <c r="I259" s="220"/>
      <c r="J259" s="199"/>
      <c r="K259" s="193" t="s">
        <v>206</v>
      </c>
      <c r="L259" s="234" t="s">
        <v>145</v>
      </c>
      <c r="M259" s="199"/>
      <c r="N259" s="193" t="s">
        <v>337</v>
      </c>
      <c r="O259" s="193" t="s">
        <v>206</v>
      </c>
      <c r="P259" s="193" t="s">
        <v>206</v>
      </c>
      <c r="Q259" s="199"/>
      <c r="R259" s="193" t="s">
        <v>279</v>
      </c>
      <c r="S259" s="193" t="s">
        <v>50</v>
      </c>
      <c r="T259" s="193" t="s">
        <v>358</v>
      </c>
      <c r="U259" s="193" t="s">
        <v>550</v>
      </c>
      <c r="V259" s="193" t="s">
        <v>50</v>
      </c>
      <c r="W259" s="193" t="s">
        <v>264</v>
      </c>
      <c r="X259" s="193" t="s">
        <v>232</v>
      </c>
      <c r="Y259" s="200">
        <v>3.0</v>
      </c>
      <c r="Z259" s="202" t="s">
        <v>233</v>
      </c>
      <c r="AA259" s="202" t="s">
        <v>234</v>
      </c>
      <c r="AB259" s="221"/>
      <c r="AC259" s="203">
        <v>500000.0</v>
      </c>
      <c r="AD259" s="204">
        <v>46168.0</v>
      </c>
      <c r="AE259" s="204">
        <v>46229.0</v>
      </c>
      <c r="AF259" s="205"/>
      <c r="AG259" s="219"/>
      <c r="AH259" s="219"/>
      <c r="AI259" s="219"/>
      <c r="AJ259" s="219"/>
      <c r="AK259" s="219"/>
      <c r="AL259" s="219"/>
      <c r="AM259" s="219"/>
      <c r="AN259" s="219"/>
      <c r="AO259" s="219"/>
    </row>
    <row r="260">
      <c r="A260" s="193">
        <v>14080.0</v>
      </c>
      <c r="B260" s="194" t="s">
        <v>203</v>
      </c>
      <c r="C260" s="193">
        <v>2026.0</v>
      </c>
      <c r="D260" s="195">
        <v>2048.0</v>
      </c>
      <c r="E260" s="199"/>
      <c r="F260" s="193" t="s">
        <v>204</v>
      </c>
      <c r="G260" s="198">
        <v>46265.0</v>
      </c>
      <c r="H260" s="193">
        <v>13250.0</v>
      </c>
      <c r="I260" s="198">
        <v>46265.0</v>
      </c>
      <c r="J260" s="193" t="s">
        <v>262</v>
      </c>
      <c r="K260" s="193" t="s">
        <v>206</v>
      </c>
      <c r="L260" s="194" t="s">
        <v>144</v>
      </c>
      <c r="M260" s="199"/>
      <c r="N260" s="193" t="s">
        <v>475</v>
      </c>
      <c r="O260" s="193" t="s">
        <v>206</v>
      </c>
      <c r="P260" s="193" t="s">
        <v>206</v>
      </c>
      <c r="Q260" s="199"/>
      <c r="R260" s="193" t="s">
        <v>279</v>
      </c>
      <c r="S260" s="193" t="s">
        <v>50</v>
      </c>
      <c r="T260" s="193" t="s">
        <v>522</v>
      </c>
      <c r="U260" s="193" t="s">
        <v>603</v>
      </c>
      <c r="V260" s="193" t="s">
        <v>524</v>
      </c>
      <c r="W260" s="193" t="s">
        <v>264</v>
      </c>
      <c r="X260" s="193" t="s">
        <v>232</v>
      </c>
      <c r="Y260" s="200">
        <v>3.0</v>
      </c>
      <c r="Z260" s="202" t="s">
        <v>214</v>
      </c>
      <c r="AA260" s="202" t="s">
        <v>215</v>
      </c>
      <c r="AB260" s="203">
        <v>823759.2</v>
      </c>
      <c r="AC260" s="203">
        <v>823759.2</v>
      </c>
      <c r="AD260" s="204">
        <v>46229.0</v>
      </c>
      <c r="AE260" s="204">
        <v>46291.0</v>
      </c>
      <c r="AF260" s="226" t="s">
        <v>604</v>
      </c>
      <c r="AG260" s="219"/>
      <c r="AH260" s="219"/>
      <c r="AI260" s="219"/>
      <c r="AJ260" s="219"/>
      <c r="AK260" s="219"/>
      <c r="AL260" s="219"/>
      <c r="AM260" s="219"/>
      <c r="AN260" s="219"/>
      <c r="AO260" s="219"/>
    </row>
    <row r="261">
      <c r="A261" s="193">
        <v>14100.0</v>
      </c>
      <c r="B261" s="232" t="s">
        <v>264</v>
      </c>
      <c r="C261" s="193">
        <v>2026.0</v>
      </c>
      <c r="D261" s="199"/>
      <c r="E261" s="199"/>
      <c r="F261" s="199"/>
      <c r="G261" s="248"/>
      <c r="H261" s="199"/>
      <c r="I261" s="235"/>
      <c r="J261" s="199"/>
      <c r="K261" s="193" t="s">
        <v>206</v>
      </c>
      <c r="L261" s="234" t="s">
        <v>145</v>
      </c>
      <c r="M261" s="199"/>
      <c r="N261" s="193" t="s">
        <v>337</v>
      </c>
      <c r="O261" s="193" t="s">
        <v>206</v>
      </c>
      <c r="P261" s="193" t="s">
        <v>206</v>
      </c>
      <c r="Q261" s="199"/>
      <c r="R261" s="193" t="s">
        <v>279</v>
      </c>
      <c r="S261" s="193" t="s">
        <v>50</v>
      </c>
      <c r="T261" s="193" t="s">
        <v>358</v>
      </c>
      <c r="U261" s="193" t="s">
        <v>545</v>
      </c>
      <c r="V261" s="193" t="s">
        <v>50</v>
      </c>
      <c r="W261" s="193" t="s">
        <v>264</v>
      </c>
      <c r="X261" s="193" t="s">
        <v>232</v>
      </c>
      <c r="Y261" s="200">
        <v>3.0</v>
      </c>
      <c r="Z261" s="202" t="s">
        <v>233</v>
      </c>
      <c r="AA261" s="202" t="s">
        <v>234</v>
      </c>
      <c r="AB261" s="221"/>
      <c r="AC261" s="203">
        <v>500000.0</v>
      </c>
      <c r="AD261" s="204">
        <v>46168.0</v>
      </c>
      <c r="AE261" s="204">
        <v>46229.0</v>
      </c>
      <c r="AF261" s="268"/>
      <c r="AG261" s="219"/>
      <c r="AH261" s="219"/>
      <c r="AI261" s="219"/>
      <c r="AJ261" s="219"/>
      <c r="AK261" s="219"/>
      <c r="AL261" s="219"/>
      <c r="AM261" s="219"/>
      <c r="AN261" s="219"/>
      <c r="AO261" s="219"/>
    </row>
    <row r="262">
      <c r="A262" s="193">
        <v>14120.0</v>
      </c>
      <c r="B262" s="232" t="s">
        <v>264</v>
      </c>
      <c r="C262" s="193">
        <v>2026.0</v>
      </c>
      <c r="D262" s="199"/>
      <c r="E262" s="199"/>
      <c r="F262" s="199"/>
      <c r="G262" s="220"/>
      <c r="H262" s="199"/>
      <c r="I262" s="220"/>
      <c r="J262" s="199"/>
      <c r="K262" s="193" t="s">
        <v>206</v>
      </c>
      <c r="L262" s="234" t="s">
        <v>145</v>
      </c>
      <c r="M262" s="199"/>
      <c r="N262" s="193" t="s">
        <v>207</v>
      </c>
      <c r="O262" s="193" t="s">
        <v>206</v>
      </c>
      <c r="P262" s="193" t="s">
        <v>206</v>
      </c>
      <c r="Q262" s="199"/>
      <c r="R262" s="193" t="s">
        <v>279</v>
      </c>
      <c r="S262" s="193" t="s">
        <v>50</v>
      </c>
      <c r="T262" s="193" t="s">
        <v>529</v>
      </c>
      <c r="U262" s="193" t="s">
        <v>605</v>
      </c>
      <c r="V262" s="193" t="s">
        <v>50</v>
      </c>
      <c r="W262" s="193" t="s">
        <v>264</v>
      </c>
      <c r="X262" s="193" t="s">
        <v>232</v>
      </c>
      <c r="Y262" s="200">
        <v>3.0</v>
      </c>
      <c r="Z262" s="202" t="s">
        <v>233</v>
      </c>
      <c r="AA262" s="202" t="s">
        <v>215</v>
      </c>
      <c r="AB262" s="203">
        <v>260000.0</v>
      </c>
      <c r="AC262" s="203">
        <v>260000.0</v>
      </c>
      <c r="AD262" s="204">
        <v>46168.0</v>
      </c>
      <c r="AE262" s="204">
        <v>46229.0</v>
      </c>
      <c r="AF262" s="205"/>
      <c r="AG262" s="219"/>
      <c r="AH262" s="219"/>
      <c r="AI262" s="219"/>
      <c r="AJ262" s="219"/>
      <c r="AK262" s="219"/>
      <c r="AL262" s="219"/>
      <c r="AM262" s="219"/>
      <c r="AN262" s="219"/>
      <c r="AO262" s="219"/>
    </row>
    <row r="263">
      <c r="A263" s="193">
        <v>14140.0</v>
      </c>
      <c r="B263" s="232" t="s">
        <v>264</v>
      </c>
      <c r="C263" s="193">
        <v>2026.0</v>
      </c>
      <c r="D263" s="199"/>
      <c r="E263" s="199"/>
      <c r="F263" s="199"/>
      <c r="G263" s="220"/>
      <c r="H263" s="199"/>
      <c r="I263" s="220"/>
      <c r="J263" s="199"/>
      <c r="K263" s="193" t="s">
        <v>206</v>
      </c>
      <c r="L263" s="234" t="s">
        <v>145</v>
      </c>
      <c r="M263" s="199"/>
      <c r="N263" s="193" t="s">
        <v>337</v>
      </c>
      <c r="O263" s="193" t="s">
        <v>206</v>
      </c>
      <c r="P263" s="193" t="s">
        <v>206</v>
      </c>
      <c r="Q263" s="199"/>
      <c r="R263" s="193" t="s">
        <v>279</v>
      </c>
      <c r="S263" s="193" t="s">
        <v>50</v>
      </c>
      <c r="T263" s="193" t="s">
        <v>358</v>
      </c>
      <c r="U263" s="193" t="s">
        <v>551</v>
      </c>
      <c r="V263" s="193" t="s">
        <v>50</v>
      </c>
      <c r="W263" s="193" t="s">
        <v>264</v>
      </c>
      <c r="X263" s="193" t="s">
        <v>232</v>
      </c>
      <c r="Y263" s="200">
        <v>3.0</v>
      </c>
      <c r="Z263" s="202" t="s">
        <v>233</v>
      </c>
      <c r="AA263" s="202" t="s">
        <v>234</v>
      </c>
      <c r="AB263" s="221"/>
      <c r="AC263" s="203">
        <v>500000.0</v>
      </c>
      <c r="AD263" s="204">
        <v>46168.0</v>
      </c>
      <c r="AE263" s="204">
        <v>46229.0</v>
      </c>
      <c r="AF263" s="205"/>
      <c r="AG263" s="219"/>
      <c r="AH263" s="219"/>
      <c r="AI263" s="219"/>
      <c r="AJ263" s="219"/>
      <c r="AK263" s="219"/>
      <c r="AL263" s="219"/>
      <c r="AM263" s="219"/>
      <c r="AN263" s="219"/>
      <c r="AO263" s="219"/>
    </row>
    <row r="264">
      <c r="A264" s="193">
        <v>14160.0</v>
      </c>
      <c r="B264" s="194" t="s">
        <v>203</v>
      </c>
      <c r="C264" s="193">
        <v>2026.0</v>
      </c>
      <c r="D264" s="195">
        <v>2048.0</v>
      </c>
      <c r="E264" s="199"/>
      <c r="F264" s="193" t="s">
        <v>204</v>
      </c>
      <c r="G264" s="223">
        <v>46121.0</v>
      </c>
      <c r="H264" s="193">
        <v>270.0</v>
      </c>
      <c r="I264" s="223">
        <v>46121.0</v>
      </c>
      <c r="J264" s="193" t="s">
        <v>599</v>
      </c>
      <c r="K264" s="193" t="s">
        <v>206</v>
      </c>
      <c r="L264" s="194" t="s">
        <v>144</v>
      </c>
      <c r="M264" s="199"/>
      <c r="N264" s="193" t="s">
        <v>207</v>
      </c>
      <c r="O264" s="193" t="s">
        <v>206</v>
      </c>
      <c r="P264" s="193" t="s">
        <v>244</v>
      </c>
      <c r="Q264" s="199"/>
      <c r="R264" s="193" t="s">
        <v>219</v>
      </c>
      <c r="S264" s="193" t="s">
        <v>45</v>
      </c>
      <c r="T264" s="193" t="s">
        <v>512</v>
      </c>
      <c r="U264" s="193" t="s">
        <v>606</v>
      </c>
      <c r="V264" s="193" t="s">
        <v>155</v>
      </c>
      <c r="W264" s="193" t="s">
        <v>203</v>
      </c>
      <c r="X264" s="193" t="s">
        <v>252</v>
      </c>
      <c r="Y264" s="200">
        <v>3.0</v>
      </c>
      <c r="Z264" s="202" t="s">
        <v>214</v>
      </c>
      <c r="AA264" s="202" t="s">
        <v>215</v>
      </c>
      <c r="AB264" s="203">
        <v>3799000.0</v>
      </c>
      <c r="AC264" s="203">
        <v>3799000.0</v>
      </c>
      <c r="AD264" s="258">
        <v>46138.0</v>
      </c>
      <c r="AE264" s="204">
        <v>46199.0</v>
      </c>
      <c r="AF264" s="205"/>
      <c r="AG264" s="219"/>
      <c r="AH264" s="219"/>
      <c r="AI264" s="219"/>
      <c r="AJ264" s="219"/>
      <c r="AK264" s="219"/>
      <c r="AL264" s="219"/>
      <c r="AM264" s="219"/>
      <c r="AN264" s="219"/>
      <c r="AO264" s="219"/>
    </row>
    <row r="265">
      <c r="A265" s="193">
        <v>14161.0</v>
      </c>
      <c r="B265" s="194" t="s">
        <v>203</v>
      </c>
      <c r="C265" s="193">
        <v>2026.0</v>
      </c>
      <c r="D265" s="195">
        <v>2048.0</v>
      </c>
      <c r="E265" s="199"/>
      <c r="F265" s="193" t="s">
        <v>204</v>
      </c>
      <c r="G265" s="230">
        <v>46076.0</v>
      </c>
      <c r="H265" s="193">
        <v>94.0</v>
      </c>
      <c r="I265" s="215">
        <v>46076.0</v>
      </c>
      <c r="J265" s="193" t="s">
        <v>607</v>
      </c>
      <c r="K265" s="193" t="s">
        <v>206</v>
      </c>
      <c r="L265" s="194" t="s">
        <v>144</v>
      </c>
      <c r="M265" s="199"/>
      <c r="N265" s="193" t="s">
        <v>207</v>
      </c>
      <c r="O265" s="193" t="s">
        <v>206</v>
      </c>
      <c r="P265" s="193" t="s">
        <v>244</v>
      </c>
      <c r="Q265" s="199"/>
      <c r="R265" s="193" t="s">
        <v>219</v>
      </c>
      <c r="S265" s="193" t="s">
        <v>45</v>
      </c>
      <c r="T265" s="193" t="s">
        <v>512</v>
      </c>
      <c r="U265" s="193" t="s">
        <v>606</v>
      </c>
      <c r="V265" s="193" t="s">
        <v>155</v>
      </c>
      <c r="W265" s="193" t="s">
        <v>203</v>
      </c>
      <c r="X265" s="193" t="s">
        <v>252</v>
      </c>
      <c r="Y265" s="200">
        <v>3.0</v>
      </c>
      <c r="Z265" s="202" t="s">
        <v>233</v>
      </c>
      <c r="AA265" s="202" t="s">
        <v>215</v>
      </c>
      <c r="AB265" s="203">
        <v>1000.0</v>
      </c>
      <c r="AC265" s="203">
        <v>1000.0</v>
      </c>
      <c r="AD265" s="204">
        <v>46079.0</v>
      </c>
      <c r="AE265" s="204">
        <v>46352.0</v>
      </c>
      <c r="AF265" s="205"/>
      <c r="AG265" s="219"/>
      <c r="AH265" s="219"/>
      <c r="AI265" s="219"/>
      <c r="AJ265" s="219"/>
      <c r="AK265" s="219"/>
      <c r="AL265" s="219"/>
      <c r="AM265" s="219"/>
      <c r="AN265" s="219"/>
      <c r="AO265" s="219"/>
    </row>
    <row r="266">
      <c r="A266" s="193">
        <v>14180.0</v>
      </c>
      <c r="B266" s="194" t="s">
        <v>203</v>
      </c>
      <c r="C266" s="193">
        <v>2026.0</v>
      </c>
      <c r="D266" s="195">
        <v>2048.0</v>
      </c>
      <c r="E266" s="193">
        <v>78.0</v>
      </c>
      <c r="F266" s="199"/>
      <c r="G266" s="248"/>
      <c r="H266" s="199"/>
      <c r="I266" s="233"/>
      <c r="J266" s="199"/>
      <c r="K266" s="193" t="s">
        <v>206</v>
      </c>
      <c r="L266" s="194" t="s">
        <v>144</v>
      </c>
      <c r="M266" s="199"/>
      <c r="N266" s="193" t="s">
        <v>337</v>
      </c>
      <c r="O266" s="193" t="s">
        <v>206</v>
      </c>
      <c r="P266" s="193" t="s">
        <v>206</v>
      </c>
      <c r="Q266" s="199"/>
      <c r="R266" s="193" t="s">
        <v>219</v>
      </c>
      <c r="S266" s="193" t="s">
        <v>45</v>
      </c>
      <c r="T266" s="193" t="s">
        <v>358</v>
      </c>
      <c r="U266" s="193" t="s">
        <v>581</v>
      </c>
      <c r="V266" s="193" t="s">
        <v>231</v>
      </c>
      <c r="W266" s="193" t="s">
        <v>212</v>
      </c>
      <c r="X266" s="193" t="s">
        <v>232</v>
      </c>
      <c r="Y266" s="200">
        <v>3.0</v>
      </c>
      <c r="Z266" s="202" t="s">
        <v>233</v>
      </c>
      <c r="AA266" s="202" t="s">
        <v>234</v>
      </c>
      <c r="AB266" s="221"/>
      <c r="AC266" s="203">
        <v>100000.0</v>
      </c>
      <c r="AD266" s="204">
        <v>46291.0</v>
      </c>
      <c r="AE266" s="204">
        <v>46352.0</v>
      </c>
      <c r="AF266" s="205"/>
      <c r="AG266" s="219"/>
      <c r="AH266" s="219"/>
      <c r="AI266" s="219"/>
      <c r="AJ266" s="219"/>
      <c r="AK266" s="219"/>
      <c r="AL266" s="219"/>
      <c r="AM266" s="219"/>
      <c r="AN266" s="219"/>
      <c r="AO266" s="219"/>
    </row>
    <row r="267">
      <c r="A267" s="193">
        <v>14200.0</v>
      </c>
      <c r="B267" s="232" t="s">
        <v>264</v>
      </c>
      <c r="C267" s="193">
        <v>2026.0</v>
      </c>
      <c r="D267" s="199"/>
      <c r="E267" s="199"/>
      <c r="F267" s="193" t="s">
        <v>265</v>
      </c>
      <c r="G267" s="248"/>
      <c r="H267" s="199"/>
      <c r="I267" s="199"/>
      <c r="J267" s="199"/>
      <c r="K267" s="193" t="s">
        <v>206</v>
      </c>
      <c r="L267" s="234" t="s">
        <v>145</v>
      </c>
      <c r="M267" s="199"/>
      <c r="N267" s="193" t="s">
        <v>337</v>
      </c>
      <c r="O267" s="193" t="s">
        <v>206</v>
      </c>
      <c r="P267" s="193" t="s">
        <v>206</v>
      </c>
      <c r="Q267" s="199"/>
      <c r="R267" s="193" t="s">
        <v>228</v>
      </c>
      <c r="S267" s="193" t="s">
        <v>48</v>
      </c>
      <c r="T267" s="193" t="s">
        <v>358</v>
      </c>
      <c r="U267" s="193" t="s">
        <v>581</v>
      </c>
      <c r="V267" s="193" t="s">
        <v>231</v>
      </c>
      <c r="W267" s="193" t="s">
        <v>212</v>
      </c>
      <c r="X267" s="193" t="s">
        <v>232</v>
      </c>
      <c r="Y267" s="200">
        <v>3.0</v>
      </c>
      <c r="Z267" s="202" t="s">
        <v>233</v>
      </c>
      <c r="AA267" s="202" t="s">
        <v>234</v>
      </c>
      <c r="AB267" s="221"/>
      <c r="AC267" s="203">
        <v>20000.0</v>
      </c>
      <c r="AD267" s="204">
        <v>46352.0</v>
      </c>
      <c r="AE267" s="204">
        <v>46049.0</v>
      </c>
      <c r="AF267" s="205"/>
      <c r="AG267" s="219"/>
      <c r="AH267" s="206"/>
      <c r="AI267" s="206"/>
      <c r="AJ267" s="206"/>
      <c r="AK267" s="206"/>
      <c r="AL267" s="206"/>
      <c r="AM267" s="206"/>
      <c r="AN267" s="206"/>
      <c r="AO267" s="206"/>
    </row>
    <row r="268">
      <c r="A268" s="193">
        <v>14220.0</v>
      </c>
      <c r="B268" s="194" t="s">
        <v>203</v>
      </c>
      <c r="C268" s="193">
        <v>2026.0</v>
      </c>
      <c r="D268" s="195">
        <v>2048.0</v>
      </c>
      <c r="E268" s="193">
        <v>52.0</v>
      </c>
      <c r="F268" s="199"/>
      <c r="G268" s="248"/>
      <c r="H268" s="199"/>
      <c r="I268" s="235"/>
      <c r="J268" s="199"/>
      <c r="K268" s="193" t="s">
        <v>206</v>
      </c>
      <c r="L268" s="194" t="s">
        <v>144</v>
      </c>
      <c r="M268" s="199"/>
      <c r="N268" s="193" t="s">
        <v>227</v>
      </c>
      <c r="O268" s="193" t="s">
        <v>206</v>
      </c>
      <c r="P268" s="193" t="s">
        <v>206</v>
      </c>
      <c r="Q268" s="199"/>
      <c r="R268" s="193" t="s">
        <v>279</v>
      </c>
      <c r="S268" s="193" t="s">
        <v>50</v>
      </c>
      <c r="T268" s="193" t="s">
        <v>283</v>
      </c>
      <c r="U268" s="193" t="s">
        <v>608</v>
      </c>
      <c r="V268" s="193" t="s">
        <v>50</v>
      </c>
      <c r="W268" s="193" t="s">
        <v>264</v>
      </c>
      <c r="X268" s="193" t="s">
        <v>232</v>
      </c>
      <c r="Y268" s="200">
        <v>3.0</v>
      </c>
      <c r="Z268" s="202" t="s">
        <v>233</v>
      </c>
      <c r="AA268" s="202" t="s">
        <v>234</v>
      </c>
      <c r="AB268" s="221"/>
      <c r="AC268" s="203">
        <v>940404.73</v>
      </c>
      <c r="AD268" s="276">
        <v>46291.0</v>
      </c>
      <c r="AE268" s="204">
        <v>46352.0</v>
      </c>
      <c r="AF268" s="205"/>
      <c r="AG268" s="219"/>
      <c r="AH268" s="219"/>
      <c r="AI268" s="219"/>
      <c r="AJ268" s="219"/>
      <c r="AK268" s="219"/>
      <c r="AL268" s="219"/>
      <c r="AM268" s="219"/>
      <c r="AN268" s="219"/>
      <c r="AO268" s="219"/>
    </row>
    <row r="269">
      <c r="A269" s="193">
        <v>14240.0</v>
      </c>
      <c r="B269" s="232" t="s">
        <v>264</v>
      </c>
      <c r="C269" s="193">
        <v>2026.0</v>
      </c>
      <c r="D269" s="199"/>
      <c r="E269" s="199"/>
      <c r="F269" s="199"/>
      <c r="G269" s="248"/>
      <c r="H269" s="199"/>
      <c r="I269" s="235"/>
      <c r="J269" s="199"/>
      <c r="K269" s="193" t="s">
        <v>206</v>
      </c>
      <c r="L269" s="232" t="s">
        <v>146</v>
      </c>
      <c r="M269" s="199"/>
      <c r="N269" s="193" t="s">
        <v>337</v>
      </c>
      <c r="O269" s="193" t="s">
        <v>206</v>
      </c>
      <c r="P269" s="193" t="s">
        <v>206</v>
      </c>
      <c r="Q269" s="199"/>
      <c r="R269" s="193" t="s">
        <v>279</v>
      </c>
      <c r="S269" s="193" t="s">
        <v>50</v>
      </c>
      <c r="T269" s="193" t="s">
        <v>358</v>
      </c>
      <c r="U269" s="193" t="s">
        <v>550</v>
      </c>
      <c r="V269" s="193" t="s">
        <v>50</v>
      </c>
      <c r="W269" s="193" t="s">
        <v>264</v>
      </c>
      <c r="X269" s="193" t="s">
        <v>232</v>
      </c>
      <c r="Y269" s="200">
        <v>3.0</v>
      </c>
      <c r="Z269" s="202" t="s">
        <v>233</v>
      </c>
      <c r="AA269" s="202" t="s">
        <v>234</v>
      </c>
      <c r="AB269" s="221"/>
      <c r="AC269" s="203">
        <v>500000.0</v>
      </c>
      <c r="AD269" s="204">
        <v>46168.0</v>
      </c>
      <c r="AE269" s="204">
        <v>46229.0</v>
      </c>
      <c r="AF269" s="205"/>
      <c r="AG269" s="219"/>
      <c r="AH269" s="219"/>
      <c r="AI269" s="219"/>
      <c r="AJ269" s="219"/>
      <c r="AK269" s="219"/>
      <c r="AL269" s="219"/>
      <c r="AM269" s="219"/>
      <c r="AN269" s="219"/>
      <c r="AO269" s="219"/>
    </row>
    <row r="270">
      <c r="A270" s="193">
        <v>14260.0</v>
      </c>
      <c r="B270" s="232" t="s">
        <v>264</v>
      </c>
      <c r="C270" s="193">
        <v>2026.0</v>
      </c>
      <c r="D270" s="199"/>
      <c r="E270" s="199"/>
      <c r="F270" s="199"/>
      <c r="G270" s="248"/>
      <c r="H270" s="199"/>
      <c r="I270" s="220"/>
      <c r="J270" s="199"/>
      <c r="K270" s="193" t="s">
        <v>206</v>
      </c>
      <c r="L270" s="232" t="s">
        <v>146</v>
      </c>
      <c r="M270" s="199"/>
      <c r="N270" s="193" t="s">
        <v>337</v>
      </c>
      <c r="O270" s="193" t="s">
        <v>206</v>
      </c>
      <c r="P270" s="193" t="s">
        <v>206</v>
      </c>
      <c r="Q270" s="199"/>
      <c r="R270" s="193" t="s">
        <v>279</v>
      </c>
      <c r="S270" s="193" t="s">
        <v>50</v>
      </c>
      <c r="T270" s="193" t="s">
        <v>358</v>
      </c>
      <c r="U270" s="193" t="s">
        <v>545</v>
      </c>
      <c r="V270" s="193" t="s">
        <v>50</v>
      </c>
      <c r="W270" s="193" t="s">
        <v>264</v>
      </c>
      <c r="X270" s="193" t="s">
        <v>232</v>
      </c>
      <c r="Y270" s="200">
        <v>3.0</v>
      </c>
      <c r="Z270" s="202" t="s">
        <v>233</v>
      </c>
      <c r="AA270" s="202" t="s">
        <v>234</v>
      </c>
      <c r="AB270" s="221"/>
      <c r="AC270" s="203">
        <v>500000.0</v>
      </c>
      <c r="AD270" s="204">
        <v>46168.0</v>
      </c>
      <c r="AE270" s="204">
        <v>46229.0</v>
      </c>
      <c r="AF270" s="205"/>
      <c r="AG270" s="206"/>
      <c r="AH270" s="206"/>
      <c r="AI270" s="206"/>
      <c r="AJ270" s="206"/>
      <c r="AK270" s="206"/>
      <c r="AL270" s="206"/>
      <c r="AM270" s="206"/>
      <c r="AN270" s="206"/>
      <c r="AO270" s="206"/>
    </row>
    <row r="271">
      <c r="A271" s="193">
        <v>14280.0</v>
      </c>
      <c r="B271" s="232" t="s">
        <v>264</v>
      </c>
      <c r="C271" s="193">
        <v>2026.0</v>
      </c>
      <c r="D271" s="199"/>
      <c r="E271" s="199"/>
      <c r="F271" s="199"/>
      <c r="G271" s="248"/>
      <c r="H271" s="199"/>
      <c r="I271" s="220"/>
      <c r="J271" s="199"/>
      <c r="K271" s="193" t="s">
        <v>206</v>
      </c>
      <c r="L271" s="232" t="s">
        <v>146</v>
      </c>
      <c r="M271" s="199"/>
      <c r="N271" s="193" t="s">
        <v>337</v>
      </c>
      <c r="O271" s="193" t="s">
        <v>206</v>
      </c>
      <c r="P271" s="193" t="s">
        <v>206</v>
      </c>
      <c r="Q271" s="199"/>
      <c r="R271" s="193" t="s">
        <v>279</v>
      </c>
      <c r="S271" s="193" t="s">
        <v>50</v>
      </c>
      <c r="T271" s="193" t="s">
        <v>358</v>
      </c>
      <c r="U271" s="193" t="s">
        <v>545</v>
      </c>
      <c r="V271" s="193" t="s">
        <v>50</v>
      </c>
      <c r="W271" s="193" t="s">
        <v>264</v>
      </c>
      <c r="X271" s="193" t="s">
        <v>232</v>
      </c>
      <c r="Y271" s="200">
        <v>3.0</v>
      </c>
      <c r="Z271" s="202" t="s">
        <v>233</v>
      </c>
      <c r="AA271" s="202" t="s">
        <v>234</v>
      </c>
      <c r="AB271" s="221"/>
      <c r="AC271" s="203">
        <v>175000.0</v>
      </c>
      <c r="AD271" s="204">
        <v>46168.0</v>
      </c>
      <c r="AE271" s="204">
        <v>46229.0</v>
      </c>
      <c r="AF271" s="205"/>
      <c r="AG271" s="219"/>
      <c r="AH271" s="219"/>
      <c r="AI271" s="219"/>
      <c r="AJ271" s="219"/>
      <c r="AK271" s="219"/>
      <c r="AL271" s="219"/>
      <c r="AM271" s="219"/>
      <c r="AN271" s="219"/>
      <c r="AO271" s="219"/>
    </row>
    <row r="272">
      <c r="A272" s="193">
        <v>14300.0</v>
      </c>
      <c r="B272" s="232" t="s">
        <v>264</v>
      </c>
      <c r="C272" s="193">
        <v>2026.0</v>
      </c>
      <c r="D272" s="199"/>
      <c r="E272" s="199"/>
      <c r="F272" s="199"/>
      <c r="G272" s="248"/>
      <c r="H272" s="199"/>
      <c r="I272" s="220"/>
      <c r="J272" s="199"/>
      <c r="K272" s="193" t="s">
        <v>206</v>
      </c>
      <c r="L272" s="232" t="s">
        <v>146</v>
      </c>
      <c r="M272" s="199"/>
      <c r="N272" s="193" t="s">
        <v>337</v>
      </c>
      <c r="O272" s="193" t="s">
        <v>206</v>
      </c>
      <c r="P272" s="193" t="s">
        <v>206</v>
      </c>
      <c r="Q272" s="199"/>
      <c r="R272" s="193" t="s">
        <v>279</v>
      </c>
      <c r="S272" s="193" t="s">
        <v>50</v>
      </c>
      <c r="T272" s="193" t="s">
        <v>358</v>
      </c>
      <c r="U272" s="193" t="s">
        <v>551</v>
      </c>
      <c r="V272" s="193" t="s">
        <v>50</v>
      </c>
      <c r="W272" s="193" t="s">
        <v>264</v>
      </c>
      <c r="X272" s="193" t="s">
        <v>232</v>
      </c>
      <c r="Y272" s="200">
        <v>3.0</v>
      </c>
      <c r="Z272" s="202" t="s">
        <v>233</v>
      </c>
      <c r="AA272" s="202" t="s">
        <v>234</v>
      </c>
      <c r="AB272" s="221"/>
      <c r="AC272" s="203">
        <v>175000.0</v>
      </c>
      <c r="AD272" s="204">
        <v>46168.0</v>
      </c>
      <c r="AE272" s="204">
        <v>46229.0</v>
      </c>
      <c r="AF272" s="205"/>
      <c r="AG272" s="219"/>
      <c r="AH272" s="219"/>
      <c r="AI272" s="219"/>
      <c r="AJ272" s="219"/>
      <c r="AK272" s="219"/>
      <c r="AL272" s="219"/>
      <c r="AM272" s="219"/>
      <c r="AN272" s="219"/>
      <c r="AO272" s="219"/>
    </row>
    <row r="273">
      <c r="A273" s="193">
        <v>14320.0</v>
      </c>
      <c r="B273" s="232" t="s">
        <v>264</v>
      </c>
      <c r="C273" s="193">
        <v>2026.0</v>
      </c>
      <c r="D273" s="199"/>
      <c r="E273" s="199"/>
      <c r="F273" s="272"/>
      <c r="G273" s="248"/>
      <c r="H273" s="199"/>
      <c r="I273" s="233"/>
      <c r="J273" s="199"/>
      <c r="K273" s="193" t="s">
        <v>206</v>
      </c>
      <c r="L273" s="232" t="s">
        <v>146</v>
      </c>
      <c r="M273" s="199"/>
      <c r="N273" s="193" t="s">
        <v>337</v>
      </c>
      <c r="O273" s="193" t="s">
        <v>206</v>
      </c>
      <c r="P273" s="193" t="s">
        <v>206</v>
      </c>
      <c r="Q273" s="199"/>
      <c r="R273" s="193" t="s">
        <v>279</v>
      </c>
      <c r="S273" s="193" t="s">
        <v>50</v>
      </c>
      <c r="T273" s="193" t="s">
        <v>358</v>
      </c>
      <c r="U273" s="193" t="s">
        <v>359</v>
      </c>
      <c r="V273" s="193" t="s">
        <v>50</v>
      </c>
      <c r="W273" s="193" t="s">
        <v>264</v>
      </c>
      <c r="X273" s="193" t="s">
        <v>232</v>
      </c>
      <c r="Y273" s="200">
        <v>3.0</v>
      </c>
      <c r="Z273" s="202" t="s">
        <v>233</v>
      </c>
      <c r="AA273" s="202" t="s">
        <v>234</v>
      </c>
      <c r="AB273" s="221"/>
      <c r="AC273" s="203">
        <v>196000.0</v>
      </c>
      <c r="AD273" s="204">
        <v>46168.0</v>
      </c>
      <c r="AE273" s="204">
        <v>46229.0</v>
      </c>
      <c r="AF273" s="205"/>
      <c r="AG273" s="219"/>
      <c r="AH273" s="219"/>
      <c r="AI273" s="219"/>
      <c r="AJ273" s="219"/>
      <c r="AK273" s="219"/>
      <c r="AL273" s="219"/>
      <c r="AM273" s="219"/>
      <c r="AN273" s="219"/>
      <c r="AO273" s="219"/>
    </row>
    <row r="274">
      <c r="A274" s="193">
        <v>14340.0</v>
      </c>
      <c r="B274" s="232" t="s">
        <v>264</v>
      </c>
      <c r="C274" s="193">
        <v>2026.0</v>
      </c>
      <c r="D274" s="199"/>
      <c r="E274" s="196"/>
      <c r="F274" s="199"/>
      <c r="G274" s="266"/>
      <c r="H274" s="199"/>
      <c r="I274" s="233"/>
      <c r="J274" s="199"/>
      <c r="K274" s="193" t="s">
        <v>206</v>
      </c>
      <c r="L274" s="232" t="s">
        <v>146</v>
      </c>
      <c r="M274" s="199"/>
      <c r="N274" s="193" t="s">
        <v>337</v>
      </c>
      <c r="O274" s="193" t="s">
        <v>206</v>
      </c>
      <c r="P274" s="193" t="s">
        <v>206</v>
      </c>
      <c r="Q274" s="199"/>
      <c r="R274" s="193" t="s">
        <v>279</v>
      </c>
      <c r="S274" s="193" t="s">
        <v>50</v>
      </c>
      <c r="T274" s="193" t="s">
        <v>358</v>
      </c>
      <c r="U274" s="193" t="s">
        <v>364</v>
      </c>
      <c r="V274" s="193" t="s">
        <v>50</v>
      </c>
      <c r="W274" s="193" t="s">
        <v>264</v>
      </c>
      <c r="X274" s="193" t="s">
        <v>232</v>
      </c>
      <c r="Y274" s="200">
        <v>3.0</v>
      </c>
      <c r="Z274" s="202" t="s">
        <v>233</v>
      </c>
      <c r="AA274" s="202" t="s">
        <v>234</v>
      </c>
      <c r="AB274" s="221"/>
      <c r="AC274" s="203">
        <v>196000.0</v>
      </c>
      <c r="AD274" s="204">
        <v>46168.0</v>
      </c>
      <c r="AE274" s="204">
        <v>46229.0</v>
      </c>
      <c r="AF274" s="205"/>
      <c r="AG274" s="219"/>
      <c r="AH274" s="219"/>
      <c r="AI274" s="219"/>
      <c r="AJ274" s="219"/>
      <c r="AK274" s="219"/>
      <c r="AL274" s="219"/>
      <c r="AM274" s="219"/>
      <c r="AN274" s="219"/>
      <c r="AO274" s="219"/>
    </row>
    <row r="275">
      <c r="A275" s="193">
        <v>14360.0</v>
      </c>
      <c r="B275" s="232" t="s">
        <v>264</v>
      </c>
      <c r="C275" s="193">
        <v>2026.0</v>
      </c>
      <c r="D275" s="199"/>
      <c r="E275" s="199"/>
      <c r="F275" s="207"/>
      <c r="G275" s="248"/>
      <c r="H275" s="199"/>
      <c r="I275" s="220"/>
      <c r="J275" s="199"/>
      <c r="K275" s="193" t="s">
        <v>206</v>
      </c>
      <c r="L275" s="232" t="s">
        <v>146</v>
      </c>
      <c r="M275" s="199"/>
      <c r="N275" s="193" t="s">
        <v>337</v>
      </c>
      <c r="O275" s="193" t="s">
        <v>206</v>
      </c>
      <c r="P275" s="193" t="s">
        <v>206</v>
      </c>
      <c r="Q275" s="207"/>
      <c r="R275" s="208" t="s">
        <v>279</v>
      </c>
      <c r="S275" s="193" t="s">
        <v>50</v>
      </c>
      <c r="T275" s="193" t="s">
        <v>358</v>
      </c>
      <c r="U275" s="193" t="s">
        <v>609</v>
      </c>
      <c r="V275" s="193" t="s">
        <v>50</v>
      </c>
      <c r="W275" s="193" t="s">
        <v>264</v>
      </c>
      <c r="X275" s="193" t="s">
        <v>232</v>
      </c>
      <c r="Y275" s="200">
        <v>3.0</v>
      </c>
      <c r="Z275" s="202" t="s">
        <v>233</v>
      </c>
      <c r="AA275" s="202" t="s">
        <v>234</v>
      </c>
      <c r="AB275" s="221"/>
      <c r="AC275" s="203">
        <v>140000.0</v>
      </c>
      <c r="AD275" s="204">
        <v>46168.0</v>
      </c>
      <c r="AE275" s="204">
        <v>46229.0</v>
      </c>
      <c r="AF275" s="205"/>
      <c r="AG275" s="219"/>
      <c r="AH275" s="219"/>
      <c r="AI275" s="219"/>
      <c r="AJ275" s="219"/>
      <c r="AK275" s="219"/>
      <c r="AL275" s="219"/>
      <c r="AM275" s="219"/>
      <c r="AN275" s="219"/>
      <c r="AO275" s="219"/>
    </row>
    <row r="276">
      <c r="A276" s="193">
        <v>14380.0</v>
      </c>
      <c r="B276" s="232" t="s">
        <v>264</v>
      </c>
      <c r="C276" s="193">
        <v>2026.0</v>
      </c>
      <c r="D276" s="199"/>
      <c r="E276" s="199"/>
      <c r="F276" s="193" t="s">
        <v>265</v>
      </c>
      <c r="G276" s="248"/>
      <c r="H276" s="199"/>
      <c r="I276" s="220"/>
      <c r="J276" s="199"/>
      <c r="K276" s="193" t="s">
        <v>206</v>
      </c>
      <c r="L276" s="234" t="s">
        <v>145</v>
      </c>
      <c r="M276" s="199"/>
      <c r="N276" s="193" t="s">
        <v>207</v>
      </c>
      <c r="O276" s="193" t="s">
        <v>206</v>
      </c>
      <c r="P276" s="193" t="s">
        <v>206</v>
      </c>
      <c r="Q276" s="207"/>
      <c r="R276" s="208" t="s">
        <v>228</v>
      </c>
      <c r="S276" s="193" t="s">
        <v>47</v>
      </c>
      <c r="T276" s="193" t="s">
        <v>464</v>
      </c>
      <c r="U276" s="193" t="s">
        <v>610</v>
      </c>
      <c r="V276" s="193" t="s">
        <v>382</v>
      </c>
      <c r="W276" s="193" t="s">
        <v>212</v>
      </c>
      <c r="X276" s="193" t="s">
        <v>252</v>
      </c>
      <c r="Y276" s="200">
        <v>3.0</v>
      </c>
      <c r="Z276" s="202" t="s">
        <v>214</v>
      </c>
      <c r="AA276" s="202" t="s">
        <v>215</v>
      </c>
      <c r="AB276" s="203">
        <v>310000.0</v>
      </c>
      <c r="AC276" s="203">
        <v>310000.0</v>
      </c>
      <c r="AD276" s="204">
        <v>46321.0</v>
      </c>
      <c r="AE276" s="204">
        <v>46382.0</v>
      </c>
      <c r="AF276" s="205"/>
      <c r="AG276" s="219"/>
      <c r="AH276" s="219"/>
      <c r="AI276" s="219"/>
      <c r="AJ276" s="219"/>
      <c r="AK276" s="219"/>
      <c r="AL276" s="219"/>
      <c r="AM276" s="219"/>
      <c r="AN276" s="219"/>
      <c r="AO276" s="219"/>
    </row>
    <row r="277">
      <c r="A277" s="193">
        <v>14400.0</v>
      </c>
      <c r="B277" s="194" t="s">
        <v>203</v>
      </c>
      <c r="C277" s="193">
        <v>2026.0</v>
      </c>
      <c r="D277" s="195">
        <v>2048.0</v>
      </c>
      <c r="E277" s="199"/>
      <c r="F277" s="193" t="s">
        <v>204</v>
      </c>
      <c r="G277" s="248"/>
      <c r="H277" s="193">
        <v>249.0</v>
      </c>
      <c r="I277" s="230">
        <v>46118.0</v>
      </c>
      <c r="J277" s="193" t="s">
        <v>240</v>
      </c>
      <c r="K277" s="193" t="s">
        <v>206</v>
      </c>
      <c r="L277" s="194" t="s">
        <v>144</v>
      </c>
      <c r="M277" s="199"/>
      <c r="N277" s="193" t="s">
        <v>207</v>
      </c>
      <c r="O277" s="193" t="s">
        <v>206</v>
      </c>
      <c r="P277" s="193" t="s">
        <v>206</v>
      </c>
      <c r="Q277" s="207"/>
      <c r="R277" s="208" t="s">
        <v>228</v>
      </c>
      <c r="S277" s="193" t="s">
        <v>46</v>
      </c>
      <c r="T277" s="193" t="s">
        <v>464</v>
      </c>
      <c r="U277" s="193" t="s">
        <v>610</v>
      </c>
      <c r="V277" s="193" t="s">
        <v>382</v>
      </c>
      <c r="W277" s="193" t="s">
        <v>212</v>
      </c>
      <c r="X277" s="193" t="s">
        <v>252</v>
      </c>
      <c r="Y277" s="200">
        <v>3.0</v>
      </c>
      <c r="Z277" s="202" t="s">
        <v>214</v>
      </c>
      <c r="AA277" s="202" t="s">
        <v>215</v>
      </c>
      <c r="AB277" s="203">
        <v>330000.0</v>
      </c>
      <c r="AC277" s="203">
        <v>330000.0</v>
      </c>
      <c r="AD277" s="258">
        <v>46138.0</v>
      </c>
      <c r="AE277" s="204">
        <v>46199.0</v>
      </c>
      <c r="AF277" s="205"/>
      <c r="AG277" s="219"/>
      <c r="AH277" s="219"/>
      <c r="AI277" s="219"/>
      <c r="AJ277" s="219"/>
      <c r="AK277" s="219"/>
      <c r="AL277" s="219"/>
      <c r="AM277" s="219"/>
      <c r="AN277" s="219"/>
      <c r="AO277" s="219"/>
    </row>
    <row r="278">
      <c r="A278" s="193">
        <v>14420.0</v>
      </c>
      <c r="B278" s="194" t="s">
        <v>203</v>
      </c>
      <c r="C278" s="193">
        <v>2026.0</v>
      </c>
      <c r="D278" s="195">
        <v>2048.0</v>
      </c>
      <c r="E278" s="199"/>
      <c r="F278" s="193" t="s">
        <v>272</v>
      </c>
      <c r="G278" s="233"/>
      <c r="H278" s="199"/>
      <c r="I278" s="233"/>
      <c r="J278" s="199"/>
      <c r="K278" s="193" t="s">
        <v>206</v>
      </c>
      <c r="L278" s="194" t="s">
        <v>144</v>
      </c>
      <c r="M278" s="199"/>
      <c r="N278" s="193" t="s">
        <v>207</v>
      </c>
      <c r="O278" s="193" t="s">
        <v>206</v>
      </c>
      <c r="P278" s="193" t="s">
        <v>206</v>
      </c>
      <c r="Q278" s="207"/>
      <c r="R278" s="208" t="s">
        <v>219</v>
      </c>
      <c r="S278" s="193" t="s">
        <v>43</v>
      </c>
      <c r="T278" s="193" t="s">
        <v>464</v>
      </c>
      <c r="U278" s="193" t="s">
        <v>611</v>
      </c>
      <c r="V278" s="193" t="s">
        <v>382</v>
      </c>
      <c r="W278" s="193" t="s">
        <v>212</v>
      </c>
      <c r="X278" s="193" t="s">
        <v>252</v>
      </c>
      <c r="Y278" s="200">
        <v>3.0</v>
      </c>
      <c r="Z278" s="202" t="s">
        <v>214</v>
      </c>
      <c r="AA278" s="202" t="s">
        <v>215</v>
      </c>
      <c r="AB278" s="203" t="s">
        <v>275</v>
      </c>
      <c r="AC278" s="203" t="s">
        <v>275</v>
      </c>
      <c r="AD278" s="204">
        <v>46321.0</v>
      </c>
      <c r="AE278" s="204">
        <v>46049.0</v>
      </c>
      <c r="AF278" s="226" t="s">
        <v>612</v>
      </c>
      <c r="AG278" s="219"/>
      <c r="AH278" s="219"/>
      <c r="AI278" s="219"/>
      <c r="AJ278" s="219"/>
      <c r="AK278" s="219"/>
      <c r="AL278" s="219"/>
      <c r="AM278" s="219"/>
      <c r="AN278" s="219"/>
      <c r="AO278" s="219"/>
    </row>
    <row r="279">
      <c r="A279" s="193">
        <v>14440.0</v>
      </c>
      <c r="B279" s="232" t="s">
        <v>264</v>
      </c>
      <c r="C279" s="193">
        <v>2026.0</v>
      </c>
      <c r="D279" s="199"/>
      <c r="E279" s="199"/>
      <c r="F279" s="272"/>
      <c r="G279" s="248"/>
      <c r="H279" s="199"/>
      <c r="I279" s="220"/>
      <c r="J279" s="199"/>
      <c r="K279" s="193" t="s">
        <v>206</v>
      </c>
      <c r="L279" s="232" t="s">
        <v>146</v>
      </c>
      <c r="M279" s="199"/>
      <c r="N279" s="193" t="s">
        <v>207</v>
      </c>
      <c r="O279" s="193" t="s">
        <v>206</v>
      </c>
      <c r="P279" s="193" t="s">
        <v>206</v>
      </c>
      <c r="Q279" s="207"/>
      <c r="R279" s="208" t="s">
        <v>279</v>
      </c>
      <c r="S279" s="193" t="s">
        <v>50</v>
      </c>
      <c r="T279" s="193" t="s">
        <v>613</v>
      </c>
      <c r="U279" s="193" t="s">
        <v>614</v>
      </c>
      <c r="V279" s="193" t="s">
        <v>50</v>
      </c>
      <c r="W279" s="193" t="s">
        <v>264</v>
      </c>
      <c r="X279" s="193" t="s">
        <v>252</v>
      </c>
      <c r="Y279" s="200">
        <v>3.0</v>
      </c>
      <c r="Z279" s="202" t="s">
        <v>214</v>
      </c>
      <c r="AA279" s="202" t="s">
        <v>215</v>
      </c>
      <c r="AB279" s="203">
        <v>216000.0</v>
      </c>
      <c r="AC279" s="203">
        <v>216000.0</v>
      </c>
      <c r="AD279" s="204">
        <v>46168.0</v>
      </c>
      <c r="AE279" s="204">
        <v>46229.0</v>
      </c>
      <c r="AF279" s="226" t="s">
        <v>615</v>
      </c>
      <c r="AG279" s="219"/>
      <c r="AH279" s="219"/>
      <c r="AI279" s="219"/>
      <c r="AJ279" s="219"/>
      <c r="AK279" s="219"/>
      <c r="AL279" s="219"/>
      <c r="AM279" s="219"/>
      <c r="AN279" s="219"/>
      <c r="AO279" s="219"/>
    </row>
    <row r="280">
      <c r="A280" s="193">
        <v>14460.0</v>
      </c>
      <c r="B280" s="232" t="s">
        <v>264</v>
      </c>
      <c r="C280" s="193">
        <v>2026.0</v>
      </c>
      <c r="D280" s="199"/>
      <c r="E280" s="196"/>
      <c r="F280" s="199"/>
      <c r="G280" s="237"/>
      <c r="H280" s="199"/>
      <c r="I280" s="233"/>
      <c r="J280" s="199"/>
      <c r="K280" s="193" t="s">
        <v>206</v>
      </c>
      <c r="L280" s="232" t="s">
        <v>146</v>
      </c>
      <c r="M280" s="199"/>
      <c r="N280" s="193" t="s">
        <v>475</v>
      </c>
      <c r="O280" s="193" t="s">
        <v>206</v>
      </c>
      <c r="P280" s="193" t="s">
        <v>206</v>
      </c>
      <c r="Q280" s="199"/>
      <c r="R280" s="193" t="s">
        <v>279</v>
      </c>
      <c r="S280" s="193" t="s">
        <v>50</v>
      </c>
      <c r="T280" s="193" t="s">
        <v>616</v>
      </c>
      <c r="U280" s="193" t="s">
        <v>617</v>
      </c>
      <c r="V280" s="193" t="s">
        <v>50</v>
      </c>
      <c r="W280" s="193" t="s">
        <v>264</v>
      </c>
      <c r="X280" s="193" t="s">
        <v>252</v>
      </c>
      <c r="Y280" s="200">
        <v>3.0</v>
      </c>
      <c r="Z280" s="202" t="s">
        <v>214</v>
      </c>
      <c r="AA280" s="202" t="s">
        <v>215</v>
      </c>
      <c r="AB280" s="203">
        <v>162000.0</v>
      </c>
      <c r="AC280" s="203">
        <v>162000.0</v>
      </c>
      <c r="AD280" s="204">
        <v>46168.0</v>
      </c>
      <c r="AE280" s="204">
        <v>46229.0</v>
      </c>
      <c r="AF280" s="205"/>
      <c r="AG280" s="219"/>
      <c r="AH280" s="219"/>
      <c r="AI280" s="219"/>
      <c r="AJ280" s="219"/>
      <c r="AK280" s="219"/>
      <c r="AL280" s="219"/>
      <c r="AM280" s="219"/>
      <c r="AN280" s="219"/>
      <c r="AO280" s="219"/>
    </row>
    <row r="281">
      <c r="A281" s="193">
        <v>14480.0</v>
      </c>
      <c r="B281" s="232" t="s">
        <v>264</v>
      </c>
      <c r="C281" s="193">
        <v>2026.0</v>
      </c>
      <c r="D281" s="199"/>
      <c r="E281" s="199"/>
      <c r="F281" s="199"/>
      <c r="G281" s="233"/>
      <c r="H281" s="199"/>
      <c r="I281" s="233"/>
      <c r="J281" s="199"/>
      <c r="K281" s="193" t="s">
        <v>206</v>
      </c>
      <c r="L281" s="232" t="s">
        <v>146</v>
      </c>
      <c r="M281" s="199"/>
      <c r="N281" s="193" t="s">
        <v>475</v>
      </c>
      <c r="O281" s="193" t="s">
        <v>206</v>
      </c>
      <c r="P281" s="193" t="s">
        <v>206</v>
      </c>
      <c r="Q281" s="199"/>
      <c r="R281" s="193" t="s">
        <v>279</v>
      </c>
      <c r="S281" s="193" t="s">
        <v>50</v>
      </c>
      <c r="T281" s="193" t="s">
        <v>618</v>
      </c>
      <c r="U281" s="193" t="s">
        <v>619</v>
      </c>
      <c r="V281" s="193" t="s">
        <v>50</v>
      </c>
      <c r="W281" s="193" t="s">
        <v>264</v>
      </c>
      <c r="X281" s="193" t="s">
        <v>252</v>
      </c>
      <c r="Y281" s="200">
        <v>3.0</v>
      </c>
      <c r="Z281" s="202" t="s">
        <v>214</v>
      </c>
      <c r="AA281" s="202" t="s">
        <v>215</v>
      </c>
      <c r="AB281" s="203">
        <v>162000.0</v>
      </c>
      <c r="AC281" s="203">
        <v>162000.0</v>
      </c>
      <c r="AD281" s="276">
        <v>46168.0</v>
      </c>
      <c r="AE281" s="204">
        <v>46229.0</v>
      </c>
      <c r="AF281" s="205"/>
      <c r="AG281" s="219"/>
      <c r="AH281" s="219"/>
      <c r="AI281" s="219"/>
      <c r="AJ281" s="219"/>
      <c r="AK281" s="219"/>
      <c r="AL281" s="219"/>
      <c r="AM281" s="219"/>
      <c r="AN281" s="219"/>
      <c r="AO281" s="219"/>
    </row>
    <row r="282">
      <c r="A282" s="193">
        <v>14500.0</v>
      </c>
      <c r="B282" s="232" t="s">
        <v>264</v>
      </c>
      <c r="C282" s="193">
        <v>2026.0</v>
      </c>
      <c r="D282" s="199"/>
      <c r="E282" s="199"/>
      <c r="F282" s="199"/>
      <c r="G282" s="248"/>
      <c r="H282" s="199"/>
      <c r="I282" s="248"/>
      <c r="J282" s="199"/>
      <c r="K282" s="193" t="s">
        <v>206</v>
      </c>
      <c r="L282" s="232" t="s">
        <v>146</v>
      </c>
      <c r="M282" s="199"/>
      <c r="N282" s="193" t="s">
        <v>207</v>
      </c>
      <c r="O282" s="193" t="s">
        <v>206</v>
      </c>
      <c r="P282" s="193" t="s">
        <v>206</v>
      </c>
      <c r="Q282" s="199"/>
      <c r="R282" s="193" t="s">
        <v>279</v>
      </c>
      <c r="S282" s="193" t="s">
        <v>50</v>
      </c>
      <c r="T282" s="193" t="s">
        <v>479</v>
      </c>
      <c r="U282" s="193" t="s">
        <v>620</v>
      </c>
      <c r="V282" s="193" t="s">
        <v>50</v>
      </c>
      <c r="W282" s="193" t="s">
        <v>264</v>
      </c>
      <c r="X282" s="193" t="s">
        <v>252</v>
      </c>
      <c r="Y282" s="200">
        <v>3.0</v>
      </c>
      <c r="Z282" s="202" t="s">
        <v>233</v>
      </c>
      <c r="AA282" s="202" t="s">
        <v>215</v>
      </c>
      <c r="AB282" s="203">
        <v>430000.0</v>
      </c>
      <c r="AC282" s="203">
        <v>430000.0</v>
      </c>
      <c r="AD282" s="204">
        <v>46168.0</v>
      </c>
      <c r="AE282" s="204">
        <v>46229.0</v>
      </c>
      <c r="AF282" s="205"/>
      <c r="AG282" s="219"/>
      <c r="AH282" s="219"/>
      <c r="AI282" s="219"/>
      <c r="AJ282" s="219"/>
      <c r="AK282" s="219"/>
      <c r="AL282" s="219"/>
      <c r="AM282" s="219"/>
      <c r="AN282" s="219"/>
      <c r="AO282" s="219"/>
    </row>
    <row r="283">
      <c r="A283" s="193">
        <v>14520.0</v>
      </c>
      <c r="B283" s="232" t="s">
        <v>264</v>
      </c>
      <c r="C283" s="193">
        <v>2026.0</v>
      </c>
      <c r="D283" s="199"/>
      <c r="E283" s="199"/>
      <c r="F283" s="199"/>
      <c r="G283" s="233"/>
      <c r="H283" s="199"/>
      <c r="I283" s="233"/>
      <c r="J283" s="199"/>
      <c r="K283" s="193" t="s">
        <v>206</v>
      </c>
      <c r="L283" s="232" t="s">
        <v>146</v>
      </c>
      <c r="M283" s="199"/>
      <c r="N283" s="193" t="s">
        <v>207</v>
      </c>
      <c r="O283" s="193" t="s">
        <v>206</v>
      </c>
      <c r="P283" s="193" t="s">
        <v>206</v>
      </c>
      <c r="Q283" s="199"/>
      <c r="R283" s="193" t="s">
        <v>279</v>
      </c>
      <c r="S283" s="193" t="s">
        <v>50</v>
      </c>
      <c r="T283" s="193" t="s">
        <v>479</v>
      </c>
      <c r="U283" s="193" t="s">
        <v>620</v>
      </c>
      <c r="V283" s="193" t="s">
        <v>50</v>
      </c>
      <c r="W283" s="193" t="s">
        <v>264</v>
      </c>
      <c r="X283" s="193" t="s">
        <v>252</v>
      </c>
      <c r="Y283" s="200">
        <v>3.0</v>
      </c>
      <c r="Z283" s="202" t="s">
        <v>233</v>
      </c>
      <c r="AA283" s="202" t="s">
        <v>215</v>
      </c>
      <c r="AB283" s="203">
        <v>378000.0</v>
      </c>
      <c r="AC283" s="203">
        <v>378000.0</v>
      </c>
      <c r="AD283" s="204">
        <v>46168.0</v>
      </c>
      <c r="AE283" s="204">
        <v>46229.0</v>
      </c>
      <c r="AF283" s="205"/>
      <c r="AG283" s="219"/>
      <c r="AH283" s="219"/>
      <c r="AI283" s="219"/>
      <c r="AJ283" s="219"/>
      <c r="AK283" s="219"/>
      <c r="AL283" s="219"/>
      <c r="AM283" s="219"/>
      <c r="AN283" s="219"/>
      <c r="AO283" s="219"/>
    </row>
    <row r="284">
      <c r="A284" s="193">
        <v>14540.0</v>
      </c>
      <c r="B284" s="232" t="s">
        <v>264</v>
      </c>
      <c r="C284" s="193">
        <v>2026.0</v>
      </c>
      <c r="D284" s="199"/>
      <c r="E284" s="199"/>
      <c r="F284" s="199"/>
      <c r="G284" s="248"/>
      <c r="H284" s="199"/>
      <c r="I284" s="248"/>
      <c r="J284" s="199"/>
      <c r="K284" s="193" t="s">
        <v>206</v>
      </c>
      <c r="L284" s="232" t="s">
        <v>146</v>
      </c>
      <c r="M284" s="199"/>
      <c r="N284" s="193" t="s">
        <v>207</v>
      </c>
      <c r="O284" s="193" t="s">
        <v>206</v>
      </c>
      <c r="P284" s="193" t="s">
        <v>206</v>
      </c>
      <c r="Q284" s="199"/>
      <c r="R284" s="193" t="s">
        <v>279</v>
      </c>
      <c r="S284" s="193" t="s">
        <v>50</v>
      </c>
      <c r="T284" s="193" t="s">
        <v>479</v>
      </c>
      <c r="U284" s="193" t="s">
        <v>620</v>
      </c>
      <c r="V284" s="193" t="s">
        <v>50</v>
      </c>
      <c r="W284" s="193" t="s">
        <v>264</v>
      </c>
      <c r="X284" s="193" t="s">
        <v>252</v>
      </c>
      <c r="Y284" s="200">
        <v>3.0</v>
      </c>
      <c r="Z284" s="202" t="s">
        <v>233</v>
      </c>
      <c r="AA284" s="202" t="s">
        <v>215</v>
      </c>
      <c r="AB284" s="203">
        <v>135000.0</v>
      </c>
      <c r="AC284" s="203">
        <v>135000.0</v>
      </c>
      <c r="AD284" s="204">
        <v>46168.0</v>
      </c>
      <c r="AE284" s="204">
        <v>46229.0</v>
      </c>
      <c r="AF284" s="205"/>
      <c r="AG284" s="219"/>
      <c r="AH284" s="219"/>
      <c r="AI284" s="219"/>
      <c r="AJ284" s="219"/>
      <c r="AK284" s="219"/>
      <c r="AL284" s="219"/>
      <c r="AM284" s="219"/>
      <c r="AN284" s="219"/>
      <c r="AO284" s="219"/>
    </row>
    <row r="285">
      <c r="A285" s="193">
        <v>14560.0</v>
      </c>
      <c r="B285" s="232" t="s">
        <v>264</v>
      </c>
      <c r="C285" s="193">
        <v>2026.0</v>
      </c>
      <c r="D285" s="199"/>
      <c r="E285" s="199"/>
      <c r="F285" s="199"/>
      <c r="G285" s="256"/>
      <c r="H285" s="199"/>
      <c r="I285" s="256"/>
      <c r="J285" s="199"/>
      <c r="K285" s="193" t="s">
        <v>206</v>
      </c>
      <c r="L285" s="232" t="s">
        <v>146</v>
      </c>
      <c r="M285" s="199"/>
      <c r="N285" s="193" t="s">
        <v>207</v>
      </c>
      <c r="O285" s="193" t="s">
        <v>206</v>
      </c>
      <c r="P285" s="193" t="s">
        <v>206</v>
      </c>
      <c r="Q285" s="207"/>
      <c r="R285" s="208" t="s">
        <v>279</v>
      </c>
      <c r="S285" s="193" t="s">
        <v>50</v>
      </c>
      <c r="T285" s="193" t="s">
        <v>479</v>
      </c>
      <c r="U285" s="193" t="s">
        <v>620</v>
      </c>
      <c r="V285" s="193" t="s">
        <v>50</v>
      </c>
      <c r="W285" s="193" t="s">
        <v>264</v>
      </c>
      <c r="X285" s="193" t="s">
        <v>252</v>
      </c>
      <c r="Y285" s="200">
        <v>3.0</v>
      </c>
      <c r="Z285" s="202" t="s">
        <v>233</v>
      </c>
      <c r="AA285" s="202" t="s">
        <v>215</v>
      </c>
      <c r="AB285" s="203">
        <v>621000.0</v>
      </c>
      <c r="AC285" s="203">
        <v>621000.0</v>
      </c>
      <c r="AD285" s="204">
        <v>46168.0</v>
      </c>
      <c r="AE285" s="204">
        <v>46229.0</v>
      </c>
      <c r="AF285" s="205"/>
      <c r="AG285" s="219"/>
      <c r="AH285" s="219"/>
      <c r="AI285" s="219"/>
      <c r="AJ285" s="219"/>
      <c r="AK285" s="219"/>
      <c r="AL285" s="219"/>
      <c r="AM285" s="219"/>
      <c r="AN285" s="219"/>
      <c r="AO285" s="219"/>
    </row>
    <row r="286">
      <c r="A286" s="193">
        <v>14580.0</v>
      </c>
      <c r="B286" s="194" t="s">
        <v>203</v>
      </c>
      <c r="C286" s="193">
        <v>2026.0</v>
      </c>
      <c r="D286" s="195">
        <v>2048.0</v>
      </c>
      <c r="E286" s="193">
        <v>80.0</v>
      </c>
      <c r="F286" s="199"/>
      <c r="G286" s="248"/>
      <c r="H286" s="199"/>
      <c r="I286" s="220"/>
      <c r="J286" s="199"/>
      <c r="K286" s="193" t="s">
        <v>206</v>
      </c>
      <c r="L286" s="194" t="s">
        <v>144</v>
      </c>
      <c r="M286" s="199"/>
      <c r="N286" s="193" t="s">
        <v>621</v>
      </c>
      <c r="O286" s="193" t="s">
        <v>206</v>
      </c>
      <c r="P286" s="193" t="s">
        <v>206</v>
      </c>
      <c r="Q286" s="207"/>
      <c r="R286" s="208" t="s">
        <v>228</v>
      </c>
      <c r="S286" s="193" t="s">
        <v>46</v>
      </c>
      <c r="T286" s="193" t="s">
        <v>622</v>
      </c>
      <c r="U286" s="193" t="s">
        <v>623</v>
      </c>
      <c r="V286" s="193" t="s">
        <v>624</v>
      </c>
      <c r="W286" s="193" t="s">
        <v>212</v>
      </c>
      <c r="X286" s="193" t="s">
        <v>213</v>
      </c>
      <c r="Y286" s="200">
        <v>3.0</v>
      </c>
      <c r="Z286" s="202" t="s">
        <v>214</v>
      </c>
      <c r="AA286" s="202" t="s">
        <v>625</v>
      </c>
      <c r="AB286" s="221"/>
      <c r="AC286" s="203">
        <v>2000000.0</v>
      </c>
      <c r="AD286" s="204">
        <v>46382.0</v>
      </c>
      <c r="AE286" s="204">
        <v>46080.0</v>
      </c>
      <c r="AF286" s="226" t="s">
        <v>626</v>
      </c>
      <c r="AG286" s="219"/>
      <c r="AH286" s="219"/>
      <c r="AI286" s="219"/>
      <c r="AJ286" s="219"/>
      <c r="AK286" s="219"/>
      <c r="AL286" s="219"/>
      <c r="AM286" s="219"/>
      <c r="AN286" s="219"/>
      <c r="AO286" s="219"/>
    </row>
    <row r="287">
      <c r="A287" s="193">
        <v>14600.0</v>
      </c>
      <c r="B287" s="194" t="s">
        <v>203</v>
      </c>
      <c r="C287" s="193">
        <v>2026.0</v>
      </c>
      <c r="D287" s="195">
        <v>2048.0</v>
      </c>
      <c r="E287" s="199"/>
      <c r="F287" s="208" t="s">
        <v>204</v>
      </c>
      <c r="G287" s="198">
        <v>46191.0</v>
      </c>
      <c r="H287" s="193">
        <v>446.0</v>
      </c>
      <c r="I287" s="198">
        <v>46191.0</v>
      </c>
      <c r="J287" s="193" t="s">
        <v>307</v>
      </c>
      <c r="K287" s="193" t="s">
        <v>206</v>
      </c>
      <c r="L287" s="194" t="s">
        <v>144</v>
      </c>
      <c r="M287" s="199"/>
      <c r="N287" s="193" t="s">
        <v>207</v>
      </c>
      <c r="O287" s="193" t="s">
        <v>206</v>
      </c>
      <c r="P287" s="193" t="s">
        <v>206</v>
      </c>
      <c r="Q287" s="207"/>
      <c r="R287" s="208" t="s">
        <v>208</v>
      </c>
      <c r="S287" s="193" t="s">
        <v>39</v>
      </c>
      <c r="T287" s="193" t="s">
        <v>209</v>
      </c>
      <c r="U287" s="193" t="s">
        <v>576</v>
      </c>
      <c r="V287" s="193" t="s">
        <v>211</v>
      </c>
      <c r="W287" s="193" t="s">
        <v>212</v>
      </c>
      <c r="X287" s="193" t="s">
        <v>213</v>
      </c>
      <c r="Y287" s="200">
        <v>3.0</v>
      </c>
      <c r="Z287" s="202" t="s">
        <v>214</v>
      </c>
      <c r="AA287" s="202" t="s">
        <v>215</v>
      </c>
      <c r="AB287" s="203">
        <v>1464159.32</v>
      </c>
      <c r="AC287" s="203">
        <v>1464159.32</v>
      </c>
      <c r="AD287" s="204">
        <v>46199.0</v>
      </c>
      <c r="AE287" s="204">
        <v>46260.0</v>
      </c>
      <c r="AF287" s="226" t="s">
        <v>268</v>
      </c>
      <c r="AG287" s="219"/>
      <c r="AH287" s="206"/>
      <c r="AI287" s="206"/>
      <c r="AJ287" s="206"/>
      <c r="AK287" s="206"/>
      <c r="AL287" s="206"/>
      <c r="AM287" s="206"/>
      <c r="AN287" s="206"/>
      <c r="AO287" s="206"/>
    </row>
    <row r="288">
      <c r="A288" s="193">
        <v>14601.0</v>
      </c>
      <c r="B288" s="194" t="s">
        <v>203</v>
      </c>
      <c r="C288" s="193">
        <v>2026.0</v>
      </c>
      <c r="D288" s="193" t="s">
        <v>627</v>
      </c>
      <c r="E288" s="199"/>
      <c r="F288" s="193" t="s">
        <v>204</v>
      </c>
      <c r="G288" s="230">
        <v>46119.0</v>
      </c>
      <c r="H288" s="193" t="s">
        <v>628</v>
      </c>
      <c r="I288" s="215">
        <v>46119.0</v>
      </c>
      <c r="J288" s="193" t="s">
        <v>629</v>
      </c>
      <c r="K288" s="193" t="s">
        <v>206</v>
      </c>
      <c r="L288" s="194" t="s">
        <v>144</v>
      </c>
      <c r="M288" s="199"/>
      <c r="N288" s="193" t="s">
        <v>207</v>
      </c>
      <c r="O288" s="193" t="s">
        <v>206</v>
      </c>
      <c r="P288" s="193" t="s">
        <v>206</v>
      </c>
      <c r="Q288" s="207"/>
      <c r="R288" s="208" t="s">
        <v>630</v>
      </c>
      <c r="S288" s="193" t="s">
        <v>39</v>
      </c>
      <c r="T288" s="193" t="s">
        <v>209</v>
      </c>
      <c r="U288" s="193" t="s">
        <v>576</v>
      </c>
      <c r="V288" s="193" t="s">
        <v>211</v>
      </c>
      <c r="W288" s="193" t="s">
        <v>212</v>
      </c>
      <c r="X288" s="193" t="s">
        <v>213</v>
      </c>
      <c r="Y288" s="200">
        <v>3.0</v>
      </c>
      <c r="Z288" s="202" t="s">
        <v>214</v>
      </c>
      <c r="AA288" s="202" t="s">
        <v>215</v>
      </c>
      <c r="AB288" s="203">
        <v>845840.68</v>
      </c>
      <c r="AC288" s="203">
        <v>845840.68</v>
      </c>
      <c r="AD288" s="258">
        <v>46138.0</v>
      </c>
      <c r="AE288" s="204">
        <v>46260.0</v>
      </c>
      <c r="AF288" s="205"/>
      <c r="AG288" s="219"/>
      <c r="AH288" s="219"/>
      <c r="AI288" s="219"/>
      <c r="AJ288" s="219"/>
      <c r="AK288" s="219"/>
      <c r="AL288" s="219"/>
      <c r="AM288" s="219"/>
      <c r="AN288" s="219"/>
      <c r="AO288" s="219"/>
    </row>
    <row r="289">
      <c r="A289" s="193">
        <v>14620.0</v>
      </c>
      <c r="B289" s="194" t="s">
        <v>203</v>
      </c>
      <c r="C289" s="193">
        <v>2026.0</v>
      </c>
      <c r="D289" s="195">
        <v>2048.0</v>
      </c>
      <c r="E289" s="222" t="s">
        <v>590</v>
      </c>
      <c r="F289" s="272"/>
      <c r="G289" s="298"/>
      <c r="H289" s="199"/>
      <c r="I289" s="220"/>
      <c r="J289" s="199"/>
      <c r="K289" s="243" t="s">
        <v>206</v>
      </c>
      <c r="L289" s="194" t="s">
        <v>144</v>
      </c>
      <c r="M289" s="199"/>
      <c r="N289" s="193" t="s">
        <v>621</v>
      </c>
      <c r="O289" s="193" t="s">
        <v>206</v>
      </c>
      <c r="P289" s="193" t="s">
        <v>206</v>
      </c>
      <c r="Q289" s="207"/>
      <c r="R289" s="208" t="s">
        <v>208</v>
      </c>
      <c r="S289" s="193" t="s">
        <v>39</v>
      </c>
      <c r="T289" s="193" t="s">
        <v>622</v>
      </c>
      <c r="U289" s="193" t="s">
        <v>623</v>
      </c>
      <c r="V289" s="193" t="s">
        <v>624</v>
      </c>
      <c r="W289" s="193" t="s">
        <v>212</v>
      </c>
      <c r="X289" s="193" t="s">
        <v>213</v>
      </c>
      <c r="Y289" s="200">
        <v>3.0</v>
      </c>
      <c r="Z289" s="202" t="s">
        <v>214</v>
      </c>
      <c r="AA289" s="202" t="s">
        <v>625</v>
      </c>
      <c r="AB289" s="221"/>
      <c r="AC289" s="203">
        <v>5736000.0</v>
      </c>
      <c r="AD289" s="204">
        <v>46382.0</v>
      </c>
      <c r="AE289" s="204">
        <v>46080.0</v>
      </c>
      <c r="AF289" s="226" t="s">
        <v>631</v>
      </c>
      <c r="AG289" s="219"/>
      <c r="AH289" s="219"/>
      <c r="AI289" s="219"/>
      <c r="AJ289" s="219"/>
      <c r="AK289" s="219"/>
      <c r="AL289" s="219"/>
      <c r="AM289" s="219"/>
      <c r="AN289" s="219"/>
      <c r="AO289" s="219"/>
    </row>
    <row r="290">
      <c r="A290" s="193">
        <v>14640.0</v>
      </c>
      <c r="B290" s="194" t="s">
        <v>203</v>
      </c>
      <c r="C290" s="193">
        <v>2026.0</v>
      </c>
      <c r="D290" s="260">
        <v>2048.0</v>
      </c>
      <c r="E290" s="199"/>
      <c r="F290" s="193" t="s">
        <v>204</v>
      </c>
      <c r="G290" s="299">
        <v>46213.0</v>
      </c>
      <c r="H290" s="208">
        <v>578.0</v>
      </c>
      <c r="I290" s="246">
        <v>46213.0</v>
      </c>
      <c r="J290" s="193" t="s">
        <v>226</v>
      </c>
      <c r="K290" s="193" t="s">
        <v>206</v>
      </c>
      <c r="L290" s="194" t="s">
        <v>144</v>
      </c>
      <c r="M290" s="199"/>
      <c r="N290" s="193" t="s">
        <v>207</v>
      </c>
      <c r="O290" s="193" t="s">
        <v>206</v>
      </c>
      <c r="P290" s="193" t="s">
        <v>206</v>
      </c>
      <c r="Q290" s="207"/>
      <c r="R290" s="208" t="s">
        <v>219</v>
      </c>
      <c r="S290" s="193" t="s">
        <v>44</v>
      </c>
      <c r="T290" s="193" t="s">
        <v>220</v>
      </c>
      <c r="U290" s="193" t="s">
        <v>632</v>
      </c>
      <c r="V290" s="193" t="s">
        <v>211</v>
      </c>
      <c r="W290" s="193" t="s">
        <v>212</v>
      </c>
      <c r="X290" s="193" t="s">
        <v>213</v>
      </c>
      <c r="Y290" s="200">
        <v>3.0</v>
      </c>
      <c r="Z290" s="202" t="s">
        <v>214</v>
      </c>
      <c r="AA290" s="202" t="s">
        <v>215</v>
      </c>
      <c r="AB290" s="221"/>
      <c r="AC290" s="203">
        <v>332718.75</v>
      </c>
      <c r="AD290" s="204">
        <v>46229.0</v>
      </c>
      <c r="AE290" s="204">
        <v>46291.0</v>
      </c>
      <c r="AF290" s="226" t="s">
        <v>633</v>
      </c>
      <c r="AG290" s="219"/>
      <c r="AH290" s="219"/>
      <c r="AI290" s="219"/>
      <c r="AJ290" s="219"/>
      <c r="AK290" s="219"/>
      <c r="AL290" s="219"/>
      <c r="AM290" s="219"/>
      <c r="AN290" s="219"/>
      <c r="AO290" s="219"/>
    </row>
    <row r="291">
      <c r="A291" s="193">
        <v>14660.0</v>
      </c>
      <c r="B291" s="194" t="s">
        <v>203</v>
      </c>
      <c r="C291" s="193">
        <v>2026.0</v>
      </c>
      <c r="D291" s="195">
        <v>2048.0</v>
      </c>
      <c r="E291" s="207"/>
      <c r="F291" s="193" t="s">
        <v>204</v>
      </c>
      <c r="G291" s="197">
        <v>46121.0</v>
      </c>
      <c r="H291" s="193">
        <v>259.0</v>
      </c>
      <c r="I291" s="198">
        <v>46121.0</v>
      </c>
      <c r="J291" s="193" t="s">
        <v>351</v>
      </c>
      <c r="K291" s="193" t="s">
        <v>206</v>
      </c>
      <c r="L291" s="194" t="s">
        <v>144</v>
      </c>
      <c r="M291" s="199"/>
      <c r="N291" s="193" t="s">
        <v>207</v>
      </c>
      <c r="O291" s="193" t="s">
        <v>206</v>
      </c>
      <c r="P291" s="193" t="s">
        <v>206</v>
      </c>
      <c r="Q291" s="199"/>
      <c r="R291" s="193" t="s">
        <v>208</v>
      </c>
      <c r="S291" s="193" t="s">
        <v>39</v>
      </c>
      <c r="T291" s="193" t="s">
        <v>294</v>
      </c>
      <c r="U291" s="193" t="s">
        <v>634</v>
      </c>
      <c r="V291" s="193" t="s">
        <v>296</v>
      </c>
      <c r="W291" s="193" t="s">
        <v>212</v>
      </c>
      <c r="X291" s="193" t="s">
        <v>223</v>
      </c>
      <c r="Y291" s="200">
        <v>3.0</v>
      </c>
      <c r="Z291" s="202" t="s">
        <v>214</v>
      </c>
      <c r="AA291" s="202" t="s">
        <v>215</v>
      </c>
      <c r="AB291" s="203">
        <v>1057110.0</v>
      </c>
      <c r="AC291" s="203">
        <v>1057110.0</v>
      </c>
      <c r="AD291" s="258">
        <v>46138.0</v>
      </c>
      <c r="AE291" s="204">
        <v>46229.0</v>
      </c>
      <c r="AF291" s="226" t="s">
        <v>461</v>
      </c>
      <c r="AG291" s="219"/>
      <c r="AH291" s="219"/>
      <c r="AI291" s="219"/>
      <c r="AJ291" s="219"/>
      <c r="AK291" s="219"/>
      <c r="AL291" s="219"/>
      <c r="AM291" s="219"/>
      <c r="AN291" s="219"/>
      <c r="AO291" s="219"/>
    </row>
    <row r="292">
      <c r="A292" s="193">
        <v>14680.0</v>
      </c>
      <c r="B292" s="194" t="s">
        <v>203</v>
      </c>
      <c r="C292" s="193">
        <v>2026.0</v>
      </c>
      <c r="D292" s="195">
        <v>2048.0</v>
      </c>
      <c r="E292" s="196"/>
      <c r="F292" s="193" t="s">
        <v>204</v>
      </c>
      <c r="G292" s="246">
        <v>46191.0</v>
      </c>
      <c r="H292" s="193">
        <v>446.0</v>
      </c>
      <c r="I292" s="230">
        <v>46191.0</v>
      </c>
      <c r="J292" s="193" t="s">
        <v>307</v>
      </c>
      <c r="K292" s="193" t="s">
        <v>206</v>
      </c>
      <c r="L292" s="194" t="s">
        <v>144</v>
      </c>
      <c r="M292" s="199"/>
      <c r="N292" s="193" t="s">
        <v>207</v>
      </c>
      <c r="O292" s="193" t="s">
        <v>206</v>
      </c>
      <c r="P292" s="193" t="s">
        <v>206</v>
      </c>
      <c r="Q292" s="207"/>
      <c r="R292" s="208" t="s">
        <v>208</v>
      </c>
      <c r="S292" s="193" t="s">
        <v>39</v>
      </c>
      <c r="T292" s="193" t="s">
        <v>209</v>
      </c>
      <c r="U292" s="193" t="s">
        <v>634</v>
      </c>
      <c r="V292" s="193" t="s">
        <v>211</v>
      </c>
      <c r="W292" s="193" t="s">
        <v>212</v>
      </c>
      <c r="X292" s="193" t="s">
        <v>223</v>
      </c>
      <c r="Y292" s="200">
        <v>3.0</v>
      </c>
      <c r="Z292" s="202" t="s">
        <v>214</v>
      </c>
      <c r="AA292" s="202" t="s">
        <v>215</v>
      </c>
      <c r="AB292" s="203">
        <v>4072680.0</v>
      </c>
      <c r="AC292" s="203">
        <v>4072680.0</v>
      </c>
      <c r="AD292" s="204">
        <v>46199.0</v>
      </c>
      <c r="AE292" s="204">
        <v>46260.0</v>
      </c>
      <c r="AF292" s="226" t="s">
        <v>635</v>
      </c>
      <c r="AG292" s="219"/>
      <c r="AH292" s="219"/>
      <c r="AI292" s="219"/>
      <c r="AJ292" s="219"/>
      <c r="AK292" s="219"/>
      <c r="AL292" s="219"/>
      <c r="AM292" s="219"/>
      <c r="AN292" s="219"/>
      <c r="AO292" s="219"/>
    </row>
    <row r="293">
      <c r="A293" s="193">
        <v>14700.0</v>
      </c>
      <c r="B293" s="194" t="s">
        <v>203</v>
      </c>
      <c r="C293" s="193">
        <v>2026.0</v>
      </c>
      <c r="D293" s="193" t="s">
        <v>636</v>
      </c>
      <c r="E293" s="199"/>
      <c r="F293" s="208" t="s">
        <v>204</v>
      </c>
      <c r="G293" s="198">
        <v>46154.0</v>
      </c>
      <c r="H293" s="193">
        <v>340.0</v>
      </c>
      <c r="I293" s="198">
        <v>46160.0</v>
      </c>
      <c r="J293" s="193" t="s">
        <v>495</v>
      </c>
      <c r="K293" s="193" t="s">
        <v>206</v>
      </c>
      <c r="L293" s="194" t="s">
        <v>144</v>
      </c>
      <c r="M293" s="199"/>
      <c r="N293" s="193" t="s">
        <v>207</v>
      </c>
      <c r="O293" s="193" t="s">
        <v>206</v>
      </c>
      <c r="P293" s="193" t="s">
        <v>206</v>
      </c>
      <c r="Q293" s="199"/>
      <c r="R293" s="193" t="s">
        <v>269</v>
      </c>
      <c r="S293" s="193" t="s">
        <v>49</v>
      </c>
      <c r="T293" s="193" t="s">
        <v>356</v>
      </c>
      <c r="U293" s="193" t="s">
        <v>637</v>
      </c>
      <c r="V293" s="193" t="s">
        <v>211</v>
      </c>
      <c r="W293" s="193" t="s">
        <v>212</v>
      </c>
      <c r="X293" s="193" t="s">
        <v>223</v>
      </c>
      <c r="Y293" s="200">
        <v>3.0</v>
      </c>
      <c r="Z293" s="202" t="s">
        <v>214</v>
      </c>
      <c r="AA293" s="202" t="s">
        <v>215</v>
      </c>
      <c r="AB293" s="221"/>
      <c r="AC293" s="203">
        <v>1892821.0</v>
      </c>
      <c r="AD293" s="204">
        <v>46168.0</v>
      </c>
      <c r="AE293" s="204">
        <v>46260.0</v>
      </c>
      <c r="AF293" s="205"/>
      <c r="AG293" s="219"/>
      <c r="AH293" s="219"/>
      <c r="AI293" s="219"/>
      <c r="AJ293" s="219"/>
      <c r="AK293" s="219"/>
      <c r="AL293" s="219"/>
      <c r="AM293" s="219"/>
      <c r="AN293" s="219"/>
      <c r="AO293" s="219"/>
    </row>
    <row r="294">
      <c r="A294" s="193">
        <v>14720.0</v>
      </c>
      <c r="B294" s="194" t="s">
        <v>203</v>
      </c>
      <c r="C294" s="193">
        <v>2026.0</v>
      </c>
      <c r="D294" s="195">
        <v>2048.0</v>
      </c>
      <c r="E294" s="199"/>
      <c r="F294" s="193" t="s">
        <v>204</v>
      </c>
      <c r="G294" s="223">
        <v>46099.0</v>
      </c>
      <c r="H294" s="193">
        <v>189.0</v>
      </c>
      <c r="I294" s="223">
        <v>46099.0</v>
      </c>
      <c r="J294" s="193" t="s">
        <v>638</v>
      </c>
      <c r="K294" s="193" t="s">
        <v>206</v>
      </c>
      <c r="L294" s="194" t="s">
        <v>144</v>
      </c>
      <c r="M294" s="199"/>
      <c r="N294" s="193" t="s">
        <v>207</v>
      </c>
      <c r="O294" s="193" t="s">
        <v>206</v>
      </c>
      <c r="P294" s="193" t="s">
        <v>244</v>
      </c>
      <c r="Q294" s="199"/>
      <c r="R294" s="193" t="s">
        <v>228</v>
      </c>
      <c r="S294" s="193" t="s">
        <v>46</v>
      </c>
      <c r="T294" s="193" t="s">
        <v>377</v>
      </c>
      <c r="U294" s="193" t="s">
        <v>639</v>
      </c>
      <c r="V294" s="193" t="s">
        <v>155</v>
      </c>
      <c r="W294" s="193" t="s">
        <v>203</v>
      </c>
      <c r="X294" s="193" t="s">
        <v>252</v>
      </c>
      <c r="Y294" s="200">
        <v>3.0</v>
      </c>
      <c r="Z294" s="202" t="s">
        <v>233</v>
      </c>
      <c r="AA294" s="202" t="s">
        <v>215</v>
      </c>
      <c r="AB294" s="203">
        <v>750000.0</v>
      </c>
      <c r="AC294" s="203">
        <v>750000.0</v>
      </c>
      <c r="AD294" s="204">
        <v>46107.0</v>
      </c>
      <c r="AE294" s="204">
        <v>46260.0</v>
      </c>
      <c r="AF294" s="205"/>
      <c r="AG294" s="219"/>
      <c r="AH294" s="206"/>
      <c r="AI294" s="206"/>
      <c r="AJ294" s="206"/>
      <c r="AK294" s="206"/>
      <c r="AL294" s="206"/>
      <c r="AM294" s="206"/>
      <c r="AN294" s="206"/>
      <c r="AO294" s="206"/>
    </row>
    <row r="295">
      <c r="A295" s="193">
        <v>14740.0</v>
      </c>
      <c r="B295" s="194" t="s">
        <v>203</v>
      </c>
      <c r="C295" s="193">
        <v>2026.0</v>
      </c>
      <c r="D295" s="195">
        <v>2048.0</v>
      </c>
      <c r="E295" s="199"/>
      <c r="F295" s="193" t="s">
        <v>204</v>
      </c>
      <c r="G295" s="230">
        <v>46073.0</v>
      </c>
      <c r="H295" s="193">
        <v>82.0</v>
      </c>
      <c r="I295" s="223">
        <v>46073.0</v>
      </c>
      <c r="J295" s="193" t="s">
        <v>243</v>
      </c>
      <c r="K295" s="193" t="s">
        <v>206</v>
      </c>
      <c r="L295" s="194" t="s">
        <v>144</v>
      </c>
      <c r="M295" s="199"/>
      <c r="N295" s="193" t="s">
        <v>227</v>
      </c>
      <c r="O295" s="193" t="s">
        <v>206</v>
      </c>
      <c r="P295" s="193" t="s">
        <v>244</v>
      </c>
      <c r="Q295" s="199"/>
      <c r="R295" s="193" t="s">
        <v>228</v>
      </c>
      <c r="S295" s="193" t="s">
        <v>46</v>
      </c>
      <c r="T295" s="193" t="s">
        <v>245</v>
      </c>
      <c r="U295" s="193" t="s">
        <v>543</v>
      </c>
      <c r="V295" s="193" t="s">
        <v>155</v>
      </c>
      <c r="W295" s="193" t="s">
        <v>203</v>
      </c>
      <c r="X295" s="193" t="s">
        <v>232</v>
      </c>
      <c r="Y295" s="200">
        <v>3.0</v>
      </c>
      <c r="Z295" s="202" t="s">
        <v>214</v>
      </c>
      <c r="AA295" s="202" t="s">
        <v>234</v>
      </c>
      <c r="AB295" s="221"/>
      <c r="AC295" s="203">
        <v>96786.0</v>
      </c>
      <c r="AD295" s="276">
        <v>46079.0</v>
      </c>
      <c r="AE295" s="204">
        <v>46321.0</v>
      </c>
      <c r="AF295" s="205"/>
      <c r="AG295" s="219"/>
      <c r="AH295" s="219"/>
      <c r="AI295" s="219"/>
      <c r="AJ295" s="219"/>
      <c r="AK295" s="219"/>
      <c r="AL295" s="219"/>
      <c r="AM295" s="219"/>
      <c r="AN295" s="219"/>
      <c r="AO295" s="219"/>
    </row>
    <row r="296">
      <c r="A296" s="193">
        <v>14760.0</v>
      </c>
      <c r="B296" s="194" t="s">
        <v>203</v>
      </c>
      <c r="C296" s="193">
        <v>2026.0</v>
      </c>
      <c r="D296" s="195">
        <v>2048.0</v>
      </c>
      <c r="E296" s="193">
        <v>141.0</v>
      </c>
      <c r="F296" s="193" t="s">
        <v>272</v>
      </c>
      <c r="G296" s="248"/>
      <c r="H296" s="199"/>
      <c r="I296" s="235"/>
      <c r="J296" s="199"/>
      <c r="K296" s="193" t="s">
        <v>206</v>
      </c>
      <c r="L296" s="194" t="s">
        <v>144</v>
      </c>
      <c r="M296" s="199"/>
      <c r="N296" s="193" t="s">
        <v>227</v>
      </c>
      <c r="O296" s="193" t="s">
        <v>206</v>
      </c>
      <c r="P296" s="193" t="s">
        <v>244</v>
      </c>
      <c r="Q296" s="207"/>
      <c r="R296" s="208" t="s">
        <v>228</v>
      </c>
      <c r="S296" s="193" t="s">
        <v>46</v>
      </c>
      <c r="T296" s="193" t="s">
        <v>245</v>
      </c>
      <c r="U296" s="193" t="s">
        <v>328</v>
      </c>
      <c r="V296" s="193" t="s">
        <v>155</v>
      </c>
      <c r="W296" s="193" t="s">
        <v>203</v>
      </c>
      <c r="X296" s="193" t="s">
        <v>232</v>
      </c>
      <c r="Y296" s="200">
        <v>3.0</v>
      </c>
      <c r="Z296" s="202" t="s">
        <v>214</v>
      </c>
      <c r="AA296" s="202" t="s">
        <v>234</v>
      </c>
      <c r="AB296" s="221"/>
      <c r="AC296" s="203" t="s">
        <v>275</v>
      </c>
      <c r="AD296" s="249">
        <v>46321.0</v>
      </c>
      <c r="AE296" s="204">
        <v>46200.0</v>
      </c>
      <c r="AF296" s="226" t="s">
        <v>435</v>
      </c>
      <c r="AG296" s="219"/>
      <c r="AH296" s="219"/>
      <c r="AI296" s="219"/>
      <c r="AJ296" s="219"/>
      <c r="AK296" s="219"/>
      <c r="AL296" s="219"/>
      <c r="AM296" s="219"/>
      <c r="AN296" s="219"/>
      <c r="AO296" s="219"/>
    </row>
    <row r="297">
      <c r="A297" s="193">
        <v>14780.0</v>
      </c>
      <c r="B297" s="194" t="s">
        <v>203</v>
      </c>
      <c r="C297" s="193">
        <v>2026.0</v>
      </c>
      <c r="D297" s="195">
        <v>2048.0</v>
      </c>
      <c r="E297" s="199"/>
      <c r="F297" s="193" t="s">
        <v>204</v>
      </c>
      <c r="G297" s="230">
        <v>46098.0</v>
      </c>
      <c r="H297" s="193">
        <v>177.0</v>
      </c>
      <c r="I297" s="223">
        <v>46098.0</v>
      </c>
      <c r="J297" s="193" t="s">
        <v>599</v>
      </c>
      <c r="K297" s="193" t="s">
        <v>206</v>
      </c>
      <c r="L297" s="194" t="s">
        <v>144</v>
      </c>
      <c r="M297" s="199"/>
      <c r="N297" s="193" t="s">
        <v>207</v>
      </c>
      <c r="O297" s="193" t="s">
        <v>206</v>
      </c>
      <c r="P297" s="193" t="s">
        <v>244</v>
      </c>
      <c r="Q297" s="207"/>
      <c r="R297" s="208" t="s">
        <v>219</v>
      </c>
      <c r="S297" s="193" t="s">
        <v>43</v>
      </c>
      <c r="T297" s="193" t="s">
        <v>512</v>
      </c>
      <c r="U297" s="193" t="s">
        <v>640</v>
      </c>
      <c r="V297" s="193" t="s">
        <v>155</v>
      </c>
      <c r="W297" s="193" t="s">
        <v>203</v>
      </c>
      <c r="X297" s="193" t="s">
        <v>252</v>
      </c>
      <c r="Y297" s="200">
        <v>3.0</v>
      </c>
      <c r="Z297" s="202" t="s">
        <v>214</v>
      </c>
      <c r="AA297" s="202" t="s">
        <v>215</v>
      </c>
      <c r="AB297" s="203">
        <v>3800000.0</v>
      </c>
      <c r="AC297" s="203">
        <v>3800000.0</v>
      </c>
      <c r="AD297" s="276">
        <v>46107.0</v>
      </c>
      <c r="AE297" s="204">
        <v>46291.0</v>
      </c>
      <c r="AF297" s="205"/>
      <c r="AG297" s="219"/>
      <c r="AH297" s="219"/>
      <c r="AI297" s="219"/>
      <c r="AJ297" s="219"/>
      <c r="AK297" s="219"/>
      <c r="AL297" s="219"/>
      <c r="AM297" s="219"/>
      <c r="AN297" s="219"/>
      <c r="AO297" s="219"/>
    </row>
    <row r="298">
      <c r="A298" s="193">
        <v>14800.0</v>
      </c>
      <c r="B298" s="194" t="s">
        <v>203</v>
      </c>
      <c r="C298" s="193">
        <v>2026.0</v>
      </c>
      <c r="D298" s="195">
        <v>2048.0</v>
      </c>
      <c r="E298" s="193">
        <v>72.0</v>
      </c>
      <c r="F298" s="193" t="s">
        <v>272</v>
      </c>
      <c r="G298" s="248"/>
      <c r="H298" s="199"/>
      <c r="I298" s="235"/>
      <c r="J298" s="199"/>
      <c r="K298" s="193" t="s">
        <v>206</v>
      </c>
      <c r="L298" s="194" t="s">
        <v>144</v>
      </c>
      <c r="M298" s="199"/>
      <c r="N298" s="193" t="s">
        <v>227</v>
      </c>
      <c r="O298" s="193" t="s">
        <v>206</v>
      </c>
      <c r="P298" s="193" t="s">
        <v>244</v>
      </c>
      <c r="Q298" s="207"/>
      <c r="R298" s="208" t="s">
        <v>219</v>
      </c>
      <c r="S298" s="193" t="s">
        <v>43</v>
      </c>
      <c r="T298" s="193" t="s">
        <v>229</v>
      </c>
      <c r="U298" s="193" t="s">
        <v>641</v>
      </c>
      <c r="V298" s="193" t="s">
        <v>155</v>
      </c>
      <c r="W298" s="193" t="s">
        <v>203</v>
      </c>
      <c r="X298" s="193" t="s">
        <v>232</v>
      </c>
      <c r="Y298" s="200">
        <v>3.0</v>
      </c>
      <c r="Z298" s="202" t="s">
        <v>233</v>
      </c>
      <c r="AA298" s="202" t="s">
        <v>234</v>
      </c>
      <c r="AB298" s="221"/>
      <c r="AC298" s="203" t="s">
        <v>275</v>
      </c>
      <c r="AD298" s="204">
        <v>46291.0</v>
      </c>
      <c r="AE298" s="204">
        <v>46049.0</v>
      </c>
      <c r="AF298" s="226" t="s">
        <v>435</v>
      </c>
      <c r="AG298" s="219"/>
      <c r="AH298" s="219"/>
      <c r="AI298" s="219"/>
      <c r="AJ298" s="219"/>
      <c r="AK298" s="219"/>
      <c r="AL298" s="219"/>
      <c r="AM298" s="219"/>
      <c r="AN298" s="219"/>
      <c r="AO298" s="219"/>
    </row>
    <row r="299">
      <c r="A299" s="193">
        <v>14820.0</v>
      </c>
      <c r="B299" s="194" t="s">
        <v>203</v>
      </c>
      <c r="C299" s="193">
        <v>2026.0</v>
      </c>
      <c r="D299" s="195">
        <v>2048.0</v>
      </c>
      <c r="E299" s="199"/>
      <c r="F299" s="193" t="s">
        <v>204</v>
      </c>
      <c r="G299" s="198">
        <v>46265.0</v>
      </c>
      <c r="H299" s="193">
        <v>13250.0</v>
      </c>
      <c r="I299" s="198">
        <v>46265.0</v>
      </c>
      <c r="J299" s="193" t="s">
        <v>262</v>
      </c>
      <c r="K299" s="193" t="s">
        <v>206</v>
      </c>
      <c r="L299" s="194" t="s">
        <v>144</v>
      </c>
      <c r="M299" s="199"/>
      <c r="N299" s="193" t="s">
        <v>475</v>
      </c>
      <c r="O299" s="193" t="s">
        <v>206</v>
      </c>
      <c r="P299" s="193" t="s">
        <v>206</v>
      </c>
      <c r="Q299" s="207"/>
      <c r="R299" s="208" t="s">
        <v>279</v>
      </c>
      <c r="S299" s="193" t="s">
        <v>50</v>
      </c>
      <c r="T299" s="193" t="s">
        <v>522</v>
      </c>
      <c r="U299" s="193" t="s">
        <v>664</v>
      </c>
      <c r="V299" s="193" t="s">
        <v>524</v>
      </c>
      <c r="W299" s="193" t="s">
        <v>264</v>
      </c>
      <c r="X299" s="193" t="s">
        <v>232</v>
      </c>
      <c r="Y299" s="200">
        <v>3.0</v>
      </c>
      <c r="Z299" s="202" t="s">
        <v>214</v>
      </c>
      <c r="AA299" s="202" t="s">
        <v>215</v>
      </c>
      <c r="AB299" s="203">
        <v>100429.8</v>
      </c>
      <c r="AC299" s="203">
        <v>100429.8</v>
      </c>
      <c r="AD299" s="204">
        <v>46229.0</v>
      </c>
      <c r="AE299" s="204">
        <v>46291.0</v>
      </c>
      <c r="AF299" s="205"/>
      <c r="AG299" s="206"/>
      <c r="AH299" s="206"/>
      <c r="AI299" s="206"/>
      <c r="AJ299" s="206"/>
      <c r="AK299" s="206"/>
      <c r="AL299" s="206"/>
      <c r="AM299" s="206"/>
      <c r="AN299" s="206"/>
      <c r="AO299" s="206"/>
    </row>
    <row r="300">
      <c r="A300" s="193">
        <v>14821.0</v>
      </c>
      <c r="B300" s="194" t="s">
        <v>203</v>
      </c>
      <c r="C300" s="193">
        <v>2026.0</v>
      </c>
      <c r="D300" s="195">
        <v>2048.0</v>
      </c>
      <c r="E300" s="199"/>
      <c r="F300" s="193" t="s">
        <v>204</v>
      </c>
      <c r="G300" s="230">
        <v>46104.0</v>
      </c>
      <c r="H300" s="193">
        <v>204.0</v>
      </c>
      <c r="I300" s="223">
        <v>46104.0</v>
      </c>
      <c r="J300" s="193" t="s">
        <v>666</v>
      </c>
      <c r="K300" s="193" t="s">
        <v>206</v>
      </c>
      <c r="L300" s="194" t="s">
        <v>144</v>
      </c>
      <c r="M300" s="199"/>
      <c r="N300" s="193" t="s">
        <v>667</v>
      </c>
      <c r="O300" s="193" t="s">
        <v>206</v>
      </c>
      <c r="P300" s="193" t="s">
        <v>206</v>
      </c>
      <c r="Q300" s="207"/>
      <c r="R300" s="208" t="s">
        <v>279</v>
      </c>
      <c r="S300" s="193" t="s">
        <v>50</v>
      </c>
      <c r="T300" s="193" t="s">
        <v>522</v>
      </c>
      <c r="U300" s="193" t="s">
        <v>664</v>
      </c>
      <c r="V300" s="193" t="s">
        <v>524</v>
      </c>
      <c r="W300" s="193" t="s">
        <v>264</v>
      </c>
      <c r="X300" s="193" t="s">
        <v>232</v>
      </c>
      <c r="Y300" s="200">
        <v>4.0</v>
      </c>
      <c r="Z300" s="202" t="s">
        <v>531</v>
      </c>
      <c r="AA300" s="202" t="s">
        <v>215</v>
      </c>
      <c r="AB300" s="203">
        <v>27720.0</v>
      </c>
      <c r="AC300" s="203">
        <v>27720.0</v>
      </c>
      <c r="AD300" s="204">
        <v>46107.0</v>
      </c>
      <c r="AE300" s="204">
        <v>46138.0</v>
      </c>
      <c r="AF300" s="205"/>
      <c r="AG300" s="219"/>
      <c r="AH300" s="219"/>
      <c r="AI300" s="219"/>
      <c r="AJ300" s="219"/>
      <c r="AK300" s="219"/>
      <c r="AL300" s="219"/>
      <c r="AM300" s="219"/>
      <c r="AN300" s="219"/>
      <c r="AO300" s="219"/>
    </row>
    <row r="301">
      <c r="A301" s="193">
        <v>14822.0</v>
      </c>
      <c r="B301" s="194" t="s">
        <v>203</v>
      </c>
      <c r="C301" s="193">
        <v>2026.0</v>
      </c>
      <c r="D301" s="195">
        <v>2048.0</v>
      </c>
      <c r="E301" s="199"/>
      <c r="F301" s="193" t="s">
        <v>204</v>
      </c>
      <c r="G301" s="230">
        <v>46163.0</v>
      </c>
      <c r="H301" s="193">
        <v>364.0</v>
      </c>
      <c r="I301" s="223">
        <v>46163.0</v>
      </c>
      <c r="J301" s="193" t="s">
        <v>537</v>
      </c>
      <c r="K301" s="193" t="s">
        <v>206</v>
      </c>
      <c r="L301" s="194" t="s">
        <v>144</v>
      </c>
      <c r="M301" s="199"/>
      <c r="N301" s="193" t="s">
        <v>475</v>
      </c>
      <c r="O301" s="193" t="s">
        <v>206</v>
      </c>
      <c r="P301" s="193" t="s">
        <v>206</v>
      </c>
      <c r="Q301" s="207"/>
      <c r="R301" s="208" t="s">
        <v>279</v>
      </c>
      <c r="S301" s="193" t="s">
        <v>50</v>
      </c>
      <c r="T301" s="193" t="s">
        <v>522</v>
      </c>
      <c r="U301" s="343" t="s">
        <v>668</v>
      </c>
      <c r="V301" s="193" t="s">
        <v>524</v>
      </c>
      <c r="W301" s="193" t="s">
        <v>264</v>
      </c>
      <c r="X301" s="193" t="s">
        <v>232</v>
      </c>
      <c r="Y301" s="200">
        <v>4.0</v>
      </c>
      <c r="Z301" s="202" t="s">
        <v>531</v>
      </c>
      <c r="AA301" s="202" t="s">
        <v>215</v>
      </c>
      <c r="AB301" s="203">
        <v>24068.34</v>
      </c>
      <c r="AC301" s="203">
        <v>24068.34</v>
      </c>
      <c r="AD301" s="204">
        <v>46168.0</v>
      </c>
      <c r="AE301" s="204">
        <v>46138.0</v>
      </c>
      <c r="AF301" s="205"/>
      <c r="AG301" s="219"/>
      <c r="AH301" s="219"/>
      <c r="AI301" s="219"/>
      <c r="AJ301" s="219"/>
      <c r="AK301" s="219"/>
      <c r="AL301" s="219"/>
      <c r="AM301" s="219"/>
      <c r="AN301" s="219"/>
      <c r="AO301" s="219"/>
    </row>
    <row r="302">
      <c r="A302" s="193">
        <v>14823.0</v>
      </c>
      <c r="B302" s="194" t="s">
        <v>203</v>
      </c>
      <c r="C302" s="193">
        <v>2026.0</v>
      </c>
      <c r="D302" s="195">
        <v>2048.0</v>
      </c>
      <c r="E302" s="199"/>
      <c r="F302" s="193" t="s">
        <v>204</v>
      </c>
      <c r="G302" s="223">
        <v>46266.0</v>
      </c>
      <c r="H302" s="193">
        <v>13303.0</v>
      </c>
      <c r="I302" s="223">
        <v>46266.0</v>
      </c>
      <c r="J302" s="193" t="s">
        <v>669</v>
      </c>
      <c r="K302" s="193" t="s">
        <v>206</v>
      </c>
      <c r="L302" s="194" t="s">
        <v>144</v>
      </c>
      <c r="M302" s="199"/>
      <c r="N302" s="193" t="s">
        <v>670</v>
      </c>
      <c r="O302" s="193" t="s">
        <v>206</v>
      </c>
      <c r="P302" s="193" t="s">
        <v>670</v>
      </c>
      <c r="Q302" s="207"/>
      <c r="R302" s="208" t="s">
        <v>279</v>
      </c>
      <c r="S302" s="193" t="s">
        <v>50</v>
      </c>
      <c r="T302" s="193" t="s">
        <v>529</v>
      </c>
      <c r="U302" s="344" t="s">
        <v>671</v>
      </c>
      <c r="V302" s="193" t="s">
        <v>231</v>
      </c>
      <c r="W302" s="193" t="s">
        <v>264</v>
      </c>
      <c r="X302" s="193" t="s">
        <v>232</v>
      </c>
      <c r="Y302" s="200">
        <v>3.0</v>
      </c>
      <c r="Z302" s="202" t="s">
        <v>233</v>
      </c>
      <c r="AA302" s="202" t="s">
        <v>215</v>
      </c>
      <c r="AB302" s="203">
        <v>27556.01</v>
      </c>
      <c r="AC302" s="203">
        <v>27556.01</v>
      </c>
      <c r="AD302" s="204">
        <v>46229.0</v>
      </c>
      <c r="AE302" s="204">
        <v>46291.0</v>
      </c>
      <c r="AF302" s="205"/>
      <c r="AG302" s="219"/>
      <c r="AH302" s="219"/>
      <c r="AI302" s="219"/>
      <c r="AJ302" s="219"/>
      <c r="AK302" s="219"/>
      <c r="AL302" s="219"/>
      <c r="AM302" s="219"/>
      <c r="AN302" s="219"/>
      <c r="AO302" s="219"/>
    </row>
    <row r="303">
      <c r="A303" s="193">
        <v>14824.0</v>
      </c>
      <c r="B303" s="194" t="s">
        <v>203</v>
      </c>
      <c r="C303" s="193">
        <v>2026.0</v>
      </c>
      <c r="D303" s="195">
        <v>2048.0</v>
      </c>
      <c r="E303" s="199"/>
      <c r="F303" s="193" t="s">
        <v>204</v>
      </c>
      <c r="G303" s="223">
        <v>46213.0</v>
      </c>
      <c r="H303" s="193">
        <v>586.0</v>
      </c>
      <c r="I303" s="223">
        <v>46213.0</v>
      </c>
      <c r="J303" s="193" t="s">
        <v>267</v>
      </c>
      <c r="K303" s="193" t="s">
        <v>206</v>
      </c>
      <c r="L303" s="194" t="s">
        <v>144</v>
      </c>
      <c r="M303" s="199"/>
      <c r="N303" s="193" t="s">
        <v>485</v>
      </c>
      <c r="O303" s="193" t="s">
        <v>206</v>
      </c>
      <c r="P303" s="193" t="s">
        <v>485</v>
      </c>
      <c r="Q303" s="207"/>
      <c r="R303" s="208" t="s">
        <v>279</v>
      </c>
      <c r="S303" s="193" t="s">
        <v>50</v>
      </c>
      <c r="T303" s="193" t="s">
        <v>529</v>
      </c>
      <c r="U303" s="344" t="s">
        <v>671</v>
      </c>
      <c r="V303" s="193" t="s">
        <v>231</v>
      </c>
      <c r="W303" s="193" t="s">
        <v>264</v>
      </c>
      <c r="X303" s="193" t="s">
        <v>232</v>
      </c>
      <c r="Y303" s="200">
        <v>3.0</v>
      </c>
      <c r="Z303" s="202" t="s">
        <v>233</v>
      </c>
      <c r="AA303" s="202" t="s">
        <v>215</v>
      </c>
      <c r="AB303" s="203">
        <v>2959.86</v>
      </c>
      <c r="AC303" s="203">
        <v>2959.86</v>
      </c>
      <c r="AD303" s="204">
        <v>46229.0</v>
      </c>
      <c r="AE303" s="204">
        <v>46291.0</v>
      </c>
      <c r="AF303" s="205"/>
      <c r="AG303" s="219"/>
      <c r="AH303" s="219"/>
      <c r="AI303" s="219"/>
      <c r="AJ303" s="219"/>
      <c r="AK303" s="219"/>
      <c r="AL303" s="219"/>
      <c r="AM303" s="219"/>
      <c r="AN303" s="219"/>
      <c r="AO303" s="219"/>
    </row>
    <row r="304">
      <c r="A304" s="193">
        <v>14825.0</v>
      </c>
      <c r="B304" s="194" t="s">
        <v>203</v>
      </c>
      <c r="C304" s="193">
        <v>2026.0</v>
      </c>
      <c r="D304" s="195">
        <v>2048.0</v>
      </c>
      <c r="E304" s="199"/>
      <c r="F304" s="193" t="s">
        <v>204</v>
      </c>
      <c r="G304" s="230">
        <v>46238.0</v>
      </c>
      <c r="H304" s="193">
        <v>649.0</v>
      </c>
      <c r="I304" s="223">
        <v>46238.0</v>
      </c>
      <c r="J304" s="193" t="s">
        <v>672</v>
      </c>
      <c r="K304" s="193" t="s">
        <v>206</v>
      </c>
      <c r="L304" s="194" t="s">
        <v>144</v>
      </c>
      <c r="M304" s="199"/>
      <c r="N304" s="193" t="s">
        <v>673</v>
      </c>
      <c r="O304" s="193" t="s">
        <v>206</v>
      </c>
      <c r="P304" s="193" t="s">
        <v>673</v>
      </c>
      <c r="Q304" s="207"/>
      <c r="R304" s="208" t="s">
        <v>279</v>
      </c>
      <c r="S304" s="193" t="s">
        <v>50</v>
      </c>
      <c r="T304" s="227" t="s">
        <v>529</v>
      </c>
      <c r="U304" s="344" t="s">
        <v>671</v>
      </c>
      <c r="V304" s="193" t="s">
        <v>231</v>
      </c>
      <c r="W304" s="193" t="s">
        <v>264</v>
      </c>
      <c r="X304" s="193" t="s">
        <v>232</v>
      </c>
      <c r="Y304" s="200">
        <v>3.0</v>
      </c>
      <c r="Z304" s="202" t="s">
        <v>233</v>
      </c>
      <c r="AA304" s="202" t="s">
        <v>215</v>
      </c>
      <c r="AB304" s="203">
        <v>12241.16</v>
      </c>
      <c r="AC304" s="203">
        <v>12241.16</v>
      </c>
      <c r="AD304" s="204">
        <v>46229.0</v>
      </c>
      <c r="AE304" s="204">
        <v>46291.0</v>
      </c>
      <c r="AF304" s="205"/>
      <c r="AG304" s="219"/>
      <c r="AH304" s="219"/>
      <c r="AI304" s="219"/>
      <c r="AJ304" s="219"/>
      <c r="AK304" s="219"/>
      <c r="AL304" s="219"/>
      <c r="AM304" s="219"/>
      <c r="AN304" s="219"/>
      <c r="AO304" s="219"/>
    </row>
    <row r="305">
      <c r="A305" s="193">
        <v>14826.0</v>
      </c>
      <c r="B305" s="194" t="s">
        <v>203</v>
      </c>
      <c r="C305" s="193">
        <v>2026.0</v>
      </c>
      <c r="D305" s="195">
        <v>2048.0</v>
      </c>
      <c r="E305" s="199"/>
      <c r="F305" s="193" t="s">
        <v>204</v>
      </c>
      <c r="G305" s="223">
        <v>46213.0</v>
      </c>
      <c r="H305" s="193">
        <v>588.0</v>
      </c>
      <c r="I305" s="223">
        <v>46213.0</v>
      </c>
      <c r="J305" s="193" t="s">
        <v>674</v>
      </c>
      <c r="K305" s="193" t="s">
        <v>206</v>
      </c>
      <c r="L305" s="194" t="s">
        <v>144</v>
      </c>
      <c r="M305" s="199"/>
      <c r="N305" s="193" t="s">
        <v>675</v>
      </c>
      <c r="O305" s="193" t="s">
        <v>206</v>
      </c>
      <c r="P305" s="193" t="s">
        <v>676</v>
      </c>
      <c r="Q305" s="207"/>
      <c r="R305" s="208" t="s">
        <v>279</v>
      </c>
      <c r="S305" s="193" t="s">
        <v>50</v>
      </c>
      <c r="T305" s="227" t="s">
        <v>529</v>
      </c>
      <c r="U305" s="345" t="s">
        <v>671</v>
      </c>
      <c r="V305" s="227" t="s">
        <v>231</v>
      </c>
      <c r="W305" s="193" t="s">
        <v>264</v>
      </c>
      <c r="X305" s="193" t="s">
        <v>232</v>
      </c>
      <c r="Y305" s="200">
        <v>3.0</v>
      </c>
      <c r="Z305" s="346" t="s">
        <v>233</v>
      </c>
      <c r="AA305" s="202" t="s">
        <v>215</v>
      </c>
      <c r="AB305" s="203">
        <v>1057.95</v>
      </c>
      <c r="AC305" s="203">
        <v>1057.95</v>
      </c>
      <c r="AD305" s="204">
        <v>46229.0</v>
      </c>
      <c r="AE305" s="204">
        <v>46291.0</v>
      </c>
      <c r="AF305" s="205"/>
      <c r="AG305" s="219"/>
      <c r="AH305" s="219"/>
      <c r="AI305" s="219"/>
      <c r="AJ305" s="219"/>
      <c r="AK305" s="219"/>
      <c r="AL305" s="219"/>
      <c r="AM305" s="219"/>
      <c r="AN305" s="219"/>
      <c r="AO305" s="219"/>
    </row>
    <row r="306">
      <c r="A306" s="193">
        <v>14827.0</v>
      </c>
      <c r="B306" s="194" t="s">
        <v>203</v>
      </c>
      <c r="C306" s="193">
        <v>2026.0</v>
      </c>
      <c r="D306" s="195">
        <v>2048.0</v>
      </c>
      <c r="E306" s="199"/>
      <c r="F306" s="193" t="s">
        <v>204</v>
      </c>
      <c r="G306" s="223">
        <v>46213.0</v>
      </c>
      <c r="H306" s="193">
        <v>585.0</v>
      </c>
      <c r="I306" s="223">
        <v>46213.0</v>
      </c>
      <c r="J306" s="193" t="s">
        <v>677</v>
      </c>
      <c r="K306" s="193" t="s">
        <v>206</v>
      </c>
      <c r="L306" s="194" t="s">
        <v>144</v>
      </c>
      <c r="M306" s="199"/>
      <c r="N306" s="193" t="s">
        <v>207</v>
      </c>
      <c r="O306" s="193" t="s">
        <v>206</v>
      </c>
      <c r="P306" s="193" t="s">
        <v>206</v>
      </c>
      <c r="Q306" s="207"/>
      <c r="R306" s="208" t="s">
        <v>279</v>
      </c>
      <c r="S306" s="224" t="s">
        <v>50</v>
      </c>
      <c r="T306" s="193" t="s">
        <v>529</v>
      </c>
      <c r="U306" s="344" t="s">
        <v>671</v>
      </c>
      <c r="V306" s="193" t="s">
        <v>231</v>
      </c>
      <c r="W306" s="208" t="s">
        <v>264</v>
      </c>
      <c r="X306" s="193" t="s">
        <v>232</v>
      </c>
      <c r="Y306" s="278">
        <v>3.0</v>
      </c>
      <c r="Z306" s="202" t="s">
        <v>233</v>
      </c>
      <c r="AA306" s="280" t="s">
        <v>215</v>
      </c>
      <c r="AB306" s="203">
        <v>278039.72</v>
      </c>
      <c r="AC306" s="203">
        <v>278039.72</v>
      </c>
      <c r="AD306" s="204">
        <v>46229.0</v>
      </c>
      <c r="AE306" s="204">
        <v>46291.0</v>
      </c>
      <c r="AF306" s="205"/>
      <c r="AG306" s="219"/>
      <c r="AH306" s="219"/>
      <c r="AI306" s="219"/>
      <c r="AJ306" s="219"/>
      <c r="AK306" s="219"/>
      <c r="AL306" s="219"/>
      <c r="AM306" s="219"/>
      <c r="AN306" s="219"/>
      <c r="AO306" s="219"/>
    </row>
    <row r="307">
      <c r="A307" s="193">
        <v>14828.0</v>
      </c>
      <c r="B307" s="194" t="s">
        <v>203</v>
      </c>
      <c r="C307" s="193">
        <v>2026.0</v>
      </c>
      <c r="D307" s="195">
        <v>2048.0</v>
      </c>
      <c r="E307" s="196"/>
      <c r="F307" s="241" t="s">
        <v>204</v>
      </c>
      <c r="G307" s="283">
        <v>46241.0</v>
      </c>
      <c r="H307" s="193">
        <v>653.0</v>
      </c>
      <c r="I307" s="223">
        <v>46241.0</v>
      </c>
      <c r="J307" s="193" t="s">
        <v>678</v>
      </c>
      <c r="K307" s="193" t="s">
        <v>206</v>
      </c>
      <c r="L307" s="194" t="s">
        <v>144</v>
      </c>
      <c r="M307" s="199"/>
      <c r="N307" s="193" t="s">
        <v>475</v>
      </c>
      <c r="O307" s="193" t="s">
        <v>206</v>
      </c>
      <c r="P307" s="193" t="s">
        <v>206</v>
      </c>
      <c r="Q307" s="207"/>
      <c r="R307" s="208" t="s">
        <v>279</v>
      </c>
      <c r="S307" s="224" t="s">
        <v>50</v>
      </c>
      <c r="T307" s="193" t="s">
        <v>522</v>
      </c>
      <c r="U307" s="193" t="s">
        <v>664</v>
      </c>
      <c r="V307" s="193" t="s">
        <v>524</v>
      </c>
      <c r="W307" s="208" t="s">
        <v>264</v>
      </c>
      <c r="X307" s="193" t="s">
        <v>232</v>
      </c>
      <c r="Y307" s="278">
        <v>4.0</v>
      </c>
      <c r="Z307" s="202" t="s">
        <v>531</v>
      </c>
      <c r="AA307" s="280" t="s">
        <v>215</v>
      </c>
      <c r="AB307" s="203">
        <v>11927.16</v>
      </c>
      <c r="AC307" s="203">
        <v>11927.16</v>
      </c>
      <c r="AD307" s="204">
        <v>46260.0</v>
      </c>
      <c r="AE307" s="204">
        <v>46291.0</v>
      </c>
      <c r="AF307" s="205"/>
      <c r="AG307" s="219"/>
      <c r="AH307" s="219"/>
      <c r="AI307" s="219"/>
      <c r="AJ307" s="219"/>
      <c r="AK307" s="219"/>
      <c r="AL307" s="219"/>
      <c r="AM307" s="219"/>
      <c r="AN307" s="219"/>
      <c r="AO307" s="219"/>
    </row>
    <row r="308">
      <c r="A308" s="193">
        <v>14840.0</v>
      </c>
      <c r="B308" s="232" t="s">
        <v>264</v>
      </c>
      <c r="C308" s="193">
        <v>2026.0</v>
      </c>
      <c r="D308" s="199"/>
      <c r="E308" s="196"/>
      <c r="F308" s="199"/>
      <c r="G308" s="266"/>
      <c r="H308" s="199"/>
      <c r="I308" s="220"/>
      <c r="J308" s="199"/>
      <c r="K308" s="193" t="s">
        <v>206</v>
      </c>
      <c r="L308" s="232" t="s">
        <v>146</v>
      </c>
      <c r="M308" s="199"/>
      <c r="N308" s="193" t="s">
        <v>207</v>
      </c>
      <c r="O308" s="193" t="s">
        <v>206</v>
      </c>
      <c r="P308" s="193" t="s">
        <v>206</v>
      </c>
      <c r="Q308" s="207"/>
      <c r="R308" s="208" t="s">
        <v>279</v>
      </c>
      <c r="S308" s="193" t="s">
        <v>50</v>
      </c>
      <c r="T308" s="208" t="s">
        <v>329</v>
      </c>
      <c r="U308" s="208" t="s">
        <v>679</v>
      </c>
      <c r="V308" s="193" t="s">
        <v>50</v>
      </c>
      <c r="W308" s="208" t="s">
        <v>264</v>
      </c>
      <c r="X308" s="193" t="s">
        <v>232</v>
      </c>
      <c r="Y308" s="278">
        <v>3.0</v>
      </c>
      <c r="Z308" s="202" t="s">
        <v>233</v>
      </c>
      <c r="AA308" s="280" t="s">
        <v>215</v>
      </c>
      <c r="AB308" s="203">
        <v>1000000.0</v>
      </c>
      <c r="AC308" s="203">
        <v>1000000.0</v>
      </c>
      <c r="AD308" s="204">
        <v>46199.0</v>
      </c>
      <c r="AE308" s="204">
        <v>46260.0</v>
      </c>
      <c r="AF308" s="205"/>
      <c r="AG308" s="219"/>
      <c r="AH308" s="219"/>
      <c r="AI308" s="219"/>
      <c r="AJ308" s="219"/>
      <c r="AK308" s="219"/>
      <c r="AL308" s="219"/>
      <c r="AM308" s="219"/>
      <c r="AN308" s="219"/>
      <c r="AO308" s="219"/>
    </row>
    <row r="309">
      <c r="A309" s="193">
        <v>14860.0</v>
      </c>
      <c r="B309" s="232" t="s">
        <v>264</v>
      </c>
      <c r="C309" s="193">
        <v>2026.0</v>
      </c>
      <c r="D309" s="199"/>
      <c r="E309" s="196"/>
      <c r="F309" s="199"/>
      <c r="G309" s="225"/>
      <c r="H309" s="199"/>
      <c r="I309" s="220"/>
      <c r="J309" s="199"/>
      <c r="K309" s="193" t="s">
        <v>206</v>
      </c>
      <c r="L309" s="232" t="s">
        <v>146</v>
      </c>
      <c r="M309" s="199"/>
      <c r="N309" s="193" t="s">
        <v>475</v>
      </c>
      <c r="O309" s="193" t="s">
        <v>206</v>
      </c>
      <c r="P309" s="193" t="s">
        <v>206</v>
      </c>
      <c r="Q309" s="207"/>
      <c r="R309" s="208" t="s">
        <v>279</v>
      </c>
      <c r="S309" s="193" t="s">
        <v>50</v>
      </c>
      <c r="T309" s="193" t="s">
        <v>536</v>
      </c>
      <c r="U309" s="193" t="s">
        <v>535</v>
      </c>
      <c r="V309" s="193" t="s">
        <v>50</v>
      </c>
      <c r="W309" s="208" t="s">
        <v>264</v>
      </c>
      <c r="X309" s="193" t="s">
        <v>232</v>
      </c>
      <c r="Y309" s="278">
        <v>3.0</v>
      </c>
      <c r="Z309" s="202" t="s">
        <v>233</v>
      </c>
      <c r="AA309" s="280" t="s">
        <v>215</v>
      </c>
      <c r="AB309" s="203">
        <v>54000.0</v>
      </c>
      <c r="AC309" s="203">
        <v>54000.0</v>
      </c>
      <c r="AD309" s="204">
        <v>46199.0</v>
      </c>
      <c r="AE309" s="204">
        <v>46260.0</v>
      </c>
      <c r="AF309" s="205"/>
      <c r="AG309" s="219"/>
      <c r="AH309" s="219"/>
      <c r="AI309" s="219"/>
      <c r="AJ309" s="219"/>
      <c r="AK309" s="219"/>
      <c r="AL309" s="219"/>
      <c r="AM309" s="219"/>
      <c r="AN309" s="219"/>
      <c r="AO309" s="219"/>
    </row>
    <row r="310">
      <c r="A310" s="193">
        <v>14880.0</v>
      </c>
      <c r="B310" s="232" t="s">
        <v>264</v>
      </c>
      <c r="C310" s="193">
        <v>2026.0</v>
      </c>
      <c r="D310" s="199"/>
      <c r="E310" s="199"/>
      <c r="F310" s="207"/>
      <c r="G310" s="235"/>
      <c r="H310" s="199"/>
      <c r="I310" s="220"/>
      <c r="J310" s="199"/>
      <c r="K310" s="193" t="s">
        <v>206</v>
      </c>
      <c r="L310" s="232" t="s">
        <v>146</v>
      </c>
      <c r="M310" s="199"/>
      <c r="N310" s="193" t="s">
        <v>227</v>
      </c>
      <c r="O310" s="193" t="s">
        <v>206</v>
      </c>
      <c r="P310" s="193" t="s">
        <v>206</v>
      </c>
      <c r="Q310" s="199"/>
      <c r="R310" s="193" t="s">
        <v>279</v>
      </c>
      <c r="S310" s="193" t="s">
        <v>50</v>
      </c>
      <c r="T310" s="193" t="s">
        <v>680</v>
      </c>
      <c r="U310" s="193" t="s">
        <v>681</v>
      </c>
      <c r="V310" s="208" t="s">
        <v>50</v>
      </c>
      <c r="W310" s="193" t="s">
        <v>264</v>
      </c>
      <c r="X310" s="193" t="s">
        <v>232</v>
      </c>
      <c r="Y310" s="200">
        <v>4.0</v>
      </c>
      <c r="Z310" s="280" t="s">
        <v>531</v>
      </c>
      <c r="AA310" s="202" t="s">
        <v>234</v>
      </c>
      <c r="AB310" s="221"/>
      <c r="AC310" s="203">
        <v>399000.0</v>
      </c>
      <c r="AD310" s="204">
        <v>46199.0</v>
      </c>
      <c r="AE310" s="204">
        <v>46260.0</v>
      </c>
      <c r="AF310" s="205"/>
      <c r="AG310" s="219"/>
      <c r="AH310" s="219"/>
      <c r="AI310" s="219"/>
      <c r="AJ310" s="219"/>
      <c r="AK310" s="219"/>
      <c r="AL310" s="219"/>
      <c r="AM310" s="219"/>
      <c r="AN310" s="219"/>
      <c r="AO310" s="219"/>
    </row>
    <row r="311">
      <c r="A311" s="193">
        <v>14900.0</v>
      </c>
      <c r="B311" s="232" t="s">
        <v>264</v>
      </c>
      <c r="C311" s="193">
        <v>2026.0</v>
      </c>
      <c r="D311" s="199"/>
      <c r="E311" s="199"/>
      <c r="F311" s="199"/>
      <c r="G311" s="233"/>
      <c r="H311" s="199"/>
      <c r="I311" s="235"/>
      <c r="J311" s="199"/>
      <c r="K311" s="193" t="s">
        <v>206</v>
      </c>
      <c r="L311" s="232" t="s">
        <v>146</v>
      </c>
      <c r="M311" s="199"/>
      <c r="N311" s="193" t="s">
        <v>337</v>
      </c>
      <c r="O311" s="193" t="s">
        <v>206</v>
      </c>
      <c r="P311" s="193" t="s">
        <v>206</v>
      </c>
      <c r="Q311" s="199"/>
      <c r="R311" s="193" t="s">
        <v>279</v>
      </c>
      <c r="S311" s="193" t="s">
        <v>50</v>
      </c>
      <c r="T311" s="193" t="s">
        <v>358</v>
      </c>
      <c r="U311" s="193" t="s">
        <v>682</v>
      </c>
      <c r="V311" s="193" t="s">
        <v>50</v>
      </c>
      <c r="W311" s="193" t="s">
        <v>264</v>
      </c>
      <c r="X311" s="193" t="s">
        <v>232</v>
      </c>
      <c r="Y311" s="200">
        <v>3.0</v>
      </c>
      <c r="Z311" s="202" t="s">
        <v>233</v>
      </c>
      <c r="AA311" s="202" t="s">
        <v>234</v>
      </c>
      <c r="AB311" s="221"/>
      <c r="AC311" s="203">
        <v>140000.0</v>
      </c>
      <c r="AD311" s="204">
        <v>46199.0</v>
      </c>
      <c r="AE311" s="204">
        <v>46260.0</v>
      </c>
      <c r="AF311" s="205"/>
      <c r="AG311" s="219"/>
      <c r="AH311" s="219"/>
      <c r="AI311" s="219"/>
      <c r="AJ311" s="219"/>
      <c r="AK311" s="219"/>
      <c r="AL311" s="219"/>
      <c r="AM311" s="219"/>
      <c r="AN311" s="219"/>
      <c r="AO311" s="219"/>
    </row>
    <row r="312">
      <c r="A312" s="193">
        <v>14920.0</v>
      </c>
      <c r="B312" s="232" t="s">
        <v>264</v>
      </c>
      <c r="C312" s="193">
        <v>2026.0</v>
      </c>
      <c r="D312" s="199"/>
      <c r="E312" s="199"/>
      <c r="F312" s="199"/>
      <c r="G312" s="348"/>
      <c r="H312" s="199"/>
      <c r="I312" s="348"/>
      <c r="J312" s="199"/>
      <c r="K312" s="193" t="s">
        <v>206</v>
      </c>
      <c r="L312" s="232" t="s">
        <v>146</v>
      </c>
      <c r="M312" s="199"/>
      <c r="N312" s="193" t="s">
        <v>337</v>
      </c>
      <c r="O312" s="193" t="s">
        <v>206</v>
      </c>
      <c r="P312" s="193" t="s">
        <v>206</v>
      </c>
      <c r="Q312" s="199"/>
      <c r="R312" s="193" t="s">
        <v>279</v>
      </c>
      <c r="S312" s="193" t="s">
        <v>50</v>
      </c>
      <c r="T312" s="193" t="s">
        <v>358</v>
      </c>
      <c r="U312" s="193" t="s">
        <v>581</v>
      </c>
      <c r="V312" s="193" t="s">
        <v>50</v>
      </c>
      <c r="W312" s="193" t="s">
        <v>264</v>
      </c>
      <c r="X312" s="193" t="s">
        <v>232</v>
      </c>
      <c r="Y312" s="200">
        <v>3.0</v>
      </c>
      <c r="Z312" s="202" t="s">
        <v>233</v>
      </c>
      <c r="AA312" s="202" t="s">
        <v>234</v>
      </c>
      <c r="AB312" s="221"/>
      <c r="AC312" s="203">
        <v>196000.0</v>
      </c>
      <c r="AD312" s="204">
        <v>46199.0</v>
      </c>
      <c r="AE312" s="204">
        <v>46260.0</v>
      </c>
      <c r="AF312" s="205"/>
      <c r="AG312" s="206"/>
      <c r="AH312" s="206"/>
      <c r="AI312" s="206"/>
      <c r="AJ312" s="206"/>
      <c r="AK312" s="206"/>
      <c r="AL312" s="206"/>
      <c r="AM312" s="206"/>
      <c r="AN312" s="206"/>
      <c r="AO312" s="206"/>
    </row>
    <row r="313">
      <c r="A313" s="193">
        <v>14940.0</v>
      </c>
      <c r="B313" s="232" t="s">
        <v>264</v>
      </c>
      <c r="C313" s="193">
        <v>2026.0</v>
      </c>
      <c r="D313" s="199"/>
      <c r="E313" s="199"/>
      <c r="F313" s="199"/>
      <c r="G313" s="220"/>
      <c r="H313" s="199"/>
      <c r="I313" s="220"/>
      <c r="J313" s="199"/>
      <c r="K313" s="193" t="s">
        <v>206</v>
      </c>
      <c r="L313" s="232" t="s">
        <v>146</v>
      </c>
      <c r="M313" s="199"/>
      <c r="N313" s="193" t="s">
        <v>227</v>
      </c>
      <c r="O313" s="193" t="s">
        <v>206</v>
      </c>
      <c r="P313" s="193" t="s">
        <v>683</v>
      </c>
      <c r="Q313" s="199"/>
      <c r="R313" s="193" t="s">
        <v>279</v>
      </c>
      <c r="S313" s="193" t="s">
        <v>50</v>
      </c>
      <c r="T313" s="193" t="s">
        <v>684</v>
      </c>
      <c r="U313" s="193" t="s">
        <v>685</v>
      </c>
      <c r="V313" s="193" t="s">
        <v>50</v>
      </c>
      <c r="W313" s="193" t="s">
        <v>264</v>
      </c>
      <c r="X313" s="193" t="s">
        <v>232</v>
      </c>
      <c r="Y313" s="200">
        <v>4.0</v>
      </c>
      <c r="Z313" s="202" t="s">
        <v>531</v>
      </c>
      <c r="AA313" s="202" t="s">
        <v>234</v>
      </c>
      <c r="AB313" s="221"/>
      <c r="AC313" s="203">
        <v>456000.0</v>
      </c>
      <c r="AD313" s="204">
        <v>46199.0</v>
      </c>
      <c r="AE313" s="204">
        <v>46260.0</v>
      </c>
      <c r="AF313" s="205"/>
      <c r="AG313" s="219"/>
      <c r="AH313" s="219"/>
      <c r="AI313" s="219"/>
      <c r="AJ313" s="219"/>
      <c r="AK313" s="219"/>
      <c r="AL313" s="219"/>
      <c r="AM313" s="219"/>
      <c r="AN313" s="219"/>
      <c r="AO313" s="219"/>
    </row>
    <row r="314">
      <c r="A314" s="193">
        <v>14960.0</v>
      </c>
      <c r="B314" s="232" t="s">
        <v>264</v>
      </c>
      <c r="C314" s="193">
        <v>2026.0</v>
      </c>
      <c r="D314" s="199"/>
      <c r="E314" s="199"/>
      <c r="F314" s="199"/>
      <c r="G314" s="248"/>
      <c r="H314" s="199"/>
      <c r="I314" s="220"/>
      <c r="J314" s="199"/>
      <c r="K314" s="193" t="s">
        <v>206</v>
      </c>
      <c r="L314" s="232" t="s">
        <v>146</v>
      </c>
      <c r="M314" s="199"/>
      <c r="N314" s="193" t="s">
        <v>227</v>
      </c>
      <c r="O314" s="193" t="s">
        <v>206</v>
      </c>
      <c r="P314" s="193" t="s">
        <v>686</v>
      </c>
      <c r="Q314" s="199"/>
      <c r="R314" s="193" t="s">
        <v>279</v>
      </c>
      <c r="S314" s="193" t="s">
        <v>50</v>
      </c>
      <c r="T314" s="193" t="s">
        <v>684</v>
      </c>
      <c r="U314" s="193" t="s">
        <v>687</v>
      </c>
      <c r="V314" s="193" t="s">
        <v>50</v>
      </c>
      <c r="W314" s="193" t="s">
        <v>264</v>
      </c>
      <c r="X314" s="193" t="s">
        <v>232</v>
      </c>
      <c r="Y314" s="200">
        <v>4.0</v>
      </c>
      <c r="Z314" s="202" t="s">
        <v>531</v>
      </c>
      <c r="AA314" s="202" t="s">
        <v>234</v>
      </c>
      <c r="AB314" s="221"/>
      <c r="AC314" s="203">
        <v>456000.0</v>
      </c>
      <c r="AD314" s="204">
        <v>46199.0</v>
      </c>
      <c r="AE314" s="204">
        <v>46260.0</v>
      </c>
      <c r="AF314" s="205"/>
      <c r="AG314" s="219"/>
      <c r="AH314" s="219"/>
      <c r="AI314" s="219"/>
      <c r="AJ314" s="219"/>
      <c r="AK314" s="219"/>
      <c r="AL314" s="219"/>
      <c r="AM314" s="219"/>
      <c r="AN314" s="219"/>
      <c r="AO314" s="219"/>
    </row>
    <row r="315">
      <c r="A315" s="193">
        <v>14980.0</v>
      </c>
      <c r="B315" s="232" t="s">
        <v>264</v>
      </c>
      <c r="C315" s="193">
        <v>2026.0</v>
      </c>
      <c r="D315" s="199"/>
      <c r="E315" s="199"/>
      <c r="F315" s="199"/>
      <c r="G315" s="248"/>
      <c r="H315" s="199"/>
      <c r="I315" s="235"/>
      <c r="J315" s="199"/>
      <c r="K315" s="193" t="s">
        <v>206</v>
      </c>
      <c r="L315" s="232" t="s">
        <v>146</v>
      </c>
      <c r="M315" s="199"/>
      <c r="N315" s="193" t="s">
        <v>227</v>
      </c>
      <c r="O315" s="193" t="s">
        <v>206</v>
      </c>
      <c r="P315" s="193" t="s">
        <v>206</v>
      </c>
      <c r="Q315" s="199"/>
      <c r="R315" s="193" t="s">
        <v>279</v>
      </c>
      <c r="S315" s="193" t="s">
        <v>50</v>
      </c>
      <c r="T315" s="193" t="s">
        <v>688</v>
      </c>
      <c r="U315" s="193" t="s">
        <v>689</v>
      </c>
      <c r="V315" s="193" t="s">
        <v>50</v>
      </c>
      <c r="W315" s="193" t="s">
        <v>264</v>
      </c>
      <c r="X315" s="193" t="s">
        <v>232</v>
      </c>
      <c r="Y315" s="200">
        <v>4.0</v>
      </c>
      <c r="Z315" s="202" t="s">
        <v>531</v>
      </c>
      <c r="AA315" s="202" t="s">
        <v>234</v>
      </c>
      <c r="AB315" s="221"/>
      <c r="AC315" s="203">
        <v>800000.0</v>
      </c>
      <c r="AD315" s="204">
        <v>46199.0</v>
      </c>
      <c r="AE315" s="204">
        <v>46260.0</v>
      </c>
      <c r="AF315" s="205"/>
      <c r="AG315" s="219"/>
      <c r="AH315" s="219"/>
      <c r="AI315" s="219"/>
      <c r="AJ315" s="219"/>
      <c r="AK315" s="219"/>
      <c r="AL315" s="219"/>
      <c r="AM315" s="219"/>
      <c r="AN315" s="219"/>
      <c r="AO315" s="219"/>
    </row>
    <row r="316">
      <c r="A316" s="193">
        <v>15000.0</v>
      </c>
      <c r="B316" s="232" t="s">
        <v>264</v>
      </c>
      <c r="C316" s="193">
        <v>2026.0</v>
      </c>
      <c r="D316" s="199"/>
      <c r="E316" s="199"/>
      <c r="F316" s="199"/>
      <c r="G316" s="248"/>
      <c r="H316" s="199"/>
      <c r="I316" s="220"/>
      <c r="J316" s="199"/>
      <c r="K316" s="193" t="s">
        <v>206</v>
      </c>
      <c r="L316" s="232" t="s">
        <v>146</v>
      </c>
      <c r="M316" s="199"/>
      <c r="N316" s="193" t="s">
        <v>227</v>
      </c>
      <c r="O316" s="193" t="s">
        <v>206</v>
      </c>
      <c r="P316" s="193" t="s">
        <v>206</v>
      </c>
      <c r="Q316" s="199"/>
      <c r="R316" s="193" t="s">
        <v>279</v>
      </c>
      <c r="S316" s="193" t="s">
        <v>50</v>
      </c>
      <c r="T316" s="193" t="s">
        <v>690</v>
      </c>
      <c r="U316" s="193" t="s">
        <v>691</v>
      </c>
      <c r="V316" s="193" t="s">
        <v>50</v>
      </c>
      <c r="W316" s="193" t="s">
        <v>264</v>
      </c>
      <c r="X316" s="193" t="s">
        <v>232</v>
      </c>
      <c r="Y316" s="200">
        <v>4.0</v>
      </c>
      <c r="Z316" s="202" t="s">
        <v>531</v>
      </c>
      <c r="AA316" s="202" t="s">
        <v>234</v>
      </c>
      <c r="AB316" s="221"/>
      <c r="AC316" s="203">
        <v>91200.0</v>
      </c>
      <c r="AD316" s="204">
        <v>46199.0</v>
      </c>
      <c r="AE316" s="204">
        <v>46260.0</v>
      </c>
      <c r="AF316" s="205"/>
      <c r="AG316" s="219"/>
      <c r="AH316" s="219"/>
      <c r="AI316" s="219"/>
      <c r="AJ316" s="219"/>
      <c r="AK316" s="219"/>
      <c r="AL316" s="219"/>
      <c r="AM316" s="219"/>
      <c r="AN316" s="219"/>
      <c r="AO316" s="219"/>
    </row>
    <row r="317">
      <c r="A317" s="193">
        <v>15020.0</v>
      </c>
      <c r="B317" s="232" t="s">
        <v>264</v>
      </c>
      <c r="C317" s="193">
        <v>2026.0</v>
      </c>
      <c r="D317" s="199"/>
      <c r="E317" s="199"/>
      <c r="F317" s="199"/>
      <c r="G317" s="235"/>
      <c r="H317" s="199"/>
      <c r="I317" s="220"/>
      <c r="J317" s="199"/>
      <c r="K317" s="193" t="s">
        <v>206</v>
      </c>
      <c r="L317" s="232" t="s">
        <v>146</v>
      </c>
      <c r="M317" s="199"/>
      <c r="N317" s="193" t="s">
        <v>227</v>
      </c>
      <c r="O317" s="193" t="s">
        <v>206</v>
      </c>
      <c r="P317" s="193" t="s">
        <v>206</v>
      </c>
      <c r="Q317" s="199"/>
      <c r="R317" s="193" t="s">
        <v>279</v>
      </c>
      <c r="S317" s="193" t="s">
        <v>50</v>
      </c>
      <c r="T317" s="193" t="s">
        <v>690</v>
      </c>
      <c r="U317" s="193" t="s">
        <v>692</v>
      </c>
      <c r="V317" s="193" t="s">
        <v>50</v>
      </c>
      <c r="W317" s="193" t="s">
        <v>264</v>
      </c>
      <c r="X317" s="193" t="s">
        <v>232</v>
      </c>
      <c r="Y317" s="200">
        <v>4.0</v>
      </c>
      <c r="Z317" s="202" t="s">
        <v>531</v>
      </c>
      <c r="AA317" s="202" t="s">
        <v>234</v>
      </c>
      <c r="AB317" s="221"/>
      <c r="AC317" s="203">
        <v>91200.0</v>
      </c>
      <c r="AD317" s="204">
        <v>46199.0</v>
      </c>
      <c r="AE317" s="204">
        <v>46260.0</v>
      </c>
      <c r="AF317" s="205"/>
      <c r="AG317" s="219"/>
      <c r="AH317" s="219"/>
      <c r="AI317" s="219"/>
      <c r="AJ317" s="219"/>
      <c r="AK317" s="219"/>
      <c r="AL317" s="219"/>
      <c r="AM317" s="219"/>
      <c r="AN317" s="219"/>
      <c r="AO317" s="219"/>
    </row>
    <row r="318">
      <c r="A318" s="193">
        <v>15040.0</v>
      </c>
      <c r="B318" s="232" t="s">
        <v>264</v>
      </c>
      <c r="C318" s="193">
        <v>2026.0</v>
      </c>
      <c r="D318" s="199"/>
      <c r="E318" s="199"/>
      <c r="F318" s="199"/>
      <c r="G318" s="235"/>
      <c r="H318" s="199"/>
      <c r="I318" s="235"/>
      <c r="J318" s="199"/>
      <c r="K318" s="193" t="s">
        <v>206</v>
      </c>
      <c r="L318" s="232" t="s">
        <v>146</v>
      </c>
      <c r="M318" s="199"/>
      <c r="N318" s="193" t="s">
        <v>227</v>
      </c>
      <c r="O318" s="193" t="s">
        <v>206</v>
      </c>
      <c r="P318" s="193" t="s">
        <v>206</v>
      </c>
      <c r="Q318" s="207"/>
      <c r="R318" s="208" t="s">
        <v>279</v>
      </c>
      <c r="S318" s="193" t="s">
        <v>50</v>
      </c>
      <c r="T318" s="193" t="s">
        <v>680</v>
      </c>
      <c r="U318" s="193" t="s">
        <v>693</v>
      </c>
      <c r="V318" s="193" t="s">
        <v>50</v>
      </c>
      <c r="W318" s="193" t="s">
        <v>264</v>
      </c>
      <c r="X318" s="193" t="s">
        <v>232</v>
      </c>
      <c r="Y318" s="200">
        <v>4.0</v>
      </c>
      <c r="Z318" s="202" t="s">
        <v>531</v>
      </c>
      <c r="AA318" s="202" t="s">
        <v>234</v>
      </c>
      <c r="AB318" s="221"/>
      <c r="AC318" s="203">
        <v>399000.0</v>
      </c>
      <c r="AD318" s="204">
        <v>46199.0</v>
      </c>
      <c r="AE318" s="204">
        <v>46260.0</v>
      </c>
      <c r="AF318" s="205"/>
      <c r="AG318" s="206"/>
      <c r="AH318" s="206"/>
      <c r="AI318" s="206"/>
      <c r="AJ318" s="206"/>
      <c r="AK318" s="206"/>
      <c r="AL318" s="206"/>
      <c r="AM318" s="206"/>
      <c r="AN318" s="206"/>
      <c r="AO318" s="206"/>
    </row>
    <row r="319">
      <c r="A319" s="193">
        <v>15060.0</v>
      </c>
      <c r="B319" s="232" t="s">
        <v>264</v>
      </c>
      <c r="C319" s="193">
        <v>2026.0</v>
      </c>
      <c r="D319" s="199"/>
      <c r="E319" s="199"/>
      <c r="F319" s="199"/>
      <c r="G319" s="248"/>
      <c r="H319" s="199"/>
      <c r="I319" s="348"/>
      <c r="J319" s="199"/>
      <c r="K319" s="193" t="s">
        <v>206</v>
      </c>
      <c r="L319" s="232" t="s">
        <v>146</v>
      </c>
      <c r="M319" s="199"/>
      <c r="N319" s="193" t="s">
        <v>337</v>
      </c>
      <c r="O319" s="193" t="s">
        <v>206</v>
      </c>
      <c r="P319" s="193" t="s">
        <v>206</v>
      </c>
      <c r="Q319" s="207"/>
      <c r="R319" s="208" t="s">
        <v>279</v>
      </c>
      <c r="S319" s="193" t="s">
        <v>50</v>
      </c>
      <c r="T319" s="193" t="s">
        <v>358</v>
      </c>
      <c r="U319" s="193" t="s">
        <v>694</v>
      </c>
      <c r="V319" s="193" t="s">
        <v>50</v>
      </c>
      <c r="W319" s="193" t="s">
        <v>264</v>
      </c>
      <c r="X319" s="193" t="s">
        <v>232</v>
      </c>
      <c r="Y319" s="200">
        <v>3.0</v>
      </c>
      <c r="Z319" s="202" t="s">
        <v>233</v>
      </c>
      <c r="AA319" s="202" t="s">
        <v>234</v>
      </c>
      <c r="AB319" s="221"/>
      <c r="AC319" s="203">
        <v>140000.0</v>
      </c>
      <c r="AD319" s="204">
        <v>46199.0</v>
      </c>
      <c r="AE319" s="204">
        <v>46260.0</v>
      </c>
      <c r="AF319" s="205"/>
      <c r="AG319" s="219"/>
      <c r="AH319" s="219"/>
      <c r="AI319" s="219"/>
      <c r="AJ319" s="219"/>
      <c r="AK319" s="219"/>
      <c r="AL319" s="219"/>
      <c r="AM319" s="219"/>
      <c r="AN319" s="219"/>
      <c r="AO319" s="219"/>
    </row>
    <row r="320">
      <c r="A320" s="193">
        <v>15080.0</v>
      </c>
      <c r="B320" s="232" t="s">
        <v>264</v>
      </c>
      <c r="C320" s="193">
        <v>2026.0</v>
      </c>
      <c r="D320" s="199"/>
      <c r="E320" s="199"/>
      <c r="F320" s="199"/>
      <c r="G320" s="248"/>
      <c r="H320" s="199"/>
      <c r="I320" s="220"/>
      <c r="J320" s="199"/>
      <c r="K320" s="193" t="s">
        <v>206</v>
      </c>
      <c r="L320" s="232" t="s">
        <v>146</v>
      </c>
      <c r="M320" s="199"/>
      <c r="N320" s="193" t="s">
        <v>337</v>
      </c>
      <c r="O320" s="193" t="s">
        <v>206</v>
      </c>
      <c r="P320" s="193" t="s">
        <v>206</v>
      </c>
      <c r="Q320" s="207"/>
      <c r="R320" s="208" t="s">
        <v>279</v>
      </c>
      <c r="S320" s="193" t="s">
        <v>50</v>
      </c>
      <c r="T320" s="193" t="s">
        <v>358</v>
      </c>
      <c r="U320" s="193" t="s">
        <v>695</v>
      </c>
      <c r="V320" s="193" t="s">
        <v>50</v>
      </c>
      <c r="W320" s="193" t="s">
        <v>264</v>
      </c>
      <c r="X320" s="193" t="s">
        <v>232</v>
      </c>
      <c r="Y320" s="200">
        <v>3.0</v>
      </c>
      <c r="Z320" s="202" t="s">
        <v>233</v>
      </c>
      <c r="AA320" s="202" t="s">
        <v>234</v>
      </c>
      <c r="AB320" s="221"/>
      <c r="AC320" s="203">
        <v>140000.0</v>
      </c>
      <c r="AD320" s="204">
        <v>46199.0</v>
      </c>
      <c r="AE320" s="204">
        <v>46260.0</v>
      </c>
      <c r="AF320" s="205"/>
      <c r="AG320" s="219"/>
      <c r="AH320" s="219"/>
      <c r="AI320" s="219"/>
      <c r="AJ320" s="219"/>
      <c r="AK320" s="219"/>
      <c r="AL320" s="219"/>
      <c r="AM320" s="219"/>
      <c r="AN320" s="219"/>
      <c r="AO320" s="219"/>
    </row>
    <row r="321">
      <c r="A321" s="193">
        <v>15100.0</v>
      </c>
      <c r="B321" s="232" t="s">
        <v>264</v>
      </c>
      <c r="C321" s="193">
        <v>2026.0</v>
      </c>
      <c r="D321" s="199"/>
      <c r="E321" s="199"/>
      <c r="F321" s="199"/>
      <c r="G321" s="248"/>
      <c r="H321" s="199"/>
      <c r="I321" s="220"/>
      <c r="J321" s="199"/>
      <c r="K321" s="193" t="s">
        <v>206</v>
      </c>
      <c r="L321" s="232" t="s">
        <v>146</v>
      </c>
      <c r="M321" s="199"/>
      <c r="N321" s="193" t="s">
        <v>337</v>
      </c>
      <c r="O321" s="193" t="s">
        <v>206</v>
      </c>
      <c r="P321" s="193" t="s">
        <v>206</v>
      </c>
      <c r="Q321" s="207"/>
      <c r="R321" s="208" t="s">
        <v>279</v>
      </c>
      <c r="S321" s="193" t="s">
        <v>50</v>
      </c>
      <c r="T321" s="193" t="s">
        <v>358</v>
      </c>
      <c r="U321" s="193" t="s">
        <v>550</v>
      </c>
      <c r="V321" s="193" t="s">
        <v>50</v>
      </c>
      <c r="W321" s="193" t="s">
        <v>264</v>
      </c>
      <c r="X321" s="193" t="s">
        <v>232</v>
      </c>
      <c r="Y321" s="200">
        <v>3.0</v>
      </c>
      <c r="Z321" s="202" t="s">
        <v>233</v>
      </c>
      <c r="AA321" s="202" t="s">
        <v>234</v>
      </c>
      <c r="AB321" s="221"/>
      <c r="AC321" s="203">
        <v>175000.0</v>
      </c>
      <c r="AD321" s="204">
        <v>46199.0</v>
      </c>
      <c r="AE321" s="204">
        <v>46260.0</v>
      </c>
      <c r="AF321" s="205"/>
      <c r="AG321" s="219"/>
      <c r="AH321" s="219"/>
      <c r="AI321" s="219"/>
      <c r="AJ321" s="219"/>
      <c r="AK321" s="219"/>
      <c r="AL321" s="219"/>
      <c r="AM321" s="219"/>
      <c r="AN321" s="219"/>
      <c r="AO321" s="219"/>
    </row>
    <row r="322">
      <c r="A322" s="193">
        <v>15120.0</v>
      </c>
      <c r="B322" s="232" t="s">
        <v>264</v>
      </c>
      <c r="C322" s="193">
        <v>2026.0</v>
      </c>
      <c r="D322" s="199"/>
      <c r="E322" s="199"/>
      <c r="F322" s="199"/>
      <c r="G322" s="248"/>
      <c r="H322" s="199"/>
      <c r="I322" s="348"/>
      <c r="J322" s="199"/>
      <c r="K322" s="193" t="s">
        <v>206</v>
      </c>
      <c r="L322" s="232" t="s">
        <v>146</v>
      </c>
      <c r="M322" s="199"/>
      <c r="N322" s="193" t="s">
        <v>227</v>
      </c>
      <c r="O322" s="193" t="s">
        <v>206</v>
      </c>
      <c r="P322" s="193" t="s">
        <v>696</v>
      </c>
      <c r="Q322" s="207"/>
      <c r="R322" s="208" t="s">
        <v>279</v>
      </c>
      <c r="S322" s="193" t="s">
        <v>50</v>
      </c>
      <c r="T322" s="193" t="s">
        <v>684</v>
      </c>
      <c r="U322" s="193" t="s">
        <v>697</v>
      </c>
      <c r="V322" s="193" t="s">
        <v>50</v>
      </c>
      <c r="W322" s="193" t="s">
        <v>264</v>
      </c>
      <c r="X322" s="193" t="s">
        <v>232</v>
      </c>
      <c r="Y322" s="200">
        <v>4.0</v>
      </c>
      <c r="Z322" s="202" t="s">
        <v>531</v>
      </c>
      <c r="AA322" s="202" t="s">
        <v>234</v>
      </c>
      <c r="AB322" s="221"/>
      <c r="AC322" s="203">
        <v>456000.0</v>
      </c>
      <c r="AD322" s="204">
        <v>46199.0</v>
      </c>
      <c r="AE322" s="204">
        <v>46260.0</v>
      </c>
      <c r="AF322" s="205"/>
      <c r="AG322" s="219"/>
      <c r="AH322" s="219"/>
      <c r="AI322" s="219"/>
      <c r="AJ322" s="219"/>
      <c r="AK322" s="219"/>
      <c r="AL322" s="219"/>
      <c r="AM322" s="219"/>
      <c r="AN322" s="219"/>
      <c r="AO322" s="219"/>
    </row>
    <row r="323">
      <c r="A323" s="193">
        <v>15140.0</v>
      </c>
      <c r="B323" s="232" t="s">
        <v>264</v>
      </c>
      <c r="C323" s="193">
        <v>2026.0</v>
      </c>
      <c r="D323" s="199"/>
      <c r="E323" s="199"/>
      <c r="F323" s="199"/>
      <c r="G323" s="248"/>
      <c r="H323" s="199"/>
      <c r="I323" s="233"/>
      <c r="J323" s="199"/>
      <c r="K323" s="193" t="s">
        <v>206</v>
      </c>
      <c r="L323" s="232" t="s">
        <v>146</v>
      </c>
      <c r="M323" s="199"/>
      <c r="N323" s="193" t="s">
        <v>337</v>
      </c>
      <c r="O323" s="193" t="s">
        <v>206</v>
      </c>
      <c r="P323" s="193" t="s">
        <v>206</v>
      </c>
      <c r="Q323" s="207"/>
      <c r="R323" s="208" t="s">
        <v>279</v>
      </c>
      <c r="S323" s="193" t="s">
        <v>50</v>
      </c>
      <c r="T323" s="193" t="s">
        <v>358</v>
      </c>
      <c r="U323" s="193" t="s">
        <v>550</v>
      </c>
      <c r="V323" s="193" t="s">
        <v>50</v>
      </c>
      <c r="W323" s="193" t="s">
        <v>264</v>
      </c>
      <c r="X323" s="193" t="s">
        <v>232</v>
      </c>
      <c r="Y323" s="200">
        <v>3.0</v>
      </c>
      <c r="Z323" s="202" t="s">
        <v>233</v>
      </c>
      <c r="AA323" s="202" t="s">
        <v>234</v>
      </c>
      <c r="AB323" s="221"/>
      <c r="AC323" s="203">
        <v>64000.0</v>
      </c>
      <c r="AD323" s="204">
        <v>46199.0</v>
      </c>
      <c r="AE323" s="204">
        <v>46260.0</v>
      </c>
      <c r="AF323" s="205"/>
      <c r="AG323" s="219"/>
      <c r="AH323" s="219"/>
      <c r="AI323" s="219"/>
      <c r="AJ323" s="219"/>
      <c r="AK323" s="219"/>
      <c r="AL323" s="219"/>
      <c r="AM323" s="219"/>
      <c r="AN323" s="219"/>
      <c r="AO323" s="219"/>
    </row>
    <row r="324">
      <c r="A324" s="193">
        <v>15160.0</v>
      </c>
      <c r="B324" s="232" t="s">
        <v>264</v>
      </c>
      <c r="C324" s="193">
        <v>2026.0</v>
      </c>
      <c r="D324" s="199"/>
      <c r="E324" s="199"/>
      <c r="F324" s="199"/>
      <c r="G324" s="248"/>
      <c r="H324" s="199"/>
      <c r="I324" s="220"/>
      <c r="J324" s="199"/>
      <c r="K324" s="193" t="s">
        <v>206</v>
      </c>
      <c r="L324" s="232" t="s">
        <v>146</v>
      </c>
      <c r="M324" s="199"/>
      <c r="N324" s="193" t="s">
        <v>337</v>
      </c>
      <c r="O324" s="193" t="s">
        <v>206</v>
      </c>
      <c r="P324" s="193" t="s">
        <v>206</v>
      </c>
      <c r="Q324" s="207"/>
      <c r="R324" s="208" t="s">
        <v>279</v>
      </c>
      <c r="S324" s="193" t="s">
        <v>50</v>
      </c>
      <c r="T324" s="193" t="s">
        <v>358</v>
      </c>
      <c r="U324" s="193" t="s">
        <v>545</v>
      </c>
      <c r="V324" s="193" t="s">
        <v>50</v>
      </c>
      <c r="W324" s="193" t="s">
        <v>264</v>
      </c>
      <c r="X324" s="193" t="s">
        <v>232</v>
      </c>
      <c r="Y324" s="200">
        <v>3.0</v>
      </c>
      <c r="Z324" s="202" t="s">
        <v>233</v>
      </c>
      <c r="AA324" s="202" t="s">
        <v>234</v>
      </c>
      <c r="AB324" s="221"/>
      <c r="AC324" s="203">
        <v>64000.0</v>
      </c>
      <c r="AD324" s="204">
        <v>46199.0</v>
      </c>
      <c r="AE324" s="204">
        <v>46260.0</v>
      </c>
      <c r="AF324" s="205"/>
      <c r="AG324" s="219"/>
      <c r="AH324" s="219"/>
      <c r="AI324" s="219"/>
      <c r="AJ324" s="219"/>
      <c r="AK324" s="219"/>
      <c r="AL324" s="219"/>
      <c r="AM324" s="219"/>
      <c r="AN324" s="219"/>
      <c r="AO324" s="219"/>
    </row>
    <row r="325">
      <c r="A325" s="193">
        <v>15180.0</v>
      </c>
      <c r="B325" s="232" t="s">
        <v>264</v>
      </c>
      <c r="C325" s="193">
        <v>2026.0</v>
      </c>
      <c r="D325" s="199"/>
      <c r="E325" s="199"/>
      <c r="F325" s="199"/>
      <c r="G325" s="248"/>
      <c r="H325" s="199"/>
      <c r="I325" s="233"/>
      <c r="J325" s="199"/>
      <c r="K325" s="193" t="s">
        <v>206</v>
      </c>
      <c r="L325" s="232" t="s">
        <v>146</v>
      </c>
      <c r="M325" s="199"/>
      <c r="N325" s="193" t="s">
        <v>337</v>
      </c>
      <c r="O325" s="193" t="s">
        <v>206</v>
      </c>
      <c r="P325" s="193" t="s">
        <v>206</v>
      </c>
      <c r="Q325" s="207"/>
      <c r="R325" s="208" t="s">
        <v>279</v>
      </c>
      <c r="S325" s="193" t="s">
        <v>50</v>
      </c>
      <c r="T325" s="193" t="s">
        <v>358</v>
      </c>
      <c r="U325" s="193" t="s">
        <v>551</v>
      </c>
      <c r="V325" s="193" t="s">
        <v>50</v>
      </c>
      <c r="W325" s="193" t="s">
        <v>264</v>
      </c>
      <c r="X325" s="193" t="s">
        <v>232</v>
      </c>
      <c r="Y325" s="200">
        <v>3.0</v>
      </c>
      <c r="Z325" s="202" t="s">
        <v>233</v>
      </c>
      <c r="AA325" s="202" t="s">
        <v>234</v>
      </c>
      <c r="AB325" s="221"/>
      <c r="AC325" s="203">
        <v>64000.0</v>
      </c>
      <c r="AD325" s="204">
        <v>46199.0</v>
      </c>
      <c r="AE325" s="204">
        <v>46260.0</v>
      </c>
      <c r="AF325" s="205"/>
      <c r="AG325" s="219"/>
      <c r="AH325" s="219"/>
      <c r="AI325" s="219"/>
      <c r="AJ325" s="219"/>
      <c r="AK325" s="219"/>
      <c r="AL325" s="219"/>
      <c r="AM325" s="219"/>
      <c r="AN325" s="219"/>
      <c r="AO325" s="219"/>
    </row>
    <row r="326">
      <c r="A326" s="193">
        <v>15200.0</v>
      </c>
      <c r="B326" s="232" t="s">
        <v>264</v>
      </c>
      <c r="C326" s="193">
        <v>2026.0</v>
      </c>
      <c r="D326" s="199"/>
      <c r="E326" s="199"/>
      <c r="F326" s="199"/>
      <c r="G326" s="248"/>
      <c r="H326" s="199"/>
      <c r="I326" s="233"/>
      <c r="J326" s="199"/>
      <c r="K326" s="193" t="s">
        <v>206</v>
      </c>
      <c r="L326" s="232" t="s">
        <v>146</v>
      </c>
      <c r="M326" s="199"/>
      <c r="N326" s="193" t="s">
        <v>227</v>
      </c>
      <c r="O326" s="193" t="s">
        <v>206</v>
      </c>
      <c r="P326" s="193" t="s">
        <v>206</v>
      </c>
      <c r="Q326" s="207"/>
      <c r="R326" s="208" t="s">
        <v>279</v>
      </c>
      <c r="S326" s="193" t="s">
        <v>50</v>
      </c>
      <c r="T326" s="193" t="s">
        <v>680</v>
      </c>
      <c r="U326" s="193" t="s">
        <v>698</v>
      </c>
      <c r="V326" s="193" t="s">
        <v>50</v>
      </c>
      <c r="W326" s="193" t="s">
        <v>264</v>
      </c>
      <c r="X326" s="193" t="s">
        <v>232</v>
      </c>
      <c r="Y326" s="200">
        <v>4.0</v>
      </c>
      <c r="Z326" s="202" t="s">
        <v>531</v>
      </c>
      <c r="AA326" s="202" t="s">
        <v>234</v>
      </c>
      <c r="AB326" s="221"/>
      <c r="AC326" s="203">
        <v>399000.0</v>
      </c>
      <c r="AD326" s="204">
        <v>46199.0</v>
      </c>
      <c r="AE326" s="204">
        <v>46260.0</v>
      </c>
      <c r="AF326" s="205"/>
      <c r="AG326" s="219"/>
      <c r="AH326" s="219"/>
      <c r="AI326" s="219"/>
      <c r="AJ326" s="219"/>
      <c r="AK326" s="219"/>
      <c r="AL326" s="219"/>
      <c r="AM326" s="219"/>
      <c r="AN326" s="219"/>
      <c r="AO326" s="219"/>
    </row>
    <row r="327">
      <c r="A327" s="193">
        <v>15220.0</v>
      </c>
      <c r="B327" s="232" t="s">
        <v>264</v>
      </c>
      <c r="C327" s="193">
        <v>2026.0</v>
      </c>
      <c r="D327" s="199"/>
      <c r="E327" s="199"/>
      <c r="F327" s="199"/>
      <c r="G327" s="248"/>
      <c r="H327" s="199"/>
      <c r="I327" s="220"/>
      <c r="J327" s="199"/>
      <c r="K327" s="193" t="s">
        <v>206</v>
      </c>
      <c r="L327" s="232" t="s">
        <v>146</v>
      </c>
      <c r="M327" s="199"/>
      <c r="N327" s="193" t="s">
        <v>227</v>
      </c>
      <c r="O327" s="193" t="s">
        <v>206</v>
      </c>
      <c r="P327" s="193" t="s">
        <v>206</v>
      </c>
      <c r="Q327" s="207"/>
      <c r="R327" s="208" t="s">
        <v>279</v>
      </c>
      <c r="S327" s="193" t="s">
        <v>50</v>
      </c>
      <c r="T327" s="193" t="s">
        <v>690</v>
      </c>
      <c r="U327" s="193" t="s">
        <v>699</v>
      </c>
      <c r="V327" s="193" t="s">
        <v>50</v>
      </c>
      <c r="W327" s="193" t="s">
        <v>264</v>
      </c>
      <c r="X327" s="193" t="s">
        <v>232</v>
      </c>
      <c r="Y327" s="200">
        <v>4.0</v>
      </c>
      <c r="Z327" s="202" t="s">
        <v>531</v>
      </c>
      <c r="AA327" s="202" t="s">
        <v>234</v>
      </c>
      <c r="AB327" s="221"/>
      <c r="AC327" s="203">
        <v>91200.0</v>
      </c>
      <c r="AD327" s="204">
        <v>46199.0</v>
      </c>
      <c r="AE327" s="204">
        <v>46260.0</v>
      </c>
      <c r="AF327" s="205"/>
      <c r="AG327" s="219"/>
      <c r="AH327" s="219"/>
      <c r="AI327" s="219"/>
      <c r="AJ327" s="219"/>
      <c r="AK327" s="219"/>
      <c r="AL327" s="219"/>
      <c r="AM327" s="219"/>
      <c r="AN327" s="219"/>
      <c r="AO327" s="219"/>
    </row>
    <row r="328">
      <c r="A328" s="193">
        <v>15240.0</v>
      </c>
      <c r="B328" s="232" t="s">
        <v>264</v>
      </c>
      <c r="C328" s="193">
        <v>2026.0</v>
      </c>
      <c r="D328" s="199"/>
      <c r="E328" s="199"/>
      <c r="F328" s="199"/>
      <c r="G328" s="348"/>
      <c r="H328" s="199"/>
      <c r="I328" s="348"/>
      <c r="J328" s="199"/>
      <c r="K328" s="193" t="s">
        <v>206</v>
      </c>
      <c r="L328" s="232" t="s">
        <v>146</v>
      </c>
      <c r="M328" s="199"/>
      <c r="N328" s="193" t="s">
        <v>337</v>
      </c>
      <c r="O328" s="193" t="s">
        <v>206</v>
      </c>
      <c r="P328" s="193" t="s">
        <v>206</v>
      </c>
      <c r="Q328" s="207"/>
      <c r="R328" s="208" t="s">
        <v>279</v>
      </c>
      <c r="S328" s="193" t="s">
        <v>50</v>
      </c>
      <c r="T328" s="193" t="s">
        <v>358</v>
      </c>
      <c r="U328" s="193" t="s">
        <v>700</v>
      </c>
      <c r="V328" s="193" t="s">
        <v>50</v>
      </c>
      <c r="W328" s="193" t="s">
        <v>264</v>
      </c>
      <c r="X328" s="193" t="s">
        <v>232</v>
      </c>
      <c r="Y328" s="200">
        <v>3.0</v>
      </c>
      <c r="Z328" s="202" t="s">
        <v>233</v>
      </c>
      <c r="AA328" s="202" t="s">
        <v>234</v>
      </c>
      <c r="AB328" s="221"/>
      <c r="AC328" s="203">
        <v>140000.0</v>
      </c>
      <c r="AD328" s="204">
        <v>46199.0</v>
      </c>
      <c r="AE328" s="204">
        <v>46260.0</v>
      </c>
      <c r="AF328" s="205"/>
      <c r="AG328" s="219"/>
      <c r="AH328" s="219"/>
      <c r="AI328" s="219"/>
      <c r="AJ328" s="219"/>
      <c r="AK328" s="219"/>
      <c r="AL328" s="219"/>
      <c r="AM328" s="219"/>
      <c r="AN328" s="219"/>
      <c r="AO328" s="219"/>
    </row>
    <row r="329">
      <c r="A329" s="193">
        <v>15260.0</v>
      </c>
      <c r="B329" s="232" t="s">
        <v>264</v>
      </c>
      <c r="C329" s="193">
        <v>2026.0</v>
      </c>
      <c r="D329" s="199"/>
      <c r="E329" s="199"/>
      <c r="F329" s="199"/>
      <c r="G329" s="348"/>
      <c r="H329" s="199"/>
      <c r="I329" s="348"/>
      <c r="J329" s="199"/>
      <c r="K329" s="193" t="s">
        <v>206</v>
      </c>
      <c r="L329" s="232" t="s">
        <v>146</v>
      </c>
      <c r="M329" s="199"/>
      <c r="N329" s="193" t="s">
        <v>227</v>
      </c>
      <c r="O329" s="193" t="s">
        <v>206</v>
      </c>
      <c r="P329" s="193" t="s">
        <v>206</v>
      </c>
      <c r="Q329" s="207"/>
      <c r="R329" s="208" t="s">
        <v>279</v>
      </c>
      <c r="S329" s="193" t="s">
        <v>50</v>
      </c>
      <c r="T329" s="193" t="s">
        <v>701</v>
      </c>
      <c r="U329" s="193" t="s">
        <v>702</v>
      </c>
      <c r="V329" s="193" t="s">
        <v>50</v>
      </c>
      <c r="W329" s="193" t="s">
        <v>264</v>
      </c>
      <c r="X329" s="193" t="s">
        <v>232</v>
      </c>
      <c r="Y329" s="200">
        <v>4.0</v>
      </c>
      <c r="Z329" s="202" t="s">
        <v>531</v>
      </c>
      <c r="AA329" s="202" t="s">
        <v>234</v>
      </c>
      <c r="AB329" s="221"/>
      <c r="AC329" s="203">
        <v>1425000.0</v>
      </c>
      <c r="AD329" s="204">
        <v>46199.0</v>
      </c>
      <c r="AE329" s="204">
        <v>46260.0</v>
      </c>
      <c r="AF329" s="205"/>
      <c r="AG329" s="219"/>
      <c r="AH329" s="219"/>
      <c r="AI329" s="219"/>
      <c r="AJ329" s="219"/>
      <c r="AK329" s="219"/>
      <c r="AL329" s="219"/>
      <c r="AM329" s="219"/>
      <c r="AN329" s="219"/>
      <c r="AO329" s="219"/>
    </row>
    <row r="330">
      <c r="A330" s="193">
        <v>15280.0</v>
      </c>
      <c r="B330" s="232" t="s">
        <v>264</v>
      </c>
      <c r="C330" s="193">
        <v>2026.0</v>
      </c>
      <c r="D330" s="199"/>
      <c r="E330" s="199"/>
      <c r="F330" s="199"/>
      <c r="G330" s="348"/>
      <c r="H330" s="199"/>
      <c r="I330" s="348"/>
      <c r="J330" s="199"/>
      <c r="K330" s="193" t="s">
        <v>206</v>
      </c>
      <c r="L330" s="232" t="s">
        <v>146</v>
      </c>
      <c r="M330" s="199"/>
      <c r="N330" s="193" t="s">
        <v>227</v>
      </c>
      <c r="O330" s="193" t="s">
        <v>206</v>
      </c>
      <c r="P330" s="193" t="s">
        <v>206</v>
      </c>
      <c r="Q330" s="207"/>
      <c r="R330" s="208" t="s">
        <v>279</v>
      </c>
      <c r="S330" s="193" t="s">
        <v>50</v>
      </c>
      <c r="T330" s="193" t="s">
        <v>347</v>
      </c>
      <c r="U330" s="193" t="s">
        <v>703</v>
      </c>
      <c r="V330" s="193" t="s">
        <v>50</v>
      </c>
      <c r="W330" s="193" t="s">
        <v>264</v>
      </c>
      <c r="X330" s="193" t="s">
        <v>232</v>
      </c>
      <c r="Y330" s="200">
        <v>3.0</v>
      </c>
      <c r="Z330" s="202" t="s">
        <v>233</v>
      </c>
      <c r="AA330" s="202" t="s">
        <v>234</v>
      </c>
      <c r="AB330" s="221"/>
      <c r="AC330" s="203">
        <v>1441730.18</v>
      </c>
      <c r="AD330" s="204">
        <v>46199.0</v>
      </c>
      <c r="AE330" s="204">
        <v>46260.0</v>
      </c>
      <c r="AF330" s="205"/>
      <c r="AG330" s="219"/>
      <c r="AH330" s="219"/>
      <c r="AI330" s="219"/>
      <c r="AJ330" s="219"/>
      <c r="AK330" s="219"/>
      <c r="AL330" s="219"/>
      <c r="AM330" s="219"/>
      <c r="AN330" s="219"/>
      <c r="AO330" s="219"/>
    </row>
    <row r="331">
      <c r="A331" s="193">
        <v>15300.0</v>
      </c>
      <c r="B331" s="232" t="s">
        <v>264</v>
      </c>
      <c r="C331" s="193">
        <v>2026.0</v>
      </c>
      <c r="D331" s="199"/>
      <c r="E331" s="199"/>
      <c r="F331" s="199"/>
      <c r="G331" s="248"/>
      <c r="H331" s="199"/>
      <c r="I331" s="248"/>
      <c r="J331" s="199"/>
      <c r="K331" s="193" t="s">
        <v>206</v>
      </c>
      <c r="L331" s="232" t="s">
        <v>146</v>
      </c>
      <c r="M331" s="199"/>
      <c r="N331" s="193" t="s">
        <v>227</v>
      </c>
      <c r="O331" s="193" t="s">
        <v>206</v>
      </c>
      <c r="P331" s="193" t="s">
        <v>206</v>
      </c>
      <c r="Q331" s="207"/>
      <c r="R331" s="208" t="s">
        <v>279</v>
      </c>
      <c r="S331" s="193" t="s">
        <v>50</v>
      </c>
      <c r="T331" s="193" t="s">
        <v>680</v>
      </c>
      <c r="U331" s="193" t="s">
        <v>706</v>
      </c>
      <c r="V331" s="193" t="s">
        <v>50</v>
      </c>
      <c r="W331" s="193" t="s">
        <v>264</v>
      </c>
      <c r="X331" s="193" t="s">
        <v>232</v>
      </c>
      <c r="Y331" s="200">
        <v>4.0</v>
      </c>
      <c r="Z331" s="202" t="s">
        <v>531</v>
      </c>
      <c r="AA331" s="202" t="s">
        <v>234</v>
      </c>
      <c r="AB331" s="221"/>
      <c r="AC331" s="203">
        <v>399000.0</v>
      </c>
      <c r="AD331" s="204">
        <v>46199.0</v>
      </c>
      <c r="AE331" s="204">
        <v>46260.0</v>
      </c>
      <c r="AF331" s="205"/>
      <c r="AG331" s="219"/>
      <c r="AH331" s="219"/>
      <c r="AI331" s="219"/>
      <c r="AJ331" s="219"/>
      <c r="AK331" s="219"/>
      <c r="AL331" s="219"/>
      <c r="AM331" s="219"/>
      <c r="AN331" s="219"/>
      <c r="AO331" s="219"/>
    </row>
    <row r="332">
      <c r="A332" s="193">
        <v>15320.0</v>
      </c>
      <c r="B332" s="232" t="s">
        <v>264</v>
      </c>
      <c r="C332" s="193">
        <v>2026.0</v>
      </c>
      <c r="D332" s="199"/>
      <c r="E332" s="199"/>
      <c r="F332" s="199"/>
      <c r="G332" s="248"/>
      <c r="H332" s="199"/>
      <c r="I332" s="248"/>
      <c r="J332" s="199"/>
      <c r="K332" s="193" t="s">
        <v>206</v>
      </c>
      <c r="L332" s="232" t="s">
        <v>146</v>
      </c>
      <c r="M332" s="199"/>
      <c r="N332" s="193" t="s">
        <v>337</v>
      </c>
      <c r="O332" s="193" t="s">
        <v>206</v>
      </c>
      <c r="P332" s="193" t="s">
        <v>206</v>
      </c>
      <c r="Q332" s="207"/>
      <c r="R332" s="208" t="s">
        <v>279</v>
      </c>
      <c r="S332" s="193" t="s">
        <v>50</v>
      </c>
      <c r="T332" s="193" t="s">
        <v>358</v>
      </c>
      <c r="U332" s="193" t="s">
        <v>473</v>
      </c>
      <c r="V332" s="193" t="s">
        <v>50</v>
      </c>
      <c r="W332" s="193" t="s">
        <v>264</v>
      </c>
      <c r="X332" s="193" t="s">
        <v>232</v>
      </c>
      <c r="Y332" s="200">
        <v>3.0</v>
      </c>
      <c r="Z332" s="202" t="s">
        <v>233</v>
      </c>
      <c r="AA332" s="202" t="s">
        <v>234</v>
      </c>
      <c r="AB332" s="221"/>
      <c r="AC332" s="203">
        <v>196000.0</v>
      </c>
      <c r="AD332" s="204">
        <v>46199.0</v>
      </c>
      <c r="AE332" s="204">
        <v>46260.0</v>
      </c>
      <c r="AF332" s="205"/>
      <c r="AG332" s="219"/>
      <c r="AH332" s="219"/>
      <c r="AI332" s="219"/>
      <c r="AJ332" s="219"/>
      <c r="AK332" s="219"/>
      <c r="AL332" s="219"/>
      <c r="AM332" s="219"/>
      <c r="AN332" s="219"/>
      <c r="AO332" s="219"/>
    </row>
    <row r="333">
      <c r="A333" s="193">
        <v>15340.0</v>
      </c>
      <c r="B333" s="232" t="s">
        <v>264</v>
      </c>
      <c r="C333" s="193">
        <v>2026.0</v>
      </c>
      <c r="D333" s="199"/>
      <c r="E333" s="199"/>
      <c r="F333" s="199"/>
      <c r="G333" s="248"/>
      <c r="H333" s="199"/>
      <c r="I333" s="233"/>
      <c r="J333" s="199"/>
      <c r="K333" s="193" t="s">
        <v>206</v>
      </c>
      <c r="L333" s="232" t="s">
        <v>146</v>
      </c>
      <c r="M333" s="199"/>
      <c r="N333" s="193" t="s">
        <v>207</v>
      </c>
      <c r="O333" s="193" t="s">
        <v>206</v>
      </c>
      <c r="P333" s="193" t="s">
        <v>206</v>
      </c>
      <c r="Q333" s="199"/>
      <c r="R333" s="193" t="s">
        <v>279</v>
      </c>
      <c r="S333" s="193" t="s">
        <v>50</v>
      </c>
      <c r="T333" s="193" t="s">
        <v>565</v>
      </c>
      <c r="U333" s="193" t="s">
        <v>707</v>
      </c>
      <c r="V333" s="193" t="s">
        <v>50</v>
      </c>
      <c r="W333" s="193" t="s">
        <v>264</v>
      </c>
      <c r="X333" s="193" t="s">
        <v>252</v>
      </c>
      <c r="Y333" s="200">
        <v>3.0</v>
      </c>
      <c r="Z333" s="202" t="s">
        <v>214</v>
      </c>
      <c r="AA333" s="202" t="s">
        <v>215</v>
      </c>
      <c r="AB333" s="203">
        <v>648000.0</v>
      </c>
      <c r="AC333" s="203">
        <v>648000.0</v>
      </c>
      <c r="AD333" s="204">
        <v>46199.0</v>
      </c>
      <c r="AE333" s="204">
        <v>46260.0</v>
      </c>
      <c r="AF333" s="205"/>
      <c r="AG333" s="219"/>
      <c r="AH333" s="219"/>
      <c r="AI333" s="219"/>
      <c r="AJ333" s="219"/>
      <c r="AK333" s="219"/>
      <c r="AL333" s="219"/>
      <c r="AM333" s="219"/>
      <c r="AN333" s="219"/>
      <c r="AO333" s="219"/>
    </row>
    <row r="334">
      <c r="A334" s="193">
        <v>15360.0</v>
      </c>
      <c r="B334" s="232" t="s">
        <v>264</v>
      </c>
      <c r="C334" s="193">
        <v>2026.0</v>
      </c>
      <c r="D334" s="199"/>
      <c r="E334" s="199"/>
      <c r="F334" s="199"/>
      <c r="G334" s="248"/>
      <c r="H334" s="199"/>
      <c r="I334" s="248"/>
      <c r="J334" s="199"/>
      <c r="K334" s="193" t="s">
        <v>206</v>
      </c>
      <c r="L334" s="232" t="s">
        <v>146</v>
      </c>
      <c r="M334" s="199"/>
      <c r="N334" s="193" t="s">
        <v>475</v>
      </c>
      <c r="O334" s="193" t="s">
        <v>206</v>
      </c>
      <c r="P334" s="193" t="s">
        <v>206</v>
      </c>
      <c r="Q334" s="199"/>
      <c r="R334" s="193" t="s">
        <v>279</v>
      </c>
      <c r="S334" s="193" t="s">
        <v>50</v>
      </c>
      <c r="T334" s="193" t="s">
        <v>560</v>
      </c>
      <c r="U334" s="193" t="s">
        <v>708</v>
      </c>
      <c r="V334" s="193" t="s">
        <v>50</v>
      </c>
      <c r="W334" s="193" t="s">
        <v>264</v>
      </c>
      <c r="X334" s="193" t="s">
        <v>252</v>
      </c>
      <c r="Y334" s="200">
        <v>3.0</v>
      </c>
      <c r="Z334" s="202" t="s">
        <v>214</v>
      </c>
      <c r="AA334" s="202" t="s">
        <v>215</v>
      </c>
      <c r="AB334" s="203">
        <v>324000.0</v>
      </c>
      <c r="AC334" s="203">
        <v>324000.0</v>
      </c>
      <c r="AD334" s="204">
        <v>46199.0</v>
      </c>
      <c r="AE334" s="204">
        <v>46260.0</v>
      </c>
      <c r="AF334" s="205"/>
      <c r="AG334" s="219"/>
      <c r="AH334" s="219"/>
      <c r="AI334" s="219"/>
      <c r="AJ334" s="219"/>
      <c r="AK334" s="219"/>
      <c r="AL334" s="219"/>
      <c r="AM334" s="219"/>
      <c r="AN334" s="219"/>
      <c r="AO334" s="219"/>
    </row>
    <row r="335">
      <c r="A335" s="193">
        <v>15380.0</v>
      </c>
      <c r="B335" s="194" t="s">
        <v>203</v>
      </c>
      <c r="C335" s="193">
        <v>2026.0</v>
      </c>
      <c r="D335" s="193" t="s">
        <v>429</v>
      </c>
      <c r="E335" s="199"/>
      <c r="F335" s="193" t="s">
        <v>204</v>
      </c>
      <c r="G335" s="198">
        <v>46199.0</v>
      </c>
      <c r="H335" s="193" t="s">
        <v>430</v>
      </c>
      <c r="I335" s="198">
        <v>46199.0</v>
      </c>
      <c r="J335" s="193" t="s">
        <v>709</v>
      </c>
      <c r="K335" s="193" t="s">
        <v>206</v>
      </c>
      <c r="L335" s="194" t="s">
        <v>144</v>
      </c>
      <c r="M335" s="199"/>
      <c r="N335" s="193" t="s">
        <v>207</v>
      </c>
      <c r="O335" s="193" t="s">
        <v>206</v>
      </c>
      <c r="P335" s="193" t="s">
        <v>206</v>
      </c>
      <c r="Q335" s="207"/>
      <c r="R335" s="208" t="s">
        <v>432</v>
      </c>
      <c r="S335" s="193" t="s">
        <v>45</v>
      </c>
      <c r="T335" s="193" t="s">
        <v>494</v>
      </c>
      <c r="U335" s="193" t="s">
        <v>569</v>
      </c>
      <c r="V335" s="193" t="s">
        <v>290</v>
      </c>
      <c r="W335" s="193" t="s">
        <v>212</v>
      </c>
      <c r="X335" s="193" t="s">
        <v>252</v>
      </c>
      <c r="Y335" s="200">
        <v>3.0</v>
      </c>
      <c r="Z335" s="202" t="s">
        <v>214</v>
      </c>
      <c r="AA335" s="202" t="s">
        <v>215</v>
      </c>
      <c r="AB335" s="203">
        <v>150000.0</v>
      </c>
      <c r="AC335" s="203">
        <v>150000.0</v>
      </c>
      <c r="AD335" s="204">
        <v>46199.0</v>
      </c>
      <c r="AE335" s="204">
        <v>46260.0</v>
      </c>
      <c r="AF335" s="205"/>
      <c r="AG335" s="219"/>
      <c r="AH335" s="219"/>
      <c r="AI335" s="219"/>
      <c r="AJ335" s="219"/>
      <c r="AK335" s="219"/>
      <c r="AL335" s="219"/>
      <c r="AM335" s="219"/>
      <c r="AN335" s="219"/>
      <c r="AO335" s="219"/>
    </row>
    <row r="336">
      <c r="A336" s="193">
        <v>15400.0</v>
      </c>
      <c r="B336" s="194" t="s">
        <v>203</v>
      </c>
      <c r="C336" s="193">
        <v>2026.0</v>
      </c>
      <c r="D336" s="193" t="s">
        <v>429</v>
      </c>
      <c r="E336" s="199"/>
      <c r="F336" s="193" t="s">
        <v>204</v>
      </c>
      <c r="G336" s="198">
        <v>46199.0</v>
      </c>
      <c r="H336" s="193" t="s">
        <v>430</v>
      </c>
      <c r="I336" s="198">
        <v>46199.0</v>
      </c>
      <c r="J336" s="193" t="s">
        <v>709</v>
      </c>
      <c r="K336" s="193" t="s">
        <v>206</v>
      </c>
      <c r="L336" s="194" t="s">
        <v>144</v>
      </c>
      <c r="M336" s="199"/>
      <c r="N336" s="193" t="s">
        <v>207</v>
      </c>
      <c r="O336" s="193" t="s">
        <v>206</v>
      </c>
      <c r="P336" s="193" t="s">
        <v>206</v>
      </c>
      <c r="Q336" s="207"/>
      <c r="R336" s="208" t="s">
        <v>432</v>
      </c>
      <c r="S336" s="193" t="s">
        <v>45</v>
      </c>
      <c r="T336" s="193" t="s">
        <v>494</v>
      </c>
      <c r="U336" s="193" t="s">
        <v>710</v>
      </c>
      <c r="V336" s="193" t="s">
        <v>290</v>
      </c>
      <c r="W336" s="193" t="s">
        <v>212</v>
      </c>
      <c r="X336" s="193" t="s">
        <v>252</v>
      </c>
      <c r="Y336" s="200">
        <v>3.0</v>
      </c>
      <c r="Z336" s="202" t="s">
        <v>214</v>
      </c>
      <c r="AA336" s="202" t="s">
        <v>215</v>
      </c>
      <c r="AB336" s="203">
        <v>150000.0</v>
      </c>
      <c r="AC336" s="281">
        <v>150000.0</v>
      </c>
      <c r="AD336" s="204">
        <v>46199.0</v>
      </c>
      <c r="AE336" s="204">
        <v>46260.0</v>
      </c>
      <c r="AF336" s="205"/>
      <c r="AG336" s="219"/>
      <c r="AH336" s="219"/>
      <c r="AI336" s="219"/>
      <c r="AJ336" s="219"/>
      <c r="AK336" s="219"/>
      <c r="AL336" s="219"/>
      <c r="AM336" s="219"/>
      <c r="AN336" s="219"/>
      <c r="AO336" s="219"/>
    </row>
    <row r="337">
      <c r="A337" s="193">
        <v>15420.0</v>
      </c>
      <c r="B337" s="194" t="s">
        <v>203</v>
      </c>
      <c r="C337" s="193">
        <v>2026.0</v>
      </c>
      <c r="D337" s="193" t="s">
        <v>711</v>
      </c>
      <c r="E337" s="199"/>
      <c r="F337" s="193" t="s">
        <v>204</v>
      </c>
      <c r="G337" s="230">
        <v>46199.0</v>
      </c>
      <c r="H337" s="193" t="s">
        <v>712</v>
      </c>
      <c r="I337" s="230">
        <v>46199.0</v>
      </c>
      <c r="J337" s="193" t="s">
        <v>713</v>
      </c>
      <c r="K337" s="193" t="s">
        <v>206</v>
      </c>
      <c r="L337" s="194" t="s">
        <v>144</v>
      </c>
      <c r="M337" s="199"/>
      <c r="N337" s="193" t="s">
        <v>207</v>
      </c>
      <c r="O337" s="193" t="s">
        <v>206</v>
      </c>
      <c r="P337" s="193" t="s">
        <v>206</v>
      </c>
      <c r="Q337" s="207"/>
      <c r="R337" s="208" t="s">
        <v>714</v>
      </c>
      <c r="S337" s="193" t="s">
        <v>45</v>
      </c>
      <c r="T337" s="193" t="s">
        <v>494</v>
      </c>
      <c r="U337" s="193" t="s">
        <v>715</v>
      </c>
      <c r="V337" s="193" t="s">
        <v>290</v>
      </c>
      <c r="W337" s="193" t="s">
        <v>212</v>
      </c>
      <c r="X337" s="193" t="s">
        <v>252</v>
      </c>
      <c r="Y337" s="200">
        <v>3.0</v>
      </c>
      <c r="Z337" s="202" t="s">
        <v>214</v>
      </c>
      <c r="AA337" s="202" t="s">
        <v>215</v>
      </c>
      <c r="AB337" s="203">
        <v>18462.36</v>
      </c>
      <c r="AC337" s="203">
        <v>18462.36</v>
      </c>
      <c r="AD337" s="204">
        <v>46199.0</v>
      </c>
      <c r="AE337" s="204">
        <v>46260.0</v>
      </c>
      <c r="AF337" s="205"/>
      <c r="AG337" s="219"/>
      <c r="AH337" s="219"/>
      <c r="AI337" s="219"/>
      <c r="AJ337" s="219"/>
      <c r="AK337" s="219"/>
      <c r="AL337" s="219"/>
      <c r="AM337" s="219"/>
      <c r="AN337" s="219"/>
      <c r="AO337" s="219"/>
    </row>
    <row r="338">
      <c r="A338" s="193">
        <v>15421.0</v>
      </c>
      <c r="B338" s="194" t="s">
        <v>203</v>
      </c>
      <c r="C338" s="193">
        <v>2026.0</v>
      </c>
      <c r="D338" s="193" t="s">
        <v>429</v>
      </c>
      <c r="E338" s="199"/>
      <c r="F338" s="193" t="s">
        <v>204</v>
      </c>
      <c r="G338" s="198">
        <v>46199.0</v>
      </c>
      <c r="H338" s="193" t="s">
        <v>430</v>
      </c>
      <c r="I338" s="198">
        <v>46199.0</v>
      </c>
      <c r="J338" s="193" t="s">
        <v>709</v>
      </c>
      <c r="K338" s="193" t="s">
        <v>206</v>
      </c>
      <c r="L338" s="194" t="s">
        <v>144</v>
      </c>
      <c r="M338" s="199"/>
      <c r="N338" s="193" t="s">
        <v>207</v>
      </c>
      <c r="O338" s="193" t="s">
        <v>206</v>
      </c>
      <c r="P338" s="193" t="s">
        <v>206</v>
      </c>
      <c r="Q338" s="207"/>
      <c r="R338" s="208" t="s">
        <v>432</v>
      </c>
      <c r="S338" s="193" t="s">
        <v>45</v>
      </c>
      <c r="T338" s="193" t="s">
        <v>494</v>
      </c>
      <c r="U338" s="193" t="s">
        <v>715</v>
      </c>
      <c r="V338" s="193" t="s">
        <v>290</v>
      </c>
      <c r="W338" s="193" t="s">
        <v>212</v>
      </c>
      <c r="X338" s="193" t="s">
        <v>252</v>
      </c>
      <c r="Y338" s="200">
        <v>3.0</v>
      </c>
      <c r="Z338" s="202" t="s">
        <v>214</v>
      </c>
      <c r="AA338" s="202" t="s">
        <v>215</v>
      </c>
      <c r="AB338" s="203">
        <v>324166.14</v>
      </c>
      <c r="AC338" s="203">
        <v>324166.14</v>
      </c>
      <c r="AD338" s="204">
        <v>46199.0</v>
      </c>
      <c r="AE338" s="204">
        <v>46260.0</v>
      </c>
      <c r="AF338" s="205"/>
      <c r="AG338" s="219"/>
      <c r="AH338" s="219"/>
      <c r="AI338" s="219"/>
      <c r="AJ338" s="219"/>
      <c r="AK338" s="219"/>
      <c r="AL338" s="219"/>
      <c r="AM338" s="219"/>
      <c r="AN338" s="219"/>
      <c r="AO338" s="219"/>
    </row>
    <row r="339">
      <c r="A339" s="193">
        <v>15440.0</v>
      </c>
      <c r="B339" s="194" t="s">
        <v>203</v>
      </c>
      <c r="C339" s="193">
        <v>2026.0</v>
      </c>
      <c r="D339" s="195">
        <v>2048.0</v>
      </c>
      <c r="E339" s="199"/>
      <c r="F339" s="199"/>
      <c r="G339" s="235"/>
      <c r="H339" s="199"/>
      <c r="I339" s="235"/>
      <c r="J339" s="199"/>
      <c r="K339" s="193" t="s">
        <v>206</v>
      </c>
      <c r="L339" s="194" t="s">
        <v>144</v>
      </c>
      <c r="M339" s="199"/>
      <c r="N339" s="193" t="s">
        <v>207</v>
      </c>
      <c r="O339" s="193" t="s">
        <v>206</v>
      </c>
      <c r="P339" s="193" t="s">
        <v>206</v>
      </c>
      <c r="Q339" s="207"/>
      <c r="R339" s="208" t="s">
        <v>219</v>
      </c>
      <c r="S339" s="193" t="s">
        <v>45</v>
      </c>
      <c r="T339" s="193" t="s">
        <v>494</v>
      </c>
      <c r="U339" s="193" t="s">
        <v>716</v>
      </c>
      <c r="V339" s="193" t="s">
        <v>237</v>
      </c>
      <c r="W339" s="193" t="s">
        <v>212</v>
      </c>
      <c r="X339" s="193" t="s">
        <v>252</v>
      </c>
      <c r="Y339" s="200">
        <v>3.0</v>
      </c>
      <c r="Z339" s="202" t="s">
        <v>214</v>
      </c>
      <c r="AA339" s="202" t="s">
        <v>215</v>
      </c>
      <c r="AB339" s="203">
        <v>30000.0</v>
      </c>
      <c r="AC339" s="203">
        <v>30000.0</v>
      </c>
      <c r="AD339" s="276">
        <v>46291.0</v>
      </c>
      <c r="AE339" s="204">
        <v>46352.0</v>
      </c>
      <c r="AF339" s="205"/>
      <c r="AG339" s="219"/>
      <c r="AH339" s="219"/>
      <c r="AI339" s="219"/>
      <c r="AJ339" s="219"/>
      <c r="AK339" s="219"/>
      <c r="AL339" s="219"/>
      <c r="AM339" s="219"/>
      <c r="AN339" s="219"/>
      <c r="AO339" s="219"/>
    </row>
    <row r="340">
      <c r="A340" s="193">
        <v>15460.0</v>
      </c>
      <c r="B340" s="232" t="s">
        <v>264</v>
      </c>
      <c r="C340" s="193">
        <v>2026.0</v>
      </c>
      <c r="D340" s="199"/>
      <c r="E340" s="199"/>
      <c r="F340" s="199"/>
      <c r="G340" s="233"/>
      <c r="H340" s="199"/>
      <c r="I340" s="233"/>
      <c r="J340" s="199"/>
      <c r="K340" s="193" t="s">
        <v>206</v>
      </c>
      <c r="L340" s="232" t="s">
        <v>146</v>
      </c>
      <c r="M340" s="199"/>
      <c r="N340" s="193" t="s">
        <v>475</v>
      </c>
      <c r="O340" s="193" t="s">
        <v>206</v>
      </c>
      <c r="P340" s="193" t="s">
        <v>206</v>
      </c>
      <c r="Q340" s="207"/>
      <c r="R340" s="208" t="s">
        <v>279</v>
      </c>
      <c r="S340" s="193" t="s">
        <v>50</v>
      </c>
      <c r="T340" s="193" t="s">
        <v>476</v>
      </c>
      <c r="U340" s="193" t="s">
        <v>571</v>
      </c>
      <c r="V340" s="193" t="s">
        <v>50</v>
      </c>
      <c r="W340" s="193" t="s">
        <v>264</v>
      </c>
      <c r="X340" s="193" t="s">
        <v>252</v>
      </c>
      <c r="Y340" s="200">
        <v>3.0</v>
      </c>
      <c r="Z340" s="202" t="s">
        <v>214</v>
      </c>
      <c r="AA340" s="202" t="s">
        <v>215</v>
      </c>
      <c r="AB340" s="203">
        <v>21600.0</v>
      </c>
      <c r="AC340" s="203">
        <v>21600.0</v>
      </c>
      <c r="AD340" s="276">
        <v>46199.0</v>
      </c>
      <c r="AE340" s="204">
        <v>46260.0</v>
      </c>
      <c r="AF340" s="205"/>
      <c r="AG340" s="219"/>
      <c r="AH340" s="219"/>
      <c r="AI340" s="219"/>
      <c r="AJ340" s="219"/>
      <c r="AK340" s="219"/>
      <c r="AL340" s="219"/>
      <c r="AM340" s="219"/>
      <c r="AN340" s="219"/>
      <c r="AO340" s="219"/>
    </row>
    <row r="341">
      <c r="A341" s="193">
        <v>15480.0</v>
      </c>
      <c r="B341" s="232" t="s">
        <v>264</v>
      </c>
      <c r="C341" s="193">
        <v>2026.0</v>
      </c>
      <c r="D341" s="199"/>
      <c r="E341" s="199"/>
      <c r="F341" s="199"/>
      <c r="G341" s="248"/>
      <c r="H341" s="199"/>
      <c r="I341" s="220"/>
      <c r="J341" s="199"/>
      <c r="K341" s="193" t="s">
        <v>206</v>
      </c>
      <c r="L341" s="232" t="s">
        <v>146</v>
      </c>
      <c r="M341" s="199"/>
      <c r="N341" s="193" t="s">
        <v>475</v>
      </c>
      <c r="O341" s="193" t="s">
        <v>206</v>
      </c>
      <c r="P341" s="193" t="s">
        <v>206</v>
      </c>
      <c r="Q341" s="207"/>
      <c r="R341" s="208" t="s">
        <v>279</v>
      </c>
      <c r="S341" s="193" t="s">
        <v>50</v>
      </c>
      <c r="T341" s="193" t="s">
        <v>476</v>
      </c>
      <c r="U341" s="193" t="s">
        <v>571</v>
      </c>
      <c r="V341" s="193" t="s">
        <v>50</v>
      </c>
      <c r="W341" s="193" t="s">
        <v>264</v>
      </c>
      <c r="X341" s="193" t="s">
        <v>252</v>
      </c>
      <c r="Y341" s="200">
        <v>3.0</v>
      </c>
      <c r="Z341" s="202" t="s">
        <v>214</v>
      </c>
      <c r="AA341" s="202" t="s">
        <v>215</v>
      </c>
      <c r="AB341" s="203">
        <v>21600.0</v>
      </c>
      <c r="AC341" s="203">
        <v>21600.0</v>
      </c>
      <c r="AD341" s="276">
        <v>46199.0</v>
      </c>
      <c r="AE341" s="204">
        <v>46260.0</v>
      </c>
      <c r="AF341" s="205"/>
      <c r="AG341" s="219"/>
      <c r="AH341" s="219"/>
      <c r="AI341" s="219"/>
      <c r="AJ341" s="219"/>
      <c r="AK341" s="219"/>
      <c r="AL341" s="219"/>
      <c r="AM341" s="219"/>
      <c r="AN341" s="219"/>
      <c r="AO341" s="219"/>
    </row>
    <row r="342">
      <c r="A342" s="193">
        <v>15500.0</v>
      </c>
      <c r="B342" s="232" t="s">
        <v>264</v>
      </c>
      <c r="C342" s="193">
        <v>2026.0</v>
      </c>
      <c r="D342" s="199"/>
      <c r="E342" s="199"/>
      <c r="F342" s="199"/>
      <c r="G342" s="248"/>
      <c r="H342" s="199"/>
      <c r="I342" s="233"/>
      <c r="J342" s="199"/>
      <c r="K342" s="193" t="s">
        <v>206</v>
      </c>
      <c r="L342" s="232" t="s">
        <v>146</v>
      </c>
      <c r="M342" s="199"/>
      <c r="N342" s="193" t="s">
        <v>475</v>
      </c>
      <c r="O342" s="193" t="s">
        <v>206</v>
      </c>
      <c r="P342" s="193" t="s">
        <v>206</v>
      </c>
      <c r="Q342" s="207"/>
      <c r="R342" s="208" t="s">
        <v>279</v>
      </c>
      <c r="S342" s="193" t="s">
        <v>50</v>
      </c>
      <c r="T342" s="193" t="s">
        <v>476</v>
      </c>
      <c r="U342" s="193" t="s">
        <v>571</v>
      </c>
      <c r="V342" s="193" t="s">
        <v>50</v>
      </c>
      <c r="W342" s="193" t="s">
        <v>264</v>
      </c>
      <c r="X342" s="193" t="s">
        <v>252</v>
      </c>
      <c r="Y342" s="200">
        <v>3.0</v>
      </c>
      <c r="Z342" s="202" t="s">
        <v>214</v>
      </c>
      <c r="AA342" s="202" t="s">
        <v>215</v>
      </c>
      <c r="AB342" s="203">
        <v>10800.0</v>
      </c>
      <c r="AC342" s="203">
        <v>10800.0</v>
      </c>
      <c r="AD342" s="276">
        <v>46199.0</v>
      </c>
      <c r="AE342" s="204">
        <v>46260.0</v>
      </c>
      <c r="AF342" s="205"/>
      <c r="AG342" s="219"/>
      <c r="AH342" s="219"/>
      <c r="AI342" s="219"/>
      <c r="AJ342" s="219"/>
      <c r="AK342" s="219"/>
      <c r="AL342" s="219"/>
      <c r="AM342" s="219"/>
      <c r="AN342" s="219"/>
      <c r="AO342" s="219"/>
    </row>
    <row r="343">
      <c r="A343" s="193">
        <v>15520.0</v>
      </c>
      <c r="B343" s="194" t="s">
        <v>203</v>
      </c>
      <c r="C343" s="193">
        <v>2026.0</v>
      </c>
      <c r="D343" s="193" t="s">
        <v>717</v>
      </c>
      <c r="E343" s="199"/>
      <c r="F343" s="193" t="s">
        <v>718</v>
      </c>
      <c r="G343" s="248"/>
      <c r="H343" s="199"/>
      <c r="I343" s="233"/>
      <c r="J343" s="199"/>
      <c r="K343" s="193" t="s">
        <v>206</v>
      </c>
      <c r="L343" s="194" t="s">
        <v>144</v>
      </c>
      <c r="M343" s="199"/>
      <c r="N343" s="193" t="s">
        <v>337</v>
      </c>
      <c r="O343" s="193" t="s">
        <v>206</v>
      </c>
      <c r="P343" s="193" t="s">
        <v>206</v>
      </c>
      <c r="Q343" s="199"/>
      <c r="R343" s="193" t="s">
        <v>279</v>
      </c>
      <c r="S343" s="193" t="s">
        <v>50</v>
      </c>
      <c r="T343" s="193" t="s">
        <v>719</v>
      </c>
      <c r="U343" s="193" t="s">
        <v>720</v>
      </c>
      <c r="V343" s="193" t="s">
        <v>50</v>
      </c>
      <c r="W343" s="193" t="s">
        <v>264</v>
      </c>
      <c r="X343" s="193" t="s">
        <v>252</v>
      </c>
      <c r="Y343" s="200">
        <v>4.0</v>
      </c>
      <c r="Z343" s="202" t="s">
        <v>531</v>
      </c>
      <c r="AA343" s="202" t="s">
        <v>234</v>
      </c>
      <c r="AB343" s="203">
        <v>1470000.0</v>
      </c>
      <c r="AC343" s="203">
        <v>8379000.0</v>
      </c>
      <c r="AD343" s="204">
        <v>46229.0</v>
      </c>
      <c r="AE343" s="204">
        <v>46382.0</v>
      </c>
      <c r="AF343" s="226" t="s">
        <v>721</v>
      </c>
      <c r="AG343" s="219"/>
      <c r="AH343" s="206"/>
      <c r="AI343" s="206"/>
      <c r="AJ343" s="206"/>
      <c r="AK343" s="206"/>
      <c r="AL343" s="206"/>
      <c r="AM343" s="206"/>
      <c r="AN343" s="206"/>
      <c r="AO343" s="206"/>
    </row>
    <row r="344">
      <c r="A344" s="193">
        <v>15540.0</v>
      </c>
      <c r="B344" s="194" t="s">
        <v>203</v>
      </c>
      <c r="C344" s="193">
        <v>2026.0</v>
      </c>
      <c r="D344" s="195">
        <v>2048.0</v>
      </c>
      <c r="E344" s="199"/>
      <c r="F344" s="193" t="s">
        <v>204</v>
      </c>
      <c r="G344" s="230">
        <v>46213.0</v>
      </c>
      <c r="H344" s="193">
        <v>579.0</v>
      </c>
      <c r="I344" s="223">
        <v>46213.0</v>
      </c>
      <c r="J344" s="193" t="s">
        <v>349</v>
      </c>
      <c r="K344" s="193" t="s">
        <v>206</v>
      </c>
      <c r="L344" s="194" t="s">
        <v>144</v>
      </c>
      <c r="M344" s="199"/>
      <c r="N344" s="193" t="s">
        <v>207</v>
      </c>
      <c r="O344" s="193" t="s">
        <v>206</v>
      </c>
      <c r="P344" s="193" t="s">
        <v>206</v>
      </c>
      <c r="Q344" s="199"/>
      <c r="R344" s="193" t="s">
        <v>208</v>
      </c>
      <c r="S344" s="193" t="s">
        <v>39</v>
      </c>
      <c r="T344" s="193" t="s">
        <v>209</v>
      </c>
      <c r="U344" s="193" t="s">
        <v>632</v>
      </c>
      <c r="V344" s="193" t="s">
        <v>211</v>
      </c>
      <c r="W344" s="193" t="s">
        <v>212</v>
      </c>
      <c r="X344" s="193" t="s">
        <v>213</v>
      </c>
      <c r="Y344" s="200">
        <v>3.0</v>
      </c>
      <c r="Z344" s="202" t="s">
        <v>214</v>
      </c>
      <c r="AA344" s="202" t="s">
        <v>215</v>
      </c>
      <c r="AB344" s="203">
        <v>2310000.0</v>
      </c>
      <c r="AC344" s="203">
        <v>2310000.0</v>
      </c>
      <c r="AD344" s="204">
        <v>46229.0</v>
      </c>
      <c r="AE344" s="204">
        <v>46291.0</v>
      </c>
      <c r="AF344" s="226" t="s">
        <v>722</v>
      </c>
      <c r="AG344" s="219"/>
      <c r="AH344" s="219"/>
      <c r="AI344" s="219"/>
      <c r="AJ344" s="219"/>
      <c r="AK344" s="219"/>
      <c r="AL344" s="219"/>
      <c r="AM344" s="219"/>
      <c r="AN344" s="219"/>
      <c r="AO344" s="219"/>
    </row>
    <row r="345">
      <c r="A345" s="193">
        <v>15560.0</v>
      </c>
      <c r="B345" s="194" t="s">
        <v>203</v>
      </c>
      <c r="C345" s="193">
        <v>2026.0</v>
      </c>
      <c r="D345" s="195">
        <v>2048.0</v>
      </c>
      <c r="E345" s="199"/>
      <c r="F345" s="193" t="s">
        <v>204</v>
      </c>
      <c r="G345" s="246">
        <v>46213.0</v>
      </c>
      <c r="H345" s="193">
        <v>582.0</v>
      </c>
      <c r="I345" s="197">
        <v>46213.0</v>
      </c>
      <c r="J345" s="193" t="s">
        <v>226</v>
      </c>
      <c r="K345" s="193" t="s">
        <v>206</v>
      </c>
      <c r="L345" s="194" t="s">
        <v>144</v>
      </c>
      <c r="M345" s="199"/>
      <c r="N345" s="193" t="s">
        <v>207</v>
      </c>
      <c r="O345" s="193" t="s">
        <v>206</v>
      </c>
      <c r="P345" s="193" t="s">
        <v>206</v>
      </c>
      <c r="Q345" s="207"/>
      <c r="R345" s="208" t="s">
        <v>219</v>
      </c>
      <c r="S345" s="193" t="s">
        <v>44</v>
      </c>
      <c r="T345" s="193" t="s">
        <v>220</v>
      </c>
      <c r="U345" s="193" t="s">
        <v>723</v>
      </c>
      <c r="V345" s="193" t="s">
        <v>211</v>
      </c>
      <c r="W345" s="193" t="s">
        <v>212</v>
      </c>
      <c r="X345" s="193" t="s">
        <v>223</v>
      </c>
      <c r="Y345" s="200">
        <v>3.0</v>
      </c>
      <c r="Z345" s="202" t="s">
        <v>214</v>
      </c>
      <c r="AA345" s="202" t="s">
        <v>215</v>
      </c>
      <c r="AB345" s="203">
        <v>1212500.0</v>
      </c>
      <c r="AC345" s="203">
        <v>1212500.0</v>
      </c>
      <c r="AD345" s="204">
        <v>46229.0</v>
      </c>
      <c r="AE345" s="204">
        <v>46260.0</v>
      </c>
      <c r="AF345" s="226" t="s">
        <v>724</v>
      </c>
      <c r="AG345" s="219"/>
      <c r="AH345" s="219"/>
      <c r="AI345" s="219"/>
      <c r="AJ345" s="219"/>
      <c r="AK345" s="219"/>
      <c r="AL345" s="219"/>
      <c r="AM345" s="219"/>
      <c r="AN345" s="219"/>
      <c r="AO345" s="219"/>
    </row>
    <row r="346">
      <c r="A346" s="193">
        <v>15561.0</v>
      </c>
      <c r="B346" s="194" t="s">
        <v>203</v>
      </c>
      <c r="C346" s="193">
        <v>2026.0</v>
      </c>
      <c r="D346" s="193" t="s">
        <v>429</v>
      </c>
      <c r="E346" s="199"/>
      <c r="F346" s="222" t="s">
        <v>204</v>
      </c>
      <c r="G346" s="230">
        <v>46210.0</v>
      </c>
      <c r="H346" s="193" t="s">
        <v>430</v>
      </c>
      <c r="I346" s="198">
        <v>46210.0</v>
      </c>
      <c r="J346" s="193" t="s">
        <v>431</v>
      </c>
      <c r="K346" s="193" t="s">
        <v>206</v>
      </c>
      <c r="L346" s="194" t="s">
        <v>144</v>
      </c>
      <c r="M346" s="199"/>
      <c r="N346" s="193" t="s">
        <v>207</v>
      </c>
      <c r="O346" s="193" t="s">
        <v>206</v>
      </c>
      <c r="P346" s="193" t="s">
        <v>206</v>
      </c>
      <c r="Q346" s="207"/>
      <c r="R346" s="208" t="s">
        <v>432</v>
      </c>
      <c r="S346" s="193" t="s">
        <v>44</v>
      </c>
      <c r="T346" s="193" t="s">
        <v>220</v>
      </c>
      <c r="U346" s="193" t="s">
        <v>723</v>
      </c>
      <c r="V346" s="193" t="s">
        <v>211</v>
      </c>
      <c r="W346" s="193" t="s">
        <v>212</v>
      </c>
      <c r="X346" s="193" t="s">
        <v>223</v>
      </c>
      <c r="Y346" s="200">
        <v>3.0</v>
      </c>
      <c r="Z346" s="202" t="s">
        <v>214</v>
      </c>
      <c r="AA346" s="202" t="s">
        <v>215</v>
      </c>
      <c r="AB346" s="203">
        <v>1360000.0</v>
      </c>
      <c r="AC346" s="203">
        <v>1360000.0</v>
      </c>
      <c r="AD346" s="204">
        <v>46229.0</v>
      </c>
      <c r="AE346" s="204">
        <v>46260.0</v>
      </c>
      <c r="AF346" s="226" t="s">
        <v>724</v>
      </c>
      <c r="AG346" s="219"/>
      <c r="AH346" s="219"/>
      <c r="AI346" s="219"/>
      <c r="AJ346" s="219"/>
      <c r="AK346" s="219"/>
      <c r="AL346" s="219"/>
      <c r="AM346" s="219"/>
      <c r="AN346" s="219"/>
      <c r="AO346" s="219"/>
    </row>
    <row r="347">
      <c r="A347" s="193">
        <v>15580.0</v>
      </c>
      <c r="B347" s="194" t="s">
        <v>203</v>
      </c>
      <c r="C347" s="193">
        <v>2026.0</v>
      </c>
      <c r="D347" s="195">
        <v>2048.0</v>
      </c>
      <c r="E347" s="196"/>
      <c r="F347" s="193" t="s">
        <v>204</v>
      </c>
      <c r="G347" s="246">
        <v>46191.0</v>
      </c>
      <c r="H347" s="193">
        <v>446.0</v>
      </c>
      <c r="I347" s="283">
        <v>46191.0</v>
      </c>
      <c r="J347" s="193" t="s">
        <v>351</v>
      </c>
      <c r="K347" s="193" t="s">
        <v>206</v>
      </c>
      <c r="L347" s="194" t="s">
        <v>144</v>
      </c>
      <c r="M347" s="199"/>
      <c r="N347" s="193" t="s">
        <v>207</v>
      </c>
      <c r="O347" s="193" t="s">
        <v>206</v>
      </c>
      <c r="P347" s="193" t="s">
        <v>206</v>
      </c>
      <c r="Q347" s="207"/>
      <c r="R347" s="208" t="s">
        <v>208</v>
      </c>
      <c r="S347" s="193" t="s">
        <v>39</v>
      </c>
      <c r="T347" s="193" t="s">
        <v>294</v>
      </c>
      <c r="U347" s="193" t="s">
        <v>725</v>
      </c>
      <c r="V347" s="193" t="s">
        <v>296</v>
      </c>
      <c r="W347" s="193" t="s">
        <v>212</v>
      </c>
      <c r="X347" s="193" t="s">
        <v>223</v>
      </c>
      <c r="Y347" s="200">
        <v>3.0</v>
      </c>
      <c r="Z347" s="202" t="s">
        <v>214</v>
      </c>
      <c r="AA347" s="202" t="s">
        <v>215</v>
      </c>
      <c r="AB347" s="203">
        <v>1057110.0</v>
      </c>
      <c r="AC347" s="203">
        <v>1057110.0</v>
      </c>
      <c r="AD347" s="204">
        <v>46199.0</v>
      </c>
      <c r="AE347" s="204">
        <v>46260.0</v>
      </c>
      <c r="AF347" s="226" t="s">
        <v>268</v>
      </c>
      <c r="AG347" s="219"/>
      <c r="AH347" s="219"/>
      <c r="AI347" s="219"/>
      <c r="AJ347" s="219"/>
      <c r="AK347" s="219"/>
      <c r="AL347" s="219"/>
      <c r="AM347" s="219"/>
      <c r="AN347" s="219"/>
      <c r="AO347" s="219"/>
    </row>
    <row r="348">
      <c r="A348" s="193">
        <v>15600.0</v>
      </c>
      <c r="B348" s="194" t="s">
        <v>203</v>
      </c>
      <c r="C348" s="193">
        <v>2026.0</v>
      </c>
      <c r="D348" s="195">
        <v>2048.0</v>
      </c>
      <c r="E348" s="199"/>
      <c r="F348" s="193" t="s">
        <v>204</v>
      </c>
      <c r="G348" s="230">
        <v>46213.0</v>
      </c>
      <c r="H348" s="193">
        <v>579.0</v>
      </c>
      <c r="I348" s="198">
        <v>46213.0</v>
      </c>
      <c r="J348" s="193" t="s">
        <v>726</v>
      </c>
      <c r="K348" s="193" t="s">
        <v>206</v>
      </c>
      <c r="L348" s="194" t="s">
        <v>144</v>
      </c>
      <c r="M348" s="199"/>
      <c r="N348" s="193" t="s">
        <v>207</v>
      </c>
      <c r="O348" s="193" t="s">
        <v>206</v>
      </c>
      <c r="P348" s="193" t="s">
        <v>206</v>
      </c>
      <c r="Q348" s="199"/>
      <c r="R348" s="193" t="s">
        <v>208</v>
      </c>
      <c r="S348" s="193" t="s">
        <v>39</v>
      </c>
      <c r="T348" s="193" t="s">
        <v>294</v>
      </c>
      <c r="U348" s="193" t="s">
        <v>727</v>
      </c>
      <c r="V348" s="193" t="s">
        <v>296</v>
      </c>
      <c r="W348" s="193" t="s">
        <v>212</v>
      </c>
      <c r="X348" s="193" t="s">
        <v>223</v>
      </c>
      <c r="Y348" s="200">
        <v>3.0</v>
      </c>
      <c r="Z348" s="202" t="s">
        <v>214</v>
      </c>
      <c r="AA348" s="202" t="s">
        <v>215</v>
      </c>
      <c r="AB348" s="203">
        <v>1057110.0</v>
      </c>
      <c r="AC348" s="203">
        <v>1057110.0</v>
      </c>
      <c r="AD348" s="204">
        <v>46229.0</v>
      </c>
      <c r="AE348" s="204">
        <v>46291.0</v>
      </c>
      <c r="AF348" s="226" t="s">
        <v>633</v>
      </c>
      <c r="AG348" s="219"/>
      <c r="AH348" s="219"/>
      <c r="AI348" s="219"/>
      <c r="AJ348" s="219"/>
      <c r="AK348" s="219"/>
      <c r="AL348" s="219"/>
      <c r="AM348" s="219"/>
      <c r="AN348" s="219"/>
      <c r="AO348" s="219"/>
    </row>
    <row r="349">
      <c r="A349" s="193">
        <v>15620.0</v>
      </c>
      <c r="B349" s="194" t="s">
        <v>203</v>
      </c>
      <c r="C349" s="193">
        <v>2026.0</v>
      </c>
      <c r="D349" s="195">
        <v>2048.0</v>
      </c>
      <c r="E349" s="199"/>
      <c r="F349" s="193" t="s">
        <v>204</v>
      </c>
      <c r="G349" s="198">
        <v>46191.0</v>
      </c>
      <c r="H349" s="193">
        <v>446.0</v>
      </c>
      <c r="I349" s="223">
        <v>46191.0</v>
      </c>
      <c r="J349" s="193" t="s">
        <v>307</v>
      </c>
      <c r="K349" s="193" t="s">
        <v>206</v>
      </c>
      <c r="L349" s="194" t="s">
        <v>144</v>
      </c>
      <c r="M349" s="199"/>
      <c r="N349" s="193" t="s">
        <v>207</v>
      </c>
      <c r="O349" s="193" t="s">
        <v>206</v>
      </c>
      <c r="P349" s="193" t="s">
        <v>206</v>
      </c>
      <c r="Q349" s="199"/>
      <c r="R349" s="193" t="s">
        <v>208</v>
      </c>
      <c r="S349" s="193" t="s">
        <v>39</v>
      </c>
      <c r="T349" s="193" t="s">
        <v>209</v>
      </c>
      <c r="U349" s="193" t="s">
        <v>725</v>
      </c>
      <c r="V349" s="193" t="s">
        <v>211</v>
      </c>
      <c r="W349" s="193" t="s">
        <v>212</v>
      </c>
      <c r="X349" s="193" t="s">
        <v>223</v>
      </c>
      <c r="Y349" s="200">
        <v>3.0</v>
      </c>
      <c r="Z349" s="202" t="s">
        <v>214</v>
      </c>
      <c r="AA349" s="202" t="s">
        <v>215</v>
      </c>
      <c r="AB349" s="203">
        <v>4072680.0</v>
      </c>
      <c r="AC349" s="203">
        <v>4072680.0</v>
      </c>
      <c r="AD349" s="204">
        <v>46199.0</v>
      </c>
      <c r="AE349" s="204">
        <v>46260.0</v>
      </c>
      <c r="AF349" s="226" t="s">
        <v>268</v>
      </c>
      <c r="AG349" s="219"/>
      <c r="AH349" s="219"/>
      <c r="AI349" s="219"/>
      <c r="AJ349" s="219"/>
      <c r="AK349" s="219"/>
      <c r="AL349" s="219"/>
      <c r="AM349" s="219"/>
      <c r="AN349" s="219"/>
      <c r="AO349" s="219"/>
    </row>
    <row r="350">
      <c r="A350" s="193">
        <v>15640.0</v>
      </c>
      <c r="B350" s="194" t="s">
        <v>203</v>
      </c>
      <c r="C350" s="193">
        <v>2026.0</v>
      </c>
      <c r="D350" s="193" t="s">
        <v>636</v>
      </c>
      <c r="E350" s="199"/>
      <c r="F350" s="193" t="s">
        <v>204</v>
      </c>
      <c r="G350" s="230">
        <v>46154.0</v>
      </c>
      <c r="H350" s="193">
        <v>344.0</v>
      </c>
      <c r="I350" s="223">
        <v>46154.0</v>
      </c>
      <c r="J350" s="193" t="s">
        <v>728</v>
      </c>
      <c r="K350" s="193" t="s">
        <v>206</v>
      </c>
      <c r="L350" s="194" t="s">
        <v>144</v>
      </c>
      <c r="M350" s="199"/>
      <c r="N350" s="193" t="s">
        <v>207</v>
      </c>
      <c r="O350" s="193" t="s">
        <v>206</v>
      </c>
      <c r="P350" s="193" t="s">
        <v>206</v>
      </c>
      <c r="Q350" s="199"/>
      <c r="R350" s="193" t="s">
        <v>219</v>
      </c>
      <c r="S350" s="193" t="s">
        <v>43</v>
      </c>
      <c r="T350" s="193" t="s">
        <v>299</v>
      </c>
      <c r="U350" s="193" t="s">
        <v>729</v>
      </c>
      <c r="V350" s="193" t="s">
        <v>296</v>
      </c>
      <c r="W350" s="193" t="s">
        <v>212</v>
      </c>
      <c r="X350" s="193" t="s">
        <v>223</v>
      </c>
      <c r="Y350" s="200">
        <v>3.0</v>
      </c>
      <c r="Z350" s="202" t="s">
        <v>214</v>
      </c>
      <c r="AA350" s="202" t="s">
        <v>215</v>
      </c>
      <c r="AB350" s="221"/>
      <c r="AC350" s="203">
        <v>619070.0</v>
      </c>
      <c r="AD350" s="276">
        <v>46168.0</v>
      </c>
      <c r="AE350" s="204">
        <v>46321.0</v>
      </c>
      <c r="AF350" s="205"/>
      <c r="AG350" s="219"/>
      <c r="AH350" s="219"/>
      <c r="AI350" s="219"/>
      <c r="AJ350" s="219"/>
      <c r="AK350" s="219"/>
      <c r="AL350" s="219"/>
      <c r="AM350" s="219"/>
      <c r="AN350" s="219"/>
      <c r="AO350" s="219"/>
    </row>
    <row r="351">
      <c r="A351" s="193">
        <v>15660.0</v>
      </c>
      <c r="B351" s="194" t="s">
        <v>203</v>
      </c>
      <c r="C351" s="193">
        <v>2026.0</v>
      </c>
      <c r="D351" s="193" t="s">
        <v>730</v>
      </c>
      <c r="E351" s="199"/>
      <c r="F351" s="193" t="s">
        <v>204</v>
      </c>
      <c r="G351" s="230">
        <v>46241.0</v>
      </c>
      <c r="H351" s="193" t="s">
        <v>731</v>
      </c>
      <c r="I351" s="198">
        <v>46241.0</v>
      </c>
      <c r="J351" s="193" t="s">
        <v>732</v>
      </c>
      <c r="K351" s="193" t="s">
        <v>206</v>
      </c>
      <c r="L351" s="194" t="s">
        <v>144</v>
      </c>
      <c r="M351" s="199"/>
      <c r="N351" s="193" t="s">
        <v>207</v>
      </c>
      <c r="O351" s="193" t="s">
        <v>206</v>
      </c>
      <c r="P351" s="193" t="s">
        <v>206</v>
      </c>
      <c r="Q351" s="199"/>
      <c r="R351" s="193" t="s">
        <v>733</v>
      </c>
      <c r="S351" s="193" t="s">
        <v>44</v>
      </c>
      <c r="T351" s="193" t="s">
        <v>220</v>
      </c>
      <c r="U351" s="193" t="s">
        <v>734</v>
      </c>
      <c r="V351" s="193" t="s">
        <v>211</v>
      </c>
      <c r="W351" s="193" t="s">
        <v>212</v>
      </c>
      <c r="X351" s="193" t="s">
        <v>213</v>
      </c>
      <c r="Y351" s="200">
        <v>3.0</v>
      </c>
      <c r="Z351" s="202" t="s">
        <v>214</v>
      </c>
      <c r="AA351" s="202" t="s">
        <v>215</v>
      </c>
      <c r="AB351" s="221"/>
      <c r="AC351" s="203">
        <v>332718.75</v>
      </c>
      <c r="AD351" s="204">
        <v>46260.0</v>
      </c>
      <c r="AE351" s="204">
        <v>46321.0</v>
      </c>
      <c r="AF351" s="205"/>
      <c r="AG351" s="219"/>
      <c r="AH351" s="219"/>
      <c r="AI351" s="219"/>
      <c r="AJ351" s="219"/>
      <c r="AK351" s="219"/>
      <c r="AL351" s="219"/>
      <c r="AM351" s="219"/>
      <c r="AN351" s="219"/>
      <c r="AO351" s="219"/>
    </row>
    <row r="352">
      <c r="A352" s="193">
        <v>15680.0</v>
      </c>
      <c r="B352" s="194" t="s">
        <v>203</v>
      </c>
      <c r="C352" s="193">
        <v>2026.0</v>
      </c>
      <c r="D352" s="195">
        <v>2048.0</v>
      </c>
      <c r="E352" s="199"/>
      <c r="F352" s="193" t="s">
        <v>204</v>
      </c>
      <c r="G352" s="230">
        <v>46191.0</v>
      </c>
      <c r="H352" s="193">
        <v>448.0</v>
      </c>
      <c r="I352" s="230">
        <v>46191.0</v>
      </c>
      <c r="J352" s="193" t="s">
        <v>735</v>
      </c>
      <c r="K352" s="193" t="s">
        <v>206</v>
      </c>
      <c r="L352" s="194" t="s">
        <v>144</v>
      </c>
      <c r="M352" s="199"/>
      <c r="N352" s="193" t="s">
        <v>207</v>
      </c>
      <c r="O352" s="193" t="s">
        <v>206</v>
      </c>
      <c r="P352" s="193" t="s">
        <v>206</v>
      </c>
      <c r="Q352" s="199"/>
      <c r="R352" s="193" t="s">
        <v>219</v>
      </c>
      <c r="S352" s="193" t="s">
        <v>45</v>
      </c>
      <c r="T352" s="193" t="s">
        <v>494</v>
      </c>
      <c r="U352" s="193" t="s">
        <v>634</v>
      </c>
      <c r="V352" s="193" t="s">
        <v>211</v>
      </c>
      <c r="W352" s="193" t="s">
        <v>212</v>
      </c>
      <c r="X352" s="193" t="s">
        <v>223</v>
      </c>
      <c r="Y352" s="200">
        <v>3.0</v>
      </c>
      <c r="Z352" s="202" t="s">
        <v>214</v>
      </c>
      <c r="AA352" s="202" t="s">
        <v>215</v>
      </c>
      <c r="AB352" s="203">
        <v>1704503.0</v>
      </c>
      <c r="AC352" s="203">
        <v>1496713.48</v>
      </c>
      <c r="AD352" s="204">
        <v>46199.0</v>
      </c>
      <c r="AE352" s="204">
        <v>46260.0</v>
      </c>
      <c r="AF352" s="226" t="s">
        <v>268</v>
      </c>
      <c r="AG352" s="219"/>
      <c r="AH352" s="219"/>
      <c r="AI352" s="219"/>
      <c r="AJ352" s="219"/>
      <c r="AK352" s="219"/>
      <c r="AL352" s="219"/>
      <c r="AM352" s="219"/>
      <c r="AN352" s="219"/>
      <c r="AO352" s="219"/>
    </row>
    <row r="353">
      <c r="A353" s="193">
        <v>15681.0</v>
      </c>
      <c r="B353" s="194" t="s">
        <v>203</v>
      </c>
      <c r="C353" s="193">
        <v>2026.0</v>
      </c>
      <c r="D353" s="193" t="s">
        <v>577</v>
      </c>
      <c r="E353" s="199"/>
      <c r="F353" s="193" t="s">
        <v>204</v>
      </c>
      <c r="G353" s="230">
        <v>46119.0</v>
      </c>
      <c r="H353" s="193" t="s">
        <v>578</v>
      </c>
      <c r="I353" s="198">
        <v>46119.0</v>
      </c>
      <c r="J353" s="193" t="s">
        <v>579</v>
      </c>
      <c r="K353" s="193" t="s">
        <v>206</v>
      </c>
      <c r="L353" s="194" t="s">
        <v>144</v>
      </c>
      <c r="M353" s="199"/>
      <c r="N353" s="193" t="s">
        <v>207</v>
      </c>
      <c r="O353" s="193" t="s">
        <v>206</v>
      </c>
      <c r="P353" s="193" t="s">
        <v>206</v>
      </c>
      <c r="Q353" s="207"/>
      <c r="R353" s="208" t="s">
        <v>312</v>
      </c>
      <c r="S353" s="193" t="s">
        <v>45</v>
      </c>
      <c r="T353" s="193" t="s">
        <v>494</v>
      </c>
      <c r="U353" s="193" t="s">
        <v>634</v>
      </c>
      <c r="V353" s="193" t="s">
        <v>211</v>
      </c>
      <c r="W353" s="193" t="s">
        <v>212</v>
      </c>
      <c r="X353" s="193" t="s">
        <v>223</v>
      </c>
      <c r="Y353" s="200">
        <v>3.0</v>
      </c>
      <c r="Z353" s="202" t="s">
        <v>214</v>
      </c>
      <c r="AA353" s="202" t="s">
        <v>215</v>
      </c>
      <c r="AB353" s="203">
        <v>1704503.0</v>
      </c>
      <c r="AC353" s="203">
        <v>207789.52</v>
      </c>
      <c r="AD353" s="258">
        <v>46138.0</v>
      </c>
      <c r="AE353" s="204">
        <v>46260.0</v>
      </c>
      <c r="AF353" s="205"/>
      <c r="AG353" s="219"/>
      <c r="AH353" s="219"/>
      <c r="AI353" s="219"/>
      <c r="AJ353" s="219"/>
      <c r="AK353" s="219"/>
      <c r="AL353" s="219"/>
      <c r="AM353" s="219"/>
      <c r="AN353" s="219"/>
      <c r="AO353" s="219"/>
    </row>
    <row r="354">
      <c r="A354" s="193">
        <v>15700.0</v>
      </c>
      <c r="B354" s="194" t="s">
        <v>203</v>
      </c>
      <c r="C354" s="193">
        <v>2026.0</v>
      </c>
      <c r="D354" s="193" t="s">
        <v>636</v>
      </c>
      <c r="E354" s="199"/>
      <c r="F354" s="193" t="s">
        <v>204</v>
      </c>
      <c r="G354" s="230">
        <v>46154.0</v>
      </c>
      <c r="H354" s="193">
        <v>340.0</v>
      </c>
      <c r="I354" s="198">
        <v>46160.0</v>
      </c>
      <c r="J354" s="193" t="s">
        <v>495</v>
      </c>
      <c r="K354" s="193" t="s">
        <v>206</v>
      </c>
      <c r="L354" s="194" t="s">
        <v>144</v>
      </c>
      <c r="M354" s="199"/>
      <c r="N354" s="193" t="s">
        <v>207</v>
      </c>
      <c r="O354" s="193" t="s">
        <v>206</v>
      </c>
      <c r="P354" s="193" t="s">
        <v>206</v>
      </c>
      <c r="Q354" s="207"/>
      <c r="R354" s="208" t="s">
        <v>269</v>
      </c>
      <c r="S354" s="193" t="s">
        <v>49</v>
      </c>
      <c r="T354" s="193" t="s">
        <v>356</v>
      </c>
      <c r="U354" s="193" t="s">
        <v>736</v>
      </c>
      <c r="V354" s="193" t="s">
        <v>211</v>
      </c>
      <c r="W354" s="193" t="s">
        <v>212</v>
      </c>
      <c r="X354" s="193" t="s">
        <v>223</v>
      </c>
      <c r="Y354" s="200">
        <v>3.0</v>
      </c>
      <c r="Z354" s="202" t="s">
        <v>214</v>
      </c>
      <c r="AA354" s="202" t="s">
        <v>215</v>
      </c>
      <c r="AB354" s="221"/>
      <c r="AC354" s="203">
        <v>1892821.0</v>
      </c>
      <c r="AD354" s="204">
        <v>46168.0</v>
      </c>
      <c r="AE354" s="204">
        <v>46291.0</v>
      </c>
      <c r="AF354" s="205"/>
      <c r="AG354" s="219"/>
      <c r="AH354" s="219"/>
      <c r="AI354" s="219"/>
      <c r="AJ354" s="219"/>
      <c r="AK354" s="219"/>
      <c r="AL354" s="219"/>
      <c r="AM354" s="219"/>
      <c r="AN354" s="219"/>
      <c r="AO354" s="219"/>
    </row>
    <row r="355">
      <c r="A355" s="193">
        <v>15720.0</v>
      </c>
      <c r="B355" s="194" t="s">
        <v>203</v>
      </c>
      <c r="C355" s="193">
        <v>2026.0</v>
      </c>
      <c r="D355" s="193" t="s">
        <v>636</v>
      </c>
      <c r="E355" s="199"/>
      <c r="F355" s="193" t="s">
        <v>204</v>
      </c>
      <c r="G355" s="230">
        <v>46154.0</v>
      </c>
      <c r="H355" s="193">
        <v>340.0</v>
      </c>
      <c r="I355" s="198">
        <v>46160.0</v>
      </c>
      <c r="J355" s="193" t="s">
        <v>495</v>
      </c>
      <c r="K355" s="193" t="s">
        <v>206</v>
      </c>
      <c r="L355" s="194" t="s">
        <v>144</v>
      </c>
      <c r="M355" s="199"/>
      <c r="N355" s="193" t="s">
        <v>207</v>
      </c>
      <c r="O355" s="193" t="s">
        <v>206</v>
      </c>
      <c r="P355" s="193" t="s">
        <v>206</v>
      </c>
      <c r="Q355" s="207"/>
      <c r="R355" s="208" t="s">
        <v>269</v>
      </c>
      <c r="S355" s="193" t="s">
        <v>49</v>
      </c>
      <c r="T355" s="193" t="s">
        <v>356</v>
      </c>
      <c r="U355" s="193" t="s">
        <v>737</v>
      </c>
      <c r="V355" s="193" t="s">
        <v>211</v>
      </c>
      <c r="W355" s="193" t="s">
        <v>212</v>
      </c>
      <c r="X355" s="193" t="s">
        <v>223</v>
      </c>
      <c r="Y355" s="200">
        <v>3.0</v>
      </c>
      <c r="Z355" s="202" t="s">
        <v>214</v>
      </c>
      <c r="AA355" s="202" t="s">
        <v>215</v>
      </c>
      <c r="AB355" s="221"/>
      <c r="AC355" s="203">
        <v>1892821.0</v>
      </c>
      <c r="AD355" s="204">
        <v>46168.0</v>
      </c>
      <c r="AE355" s="204">
        <v>46291.0</v>
      </c>
      <c r="AF355" s="205"/>
      <c r="AG355" s="219"/>
      <c r="AH355" s="219"/>
      <c r="AI355" s="219"/>
      <c r="AJ355" s="219"/>
      <c r="AK355" s="219"/>
      <c r="AL355" s="219"/>
      <c r="AM355" s="219"/>
      <c r="AN355" s="219"/>
      <c r="AO355" s="219"/>
    </row>
    <row r="356">
      <c r="A356" s="193">
        <v>15740.0</v>
      </c>
      <c r="B356" s="194" t="s">
        <v>203</v>
      </c>
      <c r="C356" s="193">
        <v>2026.0</v>
      </c>
      <c r="D356" s="195">
        <v>2048.0</v>
      </c>
      <c r="E356" s="199"/>
      <c r="F356" s="193" t="s">
        <v>204</v>
      </c>
      <c r="G356" s="215">
        <v>46213.0</v>
      </c>
      <c r="H356" s="193">
        <v>583.0</v>
      </c>
      <c r="I356" s="198">
        <v>46213.0</v>
      </c>
      <c r="J356" s="193" t="s">
        <v>349</v>
      </c>
      <c r="K356" s="193" t="s">
        <v>206</v>
      </c>
      <c r="L356" s="194" t="s">
        <v>144</v>
      </c>
      <c r="M356" s="199"/>
      <c r="N356" s="193" t="s">
        <v>227</v>
      </c>
      <c r="O356" s="193" t="s">
        <v>206</v>
      </c>
      <c r="P356" s="193" t="s">
        <v>206</v>
      </c>
      <c r="Q356" s="207"/>
      <c r="R356" s="208" t="s">
        <v>228</v>
      </c>
      <c r="S356" s="193" t="s">
        <v>47</v>
      </c>
      <c r="T356" s="193" t="s">
        <v>358</v>
      </c>
      <c r="U356" s="193" t="s">
        <v>364</v>
      </c>
      <c r="V356" s="193" t="s">
        <v>231</v>
      </c>
      <c r="W356" s="193" t="s">
        <v>212</v>
      </c>
      <c r="X356" s="193" t="s">
        <v>232</v>
      </c>
      <c r="Y356" s="200">
        <v>3.0</v>
      </c>
      <c r="Z356" s="202" t="s">
        <v>233</v>
      </c>
      <c r="AA356" s="202" t="s">
        <v>234</v>
      </c>
      <c r="AB356" s="203">
        <v>52631.58</v>
      </c>
      <c r="AC356" s="203">
        <v>266994.73</v>
      </c>
      <c r="AD356" s="204">
        <v>46229.0</v>
      </c>
      <c r="AE356" s="204">
        <v>46291.0</v>
      </c>
      <c r="AF356" s="226" t="s">
        <v>633</v>
      </c>
      <c r="AG356" s="219"/>
      <c r="AH356" s="219"/>
      <c r="AI356" s="219"/>
      <c r="AJ356" s="219"/>
      <c r="AK356" s="219"/>
      <c r="AL356" s="219"/>
      <c r="AM356" s="219"/>
      <c r="AN356" s="219"/>
      <c r="AO356" s="219"/>
    </row>
    <row r="357">
      <c r="A357" s="193">
        <v>15760.0</v>
      </c>
      <c r="B357" s="194" t="s">
        <v>203</v>
      </c>
      <c r="C357" s="193">
        <v>2026.0</v>
      </c>
      <c r="D357" s="195">
        <v>2048.0</v>
      </c>
      <c r="E357" s="193">
        <v>55.0</v>
      </c>
      <c r="F357" s="199"/>
      <c r="G357" s="248"/>
      <c r="H357" s="199"/>
      <c r="I357" s="220"/>
      <c r="J357" s="199"/>
      <c r="K357" s="193" t="s">
        <v>206</v>
      </c>
      <c r="L357" s="194" t="s">
        <v>144</v>
      </c>
      <c r="M357" s="199"/>
      <c r="N357" s="193" t="s">
        <v>227</v>
      </c>
      <c r="O357" s="193" t="s">
        <v>206</v>
      </c>
      <c r="P357" s="193" t="s">
        <v>206</v>
      </c>
      <c r="Q357" s="199"/>
      <c r="R357" s="193" t="s">
        <v>228</v>
      </c>
      <c r="S357" s="193" t="s">
        <v>46</v>
      </c>
      <c r="T357" s="193" t="s">
        <v>229</v>
      </c>
      <c r="U357" s="193" t="s">
        <v>371</v>
      </c>
      <c r="V357" s="193" t="s">
        <v>231</v>
      </c>
      <c r="W357" s="193" t="s">
        <v>212</v>
      </c>
      <c r="X357" s="193" t="s">
        <v>232</v>
      </c>
      <c r="Y357" s="200">
        <v>3.0</v>
      </c>
      <c r="Z357" s="202" t="s">
        <v>233</v>
      </c>
      <c r="AA357" s="202" t="s">
        <v>234</v>
      </c>
      <c r="AB357" s="221"/>
      <c r="AC357" s="203">
        <v>270000.0</v>
      </c>
      <c r="AD357" s="276">
        <v>46229.0</v>
      </c>
      <c r="AE357" s="204">
        <v>46291.0</v>
      </c>
      <c r="AF357" s="205"/>
      <c r="AG357" s="219"/>
      <c r="AH357" s="206"/>
      <c r="AI357" s="206"/>
      <c r="AJ357" s="206"/>
      <c r="AK357" s="206"/>
      <c r="AL357" s="206"/>
      <c r="AM357" s="206"/>
      <c r="AN357" s="206"/>
      <c r="AO357" s="206"/>
    </row>
    <row r="358">
      <c r="A358" s="193">
        <v>15780.0</v>
      </c>
      <c r="B358" s="194" t="s">
        <v>203</v>
      </c>
      <c r="C358" s="193">
        <v>2026.0</v>
      </c>
      <c r="D358" s="195">
        <v>2048.0</v>
      </c>
      <c r="E358" s="224">
        <v>142.0</v>
      </c>
      <c r="F358" s="193" t="s">
        <v>272</v>
      </c>
      <c r="G358" s="266"/>
      <c r="H358" s="199"/>
      <c r="I358" s="220"/>
      <c r="J358" s="199"/>
      <c r="K358" s="193" t="s">
        <v>206</v>
      </c>
      <c r="L358" s="194" t="s">
        <v>144</v>
      </c>
      <c r="M358" s="199"/>
      <c r="N358" s="193" t="s">
        <v>227</v>
      </c>
      <c r="O358" s="193" t="s">
        <v>206</v>
      </c>
      <c r="P358" s="193" t="s">
        <v>244</v>
      </c>
      <c r="Q358" s="199"/>
      <c r="R358" s="193" t="s">
        <v>228</v>
      </c>
      <c r="S358" s="193" t="s">
        <v>46</v>
      </c>
      <c r="T358" s="193" t="s">
        <v>245</v>
      </c>
      <c r="U358" s="193" t="s">
        <v>738</v>
      </c>
      <c r="V358" s="193" t="s">
        <v>155</v>
      </c>
      <c r="W358" s="193" t="s">
        <v>203</v>
      </c>
      <c r="X358" s="193" t="s">
        <v>232</v>
      </c>
      <c r="Y358" s="200">
        <v>3.0</v>
      </c>
      <c r="Z358" s="202" t="s">
        <v>214</v>
      </c>
      <c r="AA358" s="202" t="s">
        <v>234</v>
      </c>
      <c r="AB358" s="221"/>
      <c r="AC358" s="203" t="s">
        <v>275</v>
      </c>
      <c r="AD358" s="249">
        <v>46321.0</v>
      </c>
      <c r="AE358" s="204">
        <v>46200.0</v>
      </c>
      <c r="AF358" s="226" t="s">
        <v>739</v>
      </c>
      <c r="AG358" s="219"/>
      <c r="AH358" s="219"/>
      <c r="AI358" s="219"/>
      <c r="AJ358" s="219"/>
      <c r="AK358" s="219"/>
      <c r="AL358" s="219"/>
      <c r="AM358" s="219"/>
      <c r="AN358" s="219"/>
      <c r="AO358" s="219"/>
    </row>
    <row r="359">
      <c r="A359" s="193">
        <v>15800.0</v>
      </c>
      <c r="B359" s="194" t="s">
        <v>203</v>
      </c>
      <c r="C359" s="193">
        <v>2026.0</v>
      </c>
      <c r="D359" s="195">
        <v>2048.0</v>
      </c>
      <c r="E359" s="193">
        <v>143.0</v>
      </c>
      <c r="F359" s="193" t="s">
        <v>272</v>
      </c>
      <c r="G359" s="248"/>
      <c r="H359" s="199"/>
      <c r="I359" s="233"/>
      <c r="J359" s="199"/>
      <c r="K359" s="193" t="s">
        <v>206</v>
      </c>
      <c r="L359" s="194" t="s">
        <v>144</v>
      </c>
      <c r="M359" s="199"/>
      <c r="N359" s="193" t="s">
        <v>227</v>
      </c>
      <c r="O359" s="193" t="s">
        <v>206</v>
      </c>
      <c r="P359" s="193" t="s">
        <v>244</v>
      </c>
      <c r="Q359" s="199"/>
      <c r="R359" s="193" t="s">
        <v>228</v>
      </c>
      <c r="S359" s="193" t="s">
        <v>46</v>
      </c>
      <c r="T359" s="193" t="s">
        <v>245</v>
      </c>
      <c r="U359" s="193" t="s">
        <v>521</v>
      </c>
      <c r="V359" s="193" t="s">
        <v>155</v>
      </c>
      <c r="W359" s="193" t="s">
        <v>203</v>
      </c>
      <c r="X359" s="193" t="s">
        <v>232</v>
      </c>
      <c r="Y359" s="200">
        <v>3.0</v>
      </c>
      <c r="Z359" s="202" t="s">
        <v>214</v>
      </c>
      <c r="AA359" s="202" t="s">
        <v>234</v>
      </c>
      <c r="AB359" s="221"/>
      <c r="AC359" s="203" t="s">
        <v>275</v>
      </c>
      <c r="AD359" s="257">
        <v>46321.0</v>
      </c>
      <c r="AE359" s="204">
        <v>46200.0</v>
      </c>
      <c r="AF359" s="226" t="s">
        <v>739</v>
      </c>
      <c r="AG359" s="219"/>
      <c r="AH359" s="219"/>
      <c r="AI359" s="219"/>
      <c r="AJ359" s="219"/>
      <c r="AK359" s="219"/>
      <c r="AL359" s="219"/>
      <c r="AM359" s="219"/>
      <c r="AN359" s="219"/>
      <c r="AO359" s="219"/>
    </row>
    <row r="360">
      <c r="A360" s="193">
        <v>15820.0</v>
      </c>
      <c r="B360" s="194" t="s">
        <v>203</v>
      </c>
      <c r="C360" s="193">
        <v>2026.0</v>
      </c>
      <c r="D360" s="195">
        <v>2048.0</v>
      </c>
      <c r="E360" s="199"/>
      <c r="F360" s="193" t="s">
        <v>204</v>
      </c>
      <c r="G360" s="230">
        <v>46258.0</v>
      </c>
      <c r="H360" s="252">
        <v>12817.0</v>
      </c>
      <c r="I360" s="215">
        <v>46258.0</v>
      </c>
      <c r="J360" s="193" t="s">
        <v>404</v>
      </c>
      <c r="K360" s="193" t="s">
        <v>206</v>
      </c>
      <c r="L360" s="194" t="s">
        <v>144</v>
      </c>
      <c r="M360" s="199"/>
      <c r="N360" s="193" t="s">
        <v>207</v>
      </c>
      <c r="O360" s="193" t="s">
        <v>206</v>
      </c>
      <c r="P360" s="193" t="s">
        <v>244</v>
      </c>
      <c r="Q360" s="199"/>
      <c r="R360" s="193" t="s">
        <v>208</v>
      </c>
      <c r="S360" s="193" t="s">
        <v>39</v>
      </c>
      <c r="T360" s="193" t="s">
        <v>250</v>
      </c>
      <c r="U360" s="193" t="s">
        <v>740</v>
      </c>
      <c r="V360" s="193" t="s">
        <v>155</v>
      </c>
      <c r="W360" s="193" t="s">
        <v>203</v>
      </c>
      <c r="X360" s="193" t="s">
        <v>252</v>
      </c>
      <c r="Y360" s="200">
        <v>3.0</v>
      </c>
      <c r="Z360" s="202" t="s">
        <v>214</v>
      </c>
      <c r="AA360" s="202" t="s">
        <v>215</v>
      </c>
      <c r="AB360" s="203">
        <v>1950000.0</v>
      </c>
      <c r="AC360" s="203">
        <v>1950000.0</v>
      </c>
      <c r="AD360" s="276">
        <v>46291.0</v>
      </c>
      <c r="AE360" s="204">
        <v>46321.0</v>
      </c>
      <c r="AF360" s="226" t="s">
        <v>598</v>
      </c>
      <c r="AG360" s="219"/>
      <c r="AH360" s="219"/>
      <c r="AI360" s="219"/>
      <c r="AJ360" s="219"/>
      <c r="AK360" s="219"/>
      <c r="AL360" s="219"/>
      <c r="AM360" s="219"/>
      <c r="AN360" s="219"/>
      <c r="AO360" s="219"/>
    </row>
    <row r="361">
      <c r="A361" s="193">
        <v>15840.0</v>
      </c>
      <c r="B361" s="232" t="s">
        <v>264</v>
      </c>
      <c r="C361" s="193">
        <v>2026.0</v>
      </c>
      <c r="D361" s="199"/>
      <c r="E361" s="199"/>
      <c r="F361" s="193" t="s">
        <v>265</v>
      </c>
      <c r="G361" s="233"/>
      <c r="H361" s="199"/>
      <c r="I361" s="233"/>
      <c r="J361" s="199"/>
      <c r="K361" s="193" t="s">
        <v>206</v>
      </c>
      <c r="L361" s="234" t="s">
        <v>145</v>
      </c>
      <c r="M361" s="199"/>
      <c r="N361" s="193" t="s">
        <v>337</v>
      </c>
      <c r="O361" s="193" t="s">
        <v>206</v>
      </c>
      <c r="P361" s="193" t="s">
        <v>206</v>
      </c>
      <c r="Q361" s="199"/>
      <c r="R361" s="193" t="s">
        <v>219</v>
      </c>
      <c r="S361" s="193" t="s">
        <v>43</v>
      </c>
      <c r="T361" s="193" t="s">
        <v>358</v>
      </c>
      <c r="U361" s="193" t="s">
        <v>364</v>
      </c>
      <c r="V361" s="193" t="s">
        <v>231</v>
      </c>
      <c r="W361" s="193" t="s">
        <v>212</v>
      </c>
      <c r="X361" s="193" t="s">
        <v>232</v>
      </c>
      <c r="Y361" s="200">
        <v>3.0</v>
      </c>
      <c r="Z361" s="202" t="s">
        <v>233</v>
      </c>
      <c r="AA361" s="202" t="s">
        <v>234</v>
      </c>
      <c r="AB361" s="221"/>
      <c r="AC361" s="203">
        <v>836382.34</v>
      </c>
      <c r="AD361" s="204">
        <v>46229.0</v>
      </c>
      <c r="AE361" s="204">
        <v>46291.0</v>
      </c>
      <c r="AF361" s="205"/>
      <c r="AG361" s="219"/>
      <c r="AH361" s="219"/>
      <c r="AI361" s="219"/>
      <c r="AJ361" s="219"/>
      <c r="AK361" s="219"/>
      <c r="AL361" s="219"/>
      <c r="AM361" s="219"/>
      <c r="AN361" s="219"/>
      <c r="AO361" s="219"/>
    </row>
    <row r="362">
      <c r="A362" s="193">
        <v>15860.0</v>
      </c>
      <c r="B362" s="194" t="s">
        <v>203</v>
      </c>
      <c r="C362" s="193">
        <v>2026.0</v>
      </c>
      <c r="D362" s="195">
        <v>2048.0</v>
      </c>
      <c r="E362" s="199"/>
      <c r="F362" s="193" t="s">
        <v>204</v>
      </c>
      <c r="G362" s="198">
        <v>46098.0</v>
      </c>
      <c r="H362" s="193">
        <v>177.0</v>
      </c>
      <c r="I362" s="198">
        <v>46098.0</v>
      </c>
      <c r="J362" s="193" t="s">
        <v>599</v>
      </c>
      <c r="K362" s="193" t="s">
        <v>206</v>
      </c>
      <c r="L362" s="194" t="s">
        <v>144</v>
      </c>
      <c r="M362" s="199"/>
      <c r="N362" s="193" t="s">
        <v>207</v>
      </c>
      <c r="O362" s="193" t="s">
        <v>206</v>
      </c>
      <c r="P362" s="193" t="s">
        <v>244</v>
      </c>
      <c r="Q362" s="199"/>
      <c r="R362" s="193" t="s">
        <v>219</v>
      </c>
      <c r="S362" s="193" t="s">
        <v>43</v>
      </c>
      <c r="T362" s="193" t="s">
        <v>512</v>
      </c>
      <c r="U362" s="193" t="s">
        <v>741</v>
      </c>
      <c r="V362" s="193" t="s">
        <v>155</v>
      </c>
      <c r="W362" s="193" t="s">
        <v>203</v>
      </c>
      <c r="X362" s="193" t="s">
        <v>252</v>
      </c>
      <c r="Y362" s="200">
        <v>3.0</v>
      </c>
      <c r="Z362" s="202" t="s">
        <v>214</v>
      </c>
      <c r="AA362" s="202" t="s">
        <v>215</v>
      </c>
      <c r="AB362" s="203">
        <v>3800000.0</v>
      </c>
      <c r="AC362" s="203">
        <v>3800000.0</v>
      </c>
      <c r="AD362" s="204">
        <v>46107.0</v>
      </c>
      <c r="AE362" s="204">
        <v>46321.0</v>
      </c>
      <c r="AF362" s="205"/>
      <c r="AG362" s="219"/>
      <c r="AH362" s="206"/>
      <c r="AI362" s="206"/>
      <c r="AJ362" s="206"/>
      <c r="AK362" s="206"/>
      <c r="AL362" s="206"/>
      <c r="AM362" s="206"/>
      <c r="AN362" s="206"/>
      <c r="AO362" s="206"/>
    </row>
    <row r="363">
      <c r="A363" s="193">
        <v>15880.0</v>
      </c>
      <c r="B363" s="194" t="s">
        <v>203</v>
      </c>
      <c r="C363" s="193">
        <v>2026.0</v>
      </c>
      <c r="D363" s="195">
        <v>2048.0</v>
      </c>
      <c r="E363" s="199"/>
      <c r="F363" s="193" t="s">
        <v>204</v>
      </c>
      <c r="G363" s="215">
        <v>46099.0</v>
      </c>
      <c r="H363" s="193">
        <v>188.0</v>
      </c>
      <c r="I363" s="215">
        <v>46099.0</v>
      </c>
      <c r="J363" s="193" t="s">
        <v>515</v>
      </c>
      <c r="K363" s="193" t="s">
        <v>206</v>
      </c>
      <c r="L363" s="194" t="s">
        <v>144</v>
      </c>
      <c r="M363" s="199"/>
      <c r="N363" s="193" t="s">
        <v>207</v>
      </c>
      <c r="O363" s="193" t="s">
        <v>206</v>
      </c>
      <c r="P363" s="193" t="s">
        <v>244</v>
      </c>
      <c r="Q363" s="199"/>
      <c r="R363" s="193" t="s">
        <v>219</v>
      </c>
      <c r="S363" s="193" t="s">
        <v>43</v>
      </c>
      <c r="T363" s="193" t="s">
        <v>377</v>
      </c>
      <c r="U363" s="193" t="s">
        <v>742</v>
      </c>
      <c r="V363" s="193" t="s">
        <v>155</v>
      </c>
      <c r="W363" s="193" t="s">
        <v>203</v>
      </c>
      <c r="X363" s="193" t="s">
        <v>252</v>
      </c>
      <c r="Y363" s="200">
        <v>3.0</v>
      </c>
      <c r="Z363" s="202" t="s">
        <v>233</v>
      </c>
      <c r="AA363" s="202" t="s">
        <v>215</v>
      </c>
      <c r="AB363" s="203">
        <v>260000.0</v>
      </c>
      <c r="AC363" s="203">
        <v>260000.0</v>
      </c>
      <c r="AD363" s="204">
        <v>46107.0</v>
      </c>
      <c r="AE363" s="204">
        <v>46260.0</v>
      </c>
      <c r="AF363" s="205"/>
      <c r="AG363" s="219"/>
      <c r="AH363" s="219"/>
      <c r="AI363" s="219"/>
      <c r="AJ363" s="219"/>
      <c r="AK363" s="219"/>
      <c r="AL363" s="219"/>
      <c r="AM363" s="219"/>
      <c r="AN363" s="219"/>
      <c r="AO363" s="219"/>
    </row>
    <row r="364">
      <c r="A364" s="193">
        <v>15900.0</v>
      </c>
      <c r="B364" s="194" t="s">
        <v>203</v>
      </c>
      <c r="C364" s="193">
        <v>2026.0</v>
      </c>
      <c r="D364" s="195">
        <v>2048.0</v>
      </c>
      <c r="E364" s="199"/>
      <c r="F364" s="193" t="s">
        <v>204</v>
      </c>
      <c r="G364" s="198">
        <v>46099.0</v>
      </c>
      <c r="H364" s="193">
        <v>188.0</v>
      </c>
      <c r="I364" s="198">
        <v>46099.0</v>
      </c>
      <c r="J364" s="193" t="s">
        <v>515</v>
      </c>
      <c r="K364" s="193" t="s">
        <v>206</v>
      </c>
      <c r="L364" s="194" t="s">
        <v>144</v>
      </c>
      <c r="M364" s="199"/>
      <c r="N364" s="193" t="s">
        <v>207</v>
      </c>
      <c r="O364" s="193" t="s">
        <v>206</v>
      </c>
      <c r="P364" s="193" t="s">
        <v>244</v>
      </c>
      <c r="Q364" s="199"/>
      <c r="R364" s="193" t="s">
        <v>219</v>
      </c>
      <c r="S364" s="193" t="s">
        <v>43</v>
      </c>
      <c r="T364" s="193" t="s">
        <v>377</v>
      </c>
      <c r="U364" s="193" t="s">
        <v>743</v>
      </c>
      <c r="V364" s="193" t="s">
        <v>155</v>
      </c>
      <c r="W364" s="193" t="s">
        <v>203</v>
      </c>
      <c r="X364" s="193" t="s">
        <v>252</v>
      </c>
      <c r="Y364" s="200">
        <v>3.0</v>
      </c>
      <c r="Z364" s="202" t="s">
        <v>233</v>
      </c>
      <c r="AA364" s="202" t="s">
        <v>215</v>
      </c>
      <c r="AB364" s="203">
        <v>1000000.0</v>
      </c>
      <c r="AC364" s="281">
        <v>1000000.0</v>
      </c>
      <c r="AD364" s="204">
        <v>46107.0</v>
      </c>
      <c r="AE364" s="204">
        <v>46260.0</v>
      </c>
      <c r="AF364" s="205"/>
      <c r="AG364" s="219"/>
      <c r="AH364" s="219"/>
      <c r="AI364" s="219"/>
      <c r="AJ364" s="219"/>
      <c r="AK364" s="219"/>
      <c r="AL364" s="219"/>
      <c r="AM364" s="219"/>
      <c r="AN364" s="219"/>
      <c r="AO364" s="219"/>
    </row>
    <row r="365">
      <c r="A365" s="193">
        <v>15920.0</v>
      </c>
      <c r="B365" s="194" t="s">
        <v>203</v>
      </c>
      <c r="C365" s="193">
        <v>2026.0</v>
      </c>
      <c r="D365" s="195">
        <v>2048.0</v>
      </c>
      <c r="E365" s="199"/>
      <c r="F365" s="193" t="s">
        <v>272</v>
      </c>
      <c r="G365" s="233"/>
      <c r="H365" s="199"/>
      <c r="I365" s="233"/>
      <c r="J365" s="199"/>
      <c r="K365" s="193" t="s">
        <v>206</v>
      </c>
      <c r="L365" s="194" t="s">
        <v>144</v>
      </c>
      <c r="M365" s="199"/>
      <c r="N365" s="193" t="s">
        <v>475</v>
      </c>
      <c r="O365" s="193" t="s">
        <v>206</v>
      </c>
      <c r="P365" s="193" t="s">
        <v>206</v>
      </c>
      <c r="Q365" s="199"/>
      <c r="R365" s="193" t="s">
        <v>279</v>
      </c>
      <c r="S365" s="193" t="s">
        <v>50</v>
      </c>
      <c r="T365" s="193" t="s">
        <v>522</v>
      </c>
      <c r="U365" s="193" t="s">
        <v>744</v>
      </c>
      <c r="V365" s="193" t="s">
        <v>524</v>
      </c>
      <c r="W365" s="193" t="s">
        <v>264</v>
      </c>
      <c r="X365" s="193" t="s">
        <v>232</v>
      </c>
      <c r="Y365" s="200">
        <v>3.0</v>
      </c>
      <c r="Z365" s="202" t="s">
        <v>214</v>
      </c>
      <c r="AA365" s="202" t="s">
        <v>215</v>
      </c>
      <c r="AB365" s="203" t="s">
        <v>275</v>
      </c>
      <c r="AC365" s="203" t="s">
        <v>275</v>
      </c>
      <c r="AD365" s="204">
        <v>46229.0</v>
      </c>
      <c r="AE365" s="204">
        <v>46291.0</v>
      </c>
      <c r="AF365" s="226" t="s">
        <v>745</v>
      </c>
      <c r="AG365" s="219"/>
      <c r="AH365" s="219"/>
      <c r="AI365" s="219"/>
      <c r="AJ365" s="219"/>
      <c r="AK365" s="219"/>
      <c r="AL365" s="219"/>
      <c r="AM365" s="219"/>
      <c r="AN365" s="219"/>
      <c r="AO365" s="219"/>
    </row>
    <row r="366">
      <c r="A366" s="193">
        <v>15940.0</v>
      </c>
      <c r="B366" s="232" t="s">
        <v>264</v>
      </c>
      <c r="C366" s="193">
        <v>2026.0</v>
      </c>
      <c r="D366" s="199"/>
      <c r="E366" s="199"/>
      <c r="F366" s="199"/>
      <c r="G366" s="248"/>
      <c r="H366" s="199"/>
      <c r="I366" s="220"/>
      <c r="J366" s="199"/>
      <c r="K366" s="193" t="s">
        <v>206</v>
      </c>
      <c r="L366" s="232" t="s">
        <v>146</v>
      </c>
      <c r="M366" s="199"/>
      <c r="N366" s="193" t="s">
        <v>207</v>
      </c>
      <c r="O366" s="193" t="s">
        <v>206</v>
      </c>
      <c r="P366" s="193" t="s">
        <v>206</v>
      </c>
      <c r="Q366" s="199"/>
      <c r="R366" s="193" t="s">
        <v>279</v>
      </c>
      <c r="S366" s="193" t="s">
        <v>50</v>
      </c>
      <c r="T366" s="193" t="s">
        <v>529</v>
      </c>
      <c r="U366" s="193" t="s">
        <v>671</v>
      </c>
      <c r="V366" s="193" t="s">
        <v>50</v>
      </c>
      <c r="W366" s="193" t="s">
        <v>264</v>
      </c>
      <c r="X366" s="193" t="s">
        <v>232</v>
      </c>
      <c r="Y366" s="200">
        <v>3.0</v>
      </c>
      <c r="Z366" s="202" t="s">
        <v>233</v>
      </c>
      <c r="AA366" s="202" t="s">
        <v>215</v>
      </c>
      <c r="AB366" s="203">
        <v>260000.0</v>
      </c>
      <c r="AC366" s="203">
        <v>260000.0</v>
      </c>
      <c r="AD366" s="204">
        <v>46229.0</v>
      </c>
      <c r="AE366" s="204">
        <v>46291.0</v>
      </c>
      <c r="AF366" s="205"/>
      <c r="AG366" s="219"/>
      <c r="AH366" s="219"/>
      <c r="AI366" s="219"/>
      <c r="AJ366" s="219"/>
      <c r="AK366" s="219"/>
      <c r="AL366" s="219"/>
      <c r="AM366" s="219"/>
      <c r="AN366" s="219"/>
      <c r="AO366" s="219"/>
    </row>
    <row r="367">
      <c r="A367" s="193">
        <v>15960.0</v>
      </c>
      <c r="B367" s="194" t="s">
        <v>203</v>
      </c>
      <c r="C367" s="193">
        <v>2026.0</v>
      </c>
      <c r="D367" s="195">
        <v>2048.0</v>
      </c>
      <c r="E367" s="199"/>
      <c r="F367" s="193" t="s">
        <v>204</v>
      </c>
      <c r="G367" s="230">
        <v>46213.0</v>
      </c>
      <c r="H367" s="193">
        <v>580.0</v>
      </c>
      <c r="I367" s="230">
        <v>46213.0</v>
      </c>
      <c r="J367" s="193" t="s">
        <v>746</v>
      </c>
      <c r="K367" s="193" t="s">
        <v>206</v>
      </c>
      <c r="L367" s="194" t="s">
        <v>144</v>
      </c>
      <c r="M367" s="199"/>
      <c r="N367" s="193" t="s">
        <v>207</v>
      </c>
      <c r="O367" s="193" t="s">
        <v>206</v>
      </c>
      <c r="P367" s="193" t="s">
        <v>244</v>
      </c>
      <c r="Q367" s="199"/>
      <c r="R367" s="193" t="s">
        <v>219</v>
      </c>
      <c r="S367" s="193" t="s">
        <v>45</v>
      </c>
      <c r="T367" s="193" t="s">
        <v>512</v>
      </c>
      <c r="U367" s="193" t="s">
        <v>747</v>
      </c>
      <c r="V367" s="193" t="s">
        <v>155</v>
      </c>
      <c r="W367" s="193" t="s">
        <v>203</v>
      </c>
      <c r="X367" s="193" t="s">
        <v>252</v>
      </c>
      <c r="Y367" s="200">
        <v>3.0</v>
      </c>
      <c r="Z367" s="202" t="s">
        <v>233</v>
      </c>
      <c r="AA367" s="202" t="s">
        <v>215</v>
      </c>
      <c r="AB367" s="203">
        <v>942631.72</v>
      </c>
      <c r="AC367" s="203">
        <v>962290.8</v>
      </c>
      <c r="AD367" s="204">
        <v>46229.0</v>
      </c>
      <c r="AE367" s="204">
        <v>46352.0</v>
      </c>
      <c r="AF367" s="205"/>
      <c r="AG367" s="219"/>
      <c r="AH367" s="219"/>
      <c r="AI367" s="219"/>
      <c r="AJ367" s="219"/>
      <c r="AK367" s="219"/>
      <c r="AL367" s="219"/>
      <c r="AM367" s="219"/>
      <c r="AN367" s="219"/>
      <c r="AO367" s="219"/>
    </row>
    <row r="368">
      <c r="A368" s="193">
        <v>15961.0</v>
      </c>
      <c r="B368" s="194" t="s">
        <v>203</v>
      </c>
      <c r="C368" s="193">
        <v>2026.0</v>
      </c>
      <c r="D368" s="193" t="s">
        <v>748</v>
      </c>
      <c r="E368" s="199"/>
      <c r="F368" s="193" t="s">
        <v>204</v>
      </c>
      <c r="G368" s="198">
        <v>46175.0</v>
      </c>
      <c r="H368" s="193" t="s">
        <v>749</v>
      </c>
      <c r="I368" s="198">
        <v>46175.0</v>
      </c>
      <c r="J368" s="193" t="s">
        <v>750</v>
      </c>
      <c r="K368" s="193" t="s">
        <v>206</v>
      </c>
      <c r="L368" s="194" t="s">
        <v>144</v>
      </c>
      <c r="M368" s="199"/>
      <c r="N368" s="193" t="s">
        <v>207</v>
      </c>
      <c r="O368" s="193" t="s">
        <v>206</v>
      </c>
      <c r="P368" s="193" t="s">
        <v>244</v>
      </c>
      <c r="Q368" s="199"/>
      <c r="R368" s="193" t="s">
        <v>312</v>
      </c>
      <c r="S368" s="193" t="s">
        <v>45</v>
      </c>
      <c r="T368" s="193" t="s">
        <v>512</v>
      </c>
      <c r="U368" s="193" t="s">
        <v>747</v>
      </c>
      <c r="V368" s="193" t="s">
        <v>155</v>
      </c>
      <c r="W368" s="193" t="s">
        <v>203</v>
      </c>
      <c r="X368" s="193" t="s">
        <v>252</v>
      </c>
      <c r="Y368" s="200">
        <v>3.0</v>
      </c>
      <c r="Z368" s="202" t="s">
        <v>214</v>
      </c>
      <c r="AA368" s="202" t="s">
        <v>215</v>
      </c>
      <c r="AB368" s="221"/>
      <c r="AC368" s="203">
        <v>798776.97</v>
      </c>
      <c r="AD368" s="204">
        <v>46199.0</v>
      </c>
      <c r="AE368" s="204">
        <v>46260.0</v>
      </c>
      <c r="AF368" s="205"/>
      <c r="AG368" s="219"/>
      <c r="AH368" s="206"/>
      <c r="AI368" s="206"/>
      <c r="AJ368" s="206"/>
      <c r="AK368" s="206"/>
      <c r="AL368" s="206"/>
      <c r="AM368" s="206"/>
      <c r="AN368" s="206"/>
      <c r="AO368" s="206"/>
    </row>
    <row r="369">
      <c r="A369" s="193">
        <v>15962.0</v>
      </c>
      <c r="B369" s="194" t="s">
        <v>203</v>
      </c>
      <c r="C369" s="193">
        <v>2026.0</v>
      </c>
      <c r="D369" s="195">
        <v>2048.0</v>
      </c>
      <c r="E369" s="196"/>
      <c r="F369" s="193" t="s">
        <v>204</v>
      </c>
      <c r="G369" s="217">
        <v>46213.0</v>
      </c>
      <c r="H369" s="193">
        <v>580.0</v>
      </c>
      <c r="I369" s="215">
        <v>46213.0</v>
      </c>
      <c r="J369" s="193" t="s">
        <v>746</v>
      </c>
      <c r="K369" s="193" t="s">
        <v>206</v>
      </c>
      <c r="L369" s="194" t="s">
        <v>144</v>
      </c>
      <c r="M369" s="199"/>
      <c r="N369" s="193" t="s">
        <v>207</v>
      </c>
      <c r="O369" s="193" t="s">
        <v>206</v>
      </c>
      <c r="P369" s="193" t="s">
        <v>244</v>
      </c>
      <c r="Q369" s="199"/>
      <c r="R369" s="193" t="s">
        <v>219</v>
      </c>
      <c r="S369" s="193" t="s">
        <v>45</v>
      </c>
      <c r="T369" s="193" t="s">
        <v>512</v>
      </c>
      <c r="U369" s="193" t="s">
        <v>747</v>
      </c>
      <c r="V369" s="193" t="s">
        <v>155</v>
      </c>
      <c r="W369" s="193" t="s">
        <v>203</v>
      </c>
      <c r="X369" s="193" t="s">
        <v>252</v>
      </c>
      <c r="Y369" s="200">
        <v>3.0</v>
      </c>
      <c r="Z369" s="202" t="s">
        <v>233</v>
      </c>
      <c r="AA369" s="202" t="s">
        <v>215</v>
      </c>
      <c r="AB369" s="203">
        <v>1530656.62</v>
      </c>
      <c r="AC369" s="203">
        <v>1530656.62</v>
      </c>
      <c r="AD369" s="204">
        <v>46229.0</v>
      </c>
      <c r="AE369" s="204">
        <v>46352.0</v>
      </c>
      <c r="AF369" s="205"/>
      <c r="AG369" s="219"/>
      <c r="AH369" s="219"/>
      <c r="AI369" s="219"/>
      <c r="AJ369" s="219"/>
      <c r="AK369" s="219"/>
      <c r="AL369" s="219"/>
      <c r="AM369" s="219"/>
      <c r="AN369" s="219"/>
      <c r="AO369" s="219"/>
    </row>
    <row r="370">
      <c r="A370" s="193">
        <v>15963.0</v>
      </c>
      <c r="B370" s="194" t="s">
        <v>203</v>
      </c>
      <c r="C370" s="193">
        <v>2026.0</v>
      </c>
      <c r="D370" s="193" t="s">
        <v>751</v>
      </c>
      <c r="E370" s="196"/>
      <c r="F370" s="193" t="s">
        <v>204</v>
      </c>
      <c r="G370" s="197">
        <v>46199.0</v>
      </c>
      <c r="H370" s="193">
        <v>516.0</v>
      </c>
      <c r="I370" s="198">
        <v>46199.0</v>
      </c>
      <c r="J370" s="193" t="s">
        <v>752</v>
      </c>
      <c r="K370" s="193" t="s">
        <v>206</v>
      </c>
      <c r="L370" s="194" t="s">
        <v>144</v>
      </c>
      <c r="M370" s="199"/>
      <c r="N370" s="193" t="s">
        <v>207</v>
      </c>
      <c r="O370" s="193" t="s">
        <v>206</v>
      </c>
      <c r="P370" s="193" t="s">
        <v>244</v>
      </c>
      <c r="Q370" s="199"/>
      <c r="R370" s="193" t="s">
        <v>397</v>
      </c>
      <c r="S370" s="193" t="s">
        <v>45</v>
      </c>
      <c r="T370" s="193" t="s">
        <v>512</v>
      </c>
      <c r="U370" s="193" t="s">
        <v>747</v>
      </c>
      <c r="V370" s="193" t="s">
        <v>155</v>
      </c>
      <c r="W370" s="193" t="s">
        <v>203</v>
      </c>
      <c r="X370" s="193" t="s">
        <v>252</v>
      </c>
      <c r="Y370" s="200">
        <v>3.0</v>
      </c>
      <c r="Z370" s="202" t="s">
        <v>233</v>
      </c>
      <c r="AA370" s="202" t="s">
        <v>215</v>
      </c>
      <c r="AB370" s="203">
        <v>72958.08</v>
      </c>
      <c r="AC370" s="203">
        <v>72958.08</v>
      </c>
      <c r="AD370" s="204">
        <v>46199.0</v>
      </c>
      <c r="AE370" s="204">
        <v>46229.0</v>
      </c>
      <c r="AF370" s="205"/>
      <c r="AG370" s="219"/>
      <c r="AH370" s="219"/>
      <c r="AI370" s="219"/>
      <c r="AJ370" s="219"/>
      <c r="AK370" s="219"/>
      <c r="AL370" s="219"/>
      <c r="AM370" s="219"/>
      <c r="AN370" s="219"/>
      <c r="AO370" s="219"/>
    </row>
    <row r="371">
      <c r="A371" s="193">
        <v>15964.0</v>
      </c>
      <c r="B371" s="194" t="s">
        <v>203</v>
      </c>
      <c r="C371" s="193">
        <v>2026.0</v>
      </c>
      <c r="D371" s="193" t="s">
        <v>753</v>
      </c>
      <c r="E371" s="199"/>
      <c r="F371" s="222" t="s">
        <v>204</v>
      </c>
      <c r="G371" s="230">
        <v>46199.0</v>
      </c>
      <c r="H371" s="193">
        <v>520.0</v>
      </c>
      <c r="I371" s="223">
        <v>46199.0</v>
      </c>
      <c r="J371" s="193" t="s">
        <v>752</v>
      </c>
      <c r="K371" s="193" t="s">
        <v>206</v>
      </c>
      <c r="L371" s="194" t="s">
        <v>144</v>
      </c>
      <c r="M371" s="199"/>
      <c r="N371" s="193" t="s">
        <v>207</v>
      </c>
      <c r="O371" s="193" t="s">
        <v>206</v>
      </c>
      <c r="P371" s="193" t="s">
        <v>244</v>
      </c>
      <c r="Q371" s="199"/>
      <c r="R371" s="193" t="s">
        <v>397</v>
      </c>
      <c r="S371" s="193" t="s">
        <v>45</v>
      </c>
      <c r="T371" s="193" t="s">
        <v>512</v>
      </c>
      <c r="U371" s="193" t="s">
        <v>747</v>
      </c>
      <c r="V371" s="193" t="s">
        <v>155</v>
      </c>
      <c r="W371" s="193" t="s">
        <v>203</v>
      </c>
      <c r="X371" s="193" t="s">
        <v>252</v>
      </c>
      <c r="Y371" s="200">
        <v>3.0</v>
      </c>
      <c r="Z371" s="202" t="s">
        <v>233</v>
      </c>
      <c r="AA371" s="202" t="s">
        <v>215</v>
      </c>
      <c r="AB371" s="203">
        <v>8916.0</v>
      </c>
      <c r="AC371" s="203">
        <v>8916.0</v>
      </c>
      <c r="AD371" s="204">
        <v>46199.0</v>
      </c>
      <c r="AE371" s="204">
        <v>46229.0</v>
      </c>
      <c r="AF371" s="205"/>
      <c r="AG371" s="219"/>
      <c r="AH371" s="219"/>
      <c r="AI371" s="219"/>
      <c r="AJ371" s="219"/>
      <c r="AK371" s="219"/>
      <c r="AL371" s="219"/>
      <c r="AM371" s="219"/>
      <c r="AN371" s="219"/>
      <c r="AO371" s="219"/>
    </row>
    <row r="372">
      <c r="A372" s="193">
        <v>15965.0</v>
      </c>
      <c r="B372" s="194" t="s">
        <v>203</v>
      </c>
      <c r="C372" s="193">
        <v>2026.0</v>
      </c>
      <c r="D372" s="193" t="s">
        <v>754</v>
      </c>
      <c r="E372" s="196"/>
      <c r="F372" s="193" t="s">
        <v>204</v>
      </c>
      <c r="G372" s="197">
        <v>46204.0</v>
      </c>
      <c r="H372" s="193" t="s">
        <v>755</v>
      </c>
      <c r="I372" s="198">
        <v>46204.0</v>
      </c>
      <c r="J372" s="193" t="s">
        <v>752</v>
      </c>
      <c r="K372" s="193" t="s">
        <v>206</v>
      </c>
      <c r="L372" s="194" t="s">
        <v>144</v>
      </c>
      <c r="M372" s="199"/>
      <c r="N372" s="193" t="s">
        <v>207</v>
      </c>
      <c r="O372" s="193" t="s">
        <v>206</v>
      </c>
      <c r="P372" s="193" t="s">
        <v>244</v>
      </c>
      <c r="Q372" s="199"/>
      <c r="R372" s="193" t="s">
        <v>397</v>
      </c>
      <c r="S372" s="193" t="s">
        <v>45</v>
      </c>
      <c r="T372" s="193" t="s">
        <v>512</v>
      </c>
      <c r="U372" s="193" t="s">
        <v>747</v>
      </c>
      <c r="V372" s="193" t="s">
        <v>155</v>
      </c>
      <c r="W372" s="193" t="s">
        <v>203</v>
      </c>
      <c r="X372" s="193" t="s">
        <v>252</v>
      </c>
      <c r="Y372" s="200">
        <v>3.0</v>
      </c>
      <c r="Z372" s="202" t="s">
        <v>233</v>
      </c>
      <c r="AA372" s="202" t="s">
        <v>215</v>
      </c>
      <c r="AB372" s="203">
        <v>425178.5</v>
      </c>
      <c r="AC372" s="203">
        <v>425178.5</v>
      </c>
      <c r="AD372" s="204">
        <v>46229.0</v>
      </c>
      <c r="AE372" s="204">
        <v>46229.0</v>
      </c>
      <c r="AF372" s="205"/>
      <c r="AG372" s="219"/>
      <c r="AH372" s="219"/>
      <c r="AI372" s="219"/>
      <c r="AJ372" s="219"/>
      <c r="AK372" s="219"/>
      <c r="AL372" s="219"/>
      <c r="AM372" s="219"/>
      <c r="AN372" s="219"/>
      <c r="AO372" s="219"/>
    </row>
    <row r="373">
      <c r="A373" s="193">
        <v>15966.0</v>
      </c>
      <c r="B373" s="194" t="s">
        <v>203</v>
      </c>
      <c r="C373" s="193">
        <v>2026.0</v>
      </c>
      <c r="D373" s="193" t="s">
        <v>748</v>
      </c>
      <c r="E373" s="199"/>
      <c r="F373" s="193" t="s">
        <v>204</v>
      </c>
      <c r="G373" s="230">
        <v>46244.0</v>
      </c>
      <c r="H373" s="193">
        <v>647.0</v>
      </c>
      <c r="I373" s="223">
        <v>46244.0</v>
      </c>
      <c r="J373" s="193" t="s">
        <v>756</v>
      </c>
      <c r="K373" s="193" t="s">
        <v>206</v>
      </c>
      <c r="L373" s="194" t="s">
        <v>144</v>
      </c>
      <c r="M373" s="199"/>
      <c r="N373" s="193" t="s">
        <v>207</v>
      </c>
      <c r="O373" s="193" t="s">
        <v>206</v>
      </c>
      <c r="P373" s="193" t="s">
        <v>244</v>
      </c>
      <c r="Q373" s="199"/>
      <c r="R373" s="193" t="s">
        <v>312</v>
      </c>
      <c r="S373" s="193" t="s">
        <v>45</v>
      </c>
      <c r="T373" s="193" t="s">
        <v>512</v>
      </c>
      <c r="U373" s="193" t="s">
        <v>747</v>
      </c>
      <c r="V373" s="193" t="s">
        <v>155</v>
      </c>
      <c r="W373" s="193" t="s">
        <v>203</v>
      </c>
      <c r="X373" s="193" t="s">
        <v>252</v>
      </c>
      <c r="Y373" s="200">
        <v>3.0</v>
      </c>
      <c r="Z373" s="202" t="s">
        <v>233</v>
      </c>
      <c r="AA373" s="202" t="s">
        <v>215</v>
      </c>
      <c r="AB373" s="221"/>
      <c r="AC373" s="203">
        <v>1223.03</v>
      </c>
      <c r="AD373" s="276">
        <v>46199.0</v>
      </c>
      <c r="AE373" s="204">
        <v>46260.0</v>
      </c>
      <c r="AF373" s="205"/>
      <c r="AG373" s="219"/>
      <c r="AH373" s="219"/>
      <c r="AI373" s="219"/>
      <c r="AJ373" s="219"/>
      <c r="AK373" s="219"/>
      <c r="AL373" s="219"/>
      <c r="AM373" s="219"/>
      <c r="AN373" s="219"/>
      <c r="AO373" s="219"/>
    </row>
    <row r="374">
      <c r="A374" s="193">
        <v>15980.0</v>
      </c>
      <c r="B374" s="232" t="s">
        <v>264</v>
      </c>
      <c r="C374" s="193">
        <v>2026.0</v>
      </c>
      <c r="D374" s="199"/>
      <c r="E374" s="199"/>
      <c r="F374" s="193" t="s">
        <v>272</v>
      </c>
      <c r="G374" s="233"/>
      <c r="H374" s="199"/>
      <c r="I374" s="233"/>
      <c r="J374" s="199"/>
      <c r="K374" s="193" t="s">
        <v>206</v>
      </c>
      <c r="L374" s="232" t="s">
        <v>146</v>
      </c>
      <c r="M374" s="199"/>
      <c r="N374" s="193" t="s">
        <v>207</v>
      </c>
      <c r="O374" s="193" t="s">
        <v>206</v>
      </c>
      <c r="P374" s="193" t="s">
        <v>244</v>
      </c>
      <c r="Q374" s="199"/>
      <c r="R374" s="193" t="s">
        <v>219</v>
      </c>
      <c r="S374" s="193" t="s">
        <v>45</v>
      </c>
      <c r="T374" s="193" t="s">
        <v>512</v>
      </c>
      <c r="U374" s="193" t="s">
        <v>757</v>
      </c>
      <c r="V374" s="193" t="s">
        <v>155</v>
      </c>
      <c r="W374" s="193" t="s">
        <v>203</v>
      </c>
      <c r="X374" s="193" t="s">
        <v>252</v>
      </c>
      <c r="Y374" s="200">
        <v>3.0</v>
      </c>
      <c r="Z374" s="202" t="s">
        <v>233</v>
      </c>
      <c r="AA374" s="202" t="s">
        <v>215</v>
      </c>
      <c r="AB374" s="203" t="s">
        <v>275</v>
      </c>
      <c r="AC374" s="203" t="s">
        <v>275</v>
      </c>
      <c r="AD374" s="204">
        <v>46260.0</v>
      </c>
      <c r="AE374" s="204">
        <v>46352.0</v>
      </c>
      <c r="AF374" s="226" t="s">
        <v>758</v>
      </c>
      <c r="AG374" s="219"/>
      <c r="AH374" s="219"/>
      <c r="AI374" s="219"/>
      <c r="AJ374" s="219"/>
      <c r="AK374" s="219"/>
      <c r="AL374" s="219"/>
      <c r="AM374" s="219"/>
      <c r="AN374" s="219"/>
      <c r="AO374" s="219"/>
    </row>
    <row r="375">
      <c r="A375" s="193">
        <v>16000.0</v>
      </c>
      <c r="B375" s="194" t="s">
        <v>203</v>
      </c>
      <c r="C375" s="193">
        <v>2026.0</v>
      </c>
      <c r="D375" s="195">
        <v>2048.0</v>
      </c>
      <c r="E375" s="199"/>
      <c r="F375" s="193" t="s">
        <v>204</v>
      </c>
      <c r="G375" s="198">
        <v>46191.0</v>
      </c>
      <c r="H375" s="193">
        <v>449.0</v>
      </c>
      <c r="I375" s="198">
        <v>46191.0</v>
      </c>
      <c r="J375" s="193" t="s">
        <v>759</v>
      </c>
      <c r="K375" s="193" t="s">
        <v>206</v>
      </c>
      <c r="L375" s="194" t="s">
        <v>144</v>
      </c>
      <c r="M375" s="199"/>
      <c r="N375" s="193" t="s">
        <v>207</v>
      </c>
      <c r="O375" s="193" t="s">
        <v>206</v>
      </c>
      <c r="P375" s="193" t="s">
        <v>244</v>
      </c>
      <c r="Q375" s="199"/>
      <c r="R375" s="193" t="s">
        <v>219</v>
      </c>
      <c r="S375" s="193" t="s">
        <v>45</v>
      </c>
      <c r="T375" s="193" t="s">
        <v>377</v>
      </c>
      <c r="U375" s="193" t="s">
        <v>760</v>
      </c>
      <c r="V375" s="193" t="s">
        <v>155</v>
      </c>
      <c r="W375" s="193" t="s">
        <v>203</v>
      </c>
      <c r="X375" s="193" t="s">
        <v>252</v>
      </c>
      <c r="Y375" s="200">
        <v>3.0</v>
      </c>
      <c r="Z375" s="202" t="s">
        <v>233</v>
      </c>
      <c r="AA375" s="202" t="s">
        <v>215</v>
      </c>
      <c r="AB375" s="203">
        <v>400000.0</v>
      </c>
      <c r="AC375" s="203">
        <v>400000.0</v>
      </c>
      <c r="AD375" s="276">
        <v>46199.0</v>
      </c>
      <c r="AE375" s="204">
        <v>46229.0</v>
      </c>
      <c r="AF375" s="205"/>
      <c r="AG375" s="219"/>
      <c r="AH375" s="219"/>
      <c r="AI375" s="219"/>
      <c r="AJ375" s="219"/>
      <c r="AK375" s="219"/>
      <c r="AL375" s="219"/>
      <c r="AM375" s="219"/>
      <c r="AN375" s="219"/>
      <c r="AO375" s="219"/>
    </row>
    <row r="376">
      <c r="A376" s="193">
        <v>16001.0</v>
      </c>
      <c r="B376" s="194" t="s">
        <v>203</v>
      </c>
      <c r="C376" s="193">
        <v>2026.0</v>
      </c>
      <c r="D376" s="195">
        <v>2048.0</v>
      </c>
      <c r="E376" s="199"/>
      <c r="F376" s="193" t="s">
        <v>204</v>
      </c>
      <c r="G376" s="230">
        <v>46191.0</v>
      </c>
      <c r="H376" s="193">
        <v>449.0</v>
      </c>
      <c r="I376" s="223">
        <v>46191.0</v>
      </c>
      <c r="J376" s="193" t="s">
        <v>759</v>
      </c>
      <c r="K376" s="193" t="s">
        <v>206</v>
      </c>
      <c r="L376" s="194" t="s">
        <v>144</v>
      </c>
      <c r="M376" s="199"/>
      <c r="N376" s="193" t="s">
        <v>207</v>
      </c>
      <c r="O376" s="193" t="s">
        <v>206</v>
      </c>
      <c r="P376" s="193" t="s">
        <v>244</v>
      </c>
      <c r="Q376" s="199"/>
      <c r="R376" s="193" t="s">
        <v>219</v>
      </c>
      <c r="S376" s="193" t="s">
        <v>45</v>
      </c>
      <c r="T376" s="193" t="s">
        <v>377</v>
      </c>
      <c r="U376" s="193" t="s">
        <v>761</v>
      </c>
      <c r="V376" s="193" t="s">
        <v>155</v>
      </c>
      <c r="W376" s="193" t="s">
        <v>203</v>
      </c>
      <c r="X376" s="193" t="s">
        <v>252</v>
      </c>
      <c r="Y376" s="200">
        <v>3.0</v>
      </c>
      <c r="Z376" s="202" t="s">
        <v>233</v>
      </c>
      <c r="AA376" s="202" t="s">
        <v>215</v>
      </c>
      <c r="AB376" s="203">
        <v>400000.0</v>
      </c>
      <c r="AC376" s="203">
        <v>400000.0</v>
      </c>
      <c r="AD376" s="276">
        <v>46199.0</v>
      </c>
      <c r="AE376" s="204">
        <v>46229.0</v>
      </c>
      <c r="AF376" s="205"/>
      <c r="AG376" s="219"/>
      <c r="AH376" s="219"/>
      <c r="AI376" s="219"/>
      <c r="AJ376" s="219"/>
      <c r="AK376" s="219"/>
      <c r="AL376" s="219"/>
      <c r="AM376" s="219"/>
      <c r="AN376" s="219"/>
      <c r="AO376" s="219"/>
    </row>
    <row r="377">
      <c r="A377" s="193">
        <v>16020.0</v>
      </c>
      <c r="B377" s="194" t="s">
        <v>203</v>
      </c>
      <c r="C377" s="193">
        <v>2026.0</v>
      </c>
      <c r="D377" s="195">
        <v>2048.0</v>
      </c>
      <c r="E377" s="193">
        <v>69.0</v>
      </c>
      <c r="F377" s="199"/>
      <c r="G377" s="220"/>
      <c r="H377" s="199"/>
      <c r="I377" s="220"/>
      <c r="J377" s="199"/>
      <c r="K377" s="193" t="s">
        <v>206</v>
      </c>
      <c r="L377" s="194" t="s">
        <v>144</v>
      </c>
      <c r="M377" s="199"/>
      <c r="N377" s="193" t="s">
        <v>227</v>
      </c>
      <c r="O377" s="193" t="s">
        <v>206</v>
      </c>
      <c r="P377" s="193" t="s">
        <v>206</v>
      </c>
      <c r="Q377" s="199"/>
      <c r="R377" s="193" t="s">
        <v>228</v>
      </c>
      <c r="S377" s="193" t="s">
        <v>48</v>
      </c>
      <c r="T377" s="193" t="s">
        <v>229</v>
      </c>
      <c r="U377" s="193" t="s">
        <v>371</v>
      </c>
      <c r="V377" s="193" t="s">
        <v>231</v>
      </c>
      <c r="W377" s="193" t="s">
        <v>212</v>
      </c>
      <c r="X377" s="193" t="s">
        <v>232</v>
      </c>
      <c r="Y377" s="200">
        <v>3.0</v>
      </c>
      <c r="Z377" s="202" t="s">
        <v>233</v>
      </c>
      <c r="AA377" s="202" t="s">
        <v>234</v>
      </c>
      <c r="AB377" s="221"/>
      <c r="AC377" s="203">
        <v>20000.0</v>
      </c>
      <c r="AD377" s="276">
        <v>46229.0</v>
      </c>
      <c r="AE377" s="204">
        <v>46291.0</v>
      </c>
      <c r="AF377" s="226" t="s">
        <v>762</v>
      </c>
      <c r="AG377" s="219"/>
      <c r="AH377" s="219"/>
      <c r="AI377" s="219"/>
      <c r="AJ377" s="219"/>
      <c r="AK377" s="219"/>
      <c r="AL377" s="219"/>
      <c r="AM377" s="219"/>
      <c r="AN377" s="219"/>
      <c r="AO377" s="219"/>
    </row>
    <row r="378">
      <c r="A378" s="193">
        <v>16040.0</v>
      </c>
      <c r="B378" s="232" t="s">
        <v>264</v>
      </c>
      <c r="C378" s="193">
        <v>2026.0</v>
      </c>
      <c r="D378" s="199"/>
      <c r="E378" s="199"/>
      <c r="F378" s="199"/>
      <c r="G378" s="248"/>
      <c r="H378" s="199"/>
      <c r="I378" s="220"/>
      <c r="J378" s="199"/>
      <c r="K378" s="193" t="s">
        <v>206</v>
      </c>
      <c r="L378" s="232" t="s">
        <v>146</v>
      </c>
      <c r="M378" s="199"/>
      <c r="N378" s="193" t="s">
        <v>337</v>
      </c>
      <c r="O378" s="193" t="s">
        <v>206</v>
      </c>
      <c r="P378" s="193" t="s">
        <v>763</v>
      </c>
      <c r="Q378" s="199"/>
      <c r="R378" s="193" t="s">
        <v>279</v>
      </c>
      <c r="S378" s="193" t="s">
        <v>50</v>
      </c>
      <c r="T378" s="193" t="s">
        <v>764</v>
      </c>
      <c r="U378" s="193" t="s">
        <v>765</v>
      </c>
      <c r="V378" s="193" t="s">
        <v>50</v>
      </c>
      <c r="W378" s="193" t="s">
        <v>264</v>
      </c>
      <c r="X378" s="193" t="s">
        <v>232</v>
      </c>
      <c r="Y378" s="200">
        <v>4.0</v>
      </c>
      <c r="Z378" s="202" t="s">
        <v>531</v>
      </c>
      <c r="AA378" s="202" t="s">
        <v>234</v>
      </c>
      <c r="AB378" s="221"/>
      <c r="AC378" s="203">
        <v>969000.0</v>
      </c>
      <c r="AD378" s="204">
        <v>46229.0</v>
      </c>
      <c r="AE378" s="204">
        <v>46291.0</v>
      </c>
      <c r="AF378" s="205"/>
      <c r="AG378" s="219"/>
      <c r="AH378" s="219"/>
      <c r="AI378" s="219"/>
      <c r="AJ378" s="219"/>
      <c r="AK378" s="219"/>
      <c r="AL378" s="219"/>
      <c r="AM378" s="219"/>
      <c r="AN378" s="219"/>
      <c r="AO378" s="219"/>
    </row>
    <row r="379">
      <c r="A379" s="193">
        <v>16060.0</v>
      </c>
      <c r="B379" s="232" t="s">
        <v>264</v>
      </c>
      <c r="C379" s="193">
        <v>2026.0</v>
      </c>
      <c r="D379" s="199"/>
      <c r="E379" s="199"/>
      <c r="F379" s="199"/>
      <c r="G379" s="235"/>
      <c r="H379" s="199"/>
      <c r="I379" s="235"/>
      <c r="J379" s="199"/>
      <c r="K379" s="193" t="s">
        <v>206</v>
      </c>
      <c r="L379" s="232" t="s">
        <v>146</v>
      </c>
      <c r="M379" s="199"/>
      <c r="N379" s="193" t="s">
        <v>337</v>
      </c>
      <c r="O379" s="193" t="s">
        <v>206</v>
      </c>
      <c r="P379" s="193" t="s">
        <v>766</v>
      </c>
      <c r="Q379" s="199"/>
      <c r="R379" s="193" t="s">
        <v>279</v>
      </c>
      <c r="S379" s="193" t="s">
        <v>50</v>
      </c>
      <c r="T379" s="193" t="s">
        <v>764</v>
      </c>
      <c r="U379" s="193" t="s">
        <v>767</v>
      </c>
      <c r="V379" s="193" t="s">
        <v>50</v>
      </c>
      <c r="W379" s="193" t="s">
        <v>264</v>
      </c>
      <c r="X379" s="193" t="s">
        <v>232</v>
      </c>
      <c r="Y379" s="200">
        <v>4.0</v>
      </c>
      <c r="Z379" s="202" t="s">
        <v>531</v>
      </c>
      <c r="AA379" s="202" t="s">
        <v>234</v>
      </c>
      <c r="AB379" s="221"/>
      <c r="AC379" s="203">
        <v>969000.0</v>
      </c>
      <c r="AD379" s="204">
        <v>46229.0</v>
      </c>
      <c r="AE379" s="204">
        <v>46291.0</v>
      </c>
      <c r="AF379" s="205"/>
      <c r="AG379" s="219"/>
      <c r="AH379" s="219"/>
      <c r="AI379" s="219"/>
      <c r="AJ379" s="219"/>
      <c r="AK379" s="219"/>
      <c r="AL379" s="219"/>
      <c r="AM379" s="219"/>
      <c r="AN379" s="219"/>
      <c r="AO379" s="219"/>
    </row>
    <row r="380">
      <c r="A380" s="193">
        <v>16080.0</v>
      </c>
      <c r="B380" s="232" t="s">
        <v>264</v>
      </c>
      <c r="C380" s="193">
        <v>2026.0</v>
      </c>
      <c r="D380" s="199"/>
      <c r="E380" s="199"/>
      <c r="F380" s="199"/>
      <c r="G380" s="233"/>
      <c r="H380" s="199"/>
      <c r="I380" s="233"/>
      <c r="J380" s="199"/>
      <c r="K380" s="193" t="s">
        <v>206</v>
      </c>
      <c r="L380" s="232" t="s">
        <v>146</v>
      </c>
      <c r="M380" s="199"/>
      <c r="N380" s="193" t="s">
        <v>337</v>
      </c>
      <c r="O380" s="193" t="s">
        <v>206</v>
      </c>
      <c r="P380" s="193" t="s">
        <v>206</v>
      </c>
      <c r="Q380" s="199"/>
      <c r="R380" s="193" t="s">
        <v>279</v>
      </c>
      <c r="S380" s="193" t="s">
        <v>50</v>
      </c>
      <c r="T380" s="193" t="s">
        <v>768</v>
      </c>
      <c r="U380" s="193" t="s">
        <v>769</v>
      </c>
      <c r="V380" s="193" t="s">
        <v>50</v>
      </c>
      <c r="W380" s="193" t="s">
        <v>264</v>
      </c>
      <c r="X380" s="193" t="s">
        <v>232</v>
      </c>
      <c r="Y380" s="200">
        <v>4.0</v>
      </c>
      <c r="Z380" s="202" t="s">
        <v>531</v>
      </c>
      <c r="AA380" s="202" t="s">
        <v>234</v>
      </c>
      <c r="AB380" s="221"/>
      <c r="AC380" s="203">
        <v>370500.0</v>
      </c>
      <c r="AD380" s="204">
        <v>46229.0</v>
      </c>
      <c r="AE380" s="204">
        <v>46291.0</v>
      </c>
      <c r="AF380" s="205"/>
      <c r="AG380" s="219"/>
      <c r="AH380" s="219"/>
      <c r="AI380" s="219"/>
      <c r="AJ380" s="219"/>
      <c r="AK380" s="219"/>
      <c r="AL380" s="219"/>
      <c r="AM380" s="219"/>
      <c r="AN380" s="219"/>
      <c r="AO380" s="219"/>
    </row>
    <row r="381">
      <c r="A381" s="193">
        <v>16100.0</v>
      </c>
      <c r="B381" s="232" t="s">
        <v>264</v>
      </c>
      <c r="C381" s="193">
        <v>2026.0</v>
      </c>
      <c r="D381" s="199"/>
      <c r="E381" s="199"/>
      <c r="F381" s="199"/>
      <c r="G381" s="248"/>
      <c r="H381" s="199"/>
      <c r="I381" s="220"/>
      <c r="J381" s="199"/>
      <c r="K381" s="193" t="s">
        <v>206</v>
      </c>
      <c r="L381" s="232" t="s">
        <v>146</v>
      </c>
      <c r="M381" s="199"/>
      <c r="N381" s="193" t="s">
        <v>227</v>
      </c>
      <c r="O381" s="193" t="s">
        <v>206</v>
      </c>
      <c r="P381" s="193" t="s">
        <v>206</v>
      </c>
      <c r="Q381" s="199"/>
      <c r="R381" s="193" t="s">
        <v>279</v>
      </c>
      <c r="S381" s="193" t="s">
        <v>50</v>
      </c>
      <c r="T381" s="193" t="s">
        <v>347</v>
      </c>
      <c r="U381" s="193" t="s">
        <v>770</v>
      </c>
      <c r="V381" s="193" t="s">
        <v>50</v>
      </c>
      <c r="W381" s="193" t="s">
        <v>264</v>
      </c>
      <c r="X381" s="193" t="s">
        <v>232</v>
      </c>
      <c r="Y381" s="200">
        <v>3.0</v>
      </c>
      <c r="Z381" s="202" t="s">
        <v>233</v>
      </c>
      <c r="AA381" s="202" t="s">
        <v>234</v>
      </c>
      <c r="AB381" s="221"/>
      <c r="AC381" s="203">
        <v>1613688.01</v>
      </c>
      <c r="AD381" s="204">
        <v>46229.0</v>
      </c>
      <c r="AE381" s="204">
        <v>46291.0</v>
      </c>
      <c r="AF381" s="205"/>
      <c r="AG381" s="219"/>
      <c r="AH381" s="206"/>
      <c r="AI381" s="206"/>
      <c r="AJ381" s="206"/>
      <c r="AK381" s="206"/>
      <c r="AL381" s="206"/>
      <c r="AM381" s="206"/>
      <c r="AN381" s="206"/>
      <c r="AO381" s="206"/>
    </row>
    <row r="382">
      <c r="A382" s="193">
        <v>16120.0</v>
      </c>
      <c r="B382" s="232" t="s">
        <v>264</v>
      </c>
      <c r="C382" s="193">
        <v>2026.0</v>
      </c>
      <c r="D382" s="199"/>
      <c r="E382" s="199"/>
      <c r="F382" s="199"/>
      <c r="G382" s="248"/>
      <c r="H382" s="199"/>
      <c r="I382" s="348"/>
      <c r="J382" s="199"/>
      <c r="K382" s="193" t="s">
        <v>206</v>
      </c>
      <c r="L382" s="232" t="s">
        <v>146</v>
      </c>
      <c r="M382" s="199"/>
      <c r="N382" s="193" t="s">
        <v>337</v>
      </c>
      <c r="O382" s="193" t="s">
        <v>206</v>
      </c>
      <c r="P382" s="193" t="s">
        <v>206</v>
      </c>
      <c r="Q382" s="199"/>
      <c r="R382" s="193" t="s">
        <v>279</v>
      </c>
      <c r="S382" s="193" t="s">
        <v>50</v>
      </c>
      <c r="T382" s="193" t="s">
        <v>768</v>
      </c>
      <c r="U382" s="193" t="s">
        <v>771</v>
      </c>
      <c r="V382" s="193" t="s">
        <v>50</v>
      </c>
      <c r="W382" s="193" t="s">
        <v>264</v>
      </c>
      <c r="X382" s="193" t="s">
        <v>232</v>
      </c>
      <c r="Y382" s="200">
        <v>4.0</v>
      </c>
      <c r="Z382" s="202" t="s">
        <v>531</v>
      </c>
      <c r="AA382" s="202" t="s">
        <v>234</v>
      </c>
      <c r="AB382" s="221"/>
      <c r="AC382" s="203">
        <v>370500.0</v>
      </c>
      <c r="AD382" s="204">
        <v>46229.0</v>
      </c>
      <c r="AE382" s="204">
        <v>46291.0</v>
      </c>
      <c r="AF382" s="205"/>
      <c r="AG382" s="219"/>
      <c r="AH382" s="219"/>
      <c r="AI382" s="219"/>
      <c r="AJ382" s="219"/>
      <c r="AK382" s="219"/>
      <c r="AL382" s="219"/>
      <c r="AM382" s="219"/>
      <c r="AN382" s="219"/>
      <c r="AO382" s="219"/>
    </row>
    <row r="383">
      <c r="A383" s="193">
        <v>16140.0</v>
      </c>
      <c r="B383" s="232" t="s">
        <v>264</v>
      </c>
      <c r="C383" s="193">
        <v>2026.0</v>
      </c>
      <c r="D383" s="199"/>
      <c r="E383" s="199"/>
      <c r="F383" s="199"/>
      <c r="G383" s="248"/>
      <c r="H383" s="199"/>
      <c r="I383" s="348"/>
      <c r="J383" s="199"/>
      <c r="K383" s="193" t="s">
        <v>206</v>
      </c>
      <c r="L383" s="232" t="s">
        <v>146</v>
      </c>
      <c r="M383" s="199"/>
      <c r="N383" s="193" t="s">
        <v>337</v>
      </c>
      <c r="O383" s="193" t="s">
        <v>206</v>
      </c>
      <c r="P383" s="193" t="s">
        <v>206</v>
      </c>
      <c r="Q383" s="207"/>
      <c r="R383" s="208" t="s">
        <v>279</v>
      </c>
      <c r="S383" s="193" t="s">
        <v>50</v>
      </c>
      <c r="T383" s="193" t="s">
        <v>768</v>
      </c>
      <c r="U383" s="193" t="s">
        <v>772</v>
      </c>
      <c r="V383" s="193" t="s">
        <v>50</v>
      </c>
      <c r="W383" s="193" t="s">
        <v>264</v>
      </c>
      <c r="X383" s="193" t="s">
        <v>232</v>
      </c>
      <c r="Y383" s="200">
        <v>4.0</v>
      </c>
      <c r="Z383" s="202" t="s">
        <v>531</v>
      </c>
      <c r="AA383" s="202" t="s">
        <v>234</v>
      </c>
      <c r="AB383" s="221"/>
      <c r="AC383" s="203">
        <v>370500.0</v>
      </c>
      <c r="AD383" s="204">
        <v>46229.0</v>
      </c>
      <c r="AE383" s="204">
        <v>46291.0</v>
      </c>
      <c r="AF383" s="205"/>
      <c r="AG383" s="219"/>
      <c r="AH383" s="219"/>
      <c r="AI383" s="219"/>
      <c r="AJ383" s="219"/>
      <c r="AK383" s="219"/>
      <c r="AL383" s="219"/>
      <c r="AM383" s="219"/>
      <c r="AN383" s="219"/>
      <c r="AO383" s="219"/>
    </row>
    <row r="384">
      <c r="A384" s="193">
        <v>16160.0</v>
      </c>
      <c r="B384" s="232" t="s">
        <v>264</v>
      </c>
      <c r="C384" s="193">
        <v>2026.0</v>
      </c>
      <c r="D384" s="199"/>
      <c r="E384" s="199"/>
      <c r="F384" s="193" t="s">
        <v>265</v>
      </c>
      <c r="G384" s="248"/>
      <c r="H384" s="199"/>
      <c r="I384" s="220"/>
      <c r="J384" s="199"/>
      <c r="K384" s="193" t="s">
        <v>206</v>
      </c>
      <c r="L384" s="234" t="s">
        <v>145</v>
      </c>
      <c r="M384" s="199"/>
      <c r="N384" s="193" t="s">
        <v>207</v>
      </c>
      <c r="O384" s="193" t="s">
        <v>206</v>
      </c>
      <c r="P384" s="193" t="s">
        <v>206</v>
      </c>
      <c r="Q384" s="207"/>
      <c r="R384" s="208" t="s">
        <v>228</v>
      </c>
      <c r="S384" s="193" t="s">
        <v>47</v>
      </c>
      <c r="T384" s="193" t="s">
        <v>464</v>
      </c>
      <c r="U384" s="193" t="s">
        <v>773</v>
      </c>
      <c r="V384" s="193" t="s">
        <v>382</v>
      </c>
      <c r="W384" s="193" t="s">
        <v>212</v>
      </c>
      <c r="X384" s="193" t="s">
        <v>252</v>
      </c>
      <c r="Y384" s="200">
        <v>3.0</v>
      </c>
      <c r="Z384" s="202" t="s">
        <v>214</v>
      </c>
      <c r="AA384" s="202" t="s">
        <v>215</v>
      </c>
      <c r="AB384" s="203">
        <v>310000.0</v>
      </c>
      <c r="AC384" s="203">
        <v>310000.0</v>
      </c>
      <c r="AD384" s="204">
        <v>46321.0</v>
      </c>
      <c r="AE384" s="204">
        <v>46382.0</v>
      </c>
      <c r="AF384" s="205"/>
      <c r="AG384" s="219"/>
      <c r="AH384" s="219"/>
      <c r="AI384" s="219"/>
      <c r="AJ384" s="219"/>
      <c r="AK384" s="219"/>
      <c r="AL384" s="219"/>
      <c r="AM384" s="219"/>
      <c r="AN384" s="219"/>
      <c r="AO384" s="219"/>
    </row>
    <row r="385">
      <c r="A385" s="193">
        <v>16180.0</v>
      </c>
      <c r="B385" s="194" t="s">
        <v>203</v>
      </c>
      <c r="C385" s="193">
        <v>2026.0</v>
      </c>
      <c r="D385" s="195">
        <v>2048.0</v>
      </c>
      <c r="E385" s="199"/>
      <c r="F385" s="193" t="s">
        <v>204</v>
      </c>
      <c r="G385" s="230">
        <v>46118.0</v>
      </c>
      <c r="H385" s="193">
        <v>249.0</v>
      </c>
      <c r="I385" s="223">
        <v>46118.0</v>
      </c>
      <c r="J385" s="193" t="s">
        <v>240</v>
      </c>
      <c r="K385" s="193" t="s">
        <v>206</v>
      </c>
      <c r="L385" s="194" t="s">
        <v>144</v>
      </c>
      <c r="M385" s="199"/>
      <c r="N385" s="193" t="s">
        <v>207</v>
      </c>
      <c r="O385" s="193" t="s">
        <v>206</v>
      </c>
      <c r="P385" s="193" t="s">
        <v>206</v>
      </c>
      <c r="Q385" s="199"/>
      <c r="R385" s="193" t="s">
        <v>228</v>
      </c>
      <c r="S385" s="193" t="s">
        <v>46</v>
      </c>
      <c r="T385" s="193" t="s">
        <v>464</v>
      </c>
      <c r="U385" s="193" t="s">
        <v>773</v>
      </c>
      <c r="V385" s="193" t="s">
        <v>382</v>
      </c>
      <c r="W385" s="193" t="s">
        <v>212</v>
      </c>
      <c r="X385" s="193" t="s">
        <v>252</v>
      </c>
      <c r="Y385" s="200">
        <v>3.0</v>
      </c>
      <c r="Z385" s="202" t="s">
        <v>214</v>
      </c>
      <c r="AA385" s="202" t="s">
        <v>215</v>
      </c>
      <c r="AB385" s="203">
        <v>330000.0</v>
      </c>
      <c r="AC385" s="203">
        <v>330000.0</v>
      </c>
      <c r="AD385" s="258">
        <v>46138.0</v>
      </c>
      <c r="AE385" s="204">
        <v>46260.0</v>
      </c>
      <c r="AF385" s="205"/>
      <c r="AG385" s="219"/>
      <c r="AH385" s="219"/>
      <c r="AI385" s="219"/>
      <c r="AJ385" s="219"/>
      <c r="AK385" s="219"/>
      <c r="AL385" s="219"/>
      <c r="AM385" s="219"/>
      <c r="AN385" s="219"/>
      <c r="AO385" s="219"/>
    </row>
    <row r="386">
      <c r="A386" s="193">
        <v>16200.0</v>
      </c>
      <c r="B386" s="194" t="s">
        <v>203</v>
      </c>
      <c r="C386" s="193">
        <v>2026.0</v>
      </c>
      <c r="D386" s="195">
        <v>2048.0</v>
      </c>
      <c r="E386" s="199"/>
      <c r="F386" s="193" t="s">
        <v>204</v>
      </c>
      <c r="G386" s="230">
        <v>46121.0</v>
      </c>
      <c r="H386" s="193">
        <v>264.0</v>
      </c>
      <c r="I386" s="223">
        <v>46121.0</v>
      </c>
      <c r="J386" s="193" t="s">
        <v>774</v>
      </c>
      <c r="K386" s="193" t="s">
        <v>206</v>
      </c>
      <c r="L386" s="194" t="s">
        <v>144</v>
      </c>
      <c r="M386" s="199"/>
      <c r="N386" s="193" t="s">
        <v>207</v>
      </c>
      <c r="O386" s="193" t="s">
        <v>206</v>
      </c>
      <c r="P386" s="193" t="s">
        <v>206</v>
      </c>
      <c r="Q386" s="199"/>
      <c r="R386" s="193" t="s">
        <v>228</v>
      </c>
      <c r="S386" s="193" t="s">
        <v>46</v>
      </c>
      <c r="T386" s="193" t="s">
        <v>287</v>
      </c>
      <c r="U386" s="193" t="s">
        <v>775</v>
      </c>
      <c r="V386" s="193" t="s">
        <v>231</v>
      </c>
      <c r="W386" s="193" t="s">
        <v>212</v>
      </c>
      <c r="X386" s="193" t="s">
        <v>252</v>
      </c>
      <c r="Y386" s="200">
        <v>3.0</v>
      </c>
      <c r="Z386" s="202" t="s">
        <v>233</v>
      </c>
      <c r="AA386" s="202" t="s">
        <v>215</v>
      </c>
      <c r="AB386" s="203">
        <v>1130000.0</v>
      </c>
      <c r="AC386" s="203">
        <v>1130000.0</v>
      </c>
      <c r="AD386" s="258">
        <v>46138.0</v>
      </c>
      <c r="AE386" s="204">
        <v>46291.0</v>
      </c>
      <c r="AF386" s="205"/>
      <c r="AG386" s="219"/>
      <c r="AH386" s="219"/>
      <c r="AI386" s="219"/>
      <c r="AJ386" s="219"/>
      <c r="AK386" s="219"/>
      <c r="AL386" s="219"/>
      <c r="AM386" s="219"/>
      <c r="AN386" s="219"/>
      <c r="AO386" s="219"/>
    </row>
    <row r="387">
      <c r="A387" s="193">
        <v>16220.0</v>
      </c>
      <c r="B387" s="194" t="s">
        <v>203</v>
      </c>
      <c r="C387" s="193">
        <v>2026.0</v>
      </c>
      <c r="D387" s="195">
        <v>2048.0</v>
      </c>
      <c r="E387" s="199"/>
      <c r="F387" s="193" t="s">
        <v>204</v>
      </c>
      <c r="G387" s="198">
        <v>46213.0</v>
      </c>
      <c r="H387" s="193">
        <v>579.0</v>
      </c>
      <c r="I387" s="198">
        <v>46213.0</v>
      </c>
      <c r="J387" s="193" t="s">
        <v>349</v>
      </c>
      <c r="K387" s="193" t="s">
        <v>206</v>
      </c>
      <c r="L387" s="194" t="s">
        <v>144</v>
      </c>
      <c r="M387" s="199"/>
      <c r="N387" s="193" t="s">
        <v>207</v>
      </c>
      <c r="O387" s="193" t="s">
        <v>206</v>
      </c>
      <c r="P387" s="193" t="s">
        <v>206</v>
      </c>
      <c r="Q387" s="199"/>
      <c r="R387" s="193" t="s">
        <v>208</v>
      </c>
      <c r="S387" s="193" t="s">
        <v>39</v>
      </c>
      <c r="T387" s="193" t="s">
        <v>209</v>
      </c>
      <c r="U387" s="193" t="s">
        <v>776</v>
      </c>
      <c r="V387" s="193" t="s">
        <v>290</v>
      </c>
      <c r="W387" s="193" t="s">
        <v>212</v>
      </c>
      <c r="X387" s="193" t="s">
        <v>252</v>
      </c>
      <c r="Y387" s="200">
        <v>3.0</v>
      </c>
      <c r="Z387" s="202" t="s">
        <v>214</v>
      </c>
      <c r="AA387" s="202" t="s">
        <v>215</v>
      </c>
      <c r="AB387" s="203">
        <v>1000000.0</v>
      </c>
      <c r="AC387" s="203">
        <v>154159.32</v>
      </c>
      <c r="AD387" s="204">
        <v>46229.0</v>
      </c>
      <c r="AE387" s="204">
        <v>46260.0</v>
      </c>
      <c r="AF387" s="205"/>
      <c r="AG387" s="219"/>
      <c r="AH387" s="206"/>
      <c r="AI387" s="206"/>
      <c r="AJ387" s="206"/>
      <c r="AK387" s="206"/>
      <c r="AL387" s="206"/>
      <c r="AM387" s="206"/>
      <c r="AN387" s="206"/>
      <c r="AO387" s="206"/>
    </row>
    <row r="388">
      <c r="A388" s="193">
        <v>16221.0</v>
      </c>
      <c r="B388" s="194" t="s">
        <v>203</v>
      </c>
      <c r="C388" s="193">
        <v>2026.0</v>
      </c>
      <c r="D388" s="195">
        <v>2048.0</v>
      </c>
      <c r="E388" s="199"/>
      <c r="F388" s="222" t="s">
        <v>204</v>
      </c>
      <c r="G388" s="230">
        <v>46213.0</v>
      </c>
      <c r="H388" s="193">
        <v>579.0</v>
      </c>
      <c r="I388" s="223">
        <v>46213.0</v>
      </c>
      <c r="J388" s="193" t="s">
        <v>349</v>
      </c>
      <c r="K388" s="193" t="s">
        <v>206</v>
      </c>
      <c r="L388" s="194" t="s">
        <v>144</v>
      </c>
      <c r="M388" s="199"/>
      <c r="N388" s="193" t="s">
        <v>207</v>
      </c>
      <c r="O388" s="193" t="s">
        <v>206</v>
      </c>
      <c r="P388" s="193" t="s">
        <v>206</v>
      </c>
      <c r="Q388" s="207"/>
      <c r="R388" s="208" t="s">
        <v>208</v>
      </c>
      <c r="S388" s="193" t="s">
        <v>39</v>
      </c>
      <c r="T388" s="193" t="s">
        <v>209</v>
      </c>
      <c r="U388" s="193" t="s">
        <v>776</v>
      </c>
      <c r="V388" s="193" t="s">
        <v>290</v>
      </c>
      <c r="W388" s="193" t="s">
        <v>212</v>
      </c>
      <c r="X388" s="193" t="s">
        <v>252</v>
      </c>
      <c r="Y388" s="200">
        <v>3.0</v>
      </c>
      <c r="Z388" s="202" t="s">
        <v>214</v>
      </c>
      <c r="AA388" s="202" t="s">
        <v>215</v>
      </c>
      <c r="AB388" s="203">
        <v>1000000.0</v>
      </c>
      <c r="AC388" s="203">
        <v>845840.68</v>
      </c>
      <c r="AD388" s="204">
        <v>46229.0</v>
      </c>
      <c r="AE388" s="204">
        <v>46260.0</v>
      </c>
      <c r="AF388" s="205"/>
      <c r="AG388" s="219"/>
      <c r="AH388" s="219"/>
      <c r="AI388" s="219"/>
      <c r="AJ388" s="219"/>
      <c r="AK388" s="219"/>
      <c r="AL388" s="219"/>
      <c r="AM388" s="219"/>
      <c r="AN388" s="219"/>
      <c r="AO388" s="219"/>
    </row>
    <row r="389">
      <c r="A389" s="193">
        <v>16240.0</v>
      </c>
      <c r="B389" s="232" t="s">
        <v>264</v>
      </c>
      <c r="C389" s="193">
        <v>2026.0</v>
      </c>
      <c r="D389" s="199"/>
      <c r="E389" s="196"/>
      <c r="F389" s="193" t="s">
        <v>265</v>
      </c>
      <c r="G389" s="237"/>
      <c r="H389" s="199"/>
      <c r="I389" s="233"/>
      <c r="J389" s="199"/>
      <c r="K389" s="193" t="s">
        <v>206</v>
      </c>
      <c r="L389" s="234" t="s">
        <v>145</v>
      </c>
      <c r="M389" s="199"/>
      <c r="N389" s="193" t="s">
        <v>207</v>
      </c>
      <c r="O389" s="193" t="s">
        <v>206</v>
      </c>
      <c r="P389" s="193" t="s">
        <v>206</v>
      </c>
      <c r="Q389" s="207"/>
      <c r="R389" s="208" t="s">
        <v>219</v>
      </c>
      <c r="S389" s="193" t="s">
        <v>43</v>
      </c>
      <c r="T389" s="193" t="s">
        <v>464</v>
      </c>
      <c r="U389" s="193" t="s">
        <v>777</v>
      </c>
      <c r="V389" s="193" t="s">
        <v>382</v>
      </c>
      <c r="W389" s="193" t="s">
        <v>212</v>
      </c>
      <c r="X389" s="193" t="s">
        <v>252</v>
      </c>
      <c r="Y389" s="200">
        <v>3.0</v>
      </c>
      <c r="Z389" s="202" t="s">
        <v>214</v>
      </c>
      <c r="AA389" s="202" t="s">
        <v>215</v>
      </c>
      <c r="AB389" s="203">
        <v>1000000.0</v>
      </c>
      <c r="AC389" s="203">
        <v>1000000.0</v>
      </c>
      <c r="AD389" s="276">
        <v>46321.0</v>
      </c>
      <c r="AE389" s="204">
        <v>46049.0</v>
      </c>
      <c r="AF389" s="205"/>
      <c r="AG389" s="219"/>
      <c r="AH389" s="219"/>
      <c r="AI389" s="219"/>
      <c r="AJ389" s="219"/>
      <c r="AK389" s="219"/>
      <c r="AL389" s="219"/>
      <c r="AM389" s="219"/>
      <c r="AN389" s="219"/>
      <c r="AO389" s="219"/>
    </row>
    <row r="390">
      <c r="A390" s="193">
        <v>16260.0</v>
      </c>
      <c r="B390" s="194" t="s">
        <v>203</v>
      </c>
      <c r="C390" s="193">
        <v>2026.0</v>
      </c>
      <c r="D390" s="195">
        <v>2048.0</v>
      </c>
      <c r="E390" s="196"/>
      <c r="F390" s="193" t="s">
        <v>204</v>
      </c>
      <c r="G390" s="246">
        <v>46191.0</v>
      </c>
      <c r="H390" s="193">
        <v>444.0</v>
      </c>
      <c r="I390" s="223">
        <v>46191.0</v>
      </c>
      <c r="J390" s="193" t="s">
        <v>557</v>
      </c>
      <c r="K390" s="193" t="s">
        <v>206</v>
      </c>
      <c r="L390" s="194" t="s">
        <v>144</v>
      </c>
      <c r="M390" s="199"/>
      <c r="N390" s="193" t="s">
        <v>207</v>
      </c>
      <c r="O390" s="193" t="s">
        <v>206</v>
      </c>
      <c r="P390" s="193" t="s">
        <v>206</v>
      </c>
      <c r="Q390" s="207"/>
      <c r="R390" s="208" t="s">
        <v>219</v>
      </c>
      <c r="S390" s="193" t="s">
        <v>43</v>
      </c>
      <c r="T390" s="193" t="s">
        <v>299</v>
      </c>
      <c r="U390" s="193" t="s">
        <v>776</v>
      </c>
      <c r="V390" s="193" t="s">
        <v>290</v>
      </c>
      <c r="W390" s="193" t="s">
        <v>212</v>
      </c>
      <c r="X390" s="193" t="s">
        <v>252</v>
      </c>
      <c r="Y390" s="200">
        <v>3.0</v>
      </c>
      <c r="Z390" s="202" t="s">
        <v>233</v>
      </c>
      <c r="AA390" s="202" t="s">
        <v>215</v>
      </c>
      <c r="AB390" s="203">
        <v>525000.0</v>
      </c>
      <c r="AC390" s="203">
        <v>525000.0</v>
      </c>
      <c r="AD390" s="276">
        <v>46199.0</v>
      </c>
      <c r="AE390" s="204">
        <v>46260.0</v>
      </c>
      <c r="AF390" s="226" t="s">
        <v>268</v>
      </c>
      <c r="AG390" s="219"/>
      <c r="AH390" s="219"/>
      <c r="AI390" s="219"/>
      <c r="AJ390" s="219"/>
      <c r="AK390" s="219"/>
      <c r="AL390" s="219"/>
      <c r="AM390" s="219"/>
      <c r="AN390" s="219"/>
      <c r="AO390" s="219"/>
    </row>
    <row r="391">
      <c r="A391" s="193">
        <v>16280.0</v>
      </c>
      <c r="B391" s="194" t="s">
        <v>203</v>
      </c>
      <c r="C391" s="193">
        <v>2026.0</v>
      </c>
      <c r="D391" s="195">
        <v>2048.0</v>
      </c>
      <c r="E391" s="199"/>
      <c r="F391" s="193" t="s">
        <v>204</v>
      </c>
      <c r="G391" s="223">
        <v>46121.0</v>
      </c>
      <c r="H391" s="193">
        <v>260.0</v>
      </c>
      <c r="I391" s="198">
        <v>46121.0</v>
      </c>
      <c r="J391" s="193" t="s">
        <v>558</v>
      </c>
      <c r="K391" s="193" t="s">
        <v>206</v>
      </c>
      <c r="L391" s="194" t="s">
        <v>144</v>
      </c>
      <c r="M391" s="199"/>
      <c r="N391" s="193" t="s">
        <v>207</v>
      </c>
      <c r="O391" s="193" t="s">
        <v>206</v>
      </c>
      <c r="P391" s="193" t="s">
        <v>206</v>
      </c>
      <c r="Q391" s="199"/>
      <c r="R391" s="193" t="s">
        <v>219</v>
      </c>
      <c r="S391" s="193" t="s">
        <v>43</v>
      </c>
      <c r="T391" s="193" t="s">
        <v>302</v>
      </c>
      <c r="U391" s="193" t="s">
        <v>778</v>
      </c>
      <c r="V391" s="193" t="s">
        <v>231</v>
      </c>
      <c r="W391" s="193" t="s">
        <v>212</v>
      </c>
      <c r="X391" s="193" t="s">
        <v>252</v>
      </c>
      <c r="Y391" s="200">
        <v>3.0</v>
      </c>
      <c r="Z391" s="202" t="s">
        <v>233</v>
      </c>
      <c r="AA391" s="202" t="s">
        <v>215</v>
      </c>
      <c r="AB391" s="203">
        <v>1360000.0</v>
      </c>
      <c r="AC391" s="203">
        <v>1360000.0</v>
      </c>
      <c r="AD391" s="258">
        <v>46138.0</v>
      </c>
      <c r="AE391" s="204">
        <v>46291.0</v>
      </c>
      <c r="AF391" s="205"/>
      <c r="AG391" s="219"/>
      <c r="AH391" s="219"/>
      <c r="AI391" s="219"/>
      <c r="AJ391" s="219"/>
      <c r="AK391" s="219"/>
      <c r="AL391" s="219"/>
      <c r="AM391" s="219"/>
      <c r="AN391" s="219"/>
      <c r="AO391" s="219"/>
    </row>
    <row r="392">
      <c r="A392" s="193">
        <v>16300.0</v>
      </c>
      <c r="B392" s="232" t="s">
        <v>264</v>
      </c>
      <c r="C392" s="193">
        <v>2026.0</v>
      </c>
      <c r="D392" s="199"/>
      <c r="E392" s="199"/>
      <c r="F392" s="199"/>
      <c r="G392" s="248"/>
      <c r="H392" s="199"/>
      <c r="I392" s="220"/>
      <c r="J392" s="199"/>
      <c r="K392" s="193" t="s">
        <v>206</v>
      </c>
      <c r="L392" s="232" t="s">
        <v>146</v>
      </c>
      <c r="M392" s="199"/>
      <c r="N392" s="193" t="s">
        <v>207</v>
      </c>
      <c r="O392" s="193" t="s">
        <v>206</v>
      </c>
      <c r="P392" s="193" t="s">
        <v>206</v>
      </c>
      <c r="Q392" s="207"/>
      <c r="R392" s="208" t="s">
        <v>279</v>
      </c>
      <c r="S392" s="193" t="s">
        <v>50</v>
      </c>
      <c r="T392" s="193" t="s">
        <v>613</v>
      </c>
      <c r="U392" s="193" t="s">
        <v>779</v>
      </c>
      <c r="V392" s="193" t="s">
        <v>50</v>
      </c>
      <c r="W392" s="193" t="s">
        <v>264</v>
      </c>
      <c r="X392" s="193" t="s">
        <v>252</v>
      </c>
      <c r="Y392" s="200">
        <v>3.0</v>
      </c>
      <c r="Z392" s="202" t="s">
        <v>214</v>
      </c>
      <c r="AA392" s="202" t="s">
        <v>215</v>
      </c>
      <c r="AB392" s="203">
        <v>216000.0</v>
      </c>
      <c r="AC392" s="203">
        <v>216000.0</v>
      </c>
      <c r="AD392" s="204">
        <v>46229.0</v>
      </c>
      <c r="AE392" s="204">
        <v>46291.0</v>
      </c>
      <c r="AF392" s="205"/>
      <c r="AG392" s="219"/>
      <c r="AH392" s="219"/>
      <c r="AI392" s="219"/>
      <c r="AJ392" s="219"/>
      <c r="AK392" s="219"/>
      <c r="AL392" s="219"/>
      <c r="AM392" s="219"/>
      <c r="AN392" s="219"/>
      <c r="AO392" s="219"/>
    </row>
    <row r="393">
      <c r="A393" s="193">
        <v>16320.0</v>
      </c>
      <c r="B393" s="194" t="s">
        <v>203</v>
      </c>
      <c r="C393" s="193">
        <v>2026.0</v>
      </c>
      <c r="D393" s="195">
        <v>2048.0</v>
      </c>
      <c r="E393" s="199"/>
      <c r="F393" s="199"/>
      <c r="G393" s="220"/>
      <c r="H393" s="199"/>
      <c r="I393" s="220"/>
      <c r="J393" s="199"/>
      <c r="K393" s="193" t="s">
        <v>206</v>
      </c>
      <c r="L393" s="194" t="s">
        <v>144</v>
      </c>
      <c r="M393" s="199"/>
      <c r="N393" s="193" t="s">
        <v>475</v>
      </c>
      <c r="O393" s="193" t="s">
        <v>206</v>
      </c>
      <c r="P393" s="193" t="s">
        <v>206</v>
      </c>
      <c r="Q393" s="207"/>
      <c r="R393" s="208" t="s">
        <v>279</v>
      </c>
      <c r="S393" s="193" t="s">
        <v>50</v>
      </c>
      <c r="T393" s="193" t="s">
        <v>563</v>
      </c>
      <c r="U393" s="193" t="s">
        <v>780</v>
      </c>
      <c r="V393" s="193" t="s">
        <v>524</v>
      </c>
      <c r="W393" s="193" t="s">
        <v>264</v>
      </c>
      <c r="X393" s="193" t="s">
        <v>252</v>
      </c>
      <c r="Y393" s="200">
        <v>3.0</v>
      </c>
      <c r="Z393" s="202" t="s">
        <v>214</v>
      </c>
      <c r="AA393" s="202" t="s">
        <v>215</v>
      </c>
      <c r="AB393" s="203">
        <v>29598.71</v>
      </c>
      <c r="AC393" s="203">
        <v>29598.71</v>
      </c>
      <c r="AD393" s="204">
        <v>46229.0</v>
      </c>
      <c r="AE393" s="204">
        <v>46291.0</v>
      </c>
      <c r="AF393" s="205"/>
      <c r="AG393" s="219"/>
      <c r="AH393" s="219"/>
      <c r="AI393" s="219"/>
      <c r="AJ393" s="219"/>
      <c r="AK393" s="219"/>
      <c r="AL393" s="219"/>
      <c r="AM393" s="219"/>
      <c r="AN393" s="219"/>
      <c r="AO393" s="219"/>
    </row>
    <row r="394">
      <c r="A394" s="193">
        <v>16340.0</v>
      </c>
      <c r="B394" s="232" t="s">
        <v>264</v>
      </c>
      <c r="C394" s="193">
        <v>2026.0</v>
      </c>
      <c r="D394" s="199"/>
      <c r="E394" s="199"/>
      <c r="F394" s="199"/>
      <c r="G394" s="248"/>
      <c r="H394" s="199"/>
      <c r="I394" s="220"/>
      <c r="J394" s="199"/>
      <c r="K394" s="193" t="s">
        <v>206</v>
      </c>
      <c r="L394" s="232" t="s">
        <v>146</v>
      </c>
      <c r="M394" s="199"/>
      <c r="N394" s="193" t="s">
        <v>207</v>
      </c>
      <c r="O394" s="193" t="s">
        <v>206</v>
      </c>
      <c r="P394" s="193" t="s">
        <v>206</v>
      </c>
      <c r="Q394" s="199"/>
      <c r="R394" s="193" t="s">
        <v>279</v>
      </c>
      <c r="S394" s="193" t="s">
        <v>50</v>
      </c>
      <c r="T394" s="193" t="s">
        <v>479</v>
      </c>
      <c r="U394" s="193" t="s">
        <v>781</v>
      </c>
      <c r="V394" s="193" t="s">
        <v>50</v>
      </c>
      <c r="W394" s="193" t="s">
        <v>264</v>
      </c>
      <c r="X394" s="193" t="s">
        <v>252</v>
      </c>
      <c r="Y394" s="200">
        <v>3.0</v>
      </c>
      <c r="Z394" s="202" t="s">
        <v>233</v>
      </c>
      <c r="AA394" s="202" t="s">
        <v>215</v>
      </c>
      <c r="AB394" s="203">
        <v>378000.0</v>
      </c>
      <c r="AC394" s="203">
        <v>378000.0</v>
      </c>
      <c r="AD394" s="204">
        <v>46229.0</v>
      </c>
      <c r="AE394" s="204">
        <v>46291.0</v>
      </c>
      <c r="AF394" s="205"/>
      <c r="AG394" s="219"/>
      <c r="AH394" s="219"/>
      <c r="AI394" s="219"/>
      <c r="AJ394" s="219"/>
      <c r="AK394" s="219"/>
      <c r="AL394" s="219"/>
      <c r="AM394" s="219"/>
      <c r="AN394" s="219"/>
      <c r="AO394" s="219"/>
    </row>
    <row r="395">
      <c r="A395" s="193">
        <v>16360.0</v>
      </c>
      <c r="B395" s="232" t="s">
        <v>264</v>
      </c>
      <c r="C395" s="193">
        <v>2026.0</v>
      </c>
      <c r="D395" s="199"/>
      <c r="E395" s="196"/>
      <c r="F395" s="199"/>
      <c r="G395" s="266"/>
      <c r="H395" s="199"/>
      <c r="I395" s="220"/>
      <c r="J395" s="199"/>
      <c r="K395" s="193" t="s">
        <v>206</v>
      </c>
      <c r="L395" s="232" t="s">
        <v>146</v>
      </c>
      <c r="M395" s="199"/>
      <c r="N395" s="193" t="s">
        <v>207</v>
      </c>
      <c r="O395" s="193" t="s">
        <v>206</v>
      </c>
      <c r="P395" s="193" t="s">
        <v>206</v>
      </c>
      <c r="Q395" s="199"/>
      <c r="R395" s="193" t="s">
        <v>279</v>
      </c>
      <c r="S395" s="193" t="s">
        <v>50</v>
      </c>
      <c r="T395" s="193" t="s">
        <v>479</v>
      </c>
      <c r="U395" s="193" t="s">
        <v>781</v>
      </c>
      <c r="V395" s="193" t="s">
        <v>50</v>
      </c>
      <c r="W395" s="193" t="s">
        <v>264</v>
      </c>
      <c r="X395" s="193" t="s">
        <v>252</v>
      </c>
      <c r="Y395" s="200">
        <v>3.0</v>
      </c>
      <c r="Z395" s="202" t="s">
        <v>233</v>
      </c>
      <c r="AA395" s="202" t="s">
        <v>215</v>
      </c>
      <c r="AB395" s="203">
        <v>135000.0</v>
      </c>
      <c r="AC395" s="203">
        <v>135000.0</v>
      </c>
      <c r="AD395" s="276">
        <v>46229.0</v>
      </c>
      <c r="AE395" s="204">
        <v>46291.0</v>
      </c>
      <c r="AF395" s="205"/>
      <c r="AG395" s="219"/>
      <c r="AH395" s="219"/>
      <c r="AI395" s="219"/>
      <c r="AJ395" s="219"/>
      <c r="AK395" s="219"/>
      <c r="AL395" s="219"/>
      <c r="AM395" s="219"/>
      <c r="AN395" s="219"/>
      <c r="AO395" s="219"/>
    </row>
    <row r="396">
      <c r="A396" s="193">
        <v>16380.0</v>
      </c>
      <c r="B396" s="232" t="s">
        <v>264</v>
      </c>
      <c r="C396" s="193">
        <v>2026.0</v>
      </c>
      <c r="D396" s="199"/>
      <c r="E396" s="199"/>
      <c r="F396" s="207"/>
      <c r="G396" s="248"/>
      <c r="H396" s="199"/>
      <c r="I396" s="220"/>
      <c r="J396" s="199"/>
      <c r="K396" s="193" t="s">
        <v>206</v>
      </c>
      <c r="L396" s="232" t="s">
        <v>146</v>
      </c>
      <c r="M396" s="199"/>
      <c r="N396" s="193" t="s">
        <v>207</v>
      </c>
      <c r="O396" s="193" t="s">
        <v>206</v>
      </c>
      <c r="P396" s="193" t="s">
        <v>206</v>
      </c>
      <c r="Q396" s="199"/>
      <c r="R396" s="193" t="s">
        <v>279</v>
      </c>
      <c r="S396" s="193" t="s">
        <v>50</v>
      </c>
      <c r="T396" s="193" t="s">
        <v>479</v>
      </c>
      <c r="U396" s="193" t="s">
        <v>781</v>
      </c>
      <c r="V396" s="193" t="s">
        <v>50</v>
      </c>
      <c r="W396" s="193" t="s">
        <v>264</v>
      </c>
      <c r="X396" s="193" t="s">
        <v>252</v>
      </c>
      <c r="Y396" s="200">
        <v>3.0</v>
      </c>
      <c r="Z396" s="202" t="s">
        <v>233</v>
      </c>
      <c r="AA396" s="202" t="s">
        <v>215</v>
      </c>
      <c r="AB396" s="203">
        <v>621000.0</v>
      </c>
      <c r="AC396" s="203">
        <v>621000.0</v>
      </c>
      <c r="AD396" s="204">
        <v>46229.0</v>
      </c>
      <c r="AE396" s="204">
        <v>46291.0</v>
      </c>
      <c r="AF396" s="226" t="s">
        <v>782</v>
      </c>
      <c r="AG396" s="219"/>
      <c r="AH396" s="219"/>
      <c r="AI396" s="219"/>
      <c r="AJ396" s="219"/>
      <c r="AK396" s="219"/>
      <c r="AL396" s="219"/>
      <c r="AM396" s="219"/>
      <c r="AN396" s="219"/>
      <c r="AO396" s="219"/>
    </row>
    <row r="397">
      <c r="A397" s="193">
        <v>16400.0</v>
      </c>
      <c r="B397" s="232" t="s">
        <v>264</v>
      </c>
      <c r="C397" s="193">
        <v>2026.0</v>
      </c>
      <c r="D397" s="199"/>
      <c r="E397" s="199"/>
      <c r="F397" s="199"/>
      <c r="G397" s="248"/>
      <c r="H397" s="199"/>
      <c r="I397" s="220"/>
      <c r="J397" s="199"/>
      <c r="K397" s="193" t="s">
        <v>206</v>
      </c>
      <c r="L397" s="232" t="s">
        <v>146</v>
      </c>
      <c r="M397" s="199"/>
      <c r="N397" s="193" t="s">
        <v>207</v>
      </c>
      <c r="O397" s="193" t="s">
        <v>206</v>
      </c>
      <c r="P397" s="193" t="s">
        <v>206</v>
      </c>
      <c r="Q397" s="199"/>
      <c r="R397" s="193" t="s">
        <v>279</v>
      </c>
      <c r="S397" s="193" t="s">
        <v>50</v>
      </c>
      <c r="T397" s="193" t="s">
        <v>479</v>
      </c>
      <c r="U397" s="193" t="s">
        <v>781</v>
      </c>
      <c r="V397" s="193" t="s">
        <v>50</v>
      </c>
      <c r="W397" s="193" t="s">
        <v>264</v>
      </c>
      <c r="X397" s="193" t="s">
        <v>252</v>
      </c>
      <c r="Y397" s="200">
        <v>3.0</v>
      </c>
      <c r="Z397" s="202" t="s">
        <v>233</v>
      </c>
      <c r="AA397" s="202" t="s">
        <v>215</v>
      </c>
      <c r="AB397" s="203">
        <v>430000.0</v>
      </c>
      <c r="AC397" s="203">
        <v>430000.0</v>
      </c>
      <c r="AD397" s="204">
        <v>46229.0</v>
      </c>
      <c r="AE397" s="204">
        <v>46291.0</v>
      </c>
      <c r="AF397" s="205"/>
      <c r="AG397" s="219"/>
      <c r="AH397" s="219"/>
      <c r="AI397" s="219"/>
      <c r="AJ397" s="219"/>
      <c r="AK397" s="219"/>
      <c r="AL397" s="219"/>
      <c r="AM397" s="219"/>
      <c r="AN397" s="219"/>
      <c r="AO397" s="219"/>
    </row>
    <row r="398">
      <c r="A398" s="193">
        <v>16420.0</v>
      </c>
      <c r="B398" s="232" t="s">
        <v>264</v>
      </c>
      <c r="C398" s="193">
        <v>2026.0</v>
      </c>
      <c r="D398" s="199"/>
      <c r="E398" s="199"/>
      <c r="F398" s="199"/>
      <c r="G398" s="253"/>
      <c r="H398" s="199"/>
      <c r="I398" s="253"/>
      <c r="J398" s="199"/>
      <c r="K398" s="193" t="s">
        <v>206</v>
      </c>
      <c r="L398" s="232" t="s">
        <v>146</v>
      </c>
      <c r="M398" s="199"/>
      <c r="N398" s="193" t="s">
        <v>475</v>
      </c>
      <c r="O398" s="193" t="s">
        <v>206</v>
      </c>
      <c r="P398" s="193" t="s">
        <v>206</v>
      </c>
      <c r="Q398" s="199"/>
      <c r="R398" s="193" t="s">
        <v>279</v>
      </c>
      <c r="S398" s="193" t="s">
        <v>50</v>
      </c>
      <c r="T398" s="193" t="s">
        <v>476</v>
      </c>
      <c r="U398" s="193" t="s">
        <v>783</v>
      </c>
      <c r="V398" s="193" t="s">
        <v>50</v>
      </c>
      <c r="W398" s="193" t="s">
        <v>264</v>
      </c>
      <c r="X398" s="193" t="s">
        <v>252</v>
      </c>
      <c r="Y398" s="200">
        <v>3.0</v>
      </c>
      <c r="Z398" s="202" t="s">
        <v>214</v>
      </c>
      <c r="AA398" s="202" t="s">
        <v>215</v>
      </c>
      <c r="AB398" s="203">
        <v>70000.0</v>
      </c>
      <c r="AC398" s="203">
        <v>70000.0</v>
      </c>
      <c r="AD398" s="204">
        <v>46229.0</v>
      </c>
      <c r="AE398" s="204">
        <v>46291.0</v>
      </c>
      <c r="AF398" s="205"/>
      <c r="AG398" s="219"/>
      <c r="AH398" s="219"/>
      <c r="AI398" s="219"/>
      <c r="AJ398" s="219"/>
      <c r="AK398" s="219"/>
      <c r="AL398" s="219"/>
      <c r="AM398" s="219"/>
      <c r="AN398" s="219"/>
      <c r="AO398" s="219"/>
    </row>
    <row r="399">
      <c r="A399" s="193">
        <v>16440.0</v>
      </c>
      <c r="B399" s="232" t="s">
        <v>264</v>
      </c>
      <c r="C399" s="193">
        <v>2026.0</v>
      </c>
      <c r="D399" s="199"/>
      <c r="E399" s="199"/>
      <c r="F399" s="199"/>
      <c r="G399" s="235"/>
      <c r="H399" s="199"/>
      <c r="I399" s="235"/>
      <c r="J399" s="199"/>
      <c r="K399" s="193" t="s">
        <v>206</v>
      </c>
      <c r="L399" s="232" t="s">
        <v>146</v>
      </c>
      <c r="M399" s="199"/>
      <c r="N399" s="193" t="s">
        <v>207</v>
      </c>
      <c r="O399" s="193" t="s">
        <v>206</v>
      </c>
      <c r="P399" s="193" t="s">
        <v>206</v>
      </c>
      <c r="Q399" s="207"/>
      <c r="R399" s="208" t="s">
        <v>279</v>
      </c>
      <c r="S399" s="193" t="s">
        <v>50</v>
      </c>
      <c r="T399" s="193" t="s">
        <v>479</v>
      </c>
      <c r="U399" s="193" t="s">
        <v>781</v>
      </c>
      <c r="V399" s="193" t="s">
        <v>50</v>
      </c>
      <c r="W399" s="193" t="s">
        <v>264</v>
      </c>
      <c r="X399" s="193" t="s">
        <v>252</v>
      </c>
      <c r="Y399" s="200">
        <v>3.0</v>
      </c>
      <c r="Z399" s="202" t="s">
        <v>233</v>
      </c>
      <c r="AA399" s="202" t="s">
        <v>215</v>
      </c>
      <c r="AB399" s="203">
        <v>135000.0</v>
      </c>
      <c r="AC399" s="203">
        <v>135000.0</v>
      </c>
      <c r="AD399" s="204">
        <v>46229.0</v>
      </c>
      <c r="AE399" s="204">
        <v>46291.0</v>
      </c>
      <c r="AF399" s="205"/>
      <c r="AG399" s="219"/>
      <c r="AH399" s="219"/>
      <c r="AI399" s="219"/>
      <c r="AJ399" s="219"/>
      <c r="AK399" s="219"/>
      <c r="AL399" s="219"/>
      <c r="AM399" s="219"/>
      <c r="AN399" s="219"/>
      <c r="AO399" s="219"/>
    </row>
    <row r="400">
      <c r="A400" s="193">
        <v>16460.0</v>
      </c>
      <c r="B400" s="194" t="s">
        <v>203</v>
      </c>
      <c r="C400" s="193">
        <v>2026.0</v>
      </c>
      <c r="D400" s="195">
        <v>2048.0</v>
      </c>
      <c r="E400" s="199"/>
      <c r="F400" s="193" t="s">
        <v>784</v>
      </c>
      <c r="G400" s="230">
        <v>46293.0</v>
      </c>
      <c r="H400" s="193">
        <v>15158.0</v>
      </c>
      <c r="I400" s="223">
        <v>46293.0</v>
      </c>
      <c r="J400" s="193" t="s">
        <v>28</v>
      </c>
      <c r="K400" s="193" t="s">
        <v>206</v>
      </c>
      <c r="L400" s="194" t="s">
        <v>144</v>
      </c>
      <c r="M400" s="199"/>
      <c r="N400" s="193" t="s">
        <v>207</v>
      </c>
      <c r="O400" s="193" t="s">
        <v>206</v>
      </c>
      <c r="P400" s="193" t="s">
        <v>206</v>
      </c>
      <c r="Q400" s="207"/>
      <c r="R400" s="208" t="s">
        <v>208</v>
      </c>
      <c r="S400" s="193" t="s">
        <v>39</v>
      </c>
      <c r="T400" s="193" t="s">
        <v>209</v>
      </c>
      <c r="U400" s="193" t="s">
        <v>734</v>
      </c>
      <c r="V400" s="193" t="s">
        <v>211</v>
      </c>
      <c r="W400" s="193" t="s">
        <v>212</v>
      </c>
      <c r="X400" s="193" t="s">
        <v>213</v>
      </c>
      <c r="Y400" s="200">
        <v>3.0</v>
      </c>
      <c r="Z400" s="202" t="s">
        <v>214</v>
      </c>
      <c r="AA400" s="202" t="s">
        <v>215</v>
      </c>
      <c r="AB400" s="203">
        <v>2310000.0</v>
      </c>
      <c r="AC400" s="203">
        <v>2310000.0</v>
      </c>
      <c r="AD400" s="204">
        <v>46260.0</v>
      </c>
      <c r="AE400" s="204">
        <v>46321.0</v>
      </c>
      <c r="AF400" s="205"/>
      <c r="AG400" s="219"/>
      <c r="AH400" s="219"/>
      <c r="AI400" s="219"/>
      <c r="AJ400" s="219"/>
      <c r="AK400" s="219"/>
      <c r="AL400" s="219"/>
      <c r="AM400" s="219"/>
      <c r="AN400" s="219"/>
      <c r="AO400" s="219"/>
    </row>
    <row r="401">
      <c r="A401" s="193">
        <v>16480.0</v>
      </c>
      <c r="B401" s="194" t="s">
        <v>203</v>
      </c>
      <c r="C401" s="193">
        <v>2026.0</v>
      </c>
      <c r="D401" s="195">
        <v>2048.0</v>
      </c>
      <c r="E401" s="199"/>
      <c r="F401" s="193" t="s">
        <v>204</v>
      </c>
      <c r="G401" s="230">
        <v>46213.0</v>
      </c>
      <c r="H401" s="193">
        <v>582.0</v>
      </c>
      <c r="I401" s="223">
        <v>46213.0</v>
      </c>
      <c r="J401" s="193" t="s">
        <v>226</v>
      </c>
      <c r="K401" s="193" t="s">
        <v>206</v>
      </c>
      <c r="L401" s="194" t="s">
        <v>144</v>
      </c>
      <c r="M401" s="199"/>
      <c r="N401" s="193" t="s">
        <v>207</v>
      </c>
      <c r="O401" s="193" t="s">
        <v>206</v>
      </c>
      <c r="P401" s="193" t="s">
        <v>206</v>
      </c>
      <c r="Q401" s="207"/>
      <c r="R401" s="208" t="s">
        <v>219</v>
      </c>
      <c r="S401" s="193" t="s">
        <v>44</v>
      </c>
      <c r="T401" s="193" t="s">
        <v>220</v>
      </c>
      <c r="U401" s="193" t="s">
        <v>785</v>
      </c>
      <c r="V401" s="193" t="s">
        <v>211</v>
      </c>
      <c r="W401" s="193" t="s">
        <v>212</v>
      </c>
      <c r="X401" s="193" t="s">
        <v>223</v>
      </c>
      <c r="Y401" s="200">
        <v>3.0</v>
      </c>
      <c r="Z401" s="202" t="s">
        <v>214</v>
      </c>
      <c r="AA401" s="202" t="s">
        <v>215</v>
      </c>
      <c r="AB401" s="203">
        <v>2572500.0</v>
      </c>
      <c r="AC401" s="203">
        <v>2572500.0</v>
      </c>
      <c r="AD401" s="204">
        <v>46229.0</v>
      </c>
      <c r="AE401" s="204">
        <v>46291.0</v>
      </c>
      <c r="AF401" s="226" t="s">
        <v>633</v>
      </c>
      <c r="AG401" s="219"/>
      <c r="AH401" s="219"/>
      <c r="AI401" s="219"/>
      <c r="AJ401" s="219"/>
      <c r="AK401" s="219"/>
      <c r="AL401" s="219"/>
      <c r="AM401" s="219"/>
      <c r="AN401" s="219"/>
      <c r="AO401" s="219"/>
    </row>
    <row r="402">
      <c r="A402" s="193">
        <v>16500.0</v>
      </c>
      <c r="B402" s="194" t="s">
        <v>203</v>
      </c>
      <c r="C402" s="193">
        <v>2026.0</v>
      </c>
      <c r="D402" s="195">
        <v>2048.0</v>
      </c>
      <c r="E402" s="199"/>
      <c r="F402" s="193" t="s">
        <v>204</v>
      </c>
      <c r="G402" s="230">
        <v>46213.0</v>
      </c>
      <c r="H402" s="193">
        <v>579.0</v>
      </c>
      <c r="I402" s="215">
        <v>46213.0</v>
      </c>
      <c r="J402" s="193" t="s">
        <v>349</v>
      </c>
      <c r="K402" s="193" t="s">
        <v>206</v>
      </c>
      <c r="L402" s="194" t="s">
        <v>144</v>
      </c>
      <c r="M402" s="199"/>
      <c r="N402" s="193" t="s">
        <v>207</v>
      </c>
      <c r="O402" s="193" t="s">
        <v>206</v>
      </c>
      <c r="P402" s="193" t="s">
        <v>206</v>
      </c>
      <c r="Q402" s="207"/>
      <c r="R402" s="208" t="s">
        <v>208</v>
      </c>
      <c r="S402" s="193" t="s">
        <v>39</v>
      </c>
      <c r="T402" s="193" t="s">
        <v>209</v>
      </c>
      <c r="U402" s="193" t="s">
        <v>727</v>
      </c>
      <c r="V402" s="193" t="s">
        <v>211</v>
      </c>
      <c r="W402" s="193" t="s">
        <v>212</v>
      </c>
      <c r="X402" s="193" t="s">
        <v>223</v>
      </c>
      <c r="Y402" s="200">
        <v>3.0</v>
      </c>
      <c r="Z402" s="202" t="s">
        <v>214</v>
      </c>
      <c r="AA402" s="202" t="s">
        <v>215</v>
      </c>
      <c r="AB402" s="203">
        <v>4072680.0</v>
      </c>
      <c r="AC402" s="203">
        <v>4072680.0</v>
      </c>
      <c r="AD402" s="204">
        <v>46229.0</v>
      </c>
      <c r="AE402" s="204">
        <v>46291.0</v>
      </c>
      <c r="AF402" s="226" t="s">
        <v>633</v>
      </c>
      <c r="AG402" s="219"/>
      <c r="AH402" s="219"/>
      <c r="AI402" s="219"/>
      <c r="AJ402" s="219"/>
      <c r="AK402" s="219"/>
      <c r="AL402" s="219"/>
      <c r="AM402" s="219"/>
      <c r="AN402" s="219"/>
      <c r="AO402" s="219"/>
    </row>
    <row r="403">
      <c r="A403" s="193">
        <v>16520.0</v>
      </c>
      <c r="B403" s="194" t="s">
        <v>203</v>
      </c>
      <c r="C403" s="193">
        <v>2026.0</v>
      </c>
      <c r="D403" s="193" t="s">
        <v>636</v>
      </c>
      <c r="E403" s="196"/>
      <c r="F403" s="193" t="s">
        <v>204</v>
      </c>
      <c r="G403" s="217">
        <v>46154.0</v>
      </c>
      <c r="H403" s="193">
        <v>344.0</v>
      </c>
      <c r="I403" s="217">
        <v>46154.0</v>
      </c>
      <c r="J403" s="193" t="s">
        <v>728</v>
      </c>
      <c r="K403" s="193" t="s">
        <v>206</v>
      </c>
      <c r="L403" s="194" t="s">
        <v>144</v>
      </c>
      <c r="M403" s="199"/>
      <c r="N403" s="193" t="s">
        <v>207</v>
      </c>
      <c r="O403" s="193" t="s">
        <v>206</v>
      </c>
      <c r="P403" s="193" t="s">
        <v>206</v>
      </c>
      <c r="Q403" s="207"/>
      <c r="R403" s="208" t="s">
        <v>219</v>
      </c>
      <c r="S403" s="193" t="s">
        <v>43</v>
      </c>
      <c r="T403" s="193" t="s">
        <v>299</v>
      </c>
      <c r="U403" s="193" t="s">
        <v>786</v>
      </c>
      <c r="V403" s="193" t="s">
        <v>296</v>
      </c>
      <c r="W403" s="193" t="s">
        <v>212</v>
      </c>
      <c r="X403" s="193" t="s">
        <v>223</v>
      </c>
      <c r="Y403" s="200">
        <v>3.0</v>
      </c>
      <c r="Z403" s="202" t="s">
        <v>214</v>
      </c>
      <c r="AA403" s="202" t="s">
        <v>215</v>
      </c>
      <c r="AB403" s="221"/>
      <c r="AC403" s="203">
        <v>619070.0</v>
      </c>
      <c r="AD403" s="204">
        <v>46168.0</v>
      </c>
      <c r="AE403" s="204">
        <v>46352.0</v>
      </c>
      <c r="AF403" s="205"/>
      <c r="AG403" s="219"/>
      <c r="AH403" s="219"/>
      <c r="AI403" s="219"/>
      <c r="AJ403" s="219"/>
      <c r="AK403" s="219"/>
      <c r="AL403" s="219"/>
      <c r="AM403" s="219"/>
      <c r="AN403" s="219"/>
      <c r="AO403" s="219"/>
    </row>
    <row r="404">
      <c r="A404" s="193">
        <v>16540.0</v>
      </c>
      <c r="B404" s="194" t="s">
        <v>203</v>
      </c>
      <c r="C404" s="193">
        <v>2026.0</v>
      </c>
      <c r="D404" s="195">
        <v>2048.0</v>
      </c>
      <c r="E404" s="199"/>
      <c r="F404" s="208" t="s">
        <v>272</v>
      </c>
      <c r="G404" s="235"/>
      <c r="H404" s="199"/>
      <c r="I404" s="235"/>
      <c r="J404" s="199"/>
      <c r="K404" s="193" t="s">
        <v>206</v>
      </c>
      <c r="L404" s="194" t="s">
        <v>144</v>
      </c>
      <c r="M404" s="199"/>
      <c r="N404" s="193" t="s">
        <v>207</v>
      </c>
      <c r="O404" s="193" t="s">
        <v>206</v>
      </c>
      <c r="P404" s="193" t="s">
        <v>206</v>
      </c>
      <c r="Q404" s="207"/>
      <c r="R404" s="208" t="s">
        <v>219</v>
      </c>
      <c r="S404" s="193" t="s">
        <v>44</v>
      </c>
      <c r="T404" s="193" t="s">
        <v>220</v>
      </c>
      <c r="U404" s="193" t="s">
        <v>787</v>
      </c>
      <c r="V404" s="193" t="s">
        <v>211</v>
      </c>
      <c r="W404" s="193" t="s">
        <v>212</v>
      </c>
      <c r="X404" s="193" t="s">
        <v>213</v>
      </c>
      <c r="Y404" s="200">
        <v>3.0</v>
      </c>
      <c r="Z404" s="202" t="s">
        <v>214</v>
      </c>
      <c r="AA404" s="202" t="s">
        <v>215</v>
      </c>
      <c r="AB404" s="203" t="s">
        <v>275</v>
      </c>
      <c r="AC404" s="203" t="s">
        <v>275</v>
      </c>
      <c r="AD404" s="204">
        <v>46291.0</v>
      </c>
      <c r="AE404" s="204">
        <v>46352.0</v>
      </c>
      <c r="AF404" s="226" t="s">
        <v>788</v>
      </c>
      <c r="AG404" s="219"/>
      <c r="AH404" s="219"/>
      <c r="AI404" s="219"/>
      <c r="AJ404" s="219"/>
      <c r="AK404" s="219"/>
      <c r="AL404" s="219"/>
      <c r="AM404" s="219"/>
      <c r="AN404" s="219"/>
      <c r="AO404" s="219"/>
    </row>
    <row r="405">
      <c r="A405" s="193">
        <v>16560.0</v>
      </c>
      <c r="B405" s="194" t="s">
        <v>203</v>
      </c>
      <c r="C405" s="193">
        <v>2026.0</v>
      </c>
      <c r="D405" s="195">
        <v>2048.0</v>
      </c>
      <c r="E405" s="199"/>
      <c r="F405" s="193" t="s">
        <v>204</v>
      </c>
      <c r="G405" s="230">
        <v>46213.0</v>
      </c>
      <c r="H405" s="193">
        <v>580.0</v>
      </c>
      <c r="I405" s="245">
        <v>46213.0</v>
      </c>
      <c r="J405" s="193" t="s">
        <v>735</v>
      </c>
      <c r="K405" s="193" t="s">
        <v>206</v>
      </c>
      <c r="L405" s="194" t="s">
        <v>144</v>
      </c>
      <c r="M405" s="199"/>
      <c r="N405" s="193" t="s">
        <v>207</v>
      </c>
      <c r="O405" s="193" t="s">
        <v>206</v>
      </c>
      <c r="P405" s="193" t="s">
        <v>206</v>
      </c>
      <c r="Q405" s="199"/>
      <c r="R405" s="193" t="s">
        <v>219</v>
      </c>
      <c r="S405" s="193" t="s">
        <v>45</v>
      </c>
      <c r="T405" s="193" t="s">
        <v>494</v>
      </c>
      <c r="U405" s="193" t="s">
        <v>725</v>
      </c>
      <c r="V405" s="193" t="s">
        <v>211</v>
      </c>
      <c r="W405" s="193" t="s">
        <v>212</v>
      </c>
      <c r="X405" s="193" t="s">
        <v>223</v>
      </c>
      <c r="Y405" s="200">
        <v>3.0</v>
      </c>
      <c r="Z405" s="202" t="s">
        <v>214</v>
      </c>
      <c r="AA405" s="202" t="s">
        <v>215</v>
      </c>
      <c r="AB405" s="203">
        <v>173846.38</v>
      </c>
      <c r="AC405" s="203">
        <v>173846.38</v>
      </c>
      <c r="AD405" s="204">
        <v>46229.0</v>
      </c>
      <c r="AE405" s="204">
        <v>46291.0</v>
      </c>
      <c r="AF405" s="205"/>
      <c r="AG405" s="219"/>
      <c r="AH405" s="219"/>
      <c r="AI405" s="219"/>
      <c r="AJ405" s="219"/>
      <c r="AK405" s="219"/>
      <c r="AL405" s="219"/>
      <c r="AM405" s="219"/>
      <c r="AN405" s="219"/>
      <c r="AO405" s="219"/>
    </row>
    <row r="406">
      <c r="A406" s="193">
        <v>16561.0</v>
      </c>
      <c r="B406" s="194" t="s">
        <v>203</v>
      </c>
      <c r="C406" s="193">
        <v>2026.0</v>
      </c>
      <c r="D406" s="193" t="s">
        <v>711</v>
      </c>
      <c r="E406" s="199"/>
      <c r="F406" s="193" t="s">
        <v>204</v>
      </c>
      <c r="G406" s="198">
        <v>46210.0</v>
      </c>
      <c r="H406" s="193" t="s">
        <v>712</v>
      </c>
      <c r="I406" s="198">
        <v>46210.0</v>
      </c>
      <c r="J406" s="193" t="s">
        <v>713</v>
      </c>
      <c r="K406" s="193" t="s">
        <v>206</v>
      </c>
      <c r="L406" s="194" t="s">
        <v>144</v>
      </c>
      <c r="M406" s="199"/>
      <c r="N406" s="193" t="s">
        <v>207</v>
      </c>
      <c r="O406" s="193" t="s">
        <v>206</v>
      </c>
      <c r="P406" s="193" t="s">
        <v>206</v>
      </c>
      <c r="Q406" s="207"/>
      <c r="R406" s="208" t="s">
        <v>714</v>
      </c>
      <c r="S406" s="193" t="s">
        <v>45</v>
      </c>
      <c r="T406" s="193" t="s">
        <v>494</v>
      </c>
      <c r="U406" s="193" t="s">
        <v>725</v>
      </c>
      <c r="V406" s="193" t="s">
        <v>211</v>
      </c>
      <c r="W406" s="193" t="s">
        <v>212</v>
      </c>
      <c r="X406" s="193" t="s">
        <v>223</v>
      </c>
      <c r="Y406" s="200">
        <v>3.0</v>
      </c>
      <c r="Z406" s="202" t="s">
        <v>214</v>
      </c>
      <c r="AA406" s="202" t="s">
        <v>215</v>
      </c>
      <c r="AB406" s="203">
        <v>1530656.62</v>
      </c>
      <c r="AC406" s="203">
        <v>1530656.62</v>
      </c>
      <c r="AD406" s="204">
        <v>46229.0</v>
      </c>
      <c r="AE406" s="204">
        <v>46291.0</v>
      </c>
      <c r="AF406" s="205"/>
      <c r="AG406" s="219"/>
      <c r="AH406" s="219"/>
      <c r="AI406" s="219"/>
      <c r="AJ406" s="219"/>
      <c r="AK406" s="219"/>
      <c r="AL406" s="219"/>
      <c r="AM406" s="219"/>
      <c r="AN406" s="219"/>
      <c r="AO406" s="219"/>
    </row>
    <row r="407">
      <c r="A407" s="193">
        <v>16580.0</v>
      </c>
      <c r="B407" s="194" t="s">
        <v>203</v>
      </c>
      <c r="C407" s="193">
        <v>2026.0</v>
      </c>
      <c r="D407" s="195">
        <v>2048.0</v>
      </c>
      <c r="E407" s="199"/>
      <c r="F407" s="193" t="s">
        <v>204</v>
      </c>
      <c r="G407" s="230">
        <v>46258.0</v>
      </c>
      <c r="H407" s="252">
        <v>12823.0</v>
      </c>
      <c r="I407" s="223">
        <v>46258.0</v>
      </c>
      <c r="J407" s="193" t="s">
        <v>243</v>
      </c>
      <c r="K407" s="193" t="s">
        <v>206</v>
      </c>
      <c r="L407" s="194" t="s">
        <v>144</v>
      </c>
      <c r="M407" s="199"/>
      <c r="N407" s="193" t="s">
        <v>227</v>
      </c>
      <c r="O407" s="193" t="s">
        <v>206</v>
      </c>
      <c r="P407" s="193" t="s">
        <v>244</v>
      </c>
      <c r="Q407" s="207"/>
      <c r="R407" s="208" t="s">
        <v>228</v>
      </c>
      <c r="S407" s="193" t="s">
        <v>46</v>
      </c>
      <c r="T407" s="193" t="s">
        <v>583</v>
      </c>
      <c r="U407" s="193" t="s">
        <v>789</v>
      </c>
      <c r="V407" s="193" t="s">
        <v>155</v>
      </c>
      <c r="W407" s="193" t="s">
        <v>203</v>
      </c>
      <c r="X407" s="193" t="s">
        <v>252</v>
      </c>
      <c r="Y407" s="200">
        <v>3.0</v>
      </c>
      <c r="Z407" s="202" t="s">
        <v>214</v>
      </c>
      <c r="AA407" s="202" t="s">
        <v>234</v>
      </c>
      <c r="AB407" s="203">
        <v>932093.13</v>
      </c>
      <c r="AC407" s="203">
        <v>4800000.0</v>
      </c>
      <c r="AD407" s="204">
        <v>46291.0</v>
      </c>
      <c r="AE407" s="204">
        <v>46352.0</v>
      </c>
      <c r="AF407" s="205"/>
      <c r="AG407" s="219"/>
      <c r="AH407" s="219"/>
      <c r="AI407" s="219"/>
      <c r="AJ407" s="219"/>
      <c r="AK407" s="219"/>
      <c r="AL407" s="219"/>
      <c r="AM407" s="219"/>
      <c r="AN407" s="219"/>
      <c r="AO407" s="219"/>
    </row>
    <row r="408">
      <c r="A408" s="193">
        <v>16600.0</v>
      </c>
      <c r="B408" s="194" t="s">
        <v>203</v>
      </c>
      <c r="C408" s="193">
        <v>2026.0</v>
      </c>
      <c r="D408" s="195">
        <v>2048.0</v>
      </c>
      <c r="E408" s="193">
        <v>66.0</v>
      </c>
      <c r="F408" s="193" t="s">
        <v>272</v>
      </c>
      <c r="G408" s="248"/>
      <c r="H408" s="199"/>
      <c r="I408" s="220"/>
      <c r="J408" s="199"/>
      <c r="K408" s="193" t="s">
        <v>206</v>
      </c>
      <c r="L408" s="194" t="s">
        <v>144</v>
      </c>
      <c r="M408" s="199"/>
      <c r="N408" s="193" t="s">
        <v>227</v>
      </c>
      <c r="O408" s="193" t="s">
        <v>206</v>
      </c>
      <c r="P408" s="193" t="s">
        <v>244</v>
      </c>
      <c r="Q408" s="207"/>
      <c r="R408" s="208" t="s">
        <v>228</v>
      </c>
      <c r="S408" s="193" t="s">
        <v>46</v>
      </c>
      <c r="T408" s="193" t="s">
        <v>419</v>
      </c>
      <c r="U408" s="193" t="s">
        <v>790</v>
      </c>
      <c r="V408" s="193" t="s">
        <v>155</v>
      </c>
      <c r="W408" s="193" t="s">
        <v>203</v>
      </c>
      <c r="X408" s="193" t="s">
        <v>232</v>
      </c>
      <c r="Y408" s="200">
        <v>3.0</v>
      </c>
      <c r="Z408" s="202" t="s">
        <v>214</v>
      </c>
      <c r="AA408" s="202" t="s">
        <v>234</v>
      </c>
      <c r="AB408" s="221"/>
      <c r="AC408" s="203" t="s">
        <v>275</v>
      </c>
      <c r="AD408" s="204">
        <v>46291.0</v>
      </c>
      <c r="AE408" s="204">
        <v>46321.0</v>
      </c>
      <c r="AF408" s="226" t="s">
        <v>739</v>
      </c>
      <c r="AG408" s="219"/>
      <c r="AH408" s="219"/>
      <c r="AI408" s="219"/>
      <c r="AJ408" s="219"/>
      <c r="AK408" s="219"/>
      <c r="AL408" s="219"/>
      <c r="AM408" s="219"/>
      <c r="AN408" s="219"/>
      <c r="AO408" s="219"/>
    </row>
    <row r="409">
      <c r="A409" s="193">
        <v>16620.0</v>
      </c>
      <c r="B409" s="194" t="s">
        <v>203</v>
      </c>
      <c r="C409" s="193">
        <v>2026.0</v>
      </c>
      <c r="D409" s="195">
        <v>2048.0</v>
      </c>
      <c r="E409" s="199"/>
      <c r="F409" s="193" t="s">
        <v>204</v>
      </c>
      <c r="G409" s="230">
        <v>46192.0</v>
      </c>
      <c r="H409" s="193">
        <v>467.0</v>
      </c>
      <c r="I409" s="223">
        <v>46192.0</v>
      </c>
      <c r="J409" s="193" t="s">
        <v>243</v>
      </c>
      <c r="K409" s="193" t="s">
        <v>206</v>
      </c>
      <c r="L409" s="194" t="s">
        <v>144</v>
      </c>
      <c r="M409" s="199"/>
      <c r="N409" s="193" t="s">
        <v>227</v>
      </c>
      <c r="O409" s="193" t="s">
        <v>206</v>
      </c>
      <c r="P409" s="193" t="s">
        <v>244</v>
      </c>
      <c r="Q409" s="199"/>
      <c r="R409" s="193" t="s">
        <v>228</v>
      </c>
      <c r="S409" s="193" t="s">
        <v>46</v>
      </c>
      <c r="T409" s="193" t="s">
        <v>419</v>
      </c>
      <c r="U409" s="193" t="s">
        <v>791</v>
      </c>
      <c r="V409" s="193" t="s">
        <v>155</v>
      </c>
      <c r="W409" s="193" t="s">
        <v>203</v>
      </c>
      <c r="X409" s="193" t="s">
        <v>232</v>
      </c>
      <c r="Y409" s="200">
        <v>3.0</v>
      </c>
      <c r="Z409" s="202" t="s">
        <v>214</v>
      </c>
      <c r="AA409" s="202" t="s">
        <v>234</v>
      </c>
      <c r="AB409" s="221"/>
      <c r="AC409" s="203">
        <v>250000.0</v>
      </c>
      <c r="AD409" s="204">
        <v>46199.0</v>
      </c>
      <c r="AE409" s="204">
        <v>46260.0</v>
      </c>
      <c r="AF409" s="205"/>
      <c r="AG409" s="219"/>
      <c r="AH409" s="219"/>
      <c r="AI409" s="219"/>
      <c r="AJ409" s="219"/>
      <c r="AK409" s="219"/>
      <c r="AL409" s="219"/>
      <c r="AM409" s="219"/>
      <c r="AN409" s="219"/>
      <c r="AO409" s="219"/>
    </row>
    <row r="410">
      <c r="A410" s="193">
        <v>16640.0</v>
      </c>
      <c r="B410" s="232" t="s">
        <v>264</v>
      </c>
      <c r="C410" s="193">
        <v>2026.0</v>
      </c>
      <c r="D410" s="199"/>
      <c r="E410" s="199"/>
      <c r="F410" s="193" t="s">
        <v>272</v>
      </c>
      <c r="G410" s="248"/>
      <c r="H410" s="199"/>
      <c r="I410" s="235"/>
      <c r="J410" s="199"/>
      <c r="K410" s="193" t="s">
        <v>206</v>
      </c>
      <c r="L410" s="232" t="s">
        <v>146</v>
      </c>
      <c r="M410" s="199"/>
      <c r="N410" s="193" t="s">
        <v>207</v>
      </c>
      <c r="O410" s="193" t="s">
        <v>206</v>
      </c>
      <c r="P410" s="193" t="s">
        <v>244</v>
      </c>
      <c r="Q410" s="199"/>
      <c r="R410" s="193" t="s">
        <v>219</v>
      </c>
      <c r="S410" s="193" t="s">
        <v>43</v>
      </c>
      <c r="T410" s="193" t="s">
        <v>512</v>
      </c>
      <c r="U410" s="193" t="s">
        <v>792</v>
      </c>
      <c r="V410" s="193" t="s">
        <v>155</v>
      </c>
      <c r="W410" s="193" t="s">
        <v>203</v>
      </c>
      <c r="X410" s="193" t="s">
        <v>252</v>
      </c>
      <c r="Y410" s="200">
        <v>3.0</v>
      </c>
      <c r="Z410" s="202" t="s">
        <v>214</v>
      </c>
      <c r="AA410" s="202" t="s">
        <v>215</v>
      </c>
      <c r="AB410" s="203" t="s">
        <v>275</v>
      </c>
      <c r="AC410" s="203" t="s">
        <v>275</v>
      </c>
      <c r="AD410" s="276">
        <v>46291.0</v>
      </c>
      <c r="AE410" s="204">
        <v>46352.0</v>
      </c>
      <c r="AF410" s="226" t="s">
        <v>793</v>
      </c>
      <c r="AG410" s="219"/>
      <c r="AH410" s="219"/>
      <c r="AI410" s="219"/>
      <c r="AJ410" s="219"/>
      <c r="AK410" s="219"/>
      <c r="AL410" s="219"/>
      <c r="AM410" s="219"/>
      <c r="AN410" s="219"/>
      <c r="AO410" s="219"/>
    </row>
    <row r="411">
      <c r="A411" s="193">
        <v>16660.0</v>
      </c>
      <c r="B411" s="194" t="s">
        <v>203</v>
      </c>
      <c r="C411" s="193">
        <v>2026.0</v>
      </c>
      <c r="D411" s="195">
        <v>2048.0</v>
      </c>
      <c r="E411" s="199"/>
      <c r="F411" s="193" t="s">
        <v>204</v>
      </c>
      <c r="G411" s="198">
        <v>46099.0</v>
      </c>
      <c r="H411" s="193">
        <v>188.0</v>
      </c>
      <c r="I411" s="198">
        <v>46099.0</v>
      </c>
      <c r="J411" s="193" t="s">
        <v>515</v>
      </c>
      <c r="K411" s="193" t="s">
        <v>206</v>
      </c>
      <c r="L411" s="194" t="s">
        <v>144</v>
      </c>
      <c r="M411" s="199"/>
      <c r="N411" s="193" t="s">
        <v>207</v>
      </c>
      <c r="O411" s="193" t="s">
        <v>206</v>
      </c>
      <c r="P411" s="193" t="s">
        <v>244</v>
      </c>
      <c r="Q411" s="199"/>
      <c r="R411" s="193" t="s">
        <v>219</v>
      </c>
      <c r="S411" s="193" t="s">
        <v>43</v>
      </c>
      <c r="T411" s="193" t="s">
        <v>377</v>
      </c>
      <c r="U411" s="193" t="s">
        <v>794</v>
      </c>
      <c r="V411" s="193" t="s">
        <v>155</v>
      </c>
      <c r="W411" s="193" t="s">
        <v>203</v>
      </c>
      <c r="X411" s="193" t="s">
        <v>252</v>
      </c>
      <c r="Y411" s="200">
        <v>3.0</v>
      </c>
      <c r="Z411" s="202" t="s">
        <v>233</v>
      </c>
      <c r="AA411" s="202" t="s">
        <v>215</v>
      </c>
      <c r="AB411" s="203">
        <v>1000000.0</v>
      </c>
      <c r="AC411" s="203">
        <v>1000000.0</v>
      </c>
      <c r="AD411" s="204">
        <v>46107.0</v>
      </c>
      <c r="AE411" s="204">
        <v>46260.0</v>
      </c>
      <c r="AF411" s="205"/>
      <c r="AG411" s="219"/>
      <c r="AH411" s="219"/>
      <c r="AI411" s="219"/>
      <c r="AJ411" s="219"/>
      <c r="AK411" s="219"/>
      <c r="AL411" s="219"/>
      <c r="AM411" s="219"/>
      <c r="AN411" s="219"/>
      <c r="AO411" s="219"/>
    </row>
    <row r="412">
      <c r="A412" s="193">
        <v>16680.0</v>
      </c>
      <c r="B412" s="232" t="s">
        <v>264</v>
      </c>
      <c r="C412" s="193">
        <v>2026.0</v>
      </c>
      <c r="D412" s="199"/>
      <c r="E412" s="199"/>
      <c r="F412" s="199"/>
      <c r="G412" s="248"/>
      <c r="H412" s="199"/>
      <c r="I412" s="235"/>
      <c r="J412" s="199"/>
      <c r="K412" s="193" t="s">
        <v>206</v>
      </c>
      <c r="L412" s="232" t="s">
        <v>146</v>
      </c>
      <c r="M412" s="199"/>
      <c r="N412" s="193" t="s">
        <v>475</v>
      </c>
      <c r="O412" s="193" t="s">
        <v>206</v>
      </c>
      <c r="P412" s="193" t="s">
        <v>206</v>
      </c>
      <c r="Q412" s="199"/>
      <c r="R412" s="193" t="s">
        <v>279</v>
      </c>
      <c r="S412" s="193" t="s">
        <v>50</v>
      </c>
      <c r="T412" s="193" t="s">
        <v>536</v>
      </c>
      <c r="U412" s="193" t="s">
        <v>605</v>
      </c>
      <c r="V412" s="193" t="s">
        <v>50</v>
      </c>
      <c r="W412" s="193" t="s">
        <v>264</v>
      </c>
      <c r="X412" s="193" t="s">
        <v>232</v>
      </c>
      <c r="Y412" s="200">
        <v>3.0</v>
      </c>
      <c r="Z412" s="202" t="s">
        <v>233</v>
      </c>
      <c r="AA412" s="202" t="s">
        <v>215</v>
      </c>
      <c r="AB412" s="203">
        <v>54000.0</v>
      </c>
      <c r="AC412" s="203">
        <v>54000.0</v>
      </c>
      <c r="AD412" s="204">
        <v>46260.0</v>
      </c>
      <c r="AE412" s="204">
        <v>46321.0</v>
      </c>
      <c r="AF412" s="205"/>
      <c r="AG412" s="219"/>
      <c r="AH412" s="219"/>
      <c r="AI412" s="219"/>
      <c r="AJ412" s="219"/>
      <c r="AK412" s="219"/>
      <c r="AL412" s="219"/>
      <c r="AM412" s="219"/>
      <c r="AN412" s="219"/>
      <c r="AO412" s="219"/>
    </row>
    <row r="413">
      <c r="A413" s="193">
        <v>16700.0</v>
      </c>
      <c r="B413" s="194" t="s">
        <v>203</v>
      </c>
      <c r="C413" s="193">
        <v>2026.0</v>
      </c>
      <c r="D413" s="195">
        <v>2048.0</v>
      </c>
      <c r="E413" s="193">
        <v>132.0</v>
      </c>
      <c r="F413" s="199"/>
      <c r="G413" s="248"/>
      <c r="H413" s="199"/>
      <c r="I413" s="220"/>
      <c r="J413" s="199"/>
      <c r="K413" s="193" t="s">
        <v>206</v>
      </c>
      <c r="L413" s="194" t="s">
        <v>144</v>
      </c>
      <c r="M413" s="199"/>
      <c r="N413" s="193" t="s">
        <v>207</v>
      </c>
      <c r="O413" s="193" t="s">
        <v>206</v>
      </c>
      <c r="P413" s="193" t="s">
        <v>244</v>
      </c>
      <c r="Q413" s="199"/>
      <c r="R413" s="193" t="s">
        <v>219</v>
      </c>
      <c r="S413" s="193" t="s">
        <v>45</v>
      </c>
      <c r="T413" s="193" t="s">
        <v>540</v>
      </c>
      <c r="U413" s="193" t="s">
        <v>795</v>
      </c>
      <c r="V413" s="193" t="s">
        <v>155</v>
      </c>
      <c r="W413" s="193" t="s">
        <v>203</v>
      </c>
      <c r="X413" s="193" t="s">
        <v>252</v>
      </c>
      <c r="Y413" s="200">
        <v>3.0</v>
      </c>
      <c r="Z413" s="202" t="s">
        <v>233</v>
      </c>
      <c r="AA413" s="202" t="s">
        <v>215</v>
      </c>
      <c r="AB413" s="203">
        <v>1000000.0</v>
      </c>
      <c r="AC413" s="203">
        <v>1000000.0</v>
      </c>
      <c r="AD413" s="249">
        <v>46321.0</v>
      </c>
      <c r="AE413" s="204">
        <v>46321.0</v>
      </c>
      <c r="AF413" s="205"/>
      <c r="AG413" s="219"/>
      <c r="AH413" s="219"/>
      <c r="AI413" s="219"/>
      <c r="AJ413" s="219"/>
      <c r="AK413" s="219"/>
      <c r="AL413" s="219"/>
      <c r="AM413" s="219"/>
      <c r="AN413" s="219"/>
      <c r="AO413" s="219"/>
    </row>
    <row r="414">
      <c r="A414" s="193">
        <v>16720.0</v>
      </c>
      <c r="B414" s="232" t="s">
        <v>264</v>
      </c>
      <c r="C414" s="193">
        <v>2026.0</v>
      </c>
      <c r="D414" s="199"/>
      <c r="E414" s="199"/>
      <c r="F414" s="199"/>
      <c r="G414" s="248"/>
      <c r="H414" s="199"/>
      <c r="I414" s="220"/>
      <c r="J414" s="199"/>
      <c r="K414" s="193" t="s">
        <v>206</v>
      </c>
      <c r="L414" s="232" t="s">
        <v>146</v>
      </c>
      <c r="M414" s="199"/>
      <c r="N414" s="193" t="s">
        <v>207</v>
      </c>
      <c r="O414" s="193" t="s">
        <v>206</v>
      </c>
      <c r="P414" s="193" t="s">
        <v>206</v>
      </c>
      <c r="Q414" s="199"/>
      <c r="R414" s="193" t="s">
        <v>279</v>
      </c>
      <c r="S414" s="193" t="s">
        <v>50</v>
      </c>
      <c r="T414" s="193" t="s">
        <v>565</v>
      </c>
      <c r="U414" s="193" t="s">
        <v>796</v>
      </c>
      <c r="V414" s="193" t="s">
        <v>50</v>
      </c>
      <c r="W414" s="193" t="s">
        <v>264</v>
      </c>
      <c r="X414" s="193" t="s">
        <v>252</v>
      </c>
      <c r="Y414" s="200">
        <v>3.0</v>
      </c>
      <c r="Z414" s="202" t="s">
        <v>214</v>
      </c>
      <c r="AA414" s="202" t="s">
        <v>215</v>
      </c>
      <c r="AB414" s="203">
        <v>648000.0</v>
      </c>
      <c r="AC414" s="203">
        <v>648000.0</v>
      </c>
      <c r="AD414" s="276">
        <v>46260.0</v>
      </c>
      <c r="AE414" s="204">
        <v>46321.0</v>
      </c>
      <c r="AF414" s="205"/>
      <c r="AG414" s="219"/>
      <c r="AH414" s="219"/>
      <c r="AI414" s="219"/>
      <c r="AJ414" s="219"/>
      <c r="AK414" s="219"/>
      <c r="AL414" s="219"/>
      <c r="AM414" s="219"/>
      <c r="AN414" s="219"/>
      <c r="AO414" s="219"/>
    </row>
    <row r="415">
      <c r="A415" s="193">
        <v>16740.0</v>
      </c>
      <c r="B415" s="194" t="s">
        <v>203</v>
      </c>
      <c r="C415" s="193">
        <v>2026.0</v>
      </c>
      <c r="D415" s="229" t="s">
        <v>258</v>
      </c>
      <c r="E415" s="199"/>
      <c r="F415" s="208" t="s">
        <v>204</v>
      </c>
      <c r="G415" s="230">
        <v>46204.0</v>
      </c>
      <c r="H415" s="252">
        <v>49.0</v>
      </c>
      <c r="I415" s="354">
        <v>46204.0</v>
      </c>
      <c r="J415" s="193" t="s">
        <v>495</v>
      </c>
      <c r="K415" s="193" t="s">
        <v>206</v>
      </c>
      <c r="L415" s="194" t="s">
        <v>144</v>
      </c>
      <c r="M415" s="199"/>
      <c r="N415" s="193" t="s">
        <v>207</v>
      </c>
      <c r="O415" s="193" t="s">
        <v>206</v>
      </c>
      <c r="P415" s="193" t="s">
        <v>206</v>
      </c>
      <c r="Q415" s="199"/>
      <c r="R415" s="193" t="s">
        <v>269</v>
      </c>
      <c r="S415" s="193" t="s">
        <v>49</v>
      </c>
      <c r="T415" s="193" t="s">
        <v>356</v>
      </c>
      <c r="U415" s="193" t="s">
        <v>710</v>
      </c>
      <c r="V415" s="193" t="s">
        <v>211</v>
      </c>
      <c r="W415" s="193" t="s">
        <v>212</v>
      </c>
      <c r="X415" s="193" t="s">
        <v>252</v>
      </c>
      <c r="Y415" s="200">
        <v>3.0</v>
      </c>
      <c r="Z415" s="202" t="s">
        <v>214</v>
      </c>
      <c r="AA415" s="202" t="s">
        <v>215</v>
      </c>
      <c r="AB415" s="203">
        <v>471588.9</v>
      </c>
      <c r="AC415" s="203">
        <v>471588.9</v>
      </c>
      <c r="AD415" s="204">
        <v>46229.0</v>
      </c>
      <c r="AE415" s="204">
        <v>46260.0</v>
      </c>
      <c r="AF415" s="226" t="s">
        <v>797</v>
      </c>
      <c r="AG415" s="219"/>
      <c r="AH415" s="219"/>
      <c r="AI415" s="219"/>
      <c r="AJ415" s="219"/>
      <c r="AK415" s="219"/>
      <c r="AL415" s="219"/>
      <c r="AM415" s="219"/>
      <c r="AN415" s="219"/>
      <c r="AO415" s="219"/>
    </row>
    <row r="416">
      <c r="A416" s="193">
        <v>16741.0</v>
      </c>
      <c r="B416" s="194" t="s">
        <v>203</v>
      </c>
      <c r="C416" s="193">
        <v>2026.0</v>
      </c>
      <c r="D416" s="229" t="s">
        <v>258</v>
      </c>
      <c r="E416" s="199"/>
      <c r="F416" s="193" t="s">
        <v>204</v>
      </c>
      <c r="G416" s="215">
        <v>46204.0</v>
      </c>
      <c r="H416" s="252">
        <v>49.0</v>
      </c>
      <c r="I416" s="297">
        <v>46204.0</v>
      </c>
      <c r="J416" s="193" t="s">
        <v>495</v>
      </c>
      <c r="K416" s="193" t="s">
        <v>206</v>
      </c>
      <c r="L416" s="194" t="s">
        <v>144</v>
      </c>
      <c r="M416" s="199"/>
      <c r="N416" s="193" t="s">
        <v>207</v>
      </c>
      <c r="O416" s="193" t="s">
        <v>206</v>
      </c>
      <c r="P416" s="193" t="s">
        <v>206</v>
      </c>
      <c r="Q416" s="199"/>
      <c r="R416" s="193" t="s">
        <v>269</v>
      </c>
      <c r="S416" s="193" t="s">
        <v>49</v>
      </c>
      <c r="T416" s="193" t="s">
        <v>356</v>
      </c>
      <c r="U416" s="193" t="s">
        <v>710</v>
      </c>
      <c r="V416" s="193" t="s">
        <v>211</v>
      </c>
      <c r="W416" s="193" t="s">
        <v>212</v>
      </c>
      <c r="X416" s="193" t="s">
        <v>252</v>
      </c>
      <c r="Y416" s="200">
        <v>3.0</v>
      </c>
      <c r="Z416" s="202" t="s">
        <v>214</v>
      </c>
      <c r="AA416" s="202" t="s">
        <v>215</v>
      </c>
      <c r="AB416" s="203">
        <v>600000.0</v>
      </c>
      <c r="AC416" s="203">
        <v>600000.0</v>
      </c>
      <c r="AD416" s="204">
        <v>46229.0</v>
      </c>
      <c r="AE416" s="204">
        <v>46260.0</v>
      </c>
      <c r="AF416" s="226" t="s">
        <v>798</v>
      </c>
      <c r="AG416" s="219"/>
      <c r="AH416" s="219"/>
      <c r="AI416" s="219"/>
      <c r="AJ416" s="219"/>
      <c r="AK416" s="219"/>
      <c r="AL416" s="219"/>
      <c r="AM416" s="219"/>
      <c r="AN416" s="219"/>
      <c r="AO416" s="219"/>
    </row>
    <row r="417">
      <c r="A417" s="193">
        <v>16760.0</v>
      </c>
      <c r="B417" s="194" t="s">
        <v>203</v>
      </c>
      <c r="C417" s="193">
        <v>2026.0</v>
      </c>
      <c r="D417" s="195">
        <v>2048.0</v>
      </c>
      <c r="E417" s="193">
        <v>4.0</v>
      </c>
      <c r="F417" s="193" t="s">
        <v>293</v>
      </c>
      <c r="G417" s="248"/>
      <c r="H417" s="199"/>
      <c r="I417" s="235"/>
      <c r="J417" s="199"/>
      <c r="K417" s="243" t="s">
        <v>206</v>
      </c>
      <c r="L417" s="194" t="s">
        <v>144</v>
      </c>
      <c r="M417" s="199"/>
      <c r="N417" s="193" t="s">
        <v>207</v>
      </c>
      <c r="O417" s="193" t="s">
        <v>206</v>
      </c>
      <c r="P417" s="193" t="s">
        <v>206</v>
      </c>
      <c r="Q417" s="199"/>
      <c r="R417" s="193" t="s">
        <v>208</v>
      </c>
      <c r="S417" s="193" t="s">
        <v>39</v>
      </c>
      <c r="T417" s="193" t="s">
        <v>209</v>
      </c>
      <c r="U417" s="193" t="s">
        <v>787</v>
      </c>
      <c r="V417" s="193" t="s">
        <v>211</v>
      </c>
      <c r="W417" s="193" t="s">
        <v>212</v>
      </c>
      <c r="X417" s="193" t="s">
        <v>213</v>
      </c>
      <c r="Y417" s="200">
        <v>3.0</v>
      </c>
      <c r="Z417" s="202" t="s">
        <v>214</v>
      </c>
      <c r="AA417" s="202" t="s">
        <v>215</v>
      </c>
      <c r="AB417" s="203">
        <v>2310000.0</v>
      </c>
      <c r="AC417" s="203">
        <v>2310000.0</v>
      </c>
      <c r="AD417" s="204">
        <v>46291.0</v>
      </c>
      <c r="AE417" s="204">
        <v>46352.0</v>
      </c>
      <c r="AF417" s="205"/>
      <c r="AG417" s="219"/>
      <c r="AH417" s="219"/>
      <c r="AI417" s="219"/>
      <c r="AJ417" s="219"/>
      <c r="AK417" s="219"/>
      <c r="AL417" s="219"/>
      <c r="AM417" s="219"/>
      <c r="AN417" s="219"/>
      <c r="AO417" s="219"/>
    </row>
    <row r="418">
      <c r="A418" s="193">
        <v>16780.0</v>
      </c>
      <c r="B418" s="194" t="s">
        <v>203</v>
      </c>
      <c r="C418" s="193">
        <v>2026.0</v>
      </c>
      <c r="D418" s="195">
        <v>2048.0</v>
      </c>
      <c r="E418" s="199"/>
      <c r="F418" s="193" t="s">
        <v>272</v>
      </c>
      <c r="G418" s="248"/>
      <c r="H418" s="199"/>
      <c r="I418" s="253"/>
      <c r="J418" s="199"/>
      <c r="K418" s="193" t="s">
        <v>206</v>
      </c>
      <c r="L418" s="194" t="s">
        <v>144</v>
      </c>
      <c r="M418" s="199"/>
      <c r="N418" s="193" t="s">
        <v>207</v>
      </c>
      <c r="O418" s="193" t="s">
        <v>206</v>
      </c>
      <c r="P418" s="193" t="s">
        <v>206</v>
      </c>
      <c r="Q418" s="199"/>
      <c r="R418" s="193" t="s">
        <v>219</v>
      </c>
      <c r="S418" s="193" t="s">
        <v>44</v>
      </c>
      <c r="T418" s="193" t="s">
        <v>220</v>
      </c>
      <c r="U418" s="193" t="s">
        <v>799</v>
      </c>
      <c r="V418" s="193" t="s">
        <v>211</v>
      </c>
      <c r="W418" s="193" t="s">
        <v>212</v>
      </c>
      <c r="X418" s="193" t="s">
        <v>213</v>
      </c>
      <c r="Y418" s="200">
        <v>3.0</v>
      </c>
      <c r="Z418" s="202" t="s">
        <v>214</v>
      </c>
      <c r="AA418" s="202" t="s">
        <v>215</v>
      </c>
      <c r="AB418" s="203" t="s">
        <v>275</v>
      </c>
      <c r="AC418" s="203" t="s">
        <v>275</v>
      </c>
      <c r="AD418" s="204">
        <v>46321.0</v>
      </c>
      <c r="AE418" s="204">
        <v>46382.0</v>
      </c>
      <c r="AF418" s="226" t="s">
        <v>800</v>
      </c>
      <c r="AG418" s="219"/>
      <c r="AH418" s="219"/>
      <c r="AI418" s="219"/>
      <c r="AJ418" s="219"/>
      <c r="AK418" s="219"/>
      <c r="AL418" s="219"/>
      <c r="AM418" s="219"/>
      <c r="AN418" s="219"/>
      <c r="AO418" s="219"/>
    </row>
    <row r="419">
      <c r="A419" s="193">
        <v>16800.0</v>
      </c>
      <c r="B419" s="194" t="s">
        <v>203</v>
      </c>
      <c r="C419" s="193">
        <v>2026.0</v>
      </c>
      <c r="D419" s="229" t="s">
        <v>258</v>
      </c>
      <c r="E419" s="199"/>
      <c r="F419" s="193" t="s">
        <v>204</v>
      </c>
      <c r="G419" s="230">
        <v>46227.0</v>
      </c>
      <c r="H419" s="193">
        <v>626.0</v>
      </c>
      <c r="I419" s="215">
        <v>46227.0</v>
      </c>
      <c r="J419" s="193" t="s">
        <v>801</v>
      </c>
      <c r="K419" s="193" t="s">
        <v>206</v>
      </c>
      <c r="L419" s="194" t="s">
        <v>144</v>
      </c>
      <c r="M419" s="199"/>
      <c r="N419" s="193" t="s">
        <v>207</v>
      </c>
      <c r="O419" s="193" t="s">
        <v>206</v>
      </c>
      <c r="P419" s="193" t="s">
        <v>206</v>
      </c>
      <c r="Q419" s="199"/>
      <c r="R419" s="193" t="s">
        <v>208</v>
      </c>
      <c r="S419" s="193" t="s">
        <v>39</v>
      </c>
      <c r="T419" s="193" t="s">
        <v>294</v>
      </c>
      <c r="U419" s="193" t="s">
        <v>802</v>
      </c>
      <c r="V419" s="193" t="s">
        <v>296</v>
      </c>
      <c r="W419" s="193" t="s">
        <v>212</v>
      </c>
      <c r="X419" s="193" t="s">
        <v>223</v>
      </c>
      <c r="Y419" s="200">
        <v>3.0</v>
      </c>
      <c r="Z419" s="202" t="s">
        <v>214</v>
      </c>
      <c r="AA419" s="202" t="s">
        <v>215</v>
      </c>
      <c r="AB419" s="203">
        <v>1057110.0</v>
      </c>
      <c r="AC419" s="203">
        <v>1057110.0</v>
      </c>
      <c r="AD419" s="204">
        <v>46229.0</v>
      </c>
      <c r="AE419" s="204">
        <v>46321.0</v>
      </c>
      <c r="AF419" s="205"/>
      <c r="AG419" s="219"/>
      <c r="AH419" s="219"/>
      <c r="AI419" s="219"/>
      <c r="AJ419" s="219"/>
      <c r="AK419" s="219"/>
      <c r="AL419" s="219"/>
      <c r="AM419" s="219"/>
      <c r="AN419" s="219"/>
      <c r="AO419" s="219"/>
    </row>
    <row r="420">
      <c r="A420" s="193">
        <v>16820.0</v>
      </c>
      <c r="B420" s="194" t="s">
        <v>203</v>
      </c>
      <c r="C420" s="193">
        <v>2026.0</v>
      </c>
      <c r="D420" s="195">
        <v>2048.0</v>
      </c>
      <c r="E420" s="193">
        <v>25.0</v>
      </c>
      <c r="F420" s="199"/>
      <c r="G420" s="248"/>
      <c r="H420" s="199"/>
      <c r="I420" s="220"/>
      <c r="J420" s="199"/>
      <c r="K420" s="193" t="s">
        <v>206</v>
      </c>
      <c r="L420" s="194" t="s">
        <v>144</v>
      </c>
      <c r="M420" s="199"/>
      <c r="N420" s="193" t="s">
        <v>207</v>
      </c>
      <c r="O420" s="193" t="s">
        <v>206</v>
      </c>
      <c r="P420" s="193" t="s">
        <v>206</v>
      </c>
      <c r="Q420" s="207"/>
      <c r="R420" s="208" t="s">
        <v>219</v>
      </c>
      <c r="S420" s="193" t="s">
        <v>43</v>
      </c>
      <c r="T420" s="193" t="s">
        <v>299</v>
      </c>
      <c r="U420" s="193" t="s">
        <v>803</v>
      </c>
      <c r="V420" s="193" t="s">
        <v>296</v>
      </c>
      <c r="W420" s="193" t="s">
        <v>212</v>
      </c>
      <c r="X420" s="193" t="s">
        <v>223</v>
      </c>
      <c r="Y420" s="200">
        <v>3.0</v>
      </c>
      <c r="Z420" s="202" t="s">
        <v>214</v>
      </c>
      <c r="AA420" s="202" t="s">
        <v>215</v>
      </c>
      <c r="AB420" s="203">
        <v>619070.0</v>
      </c>
      <c r="AC420" s="203">
        <v>619070.0</v>
      </c>
      <c r="AD420" s="204">
        <v>46352.0</v>
      </c>
      <c r="AE420" s="204">
        <v>46049.0</v>
      </c>
      <c r="AF420" s="205"/>
      <c r="AG420" s="219"/>
      <c r="AH420" s="219"/>
      <c r="AI420" s="219"/>
      <c r="AJ420" s="219"/>
      <c r="AK420" s="219"/>
      <c r="AL420" s="219"/>
      <c r="AM420" s="219"/>
      <c r="AN420" s="219"/>
      <c r="AO420" s="219"/>
    </row>
    <row r="421">
      <c r="A421" s="193">
        <v>16821.0</v>
      </c>
      <c r="B421" s="232" t="s">
        <v>264</v>
      </c>
      <c r="C421" s="193">
        <v>2026.0</v>
      </c>
      <c r="D421" s="199"/>
      <c r="E421" s="199"/>
      <c r="F421" s="199"/>
      <c r="G421" s="248"/>
      <c r="H421" s="199"/>
      <c r="I421" s="220"/>
      <c r="J421" s="199"/>
      <c r="K421" s="193" t="s">
        <v>206</v>
      </c>
      <c r="L421" s="234" t="s">
        <v>145</v>
      </c>
      <c r="M421" s="199"/>
      <c r="N421" s="193" t="s">
        <v>207</v>
      </c>
      <c r="O421" s="193" t="s">
        <v>206</v>
      </c>
      <c r="P421" s="193" t="s">
        <v>206</v>
      </c>
      <c r="Q421" s="199"/>
      <c r="R421" s="193" t="s">
        <v>219</v>
      </c>
      <c r="S421" s="193" t="s">
        <v>43</v>
      </c>
      <c r="T421" s="193" t="s">
        <v>299</v>
      </c>
      <c r="U421" s="193" t="s">
        <v>804</v>
      </c>
      <c r="V421" s="193" t="s">
        <v>296</v>
      </c>
      <c r="W421" s="193" t="s">
        <v>212</v>
      </c>
      <c r="X421" s="193" t="s">
        <v>223</v>
      </c>
      <c r="Y421" s="200">
        <v>3.0</v>
      </c>
      <c r="Z421" s="202" t="s">
        <v>214</v>
      </c>
      <c r="AA421" s="202" t="s">
        <v>215</v>
      </c>
      <c r="AB421" s="203">
        <v>71200.0</v>
      </c>
      <c r="AC421" s="203">
        <v>71200.0</v>
      </c>
      <c r="AD421" s="204">
        <v>46382.0</v>
      </c>
      <c r="AE421" s="204">
        <v>46080.0</v>
      </c>
      <c r="AF421" s="205"/>
      <c r="AG421" s="219"/>
      <c r="AH421" s="219"/>
      <c r="AI421" s="219"/>
      <c r="AJ421" s="219"/>
      <c r="AK421" s="219"/>
      <c r="AL421" s="219"/>
      <c r="AM421" s="219"/>
      <c r="AN421" s="219"/>
      <c r="AO421" s="219"/>
    </row>
    <row r="422">
      <c r="A422" s="193">
        <v>16840.0</v>
      </c>
      <c r="B422" s="194" t="s">
        <v>203</v>
      </c>
      <c r="C422" s="193">
        <v>2026.0</v>
      </c>
      <c r="D422" s="195">
        <v>2048.0</v>
      </c>
      <c r="E422" s="193">
        <v>76.0</v>
      </c>
      <c r="F422" s="199"/>
      <c r="G422" s="248"/>
      <c r="H422" s="199"/>
      <c r="I422" s="220"/>
      <c r="J422" s="199"/>
      <c r="K422" s="193" t="s">
        <v>206</v>
      </c>
      <c r="L422" s="194" t="s">
        <v>144</v>
      </c>
      <c r="M422" s="199"/>
      <c r="N422" s="193" t="s">
        <v>207</v>
      </c>
      <c r="O422" s="193" t="s">
        <v>206</v>
      </c>
      <c r="P422" s="193" t="s">
        <v>206</v>
      </c>
      <c r="Q422" s="207"/>
      <c r="R422" s="208" t="s">
        <v>219</v>
      </c>
      <c r="S422" s="193" t="s">
        <v>43</v>
      </c>
      <c r="T422" s="193" t="s">
        <v>299</v>
      </c>
      <c r="U422" s="193" t="s">
        <v>805</v>
      </c>
      <c r="V422" s="193" t="s">
        <v>296</v>
      </c>
      <c r="W422" s="193" t="s">
        <v>212</v>
      </c>
      <c r="X422" s="193" t="s">
        <v>223</v>
      </c>
      <c r="Y422" s="200">
        <v>3.0</v>
      </c>
      <c r="Z422" s="202" t="s">
        <v>214</v>
      </c>
      <c r="AA422" s="202" t="s">
        <v>215</v>
      </c>
      <c r="AB422" s="203">
        <v>750217.57</v>
      </c>
      <c r="AC422" s="203">
        <v>750217.57</v>
      </c>
      <c r="AD422" s="204">
        <v>46291.0</v>
      </c>
      <c r="AE422" s="204">
        <v>46352.0</v>
      </c>
      <c r="AF422" s="226" t="s">
        <v>782</v>
      </c>
      <c r="AG422" s="219"/>
      <c r="AH422" s="219"/>
      <c r="AI422" s="219"/>
      <c r="AJ422" s="219"/>
      <c r="AK422" s="219"/>
      <c r="AL422" s="219"/>
      <c r="AM422" s="219"/>
      <c r="AN422" s="219"/>
      <c r="AO422" s="219"/>
    </row>
    <row r="423">
      <c r="A423" s="193">
        <v>16860.0</v>
      </c>
      <c r="B423" s="194" t="s">
        <v>203</v>
      </c>
      <c r="C423" s="193">
        <v>2026.0</v>
      </c>
      <c r="D423" s="229" t="s">
        <v>258</v>
      </c>
      <c r="E423" s="199"/>
      <c r="F423" s="193" t="s">
        <v>204</v>
      </c>
      <c r="G423" s="230">
        <v>46204.0</v>
      </c>
      <c r="H423" s="252">
        <v>49.0</v>
      </c>
      <c r="I423" s="354">
        <v>46204.0</v>
      </c>
      <c r="J423" s="193" t="s">
        <v>495</v>
      </c>
      <c r="K423" s="193" t="s">
        <v>206</v>
      </c>
      <c r="L423" s="194" t="s">
        <v>144</v>
      </c>
      <c r="M423" s="199"/>
      <c r="N423" s="193" t="s">
        <v>207</v>
      </c>
      <c r="O423" s="193" t="s">
        <v>206</v>
      </c>
      <c r="P423" s="193" t="s">
        <v>206</v>
      </c>
      <c r="Q423" s="199"/>
      <c r="R423" s="193" t="s">
        <v>269</v>
      </c>
      <c r="S423" s="193" t="s">
        <v>49</v>
      </c>
      <c r="T423" s="193" t="s">
        <v>356</v>
      </c>
      <c r="U423" s="193" t="s">
        <v>806</v>
      </c>
      <c r="V423" s="193" t="s">
        <v>211</v>
      </c>
      <c r="W423" s="193" t="s">
        <v>212</v>
      </c>
      <c r="X423" s="193" t="s">
        <v>223</v>
      </c>
      <c r="Y423" s="200">
        <v>3.0</v>
      </c>
      <c r="Z423" s="202" t="s">
        <v>214</v>
      </c>
      <c r="AA423" s="202" t="s">
        <v>215</v>
      </c>
      <c r="AB423" s="203">
        <v>561946.0</v>
      </c>
      <c r="AC423" s="203">
        <v>561946.0</v>
      </c>
      <c r="AD423" s="204">
        <v>46229.0</v>
      </c>
      <c r="AE423" s="204">
        <v>46321.0</v>
      </c>
      <c r="AF423" s="226" t="s">
        <v>798</v>
      </c>
      <c r="AG423" s="219"/>
      <c r="AH423" s="206"/>
      <c r="AI423" s="206"/>
      <c r="AJ423" s="206"/>
      <c r="AK423" s="206"/>
      <c r="AL423" s="206"/>
      <c r="AM423" s="206"/>
      <c r="AN423" s="206"/>
      <c r="AO423" s="206"/>
    </row>
    <row r="424">
      <c r="A424" s="193">
        <v>16861.0</v>
      </c>
      <c r="B424" s="194" t="s">
        <v>203</v>
      </c>
      <c r="C424" s="193">
        <v>2026.0</v>
      </c>
      <c r="D424" s="193" t="s">
        <v>636</v>
      </c>
      <c r="E424" s="199"/>
      <c r="F424" s="193" t="s">
        <v>204</v>
      </c>
      <c r="G424" s="198">
        <v>46158.0</v>
      </c>
      <c r="H424" s="193">
        <v>340.0</v>
      </c>
      <c r="I424" s="198">
        <v>46160.0</v>
      </c>
      <c r="J424" s="193" t="s">
        <v>495</v>
      </c>
      <c r="K424" s="193" t="s">
        <v>206</v>
      </c>
      <c r="L424" s="194" t="s">
        <v>144</v>
      </c>
      <c r="M424" s="199"/>
      <c r="N424" s="193" t="s">
        <v>207</v>
      </c>
      <c r="O424" s="193" t="s">
        <v>206</v>
      </c>
      <c r="P424" s="193" t="s">
        <v>206</v>
      </c>
      <c r="Q424" s="199"/>
      <c r="R424" s="193" t="s">
        <v>269</v>
      </c>
      <c r="S424" s="193" t="s">
        <v>49</v>
      </c>
      <c r="T424" s="193" t="s">
        <v>356</v>
      </c>
      <c r="U424" s="193" t="s">
        <v>807</v>
      </c>
      <c r="V424" s="193" t="s">
        <v>211</v>
      </c>
      <c r="W424" s="193" t="s">
        <v>212</v>
      </c>
      <c r="X424" s="193" t="s">
        <v>223</v>
      </c>
      <c r="Y424" s="200">
        <v>3.0</v>
      </c>
      <c r="Z424" s="202" t="s">
        <v>214</v>
      </c>
      <c r="AA424" s="202" t="s">
        <v>215</v>
      </c>
      <c r="AB424" s="203">
        <v>1330875.0</v>
      </c>
      <c r="AC424" s="203">
        <v>1330875.0</v>
      </c>
      <c r="AD424" s="204">
        <v>46168.0</v>
      </c>
      <c r="AE424" s="204">
        <v>46352.0</v>
      </c>
      <c r="AF424" s="226" t="s">
        <v>808</v>
      </c>
      <c r="AG424" s="219"/>
      <c r="AH424" s="219"/>
      <c r="AI424" s="219"/>
      <c r="AJ424" s="219"/>
      <c r="AK424" s="219"/>
      <c r="AL424" s="219"/>
      <c r="AM424" s="219"/>
      <c r="AN424" s="219"/>
      <c r="AO424" s="219"/>
    </row>
    <row r="425">
      <c r="A425" s="193">
        <v>16880.0</v>
      </c>
      <c r="B425" s="232" t="s">
        <v>264</v>
      </c>
      <c r="C425" s="193">
        <v>2026.0</v>
      </c>
      <c r="D425" s="199"/>
      <c r="E425" s="199"/>
      <c r="F425" s="193" t="s">
        <v>265</v>
      </c>
      <c r="G425" s="248"/>
      <c r="H425" s="199"/>
      <c r="I425" s="220"/>
      <c r="J425" s="199"/>
      <c r="K425" s="193" t="s">
        <v>206</v>
      </c>
      <c r="L425" s="234" t="s">
        <v>145</v>
      </c>
      <c r="M425" s="199"/>
      <c r="N425" s="193" t="s">
        <v>227</v>
      </c>
      <c r="O425" s="193" t="s">
        <v>206</v>
      </c>
      <c r="P425" s="193" t="s">
        <v>206</v>
      </c>
      <c r="Q425" s="199"/>
      <c r="R425" s="193" t="s">
        <v>228</v>
      </c>
      <c r="S425" s="193" t="s">
        <v>47</v>
      </c>
      <c r="T425" s="193" t="s">
        <v>229</v>
      </c>
      <c r="U425" s="193" t="s">
        <v>581</v>
      </c>
      <c r="V425" s="193" t="s">
        <v>231</v>
      </c>
      <c r="W425" s="193" t="s">
        <v>212</v>
      </c>
      <c r="X425" s="193" t="s">
        <v>232</v>
      </c>
      <c r="Y425" s="200">
        <v>3.0</v>
      </c>
      <c r="Z425" s="202" t="s">
        <v>233</v>
      </c>
      <c r="AA425" s="202" t="s">
        <v>234</v>
      </c>
      <c r="AB425" s="221"/>
      <c r="AC425" s="203">
        <v>2500000.0</v>
      </c>
      <c r="AD425" s="204">
        <v>46291.0</v>
      </c>
      <c r="AE425" s="204">
        <v>46352.0</v>
      </c>
      <c r="AF425" s="205"/>
      <c r="AG425" s="219"/>
      <c r="AH425" s="219"/>
      <c r="AI425" s="219"/>
      <c r="AJ425" s="219"/>
      <c r="AK425" s="219"/>
      <c r="AL425" s="219"/>
      <c r="AM425" s="219"/>
      <c r="AN425" s="219"/>
      <c r="AO425" s="219"/>
    </row>
    <row r="426">
      <c r="A426" s="193">
        <v>16900.0</v>
      </c>
      <c r="B426" s="194" t="s">
        <v>203</v>
      </c>
      <c r="C426" s="193">
        <v>2026.0</v>
      </c>
      <c r="D426" s="195">
        <v>2048.0</v>
      </c>
      <c r="E426" s="199"/>
      <c r="F426" s="193" t="s">
        <v>204</v>
      </c>
      <c r="G426" s="230">
        <v>46205.0</v>
      </c>
      <c r="H426" s="193">
        <v>537.0</v>
      </c>
      <c r="I426" s="215">
        <v>46205.0</v>
      </c>
      <c r="J426" s="193" t="s">
        <v>372</v>
      </c>
      <c r="K426" s="193" t="s">
        <v>206</v>
      </c>
      <c r="L426" s="194" t="s">
        <v>144</v>
      </c>
      <c r="M426" s="199"/>
      <c r="N426" s="193" t="s">
        <v>227</v>
      </c>
      <c r="O426" s="193" t="s">
        <v>206</v>
      </c>
      <c r="P426" s="193" t="s">
        <v>206</v>
      </c>
      <c r="Q426" s="199"/>
      <c r="R426" s="193" t="s">
        <v>228</v>
      </c>
      <c r="S426" s="193" t="s">
        <v>47</v>
      </c>
      <c r="T426" s="193" t="s">
        <v>229</v>
      </c>
      <c r="U426" s="193" t="s">
        <v>473</v>
      </c>
      <c r="V426" s="193" t="s">
        <v>231</v>
      </c>
      <c r="W426" s="193" t="s">
        <v>212</v>
      </c>
      <c r="X426" s="193" t="s">
        <v>232</v>
      </c>
      <c r="Y426" s="200">
        <v>3.0</v>
      </c>
      <c r="Z426" s="202" t="s">
        <v>233</v>
      </c>
      <c r="AA426" s="202" t="s">
        <v>234</v>
      </c>
      <c r="AB426" s="221"/>
      <c r="AC426" s="203">
        <v>1360263.13</v>
      </c>
      <c r="AD426" s="204">
        <v>46229.0</v>
      </c>
      <c r="AE426" s="204">
        <v>46352.0</v>
      </c>
      <c r="AF426" s="226" t="s">
        <v>388</v>
      </c>
      <c r="AG426" s="219"/>
      <c r="AH426" s="219"/>
      <c r="AI426" s="219"/>
      <c r="AJ426" s="219"/>
      <c r="AK426" s="219"/>
      <c r="AL426" s="219"/>
      <c r="AM426" s="219"/>
      <c r="AN426" s="219"/>
      <c r="AO426" s="219"/>
    </row>
    <row r="427">
      <c r="A427" s="193">
        <v>16920.0</v>
      </c>
      <c r="B427" s="194" t="s">
        <v>203</v>
      </c>
      <c r="C427" s="193">
        <v>2026.0</v>
      </c>
      <c r="D427" s="195">
        <v>2048.0</v>
      </c>
      <c r="E427" s="199"/>
      <c r="F427" s="193" t="s">
        <v>204</v>
      </c>
      <c r="G427" s="230">
        <v>46213.0</v>
      </c>
      <c r="H427" s="193">
        <v>583.0</v>
      </c>
      <c r="I427" s="223">
        <v>46213.0</v>
      </c>
      <c r="J427" s="193" t="s">
        <v>349</v>
      </c>
      <c r="K427" s="193" t="s">
        <v>206</v>
      </c>
      <c r="L427" s="194" t="s">
        <v>144</v>
      </c>
      <c r="M427" s="199"/>
      <c r="N427" s="193" t="s">
        <v>227</v>
      </c>
      <c r="O427" s="193" t="s">
        <v>206</v>
      </c>
      <c r="P427" s="193" t="s">
        <v>206</v>
      </c>
      <c r="Q427" s="199"/>
      <c r="R427" s="193" t="s">
        <v>228</v>
      </c>
      <c r="S427" s="193" t="s">
        <v>47</v>
      </c>
      <c r="T427" s="193" t="s">
        <v>229</v>
      </c>
      <c r="U427" s="193" t="s">
        <v>809</v>
      </c>
      <c r="V427" s="193" t="s">
        <v>290</v>
      </c>
      <c r="W427" s="193" t="s">
        <v>212</v>
      </c>
      <c r="X427" s="193" t="s">
        <v>232</v>
      </c>
      <c r="Y427" s="200">
        <v>3.0</v>
      </c>
      <c r="Z427" s="202" t="s">
        <v>233</v>
      </c>
      <c r="AA427" s="202" t="s">
        <v>234</v>
      </c>
      <c r="AB427" s="203">
        <v>19298.25</v>
      </c>
      <c r="AC427" s="203">
        <v>97898.07</v>
      </c>
      <c r="AD427" s="204">
        <v>46229.0</v>
      </c>
      <c r="AE427" s="204">
        <v>46352.0</v>
      </c>
      <c r="AF427" s="205"/>
      <c r="AG427" s="219"/>
      <c r="AH427" s="219"/>
      <c r="AI427" s="219"/>
      <c r="AJ427" s="219"/>
      <c r="AK427" s="219"/>
      <c r="AL427" s="219"/>
      <c r="AM427" s="219"/>
      <c r="AN427" s="219"/>
      <c r="AO427" s="219"/>
    </row>
    <row r="428">
      <c r="A428" s="193">
        <v>16940.0</v>
      </c>
      <c r="B428" s="194" t="s">
        <v>203</v>
      </c>
      <c r="C428" s="193">
        <v>2026.0</v>
      </c>
      <c r="D428" s="195">
        <v>2048.0</v>
      </c>
      <c r="E428" s="196"/>
      <c r="F428" s="199"/>
      <c r="G428" s="266"/>
      <c r="H428" s="199"/>
      <c r="I428" s="220"/>
      <c r="J428" s="199"/>
      <c r="K428" s="193" t="s">
        <v>206</v>
      </c>
      <c r="L428" s="194" t="s">
        <v>144</v>
      </c>
      <c r="M428" s="199"/>
      <c r="N428" s="193" t="s">
        <v>337</v>
      </c>
      <c r="O428" s="193" t="s">
        <v>206</v>
      </c>
      <c r="P428" s="193" t="s">
        <v>206</v>
      </c>
      <c r="Q428" s="199"/>
      <c r="R428" s="193" t="s">
        <v>228</v>
      </c>
      <c r="S428" s="193" t="s">
        <v>46</v>
      </c>
      <c r="T428" s="193" t="s">
        <v>358</v>
      </c>
      <c r="U428" s="193" t="s">
        <v>473</v>
      </c>
      <c r="V428" s="193" t="s">
        <v>231</v>
      </c>
      <c r="W428" s="193" t="s">
        <v>212</v>
      </c>
      <c r="X428" s="193" t="s">
        <v>232</v>
      </c>
      <c r="Y428" s="200">
        <v>3.0</v>
      </c>
      <c r="Z428" s="202" t="s">
        <v>233</v>
      </c>
      <c r="AA428" s="202" t="s">
        <v>234</v>
      </c>
      <c r="AB428" s="221"/>
      <c r="AC428" s="203">
        <v>270000.0</v>
      </c>
      <c r="AD428" s="204">
        <v>46291.0</v>
      </c>
      <c r="AE428" s="204">
        <v>46352.0</v>
      </c>
      <c r="AF428" s="205"/>
      <c r="AG428" s="219"/>
      <c r="AH428" s="219"/>
      <c r="AI428" s="219"/>
      <c r="AJ428" s="219"/>
      <c r="AK428" s="219"/>
      <c r="AL428" s="219"/>
      <c r="AM428" s="219"/>
      <c r="AN428" s="219"/>
      <c r="AO428" s="219"/>
    </row>
    <row r="429">
      <c r="A429" s="193">
        <v>16960.0</v>
      </c>
      <c r="B429" s="194" t="s">
        <v>203</v>
      </c>
      <c r="C429" s="193">
        <v>2026.0</v>
      </c>
      <c r="D429" s="195">
        <v>2048.0</v>
      </c>
      <c r="E429" s="196"/>
      <c r="F429" s="241" t="s">
        <v>204</v>
      </c>
      <c r="G429" s="246">
        <v>46072.0</v>
      </c>
      <c r="H429" s="193">
        <v>75.0</v>
      </c>
      <c r="I429" s="223">
        <v>46072.0</v>
      </c>
      <c r="J429" s="193" t="s">
        <v>374</v>
      </c>
      <c r="K429" s="193" t="s">
        <v>206</v>
      </c>
      <c r="L429" s="194" t="s">
        <v>144</v>
      </c>
      <c r="M429" s="199"/>
      <c r="N429" s="193" t="s">
        <v>227</v>
      </c>
      <c r="O429" s="193" t="s">
        <v>206</v>
      </c>
      <c r="P429" s="193" t="s">
        <v>244</v>
      </c>
      <c r="Q429" s="199"/>
      <c r="R429" s="193" t="s">
        <v>228</v>
      </c>
      <c r="S429" s="193" t="s">
        <v>46</v>
      </c>
      <c r="T429" s="193" t="s">
        <v>229</v>
      </c>
      <c r="U429" s="193" t="s">
        <v>581</v>
      </c>
      <c r="V429" s="193" t="s">
        <v>231</v>
      </c>
      <c r="W429" s="193" t="s">
        <v>212</v>
      </c>
      <c r="X429" s="193" t="s">
        <v>232</v>
      </c>
      <c r="Y429" s="200">
        <v>3.0</v>
      </c>
      <c r="Z429" s="202" t="s">
        <v>233</v>
      </c>
      <c r="AA429" s="202" t="s">
        <v>234</v>
      </c>
      <c r="AB429" s="221"/>
      <c r="AC429" s="203">
        <v>849731.96</v>
      </c>
      <c r="AD429" s="204">
        <v>46079.0</v>
      </c>
      <c r="AE429" s="204">
        <v>46107.0</v>
      </c>
      <c r="AF429" s="205"/>
      <c r="AG429" s="219"/>
      <c r="AH429" s="219"/>
      <c r="AI429" s="219"/>
      <c r="AJ429" s="219"/>
      <c r="AK429" s="219"/>
      <c r="AL429" s="219"/>
      <c r="AM429" s="219"/>
      <c r="AN429" s="219"/>
      <c r="AO429" s="219"/>
    </row>
    <row r="430">
      <c r="A430" s="193">
        <v>16980.0</v>
      </c>
      <c r="B430" s="194" t="s">
        <v>203</v>
      </c>
      <c r="C430" s="193">
        <v>2026.0</v>
      </c>
      <c r="D430" s="195">
        <v>2048.0</v>
      </c>
      <c r="E430" s="199"/>
      <c r="F430" s="193" t="s">
        <v>204</v>
      </c>
      <c r="G430" s="230">
        <v>46205.0</v>
      </c>
      <c r="H430" s="193">
        <v>532.0</v>
      </c>
      <c r="I430" s="223">
        <v>46205.0</v>
      </c>
      <c r="J430" s="193" t="s">
        <v>810</v>
      </c>
      <c r="K430" s="193" t="s">
        <v>206</v>
      </c>
      <c r="L430" s="194" t="s">
        <v>144</v>
      </c>
      <c r="M430" s="199"/>
      <c r="N430" s="193" t="s">
        <v>227</v>
      </c>
      <c r="O430" s="193" t="s">
        <v>206</v>
      </c>
      <c r="P430" s="193" t="s">
        <v>206</v>
      </c>
      <c r="Q430" s="199"/>
      <c r="R430" s="193" t="s">
        <v>228</v>
      </c>
      <c r="S430" s="193" t="s">
        <v>46</v>
      </c>
      <c r="T430" s="193" t="s">
        <v>229</v>
      </c>
      <c r="U430" s="193" t="s">
        <v>473</v>
      </c>
      <c r="V430" s="193" t="s">
        <v>231</v>
      </c>
      <c r="W430" s="193" t="s">
        <v>212</v>
      </c>
      <c r="X430" s="193" t="s">
        <v>232</v>
      </c>
      <c r="Y430" s="200">
        <v>3.0</v>
      </c>
      <c r="Z430" s="202" t="s">
        <v>233</v>
      </c>
      <c r="AA430" s="202" t="s">
        <v>234</v>
      </c>
      <c r="AB430" s="221"/>
      <c r="AC430" s="203">
        <v>891335.07</v>
      </c>
      <c r="AD430" s="204">
        <v>46229.0</v>
      </c>
      <c r="AE430" s="204">
        <v>46352.0</v>
      </c>
      <c r="AF430" s="226" t="s">
        <v>388</v>
      </c>
      <c r="AG430" s="219"/>
      <c r="AH430" s="219"/>
      <c r="AI430" s="219"/>
      <c r="AJ430" s="219"/>
      <c r="AK430" s="219"/>
      <c r="AL430" s="219"/>
      <c r="AM430" s="219"/>
      <c r="AN430" s="219"/>
      <c r="AO430" s="219"/>
    </row>
    <row r="431">
      <c r="A431" s="193">
        <v>17000.0</v>
      </c>
      <c r="B431" s="194" t="s">
        <v>203</v>
      </c>
      <c r="C431" s="193">
        <v>2026.0</v>
      </c>
      <c r="D431" s="195">
        <v>2048.0</v>
      </c>
      <c r="E431" s="199"/>
      <c r="F431" s="193" t="s">
        <v>204</v>
      </c>
      <c r="G431" s="230">
        <v>46099.0</v>
      </c>
      <c r="H431" s="193">
        <v>189.0</v>
      </c>
      <c r="I431" s="223">
        <v>46099.0</v>
      </c>
      <c r="J431" s="193" t="s">
        <v>638</v>
      </c>
      <c r="K431" s="193" t="s">
        <v>206</v>
      </c>
      <c r="L431" s="194" t="s">
        <v>144</v>
      </c>
      <c r="M431" s="199"/>
      <c r="N431" s="193" t="s">
        <v>207</v>
      </c>
      <c r="O431" s="193" t="s">
        <v>206</v>
      </c>
      <c r="P431" s="193" t="s">
        <v>244</v>
      </c>
      <c r="Q431" s="199"/>
      <c r="R431" s="193" t="s">
        <v>228</v>
      </c>
      <c r="S431" s="193" t="s">
        <v>46</v>
      </c>
      <c r="T431" s="193" t="s">
        <v>377</v>
      </c>
      <c r="U431" s="193" t="s">
        <v>811</v>
      </c>
      <c r="V431" s="193" t="s">
        <v>155</v>
      </c>
      <c r="W431" s="193" t="s">
        <v>203</v>
      </c>
      <c r="X431" s="193" t="s">
        <v>252</v>
      </c>
      <c r="Y431" s="200">
        <v>3.0</v>
      </c>
      <c r="Z431" s="202" t="s">
        <v>233</v>
      </c>
      <c r="AA431" s="202" t="s">
        <v>215</v>
      </c>
      <c r="AB431" s="203">
        <v>750000.0</v>
      </c>
      <c r="AC431" s="203">
        <v>750000.0</v>
      </c>
      <c r="AD431" s="204">
        <v>46107.0</v>
      </c>
      <c r="AE431" s="204">
        <v>46260.0</v>
      </c>
      <c r="AF431" s="205"/>
      <c r="AG431" s="219"/>
      <c r="AH431" s="219"/>
      <c r="AI431" s="219"/>
      <c r="AJ431" s="219"/>
      <c r="AK431" s="219"/>
      <c r="AL431" s="219"/>
      <c r="AM431" s="219"/>
      <c r="AN431" s="219"/>
      <c r="AO431" s="219"/>
    </row>
    <row r="432">
      <c r="A432" s="193">
        <v>17020.0</v>
      </c>
      <c r="B432" s="232" t="s">
        <v>264</v>
      </c>
      <c r="C432" s="193">
        <v>2026.0</v>
      </c>
      <c r="D432" s="199"/>
      <c r="E432" s="199"/>
      <c r="F432" s="199"/>
      <c r="G432" s="248"/>
      <c r="H432" s="199"/>
      <c r="I432" s="220"/>
      <c r="J432" s="199"/>
      <c r="K432" s="193" t="s">
        <v>206</v>
      </c>
      <c r="L432" s="234" t="s">
        <v>145</v>
      </c>
      <c r="M432" s="199"/>
      <c r="N432" s="193" t="s">
        <v>227</v>
      </c>
      <c r="O432" s="193" t="s">
        <v>206</v>
      </c>
      <c r="P432" s="193" t="s">
        <v>206</v>
      </c>
      <c r="Q432" s="199"/>
      <c r="R432" s="193" t="s">
        <v>208</v>
      </c>
      <c r="S432" s="193" t="s">
        <v>39</v>
      </c>
      <c r="T432" s="193" t="s">
        <v>229</v>
      </c>
      <c r="U432" s="193" t="s">
        <v>546</v>
      </c>
      <c r="V432" s="193" t="s">
        <v>231</v>
      </c>
      <c r="W432" s="193" t="s">
        <v>212</v>
      </c>
      <c r="X432" s="193" t="s">
        <v>232</v>
      </c>
      <c r="Y432" s="200">
        <v>3.0</v>
      </c>
      <c r="Z432" s="202" t="s">
        <v>233</v>
      </c>
      <c r="AA432" s="202" t="s">
        <v>234</v>
      </c>
      <c r="AB432" s="221"/>
      <c r="AC432" s="203">
        <v>150000.0</v>
      </c>
      <c r="AD432" s="204">
        <v>46291.0</v>
      </c>
      <c r="AE432" s="204">
        <v>46352.0</v>
      </c>
      <c r="AF432" s="205"/>
      <c r="AG432" s="219"/>
      <c r="AH432" s="219"/>
      <c r="AI432" s="219"/>
      <c r="AJ432" s="219"/>
      <c r="AK432" s="219"/>
      <c r="AL432" s="219"/>
      <c r="AM432" s="219"/>
      <c r="AN432" s="219"/>
      <c r="AO432" s="219"/>
    </row>
    <row r="433">
      <c r="A433" s="193">
        <v>17040.0</v>
      </c>
      <c r="B433" s="194" t="s">
        <v>203</v>
      </c>
      <c r="C433" s="193">
        <v>2026.0</v>
      </c>
      <c r="D433" s="195">
        <v>2048.0</v>
      </c>
      <c r="E433" s="199"/>
      <c r="F433" s="193" t="s">
        <v>204</v>
      </c>
      <c r="G433" s="230">
        <v>46258.0</v>
      </c>
      <c r="H433" s="252">
        <v>12817.0</v>
      </c>
      <c r="I433" s="215">
        <v>46258.0</v>
      </c>
      <c r="J433" s="193" t="s">
        <v>404</v>
      </c>
      <c r="K433" s="193" t="s">
        <v>206</v>
      </c>
      <c r="L433" s="194" t="s">
        <v>144</v>
      </c>
      <c r="M433" s="199"/>
      <c r="N433" s="193" t="s">
        <v>207</v>
      </c>
      <c r="O433" s="193" t="s">
        <v>206</v>
      </c>
      <c r="P433" s="193" t="s">
        <v>244</v>
      </c>
      <c r="Q433" s="199"/>
      <c r="R433" s="193" t="s">
        <v>208</v>
      </c>
      <c r="S433" s="193" t="s">
        <v>39</v>
      </c>
      <c r="T433" s="193" t="s">
        <v>250</v>
      </c>
      <c r="U433" s="193" t="s">
        <v>812</v>
      </c>
      <c r="V433" s="193" t="s">
        <v>155</v>
      </c>
      <c r="W433" s="193" t="s">
        <v>203</v>
      </c>
      <c r="X433" s="193" t="s">
        <v>252</v>
      </c>
      <c r="Y433" s="200">
        <v>3.0</v>
      </c>
      <c r="Z433" s="202" t="s">
        <v>214</v>
      </c>
      <c r="AA433" s="202" t="s">
        <v>215</v>
      </c>
      <c r="AB433" s="203">
        <v>1950000.0</v>
      </c>
      <c r="AC433" s="203">
        <v>1950000.0</v>
      </c>
      <c r="AD433" s="204">
        <v>46260.0</v>
      </c>
      <c r="AE433" s="204">
        <v>46291.0</v>
      </c>
      <c r="AF433" s="226" t="s">
        <v>598</v>
      </c>
      <c r="AG433" s="219"/>
      <c r="AH433" s="219"/>
      <c r="AI433" s="219"/>
      <c r="AJ433" s="219"/>
      <c r="AK433" s="219"/>
      <c r="AL433" s="219"/>
      <c r="AM433" s="219"/>
      <c r="AN433" s="219"/>
      <c r="AO433" s="219"/>
    </row>
    <row r="434">
      <c r="A434" s="193">
        <v>17041.0</v>
      </c>
      <c r="B434" s="194" t="s">
        <v>203</v>
      </c>
      <c r="C434" s="193">
        <v>2026.0</v>
      </c>
      <c r="D434" s="195">
        <v>2048.0</v>
      </c>
      <c r="E434" s="199"/>
      <c r="F434" s="193" t="s">
        <v>272</v>
      </c>
      <c r="G434" s="235"/>
      <c r="H434" s="199"/>
      <c r="I434" s="235"/>
      <c r="J434" s="199"/>
      <c r="K434" s="193" t="s">
        <v>206</v>
      </c>
      <c r="L434" s="194" t="s">
        <v>144</v>
      </c>
      <c r="M434" s="199"/>
      <c r="N434" s="193" t="s">
        <v>207</v>
      </c>
      <c r="O434" s="193" t="s">
        <v>206</v>
      </c>
      <c r="P434" s="193" t="s">
        <v>244</v>
      </c>
      <c r="Q434" s="199"/>
      <c r="R434" s="193" t="s">
        <v>208</v>
      </c>
      <c r="S434" s="193" t="s">
        <v>39</v>
      </c>
      <c r="T434" s="193" t="s">
        <v>250</v>
      </c>
      <c r="U434" s="193" t="s">
        <v>812</v>
      </c>
      <c r="V434" s="193" t="s">
        <v>155</v>
      </c>
      <c r="W434" s="193" t="s">
        <v>203</v>
      </c>
      <c r="X434" s="193" t="s">
        <v>252</v>
      </c>
      <c r="Y434" s="200">
        <v>3.0</v>
      </c>
      <c r="Z434" s="202" t="s">
        <v>214</v>
      </c>
      <c r="AA434" s="202" t="s">
        <v>215</v>
      </c>
      <c r="AB434" s="203" t="s">
        <v>275</v>
      </c>
      <c r="AC434" s="203" t="s">
        <v>275</v>
      </c>
      <c r="AD434" s="204">
        <v>46260.0</v>
      </c>
      <c r="AE434" s="204">
        <v>46291.0</v>
      </c>
      <c r="AF434" s="226" t="s">
        <v>813</v>
      </c>
      <c r="AG434" s="219"/>
      <c r="AH434" s="219"/>
      <c r="AI434" s="219"/>
      <c r="AJ434" s="219"/>
      <c r="AK434" s="219"/>
      <c r="AL434" s="219"/>
      <c r="AM434" s="219"/>
      <c r="AN434" s="219"/>
      <c r="AO434" s="219"/>
    </row>
    <row r="435">
      <c r="A435" s="193">
        <v>17060.0</v>
      </c>
      <c r="B435" s="194" t="s">
        <v>203</v>
      </c>
      <c r="C435" s="193">
        <v>2026.0</v>
      </c>
      <c r="D435" s="195">
        <v>2048.0</v>
      </c>
      <c r="E435" s="199"/>
      <c r="F435" s="193" t="s">
        <v>204</v>
      </c>
      <c r="G435" s="215">
        <v>46258.0</v>
      </c>
      <c r="H435" s="252">
        <v>12817.0</v>
      </c>
      <c r="I435" s="215">
        <v>46258.0</v>
      </c>
      <c r="J435" s="193" t="s">
        <v>404</v>
      </c>
      <c r="K435" s="193" t="s">
        <v>206</v>
      </c>
      <c r="L435" s="194" t="s">
        <v>144</v>
      </c>
      <c r="M435" s="199"/>
      <c r="N435" s="193" t="s">
        <v>207</v>
      </c>
      <c r="O435" s="193" t="s">
        <v>206</v>
      </c>
      <c r="P435" s="193" t="s">
        <v>244</v>
      </c>
      <c r="Q435" s="199"/>
      <c r="R435" s="193" t="s">
        <v>208</v>
      </c>
      <c r="S435" s="193" t="s">
        <v>39</v>
      </c>
      <c r="T435" s="193" t="s">
        <v>250</v>
      </c>
      <c r="U435" s="193" t="s">
        <v>814</v>
      </c>
      <c r="V435" s="193" t="s">
        <v>155</v>
      </c>
      <c r="W435" s="193" t="s">
        <v>203</v>
      </c>
      <c r="X435" s="193" t="s">
        <v>252</v>
      </c>
      <c r="Y435" s="200">
        <v>3.0</v>
      </c>
      <c r="Z435" s="202" t="s">
        <v>214</v>
      </c>
      <c r="AA435" s="202" t="s">
        <v>215</v>
      </c>
      <c r="AB435" s="203">
        <v>1981026.4</v>
      </c>
      <c r="AC435" s="203">
        <v>1981026.4</v>
      </c>
      <c r="AD435" s="204">
        <v>46291.0</v>
      </c>
      <c r="AE435" s="204">
        <v>46321.0</v>
      </c>
      <c r="AF435" s="226" t="s">
        <v>598</v>
      </c>
      <c r="AG435" s="219"/>
      <c r="AH435" s="219"/>
      <c r="AI435" s="219"/>
      <c r="AJ435" s="219"/>
      <c r="AK435" s="219"/>
      <c r="AL435" s="219"/>
      <c r="AM435" s="219"/>
      <c r="AN435" s="219"/>
      <c r="AO435" s="219"/>
    </row>
    <row r="436">
      <c r="A436" s="193">
        <v>17080.0</v>
      </c>
      <c r="B436" s="194" t="s">
        <v>203</v>
      </c>
      <c r="C436" s="193">
        <v>2026.0</v>
      </c>
      <c r="D436" s="195">
        <v>2048.0</v>
      </c>
      <c r="E436" s="199"/>
      <c r="F436" s="193" t="s">
        <v>272</v>
      </c>
      <c r="G436" s="248"/>
      <c r="H436" s="199"/>
      <c r="I436" s="220"/>
      <c r="J436" s="199"/>
      <c r="K436" s="193" t="s">
        <v>206</v>
      </c>
      <c r="L436" s="194" t="s">
        <v>144</v>
      </c>
      <c r="M436" s="199"/>
      <c r="N436" s="193" t="s">
        <v>207</v>
      </c>
      <c r="O436" s="193" t="s">
        <v>206</v>
      </c>
      <c r="P436" s="193" t="s">
        <v>244</v>
      </c>
      <c r="Q436" s="199"/>
      <c r="R436" s="193" t="s">
        <v>208</v>
      </c>
      <c r="S436" s="193" t="s">
        <v>39</v>
      </c>
      <c r="T436" s="193" t="s">
        <v>250</v>
      </c>
      <c r="U436" s="193" t="s">
        <v>815</v>
      </c>
      <c r="V436" s="193" t="s">
        <v>155</v>
      </c>
      <c r="W436" s="193" t="s">
        <v>203</v>
      </c>
      <c r="X436" s="193" t="s">
        <v>252</v>
      </c>
      <c r="Y436" s="200">
        <v>3.0</v>
      </c>
      <c r="Z436" s="202" t="s">
        <v>214</v>
      </c>
      <c r="AA436" s="202" t="s">
        <v>215</v>
      </c>
      <c r="AB436" s="203" t="s">
        <v>275</v>
      </c>
      <c r="AC436" s="203" t="s">
        <v>275</v>
      </c>
      <c r="AD436" s="204">
        <v>46321.0</v>
      </c>
      <c r="AE436" s="204">
        <v>46352.0</v>
      </c>
      <c r="AF436" s="226" t="s">
        <v>816</v>
      </c>
      <c r="AG436" s="219"/>
      <c r="AH436" s="219"/>
      <c r="AI436" s="219"/>
      <c r="AJ436" s="219"/>
      <c r="AK436" s="219"/>
      <c r="AL436" s="219"/>
      <c r="AM436" s="219"/>
      <c r="AN436" s="219"/>
      <c r="AO436" s="219"/>
    </row>
    <row r="437">
      <c r="A437" s="193">
        <v>17100.0</v>
      </c>
      <c r="B437" s="232" t="s">
        <v>264</v>
      </c>
      <c r="C437" s="193">
        <v>2026.0</v>
      </c>
      <c r="D437" s="199"/>
      <c r="E437" s="199"/>
      <c r="F437" s="193" t="s">
        <v>265</v>
      </c>
      <c r="G437" s="248"/>
      <c r="H437" s="199"/>
      <c r="I437" s="233"/>
      <c r="J437" s="199"/>
      <c r="K437" s="193" t="s">
        <v>206</v>
      </c>
      <c r="L437" s="234" t="s">
        <v>145</v>
      </c>
      <c r="M437" s="199"/>
      <c r="N437" s="193" t="s">
        <v>227</v>
      </c>
      <c r="O437" s="193" t="s">
        <v>206</v>
      </c>
      <c r="P437" s="193" t="s">
        <v>206</v>
      </c>
      <c r="Q437" s="199"/>
      <c r="R437" s="193" t="s">
        <v>219</v>
      </c>
      <c r="S437" s="193" t="s">
        <v>43</v>
      </c>
      <c r="T437" s="193" t="s">
        <v>229</v>
      </c>
      <c r="U437" s="193" t="s">
        <v>581</v>
      </c>
      <c r="V437" s="193" t="s">
        <v>231</v>
      </c>
      <c r="W437" s="193" t="s">
        <v>212</v>
      </c>
      <c r="X437" s="193" t="s">
        <v>232</v>
      </c>
      <c r="Y437" s="200">
        <v>3.0</v>
      </c>
      <c r="Z437" s="202" t="s">
        <v>233</v>
      </c>
      <c r="AA437" s="202" t="s">
        <v>234</v>
      </c>
      <c r="AB437" s="221"/>
      <c r="AC437" s="281">
        <v>4250000.0</v>
      </c>
      <c r="AD437" s="204">
        <v>46291.0</v>
      </c>
      <c r="AE437" s="204">
        <v>46352.0</v>
      </c>
      <c r="AF437" s="205"/>
      <c r="AG437" s="219"/>
      <c r="AH437" s="219"/>
      <c r="AI437" s="219"/>
      <c r="AJ437" s="219"/>
      <c r="AK437" s="219"/>
      <c r="AL437" s="219"/>
      <c r="AM437" s="219"/>
      <c r="AN437" s="219"/>
      <c r="AO437" s="219"/>
    </row>
    <row r="438">
      <c r="A438" s="193">
        <v>17120.0</v>
      </c>
      <c r="B438" s="232" t="s">
        <v>264</v>
      </c>
      <c r="C438" s="193">
        <v>2026.0</v>
      </c>
      <c r="D438" s="199"/>
      <c r="E438" s="199"/>
      <c r="F438" s="199"/>
      <c r="G438" s="248"/>
      <c r="H438" s="199"/>
      <c r="I438" s="220"/>
      <c r="J438" s="199"/>
      <c r="K438" s="193" t="s">
        <v>206</v>
      </c>
      <c r="L438" s="232" t="s">
        <v>146</v>
      </c>
      <c r="M438" s="199"/>
      <c r="N438" s="193" t="s">
        <v>227</v>
      </c>
      <c r="O438" s="193" t="s">
        <v>206</v>
      </c>
      <c r="P438" s="193" t="s">
        <v>206</v>
      </c>
      <c r="Q438" s="199"/>
      <c r="R438" s="193" t="s">
        <v>219</v>
      </c>
      <c r="S438" s="193" t="s">
        <v>43</v>
      </c>
      <c r="T438" s="193" t="s">
        <v>229</v>
      </c>
      <c r="U438" s="193" t="s">
        <v>473</v>
      </c>
      <c r="V438" s="193" t="s">
        <v>231</v>
      </c>
      <c r="W438" s="193" t="s">
        <v>212</v>
      </c>
      <c r="X438" s="193" t="s">
        <v>232</v>
      </c>
      <c r="Y438" s="200">
        <v>3.0</v>
      </c>
      <c r="Z438" s="202" t="s">
        <v>233</v>
      </c>
      <c r="AA438" s="202" t="s">
        <v>234</v>
      </c>
      <c r="AB438" s="221"/>
      <c r="AC438" s="281">
        <v>4250000.0</v>
      </c>
      <c r="AD438" s="204">
        <v>46291.0</v>
      </c>
      <c r="AE438" s="204">
        <v>46352.0</v>
      </c>
      <c r="AF438" s="205"/>
      <c r="AG438" s="219"/>
      <c r="AH438" s="219"/>
      <c r="AI438" s="219"/>
      <c r="AJ438" s="219"/>
      <c r="AK438" s="219"/>
      <c r="AL438" s="219"/>
      <c r="AM438" s="219"/>
      <c r="AN438" s="219"/>
      <c r="AO438" s="219"/>
    </row>
    <row r="439">
      <c r="A439" s="193">
        <v>17140.0</v>
      </c>
      <c r="B439" s="194" t="s">
        <v>203</v>
      </c>
      <c r="C439" s="193">
        <v>2026.0</v>
      </c>
      <c r="D439" s="195">
        <v>2048.0</v>
      </c>
      <c r="E439" s="199"/>
      <c r="F439" s="193" t="s">
        <v>204</v>
      </c>
      <c r="G439" s="215">
        <v>46191.0</v>
      </c>
      <c r="H439" s="193">
        <v>444.0</v>
      </c>
      <c r="I439" s="215">
        <v>46191.0</v>
      </c>
      <c r="J439" s="193" t="s">
        <v>759</v>
      </c>
      <c r="K439" s="193" t="s">
        <v>206</v>
      </c>
      <c r="L439" s="194" t="s">
        <v>144</v>
      </c>
      <c r="M439" s="199"/>
      <c r="N439" s="193" t="s">
        <v>207</v>
      </c>
      <c r="O439" s="193" t="s">
        <v>206</v>
      </c>
      <c r="P439" s="193" t="s">
        <v>244</v>
      </c>
      <c r="Q439" s="199"/>
      <c r="R439" s="193" t="s">
        <v>219</v>
      </c>
      <c r="S439" s="193" t="s">
        <v>43</v>
      </c>
      <c r="T439" s="193" t="s">
        <v>377</v>
      </c>
      <c r="U439" s="193" t="s">
        <v>817</v>
      </c>
      <c r="V439" s="193" t="s">
        <v>155</v>
      </c>
      <c r="W439" s="193" t="s">
        <v>203</v>
      </c>
      <c r="X439" s="193" t="s">
        <v>252</v>
      </c>
      <c r="Y439" s="200">
        <v>3.0</v>
      </c>
      <c r="Z439" s="202" t="s">
        <v>233</v>
      </c>
      <c r="AA439" s="202" t="s">
        <v>215</v>
      </c>
      <c r="AB439" s="203">
        <v>1000000.0</v>
      </c>
      <c r="AC439" s="281">
        <v>1000000.0</v>
      </c>
      <c r="AD439" s="204">
        <v>46199.0</v>
      </c>
      <c r="AE439" s="204">
        <v>46260.0</v>
      </c>
      <c r="AF439" s="226" t="s">
        <v>818</v>
      </c>
      <c r="AG439" s="219"/>
      <c r="AH439" s="219"/>
      <c r="AI439" s="219"/>
      <c r="AJ439" s="219"/>
      <c r="AK439" s="219"/>
      <c r="AL439" s="219"/>
      <c r="AM439" s="219"/>
      <c r="AN439" s="219"/>
      <c r="AO439" s="219"/>
    </row>
    <row r="440">
      <c r="A440" s="193">
        <v>17160.0</v>
      </c>
      <c r="B440" s="194" t="s">
        <v>203</v>
      </c>
      <c r="C440" s="193">
        <v>2026.0</v>
      </c>
      <c r="D440" s="195">
        <v>2048.0</v>
      </c>
      <c r="E440" s="199"/>
      <c r="F440" s="193" t="s">
        <v>204</v>
      </c>
      <c r="G440" s="230">
        <v>46265.0</v>
      </c>
      <c r="H440" s="193">
        <v>13250.0</v>
      </c>
      <c r="I440" s="215">
        <v>46265.0</v>
      </c>
      <c r="J440" s="193" t="s">
        <v>262</v>
      </c>
      <c r="K440" s="193" t="s">
        <v>206</v>
      </c>
      <c r="L440" s="194" t="s">
        <v>144</v>
      </c>
      <c r="M440" s="199"/>
      <c r="N440" s="193" t="s">
        <v>475</v>
      </c>
      <c r="O440" s="193" t="s">
        <v>206</v>
      </c>
      <c r="P440" s="193" t="s">
        <v>206</v>
      </c>
      <c r="Q440" s="199"/>
      <c r="R440" s="193" t="s">
        <v>279</v>
      </c>
      <c r="S440" s="193" t="s">
        <v>50</v>
      </c>
      <c r="T440" s="193" t="s">
        <v>522</v>
      </c>
      <c r="U440" s="193" t="s">
        <v>819</v>
      </c>
      <c r="V440" s="193" t="s">
        <v>524</v>
      </c>
      <c r="W440" s="193" t="s">
        <v>264</v>
      </c>
      <c r="X440" s="193" t="s">
        <v>232</v>
      </c>
      <c r="Y440" s="200">
        <v>3.0</v>
      </c>
      <c r="Z440" s="202" t="s">
        <v>214</v>
      </c>
      <c r="AA440" s="202" t="s">
        <v>215</v>
      </c>
      <c r="AB440" s="203">
        <v>75600.0</v>
      </c>
      <c r="AC440" s="281">
        <v>75600.0</v>
      </c>
      <c r="AD440" s="204">
        <v>46229.0</v>
      </c>
      <c r="AE440" s="204">
        <v>46291.0</v>
      </c>
      <c r="AF440" s="205"/>
      <c r="AG440" s="219"/>
      <c r="AH440" s="219"/>
      <c r="AI440" s="219"/>
      <c r="AJ440" s="219"/>
      <c r="AK440" s="219"/>
      <c r="AL440" s="219"/>
      <c r="AM440" s="219"/>
      <c r="AN440" s="219"/>
      <c r="AO440" s="219"/>
    </row>
    <row r="441">
      <c r="A441" s="193">
        <v>17180.0</v>
      </c>
      <c r="B441" s="232" t="s">
        <v>264</v>
      </c>
      <c r="C441" s="193">
        <v>2026.0</v>
      </c>
      <c r="D441" s="199"/>
      <c r="E441" s="199"/>
      <c r="F441" s="199"/>
      <c r="G441" s="248"/>
      <c r="H441" s="199"/>
      <c r="I441" s="220"/>
      <c r="J441" s="199"/>
      <c r="K441" s="193" t="s">
        <v>206</v>
      </c>
      <c r="L441" s="232" t="s">
        <v>146</v>
      </c>
      <c r="M441" s="199"/>
      <c r="N441" s="193" t="s">
        <v>207</v>
      </c>
      <c r="O441" s="193" t="s">
        <v>206</v>
      </c>
      <c r="P441" s="193" t="s">
        <v>206</v>
      </c>
      <c r="Q441" s="199"/>
      <c r="R441" s="193" t="s">
        <v>279</v>
      </c>
      <c r="S441" s="193" t="s">
        <v>50</v>
      </c>
      <c r="T441" s="193" t="s">
        <v>229</v>
      </c>
      <c r="U441" s="193" t="s">
        <v>546</v>
      </c>
      <c r="V441" s="193" t="s">
        <v>50</v>
      </c>
      <c r="W441" s="193" t="s">
        <v>264</v>
      </c>
      <c r="X441" s="193" t="s">
        <v>232</v>
      </c>
      <c r="Y441" s="200">
        <v>3.0</v>
      </c>
      <c r="Z441" s="202" t="s">
        <v>233</v>
      </c>
      <c r="AA441" s="202" t="s">
        <v>215</v>
      </c>
      <c r="AB441" s="203">
        <v>190000.0</v>
      </c>
      <c r="AC441" s="203">
        <v>190000.0</v>
      </c>
      <c r="AD441" s="204">
        <v>46291.0</v>
      </c>
      <c r="AE441" s="204">
        <v>46352.0</v>
      </c>
      <c r="AF441" s="205"/>
      <c r="AG441" s="219"/>
      <c r="AH441" s="219"/>
      <c r="AI441" s="219"/>
      <c r="AJ441" s="219"/>
      <c r="AK441" s="219"/>
      <c r="AL441" s="219"/>
      <c r="AM441" s="219"/>
      <c r="AN441" s="219"/>
      <c r="AO441" s="219"/>
    </row>
    <row r="442">
      <c r="A442" s="193">
        <v>17200.0</v>
      </c>
      <c r="B442" s="194" t="s">
        <v>203</v>
      </c>
      <c r="C442" s="193">
        <v>2026.0</v>
      </c>
      <c r="D442" s="195">
        <v>2048.0</v>
      </c>
      <c r="E442" s="193">
        <v>68.0</v>
      </c>
      <c r="F442" s="199"/>
      <c r="G442" s="235"/>
      <c r="H442" s="199"/>
      <c r="I442" s="235"/>
      <c r="J442" s="199"/>
      <c r="K442" s="193" t="s">
        <v>206</v>
      </c>
      <c r="L442" s="194" t="s">
        <v>144</v>
      </c>
      <c r="M442" s="199"/>
      <c r="N442" s="193" t="s">
        <v>227</v>
      </c>
      <c r="O442" s="193" t="s">
        <v>206</v>
      </c>
      <c r="P442" s="193" t="s">
        <v>206</v>
      </c>
      <c r="Q442" s="199"/>
      <c r="R442" s="193" t="s">
        <v>219</v>
      </c>
      <c r="S442" s="193" t="s">
        <v>45</v>
      </c>
      <c r="T442" s="193" t="s">
        <v>229</v>
      </c>
      <c r="U442" s="193" t="s">
        <v>820</v>
      </c>
      <c r="V442" s="193" t="s">
        <v>231</v>
      </c>
      <c r="W442" s="193" t="s">
        <v>212</v>
      </c>
      <c r="X442" s="193" t="s">
        <v>232</v>
      </c>
      <c r="Y442" s="200">
        <v>3.0</v>
      </c>
      <c r="Z442" s="202" t="s">
        <v>233</v>
      </c>
      <c r="AA442" s="202" t="s">
        <v>234</v>
      </c>
      <c r="AB442" s="221"/>
      <c r="AC442" s="203">
        <v>958040.0</v>
      </c>
      <c r="AD442" s="204">
        <v>46291.0</v>
      </c>
      <c r="AE442" s="204">
        <v>46352.0</v>
      </c>
      <c r="AF442" s="205"/>
      <c r="AG442" s="219"/>
      <c r="AH442" s="219"/>
      <c r="AI442" s="219"/>
      <c r="AJ442" s="219"/>
      <c r="AK442" s="219"/>
      <c r="AL442" s="219"/>
      <c r="AM442" s="219"/>
      <c r="AN442" s="219"/>
      <c r="AO442" s="219"/>
    </row>
    <row r="443">
      <c r="A443" s="193">
        <v>17201.0</v>
      </c>
      <c r="B443" s="194" t="s">
        <v>203</v>
      </c>
      <c r="C443" s="193">
        <v>2026.0</v>
      </c>
      <c r="D443" s="195">
        <v>2048.0</v>
      </c>
      <c r="E443" s="199"/>
      <c r="F443" s="193" t="s">
        <v>204</v>
      </c>
      <c r="G443" s="230">
        <v>46176.0</v>
      </c>
      <c r="H443" s="193">
        <v>397.0</v>
      </c>
      <c r="I443" s="215">
        <v>46176.0</v>
      </c>
      <c r="J443" s="193" t="s">
        <v>669</v>
      </c>
      <c r="K443" s="193" t="s">
        <v>206</v>
      </c>
      <c r="L443" s="194" t="s">
        <v>144</v>
      </c>
      <c r="M443" s="199"/>
      <c r="N443" s="193" t="s">
        <v>227</v>
      </c>
      <c r="O443" s="193" t="s">
        <v>206</v>
      </c>
      <c r="P443" s="193" t="s">
        <v>206</v>
      </c>
      <c r="Q443" s="199"/>
      <c r="R443" s="193" t="s">
        <v>219</v>
      </c>
      <c r="S443" s="193" t="s">
        <v>45</v>
      </c>
      <c r="T443" s="193" t="s">
        <v>229</v>
      </c>
      <c r="U443" s="193" t="s">
        <v>820</v>
      </c>
      <c r="V443" s="193" t="s">
        <v>231</v>
      </c>
      <c r="W443" s="193" t="s">
        <v>212</v>
      </c>
      <c r="X443" s="193" t="s">
        <v>232</v>
      </c>
      <c r="Y443" s="200">
        <v>4.0</v>
      </c>
      <c r="Z443" s="202" t="s">
        <v>531</v>
      </c>
      <c r="AA443" s="202" t="s">
        <v>234</v>
      </c>
      <c r="AB443" s="203">
        <v>8068.57</v>
      </c>
      <c r="AC443" s="203">
        <v>41730.64</v>
      </c>
      <c r="AD443" s="204">
        <v>46199.0</v>
      </c>
      <c r="AE443" s="204">
        <v>46352.0</v>
      </c>
      <c r="AF443" s="226" t="s">
        <v>821</v>
      </c>
      <c r="AG443" s="219"/>
      <c r="AH443" s="219"/>
      <c r="AI443" s="219"/>
      <c r="AJ443" s="219"/>
      <c r="AK443" s="219"/>
      <c r="AL443" s="219"/>
      <c r="AM443" s="219"/>
      <c r="AN443" s="219"/>
      <c r="AO443" s="219"/>
    </row>
    <row r="444">
      <c r="A444" s="193">
        <v>17220.0</v>
      </c>
      <c r="B444" s="194" t="s">
        <v>203</v>
      </c>
      <c r="C444" s="193">
        <v>2026.0</v>
      </c>
      <c r="D444" s="195">
        <v>2048.0</v>
      </c>
      <c r="E444" s="193">
        <v>49.0</v>
      </c>
      <c r="F444" s="199"/>
      <c r="G444" s="248"/>
      <c r="H444" s="199"/>
      <c r="I444" s="220"/>
      <c r="J444" s="199"/>
      <c r="K444" s="193" t="s">
        <v>206</v>
      </c>
      <c r="L444" s="194" t="s">
        <v>144</v>
      </c>
      <c r="M444" s="199"/>
      <c r="N444" s="193" t="s">
        <v>227</v>
      </c>
      <c r="O444" s="193" t="s">
        <v>206</v>
      </c>
      <c r="P444" s="193" t="s">
        <v>206</v>
      </c>
      <c r="Q444" s="199"/>
      <c r="R444" s="193" t="s">
        <v>228</v>
      </c>
      <c r="S444" s="193" t="s">
        <v>48</v>
      </c>
      <c r="T444" s="193" t="s">
        <v>229</v>
      </c>
      <c r="U444" s="193" t="s">
        <v>820</v>
      </c>
      <c r="V444" s="193" t="s">
        <v>231</v>
      </c>
      <c r="W444" s="193" t="s">
        <v>212</v>
      </c>
      <c r="X444" s="193" t="s">
        <v>232</v>
      </c>
      <c r="Y444" s="200">
        <v>3.0</v>
      </c>
      <c r="Z444" s="202" t="s">
        <v>233</v>
      </c>
      <c r="AA444" s="202" t="s">
        <v>234</v>
      </c>
      <c r="AB444" s="221"/>
      <c r="AC444" s="203">
        <v>145000.0</v>
      </c>
      <c r="AD444" s="204">
        <v>46291.0</v>
      </c>
      <c r="AE444" s="204">
        <v>46352.0</v>
      </c>
      <c r="AF444" s="205"/>
      <c r="AG444" s="219"/>
      <c r="AH444" s="219"/>
      <c r="AI444" s="219"/>
      <c r="AJ444" s="219"/>
      <c r="AK444" s="219"/>
      <c r="AL444" s="219"/>
      <c r="AM444" s="219"/>
      <c r="AN444" s="219"/>
      <c r="AO444" s="219"/>
    </row>
    <row r="445">
      <c r="A445" s="193">
        <v>17240.0</v>
      </c>
      <c r="B445" s="194" t="s">
        <v>203</v>
      </c>
      <c r="C445" s="193">
        <v>2026.0</v>
      </c>
      <c r="D445" s="195">
        <v>2048.0</v>
      </c>
      <c r="E445" s="199"/>
      <c r="F445" s="193" t="s">
        <v>272</v>
      </c>
      <c r="G445" s="248"/>
      <c r="H445" s="199"/>
      <c r="I445" s="235"/>
      <c r="J445" s="199"/>
      <c r="K445" s="193" t="s">
        <v>206</v>
      </c>
      <c r="L445" s="194" t="s">
        <v>144</v>
      </c>
      <c r="M445" s="199"/>
      <c r="N445" s="193" t="s">
        <v>337</v>
      </c>
      <c r="O445" s="193" t="s">
        <v>206</v>
      </c>
      <c r="P445" s="193" t="s">
        <v>206</v>
      </c>
      <c r="Q445" s="199"/>
      <c r="R445" s="193" t="s">
        <v>228</v>
      </c>
      <c r="S445" s="193" t="s">
        <v>48</v>
      </c>
      <c r="T445" s="193" t="s">
        <v>358</v>
      </c>
      <c r="U445" s="193" t="s">
        <v>473</v>
      </c>
      <c r="V445" s="193" t="s">
        <v>231</v>
      </c>
      <c r="W445" s="193" t="s">
        <v>212</v>
      </c>
      <c r="X445" s="193" t="s">
        <v>232</v>
      </c>
      <c r="Y445" s="200">
        <v>3.0</v>
      </c>
      <c r="Z445" s="202" t="s">
        <v>233</v>
      </c>
      <c r="AA445" s="202" t="s">
        <v>234</v>
      </c>
      <c r="AB445" s="221"/>
      <c r="AC445" s="203" t="s">
        <v>275</v>
      </c>
      <c r="AD445" s="204">
        <v>46291.0</v>
      </c>
      <c r="AE445" s="204">
        <v>46352.0</v>
      </c>
      <c r="AF445" s="226" t="s">
        <v>822</v>
      </c>
      <c r="AG445" s="219"/>
      <c r="AH445" s="219"/>
      <c r="AI445" s="219"/>
      <c r="AJ445" s="219"/>
      <c r="AK445" s="219"/>
      <c r="AL445" s="219"/>
      <c r="AM445" s="219"/>
      <c r="AN445" s="219"/>
      <c r="AO445" s="219"/>
    </row>
    <row r="446">
      <c r="A446" s="193">
        <v>17260.0</v>
      </c>
      <c r="B446" s="232" t="s">
        <v>264</v>
      </c>
      <c r="C446" s="193">
        <v>2026.0</v>
      </c>
      <c r="D446" s="199"/>
      <c r="E446" s="199"/>
      <c r="F446" s="199"/>
      <c r="G446" s="248"/>
      <c r="H446" s="199"/>
      <c r="I446" s="235"/>
      <c r="J446" s="199"/>
      <c r="K446" s="193" t="s">
        <v>206</v>
      </c>
      <c r="L446" s="232" t="s">
        <v>146</v>
      </c>
      <c r="M446" s="199"/>
      <c r="N446" s="193" t="s">
        <v>227</v>
      </c>
      <c r="O446" s="193" t="s">
        <v>206</v>
      </c>
      <c r="P446" s="193" t="s">
        <v>206</v>
      </c>
      <c r="Q446" s="199"/>
      <c r="R446" s="193" t="s">
        <v>279</v>
      </c>
      <c r="S446" s="193" t="s">
        <v>50</v>
      </c>
      <c r="T446" s="193" t="s">
        <v>229</v>
      </c>
      <c r="U446" s="193" t="s">
        <v>581</v>
      </c>
      <c r="V446" s="193" t="s">
        <v>50</v>
      </c>
      <c r="W446" s="193" t="s">
        <v>264</v>
      </c>
      <c r="X446" s="193" t="s">
        <v>232</v>
      </c>
      <c r="Y446" s="200">
        <v>3.0</v>
      </c>
      <c r="Z446" s="202" t="s">
        <v>233</v>
      </c>
      <c r="AA446" s="202" t="s">
        <v>234</v>
      </c>
      <c r="AB446" s="221"/>
      <c r="AC446" s="203">
        <v>280000.0</v>
      </c>
      <c r="AD446" s="204">
        <v>46291.0</v>
      </c>
      <c r="AE446" s="204">
        <v>46352.0</v>
      </c>
      <c r="AF446" s="226" t="s">
        <v>271</v>
      </c>
      <c r="AG446" s="219"/>
      <c r="AH446" s="219"/>
      <c r="AI446" s="219"/>
      <c r="AJ446" s="219"/>
      <c r="AK446" s="219"/>
      <c r="AL446" s="219"/>
      <c r="AM446" s="219"/>
      <c r="AN446" s="219"/>
      <c r="AO446" s="219"/>
    </row>
    <row r="447">
      <c r="A447" s="193">
        <v>17261.0</v>
      </c>
      <c r="B447" s="194" t="s">
        <v>203</v>
      </c>
      <c r="C447" s="193">
        <v>2026.0</v>
      </c>
      <c r="D447" s="195">
        <v>2048.0</v>
      </c>
      <c r="E447" s="199"/>
      <c r="F447" s="193" t="s">
        <v>204</v>
      </c>
      <c r="G447" s="230">
        <v>46192.0</v>
      </c>
      <c r="H447" s="193">
        <v>463.0</v>
      </c>
      <c r="I447" s="223">
        <v>46192.0</v>
      </c>
      <c r="J447" s="193" t="s">
        <v>458</v>
      </c>
      <c r="K447" s="193" t="s">
        <v>206</v>
      </c>
      <c r="L447" s="194" t="s">
        <v>144</v>
      </c>
      <c r="M447" s="199"/>
      <c r="N447" s="193" t="s">
        <v>227</v>
      </c>
      <c r="O447" s="193" t="s">
        <v>206</v>
      </c>
      <c r="P447" s="193" t="s">
        <v>206</v>
      </c>
      <c r="Q447" s="199"/>
      <c r="R447" s="193" t="s">
        <v>279</v>
      </c>
      <c r="S447" s="193" t="s">
        <v>50</v>
      </c>
      <c r="T447" s="193" t="s">
        <v>229</v>
      </c>
      <c r="U447" s="193" t="s">
        <v>581</v>
      </c>
      <c r="V447" s="193" t="s">
        <v>50</v>
      </c>
      <c r="W447" s="193" t="s">
        <v>264</v>
      </c>
      <c r="X447" s="193" t="s">
        <v>232</v>
      </c>
      <c r="Y447" s="200">
        <v>3.0</v>
      </c>
      <c r="Z447" s="202" t="s">
        <v>233</v>
      </c>
      <c r="AA447" s="202" t="s">
        <v>234</v>
      </c>
      <c r="AB447" s="203">
        <v>1499.05</v>
      </c>
      <c r="AC447" s="203">
        <v>7800.0</v>
      </c>
      <c r="AD447" s="204">
        <v>46199.0</v>
      </c>
      <c r="AE447" s="204">
        <v>46260.0</v>
      </c>
      <c r="AF447" s="226" t="s">
        <v>823</v>
      </c>
      <c r="AG447" s="219"/>
      <c r="AH447" s="219"/>
      <c r="AI447" s="219"/>
      <c r="AJ447" s="219"/>
      <c r="AK447" s="219"/>
      <c r="AL447" s="219"/>
      <c r="AM447" s="219"/>
      <c r="AN447" s="219"/>
      <c r="AO447" s="219"/>
    </row>
    <row r="448">
      <c r="A448" s="193">
        <v>17280.0</v>
      </c>
      <c r="B448" s="232" t="s">
        <v>264</v>
      </c>
      <c r="C448" s="193">
        <v>2026.0</v>
      </c>
      <c r="D448" s="199"/>
      <c r="E448" s="199"/>
      <c r="F448" s="199"/>
      <c r="G448" s="248"/>
      <c r="H448" s="199"/>
      <c r="I448" s="235"/>
      <c r="J448" s="199"/>
      <c r="K448" s="193" t="s">
        <v>206</v>
      </c>
      <c r="L448" s="232" t="s">
        <v>146</v>
      </c>
      <c r="M448" s="199"/>
      <c r="N448" s="193" t="s">
        <v>227</v>
      </c>
      <c r="O448" s="193" t="s">
        <v>206</v>
      </c>
      <c r="P448" s="193" t="s">
        <v>206</v>
      </c>
      <c r="Q448" s="207"/>
      <c r="R448" s="208" t="s">
        <v>279</v>
      </c>
      <c r="S448" s="193" t="s">
        <v>50</v>
      </c>
      <c r="T448" s="193" t="s">
        <v>229</v>
      </c>
      <c r="U448" s="193" t="s">
        <v>581</v>
      </c>
      <c r="V448" s="193" t="s">
        <v>50</v>
      </c>
      <c r="W448" s="193" t="s">
        <v>264</v>
      </c>
      <c r="X448" s="193" t="s">
        <v>232</v>
      </c>
      <c r="Y448" s="200">
        <v>3.0</v>
      </c>
      <c r="Z448" s="202" t="s">
        <v>233</v>
      </c>
      <c r="AA448" s="202" t="s">
        <v>234</v>
      </c>
      <c r="AB448" s="221"/>
      <c r="AC448" s="203">
        <v>82000.0</v>
      </c>
      <c r="AD448" s="204">
        <v>46291.0</v>
      </c>
      <c r="AE448" s="204">
        <v>46352.0</v>
      </c>
      <c r="AF448" s="205"/>
      <c r="AG448" s="219"/>
      <c r="AH448" s="219"/>
      <c r="AI448" s="219"/>
      <c r="AJ448" s="219"/>
      <c r="AK448" s="219"/>
      <c r="AL448" s="219"/>
      <c r="AM448" s="219"/>
      <c r="AN448" s="219"/>
      <c r="AO448" s="219"/>
    </row>
    <row r="449">
      <c r="A449" s="193">
        <v>17300.0</v>
      </c>
      <c r="B449" s="232" t="s">
        <v>264</v>
      </c>
      <c r="C449" s="193">
        <v>2026.0</v>
      </c>
      <c r="D449" s="199"/>
      <c r="E449" s="199"/>
      <c r="F449" s="199"/>
      <c r="G449" s="235"/>
      <c r="H449" s="199"/>
      <c r="I449" s="235"/>
      <c r="J449" s="199"/>
      <c r="K449" s="193" t="s">
        <v>206</v>
      </c>
      <c r="L449" s="232" t="s">
        <v>146</v>
      </c>
      <c r="M449" s="199"/>
      <c r="N449" s="193" t="s">
        <v>227</v>
      </c>
      <c r="O449" s="193" t="s">
        <v>206</v>
      </c>
      <c r="P449" s="193" t="s">
        <v>206</v>
      </c>
      <c r="Q449" s="207"/>
      <c r="R449" s="208" t="s">
        <v>279</v>
      </c>
      <c r="S449" s="193" t="s">
        <v>50</v>
      </c>
      <c r="T449" s="193" t="s">
        <v>229</v>
      </c>
      <c r="U449" s="193" t="s">
        <v>473</v>
      </c>
      <c r="V449" s="193" t="s">
        <v>50</v>
      </c>
      <c r="W449" s="193" t="s">
        <v>264</v>
      </c>
      <c r="X449" s="193" t="s">
        <v>232</v>
      </c>
      <c r="Y449" s="200">
        <v>3.0</v>
      </c>
      <c r="Z449" s="202" t="s">
        <v>233</v>
      </c>
      <c r="AA449" s="202" t="s">
        <v>234</v>
      </c>
      <c r="AB449" s="221"/>
      <c r="AC449" s="203">
        <v>82000.0</v>
      </c>
      <c r="AD449" s="204">
        <v>46291.0</v>
      </c>
      <c r="AE449" s="204">
        <v>46352.0</v>
      </c>
      <c r="AF449" s="205"/>
      <c r="AG449" s="219"/>
      <c r="AH449" s="219"/>
      <c r="AI449" s="219"/>
      <c r="AJ449" s="219"/>
      <c r="AK449" s="219"/>
      <c r="AL449" s="219"/>
      <c r="AM449" s="219"/>
      <c r="AN449" s="219"/>
      <c r="AO449" s="219"/>
    </row>
    <row r="450">
      <c r="A450" s="193">
        <v>17320.0</v>
      </c>
      <c r="B450" s="232" t="s">
        <v>264</v>
      </c>
      <c r="C450" s="193">
        <v>2026.0</v>
      </c>
      <c r="D450" s="199"/>
      <c r="E450" s="199"/>
      <c r="F450" s="199"/>
      <c r="G450" s="248"/>
      <c r="H450" s="199"/>
      <c r="I450" s="235"/>
      <c r="J450" s="199"/>
      <c r="K450" s="193" t="s">
        <v>206</v>
      </c>
      <c r="L450" s="232" t="s">
        <v>146</v>
      </c>
      <c r="M450" s="199"/>
      <c r="N450" s="193" t="s">
        <v>227</v>
      </c>
      <c r="O450" s="193" t="s">
        <v>206</v>
      </c>
      <c r="P450" s="193" t="s">
        <v>206</v>
      </c>
      <c r="Q450" s="207"/>
      <c r="R450" s="208" t="s">
        <v>279</v>
      </c>
      <c r="S450" s="193" t="s">
        <v>50</v>
      </c>
      <c r="T450" s="193" t="s">
        <v>229</v>
      </c>
      <c r="U450" s="193" t="s">
        <v>473</v>
      </c>
      <c r="V450" s="193" t="s">
        <v>50</v>
      </c>
      <c r="W450" s="193" t="s">
        <v>264</v>
      </c>
      <c r="X450" s="193" t="s">
        <v>232</v>
      </c>
      <c r="Y450" s="200">
        <v>3.0</v>
      </c>
      <c r="Z450" s="202" t="s">
        <v>233</v>
      </c>
      <c r="AA450" s="202" t="s">
        <v>234</v>
      </c>
      <c r="AB450" s="221"/>
      <c r="AC450" s="203">
        <v>380000.0</v>
      </c>
      <c r="AD450" s="204">
        <v>46291.0</v>
      </c>
      <c r="AE450" s="204">
        <v>46352.0</v>
      </c>
      <c r="AF450" s="205"/>
      <c r="AG450" s="219"/>
      <c r="AH450" s="219"/>
      <c r="AI450" s="219"/>
      <c r="AJ450" s="219"/>
      <c r="AK450" s="219"/>
      <c r="AL450" s="219"/>
      <c r="AM450" s="219"/>
      <c r="AN450" s="219"/>
      <c r="AO450" s="219"/>
    </row>
    <row r="451">
      <c r="A451" s="193">
        <v>17340.0</v>
      </c>
      <c r="B451" s="232" t="s">
        <v>264</v>
      </c>
      <c r="C451" s="193">
        <v>2026.0</v>
      </c>
      <c r="D451" s="199"/>
      <c r="E451" s="199"/>
      <c r="F451" s="199"/>
      <c r="G451" s="248"/>
      <c r="H451" s="199"/>
      <c r="I451" s="235"/>
      <c r="J451" s="199"/>
      <c r="K451" s="193" t="s">
        <v>206</v>
      </c>
      <c r="L451" s="232" t="s">
        <v>146</v>
      </c>
      <c r="M451" s="199"/>
      <c r="N451" s="193" t="s">
        <v>227</v>
      </c>
      <c r="O451" s="193" t="s">
        <v>206</v>
      </c>
      <c r="P451" s="193" t="s">
        <v>206</v>
      </c>
      <c r="Q451" s="199"/>
      <c r="R451" s="193" t="s">
        <v>279</v>
      </c>
      <c r="S451" s="193" t="s">
        <v>50</v>
      </c>
      <c r="T451" s="193" t="s">
        <v>229</v>
      </c>
      <c r="U451" s="193" t="s">
        <v>581</v>
      </c>
      <c r="V451" s="193" t="s">
        <v>50</v>
      </c>
      <c r="W451" s="193" t="s">
        <v>264</v>
      </c>
      <c r="X451" s="193" t="s">
        <v>232</v>
      </c>
      <c r="Y451" s="200">
        <v>3.0</v>
      </c>
      <c r="Z451" s="202" t="s">
        <v>233</v>
      </c>
      <c r="AA451" s="202" t="s">
        <v>234</v>
      </c>
      <c r="AB451" s="221"/>
      <c r="AC451" s="203">
        <v>250000.0</v>
      </c>
      <c r="AD451" s="204">
        <v>46291.0</v>
      </c>
      <c r="AE451" s="204">
        <v>46352.0</v>
      </c>
      <c r="AF451" s="205"/>
      <c r="AG451" s="219"/>
      <c r="AH451" s="219"/>
      <c r="AI451" s="219"/>
      <c r="AJ451" s="219"/>
      <c r="AK451" s="219"/>
      <c r="AL451" s="219"/>
      <c r="AM451" s="219"/>
      <c r="AN451" s="219"/>
      <c r="AO451" s="219"/>
    </row>
    <row r="452">
      <c r="A452" s="193">
        <v>17360.0</v>
      </c>
      <c r="B452" s="232" t="s">
        <v>264</v>
      </c>
      <c r="C452" s="193">
        <v>2026.0</v>
      </c>
      <c r="D452" s="199"/>
      <c r="E452" s="199"/>
      <c r="F452" s="199"/>
      <c r="G452" s="235"/>
      <c r="H452" s="199"/>
      <c r="I452" s="235"/>
      <c r="J452" s="199"/>
      <c r="K452" s="193" t="s">
        <v>206</v>
      </c>
      <c r="L452" s="232" t="s">
        <v>146</v>
      </c>
      <c r="M452" s="199"/>
      <c r="N452" s="193" t="s">
        <v>227</v>
      </c>
      <c r="O452" s="193" t="s">
        <v>206</v>
      </c>
      <c r="P452" s="193" t="s">
        <v>206</v>
      </c>
      <c r="Q452" s="199"/>
      <c r="R452" s="193" t="s">
        <v>279</v>
      </c>
      <c r="S452" s="193" t="s">
        <v>50</v>
      </c>
      <c r="T452" s="193" t="s">
        <v>229</v>
      </c>
      <c r="U452" s="193" t="s">
        <v>581</v>
      </c>
      <c r="V452" s="193" t="s">
        <v>50</v>
      </c>
      <c r="W452" s="193" t="s">
        <v>264</v>
      </c>
      <c r="X452" s="193" t="s">
        <v>232</v>
      </c>
      <c r="Y452" s="200">
        <v>3.0</v>
      </c>
      <c r="Z452" s="202" t="s">
        <v>233</v>
      </c>
      <c r="AA452" s="202" t="s">
        <v>234</v>
      </c>
      <c r="AB452" s="221"/>
      <c r="AC452" s="203">
        <v>50000.0</v>
      </c>
      <c r="AD452" s="204">
        <v>46291.0</v>
      </c>
      <c r="AE452" s="204">
        <v>46352.0</v>
      </c>
      <c r="AF452" s="205"/>
      <c r="AG452" s="219"/>
      <c r="AH452" s="219"/>
      <c r="AI452" s="219"/>
      <c r="AJ452" s="219"/>
      <c r="AK452" s="219"/>
      <c r="AL452" s="219"/>
      <c r="AM452" s="219"/>
      <c r="AN452" s="219"/>
      <c r="AO452" s="219"/>
    </row>
    <row r="453">
      <c r="A453" s="193">
        <v>17380.0</v>
      </c>
      <c r="B453" s="232" t="s">
        <v>264</v>
      </c>
      <c r="C453" s="193">
        <v>2026.0</v>
      </c>
      <c r="D453" s="199"/>
      <c r="E453" s="199"/>
      <c r="F453" s="199"/>
      <c r="G453" s="248"/>
      <c r="H453" s="199"/>
      <c r="I453" s="220"/>
      <c r="J453" s="199"/>
      <c r="K453" s="193" t="s">
        <v>206</v>
      </c>
      <c r="L453" s="232" t="s">
        <v>146</v>
      </c>
      <c r="M453" s="199"/>
      <c r="N453" s="193" t="s">
        <v>227</v>
      </c>
      <c r="O453" s="193" t="s">
        <v>206</v>
      </c>
      <c r="P453" s="193" t="s">
        <v>206</v>
      </c>
      <c r="Q453" s="199"/>
      <c r="R453" s="193" t="s">
        <v>279</v>
      </c>
      <c r="S453" s="193" t="s">
        <v>50</v>
      </c>
      <c r="T453" s="193" t="s">
        <v>229</v>
      </c>
      <c r="U453" s="193" t="s">
        <v>581</v>
      </c>
      <c r="V453" s="193" t="s">
        <v>50</v>
      </c>
      <c r="W453" s="193" t="s">
        <v>264</v>
      </c>
      <c r="X453" s="193" t="s">
        <v>232</v>
      </c>
      <c r="Y453" s="200">
        <v>3.0</v>
      </c>
      <c r="Z453" s="202" t="s">
        <v>233</v>
      </c>
      <c r="AA453" s="202" t="s">
        <v>234</v>
      </c>
      <c r="AB453" s="221"/>
      <c r="AC453" s="203">
        <v>497000.0</v>
      </c>
      <c r="AD453" s="204">
        <v>46291.0</v>
      </c>
      <c r="AE453" s="204">
        <v>46352.0</v>
      </c>
      <c r="AF453" s="205"/>
      <c r="AG453" s="219"/>
      <c r="AH453" s="219"/>
      <c r="AI453" s="219"/>
      <c r="AJ453" s="219"/>
      <c r="AK453" s="219"/>
      <c r="AL453" s="219"/>
      <c r="AM453" s="219"/>
      <c r="AN453" s="219"/>
      <c r="AO453" s="219"/>
    </row>
    <row r="454">
      <c r="A454" s="193">
        <v>17400.0</v>
      </c>
      <c r="B454" s="232" t="s">
        <v>264</v>
      </c>
      <c r="C454" s="193">
        <v>2026.0</v>
      </c>
      <c r="D454" s="199"/>
      <c r="E454" s="199"/>
      <c r="F454" s="199"/>
      <c r="G454" s="248"/>
      <c r="H454" s="199"/>
      <c r="I454" s="220"/>
      <c r="J454" s="199"/>
      <c r="K454" s="193" t="s">
        <v>206</v>
      </c>
      <c r="L454" s="232" t="s">
        <v>146</v>
      </c>
      <c r="M454" s="199"/>
      <c r="N454" s="193" t="s">
        <v>227</v>
      </c>
      <c r="O454" s="193" t="s">
        <v>206</v>
      </c>
      <c r="P454" s="193" t="s">
        <v>206</v>
      </c>
      <c r="Q454" s="207"/>
      <c r="R454" s="208" t="s">
        <v>279</v>
      </c>
      <c r="S454" s="193" t="s">
        <v>50</v>
      </c>
      <c r="T454" s="193" t="s">
        <v>229</v>
      </c>
      <c r="U454" s="193" t="s">
        <v>581</v>
      </c>
      <c r="V454" s="193" t="s">
        <v>50</v>
      </c>
      <c r="W454" s="193" t="s">
        <v>264</v>
      </c>
      <c r="X454" s="193" t="s">
        <v>232</v>
      </c>
      <c r="Y454" s="200">
        <v>3.0</v>
      </c>
      <c r="Z454" s="202" t="s">
        <v>233</v>
      </c>
      <c r="AA454" s="202" t="s">
        <v>234</v>
      </c>
      <c r="AB454" s="221"/>
      <c r="AC454" s="203">
        <v>68000.0</v>
      </c>
      <c r="AD454" s="204">
        <v>46291.0</v>
      </c>
      <c r="AE454" s="204">
        <v>46352.0</v>
      </c>
      <c r="AF454" s="205"/>
      <c r="AG454" s="219"/>
      <c r="AH454" s="219"/>
      <c r="AI454" s="219"/>
      <c r="AJ454" s="219"/>
      <c r="AK454" s="219"/>
      <c r="AL454" s="219"/>
      <c r="AM454" s="219"/>
      <c r="AN454" s="219"/>
      <c r="AO454" s="219"/>
    </row>
    <row r="455">
      <c r="A455" s="193">
        <v>17420.0</v>
      </c>
      <c r="B455" s="232" t="s">
        <v>264</v>
      </c>
      <c r="C455" s="193">
        <v>2026.0</v>
      </c>
      <c r="D455" s="199"/>
      <c r="E455" s="199"/>
      <c r="F455" s="199"/>
      <c r="G455" s="248"/>
      <c r="H455" s="199"/>
      <c r="I455" s="235"/>
      <c r="J455" s="199"/>
      <c r="K455" s="193" t="s">
        <v>206</v>
      </c>
      <c r="L455" s="232" t="s">
        <v>146</v>
      </c>
      <c r="M455" s="199"/>
      <c r="N455" s="193" t="s">
        <v>227</v>
      </c>
      <c r="O455" s="193" t="s">
        <v>206</v>
      </c>
      <c r="P455" s="193" t="s">
        <v>206</v>
      </c>
      <c r="Q455" s="207"/>
      <c r="R455" s="208" t="s">
        <v>279</v>
      </c>
      <c r="S455" s="193" t="s">
        <v>50</v>
      </c>
      <c r="T455" s="193" t="s">
        <v>229</v>
      </c>
      <c r="U455" s="193" t="s">
        <v>581</v>
      </c>
      <c r="V455" s="193" t="s">
        <v>50</v>
      </c>
      <c r="W455" s="193" t="s">
        <v>264</v>
      </c>
      <c r="X455" s="193" t="s">
        <v>232</v>
      </c>
      <c r="Y455" s="200">
        <v>3.0</v>
      </c>
      <c r="Z455" s="202" t="s">
        <v>233</v>
      </c>
      <c r="AA455" s="202" t="s">
        <v>234</v>
      </c>
      <c r="AB455" s="221"/>
      <c r="AC455" s="203">
        <v>380000.0</v>
      </c>
      <c r="AD455" s="204">
        <v>46291.0</v>
      </c>
      <c r="AE455" s="204">
        <v>46352.0</v>
      </c>
      <c r="AF455" s="205"/>
      <c r="AG455" s="219"/>
      <c r="AH455" s="219"/>
      <c r="AI455" s="219"/>
      <c r="AJ455" s="219"/>
      <c r="AK455" s="219"/>
      <c r="AL455" s="219"/>
      <c r="AM455" s="219"/>
      <c r="AN455" s="219"/>
      <c r="AO455" s="219"/>
    </row>
    <row r="456">
      <c r="A456" s="193">
        <v>17440.0</v>
      </c>
      <c r="B456" s="232" t="s">
        <v>264</v>
      </c>
      <c r="C456" s="193">
        <v>2026.0</v>
      </c>
      <c r="D456" s="199"/>
      <c r="E456" s="199"/>
      <c r="F456" s="199"/>
      <c r="G456" s="248"/>
      <c r="H456" s="199"/>
      <c r="I456" s="220"/>
      <c r="J456" s="199"/>
      <c r="K456" s="193" t="s">
        <v>206</v>
      </c>
      <c r="L456" s="232" t="s">
        <v>146</v>
      </c>
      <c r="M456" s="199"/>
      <c r="N456" s="193" t="s">
        <v>227</v>
      </c>
      <c r="O456" s="193" t="s">
        <v>206</v>
      </c>
      <c r="P456" s="193" t="s">
        <v>206</v>
      </c>
      <c r="Q456" s="207"/>
      <c r="R456" s="208" t="s">
        <v>279</v>
      </c>
      <c r="S456" s="193" t="s">
        <v>50</v>
      </c>
      <c r="T456" s="193" t="s">
        <v>229</v>
      </c>
      <c r="U456" s="193" t="s">
        <v>473</v>
      </c>
      <c r="V456" s="193" t="s">
        <v>50</v>
      </c>
      <c r="W456" s="193" t="s">
        <v>264</v>
      </c>
      <c r="X456" s="193" t="s">
        <v>232</v>
      </c>
      <c r="Y456" s="200">
        <v>3.0</v>
      </c>
      <c r="Z456" s="202" t="s">
        <v>233</v>
      </c>
      <c r="AA456" s="202" t="s">
        <v>234</v>
      </c>
      <c r="AB456" s="221"/>
      <c r="AC456" s="203">
        <v>50000.0</v>
      </c>
      <c r="AD456" s="204">
        <v>46291.0</v>
      </c>
      <c r="AE456" s="204">
        <v>46352.0</v>
      </c>
      <c r="AF456" s="205"/>
      <c r="AG456" s="219"/>
      <c r="AH456" s="219"/>
      <c r="AI456" s="219"/>
      <c r="AJ456" s="219"/>
      <c r="AK456" s="219"/>
      <c r="AL456" s="219"/>
      <c r="AM456" s="219"/>
      <c r="AN456" s="219"/>
      <c r="AO456" s="219"/>
    </row>
    <row r="457">
      <c r="A457" s="193">
        <v>17460.0</v>
      </c>
      <c r="B457" s="232" t="s">
        <v>264</v>
      </c>
      <c r="C457" s="193">
        <v>2026.0</v>
      </c>
      <c r="D457" s="199"/>
      <c r="E457" s="199"/>
      <c r="F457" s="199"/>
      <c r="G457" s="248"/>
      <c r="H457" s="199"/>
      <c r="I457" s="235"/>
      <c r="J457" s="199"/>
      <c r="K457" s="193" t="s">
        <v>206</v>
      </c>
      <c r="L457" s="232" t="s">
        <v>146</v>
      </c>
      <c r="M457" s="199"/>
      <c r="N457" s="193" t="s">
        <v>227</v>
      </c>
      <c r="O457" s="193" t="s">
        <v>206</v>
      </c>
      <c r="P457" s="193" t="s">
        <v>206</v>
      </c>
      <c r="Q457" s="207"/>
      <c r="R457" s="208" t="s">
        <v>279</v>
      </c>
      <c r="S457" s="193" t="s">
        <v>50</v>
      </c>
      <c r="T457" s="193" t="s">
        <v>347</v>
      </c>
      <c r="U457" s="193" t="s">
        <v>824</v>
      </c>
      <c r="V457" s="193" t="s">
        <v>50</v>
      </c>
      <c r="W457" s="193" t="s">
        <v>264</v>
      </c>
      <c r="X457" s="193" t="s">
        <v>232</v>
      </c>
      <c r="Y457" s="200">
        <v>3.0</v>
      </c>
      <c r="Z457" s="202" t="s">
        <v>233</v>
      </c>
      <c r="AA457" s="202" t="s">
        <v>234</v>
      </c>
      <c r="AB457" s="221"/>
      <c r="AC457" s="203">
        <v>1540627.24</v>
      </c>
      <c r="AD457" s="204">
        <v>46291.0</v>
      </c>
      <c r="AE457" s="204">
        <v>46352.0</v>
      </c>
      <c r="AF457" s="205"/>
      <c r="AG457" s="219"/>
      <c r="AH457" s="219"/>
      <c r="AI457" s="219"/>
      <c r="AJ457" s="219"/>
      <c r="AK457" s="219"/>
      <c r="AL457" s="219"/>
      <c r="AM457" s="219"/>
      <c r="AN457" s="219"/>
      <c r="AO457" s="219"/>
    </row>
    <row r="458">
      <c r="A458" s="193">
        <v>17480.0</v>
      </c>
      <c r="B458" s="194" t="s">
        <v>203</v>
      </c>
      <c r="C458" s="193">
        <v>2026.0</v>
      </c>
      <c r="D458" s="195">
        <v>2048.0</v>
      </c>
      <c r="E458" s="199"/>
      <c r="F458" s="193" t="s">
        <v>272</v>
      </c>
      <c r="G458" s="233"/>
      <c r="H458" s="199"/>
      <c r="I458" s="233"/>
      <c r="J458" s="199"/>
      <c r="K458" s="193" t="s">
        <v>206</v>
      </c>
      <c r="L458" s="194" t="s">
        <v>144</v>
      </c>
      <c r="M458" s="199"/>
      <c r="N458" s="193" t="s">
        <v>207</v>
      </c>
      <c r="O458" s="193" t="s">
        <v>206</v>
      </c>
      <c r="P458" s="193" t="s">
        <v>206</v>
      </c>
      <c r="Q458" s="207"/>
      <c r="R458" s="208" t="s">
        <v>228</v>
      </c>
      <c r="S458" s="193" t="s">
        <v>47</v>
      </c>
      <c r="T458" s="193" t="s">
        <v>464</v>
      </c>
      <c r="U458" s="193" t="s">
        <v>825</v>
      </c>
      <c r="V458" s="193" t="s">
        <v>382</v>
      </c>
      <c r="W458" s="193" t="s">
        <v>212</v>
      </c>
      <c r="X458" s="193" t="s">
        <v>252</v>
      </c>
      <c r="Y458" s="200">
        <v>3.0</v>
      </c>
      <c r="Z458" s="202" t="s">
        <v>214</v>
      </c>
      <c r="AA458" s="202" t="s">
        <v>215</v>
      </c>
      <c r="AB458" s="203" t="s">
        <v>275</v>
      </c>
      <c r="AC458" s="203" t="s">
        <v>275</v>
      </c>
      <c r="AD458" s="204">
        <v>46321.0</v>
      </c>
      <c r="AE458" s="204">
        <v>46382.0</v>
      </c>
      <c r="AF458" s="226" t="s">
        <v>826</v>
      </c>
      <c r="AG458" s="219"/>
      <c r="AH458" s="219"/>
      <c r="AI458" s="219"/>
      <c r="AJ458" s="219"/>
      <c r="AK458" s="219"/>
      <c r="AL458" s="219"/>
      <c r="AM458" s="219"/>
      <c r="AN458" s="219"/>
      <c r="AO458" s="219"/>
    </row>
    <row r="459">
      <c r="A459" s="193">
        <v>17500.0</v>
      </c>
      <c r="B459" s="194" t="s">
        <v>203</v>
      </c>
      <c r="C459" s="193">
        <v>2026.0</v>
      </c>
      <c r="D459" s="195">
        <v>2048.0</v>
      </c>
      <c r="E459" s="199"/>
      <c r="F459" s="199"/>
      <c r="G459" s="248"/>
      <c r="H459" s="199"/>
      <c r="I459" s="248"/>
      <c r="J459" s="199"/>
      <c r="K459" s="193" t="s">
        <v>206</v>
      </c>
      <c r="L459" s="194" t="s">
        <v>144</v>
      </c>
      <c r="M459" s="199"/>
      <c r="N459" s="193" t="s">
        <v>207</v>
      </c>
      <c r="O459" s="193" t="s">
        <v>206</v>
      </c>
      <c r="P459" s="193" t="s">
        <v>206</v>
      </c>
      <c r="Q459" s="207"/>
      <c r="R459" s="208" t="s">
        <v>228</v>
      </c>
      <c r="S459" s="193" t="s">
        <v>46</v>
      </c>
      <c r="T459" s="193" t="s">
        <v>464</v>
      </c>
      <c r="U459" s="193" t="s">
        <v>825</v>
      </c>
      <c r="V459" s="193" t="s">
        <v>382</v>
      </c>
      <c r="W459" s="193" t="s">
        <v>212</v>
      </c>
      <c r="X459" s="193" t="s">
        <v>252</v>
      </c>
      <c r="Y459" s="200">
        <v>3.0</v>
      </c>
      <c r="Z459" s="202" t="s">
        <v>214</v>
      </c>
      <c r="AA459" s="202" t="s">
        <v>215</v>
      </c>
      <c r="AB459" s="203">
        <v>270000.0</v>
      </c>
      <c r="AC459" s="203">
        <v>266904.57</v>
      </c>
      <c r="AD459" s="204">
        <v>46291.0</v>
      </c>
      <c r="AE459" s="204">
        <v>46321.0</v>
      </c>
      <c r="AF459" s="205"/>
      <c r="AG459" s="219"/>
      <c r="AH459" s="219"/>
      <c r="AI459" s="219"/>
      <c r="AJ459" s="219"/>
      <c r="AK459" s="219"/>
      <c r="AL459" s="219"/>
      <c r="AM459" s="219"/>
      <c r="AN459" s="219"/>
      <c r="AO459" s="219"/>
    </row>
    <row r="460">
      <c r="A460" s="193">
        <v>17501.0</v>
      </c>
      <c r="B460" s="194" t="s">
        <v>203</v>
      </c>
      <c r="C460" s="193">
        <v>2026.0</v>
      </c>
      <c r="D460" s="195">
        <v>2048.0</v>
      </c>
      <c r="E460" s="199"/>
      <c r="F460" s="193" t="s">
        <v>204</v>
      </c>
      <c r="G460" s="245">
        <v>46118.0</v>
      </c>
      <c r="H460" s="193">
        <v>249.0</v>
      </c>
      <c r="I460" s="245">
        <v>46118.0</v>
      </c>
      <c r="J460" s="193" t="s">
        <v>240</v>
      </c>
      <c r="K460" s="193" t="s">
        <v>206</v>
      </c>
      <c r="L460" s="194" t="s">
        <v>144</v>
      </c>
      <c r="M460" s="199"/>
      <c r="N460" s="193" t="s">
        <v>207</v>
      </c>
      <c r="O460" s="193" t="s">
        <v>206</v>
      </c>
      <c r="P460" s="193" t="s">
        <v>206</v>
      </c>
      <c r="Q460" s="207"/>
      <c r="R460" s="208" t="s">
        <v>228</v>
      </c>
      <c r="S460" s="193" t="s">
        <v>46</v>
      </c>
      <c r="T460" s="193" t="s">
        <v>464</v>
      </c>
      <c r="U460" s="193" t="s">
        <v>825</v>
      </c>
      <c r="V460" s="193" t="s">
        <v>382</v>
      </c>
      <c r="W460" s="193" t="s">
        <v>212</v>
      </c>
      <c r="X460" s="193" t="s">
        <v>252</v>
      </c>
      <c r="Y460" s="200">
        <v>3.0</v>
      </c>
      <c r="Z460" s="202" t="s">
        <v>214</v>
      </c>
      <c r="AA460" s="202" t="s">
        <v>215</v>
      </c>
      <c r="AB460" s="203">
        <v>60000.0</v>
      </c>
      <c r="AC460" s="203">
        <v>60000.0</v>
      </c>
      <c r="AD460" s="258">
        <v>46138.0</v>
      </c>
      <c r="AE460" s="204">
        <v>46321.0</v>
      </c>
      <c r="AF460" s="205"/>
      <c r="AG460" s="219"/>
      <c r="AH460" s="219"/>
      <c r="AI460" s="219"/>
      <c r="AJ460" s="219"/>
      <c r="AK460" s="219"/>
      <c r="AL460" s="219"/>
      <c r="AM460" s="219"/>
      <c r="AN460" s="219"/>
      <c r="AO460" s="219"/>
    </row>
    <row r="461">
      <c r="A461" s="193">
        <v>17502.0</v>
      </c>
      <c r="B461" s="194" t="s">
        <v>203</v>
      </c>
      <c r="C461" s="193">
        <v>2026.0</v>
      </c>
      <c r="D461" s="195">
        <v>2048.0</v>
      </c>
      <c r="E461" s="199"/>
      <c r="F461" s="193" t="s">
        <v>204</v>
      </c>
      <c r="G461" s="230">
        <v>46210.0</v>
      </c>
      <c r="H461" s="193">
        <v>539.0</v>
      </c>
      <c r="I461" s="215">
        <v>46210.0</v>
      </c>
      <c r="J461" s="193" t="s">
        <v>240</v>
      </c>
      <c r="K461" s="193" t="s">
        <v>206</v>
      </c>
      <c r="L461" s="194" t="s">
        <v>144</v>
      </c>
      <c r="M461" s="199"/>
      <c r="N461" s="193" t="s">
        <v>227</v>
      </c>
      <c r="O461" s="193" t="s">
        <v>206</v>
      </c>
      <c r="P461" s="193" t="s">
        <v>206</v>
      </c>
      <c r="Q461" s="207"/>
      <c r="R461" s="208" t="s">
        <v>228</v>
      </c>
      <c r="S461" s="193" t="s">
        <v>46</v>
      </c>
      <c r="T461" s="193" t="s">
        <v>464</v>
      </c>
      <c r="U461" s="193" t="s">
        <v>825</v>
      </c>
      <c r="V461" s="193" t="s">
        <v>382</v>
      </c>
      <c r="W461" s="193" t="s">
        <v>212</v>
      </c>
      <c r="X461" s="193" t="s">
        <v>252</v>
      </c>
      <c r="Y461" s="200">
        <v>3.0</v>
      </c>
      <c r="Z461" s="202" t="s">
        <v>214</v>
      </c>
      <c r="AA461" s="202" t="s">
        <v>215</v>
      </c>
      <c r="AB461" s="221"/>
      <c r="AC461" s="203">
        <v>3095.43</v>
      </c>
      <c r="AD461" s="204">
        <v>46229.0</v>
      </c>
      <c r="AE461" s="204">
        <v>46321.0</v>
      </c>
      <c r="AF461" s="226" t="s">
        <v>388</v>
      </c>
      <c r="AG461" s="219"/>
      <c r="AH461" s="219"/>
      <c r="AI461" s="219"/>
      <c r="AJ461" s="219"/>
      <c r="AK461" s="219"/>
      <c r="AL461" s="219"/>
      <c r="AM461" s="219"/>
      <c r="AN461" s="219"/>
      <c r="AO461" s="219"/>
    </row>
    <row r="462">
      <c r="A462" s="193">
        <v>17520.0</v>
      </c>
      <c r="B462" s="232" t="s">
        <v>264</v>
      </c>
      <c r="C462" s="193">
        <v>2026.0</v>
      </c>
      <c r="D462" s="199"/>
      <c r="E462" s="199"/>
      <c r="F462" s="193" t="s">
        <v>265</v>
      </c>
      <c r="G462" s="233"/>
      <c r="H462" s="199"/>
      <c r="I462" s="233"/>
      <c r="J462" s="199"/>
      <c r="K462" s="193" t="s">
        <v>206</v>
      </c>
      <c r="L462" s="234" t="s">
        <v>145</v>
      </c>
      <c r="M462" s="199"/>
      <c r="N462" s="193" t="s">
        <v>207</v>
      </c>
      <c r="O462" s="193" t="s">
        <v>206</v>
      </c>
      <c r="P462" s="193" t="s">
        <v>206</v>
      </c>
      <c r="Q462" s="207"/>
      <c r="R462" s="208" t="s">
        <v>219</v>
      </c>
      <c r="S462" s="193" t="s">
        <v>43</v>
      </c>
      <c r="T462" s="193" t="s">
        <v>464</v>
      </c>
      <c r="U462" s="193" t="s">
        <v>827</v>
      </c>
      <c r="V462" s="193" t="s">
        <v>382</v>
      </c>
      <c r="W462" s="193" t="s">
        <v>212</v>
      </c>
      <c r="X462" s="193" t="s">
        <v>252</v>
      </c>
      <c r="Y462" s="200">
        <v>3.0</v>
      </c>
      <c r="Z462" s="202" t="s">
        <v>214</v>
      </c>
      <c r="AA462" s="202" t="s">
        <v>215</v>
      </c>
      <c r="AB462" s="203">
        <v>1000000.0</v>
      </c>
      <c r="AC462" s="203">
        <v>1000000.0</v>
      </c>
      <c r="AD462" s="204">
        <v>46321.0</v>
      </c>
      <c r="AE462" s="204">
        <v>46049.0</v>
      </c>
      <c r="AF462" s="205"/>
      <c r="AG462" s="219"/>
      <c r="AH462" s="219"/>
      <c r="AI462" s="219"/>
      <c r="AJ462" s="219"/>
      <c r="AK462" s="219"/>
      <c r="AL462" s="219"/>
      <c r="AM462" s="219"/>
      <c r="AN462" s="219"/>
      <c r="AO462" s="219"/>
    </row>
    <row r="463">
      <c r="A463" s="193">
        <v>17540.0</v>
      </c>
      <c r="B463" s="232" t="s">
        <v>264</v>
      </c>
      <c r="C463" s="193">
        <v>2026.0</v>
      </c>
      <c r="D463" s="199"/>
      <c r="E463" s="199"/>
      <c r="F463" s="199"/>
      <c r="G463" s="248"/>
      <c r="H463" s="199"/>
      <c r="I463" s="235"/>
      <c r="J463" s="199"/>
      <c r="K463" s="193" t="s">
        <v>206</v>
      </c>
      <c r="L463" s="232" t="s">
        <v>146</v>
      </c>
      <c r="M463" s="199"/>
      <c r="N463" s="193" t="s">
        <v>207</v>
      </c>
      <c r="O463" s="193" t="s">
        <v>206</v>
      </c>
      <c r="P463" s="193" t="s">
        <v>206</v>
      </c>
      <c r="Q463" s="207"/>
      <c r="R463" s="208" t="s">
        <v>279</v>
      </c>
      <c r="S463" s="193" t="s">
        <v>50</v>
      </c>
      <c r="T463" s="193" t="s">
        <v>613</v>
      </c>
      <c r="U463" s="193" t="s">
        <v>828</v>
      </c>
      <c r="V463" s="193" t="s">
        <v>50</v>
      </c>
      <c r="W463" s="193" t="s">
        <v>264</v>
      </c>
      <c r="X463" s="193" t="s">
        <v>252</v>
      </c>
      <c r="Y463" s="200">
        <v>3.0</v>
      </c>
      <c r="Z463" s="202" t="s">
        <v>214</v>
      </c>
      <c r="AA463" s="202" t="s">
        <v>215</v>
      </c>
      <c r="AB463" s="203">
        <v>216000.0</v>
      </c>
      <c r="AC463" s="203">
        <v>216000.0</v>
      </c>
      <c r="AD463" s="204">
        <v>46291.0</v>
      </c>
      <c r="AE463" s="204">
        <v>46352.0</v>
      </c>
      <c r="AF463" s="205"/>
      <c r="AG463" s="219"/>
      <c r="AH463" s="219"/>
      <c r="AI463" s="219"/>
      <c r="AJ463" s="219"/>
      <c r="AK463" s="219"/>
      <c r="AL463" s="219"/>
      <c r="AM463" s="219"/>
      <c r="AN463" s="219"/>
      <c r="AO463" s="219"/>
    </row>
    <row r="464">
      <c r="A464" s="193">
        <v>17560.0</v>
      </c>
      <c r="B464" s="232" t="s">
        <v>264</v>
      </c>
      <c r="C464" s="193">
        <v>2026.0</v>
      </c>
      <c r="D464" s="199"/>
      <c r="E464" s="199"/>
      <c r="F464" s="199"/>
      <c r="G464" s="248"/>
      <c r="H464" s="199"/>
      <c r="I464" s="220"/>
      <c r="J464" s="199"/>
      <c r="K464" s="193" t="s">
        <v>206</v>
      </c>
      <c r="L464" s="232" t="s">
        <v>146</v>
      </c>
      <c r="M464" s="199"/>
      <c r="N464" s="193" t="s">
        <v>475</v>
      </c>
      <c r="O464" s="193" t="s">
        <v>206</v>
      </c>
      <c r="P464" s="193" t="s">
        <v>206</v>
      </c>
      <c r="Q464" s="207"/>
      <c r="R464" s="208" t="s">
        <v>279</v>
      </c>
      <c r="S464" s="193" t="s">
        <v>50</v>
      </c>
      <c r="T464" s="193" t="s">
        <v>476</v>
      </c>
      <c r="U464" s="193" t="s">
        <v>783</v>
      </c>
      <c r="V464" s="193" t="s">
        <v>50</v>
      </c>
      <c r="W464" s="193" t="s">
        <v>264</v>
      </c>
      <c r="X464" s="193" t="s">
        <v>252</v>
      </c>
      <c r="Y464" s="200">
        <v>3.0</v>
      </c>
      <c r="Z464" s="202" t="s">
        <v>214</v>
      </c>
      <c r="AA464" s="202" t="s">
        <v>215</v>
      </c>
      <c r="AB464" s="203">
        <v>25000.0</v>
      </c>
      <c r="AC464" s="203">
        <v>25000.0</v>
      </c>
      <c r="AD464" s="276">
        <v>46291.0</v>
      </c>
      <c r="AE464" s="204">
        <v>46352.0</v>
      </c>
      <c r="AF464" s="205"/>
      <c r="AG464" s="219"/>
      <c r="AH464" s="219"/>
      <c r="AI464" s="219"/>
      <c r="AJ464" s="219"/>
      <c r="AK464" s="219"/>
      <c r="AL464" s="219"/>
      <c r="AM464" s="219"/>
      <c r="AN464" s="219"/>
      <c r="AO464" s="219"/>
    </row>
    <row r="465">
      <c r="A465" s="193">
        <v>17580.0</v>
      </c>
      <c r="B465" s="232" t="s">
        <v>264</v>
      </c>
      <c r="C465" s="193">
        <v>2026.0</v>
      </c>
      <c r="D465" s="199"/>
      <c r="E465" s="199"/>
      <c r="F465" s="199"/>
      <c r="G465" s="220"/>
      <c r="H465" s="199"/>
      <c r="I465" s="220"/>
      <c r="J465" s="199"/>
      <c r="K465" s="193" t="s">
        <v>206</v>
      </c>
      <c r="L465" s="232" t="s">
        <v>146</v>
      </c>
      <c r="M465" s="199"/>
      <c r="N465" s="193" t="s">
        <v>475</v>
      </c>
      <c r="O465" s="193" t="s">
        <v>206</v>
      </c>
      <c r="P465" s="193" t="s">
        <v>206</v>
      </c>
      <c r="Q465" s="199"/>
      <c r="R465" s="193" t="s">
        <v>279</v>
      </c>
      <c r="S465" s="193" t="s">
        <v>50</v>
      </c>
      <c r="T465" s="193" t="s">
        <v>476</v>
      </c>
      <c r="U465" s="193" t="s">
        <v>783</v>
      </c>
      <c r="V465" s="193" t="s">
        <v>50</v>
      </c>
      <c r="W465" s="193" t="s">
        <v>264</v>
      </c>
      <c r="X465" s="193" t="s">
        <v>252</v>
      </c>
      <c r="Y465" s="200">
        <v>3.0</v>
      </c>
      <c r="Z465" s="202" t="s">
        <v>214</v>
      </c>
      <c r="AA465" s="202" t="s">
        <v>215</v>
      </c>
      <c r="AB465" s="203">
        <v>21600.0</v>
      </c>
      <c r="AC465" s="203">
        <v>21600.0</v>
      </c>
      <c r="AD465" s="204">
        <v>46291.0</v>
      </c>
      <c r="AE465" s="204">
        <v>46352.0</v>
      </c>
      <c r="AF465" s="205"/>
      <c r="AG465" s="219"/>
      <c r="AH465" s="219"/>
      <c r="AI465" s="219"/>
      <c r="AJ465" s="219"/>
      <c r="AK465" s="219"/>
      <c r="AL465" s="219"/>
      <c r="AM465" s="219"/>
      <c r="AN465" s="219"/>
      <c r="AO465" s="219"/>
    </row>
    <row r="466">
      <c r="A466" s="193">
        <v>17600.0</v>
      </c>
      <c r="B466" s="232" t="s">
        <v>264</v>
      </c>
      <c r="C466" s="193">
        <v>2026.0</v>
      </c>
      <c r="D466" s="199"/>
      <c r="E466" s="199"/>
      <c r="F466" s="207"/>
      <c r="G466" s="248"/>
      <c r="H466" s="199"/>
      <c r="I466" s="235"/>
      <c r="J466" s="199"/>
      <c r="K466" s="193" t="s">
        <v>206</v>
      </c>
      <c r="L466" s="232" t="s">
        <v>146</v>
      </c>
      <c r="M466" s="199"/>
      <c r="N466" s="193" t="s">
        <v>475</v>
      </c>
      <c r="O466" s="193" t="s">
        <v>206</v>
      </c>
      <c r="P466" s="193" t="s">
        <v>206</v>
      </c>
      <c r="Q466" s="199"/>
      <c r="R466" s="193" t="s">
        <v>279</v>
      </c>
      <c r="S466" s="193" t="s">
        <v>50</v>
      </c>
      <c r="T466" s="193" t="s">
        <v>476</v>
      </c>
      <c r="U466" s="193" t="s">
        <v>783</v>
      </c>
      <c r="V466" s="193" t="s">
        <v>50</v>
      </c>
      <c r="W466" s="193" t="s">
        <v>264</v>
      </c>
      <c r="X466" s="193" t="s">
        <v>252</v>
      </c>
      <c r="Y466" s="200">
        <v>3.0</v>
      </c>
      <c r="Z466" s="202" t="s">
        <v>214</v>
      </c>
      <c r="AA466" s="202" t="s">
        <v>215</v>
      </c>
      <c r="AB466" s="203">
        <v>10800.0</v>
      </c>
      <c r="AC466" s="203">
        <v>10800.0</v>
      </c>
      <c r="AD466" s="204">
        <v>46291.0</v>
      </c>
      <c r="AE466" s="204">
        <v>46352.0</v>
      </c>
      <c r="AF466" s="205"/>
      <c r="AG466" s="219"/>
      <c r="AH466" s="219"/>
      <c r="AI466" s="219"/>
      <c r="AJ466" s="219"/>
      <c r="AK466" s="219"/>
      <c r="AL466" s="219"/>
      <c r="AM466" s="219"/>
      <c r="AN466" s="219"/>
      <c r="AO466" s="219"/>
    </row>
    <row r="467">
      <c r="A467" s="193">
        <v>17620.0</v>
      </c>
      <c r="B467" s="232" t="s">
        <v>264</v>
      </c>
      <c r="C467" s="193">
        <v>2026.0</v>
      </c>
      <c r="D467" s="199"/>
      <c r="E467" s="199"/>
      <c r="F467" s="199"/>
      <c r="G467" s="248"/>
      <c r="H467" s="199"/>
      <c r="I467" s="235"/>
      <c r="J467" s="199"/>
      <c r="K467" s="193" t="s">
        <v>206</v>
      </c>
      <c r="L467" s="232" t="s">
        <v>146</v>
      </c>
      <c r="M467" s="199"/>
      <c r="N467" s="193" t="s">
        <v>475</v>
      </c>
      <c r="O467" s="193" t="s">
        <v>206</v>
      </c>
      <c r="P467" s="193" t="s">
        <v>206</v>
      </c>
      <c r="Q467" s="199"/>
      <c r="R467" s="193" t="s">
        <v>279</v>
      </c>
      <c r="S467" s="193" t="s">
        <v>50</v>
      </c>
      <c r="T467" s="193" t="s">
        <v>476</v>
      </c>
      <c r="U467" s="193" t="s">
        <v>783</v>
      </c>
      <c r="V467" s="193" t="s">
        <v>50</v>
      </c>
      <c r="W467" s="193" t="s">
        <v>264</v>
      </c>
      <c r="X467" s="193" t="s">
        <v>252</v>
      </c>
      <c r="Y467" s="200">
        <v>3.0</v>
      </c>
      <c r="Z467" s="202" t="s">
        <v>214</v>
      </c>
      <c r="AA467" s="202" t="s">
        <v>215</v>
      </c>
      <c r="AB467" s="203">
        <v>21600.0</v>
      </c>
      <c r="AC467" s="203">
        <v>21600.0</v>
      </c>
      <c r="AD467" s="204">
        <v>46291.0</v>
      </c>
      <c r="AE467" s="204">
        <v>46352.0</v>
      </c>
      <c r="AF467" s="205"/>
      <c r="AG467" s="219"/>
      <c r="AH467" s="219"/>
      <c r="AI467" s="219"/>
      <c r="AJ467" s="219"/>
      <c r="AK467" s="219"/>
      <c r="AL467" s="219"/>
      <c r="AM467" s="219"/>
      <c r="AN467" s="219"/>
      <c r="AO467" s="219"/>
    </row>
    <row r="468">
      <c r="A468" s="193">
        <v>17640.0</v>
      </c>
      <c r="B468" s="194" t="s">
        <v>203</v>
      </c>
      <c r="C468" s="193">
        <v>2026.0</v>
      </c>
      <c r="D468" s="195">
        <v>2048.0</v>
      </c>
      <c r="E468" s="193">
        <v>19.0</v>
      </c>
      <c r="F468" s="193" t="s">
        <v>293</v>
      </c>
      <c r="G468" s="233"/>
      <c r="H468" s="199"/>
      <c r="I468" s="233"/>
      <c r="J468" s="199"/>
      <c r="K468" s="243" t="s">
        <v>206</v>
      </c>
      <c r="L468" s="194" t="s">
        <v>144</v>
      </c>
      <c r="M468" s="199"/>
      <c r="N468" s="193" t="s">
        <v>207</v>
      </c>
      <c r="O468" s="193" t="s">
        <v>206</v>
      </c>
      <c r="P468" s="193" t="s">
        <v>206</v>
      </c>
      <c r="Q468" s="199"/>
      <c r="R468" s="193" t="s">
        <v>208</v>
      </c>
      <c r="S468" s="193" t="s">
        <v>39</v>
      </c>
      <c r="T468" s="193" t="s">
        <v>209</v>
      </c>
      <c r="U468" s="193" t="s">
        <v>799</v>
      </c>
      <c r="V468" s="193" t="s">
        <v>211</v>
      </c>
      <c r="W468" s="193" t="s">
        <v>212</v>
      </c>
      <c r="X468" s="193" t="s">
        <v>213</v>
      </c>
      <c r="Y468" s="200">
        <v>3.0</v>
      </c>
      <c r="Z468" s="202" t="s">
        <v>214</v>
      </c>
      <c r="AA468" s="202" t="s">
        <v>215</v>
      </c>
      <c r="AB468" s="203">
        <v>2310000.0</v>
      </c>
      <c r="AC468" s="203">
        <v>2310000.0</v>
      </c>
      <c r="AD468" s="204">
        <v>46321.0</v>
      </c>
      <c r="AE468" s="204">
        <v>46382.0</v>
      </c>
      <c r="AF468" s="205"/>
      <c r="AG468" s="219"/>
      <c r="AH468" s="219"/>
      <c r="AI468" s="219"/>
      <c r="AJ468" s="219"/>
      <c r="AK468" s="219"/>
      <c r="AL468" s="219"/>
      <c r="AM468" s="219"/>
      <c r="AN468" s="219"/>
      <c r="AO468" s="219"/>
    </row>
    <row r="469">
      <c r="A469" s="193">
        <v>17660.0</v>
      </c>
      <c r="B469" s="194" t="s">
        <v>203</v>
      </c>
      <c r="C469" s="193">
        <v>2026.0</v>
      </c>
      <c r="D469" s="195">
        <v>2048.0</v>
      </c>
      <c r="E469" s="199"/>
      <c r="F469" s="193" t="s">
        <v>272</v>
      </c>
      <c r="G469" s="248"/>
      <c r="H469" s="199"/>
      <c r="I469" s="248"/>
      <c r="J469" s="193" t="s">
        <v>306</v>
      </c>
      <c r="K469" s="193" t="s">
        <v>206</v>
      </c>
      <c r="L469" s="194" t="s">
        <v>144</v>
      </c>
      <c r="M469" s="199"/>
      <c r="N469" s="193" t="s">
        <v>207</v>
      </c>
      <c r="O469" s="193" t="s">
        <v>206</v>
      </c>
      <c r="P469" s="193" t="s">
        <v>206</v>
      </c>
      <c r="Q469" s="207"/>
      <c r="R469" s="208" t="s">
        <v>219</v>
      </c>
      <c r="S469" s="193" t="s">
        <v>44</v>
      </c>
      <c r="T469" s="193" t="s">
        <v>220</v>
      </c>
      <c r="U469" s="193" t="s">
        <v>829</v>
      </c>
      <c r="V469" s="193" t="s">
        <v>211</v>
      </c>
      <c r="W469" s="193" t="s">
        <v>212</v>
      </c>
      <c r="X469" s="193" t="s">
        <v>223</v>
      </c>
      <c r="Y469" s="200">
        <v>3.0</v>
      </c>
      <c r="Z469" s="202" t="s">
        <v>214</v>
      </c>
      <c r="AA469" s="202" t="s">
        <v>215</v>
      </c>
      <c r="AB469" s="221"/>
      <c r="AC469" s="203" t="s">
        <v>275</v>
      </c>
      <c r="AD469" s="204">
        <v>46260.0</v>
      </c>
      <c r="AE469" s="204">
        <v>46321.0</v>
      </c>
      <c r="AF469" s="226" t="s">
        <v>830</v>
      </c>
      <c r="AG469" s="219"/>
      <c r="AH469" s="219"/>
      <c r="AI469" s="219"/>
      <c r="AJ469" s="219"/>
      <c r="AK469" s="219"/>
      <c r="AL469" s="219"/>
      <c r="AM469" s="219"/>
      <c r="AN469" s="219"/>
      <c r="AO469" s="219"/>
    </row>
    <row r="470">
      <c r="A470" s="193">
        <v>17661.0</v>
      </c>
      <c r="B470" s="194" t="s">
        <v>203</v>
      </c>
      <c r="C470" s="193">
        <v>2026.0</v>
      </c>
      <c r="D470" s="195">
        <v>2048.0</v>
      </c>
      <c r="E470" s="199"/>
      <c r="F470" s="193" t="s">
        <v>272</v>
      </c>
      <c r="G470" s="248"/>
      <c r="H470" s="199"/>
      <c r="I470" s="235"/>
      <c r="J470" s="193" t="s">
        <v>226</v>
      </c>
      <c r="K470" s="193" t="s">
        <v>206</v>
      </c>
      <c r="L470" s="194" t="s">
        <v>144</v>
      </c>
      <c r="M470" s="199"/>
      <c r="N470" s="193" t="s">
        <v>207</v>
      </c>
      <c r="O470" s="193" t="s">
        <v>206</v>
      </c>
      <c r="P470" s="193" t="s">
        <v>206</v>
      </c>
      <c r="Q470" s="207"/>
      <c r="R470" s="208" t="s">
        <v>219</v>
      </c>
      <c r="S470" s="193" t="s">
        <v>44</v>
      </c>
      <c r="T470" s="193" t="s">
        <v>220</v>
      </c>
      <c r="U470" s="193" t="s">
        <v>829</v>
      </c>
      <c r="V470" s="193" t="s">
        <v>211</v>
      </c>
      <c r="W470" s="193" t="s">
        <v>212</v>
      </c>
      <c r="X470" s="193" t="s">
        <v>223</v>
      </c>
      <c r="Y470" s="200">
        <v>3.0</v>
      </c>
      <c r="Z470" s="202" t="s">
        <v>214</v>
      </c>
      <c r="AA470" s="202" t="s">
        <v>215</v>
      </c>
      <c r="AB470" s="221"/>
      <c r="AC470" s="203" t="s">
        <v>275</v>
      </c>
      <c r="AD470" s="204">
        <v>46260.0</v>
      </c>
      <c r="AE470" s="204">
        <v>46321.0</v>
      </c>
      <c r="AF470" s="226" t="s">
        <v>831</v>
      </c>
      <c r="AG470" s="219"/>
      <c r="AH470" s="219"/>
      <c r="AI470" s="219"/>
      <c r="AJ470" s="219"/>
      <c r="AK470" s="219"/>
      <c r="AL470" s="219"/>
      <c r="AM470" s="219"/>
      <c r="AN470" s="219"/>
      <c r="AO470" s="219"/>
    </row>
    <row r="471">
      <c r="A471" s="193">
        <v>17662.0</v>
      </c>
      <c r="B471" s="194" t="s">
        <v>203</v>
      </c>
      <c r="C471" s="193">
        <v>2026.0</v>
      </c>
      <c r="D471" s="195">
        <v>2048.0</v>
      </c>
      <c r="E471" s="199"/>
      <c r="F471" s="193" t="s">
        <v>272</v>
      </c>
      <c r="G471" s="248"/>
      <c r="H471" s="199"/>
      <c r="I471" s="220"/>
      <c r="J471" s="199"/>
      <c r="K471" s="193" t="s">
        <v>206</v>
      </c>
      <c r="L471" s="194" t="s">
        <v>144</v>
      </c>
      <c r="M471" s="199"/>
      <c r="N471" s="193" t="s">
        <v>207</v>
      </c>
      <c r="O471" s="193" t="s">
        <v>206</v>
      </c>
      <c r="P471" s="193" t="s">
        <v>206</v>
      </c>
      <c r="Q471" s="207"/>
      <c r="R471" s="208" t="s">
        <v>219</v>
      </c>
      <c r="S471" s="193" t="s">
        <v>44</v>
      </c>
      <c r="T471" s="193" t="s">
        <v>220</v>
      </c>
      <c r="U471" s="193" t="s">
        <v>829</v>
      </c>
      <c r="V471" s="193" t="s">
        <v>211</v>
      </c>
      <c r="W471" s="193" t="s">
        <v>212</v>
      </c>
      <c r="X471" s="193" t="s">
        <v>223</v>
      </c>
      <c r="Y471" s="200">
        <v>3.0</v>
      </c>
      <c r="Z471" s="202" t="s">
        <v>214</v>
      </c>
      <c r="AA471" s="202" t="s">
        <v>215</v>
      </c>
      <c r="AB471" s="203" t="s">
        <v>275</v>
      </c>
      <c r="AC471" s="203" t="s">
        <v>275</v>
      </c>
      <c r="AD471" s="204">
        <v>46260.0</v>
      </c>
      <c r="AE471" s="204">
        <v>46321.0</v>
      </c>
      <c r="AF471" s="226" t="s">
        <v>832</v>
      </c>
      <c r="AG471" s="219"/>
      <c r="AH471" s="219"/>
      <c r="AI471" s="219"/>
      <c r="AJ471" s="219"/>
      <c r="AK471" s="219"/>
      <c r="AL471" s="219"/>
      <c r="AM471" s="219"/>
      <c r="AN471" s="219"/>
      <c r="AO471" s="219"/>
    </row>
    <row r="472">
      <c r="A472" s="193">
        <v>17663.0</v>
      </c>
      <c r="B472" s="194" t="s">
        <v>203</v>
      </c>
      <c r="C472" s="193">
        <v>2026.0</v>
      </c>
      <c r="D472" s="195">
        <v>2048.0</v>
      </c>
      <c r="E472" s="199"/>
      <c r="F472" s="208" t="s">
        <v>272</v>
      </c>
      <c r="G472" s="248"/>
      <c r="H472" s="199"/>
      <c r="I472" s="220"/>
      <c r="J472" s="193" t="s">
        <v>226</v>
      </c>
      <c r="K472" s="193" t="s">
        <v>206</v>
      </c>
      <c r="L472" s="194" t="s">
        <v>144</v>
      </c>
      <c r="M472" s="199"/>
      <c r="N472" s="193" t="s">
        <v>207</v>
      </c>
      <c r="O472" s="193" t="s">
        <v>206</v>
      </c>
      <c r="P472" s="193" t="s">
        <v>206</v>
      </c>
      <c r="Q472" s="207"/>
      <c r="R472" s="208" t="s">
        <v>219</v>
      </c>
      <c r="S472" s="193" t="s">
        <v>44</v>
      </c>
      <c r="T472" s="193" t="s">
        <v>220</v>
      </c>
      <c r="U472" s="193" t="s">
        <v>829</v>
      </c>
      <c r="V472" s="193" t="s">
        <v>211</v>
      </c>
      <c r="W472" s="193" t="s">
        <v>212</v>
      </c>
      <c r="X472" s="193" t="s">
        <v>223</v>
      </c>
      <c r="Y472" s="200">
        <v>3.0</v>
      </c>
      <c r="Z472" s="202" t="s">
        <v>214</v>
      </c>
      <c r="AA472" s="202" t="s">
        <v>215</v>
      </c>
      <c r="AB472" s="221"/>
      <c r="AC472" s="203" t="s">
        <v>275</v>
      </c>
      <c r="AD472" s="204">
        <v>46260.0</v>
      </c>
      <c r="AE472" s="204">
        <v>46321.0</v>
      </c>
      <c r="AF472" s="226" t="s">
        <v>833</v>
      </c>
      <c r="AG472" s="219"/>
      <c r="AH472" s="219"/>
      <c r="AI472" s="219"/>
      <c r="AJ472" s="219"/>
      <c r="AK472" s="219"/>
      <c r="AL472" s="219"/>
      <c r="AM472" s="219"/>
      <c r="AN472" s="219"/>
      <c r="AO472" s="219"/>
    </row>
    <row r="473">
      <c r="A473" s="193">
        <v>17680.0</v>
      </c>
      <c r="B473" s="194" t="s">
        <v>203</v>
      </c>
      <c r="C473" s="193">
        <v>2026.0</v>
      </c>
      <c r="D473" s="195">
        <v>2048.0</v>
      </c>
      <c r="E473" s="199"/>
      <c r="F473" s="193" t="s">
        <v>204</v>
      </c>
      <c r="G473" s="230">
        <v>46265.0</v>
      </c>
      <c r="H473" s="193">
        <v>13219.0</v>
      </c>
      <c r="I473" s="215">
        <v>46265.0</v>
      </c>
      <c r="J473" s="193" t="s">
        <v>726</v>
      </c>
      <c r="K473" s="193" t="s">
        <v>206</v>
      </c>
      <c r="L473" s="194" t="s">
        <v>144</v>
      </c>
      <c r="M473" s="199"/>
      <c r="N473" s="193" t="s">
        <v>207</v>
      </c>
      <c r="O473" s="193" t="s">
        <v>206</v>
      </c>
      <c r="P473" s="193" t="s">
        <v>206</v>
      </c>
      <c r="Q473" s="207"/>
      <c r="R473" s="208" t="s">
        <v>208</v>
      </c>
      <c r="S473" s="193" t="s">
        <v>39</v>
      </c>
      <c r="T473" s="193" t="s">
        <v>294</v>
      </c>
      <c r="U473" s="193" t="s">
        <v>834</v>
      </c>
      <c r="V473" s="193" t="s">
        <v>296</v>
      </c>
      <c r="W473" s="193" t="s">
        <v>212</v>
      </c>
      <c r="X473" s="193" t="s">
        <v>223</v>
      </c>
      <c r="Y473" s="200">
        <v>3.0</v>
      </c>
      <c r="Z473" s="202" t="s">
        <v>214</v>
      </c>
      <c r="AA473" s="202" t="s">
        <v>215</v>
      </c>
      <c r="AB473" s="203">
        <v>1057110.0</v>
      </c>
      <c r="AC473" s="203">
        <v>1057110.0</v>
      </c>
      <c r="AD473" s="204">
        <v>46291.0</v>
      </c>
      <c r="AE473" s="204">
        <v>46352.0</v>
      </c>
      <c r="AF473" s="205"/>
      <c r="AG473" s="219"/>
      <c r="AH473" s="219"/>
      <c r="AI473" s="219"/>
      <c r="AJ473" s="219"/>
      <c r="AK473" s="219"/>
      <c r="AL473" s="219"/>
      <c r="AM473" s="219"/>
      <c r="AN473" s="219"/>
      <c r="AO473" s="219"/>
    </row>
    <row r="474">
      <c r="A474" s="193">
        <v>17700.0</v>
      </c>
      <c r="B474" s="194" t="s">
        <v>203</v>
      </c>
      <c r="C474" s="193">
        <v>2026.0</v>
      </c>
      <c r="D474" s="195">
        <v>2048.0</v>
      </c>
      <c r="E474" s="193">
        <v>5.0</v>
      </c>
      <c r="F474" s="193" t="s">
        <v>293</v>
      </c>
      <c r="G474" s="248"/>
      <c r="H474" s="199"/>
      <c r="I474" s="220"/>
      <c r="J474" s="199"/>
      <c r="K474" s="243" t="s">
        <v>206</v>
      </c>
      <c r="L474" s="194" t="s">
        <v>144</v>
      </c>
      <c r="M474" s="199"/>
      <c r="N474" s="193" t="s">
        <v>207</v>
      </c>
      <c r="O474" s="193" t="s">
        <v>206</v>
      </c>
      <c r="P474" s="193" t="s">
        <v>206</v>
      </c>
      <c r="Q474" s="199"/>
      <c r="R474" s="193" t="s">
        <v>208</v>
      </c>
      <c r="S474" s="193" t="s">
        <v>39</v>
      </c>
      <c r="T474" s="193" t="s">
        <v>209</v>
      </c>
      <c r="U474" s="193" t="s">
        <v>802</v>
      </c>
      <c r="V474" s="193" t="s">
        <v>211</v>
      </c>
      <c r="W474" s="193" t="s">
        <v>212</v>
      </c>
      <c r="X474" s="193" t="s">
        <v>223</v>
      </c>
      <c r="Y474" s="200">
        <v>3.0</v>
      </c>
      <c r="Z474" s="202" t="s">
        <v>214</v>
      </c>
      <c r="AA474" s="202" t="s">
        <v>215</v>
      </c>
      <c r="AB474" s="203">
        <v>4072680.0</v>
      </c>
      <c r="AC474" s="203">
        <v>4072680.0</v>
      </c>
      <c r="AD474" s="204">
        <v>46260.0</v>
      </c>
      <c r="AE474" s="204">
        <v>46321.0</v>
      </c>
      <c r="AF474" s="226" t="s">
        <v>835</v>
      </c>
      <c r="AG474" s="219"/>
      <c r="AH474" s="219"/>
      <c r="AI474" s="219"/>
      <c r="AJ474" s="219"/>
      <c r="AK474" s="219"/>
      <c r="AL474" s="219"/>
      <c r="AM474" s="219"/>
      <c r="AN474" s="219"/>
      <c r="AO474" s="219"/>
    </row>
    <row r="475">
      <c r="A475" s="193">
        <v>17720.0</v>
      </c>
      <c r="B475" s="232" t="s">
        <v>264</v>
      </c>
      <c r="C475" s="193">
        <v>2026.0</v>
      </c>
      <c r="D475" s="199"/>
      <c r="E475" s="199"/>
      <c r="F475" s="199"/>
      <c r="G475" s="248"/>
      <c r="H475" s="199"/>
      <c r="I475" s="220"/>
      <c r="J475" s="199"/>
      <c r="K475" s="193" t="s">
        <v>206</v>
      </c>
      <c r="L475" s="232" t="s">
        <v>146</v>
      </c>
      <c r="M475" s="199"/>
      <c r="N475" s="193" t="s">
        <v>207</v>
      </c>
      <c r="O475" s="193" t="s">
        <v>206</v>
      </c>
      <c r="P475" s="193" t="s">
        <v>206</v>
      </c>
      <c r="Q475" s="199"/>
      <c r="R475" s="193" t="s">
        <v>219</v>
      </c>
      <c r="S475" s="193" t="s">
        <v>43</v>
      </c>
      <c r="T475" s="193" t="s">
        <v>299</v>
      </c>
      <c r="U475" s="193" t="s">
        <v>836</v>
      </c>
      <c r="V475" s="193" t="s">
        <v>296</v>
      </c>
      <c r="W475" s="193" t="s">
        <v>212</v>
      </c>
      <c r="X475" s="193" t="s">
        <v>223</v>
      </c>
      <c r="Y475" s="200">
        <v>3.0</v>
      </c>
      <c r="Z475" s="202" t="s">
        <v>214</v>
      </c>
      <c r="AA475" s="202" t="s">
        <v>215</v>
      </c>
      <c r="AB475" s="203">
        <v>619070.0</v>
      </c>
      <c r="AC475" s="203">
        <v>619070.0</v>
      </c>
      <c r="AD475" s="204">
        <v>46321.0</v>
      </c>
      <c r="AE475" s="204">
        <v>46382.0</v>
      </c>
      <c r="AF475" s="205"/>
      <c r="AG475" s="219"/>
      <c r="AH475" s="219"/>
      <c r="AI475" s="219"/>
      <c r="AJ475" s="219"/>
      <c r="AK475" s="219"/>
      <c r="AL475" s="219"/>
      <c r="AM475" s="219"/>
      <c r="AN475" s="219"/>
      <c r="AO475" s="219"/>
    </row>
    <row r="476">
      <c r="A476" s="193">
        <v>17740.0</v>
      </c>
      <c r="B476" s="194" t="s">
        <v>203</v>
      </c>
      <c r="C476" s="193">
        <v>2026.0</v>
      </c>
      <c r="D476" s="195">
        <v>2048.0</v>
      </c>
      <c r="E476" s="199"/>
      <c r="F476" s="193" t="s">
        <v>272</v>
      </c>
      <c r="G476" s="248"/>
      <c r="H476" s="199"/>
      <c r="I476" s="220"/>
      <c r="J476" s="199"/>
      <c r="K476" s="193" t="s">
        <v>206</v>
      </c>
      <c r="L476" s="194" t="s">
        <v>144</v>
      </c>
      <c r="M476" s="199"/>
      <c r="N476" s="193" t="s">
        <v>207</v>
      </c>
      <c r="O476" s="193" t="s">
        <v>206</v>
      </c>
      <c r="P476" s="193" t="s">
        <v>206</v>
      </c>
      <c r="Q476" s="199"/>
      <c r="R476" s="193" t="s">
        <v>219</v>
      </c>
      <c r="S476" s="193" t="s">
        <v>44</v>
      </c>
      <c r="T476" s="193" t="s">
        <v>220</v>
      </c>
      <c r="U476" s="193" t="s">
        <v>837</v>
      </c>
      <c r="V476" s="193" t="s">
        <v>211</v>
      </c>
      <c r="W476" s="193" t="s">
        <v>212</v>
      </c>
      <c r="X476" s="193" t="s">
        <v>213</v>
      </c>
      <c r="Y476" s="200">
        <v>3.0</v>
      </c>
      <c r="Z476" s="202" t="s">
        <v>214</v>
      </c>
      <c r="AA476" s="202" t="s">
        <v>215</v>
      </c>
      <c r="AB476" s="203" t="s">
        <v>275</v>
      </c>
      <c r="AC476" s="203" t="s">
        <v>275</v>
      </c>
      <c r="AD476" s="204">
        <v>46352.0</v>
      </c>
      <c r="AE476" s="204">
        <v>46049.0</v>
      </c>
      <c r="AF476" s="226" t="s">
        <v>838</v>
      </c>
      <c r="AG476" s="219"/>
      <c r="AH476" s="219"/>
      <c r="AI476" s="219"/>
      <c r="AJ476" s="219"/>
      <c r="AK476" s="219"/>
      <c r="AL476" s="219"/>
      <c r="AM476" s="219"/>
      <c r="AN476" s="219"/>
      <c r="AO476" s="219"/>
    </row>
    <row r="477">
      <c r="A477" s="193">
        <v>17760.0</v>
      </c>
      <c r="B477" s="194" t="s">
        <v>203</v>
      </c>
      <c r="C477" s="193">
        <v>2026.0</v>
      </c>
      <c r="D477" s="195">
        <v>2048.0</v>
      </c>
      <c r="E477" s="193">
        <v>21.0</v>
      </c>
      <c r="F477" s="199"/>
      <c r="G477" s="248"/>
      <c r="H477" s="199"/>
      <c r="I477" s="220"/>
      <c r="J477" s="199"/>
      <c r="K477" s="193" t="s">
        <v>206</v>
      </c>
      <c r="L477" s="194" t="s">
        <v>144</v>
      </c>
      <c r="M477" s="199"/>
      <c r="N477" s="193" t="s">
        <v>207</v>
      </c>
      <c r="O477" s="193" t="s">
        <v>206</v>
      </c>
      <c r="P477" s="193" t="s">
        <v>206</v>
      </c>
      <c r="Q477" s="199"/>
      <c r="R477" s="193" t="s">
        <v>219</v>
      </c>
      <c r="S477" s="193" t="s">
        <v>45</v>
      </c>
      <c r="T477" s="193" t="s">
        <v>494</v>
      </c>
      <c r="U477" s="193" t="s">
        <v>727</v>
      </c>
      <c r="V477" s="193" t="s">
        <v>211</v>
      </c>
      <c r="W477" s="193" t="s">
        <v>212</v>
      </c>
      <c r="X477" s="193" t="s">
        <v>223</v>
      </c>
      <c r="Y477" s="200">
        <v>3.0</v>
      </c>
      <c r="Z477" s="202" t="s">
        <v>214</v>
      </c>
      <c r="AA477" s="202" t="s">
        <v>215</v>
      </c>
      <c r="AB477" s="203">
        <v>608623.25</v>
      </c>
      <c r="AC477" s="203">
        <v>608623.25</v>
      </c>
      <c r="AD477" s="204">
        <v>46260.0</v>
      </c>
      <c r="AE477" s="204">
        <v>46321.0</v>
      </c>
      <c r="AF477" s="226" t="s">
        <v>839</v>
      </c>
      <c r="AG477" s="219"/>
      <c r="AH477" s="219"/>
      <c r="AI477" s="219"/>
      <c r="AJ477" s="219"/>
      <c r="AK477" s="219"/>
      <c r="AL477" s="219"/>
      <c r="AM477" s="219"/>
      <c r="AN477" s="219"/>
      <c r="AO477" s="219"/>
    </row>
    <row r="478">
      <c r="A478" s="193">
        <v>17761.0</v>
      </c>
      <c r="B478" s="194" t="s">
        <v>203</v>
      </c>
      <c r="C478" s="193">
        <v>2026.0</v>
      </c>
      <c r="D478" s="195">
        <v>2048.0</v>
      </c>
      <c r="E478" s="193">
        <v>6.0</v>
      </c>
      <c r="F478" s="193" t="s">
        <v>293</v>
      </c>
      <c r="G478" s="248"/>
      <c r="H478" s="199"/>
      <c r="I478" s="235"/>
      <c r="J478" s="199"/>
      <c r="K478" s="193" t="s">
        <v>206</v>
      </c>
      <c r="L478" s="194" t="s">
        <v>144</v>
      </c>
      <c r="M478" s="199"/>
      <c r="N478" s="193" t="s">
        <v>207</v>
      </c>
      <c r="O478" s="193" t="s">
        <v>206</v>
      </c>
      <c r="P478" s="193" t="s">
        <v>206</v>
      </c>
      <c r="Q478" s="199"/>
      <c r="R478" s="193" t="s">
        <v>219</v>
      </c>
      <c r="S478" s="193" t="s">
        <v>45</v>
      </c>
      <c r="T478" s="193" t="s">
        <v>494</v>
      </c>
      <c r="U478" s="193" t="s">
        <v>802</v>
      </c>
      <c r="V478" s="193" t="s">
        <v>211</v>
      </c>
      <c r="W478" s="193" t="s">
        <v>212</v>
      </c>
      <c r="X478" s="193" t="s">
        <v>223</v>
      </c>
      <c r="Y478" s="200">
        <v>3.0</v>
      </c>
      <c r="Z478" s="202" t="s">
        <v>214</v>
      </c>
      <c r="AA478" s="202" t="s">
        <v>215</v>
      </c>
      <c r="AB478" s="203">
        <v>559040.07</v>
      </c>
      <c r="AC478" s="203">
        <v>559040.07</v>
      </c>
      <c r="AD478" s="204">
        <v>46291.0</v>
      </c>
      <c r="AE478" s="204">
        <v>46352.0</v>
      </c>
      <c r="AF478" s="226" t="s">
        <v>840</v>
      </c>
      <c r="AG478" s="219"/>
      <c r="AH478" s="219"/>
      <c r="AI478" s="219"/>
      <c r="AJ478" s="219"/>
      <c r="AK478" s="219"/>
      <c r="AL478" s="219"/>
      <c r="AM478" s="219"/>
      <c r="AN478" s="219"/>
      <c r="AO478" s="219"/>
    </row>
    <row r="479">
      <c r="A479" s="193">
        <v>17762.0</v>
      </c>
      <c r="B479" s="194" t="s">
        <v>203</v>
      </c>
      <c r="C479" s="193">
        <v>2026.0</v>
      </c>
      <c r="D479" s="195">
        <v>2048.0</v>
      </c>
      <c r="E479" s="199"/>
      <c r="F479" s="199"/>
      <c r="G479" s="248"/>
      <c r="H479" s="199"/>
      <c r="I479" s="235"/>
      <c r="J479" s="199"/>
      <c r="K479" s="193" t="s">
        <v>206</v>
      </c>
      <c r="L479" s="194" t="s">
        <v>144</v>
      </c>
      <c r="M479" s="199"/>
      <c r="N479" s="193" t="s">
        <v>207</v>
      </c>
      <c r="O479" s="193" t="s">
        <v>206</v>
      </c>
      <c r="P479" s="193" t="s">
        <v>206</v>
      </c>
      <c r="Q479" s="199"/>
      <c r="R479" s="193" t="s">
        <v>219</v>
      </c>
      <c r="S479" s="193" t="s">
        <v>45</v>
      </c>
      <c r="T479" s="193" t="s">
        <v>494</v>
      </c>
      <c r="U479" s="193" t="s">
        <v>834</v>
      </c>
      <c r="V479" s="193" t="s">
        <v>211</v>
      </c>
      <c r="W479" s="193" t="s">
        <v>212</v>
      </c>
      <c r="X479" s="193" t="s">
        <v>223</v>
      </c>
      <c r="Y479" s="200">
        <v>3.0</v>
      </c>
      <c r="Z479" s="202" t="s">
        <v>214</v>
      </c>
      <c r="AA479" s="202" t="s">
        <v>215</v>
      </c>
      <c r="AB479" s="203">
        <v>1704503.0</v>
      </c>
      <c r="AC479" s="203">
        <v>1704503.0</v>
      </c>
      <c r="AD479" s="204">
        <v>46321.0</v>
      </c>
      <c r="AE479" s="204">
        <v>46382.0</v>
      </c>
      <c r="AF479" s="205"/>
      <c r="AG479" s="219"/>
      <c r="AH479" s="219"/>
      <c r="AI479" s="219"/>
      <c r="AJ479" s="219"/>
      <c r="AK479" s="219"/>
      <c r="AL479" s="219"/>
      <c r="AM479" s="219"/>
      <c r="AN479" s="219"/>
      <c r="AO479" s="219"/>
    </row>
    <row r="480">
      <c r="A480" s="193">
        <v>17763.0</v>
      </c>
      <c r="B480" s="194" t="s">
        <v>203</v>
      </c>
      <c r="C480" s="193">
        <v>2026.0</v>
      </c>
      <c r="D480" s="229" t="s">
        <v>258</v>
      </c>
      <c r="E480" s="199"/>
      <c r="F480" s="193" t="s">
        <v>204</v>
      </c>
      <c r="G480" s="230">
        <v>46227.0</v>
      </c>
      <c r="H480" s="193">
        <v>624.0</v>
      </c>
      <c r="I480" s="215">
        <v>46227.0</v>
      </c>
      <c r="J480" s="193" t="s">
        <v>841</v>
      </c>
      <c r="K480" s="193" t="s">
        <v>206</v>
      </c>
      <c r="L480" s="194" t="s">
        <v>144</v>
      </c>
      <c r="M480" s="199"/>
      <c r="N480" s="193" t="s">
        <v>207</v>
      </c>
      <c r="O480" s="193" t="s">
        <v>206</v>
      </c>
      <c r="P480" s="193" t="s">
        <v>206</v>
      </c>
      <c r="Q480" s="199"/>
      <c r="R480" s="193" t="s">
        <v>219</v>
      </c>
      <c r="S480" s="193" t="s">
        <v>45</v>
      </c>
      <c r="T480" s="193" t="s">
        <v>494</v>
      </c>
      <c r="U480" s="193" t="s">
        <v>727</v>
      </c>
      <c r="V480" s="193" t="s">
        <v>211</v>
      </c>
      <c r="W480" s="193" t="s">
        <v>212</v>
      </c>
      <c r="X480" s="193" t="s">
        <v>223</v>
      </c>
      <c r="Y480" s="200">
        <v>3.0</v>
      </c>
      <c r="Z480" s="202" t="s">
        <v>214</v>
      </c>
      <c r="AA480" s="202" t="s">
        <v>215</v>
      </c>
      <c r="AB480" s="203">
        <v>236343.68</v>
      </c>
      <c r="AC480" s="203">
        <v>236343.68</v>
      </c>
      <c r="AD480" s="204">
        <v>46229.0</v>
      </c>
      <c r="AE480" s="204">
        <v>46321.0</v>
      </c>
      <c r="AF480" s="205"/>
      <c r="AG480" s="219"/>
      <c r="AH480" s="219"/>
      <c r="AI480" s="219"/>
      <c r="AJ480" s="219"/>
      <c r="AK480" s="219"/>
      <c r="AL480" s="219"/>
      <c r="AM480" s="219"/>
      <c r="AN480" s="219"/>
      <c r="AO480" s="219"/>
    </row>
    <row r="481">
      <c r="A481" s="193">
        <v>17764.0</v>
      </c>
      <c r="B481" s="194" t="s">
        <v>203</v>
      </c>
      <c r="C481" s="193">
        <v>2026.0</v>
      </c>
      <c r="D481" s="193" t="s">
        <v>842</v>
      </c>
      <c r="E481" s="199"/>
      <c r="F481" s="193" t="s">
        <v>204</v>
      </c>
      <c r="G481" s="223">
        <v>46280.0</v>
      </c>
      <c r="H481" s="193" t="s">
        <v>843</v>
      </c>
      <c r="I481" s="223">
        <v>46280.0</v>
      </c>
      <c r="J481" s="193" t="s">
        <v>713</v>
      </c>
      <c r="K481" s="193" t="s">
        <v>206</v>
      </c>
      <c r="L481" s="194" t="s">
        <v>144</v>
      </c>
      <c r="M481" s="199"/>
      <c r="N481" s="193" t="s">
        <v>207</v>
      </c>
      <c r="O481" s="193" t="s">
        <v>206</v>
      </c>
      <c r="P481" s="193" t="s">
        <v>206</v>
      </c>
      <c r="Q481" s="199"/>
      <c r="R481" s="193" t="s">
        <v>714</v>
      </c>
      <c r="S481" s="193" t="s">
        <v>45</v>
      </c>
      <c r="T481" s="193" t="s">
        <v>494</v>
      </c>
      <c r="U481" s="193" t="s">
        <v>802</v>
      </c>
      <c r="V481" s="193" t="s">
        <v>211</v>
      </c>
      <c r="W481" s="193" t="s">
        <v>212</v>
      </c>
      <c r="X481" s="193" t="s">
        <v>223</v>
      </c>
      <c r="Y481" s="200">
        <v>3.0</v>
      </c>
      <c r="Z481" s="202" t="s">
        <v>214</v>
      </c>
      <c r="AA481" s="202" t="s">
        <v>215</v>
      </c>
      <c r="AB481" s="203">
        <v>1145462.93</v>
      </c>
      <c r="AC481" s="203">
        <v>1145462.93</v>
      </c>
      <c r="AD481" s="204">
        <v>46291.0</v>
      </c>
      <c r="AE481" s="204">
        <v>46352.0</v>
      </c>
      <c r="AF481" s="205"/>
      <c r="AG481" s="219"/>
      <c r="AH481" s="219"/>
      <c r="AI481" s="219"/>
      <c r="AJ481" s="219"/>
      <c r="AK481" s="219"/>
      <c r="AL481" s="219"/>
      <c r="AM481" s="219"/>
      <c r="AN481" s="219"/>
      <c r="AO481" s="219"/>
    </row>
    <row r="482">
      <c r="A482" s="193">
        <v>17765.0</v>
      </c>
      <c r="B482" s="194" t="s">
        <v>203</v>
      </c>
      <c r="C482" s="193">
        <v>2026.0</v>
      </c>
      <c r="D482" s="193" t="s">
        <v>844</v>
      </c>
      <c r="E482" s="193">
        <v>21.0</v>
      </c>
      <c r="F482" s="193" t="s">
        <v>204</v>
      </c>
      <c r="G482" s="230">
        <v>46037.0</v>
      </c>
      <c r="H482" s="193" t="s">
        <v>845</v>
      </c>
      <c r="I482" s="215">
        <v>46280.0</v>
      </c>
      <c r="J482" s="193" t="s">
        <v>713</v>
      </c>
      <c r="K482" s="193" t="s">
        <v>206</v>
      </c>
      <c r="L482" s="194" t="s">
        <v>144</v>
      </c>
      <c r="M482" s="199"/>
      <c r="N482" s="193" t="s">
        <v>207</v>
      </c>
      <c r="O482" s="193" t="s">
        <v>206</v>
      </c>
      <c r="P482" s="193" t="s">
        <v>206</v>
      </c>
      <c r="Q482" s="199"/>
      <c r="R482" s="193" t="s">
        <v>714</v>
      </c>
      <c r="S482" s="193" t="s">
        <v>45</v>
      </c>
      <c r="T482" s="193" t="s">
        <v>494</v>
      </c>
      <c r="U482" s="193" t="s">
        <v>727</v>
      </c>
      <c r="V482" s="193" t="s">
        <v>211</v>
      </c>
      <c r="W482" s="193" t="s">
        <v>212</v>
      </c>
      <c r="X482" s="193" t="s">
        <v>223</v>
      </c>
      <c r="Y482" s="200">
        <v>3.0</v>
      </c>
      <c r="Z482" s="202" t="s">
        <v>214</v>
      </c>
      <c r="AA482" s="202" t="s">
        <v>215</v>
      </c>
      <c r="AB482" s="203">
        <v>859536.07</v>
      </c>
      <c r="AC482" s="203">
        <v>859536.07</v>
      </c>
      <c r="AD482" s="204">
        <v>46260.0</v>
      </c>
      <c r="AE482" s="204">
        <v>46321.0</v>
      </c>
      <c r="AF482" s="205"/>
      <c r="AG482" s="219"/>
      <c r="AH482" s="219"/>
      <c r="AI482" s="219"/>
      <c r="AJ482" s="219"/>
      <c r="AK482" s="219"/>
      <c r="AL482" s="219"/>
      <c r="AM482" s="219"/>
      <c r="AN482" s="219"/>
      <c r="AO482" s="219"/>
    </row>
    <row r="483">
      <c r="A483" s="193">
        <v>17780.0</v>
      </c>
      <c r="B483" s="194" t="s">
        <v>203</v>
      </c>
      <c r="C483" s="193">
        <v>2026.0</v>
      </c>
      <c r="D483" s="229" t="s">
        <v>258</v>
      </c>
      <c r="E483" s="199"/>
      <c r="F483" s="208" t="s">
        <v>204</v>
      </c>
      <c r="G483" s="230">
        <v>46210.0</v>
      </c>
      <c r="H483" s="193">
        <v>546.0</v>
      </c>
      <c r="I483" s="215">
        <v>46210.0</v>
      </c>
      <c r="J483" s="193" t="s">
        <v>495</v>
      </c>
      <c r="K483" s="193" t="s">
        <v>206</v>
      </c>
      <c r="L483" s="194" t="s">
        <v>144</v>
      </c>
      <c r="M483" s="199"/>
      <c r="N483" s="193" t="s">
        <v>207</v>
      </c>
      <c r="O483" s="193" t="s">
        <v>206</v>
      </c>
      <c r="P483" s="193" t="s">
        <v>206</v>
      </c>
      <c r="Q483" s="199"/>
      <c r="R483" s="193" t="s">
        <v>269</v>
      </c>
      <c r="S483" s="193" t="s">
        <v>49</v>
      </c>
      <c r="T483" s="193" t="s">
        <v>356</v>
      </c>
      <c r="U483" s="193" t="s">
        <v>846</v>
      </c>
      <c r="V483" s="193" t="s">
        <v>211</v>
      </c>
      <c r="W483" s="193" t="s">
        <v>212</v>
      </c>
      <c r="X483" s="193" t="s">
        <v>223</v>
      </c>
      <c r="Y483" s="200">
        <v>3.0</v>
      </c>
      <c r="Z483" s="202" t="s">
        <v>214</v>
      </c>
      <c r="AA483" s="202" t="s">
        <v>215</v>
      </c>
      <c r="AB483" s="203">
        <v>526355.9</v>
      </c>
      <c r="AC483" s="203">
        <v>526355.9</v>
      </c>
      <c r="AD483" s="204">
        <v>46229.0</v>
      </c>
      <c r="AE483" s="204">
        <v>46352.0</v>
      </c>
      <c r="AF483" s="226" t="s">
        <v>260</v>
      </c>
      <c r="AG483" s="219"/>
      <c r="AH483" s="219"/>
      <c r="AI483" s="219"/>
      <c r="AJ483" s="219"/>
      <c r="AK483" s="219"/>
      <c r="AL483" s="219"/>
      <c r="AM483" s="219"/>
      <c r="AN483" s="219"/>
      <c r="AO483" s="219"/>
    </row>
    <row r="484">
      <c r="A484" s="193">
        <v>17781.0</v>
      </c>
      <c r="B484" s="194" t="s">
        <v>203</v>
      </c>
      <c r="C484" s="193">
        <v>2026.0</v>
      </c>
      <c r="D484" s="229" t="s">
        <v>258</v>
      </c>
      <c r="E484" s="199"/>
      <c r="F484" s="193" t="s">
        <v>204</v>
      </c>
      <c r="G484" s="230">
        <v>46204.0</v>
      </c>
      <c r="H484" s="252">
        <v>49.0</v>
      </c>
      <c r="I484" s="354">
        <v>46204.0</v>
      </c>
      <c r="J484" s="193" t="s">
        <v>495</v>
      </c>
      <c r="K484" s="193" t="s">
        <v>206</v>
      </c>
      <c r="L484" s="194" t="s">
        <v>144</v>
      </c>
      <c r="M484" s="199"/>
      <c r="N484" s="193" t="s">
        <v>207</v>
      </c>
      <c r="O484" s="193" t="s">
        <v>206</v>
      </c>
      <c r="P484" s="193" t="s">
        <v>206</v>
      </c>
      <c r="Q484" s="199"/>
      <c r="R484" s="193" t="s">
        <v>269</v>
      </c>
      <c r="S484" s="193" t="s">
        <v>49</v>
      </c>
      <c r="T484" s="193" t="s">
        <v>356</v>
      </c>
      <c r="U484" s="193" t="s">
        <v>846</v>
      </c>
      <c r="V484" s="193" t="s">
        <v>211</v>
      </c>
      <c r="W484" s="193" t="s">
        <v>212</v>
      </c>
      <c r="X484" s="193" t="s">
        <v>223</v>
      </c>
      <c r="Y484" s="200">
        <v>3.0</v>
      </c>
      <c r="Z484" s="202" t="s">
        <v>214</v>
      </c>
      <c r="AA484" s="202" t="s">
        <v>215</v>
      </c>
      <c r="AB484" s="203">
        <v>1366465.1</v>
      </c>
      <c r="AC484" s="203">
        <v>1366465.1</v>
      </c>
      <c r="AD484" s="204">
        <v>46229.0</v>
      </c>
      <c r="AE484" s="204">
        <v>46352.0</v>
      </c>
      <c r="AF484" s="226" t="s">
        <v>798</v>
      </c>
      <c r="AG484" s="219"/>
      <c r="AH484" s="219"/>
      <c r="AI484" s="219"/>
      <c r="AJ484" s="219"/>
      <c r="AK484" s="219"/>
      <c r="AL484" s="219"/>
      <c r="AM484" s="219"/>
      <c r="AN484" s="219"/>
      <c r="AO484" s="219"/>
    </row>
    <row r="485">
      <c r="A485" s="193">
        <v>17800.0</v>
      </c>
      <c r="B485" s="194" t="s">
        <v>203</v>
      </c>
      <c r="C485" s="193">
        <v>2026.0</v>
      </c>
      <c r="D485" s="195">
        <v>2048.0</v>
      </c>
      <c r="E485" s="193">
        <v>92.0</v>
      </c>
      <c r="F485" s="193" t="s">
        <v>293</v>
      </c>
      <c r="G485" s="248"/>
      <c r="H485" s="199"/>
      <c r="I485" s="220"/>
      <c r="J485" s="199"/>
      <c r="K485" s="243" t="s">
        <v>206</v>
      </c>
      <c r="L485" s="194" t="s">
        <v>144</v>
      </c>
      <c r="M485" s="199"/>
      <c r="N485" s="193" t="s">
        <v>207</v>
      </c>
      <c r="O485" s="193" t="s">
        <v>206</v>
      </c>
      <c r="P485" s="193" t="s">
        <v>244</v>
      </c>
      <c r="Q485" s="199"/>
      <c r="R485" s="193" t="s">
        <v>208</v>
      </c>
      <c r="S485" s="193" t="s">
        <v>39</v>
      </c>
      <c r="T485" s="193" t="s">
        <v>254</v>
      </c>
      <c r="U485" s="193" t="s">
        <v>847</v>
      </c>
      <c r="V485" s="193" t="s">
        <v>155</v>
      </c>
      <c r="W485" s="193" t="s">
        <v>203</v>
      </c>
      <c r="X485" s="193" t="s">
        <v>252</v>
      </c>
      <c r="Y485" s="200">
        <v>3.0</v>
      </c>
      <c r="Z485" s="202" t="s">
        <v>233</v>
      </c>
      <c r="AA485" s="202" t="s">
        <v>215</v>
      </c>
      <c r="AB485" s="203">
        <v>3000000.0</v>
      </c>
      <c r="AC485" s="203">
        <v>3000000.0</v>
      </c>
      <c r="AD485" s="204">
        <v>46321.0</v>
      </c>
      <c r="AE485" s="204">
        <v>46352.0</v>
      </c>
      <c r="AF485" s="355" t="s">
        <v>848</v>
      </c>
      <c r="AG485" s="219"/>
      <c r="AH485" s="219"/>
      <c r="AI485" s="219"/>
      <c r="AJ485" s="219"/>
      <c r="AK485" s="219"/>
      <c r="AL485" s="219"/>
      <c r="AM485" s="219"/>
      <c r="AN485" s="219"/>
      <c r="AO485" s="219"/>
    </row>
    <row r="486">
      <c r="A486" s="193">
        <v>17820.0</v>
      </c>
      <c r="B486" s="194" t="s">
        <v>203</v>
      </c>
      <c r="C486" s="193">
        <v>2026.0</v>
      </c>
      <c r="D486" s="195">
        <v>2048.0</v>
      </c>
      <c r="E486" s="199"/>
      <c r="F486" s="193" t="s">
        <v>204</v>
      </c>
      <c r="G486" s="230">
        <v>46265.0</v>
      </c>
      <c r="H486" s="193">
        <v>13250.0</v>
      </c>
      <c r="I486" s="223">
        <v>46265.0</v>
      </c>
      <c r="J486" s="193" t="s">
        <v>262</v>
      </c>
      <c r="K486" s="193" t="s">
        <v>206</v>
      </c>
      <c r="L486" s="194" t="s">
        <v>144</v>
      </c>
      <c r="M486" s="199"/>
      <c r="N486" s="193" t="s">
        <v>475</v>
      </c>
      <c r="O486" s="193" t="s">
        <v>206</v>
      </c>
      <c r="P486" s="193" t="s">
        <v>206</v>
      </c>
      <c r="Q486" s="199"/>
      <c r="R486" s="193" t="s">
        <v>279</v>
      </c>
      <c r="S486" s="193" t="s">
        <v>50</v>
      </c>
      <c r="T486" s="193" t="s">
        <v>522</v>
      </c>
      <c r="U486" s="193" t="s">
        <v>849</v>
      </c>
      <c r="V486" s="193" t="s">
        <v>524</v>
      </c>
      <c r="W486" s="193" t="s">
        <v>264</v>
      </c>
      <c r="X486" s="193" t="s">
        <v>232</v>
      </c>
      <c r="Y486" s="200">
        <v>3.0</v>
      </c>
      <c r="Z486" s="202" t="s">
        <v>214</v>
      </c>
      <c r="AA486" s="202" t="s">
        <v>215</v>
      </c>
      <c r="AB486" s="203">
        <v>113463.72</v>
      </c>
      <c r="AC486" s="203">
        <v>113463.72</v>
      </c>
      <c r="AD486" s="204">
        <v>46229.0</v>
      </c>
      <c r="AE486" s="204">
        <v>46291.0</v>
      </c>
      <c r="AF486" s="205"/>
      <c r="AG486" s="219"/>
      <c r="AH486" s="219"/>
      <c r="AI486" s="219"/>
      <c r="AJ486" s="219"/>
      <c r="AK486" s="219"/>
      <c r="AL486" s="219"/>
      <c r="AM486" s="219"/>
      <c r="AN486" s="219"/>
      <c r="AO486" s="219"/>
    </row>
    <row r="487">
      <c r="A487" s="193">
        <v>17840.0</v>
      </c>
      <c r="B487" s="232" t="s">
        <v>264</v>
      </c>
      <c r="C487" s="193">
        <v>2026.0</v>
      </c>
      <c r="D487" s="199"/>
      <c r="E487" s="199"/>
      <c r="F487" s="199"/>
      <c r="G487" s="248"/>
      <c r="H487" s="199"/>
      <c r="I487" s="220"/>
      <c r="J487" s="199"/>
      <c r="K487" s="193" t="s">
        <v>206</v>
      </c>
      <c r="L487" s="232" t="s">
        <v>146</v>
      </c>
      <c r="M487" s="199"/>
      <c r="N487" s="193" t="s">
        <v>227</v>
      </c>
      <c r="O487" s="193" t="s">
        <v>206</v>
      </c>
      <c r="P487" s="193" t="s">
        <v>206</v>
      </c>
      <c r="Q487" s="199"/>
      <c r="R487" s="193" t="s">
        <v>279</v>
      </c>
      <c r="S487" s="193" t="s">
        <v>50</v>
      </c>
      <c r="T487" s="193" t="s">
        <v>229</v>
      </c>
      <c r="U487" s="193" t="s">
        <v>371</v>
      </c>
      <c r="V487" s="193" t="s">
        <v>50</v>
      </c>
      <c r="W487" s="193" t="s">
        <v>264</v>
      </c>
      <c r="X487" s="193" t="s">
        <v>232</v>
      </c>
      <c r="Y487" s="200">
        <v>3.0</v>
      </c>
      <c r="Z487" s="202" t="s">
        <v>233</v>
      </c>
      <c r="AA487" s="202" t="s">
        <v>234</v>
      </c>
      <c r="AB487" s="221"/>
      <c r="AC487" s="203">
        <v>277251.55</v>
      </c>
      <c r="AD487" s="204">
        <v>46321.0</v>
      </c>
      <c r="AE487" s="204">
        <v>46382.0</v>
      </c>
      <c r="AF487" s="205"/>
      <c r="AG487" s="219"/>
      <c r="AH487" s="219"/>
      <c r="AI487" s="219"/>
      <c r="AJ487" s="219"/>
      <c r="AK487" s="219"/>
      <c r="AL487" s="219"/>
      <c r="AM487" s="219"/>
      <c r="AN487" s="219"/>
      <c r="AO487" s="219"/>
    </row>
    <row r="488">
      <c r="A488" s="193">
        <v>17841.0</v>
      </c>
      <c r="B488" s="194" t="s">
        <v>203</v>
      </c>
      <c r="C488" s="193">
        <v>2026.0</v>
      </c>
      <c r="D488" s="195">
        <v>2048.0</v>
      </c>
      <c r="E488" s="199"/>
      <c r="F488" s="193" t="s">
        <v>204</v>
      </c>
      <c r="G488" s="230">
        <v>46192.0</v>
      </c>
      <c r="H488" s="193">
        <v>463.0</v>
      </c>
      <c r="I488" s="223">
        <v>46192.0</v>
      </c>
      <c r="J488" s="193" t="s">
        <v>458</v>
      </c>
      <c r="K488" s="193" t="s">
        <v>206</v>
      </c>
      <c r="L488" s="194" t="s">
        <v>144</v>
      </c>
      <c r="M488" s="199"/>
      <c r="N488" s="193" t="s">
        <v>227</v>
      </c>
      <c r="O488" s="193" t="s">
        <v>206</v>
      </c>
      <c r="P488" s="193" t="s">
        <v>206</v>
      </c>
      <c r="Q488" s="199"/>
      <c r="R488" s="193" t="s">
        <v>279</v>
      </c>
      <c r="S488" s="193" t="s">
        <v>50</v>
      </c>
      <c r="T488" s="193" t="s">
        <v>229</v>
      </c>
      <c r="U488" s="193" t="s">
        <v>371</v>
      </c>
      <c r="V488" s="193" t="s">
        <v>50</v>
      </c>
      <c r="W488" s="193" t="s">
        <v>264</v>
      </c>
      <c r="X488" s="193" t="s">
        <v>232</v>
      </c>
      <c r="Y488" s="200">
        <v>3.0</v>
      </c>
      <c r="Z488" s="202" t="s">
        <v>233</v>
      </c>
      <c r="AA488" s="202" t="s">
        <v>234</v>
      </c>
      <c r="AB488" s="203">
        <v>8054.64</v>
      </c>
      <c r="AC488" s="203">
        <v>41890.0</v>
      </c>
      <c r="AD488" s="204">
        <v>46199.0</v>
      </c>
      <c r="AE488" s="204">
        <v>46260.0</v>
      </c>
      <c r="AF488" s="226" t="s">
        <v>268</v>
      </c>
      <c r="AG488" s="219"/>
      <c r="AH488" s="219"/>
      <c r="AI488" s="219"/>
      <c r="AJ488" s="219"/>
      <c r="AK488" s="219"/>
      <c r="AL488" s="219"/>
      <c r="AM488" s="219"/>
      <c r="AN488" s="219"/>
      <c r="AO488" s="219"/>
    </row>
    <row r="489">
      <c r="A489" s="193">
        <v>17860.0</v>
      </c>
      <c r="B489" s="232" t="s">
        <v>264</v>
      </c>
      <c r="C489" s="193">
        <v>2026.0</v>
      </c>
      <c r="D489" s="199"/>
      <c r="E489" s="199"/>
      <c r="F489" s="199"/>
      <c r="G489" s="248"/>
      <c r="H489" s="199"/>
      <c r="I489" s="220"/>
      <c r="J489" s="199"/>
      <c r="K489" s="193" t="s">
        <v>206</v>
      </c>
      <c r="L489" s="232" t="s">
        <v>146</v>
      </c>
      <c r="M489" s="199"/>
      <c r="N489" s="193" t="s">
        <v>207</v>
      </c>
      <c r="O489" s="193" t="s">
        <v>206</v>
      </c>
      <c r="P489" s="193" t="s">
        <v>206</v>
      </c>
      <c r="Q489" s="207"/>
      <c r="R489" s="208" t="s">
        <v>279</v>
      </c>
      <c r="S489" s="193" t="s">
        <v>50</v>
      </c>
      <c r="T489" s="193" t="s">
        <v>329</v>
      </c>
      <c r="U489" s="193" t="s">
        <v>850</v>
      </c>
      <c r="V489" s="193" t="s">
        <v>50</v>
      </c>
      <c r="W489" s="193" t="s">
        <v>264</v>
      </c>
      <c r="X489" s="193" t="s">
        <v>232</v>
      </c>
      <c r="Y489" s="200">
        <v>3.0</v>
      </c>
      <c r="Z489" s="202" t="s">
        <v>233</v>
      </c>
      <c r="AA489" s="202" t="s">
        <v>215</v>
      </c>
      <c r="AB489" s="203">
        <v>1000000.0</v>
      </c>
      <c r="AC489" s="203">
        <v>1000000.0</v>
      </c>
      <c r="AD489" s="204">
        <v>46321.0</v>
      </c>
      <c r="AE489" s="204">
        <v>46382.0</v>
      </c>
      <c r="AF489" s="205"/>
      <c r="AG489" s="219"/>
      <c r="AH489" s="219"/>
      <c r="AI489" s="219"/>
      <c r="AJ489" s="219"/>
      <c r="AK489" s="219"/>
      <c r="AL489" s="219"/>
      <c r="AM489" s="219"/>
      <c r="AN489" s="219"/>
      <c r="AO489" s="219"/>
    </row>
    <row r="490">
      <c r="A490" s="193">
        <v>17880.0</v>
      </c>
      <c r="B490" s="232" t="s">
        <v>264</v>
      </c>
      <c r="C490" s="193">
        <v>2026.0</v>
      </c>
      <c r="D490" s="199"/>
      <c r="E490" s="199"/>
      <c r="F490" s="199"/>
      <c r="G490" s="248"/>
      <c r="H490" s="199"/>
      <c r="I490" s="220"/>
      <c r="J490" s="199"/>
      <c r="K490" s="193" t="s">
        <v>206</v>
      </c>
      <c r="L490" s="232" t="s">
        <v>146</v>
      </c>
      <c r="M490" s="199"/>
      <c r="N490" s="193" t="s">
        <v>207</v>
      </c>
      <c r="O490" s="193" t="s">
        <v>206</v>
      </c>
      <c r="P490" s="193" t="s">
        <v>206</v>
      </c>
      <c r="Q490" s="207"/>
      <c r="R490" s="208" t="s">
        <v>279</v>
      </c>
      <c r="S490" s="193" t="s">
        <v>50</v>
      </c>
      <c r="T490" s="193" t="s">
        <v>329</v>
      </c>
      <c r="U490" s="193" t="s">
        <v>851</v>
      </c>
      <c r="V490" s="193" t="s">
        <v>50</v>
      </c>
      <c r="W490" s="193" t="s">
        <v>264</v>
      </c>
      <c r="X490" s="193" t="s">
        <v>232</v>
      </c>
      <c r="Y490" s="200">
        <v>3.0</v>
      </c>
      <c r="Z490" s="202" t="s">
        <v>233</v>
      </c>
      <c r="AA490" s="202" t="s">
        <v>215</v>
      </c>
      <c r="AB490" s="203">
        <v>1000000.0</v>
      </c>
      <c r="AC490" s="203">
        <v>1000000.0</v>
      </c>
      <c r="AD490" s="204">
        <v>46321.0</v>
      </c>
      <c r="AE490" s="204">
        <v>46382.0</v>
      </c>
      <c r="AF490" s="205"/>
      <c r="AG490" s="219"/>
      <c r="AH490" s="219"/>
      <c r="AI490" s="219"/>
      <c r="AJ490" s="219"/>
      <c r="AK490" s="219"/>
      <c r="AL490" s="219"/>
      <c r="AM490" s="219"/>
      <c r="AN490" s="219"/>
      <c r="AO490" s="219"/>
    </row>
    <row r="491">
      <c r="A491" s="193">
        <v>17900.0</v>
      </c>
      <c r="B491" s="232" t="s">
        <v>264</v>
      </c>
      <c r="C491" s="193">
        <v>2026.0</v>
      </c>
      <c r="D491" s="199"/>
      <c r="E491" s="199"/>
      <c r="F491" s="199"/>
      <c r="G491" s="220"/>
      <c r="H491" s="199"/>
      <c r="I491" s="235"/>
      <c r="J491" s="199"/>
      <c r="K491" s="193" t="s">
        <v>206</v>
      </c>
      <c r="L491" s="232" t="s">
        <v>146</v>
      </c>
      <c r="M491" s="199"/>
      <c r="N491" s="193" t="s">
        <v>227</v>
      </c>
      <c r="O491" s="193" t="s">
        <v>206</v>
      </c>
      <c r="P491" s="193" t="s">
        <v>206</v>
      </c>
      <c r="Q491" s="207"/>
      <c r="R491" s="208" t="s">
        <v>279</v>
      </c>
      <c r="S491" s="193" t="s">
        <v>50</v>
      </c>
      <c r="T491" s="193" t="s">
        <v>347</v>
      </c>
      <c r="U491" s="193" t="s">
        <v>852</v>
      </c>
      <c r="V491" s="193" t="s">
        <v>50</v>
      </c>
      <c r="W491" s="193" t="s">
        <v>264</v>
      </c>
      <c r="X491" s="193" t="s">
        <v>232</v>
      </c>
      <c r="Y491" s="200">
        <v>3.0</v>
      </c>
      <c r="Z491" s="202" t="s">
        <v>233</v>
      </c>
      <c r="AA491" s="202" t="s">
        <v>234</v>
      </c>
      <c r="AB491" s="221"/>
      <c r="AC491" s="203">
        <v>1060678.12</v>
      </c>
      <c r="AD491" s="276">
        <v>46321.0</v>
      </c>
      <c r="AE491" s="204">
        <v>46382.0</v>
      </c>
      <c r="AF491" s="356" t="s">
        <v>782</v>
      </c>
      <c r="AG491" s="219"/>
      <c r="AH491" s="219"/>
      <c r="AI491" s="219"/>
      <c r="AJ491" s="219"/>
      <c r="AK491" s="219"/>
      <c r="AL491" s="219"/>
      <c r="AM491" s="219"/>
      <c r="AN491" s="219"/>
      <c r="AO491" s="219"/>
    </row>
    <row r="492">
      <c r="A492" s="193">
        <v>17920.0</v>
      </c>
      <c r="B492" s="194" t="s">
        <v>203</v>
      </c>
      <c r="C492" s="193">
        <v>2026.0</v>
      </c>
      <c r="D492" s="195">
        <v>2048.0</v>
      </c>
      <c r="E492" s="199"/>
      <c r="F492" s="193" t="s">
        <v>204</v>
      </c>
      <c r="G492" s="223">
        <v>46121.0</v>
      </c>
      <c r="H492" s="193">
        <v>264.0</v>
      </c>
      <c r="I492" s="223">
        <v>46121.0</v>
      </c>
      <c r="J492" s="193" t="s">
        <v>774</v>
      </c>
      <c r="K492" s="193" t="s">
        <v>206</v>
      </c>
      <c r="L492" s="194" t="s">
        <v>144</v>
      </c>
      <c r="M492" s="199"/>
      <c r="N492" s="193" t="s">
        <v>207</v>
      </c>
      <c r="O492" s="193" t="s">
        <v>206</v>
      </c>
      <c r="P492" s="193" t="s">
        <v>206</v>
      </c>
      <c r="Q492" s="199"/>
      <c r="R492" s="193" t="s">
        <v>228</v>
      </c>
      <c r="S492" s="193" t="s">
        <v>46</v>
      </c>
      <c r="T492" s="193" t="s">
        <v>287</v>
      </c>
      <c r="U492" s="193" t="s">
        <v>853</v>
      </c>
      <c r="V492" s="193" t="s">
        <v>231</v>
      </c>
      <c r="W492" s="193" t="s">
        <v>212</v>
      </c>
      <c r="X492" s="193" t="s">
        <v>252</v>
      </c>
      <c r="Y492" s="200">
        <v>3.0</v>
      </c>
      <c r="Z492" s="202" t="s">
        <v>233</v>
      </c>
      <c r="AA492" s="202" t="s">
        <v>215</v>
      </c>
      <c r="AB492" s="203">
        <v>1130000.0</v>
      </c>
      <c r="AC492" s="203">
        <v>1130000.0</v>
      </c>
      <c r="AD492" s="258">
        <v>46138.0</v>
      </c>
      <c r="AE492" s="286">
        <v>46382.0</v>
      </c>
      <c r="AF492" s="205"/>
      <c r="AG492" s="219"/>
      <c r="AH492" s="219"/>
      <c r="AI492" s="219"/>
      <c r="AJ492" s="219"/>
      <c r="AK492" s="219"/>
      <c r="AL492" s="219"/>
      <c r="AM492" s="219"/>
      <c r="AN492" s="219"/>
      <c r="AO492" s="219"/>
    </row>
    <row r="493">
      <c r="A493" s="193">
        <v>17940.0</v>
      </c>
      <c r="B493" s="194" t="s">
        <v>203</v>
      </c>
      <c r="C493" s="193">
        <v>2026.0</v>
      </c>
      <c r="D493" s="195">
        <v>2048.0</v>
      </c>
      <c r="E493" s="196"/>
      <c r="F493" s="193" t="s">
        <v>204</v>
      </c>
      <c r="G493" s="283">
        <v>46191.0</v>
      </c>
      <c r="H493" s="193">
        <v>444.0</v>
      </c>
      <c r="I493" s="223">
        <v>46191.0</v>
      </c>
      <c r="J493" s="193" t="s">
        <v>557</v>
      </c>
      <c r="K493" s="193" t="s">
        <v>206</v>
      </c>
      <c r="L493" s="194" t="s">
        <v>144</v>
      </c>
      <c r="M493" s="199"/>
      <c r="N493" s="193" t="s">
        <v>207</v>
      </c>
      <c r="O493" s="193" t="s">
        <v>206</v>
      </c>
      <c r="P493" s="193" t="s">
        <v>206</v>
      </c>
      <c r="Q493" s="199"/>
      <c r="R493" s="193" t="s">
        <v>219</v>
      </c>
      <c r="S493" s="193" t="s">
        <v>43</v>
      </c>
      <c r="T493" s="193" t="s">
        <v>299</v>
      </c>
      <c r="U493" s="193" t="s">
        <v>854</v>
      </c>
      <c r="V493" s="193" t="s">
        <v>290</v>
      </c>
      <c r="W493" s="193" t="s">
        <v>212</v>
      </c>
      <c r="X493" s="193" t="s">
        <v>252</v>
      </c>
      <c r="Y493" s="200">
        <v>3.0</v>
      </c>
      <c r="Z493" s="202" t="s">
        <v>233</v>
      </c>
      <c r="AA493" s="202" t="s">
        <v>215</v>
      </c>
      <c r="AB493" s="203">
        <v>1201670.86</v>
      </c>
      <c r="AC493" s="203">
        <v>1201670.86</v>
      </c>
      <c r="AD493" s="204">
        <v>46199.0</v>
      </c>
      <c r="AE493" s="204">
        <v>46260.0</v>
      </c>
      <c r="AF493" s="357" t="s">
        <v>855</v>
      </c>
      <c r="AG493" s="219"/>
      <c r="AH493" s="219"/>
      <c r="AI493" s="219"/>
      <c r="AJ493" s="219"/>
      <c r="AK493" s="219"/>
      <c r="AL493" s="219"/>
      <c r="AM493" s="219"/>
      <c r="AN493" s="219"/>
      <c r="AO493" s="219"/>
    </row>
    <row r="494">
      <c r="A494" s="193">
        <v>17960.0</v>
      </c>
      <c r="B494" s="194" t="s">
        <v>203</v>
      </c>
      <c r="C494" s="193">
        <v>2026.0</v>
      </c>
      <c r="D494" s="195">
        <v>2048.0</v>
      </c>
      <c r="E494" s="199"/>
      <c r="F494" s="208" t="s">
        <v>204</v>
      </c>
      <c r="G494" s="230">
        <v>46258.0</v>
      </c>
      <c r="H494" s="252">
        <v>12818.0</v>
      </c>
      <c r="I494" s="223">
        <v>46258.0</v>
      </c>
      <c r="J494" s="193" t="s">
        <v>558</v>
      </c>
      <c r="K494" s="193" t="s">
        <v>206</v>
      </c>
      <c r="L494" s="194" t="s">
        <v>144</v>
      </c>
      <c r="M494" s="199"/>
      <c r="N494" s="193" t="s">
        <v>207</v>
      </c>
      <c r="O494" s="193" t="s">
        <v>206</v>
      </c>
      <c r="P494" s="193" t="s">
        <v>206</v>
      </c>
      <c r="Q494" s="199"/>
      <c r="R494" s="193" t="s">
        <v>219</v>
      </c>
      <c r="S494" s="193" t="s">
        <v>43</v>
      </c>
      <c r="T494" s="193" t="s">
        <v>302</v>
      </c>
      <c r="U494" s="193" t="s">
        <v>856</v>
      </c>
      <c r="V494" s="193" t="s">
        <v>231</v>
      </c>
      <c r="W494" s="193" t="s">
        <v>212</v>
      </c>
      <c r="X494" s="193" t="s">
        <v>252</v>
      </c>
      <c r="Y494" s="200">
        <v>3.0</v>
      </c>
      <c r="Z494" s="202" t="s">
        <v>233</v>
      </c>
      <c r="AA494" s="202" t="s">
        <v>215</v>
      </c>
      <c r="AB494" s="203">
        <v>5790000.0</v>
      </c>
      <c r="AC494" s="203">
        <v>5790000.0</v>
      </c>
      <c r="AD494" s="204">
        <v>46321.0</v>
      </c>
      <c r="AE494" s="204">
        <v>46382.0</v>
      </c>
      <c r="AF494" s="226" t="s">
        <v>857</v>
      </c>
      <c r="AG494" s="219"/>
      <c r="AH494" s="219"/>
      <c r="AI494" s="219"/>
      <c r="AJ494" s="219"/>
      <c r="AK494" s="219"/>
      <c r="AL494" s="219"/>
      <c r="AM494" s="219"/>
      <c r="AN494" s="219"/>
      <c r="AO494" s="219"/>
    </row>
    <row r="495">
      <c r="A495" s="193">
        <v>17980.0</v>
      </c>
      <c r="B495" s="232" t="s">
        <v>264</v>
      </c>
      <c r="C495" s="193">
        <v>2026.0</v>
      </c>
      <c r="D495" s="199"/>
      <c r="E495" s="199"/>
      <c r="F495" s="207"/>
      <c r="G495" s="235"/>
      <c r="H495" s="199"/>
      <c r="I495" s="235"/>
      <c r="J495" s="199"/>
      <c r="K495" s="193" t="s">
        <v>206</v>
      </c>
      <c r="L495" s="232" t="s">
        <v>146</v>
      </c>
      <c r="M495" s="199"/>
      <c r="N495" s="193" t="s">
        <v>207</v>
      </c>
      <c r="O495" s="193" t="s">
        <v>206</v>
      </c>
      <c r="P495" s="193" t="s">
        <v>206</v>
      </c>
      <c r="Q495" s="207"/>
      <c r="R495" s="208" t="s">
        <v>279</v>
      </c>
      <c r="S495" s="193" t="s">
        <v>50</v>
      </c>
      <c r="T495" s="193" t="s">
        <v>565</v>
      </c>
      <c r="U495" s="193" t="s">
        <v>858</v>
      </c>
      <c r="V495" s="193" t="s">
        <v>50</v>
      </c>
      <c r="W495" s="193" t="s">
        <v>264</v>
      </c>
      <c r="X495" s="193" t="s">
        <v>252</v>
      </c>
      <c r="Y495" s="200">
        <v>3.0</v>
      </c>
      <c r="Z495" s="202" t="s">
        <v>214</v>
      </c>
      <c r="AA495" s="202" t="s">
        <v>215</v>
      </c>
      <c r="AB495" s="203">
        <v>648000.0</v>
      </c>
      <c r="AC495" s="203">
        <v>648000.0</v>
      </c>
      <c r="AD495" s="204">
        <v>46321.0</v>
      </c>
      <c r="AE495" s="204">
        <v>46382.0</v>
      </c>
      <c r="AF495" s="205"/>
      <c r="AG495" s="219"/>
      <c r="AH495" s="219"/>
      <c r="AI495" s="219"/>
      <c r="AJ495" s="219"/>
      <c r="AK495" s="219"/>
      <c r="AL495" s="219"/>
      <c r="AM495" s="219"/>
      <c r="AN495" s="219"/>
      <c r="AO495" s="219"/>
    </row>
    <row r="496">
      <c r="A496" s="193">
        <v>18000.0</v>
      </c>
      <c r="B496" s="194" t="s">
        <v>203</v>
      </c>
      <c r="C496" s="193">
        <v>2026.0</v>
      </c>
      <c r="D496" s="195">
        <v>2048.0</v>
      </c>
      <c r="E496" s="199"/>
      <c r="F496" s="193" t="s">
        <v>272</v>
      </c>
      <c r="G496" s="248"/>
      <c r="H496" s="199"/>
      <c r="I496" s="235"/>
      <c r="J496" s="199"/>
      <c r="K496" s="193" t="s">
        <v>206</v>
      </c>
      <c r="L496" s="194" t="s">
        <v>144</v>
      </c>
      <c r="M496" s="199"/>
      <c r="N496" s="193" t="s">
        <v>475</v>
      </c>
      <c r="O496" s="193" t="s">
        <v>206</v>
      </c>
      <c r="P496" s="193" t="s">
        <v>206</v>
      </c>
      <c r="Q496" s="207"/>
      <c r="R496" s="208" t="s">
        <v>279</v>
      </c>
      <c r="S496" s="193" t="s">
        <v>50</v>
      </c>
      <c r="T496" s="193" t="s">
        <v>859</v>
      </c>
      <c r="U496" s="193" t="s">
        <v>860</v>
      </c>
      <c r="V496" s="193" t="s">
        <v>524</v>
      </c>
      <c r="W496" s="193" t="s">
        <v>264</v>
      </c>
      <c r="X496" s="193" t="s">
        <v>252</v>
      </c>
      <c r="Y496" s="200">
        <v>3.0</v>
      </c>
      <c r="Z496" s="202" t="s">
        <v>214</v>
      </c>
      <c r="AA496" s="202" t="s">
        <v>215</v>
      </c>
      <c r="AB496" s="203" t="s">
        <v>275</v>
      </c>
      <c r="AC496" s="203" t="s">
        <v>275</v>
      </c>
      <c r="AD496" s="204">
        <v>46229.0</v>
      </c>
      <c r="AE496" s="204">
        <v>46291.0</v>
      </c>
      <c r="AF496" s="226" t="s">
        <v>861</v>
      </c>
      <c r="AG496" s="219"/>
      <c r="AH496" s="219"/>
      <c r="AI496" s="219"/>
      <c r="AJ496" s="219"/>
      <c r="AK496" s="219"/>
      <c r="AL496" s="219"/>
      <c r="AM496" s="219"/>
      <c r="AN496" s="219"/>
      <c r="AO496" s="219"/>
    </row>
    <row r="497">
      <c r="A497" s="193">
        <v>18020.0</v>
      </c>
      <c r="B497" s="194" t="s">
        <v>203</v>
      </c>
      <c r="C497" s="193">
        <v>2026.0</v>
      </c>
      <c r="D497" s="195">
        <v>2048.0</v>
      </c>
      <c r="E497" s="193">
        <v>71.0</v>
      </c>
      <c r="F497" s="193" t="s">
        <v>293</v>
      </c>
      <c r="G497" s="235"/>
      <c r="H497" s="199"/>
      <c r="I497" s="235"/>
      <c r="J497" s="199"/>
      <c r="K497" s="243" t="s">
        <v>206</v>
      </c>
      <c r="L497" s="194" t="s">
        <v>144</v>
      </c>
      <c r="M497" s="199"/>
      <c r="N497" s="193" t="s">
        <v>207</v>
      </c>
      <c r="O497" s="193" t="s">
        <v>206</v>
      </c>
      <c r="P497" s="193" t="s">
        <v>206</v>
      </c>
      <c r="Q497" s="199"/>
      <c r="R497" s="193" t="s">
        <v>208</v>
      </c>
      <c r="S497" s="193" t="s">
        <v>39</v>
      </c>
      <c r="T497" s="193" t="s">
        <v>209</v>
      </c>
      <c r="U497" s="193" t="s">
        <v>837</v>
      </c>
      <c r="V497" s="193" t="s">
        <v>211</v>
      </c>
      <c r="W497" s="193" t="s">
        <v>212</v>
      </c>
      <c r="X497" s="193" t="s">
        <v>213</v>
      </c>
      <c r="Y497" s="200">
        <v>3.0</v>
      </c>
      <c r="Z497" s="202" t="s">
        <v>214</v>
      </c>
      <c r="AA497" s="202" t="s">
        <v>215</v>
      </c>
      <c r="AB497" s="203">
        <v>2310000.0</v>
      </c>
      <c r="AC497" s="203">
        <v>2310000.0</v>
      </c>
      <c r="AD497" s="204">
        <v>46352.0</v>
      </c>
      <c r="AE497" s="204">
        <v>46049.0</v>
      </c>
      <c r="AF497" s="205"/>
      <c r="AG497" s="219"/>
      <c r="AH497" s="219"/>
      <c r="AI497" s="219"/>
      <c r="AJ497" s="219"/>
      <c r="AK497" s="219"/>
      <c r="AL497" s="219"/>
      <c r="AM497" s="219"/>
      <c r="AN497" s="219"/>
      <c r="AO497" s="219"/>
    </row>
    <row r="498">
      <c r="A498" s="193">
        <v>18040.0</v>
      </c>
      <c r="B498" s="194" t="s">
        <v>203</v>
      </c>
      <c r="C498" s="193">
        <v>2026.0</v>
      </c>
      <c r="D498" s="195">
        <v>2048.0</v>
      </c>
      <c r="E498" s="199"/>
      <c r="F498" s="208" t="s">
        <v>204</v>
      </c>
      <c r="G498" s="230">
        <v>46191.0</v>
      </c>
      <c r="H498" s="193">
        <v>442.0</v>
      </c>
      <c r="I498" s="245">
        <v>46191.0</v>
      </c>
      <c r="J498" s="193" t="s">
        <v>862</v>
      </c>
      <c r="K498" s="193" t="s">
        <v>206</v>
      </c>
      <c r="L498" s="194" t="s">
        <v>144</v>
      </c>
      <c r="M498" s="199"/>
      <c r="N498" s="193" t="s">
        <v>207</v>
      </c>
      <c r="O498" s="193" t="s">
        <v>244</v>
      </c>
      <c r="P498" s="193" t="s">
        <v>244</v>
      </c>
      <c r="Q498" s="199"/>
      <c r="R498" s="193" t="s">
        <v>219</v>
      </c>
      <c r="S498" s="193" t="s">
        <v>43</v>
      </c>
      <c r="T498" s="193" t="s">
        <v>863</v>
      </c>
      <c r="U498" s="193" t="s">
        <v>864</v>
      </c>
      <c r="V498" s="193" t="s">
        <v>290</v>
      </c>
      <c r="W498" s="193" t="s">
        <v>264</v>
      </c>
      <c r="X498" s="193" t="s">
        <v>213</v>
      </c>
      <c r="Y498" s="200">
        <v>3.0</v>
      </c>
      <c r="Z498" s="202" t="s">
        <v>214</v>
      </c>
      <c r="AA498" s="202" t="s">
        <v>215</v>
      </c>
      <c r="AB498" s="203">
        <v>160000.0</v>
      </c>
      <c r="AC498" s="203">
        <v>160000.0</v>
      </c>
      <c r="AD498" s="204">
        <v>46199.0</v>
      </c>
      <c r="AE498" s="204">
        <v>46382.0</v>
      </c>
      <c r="AF498" s="205"/>
      <c r="AG498" s="219"/>
      <c r="AH498" s="219"/>
      <c r="AI498" s="219"/>
      <c r="AJ498" s="219"/>
      <c r="AK498" s="219"/>
      <c r="AL498" s="219"/>
      <c r="AM498" s="219"/>
      <c r="AN498" s="219"/>
      <c r="AO498" s="219"/>
    </row>
    <row r="499">
      <c r="A499" s="193">
        <v>18060.0</v>
      </c>
      <c r="B499" s="194" t="s">
        <v>203</v>
      </c>
      <c r="C499" s="193">
        <v>2026.0</v>
      </c>
      <c r="D499" s="195">
        <v>2048.0</v>
      </c>
      <c r="E499" s="199"/>
      <c r="F499" s="208" t="s">
        <v>272</v>
      </c>
      <c r="G499" s="233"/>
      <c r="H499" s="199"/>
      <c r="I499" s="233"/>
      <c r="J499" s="199"/>
      <c r="K499" s="193" t="s">
        <v>206</v>
      </c>
      <c r="L499" s="194" t="s">
        <v>144</v>
      </c>
      <c r="M499" s="199"/>
      <c r="N499" s="193" t="s">
        <v>207</v>
      </c>
      <c r="O499" s="193" t="s">
        <v>206</v>
      </c>
      <c r="P499" s="193" t="s">
        <v>206</v>
      </c>
      <c r="Q499" s="199"/>
      <c r="R499" s="193" t="s">
        <v>219</v>
      </c>
      <c r="S499" s="193" t="s">
        <v>44</v>
      </c>
      <c r="T499" s="193" t="s">
        <v>220</v>
      </c>
      <c r="U499" s="193" t="s">
        <v>865</v>
      </c>
      <c r="V499" s="193" t="s">
        <v>211</v>
      </c>
      <c r="W499" s="193" t="s">
        <v>212</v>
      </c>
      <c r="X499" s="193" t="s">
        <v>213</v>
      </c>
      <c r="Y499" s="200">
        <v>3.0</v>
      </c>
      <c r="Z499" s="202" t="s">
        <v>214</v>
      </c>
      <c r="AA499" s="202" t="s">
        <v>215</v>
      </c>
      <c r="AB499" s="203" t="s">
        <v>275</v>
      </c>
      <c r="AC499" s="203" t="s">
        <v>275</v>
      </c>
      <c r="AD499" s="204">
        <v>46382.0</v>
      </c>
      <c r="AE499" s="204">
        <v>46080.0</v>
      </c>
      <c r="AF499" s="226" t="s">
        <v>866</v>
      </c>
      <c r="AG499" s="219"/>
      <c r="AH499" s="219"/>
      <c r="AI499" s="219"/>
      <c r="AJ499" s="219"/>
      <c r="AK499" s="219"/>
      <c r="AL499" s="219"/>
      <c r="AM499" s="219"/>
      <c r="AN499" s="219"/>
      <c r="AO499" s="219"/>
    </row>
    <row r="500">
      <c r="A500" s="193">
        <v>18080.0</v>
      </c>
      <c r="B500" s="194" t="s">
        <v>203</v>
      </c>
      <c r="C500" s="193">
        <v>2026.0</v>
      </c>
      <c r="D500" s="195">
        <v>2048.0</v>
      </c>
      <c r="E500" s="193">
        <v>24.0</v>
      </c>
      <c r="F500" s="208" t="s">
        <v>293</v>
      </c>
      <c r="G500" s="248"/>
      <c r="H500" s="199"/>
      <c r="I500" s="220"/>
      <c r="J500" s="199"/>
      <c r="K500" s="243" t="s">
        <v>206</v>
      </c>
      <c r="L500" s="194" t="s">
        <v>144</v>
      </c>
      <c r="M500" s="199"/>
      <c r="N500" s="193" t="s">
        <v>207</v>
      </c>
      <c r="O500" s="193" t="s">
        <v>206</v>
      </c>
      <c r="P500" s="193" t="s">
        <v>206</v>
      </c>
      <c r="Q500" s="199"/>
      <c r="R500" s="193" t="s">
        <v>208</v>
      </c>
      <c r="S500" s="193" t="s">
        <v>39</v>
      </c>
      <c r="T500" s="193" t="s">
        <v>294</v>
      </c>
      <c r="U500" s="193" t="s">
        <v>867</v>
      </c>
      <c r="V500" s="193" t="s">
        <v>296</v>
      </c>
      <c r="W500" s="193" t="s">
        <v>212</v>
      </c>
      <c r="X500" s="193" t="s">
        <v>223</v>
      </c>
      <c r="Y500" s="200">
        <v>3.0</v>
      </c>
      <c r="Z500" s="202" t="s">
        <v>214</v>
      </c>
      <c r="AA500" s="202" t="s">
        <v>215</v>
      </c>
      <c r="AB500" s="203">
        <v>1057110.0</v>
      </c>
      <c r="AC500" s="203">
        <v>1057110.0</v>
      </c>
      <c r="AD500" s="204">
        <v>46321.0</v>
      </c>
      <c r="AE500" s="204">
        <v>46382.0</v>
      </c>
      <c r="AF500" s="205"/>
      <c r="AG500" s="219"/>
      <c r="AH500" s="219"/>
      <c r="AI500" s="219"/>
      <c r="AJ500" s="219"/>
      <c r="AK500" s="219"/>
      <c r="AL500" s="219"/>
      <c r="AM500" s="219"/>
      <c r="AN500" s="219"/>
      <c r="AO500" s="219"/>
    </row>
    <row r="501">
      <c r="A501" s="193">
        <v>18081.0</v>
      </c>
      <c r="B501" s="194" t="s">
        <v>203</v>
      </c>
      <c r="C501" s="193">
        <v>2026.0</v>
      </c>
      <c r="D501" s="195">
        <v>2048.0</v>
      </c>
      <c r="E501" s="193">
        <v>72.0</v>
      </c>
      <c r="F501" s="193" t="s">
        <v>293</v>
      </c>
      <c r="G501" s="248"/>
      <c r="H501" s="199"/>
      <c r="I501" s="235"/>
      <c r="J501" s="199"/>
      <c r="K501" s="243" t="s">
        <v>206</v>
      </c>
      <c r="L501" s="194" t="s">
        <v>144</v>
      </c>
      <c r="M501" s="199"/>
      <c r="N501" s="193" t="s">
        <v>207</v>
      </c>
      <c r="O501" s="193" t="s">
        <v>206</v>
      </c>
      <c r="P501" s="193" t="s">
        <v>206</v>
      </c>
      <c r="Q501" s="199"/>
      <c r="R501" s="193" t="s">
        <v>208</v>
      </c>
      <c r="S501" s="193" t="s">
        <v>39</v>
      </c>
      <c r="T501" s="193" t="s">
        <v>294</v>
      </c>
      <c r="U501" s="193" t="s">
        <v>868</v>
      </c>
      <c r="V501" s="193" t="s">
        <v>296</v>
      </c>
      <c r="W501" s="193" t="s">
        <v>212</v>
      </c>
      <c r="X501" s="193" t="s">
        <v>223</v>
      </c>
      <c r="Y501" s="200">
        <v>3.0</v>
      </c>
      <c r="Z501" s="202" t="s">
        <v>214</v>
      </c>
      <c r="AA501" s="202" t="s">
        <v>215</v>
      </c>
      <c r="AB501" s="203">
        <v>475700.0</v>
      </c>
      <c r="AC501" s="203">
        <v>475700.0</v>
      </c>
      <c r="AD501" s="204">
        <v>46382.0</v>
      </c>
      <c r="AE501" s="204">
        <v>46080.0</v>
      </c>
      <c r="AF501" s="226" t="s">
        <v>782</v>
      </c>
      <c r="AG501" s="219"/>
      <c r="AH501" s="219"/>
      <c r="AI501" s="219"/>
      <c r="AJ501" s="219"/>
      <c r="AK501" s="219"/>
      <c r="AL501" s="219"/>
      <c r="AM501" s="219"/>
      <c r="AN501" s="219"/>
      <c r="AO501" s="219"/>
    </row>
    <row r="502">
      <c r="A502" s="193">
        <v>18100.0</v>
      </c>
      <c r="B502" s="194" t="s">
        <v>203</v>
      </c>
      <c r="C502" s="193">
        <v>2026.0</v>
      </c>
      <c r="D502" s="195">
        <v>2048.0</v>
      </c>
      <c r="E502" s="193">
        <v>7.0</v>
      </c>
      <c r="F502" s="193" t="s">
        <v>293</v>
      </c>
      <c r="G502" s="248"/>
      <c r="H502" s="199"/>
      <c r="I502" s="235"/>
      <c r="J502" s="199"/>
      <c r="K502" s="243" t="s">
        <v>206</v>
      </c>
      <c r="L502" s="194" t="s">
        <v>144</v>
      </c>
      <c r="M502" s="199"/>
      <c r="N502" s="193" t="s">
        <v>207</v>
      </c>
      <c r="O502" s="193" t="s">
        <v>206</v>
      </c>
      <c r="P502" s="193" t="s">
        <v>206</v>
      </c>
      <c r="Q502" s="199"/>
      <c r="R502" s="193" t="s">
        <v>208</v>
      </c>
      <c r="S502" s="193" t="s">
        <v>39</v>
      </c>
      <c r="T502" s="193" t="s">
        <v>209</v>
      </c>
      <c r="U502" s="193" t="s">
        <v>834</v>
      </c>
      <c r="V502" s="193" t="s">
        <v>211</v>
      </c>
      <c r="W502" s="193" t="s">
        <v>212</v>
      </c>
      <c r="X502" s="193" t="s">
        <v>223</v>
      </c>
      <c r="Y502" s="200">
        <v>3.0</v>
      </c>
      <c r="Z502" s="202" t="s">
        <v>214</v>
      </c>
      <c r="AA502" s="202" t="s">
        <v>215</v>
      </c>
      <c r="AB502" s="203">
        <v>4072680.0</v>
      </c>
      <c r="AC502" s="203">
        <v>4072680.0</v>
      </c>
      <c r="AD502" s="204">
        <v>46291.0</v>
      </c>
      <c r="AE502" s="204">
        <v>46352.0</v>
      </c>
      <c r="AF502" s="205"/>
      <c r="AG502" s="219"/>
      <c r="AH502" s="219"/>
      <c r="AI502" s="219"/>
      <c r="AJ502" s="219"/>
      <c r="AK502" s="219"/>
      <c r="AL502" s="219"/>
      <c r="AM502" s="219"/>
      <c r="AN502" s="219"/>
      <c r="AO502" s="219"/>
    </row>
    <row r="503">
      <c r="A503" s="193">
        <v>18120.0</v>
      </c>
      <c r="B503" s="232" t="s">
        <v>264</v>
      </c>
      <c r="C503" s="193">
        <v>2026.0</v>
      </c>
      <c r="D503" s="199"/>
      <c r="E503" s="199"/>
      <c r="F503" s="199"/>
      <c r="G503" s="248"/>
      <c r="H503" s="199"/>
      <c r="I503" s="220"/>
      <c r="J503" s="199"/>
      <c r="K503" s="193" t="s">
        <v>206</v>
      </c>
      <c r="L503" s="232" t="s">
        <v>146</v>
      </c>
      <c r="M503" s="199"/>
      <c r="N503" s="193" t="s">
        <v>207</v>
      </c>
      <c r="O503" s="193" t="s">
        <v>206</v>
      </c>
      <c r="P503" s="193" t="s">
        <v>206</v>
      </c>
      <c r="Q503" s="199"/>
      <c r="R503" s="193" t="s">
        <v>219</v>
      </c>
      <c r="S503" s="193" t="s">
        <v>43</v>
      </c>
      <c r="T503" s="193" t="s">
        <v>299</v>
      </c>
      <c r="U503" s="193" t="s">
        <v>869</v>
      </c>
      <c r="V503" s="193" t="s">
        <v>296</v>
      </c>
      <c r="W503" s="193" t="s">
        <v>212</v>
      </c>
      <c r="X503" s="193" t="s">
        <v>223</v>
      </c>
      <c r="Y503" s="200">
        <v>3.0</v>
      </c>
      <c r="Z503" s="202" t="s">
        <v>214</v>
      </c>
      <c r="AA503" s="202" t="s">
        <v>215</v>
      </c>
      <c r="AB503" s="203">
        <v>619070.0</v>
      </c>
      <c r="AC503" s="203">
        <v>619070.0</v>
      </c>
      <c r="AD503" s="204">
        <v>46352.0</v>
      </c>
      <c r="AE503" s="204">
        <v>46049.0</v>
      </c>
      <c r="AF503" s="205"/>
      <c r="AG503" s="219"/>
      <c r="AH503" s="219"/>
      <c r="AI503" s="219"/>
      <c r="AJ503" s="219"/>
      <c r="AK503" s="219"/>
      <c r="AL503" s="219"/>
      <c r="AM503" s="219"/>
      <c r="AN503" s="219"/>
      <c r="AO503" s="219"/>
    </row>
    <row r="504">
      <c r="A504" s="193">
        <v>18140.0</v>
      </c>
      <c r="B504" s="194" t="s">
        <v>203</v>
      </c>
      <c r="C504" s="193">
        <v>2026.0</v>
      </c>
      <c r="D504" s="195">
        <v>2048.0</v>
      </c>
      <c r="E504" s="193">
        <v>37.0</v>
      </c>
      <c r="F504" s="199"/>
      <c r="G504" s="248"/>
      <c r="H504" s="199"/>
      <c r="I504" s="235"/>
      <c r="J504" s="199"/>
      <c r="K504" s="193" t="s">
        <v>206</v>
      </c>
      <c r="L504" s="194" t="s">
        <v>144</v>
      </c>
      <c r="M504" s="199"/>
      <c r="N504" s="193" t="s">
        <v>207</v>
      </c>
      <c r="O504" s="193" t="s">
        <v>206</v>
      </c>
      <c r="P504" s="193" t="s">
        <v>206</v>
      </c>
      <c r="Q504" s="199"/>
      <c r="R504" s="193" t="s">
        <v>219</v>
      </c>
      <c r="S504" s="193" t="s">
        <v>45</v>
      </c>
      <c r="T504" s="193" t="s">
        <v>494</v>
      </c>
      <c r="U504" s="193" t="s">
        <v>870</v>
      </c>
      <c r="V504" s="193" t="s">
        <v>211</v>
      </c>
      <c r="W504" s="193" t="s">
        <v>212</v>
      </c>
      <c r="X504" s="193" t="s">
        <v>223</v>
      </c>
      <c r="Y504" s="200">
        <v>3.0</v>
      </c>
      <c r="Z504" s="202" t="s">
        <v>214</v>
      </c>
      <c r="AA504" s="202" t="s">
        <v>215</v>
      </c>
      <c r="AB504" s="203">
        <v>1295422.28</v>
      </c>
      <c r="AC504" s="203">
        <v>1295422.28</v>
      </c>
      <c r="AD504" s="204">
        <v>46352.0</v>
      </c>
      <c r="AE504" s="204">
        <v>46049.0</v>
      </c>
      <c r="AF504" s="205"/>
      <c r="AG504" s="219"/>
      <c r="AH504" s="219"/>
      <c r="AI504" s="219"/>
      <c r="AJ504" s="219"/>
      <c r="AK504" s="219"/>
      <c r="AL504" s="219"/>
      <c r="AM504" s="219"/>
      <c r="AN504" s="219"/>
      <c r="AO504" s="219"/>
    </row>
    <row r="505">
      <c r="A505" s="193">
        <v>18160.0</v>
      </c>
      <c r="B505" s="194" t="s">
        <v>203</v>
      </c>
      <c r="C505" s="193">
        <v>2026.0</v>
      </c>
      <c r="D505" s="229" t="s">
        <v>258</v>
      </c>
      <c r="E505" s="199"/>
      <c r="F505" s="193" t="s">
        <v>204</v>
      </c>
      <c r="G505" s="215">
        <v>46210.0</v>
      </c>
      <c r="H505" s="193">
        <v>546.0</v>
      </c>
      <c r="I505" s="215">
        <v>46210.0</v>
      </c>
      <c r="J505" s="193" t="s">
        <v>495</v>
      </c>
      <c r="K505" s="193" t="s">
        <v>206</v>
      </c>
      <c r="L505" s="194" t="s">
        <v>144</v>
      </c>
      <c r="M505" s="199"/>
      <c r="N505" s="193" t="s">
        <v>207</v>
      </c>
      <c r="O505" s="193" t="s">
        <v>206</v>
      </c>
      <c r="P505" s="193" t="s">
        <v>206</v>
      </c>
      <c r="Q505" s="199"/>
      <c r="R505" s="193" t="s">
        <v>269</v>
      </c>
      <c r="S505" s="193" t="s">
        <v>49</v>
      </c>
      <c r="T505" s="193" t="s">
        <v>356</v>
      </c>
      <c r="U505" s="193" t="s">
        <v>871</v>
      </c>
      <c r="V505" s="193" t="s">
        <v>211</v>
      </c>
      <c r="W505" s="193" t="s">
        <v>212</v>
      </c>
      <c r="X505" s="193" t="s">
        <v>223</v>
      </c>
      <c r="Y505" s="200">
        <v>3.0</v>
      </c>
      <c r="Z505" s="202" t="s">
        <v>214</v>
      </c>
      <c r="AA505" s="202" t="s">
        <v>215</v>
      </c>
      <c r="AB505" s="203">
        <v>1892821.0</v>
      </c>
      <c r="AC505" s="203">
        <v>1892821.0</v>
      </c>
      <c r="AD505" s="204">
        <v>46229.0</v>
      </c>
      <c r="AE505" s="204">
        <v>46382.0</v>
      </c>
      <c r="AF505" s="226" t="s">
        <v>260</v>
      </c>
      <c r="AG505" s="219"/>
      <c r="AH505" s="219"/>
      <c r="AI505" s="219"/>
      <c r="AJ505" s="219"/>
      <c r="AK505" s="219"/>
      <c r="AL505" s="219"/>
      <c r="AM505" s="219"/>
      <c r="AN505" s="219"/>
      <c r="AO505" s="219"/>
    </row>
    <row r="506">
      <c r="A506" s="193">
        <v>18180.0</v>
      </c>
      <c r="B506" s="194" t="s">
        <v>203</v>
      </c>
      <c r="C506" s="193">
        <v>2026.0</v>
      </c>
      <c r="D506" s="229" t="s">
        <v>258</v>
      </c>
      <c r="E506" s="199"/>
      <c r="F506" s="193" t="s">
        <v>204</v>
      </c>
      <c r="G506" s="215">
        <v>46211.0</v>
      </c>
      <c r="H506" s="193">
        <v>564.0</v>
      </c>
      <c r="I506" s="284">
        <v>46211.0</v>
      </c>
      <c r="J506" s="193" t="s">
        <v>352</v>
      </c>
      <c r="K506" s="193" t="s">
        <v>206</v>
      </c>
      <c r="L506" s="194" t="s">
        <v>144</v>
      </c>
      <c r="M506" s="199"/>
      <c r="N506" s="193" t="s">
        <v>227</v>
      </c>
      <c r="O506" s="193" t="s">
        <v>206</v>
      </c>
      <c r="P506" s="193" t="s">
        <v>244</v>
      </c>
      <c r="Q506" s="199"/>
      <c r="R506" s="193" t="s">
        <v>228</v>
      </c>
      <c r="S506" s="193" t="s">
        <v>46</v>
      </c>
      <c r="T506" s="193" t="s">
        <v>583</v>
      </c>
      <c r="U506" s="193" t="s">
        <v>872</v>
      </c>
      <c r="V506" s="193" t="s">
        <v>155</v>
      </c>
      <c r="W506" s="193" t="s">
        <v>203</v>
      </c>
      <c r="X506" s="193" t="s">
        <v>252</v>
      </c>
      <c r="Y506" s="200">
        <v>3.0</v>
      </c>
      <c r="Z506" s="202" t="s">
        <v>214</v>
      </c>
      <c r="AA506" s="202" t="s">
        <v>234</v>
      </c>
      <c r="AB506" s="203">
        <v>4800000.0</v>
      </c>
      <c r="AC506" s="203">
        <v>4800000.0</v>
      </c>
      <c r="AD506" s="204">
        <v>46229.0</v>
      </c>
      <c r="AE506" s="204">
        <v>46352.0</v>
      </c>
      <c r="AF506" s="205"/>
      <c r="AG506" s="219"/>
      <c r="AH506" s="219"/>
      <c r="AI506" s="219"/>
      <c r="AJ506" s="219"/>
      <c r="AK506" s="219"/>
      <c r="AL506" s="219"/>
      <c r="AM506" s="219"/>
      <c r="AN506" s="219"/>
      <c r="AO506" s="219"/>
    </row>
    <row r="507">
      <c r="A507" s="193">
        <v>18200.0</v>
      </c>
      <c r="B507" s="232" t="s">
        <v>264</v>
      </c>
      <c r="C507" s="193">
        <v>2026.0</v>
      </c>
      <c r="D507" s="199"/>
      <c r="E507" s="199"/>
      <c r="F507" s="193" t="s">
        <v>265</v>
      </c>
      <c r="G507" s="233"/>
      <c r="H507" s="199"/>
      <c r="I507" s="233"/>
      <c r="J507" s="199"/>
      <c r="K507" s="193" t="s">
        <v>206</v>
      </c>
      <c r="L507" s="234" t="s">
        <v>145</v>
      </c>
      <c r="M507" s="199"/>
      <c r="N507" s="193" t="s">
        <v>207</v>
      </c>
      <c r="O507" s="193" t="s">
        <v>206</v>
      </c>
      <c r="P507" s="193" t="s">
        <v>244</v>
      </c>
      <c r="Q507" s="199"/>
      <c r="R507" s="193" t="s">
        <v>228</v>
      </c>
      <c r="S507" s="193" t="s">
        <v>46</v>
      </c>
      <c r="T507" s="193" t="s">
        <v>313</v>
      </c>
      <c r="U507" s="193" t="s">
        <v>873</v>
      </c>
      <c r="V507" s="193" t="s">
        <v>155</v>
      </c>
      <c r="W507" s="193" t="s">
        <v>203</v>
      </c>
      <c r="X507" s="193" t="s">
        <v>252</v>
      </c>
      <c r="Y507" s="200">
        <v>3.0</v>
      </c>
      <c r="Z507" s="202" t="s">
        <v>233</v>
      </c>
      <c r="AA507" s="202" t="s">
        <v>215</v>
      </c>
      <c r="AB507" s="203">
        <v>750000.0</v>
      </c>
      <c r="AC507" s="203">
        <v>750000.0</v>
      </c>
      <c r="AD507" s="204">
        <v>46107.0</v>
      </c>
      <c r="AE507" s="204">
        <v>46138.0</v>
      </c>
      <c r="AF507" s="205"/>
      <c r="AG507" s="219"/>
      <c r="AH507" s="219"/>
      <c r="AI507" s="219"/>
      <c r="AJ507" s="219"/>
      <c r="AK507" s="219"/>
      <c r="AL507" s="219"/>
      <c r="AM507" s="219"/>
      <c r="AN507" s="219"/>
      <c r="AO507" s="219"/>
    </row>
    <row r="508">
      <c r="A508" s="193">
        <v>18220.0</v>
      </c>
      <c r="B508" s="194" t="s">
        <v>203</v>
      </c>
      <c r="C508" s="193">
        <v>2026.0</v>
      </c>
      <c r="D508" s="195">
        <v>2048.0</v>
      </c>
      <c r="E508" s="199"/>
      <c r="F508" s="193" t="s">
        <v>272</v>
      </c>
      <c r="G508" s="235"/>
      <c r="H508" s="199"/>
      <c r="I508" s="235"/>
      <c r="J508" s="199"/>
      <c r="K508" s="193" t="s">
        <v>206</v>
      </c>
      <c r="L508" s="194" t="s">
        <v>144</v>
      </c>
      <c r="M508" s="199"/>
      <c r="N508" s="193" t="s">
        <v>207</v>
      </c>
      <c r="O508" s="193" t="s">
        <v>206</v>
      </c>
      <c r="P508" s="193" t="s">
        <v>206</v>
      </c>
      <c r="Q508" s="199"/>
      <c r="R508" s="193" t="s">
        <v>228</v>
      </c>
      <c r="S508" s="193" t="s">
        <v>47</v>
      </c>
      <c r="T508" s="193" t="s">
        <v>464</v>
      </c>
      <c r="U508" s="193" t="s">
        <v>874</v>
      </c>
      <c r="V508" s="193" t="s">
        <v>382</v>
      </c>
      <c r="W508" s="193" t="s">
        <v>212</v>
      </c>
      <c r="X508" s="193" t="s">
        <v>252</v>
      </c>
      <c r="Y508" s="200">
        <v>3.0</v>
      </c>
      <c r="Z508" s="202" t="s">
        <v>214</v>
      </c>
      <c r="AA508" s="202" t="s">
        <v>215</v>
      </c>
      <c r="AB508" s="203" t="s">
        <v>275</v>
      </c>
      <c r="AC508" s="203" t="s">
        <v>275</v>
      </c>
      <c r="AD508" s="204">
        <v>46321.0</v>
      </c>
      <c r="AE508" s="204">
        <v>46382.0</v>
      </c>
      <c r="AF508" s="226" t="s">
        <v>875</v>
      </c>
      <c r="AG508" s="219"/>
      <c r="AH508" s="219"/>
      <c r="AI508" s="219"/>
      <c r="AJ508" s="219"/>
      <c r="AK508" s="219"/>
      <c r="AL508" s="219"/>
      <c r="AM508" s="219"/>
      <c r="AN508" s="219"/>
      <c r="AO508" s="219"/>
    </row>
    <row r="509">
      <c r="A509" s="193">
        <v>18240.0</v>
      </c>
      <c r="B509" s="194" t="s">
        <v>203</v>
      </c>
      <c r="C509" s="193">
        <v>2026.0</v>
      </c>
      <c r="D509" s="195">
        <v>2048.0</v>
      </c>
      <c r="E509" s="199"/>
      <c r="F509" s="193" t="s">
        <v>272</v>
      </c>
      <c r="G509" s="235"/>
      <c r="H509" s="199"/>
      <c r="I509" s="235"/>
      <c r="J509" s="199"/>
      <c r="K509" s="193" t="s">
        <v>206</v>
      </c>
      <c r="L509" s="194" t="s">
        <v>144</v>
      </c>
      <c r="M509" s="199"/>
      <c r="N509" s="193" t="s">
        <v>207</v>
      </c>
      <c r="O509" s="193" t="s">
        <v>206</v>
      </c>
      <c r="P509" s="193" t="s">
        <v>206</v>
      </c>
      <c r="Q509" s="199"/>
      <c r="R509" s="193" t="s">
        <v>228</v>
      </c>
      <c r="S509" s="193" t="s">
        <v>47</v>
      </c>
      <c r="T509" s="193" t="s">
        <v>464</v>
      </c>
      <c r="U509" s="193" t="s">
        <v>876</v>
      </c>
      <c r="V509" s="193" t="s">
        <v>382</v>
      </c>
      <c r="W509" s="193" t="s">
        <v>212</v>
      </c>
      <c r="X509" s="193" t="s">
        <v>252</v>
      </c>
      <c r="Y509" s="200">
        <v>3.0</v>
      </c>
      <c r="Z509" s="202" t="s">
        <v>214</v>
      </c>
      <c r="AA509" s="202" t="s">
        <v>215</v>
      </c>
      <c r="AB509" s="203" t="s">
        <v>275</v>
      </c>
      <c r="AC509" s="203" t="s">
        <v>275</v>
      </c>
      <c r="AD509" s="204">
        <v>46321.0</v>
      </c>
      <c r="AE509" s="204">
        <v>46382.0</v>
      </c>
      <c r="AF509" s="226" t="s">
        <v>877</v>
      </c>
      <c r="AG509" s="219"/>
      <c r="AH509" s="219"/>
      <c r="AI509" s="219"/>
      <c r="AJ509" s="219"/>
      <c r="AK509" s="219"/>
      <c r="AL509" s="219"/>
      <c r="AM509" s="219"/>
      <c r="AN509" s="219"/>
      <c r="AO509" s="219"/>
    </row>
    <row r="510">
      <c r="A510" s="193">
        <v>18260.0</v>
      </c>
      <c r="B510" s="194" t="s">
        <v>203</v>
      </c>
      <c r="C510" s="193">
        <v>2026.0</v>
      </c>
      <c r="D510" s="195">
        <v>2048.0</v>
      </c>
      <c r="E510" s="199"/>
      <c r="F510" s="199"/>
      <c r="G510" s="235"/>
      <c r="H510" s="199"/>
      <c r="I510" s="235"/>
      <c r="J510" s="199"/>
      <c r="K510" s="193" t="s">
        <v>206</v>
      </c>
      <c r="L510" s="194" t="s">
        <v>144</v>
      </c>
      <c r="M510" s="199"/>
      <c r="N510" s="193" t="s">
        <v>207</v>
      </c>
      <c r="O510" s="193" t="s">
        <v>206</v>
      </c>
      <c r="P510" s="193" t="s">
        <v>206</v>
      </c>
      <c r="Q510" s="199"/>
      <c r="R510" s="193" t="s">
        <v>228</v>
      </c>
      <c r="S510" s="193" t="s">
        <v>46</v>
      </c>
      <c r="T510" s="193" t="s">
        <v>464</v>
      </c>
      <c r="U510" s="193" t="s">
        <v>876</v>
      </c>
      <c r="V510" s="193" t="s">
        <v>382</v>
      </c>
      <c r="W510" s="193" t="s">
        <v>212</v>
      </c>
      <c r="X510" s="193" t="s">
        <v>252</v>
      </c>
      <c r="Y510" s="200">
        <v>3.0</v>
      </c>
      <c r="Z510" s="202" t="s">
        <v>214</v>
      </c>
      <c r="AA510" s="202" t="s">
        <v>215</v>
      </c>
      <c r="AB510" s="203">
        <v>330000.0</v>
      </c>
      <c r="AC510" s="203">
        <v>330000.0</v>
      </c>
      <c r="AD510" s="204">
        <v>46352.0</v>
      </c>
      <c r="AE510" s="204">
        <v>46382.0</v>
      </c>
      <c r="AF510" s="205"/>
      <c r="AG510" s="219"/>
      <c r="AH510" s="219"/>
      <c r="AI510" s="219"/>
      <c r="AJ510" s="219"/>
      <c r="AK510" s="219"/>
      <c r="AL510" s="219"/>
      <c r="AM510" s="219"/>
      <c r="AN510" s="219"/>
      <c r="AO510" s="219"/>
    </row>
    <row r="511">
      <c r="A511" s="193">
        <v>18280.0</v>
      </c>
      <c r="B511" s="194" t="s">
        <v>203</v>
      </c>
      <c r="C511" s="193">
        <v>2026.0</v>
      </c>
      <c r="D511" s="195">
        <v>2048.0</v>
      </c>
      <c r="E511" s="199"/>
      <c r="F511" s="199"/>
      <c r="G511" s="248"/>
      <c r="H511" s="199"/>
      <c r="I511" s="220"/>
      <c r="J511" s="199"/>
      <c r="K511" s="193" t="s">
        <v>206</v>
      </c>
      <c r="L511" s="194" t="s">
        <v>144</v>
      </c>
      <c r="M511" s="199"/>
      <c r="N511" s="193" t="s">
        <v>207</v>
      </c>
      <c r="O511" s="193" t="s">
        <v>206</v>
      </c>
      <c r="P511" s="193" t="s">
        <v>206</v>
      </c>
      <c r="Q511" s="199"/>
      <c r="R511" s="193" t="s">
        <v>228</v>
      </c>
      <c r="S511" s="193" t="s">
        <v>46</v>
      </c>
      <c r="T511" s="193" t="s">
        <v>464</v>
      </c>
      <c r="U511" s="193" t="s">
        <v>874</v>
      </c>
      <c r="V511" s="193" t="s">
        <v>382</v>
      </c>
      <c r="W511" s="193" t="s">
        <v>212</v>
      </c>
      <c r="X511" s="193" t="s">
        <v>252</v>
      </c>
      <c r="Y511" s="200">
        <v>3.0</v>
      </c>
      <c r="Z511" s="202" t="s">
        <v>214</v>
      </c>
      <c r="AA511" s="202" t="s">
        <v>215</v>
      </c>
      <c r="AB511" s="203">
        <v>330000.0</v>
      </c>
      <c r="AC511" s="203">
        <v>330000.0</v>
      </c>
      <c r="AD511" s="204">
        <v>46352.0</v>
      </c>
      <c r="AE511" s="204">
        <v>46382.0</v>
      </c>
      <c r="AF511" s="205"/>
      <c r="AG511" s="219"/>
      <c r="AH511" s="219"/>
      <c r="AI511" s="219"/>
      <c r="AJ511" s="219"/>
      <c r="AK511" s="219"/>
      <c r="AL511" s="219"/>
      <c r="AM511" s="219"/>
      <c r="AN511" s="219"/>
      <c r="AO511" s="219"/>
    </row>
    <row r="512">
      <c r="A512" s="193">
        <v>18300.0</v>
      </c>
      <c r="B512" s="232" t="s">
        <v>264</v>
      </c>
      <c r="C512" s="193">
        <v>2026.0</v>
      </c>
      <c r="D512" s="199"/>
      <c r="E512" s="199"/>
      <c r="F512" s="207"/>
      <c r="G512" s="233"/>
      <c r="H512" s="199"/>
      <c r="I512" s="220"/>
      <c r="J512" s="199"/>
      <c r="K512" s="193" t="s">
        <v>206</v>
      </c>
      <c r="L512" s="232" t="s">
        <v>146</v>
      </c>
      <c r="M512" s="199"/>
      <c r="N512" s="193" t="s">
        <v>207</v>
      </c>
      <c r="O512" s="193" t="s">
        <v>206</v>
      </c>
      <c r="P512" s="193" t="s">
        <v>206</v>
      </c>
      <c r="Q512" s="199"/>
      <c r="R512" s="193" t="s">
        <v>219</v>
      </c>
      <c r="S512" s="193" t="s">
        <v>43</v>
      </c>
      <c r="T512" s="193" t="s">
        <v>464</v>
      </c>
      <c r="U512" s="193" t="s">
        <v>878</v>
      </c>
      <c r="V512" s="193" t="s">
        <v>382</v>
      </c>
      <c r="W512" s="193" t="s">
        <v>212</v>
      </c>
      <c r="X512" s="193" t="s">
        <v>252</v>
      </c>
      <c r="Y512" s="200">
        <v>3.0</v>
      </c>
      <c r="Z512" s="202" t="s">
        <v>214</v>
      </c>
      <c r="AA512" s="202" t="s">
        <v>215</v>
      </c>
      <c r="AB512" s="203">
        <v>1000000.0</v>
      </c>
      <c r="AC512" s="203">
        <v>1000000.0</v>
      </c>
      <c r="AD512" s="204">
        <v>46352.0</v>
      </c>
      <c r="AE512" s="204">
        <v>46382.0</v>
      </c>
      <c r="AF512" s="205"/>
      <c r="AG512" s="219"/>
      <c r="AH512" s="219"/>
      <c r="AI512" s="219"/>
      <c r="AJ512" s="219"/>
      <c r="AK512" s="219"/>
      <c r="AL512" s="219"/>
      <c r="AM512" s="219"/>
      <c r="AN512" s="219"/>
      <c r="AO512" s="219"/>
    </row>
    <row r="513">
      <c r="A513" s="193">
        <v>18320.0</v>
      </c>
      <c r="B513" s="232" t="s">
        <v>264</v>
      </c>
      <c r="C513" s="193">
        <v>2026.0</v>
      </c>
      <c r="D513" s="199"/>
      <c r="E513" s="199"/>
      <c r="F513" s="199"/>
      <c r="G513" s="248"/>
      <c r="H513" s="199"/>
      <c r="I513" s="248"/>
      <c r="J513" s="199"/>
      <c r="K513" s="193" t="s">
        <v>206</v>
      </c>
      <c r="L513" s="232" t="s">
        <v>146</v>
      </c>
      <c r="M513" s="199"/>
      <c r="N513" s="193" t="s">
        <v>207</v>
      </c>
      <c r="O513" s="193" t="s">
        <v>206</v>
      </c>
      <c r="P513" s="193" t="s">
        <v>206</v>
      </c>
      <c r="Q513" s="207"/>
      <c r="R513" s="208" t="s">
        <v>279</v>
      </c>
      <c r="S513" s="193" t="s">
        <v>50</v>
      </c>
      <c r="T513" s="193" t="s">
        <v>613</v>
      </c>
      <c r="U513" s="193" t="s">
        <v>879</v>
      </c>
      <c r="V513" s="193" t="s">
        <v>50</v>
      </c>
      <c r="W513" s="193" t="s">
        <v>264</v>
      </c>
      <c r="X513" s="193" t="s">
        <v>252</v>
      </c>
      <c r="Y513" s="200">
        <v>3.0</v>
      </c>
      <c r="Z513" s="202" t="s">
        <v>214</v>
      </c>
      <c r="AA513" s="202" t="s">
        <v>215</v>
      </c>
      <c r="AB513" s="203">
        <v>216000.0</v>
      </c>
      <c r="AC513" s="203">
        <v>216000.0</v>
      </c>
      <c r="AD513" s="204">
        <v>46352.0</v>
      </c>
      <c r="AE513" s="204">
        <v>46049.0</v>
      </c>
      <c r="AF513" s="205"/>
      <c r="AG513" s="219"/>
      <c r="AH513" s="219"/>
      <c r="AI513" s="219"/>
      <c r="AJ513" s="219"/>
      <c r="AK513" s="219"/>
      <c r="AL513" s="219"/>
      <c r="AM513" s="219"/>
      <c r="AN513" s="219"/>
      <c r="AO513" s="219"/>
    </row>
    <row r="514">
      <c r="A514" s="193">
        <v>18340.0</v>
      </c>
      <c r="B514" s="194" t="s">
        <v>203</v>
      </c>
      <c r="C514" s="193">
        <v>2026.0</v>
      </c>
      <c r="D514" s="195">
        <v>2048.0</v>
      </c>
      <c r="E514" s="193">
        <v>73.0</v>
      </c>
      <c r="F514" s="208" t="s">
        <v>293</v>
      </c>
      <c r="G514" s="248"/>
      <c r="H514" s="199"/>
      <c r="I514" s="233"/>
      <c r="J514" s="199"/>
      <c r="K514" s="243" t="s">
        <v>206</v>
      </c>
      <c r="L514" s="194" t="s">
        <v>144</v>
      </c>
      <c r="M514" s="199"/>
      <c r="N514" s="193" t="s">
        <v>207</v>
      </c>
      <c r="O514" s="193" t="s">
        <v>206</v>
      </c>
      <c r="P514" s="193" t="s">
        <v>206</v>
      </c>
      <c r="Q514" s="199"/>
      <c r="R514" s="193" t="s">
        <v>208</v>
      </c>
      <c r="S514" s="193" t="s">
        <v>39</v>
      </c>
      <c r="T514" s="193" t="s">
        <v>209</v>
      </c>
      <c r="U514" s="193" t="s">
        <v>865</v>
      </c>
      <c r="V514" s="193" t="s">
        <v>211</v>
      </c>
      <c r="W514" s="193" t="s">
        <v>212</v>
      </c>
      <c r="X514" s="193" t="s">
        <v>213</v>
      </c>
      <c r="Y514" s="200">
        <v>3.0</v>
      </c>
      <c r="Z514" s="202" t="s">
        <v>214</v>
      </c>
      <c r="AA514" s="202" t="s">
        <v>215</v>
      </c>
      <c r="AB514" s="203">
        <v>2310000.0</v>
      </c>
      <c r="AC514" s="203">
        <v>2310000.0</v>
      </c>
      <c r="AD514" s="204">
        <v>46382.0</v>
      </c>
      <c r="AE514" s="204">
        <v>46080.0</v>
      </c>
      <c r="AF514" s="205"/>
      <c r="AG514" s="219"/>
      <c r="AH514" s="219"/>
      <c r="AI514" s="219"/>
      <c r="AJ514" s="219"/>
      <c r="AK514" s="219"/>
      <c r="AL514" s="219"/>
      <c r="AM514" s="219"/>
      <c r="AN514" s="219"/>
      <c r="AO514" s="219"/>
    </row>
    <row r="515">
      <c r="A515" s="193">
        <v>18360.0</v>
      </c>
      <c r="B515" s="194" t="s">
        <v>203</v>
      </c>
      <c r="C515" s="193">
        <v>2026.0</v>
      </c>
      <c r="D515" s="195">
        <v>2048.0</v>
      </c>
      <c r="E515" s="199"/>
      <c r="F515" s="193" t="s">
        <v>272</v>
      </c>
      <c r="G515" s="235"/>
      <c r="H515" s="199"/>
      <c r="I515" s="235"/>
      <c r="J515" s="199"/>
      <c r="K515" s="193" t="s">
        <v>206</v>
      </c>
      <c r="L515" s="194" t="s">
        <v>144</v>
      </c>
      <c r="M515" s="199"/>
      <c r="N515" s="193" t="s">
        <v>207</v>
      </c>
      <c r="O515" s="193" t="s">
        <v>206</v>
      </c>
      <c r="P515" s="193" t="s">
        <v>206</v>
      </c>
      <c r="Q515" s="199"/>
      <c r="R515" s="193" t="s">
        <v>219</v>
      </c>
      <c r="S515" s="193" t="s">
        <v>44</v>
      </c>
      <c r="T515" s="193" t="s">
        <v>220</v>
      </c>
      <c r="U515" s="193" t="s">
        <v>880</v>
      </c>
      <c r="V515" s="193" t="s">
        <v>211</v>
      </c>
      <c r="W515" s="193" t="s">
        <v>212</v>
      </c>
      <c r="X515" s="193" t="s">
        <v>223</v>
      </c>
      <c r="Y515" s="200">
        <v>3.0</v>
      </c>
      <c r="Z515" s="202" t="s">
        <v>214</v>
      </c>
      <c r="AA515" s="202" t="s">
        <v>215</v>
      </c>
      <c r="AB515" s="203" t="s">
        <v>275</v>
      </c>
      <c r="AC515" s="203" t="s">
        <v>275</v>
      </c>
      <c r="AD515" s="204">
        <v>46382.0</v>
      </c>
      <c r="AE515" s="204">
        <v>46080.0</v>
      </c>
      <c r="AF515" s="226" t="s">
        <v>881</v>
      </c>
      <c r="AG515" s="219"/>
      <c r="AH515" s="219"/>
      <c r="AI515" s="219"/>
      <c r="AJ515" s="219"/>
      <c r="AK515" s="219"/>
      <c r="AL515" s="219"/>
      <c r="AM515" s="219"/>
      <c r="AN515" s="219"/>
      <c r="AO515" s="219"/>
    </row>
    <row r="516">
      <c r="A516" s="193">
        <v>18380.0</v>
      </c>
      <c r="B516" s="194" t="s">
        <v>203</v>
      </c>
      <c r="C516" s="193">
        <v>2026.0</v>
      </c>
      <c r="D516" s="195">
        <v>2048.0</v>
      </c>
      <c r="E516" s="193">
        <v>74.0</v>
      </c>
      <c r="F516" s="193" t="s">
        <v>293</v>
      </c>
      <c r="G516" s="248"/>
      <c r="H516" s="199"/>
      <c r="I516" s="220"/>
      <c r="J516" s="199"/>
      <c r="K516" s="243" t="s">
        <v>206</v>
      </c>
      <c r="L516" s="194" t="s">
        <v>144</v>
      </c>
      <c r="M516" s="199"/>
      <c r="N516" s="193" t="s">
        <v>207</v>
      </c>
      <c r="O516" s="193" t="s">
        <v>206</v>
      </c>
      <c r="P516" s="193" t="s">
        <v>206</v>
      </c>
      <c r="Q516" s="199"/>
      <c r="R516" s="193" t="s">
        <v>208</v>
      </c>
      <c r="S516" s="193" t="s">
        <v>39</v>
      </c>
      <c r="T516" s="193" t="s">
        <v>209</v>
      </c>
      <c r="U516" s="193" t="s">
        <v>882</v>
      </c>
      <c r="V516" s="193" t="s">
        <v>211</v>
      </c>
      <c r="W516" s="193" t="s">
        <v>212</v>
      </c>
      <c r="X516" s="193" t="s">
        <v>223</v>
      </c>
      <c r="Y516" s="200">
        <v>3.0</v>
      </c>
      <c r="Z516" s="202" t="s">
        <v>214</v>
      </c>
      <c r="AA516" s="202" t="s">
        <v>215</v>
      </c>
      <c r="AB516" s="203">
        <v>4072680.0</v>
      </c>
      <c r="AC516" s="203">
        <v>4072680.0</v>
      </c>
      <c r="AD516" s="204">
        <v>46321.0</v>
      </c>
      <c r="AE516" s="204">
        <v>46382.0</v>
      </c>
      <c r="AF516" s="205"/>
      <c r="AG516" s="219"/>
      <c r="AH516" s="219"/>
      <c r="AI516" s="219"/>
      <c r="AJ516" s="219"/>
      <c r="AK516" s="219"/>
      <c r="AL516" s="219"/>
      <c r="AM516" s="219"/>
      <c r="AN516" s="219"/>
      <c r="AO516" s="219"/>
    </row>
    <row r="517">
      <c r="A517" s="193">
        <v>18381.0</v>
      </c>
      <c r="B517" s="232" t="s">
        <v>264</v>
      </c>
      <c r="C517" s="193">
        <v>2026.0</v>
      </c>
      <c r="D517" s="199"/>
      <c r="E517" s="199"/>
      <c r="F517" s="193" t="s">
        <v>272</v>
      </c>
      <c r="G517" s="235"/>
      <c r="H517" s="199"/>
      <c r="I517" s="235"/>
      <c r="J517" s="199"/>
      <c r="K517" s="193" t="s">
        <v>206</v>
      </c>
      <c r="L517" s="234" t="s">
        <v>145</v>
      </c>
      <c r="M517" s="199"/>
      <c r="N517" s="193" t="s">
        <v>207</v>
      </c>
      <c r="O517" s="193" t="s">
        <v>206</v>
      </c>
      <c r="P517" s="193" t="s">
        <v>206</v>
      </c>
      <c r="Q517" s="199"/>
      <c r="R517" s="193" t="s">
        <v>208</v>
      </c>
      <c r="S517" s="193" t="s">
        <v>39</v>
      </c>
      <c r="T517" s="193" t="s">
        <v>209</v>
      </c>
      <c r="U517" s="193" t="s">
        <v>883</v>
      </c>
      <c r="V517" s="193" t="s">
        <v>211</v>
      </c>
      <c r="W517" s="193" t="s">
        <v>212</v>
      </c>
      <c r="X517" s="193" t="s">
        <v>223</v>
      </c>
      <c r="Y517" s="200">
        <v>3.0</v>
      </c>
      <c r="Z517" s="202" t="s">
        <v>214</v>
      </c>
      <c r="AA517" s="202" t="s">
        <v>215</v>
      </c>
      <c r="AB517" s="203" t="s">
        <v>275</v>
      </c>
      <c r="AC517" s="203" t="s">
        <v>275</v>
      </c>
      <c r="AD517" s="292" t="s">
        <v>367</v>
      </c>
      <c r="AE517" s="293" t="s">
        <v>367</v>
      </c>
      <c r="AF517" s="226" t="s">
        <v>556</v>
      </c>
      <c r="AG517" s="219"/>
      <c r="AH517" s="219"/>
      <c r="AI517" s="219"/>
      <c r="AJ517" s="219"/>
      <c r="AK517" s="219"/>
      <c r="AL517" s="219"/>
      <c r="AM517" s="219"/>
      <c r="AN517" s="219"/>
      <c r="AO517" s="219"/>
    </row>
    <row r="518">
      <c r="A518" s="193">
        <v>18420.0</v>
      </c>
      <c r="B518" s="194" t="s">
        <v>203</v>
      </c>
      <c r="C518" s="193">
        <v>2026.0</v>
      </c>
      <c r="D518" s="195">
        <v>2048.0</v>
      </c>
      <c r="E518" s="199"/>
      <c r="F518" s="193" t="s">
        <v>204</v>
      </c>
      <c r="G518" s="215">
        <v>46210.0</v>
      </c>
      <c r="H518" s="193">
        <v>543.0</v>
      </c>
      <c r="I518" s="215">
        <v>46210.0</v>
      </c>
      <c r="J518" s="193" t="s">
        <v>884</v>
      </c>
      <c r="K518" s="193" t="s">
        <v>206</v>
      </c>
      <c r="L518" s="194" t="s">
        <v>144</v>
      </c>
      <c r="M518" s="199"/>
      <c r="N518" s="193" t="s">
        <v>227</v>
      </c>
      <c r="O518" s="193" t="s">
        <v>206</v>
      </c>
      <c r="P518" s="193" t="s">
        <v>206</v>
      </c>
      <c r="Q518" s="199"/>
      <c r="R518" s="193" t="s">
        <v>219</v>
      </c>
      <c r="S518" s="193" t="s">
        <v>44</v>
      </c>
      <c r="T518" s="193" t="s">
        <v>229</v>
      </c>
      <c r="U518" s="193" t="s">
        <v>885</v>
      </c>
      <c r="V518" s="193" t="s">
        <v>50</v>
      </c>
      <c r="W518" s="193" t="s">
        <v>212</v>
      </c>
      <c r="X518" s="193" t="s">
        <v>232</v>
      </c>
      <c r="Y518" s="200">
        <v>4.0</v>
      </c>
      <c r="Z518" s="202" t="s">
        <v>531</v>
      </c>
      <c r="AA518" s="202" t="s">
        <v>234</v>
      </c>
      <c r="AB518" s="203">
        <v>17009.93</v>
      </c>
      <c r="AC518" s="203">
        <v>91853.6</v>
      </c>
      <c r="AD518" s="204">
        <v>46229.0</v>
      </c>
      <c r="AE518" s="204">
        <v>46291.0</v>
      </c>
      <c r="AF518" s="226" t="s">
        <v>388</v>
      </c>
      <c r="AG518" s="219"/>
      <c r="AH518" s="219"/>
      <c r="AI518" s="219"/>
      <c r="AJ518" s="219"/>
      <c r="AK518" s="219"/>
      <c r="AL518" s="219"/>
      <c r="AM518" s="219"/>
      <c r="AN518" s="219"/>
      <c r="AO518" s="219"/>
    </row>
    <row r="519">
      <c r="A519" s="193">
        <v>18440.0</v>
      </c>
      <c r="B519" s="194" t="s">
        <v>203</v>
      </c>
      <c r="C519" s="193">
        <v>2026.0</v>
      </c>
      <c r="D519" s="229" t="s">
        <v>258</v>
      </c>
      <c r="E519" s="199"/>
      <c r="F519" s="193" t="s">
        <v>204</v>
      </c>
      <c r="G519" s="223">
        <v>46210.0</v>
      </c>
      <c r="H519" s="193">
        <v>546.0</v>
      </c>
      <c r="I519" s="223">
        <v>46210.0</v>
      </c>
      <c r="J519" s="193" t="s">
        <v>495</v>
      </c>
      <c r="K519" s="193" t="s">
        <v>206</v>
      </c>
      <c r="L519" s="194" t="s">
        <v>144</v>
      </c>
      <c r="M519" s="199"/>
      <c r="N519" s="193" t="s">
        <v>207</v>
      </c>
      <c r="O519" s="193" t="s">
        <v>206</v>
      </c>
      <c r="P519" s="193" t="s">
        <v>206</v>
      </c>
      <c r="Q519" s="199"/>
      <c r="R519" s="193" t="s">
        <v>269</v>
      </c>
      <c r="S519" s="193" t="s">
        <v>49</v>
      </c>
      <c r="T519" s="193" t="s">
        <v>356</v>
      </c>
      <c r="U519" s="193" t="s">
        <v>886</v>
      </c>
      <c r="V519" s="193" t="s">
        <v>211</v>
      </c>
      <c r="W519" s="193" t="s">
        <v>212</v>
      </c>
      <c r="X519" s="193" t="s">
        <v>223</v>
      </c>
      <c r="Y519" s="200">
        <v>3.0</v>
      </c>
      <c r="Z519" s="202" t="s">
        <v>214</v>
      </c>
      <c r="AA519" s="202" t="s">
        <v>215</v>
      </c>
      <c r="AB519" s="203">
        <v>1892821.0</v>
      </c>
      <c r="AC519" s="203">
        <v>1892821.0</v>
      </c>
      <c r="AD519" s="204">
        <v>46229.0</v>
      </c>
      <c r="AE519" s="204">
        <v>46049.0</v>
      </c>
      <c r="AF519" s="226" t="s">
        <v>260</v>
      </c>
      <c r="AG519" s="219"/>
      <c r="AH519" s="219"/>
      <c r="AI519" s="219"/>
      <c r="AJ519" s="219"/>
      <c r="AK519" s="219"/>
      <c r="AL519" s="219"/>
      <c r="AM519" s="219"/>
      <c r="AN519" s="219"/>
      <c r="AO519" s="219"/>
    </row>
    <row r="520">
      <c r="A520" s="193">
        <v>18460.0</v>
      </c>
      <c r="B520" s="194" t="s">
        <v>203</v>
      </c>
      <c r="C520" s="193">
        <v>2026.0</v>
      </c>
      <c r="D520" s="229" t="s">
        <v>258</v>
      </c>
      <c r="E520" s="199"/>
      <c r="F520" s="193" t="s">
        <v>204</v>
      </c>
      <c r="G520" s="230">
        <v>46210.0</v>
      </c>
      <c r="H520" s="193">
        <v>546.0</v>
      </c>
      <c r="I520" s="223">
        <v>46210.0</v>
      </c>
      <c r="J520" s="193" t="s">
        <v>495</v>
      </c>
      <c r="K520" s="193" t="s">
        <v>206</v>
      </c>
      <c r="L520" s="194" t="s">
        <v>144</v>
      </c>
      <c r="M520" s="199"/>
      <c r="N520" s="193" t="s">
        <v>207</v>
      </c>
      <c r="O520" s="193" t="s">
        <v>206</v>
      </c>
      <c r="P520" s="193" t="s">
        <v>206</v>
      </c>
      <c r="Q520" s="199"/>
      <c r="R520" s="193" t="s">
        <v>269</v>
      </c>
      <c r="S520" s="193" t="s">
        <v>49</v>
      </c>
      <c r="T520" s="193" t="s">
        <v>356</v>
      </c>
      <c r="U520" s="193" t="s">
        <v>887</v>
      </c>
      <c r="V520" s="193" t="s">
        <v>211</v>
      </c>
      <c r="W520" s="193" t="s">
        <v>212</v>
      </c>
      <c r="X520" s="193" t="s">
        <v>223</v>
      </c>
      <c r="Y520" s="200">
        <v>3.0</v>
      </c>
      <c r="Z520" s="202" t="s">
        <v>214</v>
      </c>
      <c r="AA520" s="202" t="s">
        <v>215</v>
      </c>
      <c r="AB520" s="203">
        <v>189282.1</v>
      </c>
      <c r="AC520" s="203">
        <v>189282.1</v>
      </c>
      <c r="AD520" s="204">
        <v>46229.0</v>
      </c>
      <c r="AE520" s="204">
        <v>46080.0</v>
      </c>
      <c r="AF520" s="226" t="s">
        <v>260</v>
      </c>
      <c r="AG520" s="219"/>
      <c r="AH520" s="219"/>
      <c r="AI520" s="219"/>
      <c r="AJ520" s="219"/>
      <c r="AK520" s="219"/>
      <c r="AL520" s="219"/>
      <c r="AM520" s="219"/>
      <c r="AN520" s="219"/>
      <c r="AO520" s="219"/>
    </row>
    <row r="521">
      <c r="A521" s="193">
        <v>18480.0</v>
      </c>
      <c r="B521" s="232" t="s">
        <v>264</v>
      </c>
      <c r="C521" s="193">
        <v>2026.0</v>
      </c>
      <c r="D521" s="199"/>
      <c r="E521" s="199"/>
      <c r="F521" s="199"/>
      <c r="G521" s="220"/>
      <c r="H521" s="199"/>
      <c r="I521" s="220"/>
      <c r="J521" s="199"/>
      <c r="K521" s="193" t="s">
        <v>206</v>
      </c>
      <c r="L521" s="232" t="s">
        <v>146</v>
      </c>
      <c r="M521" s="199"/>
      <c r="N521" s="193" t="s">
        <v>207</v>
      </c>
      <c r="O521" s="193" t="s">
        <v>206</v>
      </c>
      <c r="P521" s="193" t="s">
        <v>206</v>
      </c>
      <c r="Q521" s="199"/>
      <c r="R521" s="193" t="s">
        <v>279</v>
      </c>
      <c r="S521" s="193" t="s">
        <v>50</v>
      </c>
      <c r="T521" s="193" t="s">
        <v>329</v>
      </c>
      <c r="U521" s="193" t="s">
        <v>888</v>
      </c>
      <c r="V521" s="193" t="s">
        <v>50</v>
      </c>
      <c r="W521" s="193" t="s">
        <v>264</v>
      </c>
      <c r="X521" s="193" t="s">
        <v>232</v>
      </c>
      <c r="Y521" s="200">
        <v>3.0</v>
      </c>
      <c r="Z521" s="202" t="s">
        <v>233</v>
      </c>
      <c r="AA521" s="202" t="s">
        <v>215</v>
      </c>
      <c r="AB521" s="203">
        <v>1000000.0</v>
      </c>
      <c r="AC521" s="203">
        <v>1000000.0</v>
      </c>
      <c r="AD521" s="204">
        <v>46382.0</v>
      </c>
      <c r="AE521" s="204">
        <v>46080.0</v>
      </c>
      <c r="AF521" s="205"/>
      <c r="AG521" s="219"/>
      <c r="AH521" s="219"/>
      <c r="AI521" s="219"/>
      <c r="AJ521" s="219"/>
      <c r="AK521" s="219"/>
      <c r="AL521" s="219"/>
      <c r="AM521" s="219"/>
      <c r="AN521" s="219"/>
      <c r="AO521" s="219"/>
    </row>
    <row r="522">
      <c r="A522" s="193">
        <v>18500.0</v>
      </c>
      <c r="B522" s="194" t="s">
        <v>203</v>
      </c>
      <c r="C522" s="193">
        <v>2026.0</v>
      </c>
      <c r="D522" s="229" t="s">
        <v>258</v>
      </c>
      <c r="E522" s="199"/>
      <c r="F522" s="193" t="s">
        <v>204</v>
      </c>
      <c r="G522" s="230">
        <v>46204.0</v>
      </c>
      <c r="H522" s="252">
        <v>49.0</v>
      </c>
      <c r="I522" s="358">
        <v>46204.0</v>
      </c>
      <c r="J522" s="193" t="s">
        <v>495</v>
      </c>
      <c r="K522" s="193" t="s">
        <v>206</v>
      </c>
      <c r="L522" s="194" t="s">
        <v>144</v>
      </c>
      <c r="M522" s="199"/>
      <c r="N522" s="193" t="s">
        <v>207</v>
      </c>
      <c r="O522" s="193" t="s">
        <v>206</v>
      </c>
      <c r="P522" s="193" t="s">
        <v>206</v>
      </c>
      <c r="Q522" s="207"/>
      <c r="R522" s="208" t="s">
        <v>269</v>
      </c>
      <c r="S522" s="193" t="s">
        <v>49</v>
      </c>
      <c r="T522" s="193" t="s">
        <v>356</v>
      </c>
      <c r="U522" s="193" t="s">
        <v>715</v>
      </c>
      <c r="V522" s="193" t="s">
        <v>211</v>
      </c>
      <c r="W522" s="193" t="s">
        <v>212</v>
      </c>
      <c r="X522" s="193" t="s">
        <v>252</v>
      </c>
      <c r="Y522" s="200">
        <v>3.0</v>
      </c>
      <c r="Z522" s="202" t="s">
        <v>214</v>
      </c>
      <c r="AA522" s="202" t="s">
        <v>215</v>
      </c>
      <c r="AB522" s="203">
        <v>600000.0</v>
      </c>
      <c r="AC522" s="203">
        <v>600000.0</v>
      </c>
      <c r="AD522" s="204">
        <v>46229.0</v>
      </c>
      <c r="AE522" s="204">
        <v>46261.0</v>
      </c>
      <c r="AF522" s="226" t="s">
        <v>889</v>
      </c>
      <c r="AG522" s="219"/>
      <c r="AH522" s="219"/>
      <c r="AI522" s="219"/>
      <c r="AJ522" s="219"/>
      <c r="AK522" s="219"/>
      <c r="AL522" s="219"/>
      <c r="AM522" s="219"/>
      <c r="AN522" s="219"/>
      <c r="AO522" s="219"/>
    </row>
    <row r="523">
      <c r="A523" s="193">
        <v>18501.0</v>
      </c>
      <c r="B523" s="194" t="s">
        <v>203</v>
      </c>
      <c r="C523" s="193">
        <v>2026.0</v>
      </c>
      <c r="D523" s="229" t="s">
        <v>258</v>
      </c>
      <c r="E523" s="199"/>
      <c r="F523" s="193" t="s">
        <v>204</v>
      </c>
      <c r="G523" s="198">
        <v>46224.0</v>
      </c>
      <c r="H523" s="252">
        <v>612.0</v>
      </c>
      <c r="I523" s="358">
        <v>46224.0</v>
      </c>
      <c r="J523" s="193" t="s">
        <v>495</v>
      </c>
      <c r="K523" s="193" t="s">
        <v>206</v>
      </c>
      <c r="L523" s="194" t="s">
        <v>144</v>
      </c>
      <c r="M523" s="199"/>
      <c r="N523" s="193" t="s">
        <v>207</v>
      </c>
      <c r="O523" s="193" t="s">
        <v>206</v>
      </c>
      <c r="P523" s="193" t="s">
        <v>206</v>
      </c>
      <c r="Q523" s="207"/>
      <c r="R523" s="208" t="s">
        <v>269</v>
      </c>
      <c r="S523" s="193" t="s">
        <v>49</v>
      </c>
      <c r="T523" s="193" t="s">
        <v>356</v>
      </c>
      <c r="U523" s="193" t="s">
        <v>854</v>
      </c>
      <c r="V523" s="193" t="s">
        <v>211</v>
      </c>
      <c r="W523" s="193" t="s">
        <v>212</v>
      </c>
      <c r="X523" s="193" t="s">
        <v>252</v>
      </c>
      <c r="Y523" s="200">
        <v>3.0</v>
      </c>
      <c r="Z523" s="202" t="s">
        <v>214</v>
      </c>
      <c r="AA523" s="202" t="s">
        <v>215</v>
      </c>
      <c r="AB523" s="203">
        <v>250000.0</v>
      </c>
      <c r="AC523" s="203">
        <v>250000.0</v>
      </c>
      <c r="AD523" s="204">
        <v>46229.0</v>
      </c>
      <c r="AE523" s="204">
        <v>46261.0</v>
      </c>
      <c r="AF523" s="226" t="s">
        <v>890</v>
      </c>
      <c r="AG523" s="219"/>
      <c r="AH523" s="219"/>
      <c r="AI523" s="219"/>
      <c r="AJ523" s="219"/>
      <c r="AK523" s="219"/>
      <c r="AL523" s="219"/>
      <c r="AM523" s="219"/>
      <c r="AN523" s="219"/>
      <c r="AO523" s="219"/>
    </row>
    <row r="524">
      <c r="A524" s="193">
        <v>18520.0</v>
      </c>
      <c r="B524" s="194" t="s">
        <v>203</v>
      </c>
      <c r="C524" s="193">
        <v>2026.0</v>
      </c>
      <c r="D524" s="199"/>
      <c r="E524" s="199"/>
      <c r="F524" s="199"/>
      <c r="G524" s="248"/>
      <c r="H524" s="199"/>
      <c r="I524" s="220"/>
      <c r="J524" s="199"/>
      <c r="K524" s="193" t="s">
        <v>206</v>
      </c>
      <c r="L524" s="359" t="s">
        <v>147</v>
      </c>
      <c r="M524" s="199"/>
      <c r="N524" s="193" t="s">
        <v>207</v>
      </c>
      <c r="O524" s="193" t="s">
        <v>206</v>
      </c>
      <c r="P524" s="193" t="s">
        <v>206</v>
      </c>
      <c r="Q524" s="199"/>
      <c r="R524" s="193" t="s">
        <v>208</v>
      </c>
      <c r="S524" s="193" t="s">
        <v>39</v>
      </c>
      <c r="T524" s="193" t="s">
        <v>209</v>
      </c>
      <c r="U524" s="193" t="s">
        <v>891</v>
      </c>
      <c r="V524" s="193" t="s">
        <v>892</v>
      </c>
      <c r="W524" s="193" t="s">
        <v>212</v>
      </c>
      <c r="X524" s="193" t="s">
        <v>252</v>
      </c>
      <c r="Y524" s="200">
        <v>3.0</v>
      </c>
      <c r="Z524" s="202" t="s">
        <v>233</v>
      </c>
      <c r="AA524" s="202" t="s">
        <v>215</v>
      </c>
      <c r="AB524" s="203">
        <v>100000.0</v>
      </c>
      <c r="AC524" s="203">
        <v>100000.0</v>
      </c>
      <c r="AD524" s="204">
        <v>46080.0</v>
      </c>
      <c r="AE524" s="204">
        <v>46383.0</v>
      </c>
      <c r="AF524" s="205"/>
      <c r="AG524" s="219"/>
      <c r="AH524" s="219"/>
      <c r="AI524" s="219"/>
      <c r="AJ524" s="219"/>
      <c r="AK524" s="219"/>
      <c r="AL524" s="219"/>
      <c r="AM524" s="219"/>
      <c r="AN524" s="219"/>
      <c r="AO524" s="219"/>
    </row>
    <row r="525">
      <c r="A525" s="193">
        <v>18540.0</v>
      </c>
      <c r="B525" s="194" t="s">
        <v>203</v>
      </c>
      <c r="C525" s="193">
        <v>2026.0</v>
      </c>
      <c r="D525" s="199"/>
      <c r="E525" s="199"/>
      <c r="F525" s="199"/>
      <c r="G525" s="248"/>
      <c r="H525" s="199"/>
      <c r="I525" s="235"/>
      <c r="J525" s="199"/>
      <c r="K525" s="193" t="s">
        <v>206</v>
      </c>
      <c r="L525" s="359" t="s">
        <v>147</v>
      </c>
      <c r="M525" s="199"/>
      <c r="N525" s="193" t="s">
        <v>207</v>
      </c>
      <c r="O525" s="193" t="s">
        <v>206</v>
      </c>
      <c r="P525" s="193" t="s">
        <v>206</v>
      </c>
      <c r="Q525" s="199"/>
      <c r="R525" s="193" t="s">
        <v>208</v>
      </c>
      <c r="S525" s="193" t="s">
        <v>39</v>
      </c>
      <c r="T525" s="193" t="s">
        <v>209</v>
      </c>
      <c r="U525" s="193" t="s">
        <v>893</v>
      </c>
      <c r="V525" s="193" t="s">
        <v>892</v>
      </c>
      <c r="W525" s="193" t="s">
        <v>212</v>
      </c>
      <c r="X525" s="193" t="s">
        <v>252</v>
      </c>
      <c r="Y525" s="200">
        <v>3.0</v>
      </c>
      <c r="Z525" s="202" t="s">
        <v>233</v>
      </c>
      <c r="AA525" s="202" t="s">
        <v>215</v>
      </c>
      <c r="AB525" s="203">
        <v>100000.0</v>
      </c>
      <c r="AC525" s="203">
        <v>100000.0</v>
      </c>
      <c r="AD525" s="204">
        <v>46080.0</v>
      </c>
      <c r="AE525" s="204">
        <v>46383.0</v>
      </c>
      <c r="AF525" s="205"/>
      <c r="AG525" s="219"/>
      <c r="AH525" s="219"/>
      <c r="AI525" s="219"/>
      <c r="AJ525" s="219"/>
      <c r="AK525" s="219"/>
      <c r="AL525" s="219"/>
      <c r="AM525" s="219"/>
      <c r="AN525" s="219"/>
      <c r="AO525" s="219"/>
    </row>
    <row r="526">
      <c r="A526" s="193">
        <v>18560.0</v>
      </c>
      <c r="B526" s="194" t="s">
        <v>203</v>
      </c>
      <c r="C526" s="193">
        <v>2026.0</v>
      </c>
      <c r="D526" s="199"/>
      <c r="E526" s="199"/>
      <c r="F526" s="199"/>
      <c r="G526" s="220"/>
      <c r="H526" s="199"/>
      <c r="I526" s="220"/>
      <c r="J526" s="199"/>
      <c r="K526" s="193" t="s">
        <v>206</v>
      </c>
      <c r="L526" s="359" t="s">
        <v>147</v>
      </c>
      <c r="M526" s="199"/>
      <c r="N526" s="193" t="s">
        <v>207</v>
      </c>
      <c r="O526" s="193" t="s">
        <v>206</v>
      </c>
      <c r="P526" s="193" t="s">
        <v>206</v>
      </c>
      <c r="Q526" s="199"/>
      <c r="R526" s="193" t="s">
        <v>208</v>
      </c>
      <c r="S526" s="193" t="s">
        <v>39</v>
      </c>
      <c r="T526" s="193" t="s">
        <v>209</v>
      </c>
      <c r="U526" s="193" t="s">
        <v>894</v>
      </c>
      <c r="V526" s="193" t="s">
        <v>892</v>
      </c>
      <c r="W526" s="193" t="s">
        <v>212</v>
      </c>
      <c r="X526" s="193" t="s">
        <v>252</v>
      </c>
      <c r="Y526" s="200">
        <v>3.0</v>
      </c>
      <c r="Z526" s="202" t="s">
        <v>233</v>
      </c>
      <c r="AA526" s="202" t="s">
        <v>215</v>
      </c>
      <c r="AB526" s="203">
        <v>100000.0</v>
      </c>
      <c r="AC526" s="203">
        <v>100000.0</v>
      </c>
      <c r="AD526" s="204">
        <v>46080.0</v>
      </c>
      <c r="AE526" s="204">
        <v>46383.0</v>
      </c>
      <c r="AF526" s="205"/>
      <c r="AG526" s="219"/>
      <c r="AH526" s="219"/>
      <c r="AI526" s="219"/>
      <c r="AJ526" s="219"/>
      <c r="AK526" s="219"/>
      <c r="AL526" s="219"/>
      <c r="AM526" s="219"/>
      <c r="AN526" s="219"/>
      <c r="AO526" s="219"/>
    </row>
    <row r="527">
      <c r="A527" s="193">
        <v>18580.0</v>
      </c>
      <c r="B527" s="194" t="s">
        <v>203</v>
      </c>
      <c r="C527" s="193">
        <v>2026.0</v>
      </c>
      <c r="D527" s="199"/>
      <c r="E527" s="199"/>
      <c r="F527" s="199"/>
      <c r="G527" s="220"/>
      <c r="H527" s="199"/>
      <c r="I527" s="220"/>
      <c r="J527" s="199"/>
      <c r="K527" s="193" t="s">
        <v>206</v>
      </c>
      <c r="L527" s="359" t="s">
        <v>147</v>
      </c>
      <c r="M527" s="199"/>
      <c r="N527" s="193" t="s">
        <v>207</v>
      </c>
      <c r="O527" s="193" t="s">
        <v>206</v>
      </c>
      <c r="P527" s="193" t="s">
        <v>206</v>
      </c>
      <c r="Q527" s="199"/>
      <c r="R527" s="193" t="s">
        <v>208</v>
      </c>
      <c r="S527" s="193" t="s">
        <v>39</v>
      </c>
      <c r="T527" s="193" t="s">
        <v>209</v>
      </c>
      <c r="U527" s="193" t="s">
        <v>895</v>
      </c>
      <c r="V527" s="193" t="s">
        <v>892</v>
      </c>
      <c r="W527" s="193" t="s">
        <v>212</v>
      </c>
      <c r="X527" s="193" t="s">
        <v>252</v>
      </c>
      <c r="Y527" s="200">
        <v>3.0</v>
      </c>
      <c r="Z527" s="202" t="s">
        <v>233</v>
      </c>
      <c r="AA527" s="202" t="s">
        <v>215</v>
      </c>
      <c r="AB527" s="203">
        <v>100000.0</v>
      </c>
      <c r="AC527" s="203">
        <v>100000.0</v>
      </c>
      <c r="AD527" s="204">
        <v>46080.0</v>
      </c>
      <c r="AE527" s="204">
        <v>46383.0</v>
      </c>
      <c r="AF527" s="205"/>
      <c r="AG527" s="219"/>
      <c r="AH527" s="219"/>
      <c r="AI527" s="219"/>
      <c r="AJ527" s="219"/>
      <c r="AK527" s="219"/>
      <c r="AL527" s="219"/>
      <c r="AM527" s="219"/>
      <c r="AN527" s="219"/>
      <c r="AO527" s="219"/>
    </row>
    <row r="528">
      <c r="A528" s="193">
        <v>18600.0</v>
      </c>
      <c r="B528" s="194" t="s">
        <v>203</v>
      </c>
      <c r="C528" s="193">
        <v>2026.0</v>
      </c>
      <c r="D528" s="199"/>
      <c r="E528" s="199"/>
      <c r="F528" s="199"/>
      <c r="G528" s="248"/>
      <c r="H528" s="199"/>
      <c r="I528" s="220"/>
      <c r="J528" s="199"/>
      <c r="K528" s="193" t="s">
        <v>206</v>
      </c>
      <c r="L528" s="359" t="s">
        <v>147</v>
      </c>
      <c r="M528" s="199"/>
      <c r="N528" s="193" t="s">
        <v>207</v>
      </c>
      <c r="O528" s="193" t="s">
        <v>206</v>
      </c>
      <c r="P528" s="193" t="s">
        <v>206</v>
      </c>
      <c r="Q528" s="199"/>
      <c r="R528" s="193" t="s">
        <v>208</v>
      </c>
      <c r="S528" s="193" t="s">
        <v>39</v>
      </c>
      <c r="T528" s="193" t="s">
        <v>209</v>
      </c>
      <c r="U528" s="193" t="s">
        <v>896</v>
      </c>
      <c r="V528" s="193" t="s">
        <v>892</v>
      </c>
      <c r="W528" s="193" t="s">
        <v>212</v>
      </c>
      <c r="X528" s="193" t="s">
        <v>252</v>
      </c>
      <c r="Y528" s="200">
        <v>3.0</v>
      </c>
      <c r="Z528" s="202" t="s">
        <v>233</v>
      </c>
      <c r="AA528" s="202" t="s">
        <v>215</v>
      </c>
      <c r="AB528" s="203">
        <v>100000.0</v>
      </c>
      <c r="AC528" s="203">
        <v>100000.0</v>
      </c>
      <c r="AD528" s="204">
        <v>46080.0</v>
      </c>
      <c r="AE528" s="204">
        <v>46383.0</v>
      </c>
      <c r="AF528" s="205"/>
      <c r="AG528" s="219"/>
      <c r="AH528" s="219"/>
      <c r="AI528" s="219"/>
      <c r="AJ528" s="219"/>
      <c r="AK528" s="219"/>
      <c r="AL528" s="219"/>
      <c r="AM528" s="219"/>
      <c r="AN528" s="219"/>
      <c r="AO528" s="219"/>
    </row>
    <row r="529">
      <c r="A529" s="193">
        <v>18620.0</v>
      </c>
      <c r="B529" s="194" t="s">
        <v>203</v>
      </c>
      <c r="C529" s="193">
        <v>2026.0</v>
      </c>
      <c r="D529" s="199"/>
      <c r="E529" s="199"/>
      <c r="F529" s="199"/>
      <c r="G529" s="248"/>
      <c r="H529" s="199"/>
      <c r="I529" s="220"/>
      <c r="J529" s="199"/>
      <c r="K529" s="193" t="s">
        <v>206</v>
      </c>
      <c r="L529" s="359" t="s">
        <v>147</v>
      </c>
      <c r="M529" s="199"/>
      <c r="N529" s="193" t="s">
        <v>207</v>
      </c>
      <c r="O529" s="193" t="s">
        <v>206</v>
      </c>
      <c r="P529" s="193" t="s">
        <v>206</v>
      </c>
      <c r="Q529" s="199"/>
      <c r="R529" s="193" t="s">
        <v>208</v>
      </c>
      <c r="S529" s="193" t="s">
        <v>39</v>
      </c>
      <c r="T529" s="193" t="s">
        <v>209</v>
      </c>
      <c r="U529" s="193" t="s">
        <v>897</v>
      </c>
      <c r="V529" s="193" t="s">
        <v>892</v>
      </c>
      <c r="W529" s="193" t="s">
        <v>212</v>
      </c>
      <c r="X529" s="193" t="s">
        <v>252</v>
      </c>
      <c r="Y529" s="200">
        <v>3.0</v>
      </c>
      <c r="Z529" s="202" t="s">
        <v>233</v>
      </c>
      <c r="AA529" s="202" t="s">
        <v>215</v>
      </c>
      <c r="AB529" s="203">
        <v>100000.0</v>
      </c>
      <c r="AC529" s="203">
        <v>100000.0</v>
      </c>
      <c r="AD529" s="204">
        <v>46080.0</v>
      </c>
      <c r="AE529" s="204">
        <v>46383.0</v>
      </c>
      <c r="AF529" s="205"/>
      <c r="AG529" s="219"/>
      <c r="AH529" s="219"/>
      <c r="AI529" s="219"/>
      <c r="AJ529" s="219"/>
      <c r="AK529" s="219"/>
      <c r="AL529" s="219"/>
      <c r="AM529" s="219"/>
      <c r="AN529" s="219"/>
      <c r="AO529" s="219"/>
    </row>
    <row r="530">
      <c r="A530" s="193">
        <v>18640.0</v>
      </c>
      <c r="B530" s="194" t="s">
        <v>203</v>
      </c>
      <c r="C530" s="193">
        <v>2026.0</v>
      </c>
      <c r="D530" s="359" t="s">
        <v>898</v>
      </c>
      <c r="E530" s="199"/>
      <c r="F530" s="193" t="s">
        <v>204</v>
      </c>
      <c r="G530" s="230">
        <v>46065.0</v>
      </c>
      <c r="H530" s="193">
        <v>65.0</v>
      </c>
      <c r="I530" s="223">
        <v>46065.0</v>
      </c>
      <c r="J530" s="193" t="s">
        <v>899</v>
      </c>
      <c r="K530" s="193" t="s">
        <v>206</v>
      </c>
      <c r="L530" s="359" t="s">
        <v>147</v>
      </c>
      <c r="M530" s="199"/>
      <c r="N530" s="193" t="s">
        <v>227</v>
      </c>
      <c r="O530" s="193" t="s">
        <v>206</v>
      </c>
      <c r="P530" s="193" t="s">
        <v>206</v>
      </c>
      <c r="Q530" s="199"/>
      <c r="R530" s="193" t="s">
        <v>900</v>
      </c>
      <c r="S530" s="193" t="s">
        <v>44</v>
      </c>
      <c r="T530" s="193" t="s">
        <v>901</v>
      </c>
      <c r="U530" s="193" t="s">
        <v>902</v>
      </c>
      <c r="V530" s="193" t="s">
        <v>892</v>
      </c>
      <c r="W530" s="193" t="s">
        <v>212</v>
      </c>
      <c r="X530" s="193" t="s">
        <v>213</v>
      </c>
      <c r="Y530" s="200">
        <v>3.0</v>
      </c>
      <c r="Z530" s="202" t="s">
        <v>214</v>
      </c>
      <c r="AA530" s="202" t="s">
        <v>234</v>
      </c>
      <c r="AB530" s="221"/>
      <c r="AC530" s="203">
        <v>262200.0</v>
      </c>
      <c r="AD530" s="204">
        <v>46079.0</v>
      </c>
      <c r="AE530" s="204">
        <v>46107.0</v>
      </c>
      <c r="AF530" s="205"/>
      <c r="AG530" s="219"/>
      <c r="AH530" s="219"/>
      <c r="AI530" s="219"/>
      <c r="AJ530" s="219"/>
      <c r="AK530" s="219"/>
      <c r="AL530" s="219"/>
      <c r="AM530" s="219"/>
      <c r="AN530" s="219"/>
      <c r="AO530" s="219"/>
    </row>
    <row r="531">
      <c r="A531" s="193">
        <v>18660.0</v>
      </c>
      <c r="B531" s="194" t="s">
        <v>203</v>
      </c>
      <c r="C531" s="193">
        <v>2026.0</v>
      </c>
      <c r="D531" s="359" t="s">
        <v>898</v>
      </c>
      <c r="E531" s="193">
        <v>3.0</v>
      </c>
      <c r="F531" s="199"/>
      <c r="G531" s="248"/>
      <c r="H531" s="199"/>
      <c r="I531" s="220"/>
      <c r="J531" s="199"/>
      <c r="K531" s="193" t="s">
        <v>206</v>
      </c>
      <c r="L531" s="359" t="s">
        <v>147</v>
      </c>
      <c r="M531" s="199"/>
      <c r="N531" s="193" t="s">
        <v>207</v>
      </c>
      <c r="O531" s="193" t="s">
        <v>206</v>
      </c>
      <c r="P531" s="193" t="s">
        <v>206</v>
      </c>
      <c r="Q531" s="199"/>
      <c r="R531" s="193" t="s">
        <v>903</v>
      </c>
      <c r="S531" s="193" t="s">
        <v>47</v>
      </c>
      <c r="T531" s="193" t="s">
        <v>904</v>
      </c>
      <c r="U531" s="193" t="s">
        <v>905</v>
      </c>
      <c r="V531" s="193" t="s">
        <v>892</v>
      </c>
      <c r="W531" s="193" t="s">
        <v>212</v>
      </c>
      <c r="X531" s="193" t="s">
        <v>213</v>
      </c>
      <c r="Y531" s="200">
        <v>3.0</v>
      </c>
      <c r="Z531" s="202" t="s">
        <v>233</v>
      </c>
      <c r="AA531" s="202" t="s">
        <v>215</v>
      </c>
      <c r="AB531" s="221"/>
      <c r="AC531" s="203">
        <v>472141.18</v>
      </c>
      <c r="AD531" s="276">
        <v>46229.0</v>
      </c>
      <c r="AE531" s="204">
        <v>46321.0</v>
      </c>
      <c r="AF531" s="226" t="s">
        <v>906</v>
      </c>
      <c r="AG531" s="219"/>
      <c r="AH531" s="219"/>
      <c r="AI531" s="219"/>
      <c r="AJ531" s="219"/>
      <c r="AK531" s="219"/>
      <c r="AL531" s="219"/>
      <c r="AM531" s="219"/>
      <c r="AN531" s="219"/>
      <c r="AO531" s="219"/>
    </row>
    <row r="532">
      <c r="A532" s="193">
        <v>18661.0</v>
      </c>
      <c r="B532" s="194" t="s">
        <v>203</v>
      </c>
      <c r="C532" s="193">
        <v>2026.0</v>
      </c>
      <c r="D532" s="359" t="s">
        <v>898</v>
      </c>
      <c r="E532" s="199"/>
      <c r="F532" s="193" t="s">
        <v>204</v>
      </c>
      <c r="G532" s="198">
        <v>46121.0</v>
      </c>
      <c r="H532" s="193">
        <v>285.0</v>
      </c>
      <c r="I532" s="198">
        <v>46121.0</v>
      </c>
      <c r="J532" s="193" t="s">
        <v>907</v>
      </c>
      <c r="K532" s="193" t="s">
        <v>206</v>
      </c>
      <c r="L532" s="359" t="s">
        <v>147</v>
      </c>
      <c r="M532" s="199"/>
      <c r="N532" s="193" t="s">
        <v>207</v>
      </c>
      <c r="O532" s="193" t="s">
        <v>206</v>
      </c>
      <c r="P532" s="193" t="s">
        <v>206</v>
      </c>
      <c r="Q532" s="199"/>
      <c r="R532" s="193" t="s">
        <v>903</v>
      </c>
      <c r="S532" s="193" t="s">
        <v>47</v>
      </c>
      <c r="T532" s="193" t="s">
        <v>904</v>
      </c>
      <c r="U532" s="193" t="s">
        <v>905</v>
      </c>
      <c r="V532" s="193" t="s">
        <v>892</v>
      </c>
      <c r="W532" s="193" t="s">
        <v>212</v>
      </c>
      <c r="X532" s="193" t="s">
        <v>213</v>
      </c>
      <c r="Y532" s="200">
        <v>3.0</v>
      </c>
      <c r="Z532" s="202" t="s">
        <v>233</v>
      </c>
      <c r="AA532" s="202" t="s">
        <v>215</v>
      </c>
      <c r="AB532" s="221"/>
      <c r="AC532" s="203">
        <v>914588.67</v>
      </c>
      <c r="AD532" s="258">
        <v>46138.0</v>
      </c>
      <c r="AE532" s="204">
        <v>46168.0</v>
      </c>
      <c r="AF532" s="226" t="s">
        <v>908</v>
      </c>
      <c r="AG532" s="219"/>
      <c r="AH532" s="219"/>
      <c r="AI532" s="219"/>
      <c r="AJ532" s="219"/>
      <c r="AK532" s="219"/>
      <c r="AL532" s="219"/>
      <c r="AM532" s="219"/>
      <c r="AN532" s="219"/>
      <c r="AO532" s="219"/>
    </row>
    <row r="533">
      <c r="A533" s="193">
        <v>18662.0</v>
      </c>
      <c r="B533" s="194" t="s">
        <v>203</v>
      </c>
      <c r="C533" s="193">
        <v>2026.0</v>
      </c>
      <c r="D533" s="359" t="s">
        <v>898</v>
      </c>
      <c r="E533" s="199"/>
      <c r="F533" s="193" t="s">
        <v>204</v>
      </c>
      <c r="G533" s="230">
        <v>46205.0</v>
      </c>
      <c r="H533" s="193">
        <v>534.0</v>
      </c>
      <c r="I533" s="223">
        <v>46205.0</v>
      </c>
      <c r="J533" s="193" t="s">
        <v>267</v>
      </c>
      <c r="K533" s="193" t="s">
        <v>206</v>
      </c>
      <c r="L533" s="359" t="s">
        <v>147</v>
      </c>
      <c r="M533" s="199"/>
      <c r="N533" s="193" t="s">
        <v>909</v>
      </c>
      <c r="O533" s="193" t="s">
        <v>206</v>
      </c>
      <c r="P533" s="193" t="s">
        <v>206</v>
      </c>
      <c r="Q533" s="199"/>
      <c r="R533" s="193" t="s">
        <v>903</v>
      </c>
      <c r="S533" s="193" t="s">
        <v>47</v>
      </c>
      <c r="T533" s="193" t="s">
        <v>904</v>
      </c>
      <c r="U533" s="193" t="s">
        <v>905</v>
      </c>
      <c r="V533" s="193" t="s">
        <v>892</v>
      </c>
      <c r="W533" s="193" t="s">
        <v>212</v>
      </c>
      <c r="X533" s="193" t="s">
        <v>213</v>
      </c>
      <c r="Y533" s="200">
        <v>3.0</v>
      </c>
      <c r="Z533" s="202" t="s">
        <v>233</v>
      </c>
      <c r="AA533" s="202" t="s">
        <v>215</v>
      </c>
      <c r="AB533" s="221"/>
      <c r="AC533" s="203">
        <v>102938.15</v>
      </c>
      <c r="AD533" s="204">
        <v>46229.0</v>
      </c>
      <c r="AE533" s="204">
        <v>46321.0</v>
      </c>
      <c r="AF533" s="226" t="s">
        <v>910</v>
      </c>
      <c r="AG533" s="219"/>
      <c r="AH533" s="219"/>
      <c r="AI533" s="219"/>
      <c r="AJ533" s="219"/>
      <c r="AK533" s="219"/>
      <c r="AL533" s="219"/>
      <c r="AM533" s="219"/>
      <c r="AN533" s="219"/>
      <c r="AO533" s="219"/>
    </row>
    <row r="534">
      <c r="A534" s="193">
        <v>18663.0</v>
      </c>
      <c r="B534" s="232" t="s">
        <v>264</v>
      </c>
      <c r="C534" s="193">
        <v>2026.0</v>
      </c>
      <c r="D534" s="199"/>
      <c r="E534" s="193">
        <v>8.0</v>
      </c>
      <c r="F534" s="199"/>
      <c r="G534" s="233"/>
      <c r="H534" s="199"/>
      <c r="I534" s="233"/>
      <c r="J534" s="199"/>
      <c r="K534" s="193" t="s">
        <v>206</v>
      </c>
      <c r="L534" s="359" t="s">
        <v>147</v>
      </c>
      <c r="M534" s="199"/>
      <c r="N534" s="193" t="s">
        <v>207</v>
      </c>
      <c r="O534" s="193" t="s">
        <v>206</v>
      </c>
      <c r="P534" s="193" t="s">
        <v>206</v>
      </c>
      <c r="Q534" s="199"/>
      <c r="R534" s="193" t="s">
        <v>903</v>
      </c>
      <c r="S534" s="193" t="s">
        <v>47</v>
      </c>
      <c r="T534" s="193" t="s">
        <v>904</v>
      </c>
      <c r="U534" s="193" t="s">
        <v>905</v>
      </c>
      <c r="V534" s="193" t="s">
        <v>892</v>
      </c>
      <c r="W534" s="193" t="s">
        <v>212</v>
      </c>
      <c r="X534" s="193" t="s">
        <v>213</v>
      </c>
      <c r="Y534" s="200">
        <v>3.0</v>
      </c>
      <c r="Z534" s="202" t="s">
        <v>233</v>
      </c>
      <c r="AA534" s="202" t="s">
        <v>215</v>
      </c>
      <c r="AB534" s="221"/>
      <c r="AC534" s="203">
        <v>636126.0</v>
      </c>
      <c r="AD534" s="204">
        <v>46229.0</v>
      </c>
      <c r="AE534" s="204">
        <v>46321.0</v>
      </c>
      <c r="AF534" s="226" t="s">
        <v>911</v>
      </c>
      <c r="AG534" s="219"/>
      <c r="AH534" s="219"/>
      <c r="AI534" s="219"/>
      <c r="AJ534" s="219"/>
      <c r="AK534" s="219"/>
      <c r="AL534" s="219"/>
      <c r="AM534" s="219"/>
      <c r="AN534" s="219"/>
      <c r="AO534" s="219"/>
    </row>
    <row r="535">
      <c r="A535" s="193">
        <v>18664.0</v>
      </c>
      <c r="B535" s="232" t="s">
        <v>264</v>
      </c>
      <c r="C535" s="193">
        <v>2026.0</v>
      </c>
      <c r="D535" s="199"/>
      <c r="E535" s="199"/>
      <c r="F535" s="193" t="s">
        <v>265</v>
      </c>
      <c r="G535" s="248"/>
      <c r="H535" s="199"/>
      <c r="I535" s="220"/>
      <c r="J535" s="199"/>
      <c r="K535" s="193" t="s">
        <v>206</v>
      </c>
      <c r="L535" s="359" t="s">
        <v>147</v>
      </c>
      <c r="M535" s="199"/>
      <c r="N535" s="193" t="s">
        <v>909</v>
      </c>
      <c r="O535" s="193" t="s">
        <v>206</v>
      </c>
      <c r="P535" s="193" t="s">
        <v>206</v>
      </c>
      <c r="Q535" s="199"/>
      <c r="R535" s="193" t="s">
        <v>903</v>
      </c>
      <c r="S535" s="193" t="s">
        <v>47</v>
      </c>
      <c r="T535" s="193" t="s">
        <v>904</v>
      </c>
      <c r="U535" s="193" t="s">
        <v>905</v>
      </c>
      <c r="V535" s="193" t="s">
        <v>892</v>
      </c>
      <c r="W535" s="193" t="s">
        <v>212</v>
      </c>
      <c r="X535" s="193" t="s">
        <v>213</v>
      </c>
      <c r="Y535" s="200">
        <v>3.0</v>
      </c>
      <c r="Z535" s="202" t="s">
        <v>233</v>
      </c>
      <c r="AA535" s="202" t="s">
        <v>215</v>
      </c>
      <c r="AB535" s="221"/>
      <c r="AC535" s="203">
        <v>3351036.0</v>
      </c>
      <c r="AD535" s="204">
        <v>46229.0</v>
      </c>
      <c r="AE535" s="204">
        <v>46321.0</v>
      </c>
      <c r="AF535" s="226" t="s">
        <v>912</v>
      </c>
      <c r="AG535" s="219"/>
      <c r="AH535" s="219"/>
      <c r="AI535" s="219"/>
      <c r="AJ535" s="219"/>
      <c r="AK535" s="219"/>
      <c r="AL535" s="219"/>
      <c r="AM535" s="219"/>
      <c r="AN535" s="219"/>
      <c r="AO535" s="219"/>
    </row>
    <row r="536">
      <c r="A536" s="193">
        <v>18680.0</v>
      </c>
      <c r="B536" s="232" t="s">
        <v>264</v>
      </c>
      <c r="C536" s="193">
        <v>2026.0</v>
      </c>
      <c r="D536" s="359" t="s">
        <v>898</v>
      </c>
      <c r="E536" s="199"/>
      <c r="F536" s="199"/>
      <c r="G536" s="248"/>
      <c r="H536" s="199"/>
      <c r="I536" s="220"/>
      <c r="J536" s="199"/>
      <c r="K536" s="193" t="s">
        <v>206</v>
      </c>
      <c r="L536" s="359" t="s">
        <v>147</v>
      </c>
      <c r="M536" s="199"/>
      <c r="N536" s="193" t="s">
        <v>207</v>
      </c>
      <c r="O536" s="193" t="s">
        <v>206</v>
      </c>
      <c r="P536" s="193" t="s">
        <v>206</v>
      </c>
      <c r="Q536" s="199"/>
      <c r="R536" s="193" t="s">
        <v>903</v>
      </c>
      <c r="S536" s="193" t="s">
        <v>47</v>
      </c>
      <c r="T536" s="193" t="s">
        <v>904</v>
      </c>
      <c r="U536" s="193" t="s">
        <v>913</v>
      </c>
      <c r="V536" s="193" t="s">
        <v>892</v>
      </c>
      <c r="W536" s="193" t="s">
        <v>212</v>
      </c>
      <c r="X536" s="193" t="s">
        <v>213</v>
      </c>
      <c r="Y536" s="200">
        <v>3.0</v>
      </c>
      <c r="Z536" s="202" t="s">
        <v>233</v>
      </c>
      <c r="AA536" s="202" t="s">
        <v>215</v>
      </c>
      <c r="AB536" s="221"/>
      <c r="AC536" s="203">
        <v>6000000.0</v>
      </c>
      <c r="AD536" s="204">
        <v>46260.0</v>
      </c>
      <c r="AE536" s="204">
        <v>46382.0</v>
      </c>
      <c r="AF536" s="226" t="s">
        <v>908</v>
      </c>
      <c r="AG536" s="219"/>
      <c r="AH536" s="219"/>
      <c r="AI536" s="219"/>
      <c r="AJ536" s="219"/>
      <c r="AK536" s="219"/>
      <c r="AL536" s="219"/>
      <c r="AM536" s="219"/>
      <c r="AN536" s="219"/>
      <c r="AO536" s="219"/>
    </row>
    <row r="537">
      <c r="A537" s="193">
        <v>18700.0</v>
      </c>
      <c r="B537" s="194" t="s">
        <v>203</v>
      </c>
      <c r="C537" s="193">
        <v>2026.0</v>
      </c>
      <c r="D537" s="359" t="s">
        <v>898</v>
      </c>
      <c r="E537" s="199"/>
      <c r="F537" s="193" t="s">
        <v>204</v>
      </c>
      <c r="G537" s="223">
        <v>46195.0</v>
      </c>
      <c r="H537" s="193">
        <v>476.0</v>
      </c>
      <c r="I537" s="223">
        <v>46195.0</v>
      </c>
      <c r="J537" s="193" t="s">
        <v>914</v>
      </c>
      <c r="K537" s="193" t="s">
        <v>206</v>
      </c>
      <c r="L537" s="359" t="s">
        <v>147</v>
      </c>
      <c r="M537" s="199"/>
      <c r="N537" s="193" t="s">
        <v>227</v>
      </c>
      <c r="O537" s="193" t="s">
        <v>206</v>
      </c>
      <c r="P537" s="193" t="s">
        <v>206</v>
      </c>
      <c r="Q537" s="199"/>
      <c r="R537" s="193" t="s">
        <v>900</v>
      </c>
      <c r="S537" s="193" t="s">
        <v>44</v>
      </c>
      <c r="T537" s="193" t="s">
        <v>901</v>
      </c>
      <c r="U537" s="193" t="s">
        <v>915</v>
      </c>
      <c r="V537" s="193" t="s">
        <v>892</v>
      </c>
      <c r="W537" s="193" t="s">
        <v>212</v>
      </c>
      <c r="X537" s="193" t="s">
        <v>213</v>
      </c>
      <c r="Y537" s="200">
        <v>3.0</v>
      </c>
      <c r="Z537" s="202" t="s">
        <v>233</v>
      </c>
      <c r="AA537" s="202" t="s">
        <v>234</v>
      </c>
      <c r="AB537" s="221"/>
      <c r="AC537" s="203">
        <v>43760.0</v>
      </c>
      <c r="AD537" s="204">
        <v>46199.0</v>
      </c>
      <c r="AE537" s="204">
        <v>46260.0</v>
      </c>
      <c r="AF537" s="226" t="s">
        <v>916</v>
      </c>
      <c r="AG537" s="219"/>
      <c r="AH537" s="219"/>
      <c r="AI537" s="219"/>
      <c r="AJ537" s="219"/>
      <c r="AK537" s="219"/>
      <c r="AL537" s="219"/>
      <c r="AM537" s="219"/>
      <c r="AN537" s="219"/>
      <c r="AO537" s="219"/>
    </row>
    <row r="538">
      <c r="A538" s="193">
        <v>18701.0</v>
      </c>
      <c r="B538" s="194" t="s">
        <v>203</v>
      </c>
      <c r="C538" s="193">
        <v>2026.0</v>
      </c>
      <c r="D538" s="359" t="s">
        <v>898</v>
      </c>
      <c r="E538" s="199"/>
      <c r="F538" s="193" t="s">
        <v>204</v>
      </c>
      <c r="G538" s="223">
        <v>46195.0</v>
      </c>
      <c r="H538" s="193">
        <v>477.0</v>
      </c>
      <c r="I538" s="223">
        <v>46195.0</v>
      </c>
      <c r="J538" s="193" t="s">
        <v>917</v>
      </c>
      <c r="K538" s="193" t="s">
        <v>206</v>
      </c>
      <c r="L538" s="359" t="s">
        <v>147</v>
      </c>
      <c r="M538" s="199"/>
      <c r="N538" s="193" t="s">
        <v>227</v>
      </c>
      <c r="O538" s="193" t="s">
        <v>206</v>
      </c>
      <c r="P538" s="193" t="s">
        <v>206</v>
      </c>
      <c r="Q538" s="199"/>
      <c r="R538" s="193" t="s">
        <v>900</v>
      </c>
      <c r="S538" s="193" t="s">
        <v>44</v>
      </c>
      <c r="T538" s="193" t="s">
        <v>901</v>
      </c>
      <c r="U538" s="193" t="s">
        <v>915</v>
      </c>
      <c r="V538" s="193" t="s">
        <v>892</v>
      </c>
      <c r="W538" s="193" t="s">
        <v>212</v>
      </c>
      <c r="X538" s="193" t="s">
        <v>213</v>
      </c>
      <c r="Y538" s="200">
        <v>3.0</v>
      </c>
      <c r="Z538" s="202" t="s">
        <v>214</v>
      </c>
      <c r="AA538" s="202" t="s">
        <v>234</v>
      </c>
      <c r="AB538" s="221"/>
      <c r="AC538" s="203">
        <v>383740.0</v>
      </c>
      <c r="AD538" s="204">
        <v>46199.0</v>
      </c>
      <c r="AE538" s="204">
        <v>46260.0</v>
      </c>
      <c r="AF538" s="226" t="s">
        <v>268</v>
      </c>
      <c r="AG538" s="219"/>
      <c r="AH538" s="219"/>
      <c r="AI538" s="219"/>
      <c r="AJ538" s="219"/>
      <c r="AK538" s="219"/>
      <c r="AL538" s="219"/>
      <c r="AM538" s="219"/>
      <c r="AN538" s="219"/>
      <c r="AO538" s="219"/>
    </row>
    <row r="539">
      <c r="A539" s="193">
        <v>18720.0</v>
      </c>
      <c r="B539" s="194" t="s">
        <v>203</v>
      </c>
      <c r="C539" s="193">
        <v>2026.0</v>
      </c>
      <c r="D539" s="359" t="s">
        <v>898</v>
      </c>
      <c r="E539" s="199"/>
      <c r="F539" s="193" t="s">
        <v>204</v>
      </c>
      <c r="G539" s="223">
        <v>46195.0</v>
      </c>
      <c r="H539" s="193">
        <v>477.0</v>
      </c>
      <c r="I539" s="223">
        <v>46195.0</v>
      </c>
      <c r="J539" s="193" t="s">
        <v>917</v>
      </c>
      <c r="K539" s="193" t="s">
        <v>206</v>
      </c>
      <c r="L539" s="359" t="s">
        <v>147</v>
      </c>
      <c r="M539" s="199"/>
      <c r="N539" s="193" t="s">
        <v>227</v>
      </c>
      <c r="O539" s="193" t="s">
        <v>206</v>
      </c>
      <c r="P539" s="193" t="s">
        <v>206</v>
      </c>
      <c r="Q539" s="199"/>
      <c r="R539" s="193" t="s">
        <v>900</v>
      </c>
      <c r="S539" s="193" t="s">
        <v>44</v>
      </c>
      <c r="T539" s="193" t="s">
        <v>901</v>
      </c>
      <c r="U539" s="193" t="s">
        <v>918</v>
      </c>
      <c r="V539" s="193" t="s">
        <v>892</v>
      </c>
      <c r="W539" s="193" t="s">
        <v>212</v>
      </c>
      <c r="X539" s="193" t="s">
        <v>213</v>
      </c>
      <c r="Y539" s="200">
        <v>3.0</v>
      </c>
      <c r="Z539" s="202" t="s">
        <v>214</v>
      </c>
      <c r="AA539" s="202" t="s">
        <v>234</v>
      </c>
      <c r="AB539" s="221"/>
      <c r="AC539" s="203">
        <v>855000.0</v>
      </c>
      <c r="AD539" s="204">
        <v>46199.0</v>
      </c>
      <c r="AE539" s="204">
        <v>46260.0</v>
      </c>
      <c r="AF539" s="226" t="s">
        <v>268</v>
      </c>
      <c r="AG539" s="219"/>
      <c r="AH539" s="219"/>
      <c r="AI539" s="219"/>
      <c r="AJ539" s="219"/>
      <c r="AK539" s="219"/>
      <c r="AL539" s="219"/>
      <c r="AM539" s="219"/>
      <c r="AN539" s="219"/>
      <c r="AO539" s="219"/>
    </row>
    <row r="540">
      <c r="A540" s="193">
        <v>18740.0</v>
      </c>
      <c r="B540" s="194" t="s">
        <v>203</v>
      </c>
      <c r="C540" s="193">
        <v>2026.0</v>
      </c>
      <c r="D540" s="359" t="s">
        <v>898</v>
      </c>
      <c r="E540" s="199"/>
      <c r="F540" s="193" t="s">
        <v>204</v>
      </c>
      <c r="G540" s="223">
        <v>46205.0</v>
      </c>
      <c r="H540" s="193">
        <v>535.0</v>
      </c>
      <c r="I540" s="223">
        <v>46205.0</v>
      </c>
      <c r="J540" s="193" t="s">
        <v>919</v>
      </c>
      <c r="K540" s="193" t="s">
        <v>206</v>
      </c>
      <c r="L540" s="359" t="s">
        <v>147</v>
      </c>
      <c r="M540" s="199"/>
      <c r="N540" s="193" t="s">
        <v>227</v>
      </c>
      <c r="O540" s="193" t="s">
        <v>206</v>
      </c>
      <c r="P540" s="193" t="s">
        <v>206</v>
      </c>
      <c r="Q540" s="199"/>
      <c r="R540" s="193" t="s">
        <v>903</v>
      </c>
      <c r="S540" s="193" t="s">
        <v>47</v>
      </c>
      <c r="T540" s="193" t="s">
        <v>229</v>
      </c>
      <c r="U540" s="193" t="s">
        <v>920</v>
      </c>
      <c r="V540" s="193" t="s">
        <v>892</v>
      </c>
      <c r="W540" s="193" t="s">
        <v>212</v>
      </c>
      <c r="X540" s="193" t="s">
        <v>232</v>
      </c>
      <c r="Y540" s="200">
        <v>3.0</v>
      </c>
      <c r="Z540" s="202" t="s">
        <v>233</v>
      </c>
      <c r="AA540" s="202" t="s">
        <v>234</v>
      </c>
      <c r="AB540" s="203">
        <v>100609.06</v>
      </c>
      <c r="AC540" s="203">
        <v>523170.0</v>
      </c>
      <c r="AD540" s="204">
        <v>46229.0</v>
      </c>
      <c r="AE540" s="204">
        <v>46260.0</v>
      </c>
      <c r="AF540" s="226" t="s">
        <v>268</v>
      </c>
      <c r="AG540" s="219"/>
      <c r="AH540" s="219"/>
      <c r="AI540" s="219"/>
      <c r="AJ540" s="219"/>
      <c r="AK540" s="219"/>
      <c r="AL540" s="219"/>
      <c r="AM540" s="219"/>
      <c r="AN540" s="219"/>
      <c r="AO540" s="219"/>
    </row>
    <row r="541">
      <c r="A541" s="193">
        <v>18741.0</v>
      </c>
      <c r="B541" s="232" t="s">
        <v>264</v>
      </c>
      <c r="C541" s="193">
        <v>2026.0</v>
      </c>
      <c r="D541" s="359" t="s">
        <v>898</v>
      </c>
      <c r="E541" s="199"/>
      <c r="F541" s="199"/>
      <c r="G541" s="248"/>
      <c r="H541" s="199"/>
      <c r="I541" s="220"/>
      <c r="J541" s="199"/>
      <c r="K541" s="193" t="s">
        <v>206</v>
      </c>
      <c r="L541" s="359" t="s">
        <v>147</v>
      </c>
      <c r="M541" s="199"/>
      <c r="N541" s="193" t="s">
        <v>227</v>
      </c>
      <c r="O541" s="193" t="s">
        <v>206</v>
      </c>
      <c r="P541" s="193" t="s">
        <v>206</v>
      </c>
      <c r="Q541" s="199"/>
      <c r="R541" s="193" t="s">
        <v>903</v>
      </c>
      <c r="S541" s="193" t="s">
        <v>47</v>
      </c>
      <c r="T541" s="193" t="s">
        <v>358</v>
      </c>
      <c r="U541" s="193" t="s">
        <v>921</v>
      </c>
      <c r="V541" s="193" t="s">
        <v>892</v>
      </c>
      <c r="W541" s="193" t="s">
        <v>212</v>
      </c>
      <c r="X541" s="193" t="s">
        <v>232</v>
      </c>
      <c r="Y541" s="200">
        <v>3.0</v>
      </c>
      <c r="Z541" s="202" t="s">
        <v>233</v>
      </c>
      <c r="AA541" s="202" t="s">
        <v>234</v>
      </c>
      <c r="AB541" s="221"/>
      <c r="AC541" s="203">
        <v>2400000.0</v>
      </c>
      <c r="AD541" s="276">
        <v>46107.0</v>
      </c>
      <c r="AE541" s="204">
        <v>46168.0</v>
      </c>
      <c r="AF541" s="226" t="s">
        <v>922</v>
      </c>
      <c r="AG541" s="219"/>
      <c r="AH541" s="219"/>
      <c r="AI541" s="219"/>
      <c r="AJ541" s="219"/>
      <c r="AK541" s="219"/>
      <c r="AL541" s="219"/>
      <c r="AM541" s="219"/>
      <c r="AN541" s="219"/>
      <c r="AO541" s="219"/>
    </row>
    <row r="542">
      <c r="A542" s="193">
        <v>18742.0</v>
      </c>
      <c r="B542" s="194" t="s">
        <v>203</v>
      </c>
      <c r="C542" s="193">
        <v>2026.0</v>
      </c>
      <c r="D542" s="359" t="s">
        <v>898</v>
      </c>
      <c r="E542" s="199"/>
      <c r="F542" s="193" t="s">
        <v>204</v>
      </c>
      <c r="G542" s="198">
        <v>46119.0</v>
      </c>
      <c r="H542" s="193">
        <v>256.0</v>
      </c>
      <c r="I542" s="198">
        <v>46119.0</v>
      </c>
      <c r="J542" s="193" t="s">
        <v>923</v>
      </c>
      <c r="K542" s="193" t="s">
        <v>206</v>
      </c>
      <c r="L542" s="359" t="s">
        <v>147</v>
      </c>
      <c r="M542" s="199"/>
      <c r="N542" s="193" t="s">
        <v>227</v>
      </c>
      <c r="O542" s="193" t="s">
        <v>206</v>
      </c>
      <c r="P542" s="193" t="s">
        <v>206</v>
      </c>
      <c r="Q542" s="199"/>
      <c r="R542" s="193" t="s">
        <v>903</v>
      </c>
      <c r="S542" s="193" t="s">
        <v>47</v>
      </c>
      <c r="T542" s="193" t="s">
        <v>229</v>
      </c>
      <c r="U542" s="193" t="s">
        <v>920</v>
      </c>
      <c r="V542" s="193" t="s">
        <v>892</v>
      </c>
      <c r="W542" s="193" t="s">
        <v>212</v>
      </c>
      <c r="X542" s="193" t="s">
        <v>232</v>
      </c>
      <c r="Y542" s="200">
        <v>3.0</v>
      </c>
      <c r="Z542" s="202" t="s">
        <v>233</v>
      </c>
      <c r="AA542" s="202" t="s">
        <v>234</v>
      </c>
      <c r="AB542" s="203">
        <v>415193.0</v>
      </c>
      <c r="AC542" s="203">
        <v>1893979.0</v>
      </c>
      <c r="AD542" s="285">
        <v>46138.0</v>
      </c>
      <c r="AE542" s="204">
        <v>46168.0</v>
      </c>
      <c r="AF542" s="226" t="s">
        <v>461</v>
      </c>
      <c r="AG542" s="219"/>
      <c r="AH542" s="219"/>
      <c r="AI542" s="219"/>
      <c r="AJ542" s="219"/>
      <c r="AK542" s="219"/>
      <c r="AL542" s="219"/>
      <c r="AM542" s="219"/>
      <c r="AN542" s="219"/>
      <c r="AO542" s="219"/>
    </row>
    <row r="543">
      <c r="A543" s="193">
        <v>18743.0</v>
      </c>
      <c r="B543" s="194" t="s">
        <v>203</v>
      </c>
      <c r="C543" s="193">
        <v>2026.0</v>
      </c>
      <c r="D543" s="359" t="s">
        <v>898</v>
      </c>
      <c r="E543" s="199"/>
      <c r="F543" s="193" t="s">
        <v>204</v>
      </c>
      <c r="G543" s="230">
        <v>46119.0</v>
      </c>
      <c r="H543" s="193">
        <v>254.0</v>
      </c>
      <c r="I543" s="198">
        <v>46119.0</v>
      </c>
      <c r="J543" s="193" t="s">
        <v>924</v>
      </c>
      <c r="K543" s="193" t="s">
        <v>206</v>
      </c>
      <c r="L543" s="359" t="s">
        <v>147</v>
      </c>
      <c r="M543" s="199"/>
      <c r="N543" s="193" t="s">
        <v>227</v>
      </c>
      <c r="O543" s="193" t="s">
        <v>206</v>
      </c>
      <c r="P543" s="193" t="s">
        <v>206</v>
      </c>
      <c r="Q543" s="199"/>
      <c r="R543" s="193" t="s">
        <v>903</v>
      </c>
      <c r="S543" s="193" t="s">
        <v>47</v>
      </c>
      <c r="T543" s="193" t="s">
        <v>229</v>
      </c>
      <c r="U543" s="193" t="s">
        <v>920</v>
      </c>
      <c r="V543" s="193" t="s">
        <v>892</v>
      </c>
      <c r="W543" s="193" t="s">
        <v>212</v>
      </c>
      <c r="X543" s="193" t="s">
        <v>232</v>
      </c>
      <c r="Y543" s="200">
        <v>3.0</v>
      </c>
      <c r="Z543" s="202" t="s">
        <v>233</v>
      </c>
      <c r="AA543" s="202" t="s">
        <v>234</v>
      </c>
      <c r="AB543" s="221"/>
      <c r="AC543" s="203">
        <v>348064.0</v>
      </c>
      <c r="AD543" s="258">
        <v>46138.0</v>
      </c>
      <c r="AE543" s="204">
        <v>46168.0</v>
      </c>
      <c r="AF543" s="226" t="s">
        <v>461</v>
      </c>
      <c r="AG543" s="219"/>
      <c r="AH543" s="219"/>
      <c r="AI543" s="219"/>
      <c r="AJ543" s="219"/>
      <c r="AK543" s="219"/>
      <c r="AL543" s="219"/>
      <c r="AM543" s="219"/>
      <c r="AN543" s="219"/>
      <c r="AO543" s="219"/>
    </row>
    <row r="544">
      <c r="A544" s="193">
        <v>18760.0</v>
      </c>
      <c r="B544" s="194" t="s">
        <v>203</v>
      </c>
      <c r="C544" s="193">
        <v>2026.0</v>
      </c>
      <c r="D544" s="359" t="s">
        <v>898</v>
      </c>
      <c r="E544" s="199"/>
      <c r="F544" s="199"/>
      <c r="G544" s="248"/>
      <c r="H544" s="199"/>
      <c r="I544" s="220"/>
      <c r="J544" s="199"/>
      <c r="K544" s="193" t="s">
        <v>206</v>
      </c>
      <c r="L544" s="359" t="s">
        <v>147</v>
      </c>
      <c r="M544" s="199"/>
      <c r="N544" s="193" t="s">
        <v>227</v>
      </c>
      <c r="O544" s="193" t="s">
        <v>206</v>
      </c>
      <c r="P544" s="193" t="s">
        <v>206</v>
      </c>
      <c r="Q544" s="199"/>
      <c r="R544" s="193" t="s">
        <v>925</v>
      </c>
      <c r="S544" s="193" t="s">
        <v>46</v>
      </c>
      <c r="T544" s="193" t="s">
        <v>229</v>
      </c>
      <c r="U544" s="193" t="s">
        <v>920</v>
      </c>
      <c r="V544" s="193" t="s">
        <v>892</v>
      </c>
      <c r="W544" s="193" t="s">
        <v>212</v>
      </c>
      <c r="X544" s="193" t="s">
        <v>232</v>
      </c>
      <c r="Y544" s="200">
        <v>3.0</v>
      </c>
      <c r="Z544" s="202" t="s">
        <v>233</v>
      </c>
      <c r="AA544" s="202" t="s">
        <v>234</v>
      </c>
      <c r="AB544" s="221"/>
      <c r="AC544" s="203">
        <v>2700000.0</v>
      </c>
      <c r="AD544" s="204">
        <v>46291.0</v>
      </c>
      <c r="AE544" s="204">
        <v>46352.0</v>
      </c>
      <c r="AF544" s="205"/>
      <c r="AG544" s="219"/>
      <c r="AH544" s="219"/>
      <c r="AI544" s="219"/>
      <c r="AJ544" s="219"/>
      <c r="AK544" s="219"/>
      <c r="AL544" s="219"/>
      <c r="AM544" s="219"/>
      <c r="AN544" s="219"/>
      <c r="AO544" s="219"/>
    </row>
    <row r="545">
      <c r="A545" s="193">
        <v>18780.0</v>
      </c>
      <c r="B545" s="232" t="s">
        <v>264</v>
      </c>
      <c r="C545" s="193">
        <v>2026.0</v>
      </c>
      <c r="D545" s="359" t="s">
        <v>898</v>
      </c>
      <c r="E545" s="199"/>
      <c r="F545" s="199"/>
      <c r="G545" s="248"/>
      <c r="H545" s="199"/>
      <c r="I545" s="220"/>
      <c r="J545" s="199"/>
      <c r="K545" s="193" t="s">
        <v>206</v>
      </c>
      <c r="L545" s="359" t="s">
        <v>147</v>
      </c>
      <c r="M545" s="199"/>
      <c r="N545" s="193" t="s">
        <v>227</v>
      </c>
      <c r="O545" s="193" t="s">
        <v>206</v>
      </c>
      <c r="P545" s="193" t="s">
        <v>206</v>
      </c>
      <c r="Q545" s="199"/>
      <c r="R545" s="193" t="s">
        <v>900</v>
      </c>
      <c r="S545" s="193" t="s">
        <v>44</v>
      </c>
      <c r="T545" s="193" t="s">
        <v>229</v>
      </c>
      <c r="U545" s="193" t="s">
        <v>926</v>
      </c>
      <c r="V545" s="193" t="s">
        <v>231</v>
      </c>
      <c r="W545" s="193" t="s">
        <v>212</v>
      </c>
      <c r="X545" s="193" t="s">
        <v>232</v>
      </c>
      <c r="Y545" s="200">
        <v>3.0</v>
      </c>
      <c r="Z545" s="202" t="s">
        <v>233</v>
      </c>
      <c r="AA545" s="202" t="s">
        <v>234</v>
      </c>
      <c r="AB545" s="221"/>
      <c r="AC545" s="203">
        <v>575000.0</v>
      </c>
      <c r="AD545" s="204">
        <v>46107.0</v>
      </c>
      <c r="AE545" s="204">
        <v>46168.0</v>
      </c>
      <c r="AF545" s="205"/>
      <c r="AG545" s="219"/>
      <c r="AH545" s="219"/>
      <c r="AI545" s="219"/>
      <c r="AJ545" s="219"/>
      <c r="AK545" s="219"/>
      <c r="AL545" s="219"/>
      <c r="AM545" s="219"/>
      <c r="AN545" s="219"/>
      <c r="AO545" s="219"/>
    </row>
    <row r="546">
      <c r="A546" s="193">
        <v>18800.0</v>
      </c>
      <c r="B546" s="194" t="s">
        <v>203</v>
      </c>
      <c r="C546" s="193">
        <v>2026.0</v>
      </c>
      <c r="D546" s="359" t="s">
        <v>898</v>
      </c>
      <c r="E546" s="199"/>
      <c r="F546" s="193" t="s">
        <v>204</v>
      </c>
      <c r="G546" s="230">
        <v>46205.0</v>
      </c>
      <c r="H546" s="193">
        <v>531.0</v>
      </c>
      <c r="I546" s="223">
        <v>46205.0</v>
      </c>
      <c r="J546" s="193" t="s">
        <v>355</v>
      </c>
      <c r="K546" s="193" t="s">
        <v>206</v>
      </c>
      <c r="L546" s="359" t="s">
        <v>147</v>
      </c>
      <c r="M546" s="199"/>
      <c r="N546" s="193" t="s">
        <v>227</v>
      </c>
      <c r="O546" s="193" t="s">
        <v>206</v>
      </c>
      <c r="P546" s="193" t="s">
        <v>206</v>
      </c>
      <c r="Q546" s="199"/>
      <c r="R546" s="193" t="s">
        <v>900</v>
      </c>
      <c r="S546" s="193" t="s">
        <v>44</v>
      </c>
      <c r="T546" s="193" t="s">
        <v>229</v>
      </c>
      <c r="U546" s="193" t="s">
        <v>927</v>
      </c>
      <c r="V546" s="193" t="s">
        <v>892</v>
      </c>
      <c r="W546" s="193" t="s">
        <v>212</v>
      </c>
      <c r="X546" s="193" t="s">
        <v>232</v>
      </c>
      <c r="Y546" s="200">
        <v>3.0</v>
      </c>
      <c r="Z546" s="202" t="s">
        <v>233</v>
      </c>
      <c r="AA546" s="202" t="s">
        <v>234</v>
      </c>
      <c r="AB546" s="221"/>
      <c r="AC546" s="203">
        <v>172326.01</v>
      </c>
      <c r="AD546" s="204">
        <v>46229.0</v>
      </c>
      <c r="AE546" s="204">
        <v>46291.0</v>
      </c>
      <c r="AF546" s="226" t="s">
        <v>928</v>
      </c>
      <c r="AG546" s="219"/>
      <c r="AH546" s="219"/>
      <c r="AI546" s="219"/>
      <c r="AJ546" s="219"/>
      <c r="AK546" s="219"/>
      <c r="AL546" s="219"/>
      <c r="AM546" s="219"/>
      <c r="AN546" s="219"/>
      <c r="AO546" s="219"/>
    </row>
    <row r="547">
      <c r="A547" s="193">
        <v>18801.0</v>
      </c>
      <c r="B547" s="194" t="s">
        <v>203</v>
      </c>
      <c r="C547" s="193">
        <v>2026.0</v>
      </c>
      <c r="D547" s="359" t="s">
        <v>898</v>
      </c>
      <c r="E547" s="199"/>
      <c r="F547" s="193" t="s">
        <v>204</v>
      </c>
      <c r="G547" s="223">
        <v>46042.0</v>
      </c>
      <c r="H547" s="193">
        <v>23.0</v>
      </c>
      <c r="I547" s="223">
        <v>46043.0</v>
      </c>
      <c r="J547" s="193" t="s">
        <v>929</v>
      </c>
      <c r="K547" s="193" t="s">
        <v>206</v>
      </c>
      <c r="L547" s="359" t="s">
        <v>147</v>
      </c>
      <c r="M547" s="199"/>
      <c r="N547" s="193" t="s">
        <v>227</v>
      </c>
      <c r="O547" s="193" t="s">
        <v>206</v>
      </c>
      <c r="P547" s="193" t="s">
        <v>206</v>
      </c>
      <c r="Q547" s="199"/>
      <c r="R547" s="193" t="s">
        <v>900</v>
      </c>
      <c r="S547" s="193" t="s">
        <v>44</v>
      </c>
      <c r="T547" s="193" t="s">
        <v>229</v>
      </c>
      <c r="U547" s="193" t="s">
        <v>927</v>
      </c>
      <c r="V547" s="193" t="s">
        <v>892</v>
      </c>
      <c r="W547" s="193" t="s">
        <v>212</v>
      </c>
      <c r="X547" s="193" t="s">
        <v>232</v>
      </c>
      <c r="Y547" s="200">
        <v>3.0</v>
      </c>
      <c r="Z547" s="202" t="s">
        <v>233</v>
      </c>
      <c r="AA547" s="202" t="s">
        <v>234</v>
      </c>
      <c r="AB547" s="221"/>
      <c r="AC547" s="203">
        <v>320000.0</v>
      </c>
      <c r="AD547" s="276">
        <v>46048.0</v>
      </c>
      <c r="AE547" s="204">
        <v>46107.0</v>
      </c>
      <c r="AF547" s="205"/>
      <c r="AG547" s="219"/>
      <c r="AH547" s="219"/>
      <c r="AI547" s="219"/>
      <c r="AJ547" s="219"/>
      <c r="AK547" s="219"/>
      <c r="AL547" s="219"/>
      <c r="AM547" s="219"/>
      <c r="AN547" s="219"/>
      <c r="AO547" s="219"/>
    </row>
    <row r="548">
      <c r="A548" s="193">
        <v>18802.0</v>
      </c>
      <c r="B548" s="194" t="s">
        <v>203</v>
      </c>
      <c r="C548" s="193">
        <v>2026.0</v>
      </c>
      <c r="D548" s="359" t="s">
        <v>898</v>
      </c>
      <c r="E548" s="199"/>
      <c r="F548" s="193" t="s">
        <v>204</v>
      </c>
      <c r="G548" s="223">
        <v>46118.0</v>
      </c>
      <c r="H548" s="193">
        <v>231.0</v>
      </c>
      <c r="I548" s="223">
        <v>46118.0</v>
      </c>
      <c r="J548" s="193" t="s">
        <v>930</v>
      </c>
      <c r="K548" s="193" t="s">
        <v>206</v>
      </c>
      <c r="L548" s="359" t="s">
        <v>147</v>
      </c>
      <c r="M548" s="199"/>
      <c r="N548" s="193" t="s">
        <v>227</v>
      </c>
      <c r="O548" s="193" t="s">
        <v>206</v>
      </c>
      <c r="P548" s="193" t="s">
        <v>206</v>
      </c>
      <c r="Q548" s="199"/>
      <c r="R548" s="193" t="s">
        <v>900</v>
      </c>
      <c r="S548" s="193" t="s">
        <v>44</v>
      </c>
      <c r="T548" s="193" t="s">
        <v>229</v>
      </c>
      <c r="U548" s="193" t="s">
        <v>927</v>
      </c>
      <c r="V548" s="193" t="s">
        <v>892</v>
      </c>
      <c r="W548" s="193" t="s">
        <v>212</v>
      </c>
      <c r="X548" s="193" t="s">
        <v>232</v>
      </c>
      <c r="Y548" s="200">
        <v>3.0</v>
      </c>
      <c r="Z548" s="202" t="s">
        <v>233</v>
      </c>
      <c r="AA548" s="202" t="s">
        <v>234</v>
      </c>
      <c r="AB548" s="203">
        <v>53735.76</v>
      </c>
      <c r="AC548" s="203">
        <v>290174.0</v>
      </c>
      <c r="AD548" s="258">
        <v>46138.0</v>
      </c>
      <c r="AE548" s="204">
        <v>46168.0</v>
      </c>
      <c r="AF548" s="205"/>
      <c r="AG548" s="219"/>
      <c r="AH548" s="219"/>
      <c r="AI548" s="219"/>
      <c r="AJ548" s="219"/>
      <c r="AK548" s="219"/>
      <c r="AL548" s="219"/>
      <c r="AM548" s="219"/>
      <c r="AN548" s="219"/>
      <c r="AO548" s="219"/>
    </row>
    <row r="549">
      <c r="A549" s="193">
        <v>18803.0</v>
      </c>
      <c r="B549" s="194" t="s">
        <v>203</v>
      </c>
      <c r="C549" s="193">
        <v>2026.0</v>
      </c>
      <c r="D549" s="359" t="s">
        <v>898</v>
      </c>
      <c r="E549" s="199"/>
      <c r="F549" s="193" t="s">
        <v>204</v>
      </c>
      <c r="G549" s="230">
        <v>46184.0</v>
      </c>
      <c r="H549" s="193">
        <v>421.0</v>
      </c>
      <c r="I549" s="198">
        <v>46184.0</v>
      </c>
      <c r="J549" s="193" t="s">
        <v>931</v>
      </c>
      <c r="K549" s="193" t="s">
        <v>206</v>
      </c>
      <c r="L549" s="359" t="s">
        <v>147</v>
      </c>
      <c r="M549" s="199"/>
      <c r="N549" s="193" t="s">
        <v>227</v>
      </c>
      <c r="O549" s="193" t="s">
        <v>206</v>
      </c>
      <c r="P549" s="193" t="s">
        <v>206</v>
      </c>
      <c r="Q549" s="199"/>
      <c r="R549" s="193" t="s">
        <v>900</v>
      </c>
      <c r="S549" s="193" t="s">
        <v>44</v>
      </c>
      <c r="T549" s="193" t="s">
        <v>229</v>
      </c>
      <c r="U549" s="193" t="s">
        <v>927</v>
      </c>
      <c r="V549" s="193" t="s">
        <v>892</v>
      </c>
      <c r="W549" s="193" t="s">
        <v>212</v>
      </c>
      <c r="X549" s="193" t="s">
        <v>232</v>
      </c>
      <c r="Y549" s="200">
        <v>4.0</v>
      </c>
      <c r="Z549" s="202" t="s">
        <v>531</v>
      </c>
      <c r="AA549" s="202" t="s">
        <v>234</v>
      </c>
      <c r="AB549" s="203">
        <v>100000.0</v>
      </c>
      <c r="AC549" s="203">
        <v>540000.0</v>
      </c>
      <c r="AD549" s="204">
        <v>46199.0</v>
      </c>
      <c r="AE549" s="204">
        <v>46260.0</v>
      </c>
      <c r="AF549" s="226" t="s">
        <v>268</v>
      </c>
      <c r="AG549" s="219"/>
      <c r="AH549" s="219"/>
      <c r="AI549" s="219"/>
      <c r="AJ549" s="219"/>
      <c r="AK549" s="219"/>
      <c r="AL549" s="219"/>
      <c r="AM549" s="219"/>
      <c r="AN549" s="219"/>
      <c r="AO549" s="219"/>
    </row>
    <row r="550">
      <c r="A550" s="193">
        <v>18804.0</v>
      </c>
      <c r="B550" s="194" t="s">
        <v>203</v>
      </c>
      <c r="C550" s="193">
        <v>2026.0</v>
      </c>
      <c r="D550" s="359" t="s">
        <v>898</v>
      </c>
      <c r="E550" s="199"/>
      <c r="F550" s="193" t="s">
        <v>204</v>
      </c>
      <c r="G550" s="223">
        <v>46184.0</v>
      </c>
      <c r="H550" s="193">
        <v>421.0</v>
      </c>
      <c r="I550" s="223">
        <v>46184.0</v>
      </c>
      <c r="J550" s="193" t="s">
        <v>931</v>
      </c>
      <c r="K550" s="193" t="s">
        <v>206</v>
      </c>
      <c r="L550" s="359" t="s">
        <v>147</v>
      </c>
      <c r="M550" s="199"/>
      <c r="N550" s="193" t="s">
        <v>337</v>
      </c>
      <c r="O550" s="193" t="s">
        <v>206</v>
      </c>
      <c r="P550" s="193" t="s">
        <v>206</v>
      </c>
      <c r="Q550" s="199"/>
      <c r="R550" s="193" t="s">
        <v>900</v>
      </c>
      <c r="S550" s="193" t="s">
        <v>44</v>
      </c>
      <c r="T550" s="193" t="s">
        <v>358</v>
      </c>
      <c r="U550" s="193" t="s">
        <v>932</v>
      </c>
      <c r="V550" s="193" t="s">
        <v>892</v>
      </c>
      <c r="W550" s="193" t="s">
        <v>212</v>
      </c>
      <c r="X550" s="193" t="s">
        <v>232</v>
      </c>
      <c r="Y550" s="200">
        <v>4.0</v>
      </c>
      <c r="Z550" s="202" t="s">
        <v>531</v>
      </c>
      <c r="AA550" s="202" t="s">
        <v>234</v>
      </c>
      <c r="AB550" s="221"/>
      <c r="AC550" s="203">
        <v>270000.0</v>
      </c>
      <c r="AD550" s="204">
        <v>46199.0</v>
      </c>
      <c r="AE550" s="204">
        <v>46260.0</v>
      </c>
      <c r="AF550" s="226" t="s">
        <v>268</v>
      </c>
      <c r="AG550" s="219"/>
      <c r="AH550" s="219"/>
      <c r="AI550" s="219"/>
      <c r="AJ550" s="219"/>
      <c r="AK550" s="219"/>
      <c r="AL550" s="219"/>
      <c r="AM550" s="219"/>
      <c r="AN550" s="219"/>
      <c r="AO550" s="219"/>
    </row>
    <row r="551">
      <c r="A551" s="193">
        <v>18805.0</v>
      </c>
      <c r="B551" s="194" t="s">
        <v>203</v>
      </c>
      <c r="C551" s="193">
        <v>2026.0</v>
      </c>
      <c r="D551" s="359" t="s">
        <v>898</v>
      </c>
      <c r="E551" s="199"/>
      <c r="F551" s="193" t="s">
        <v>204</v>
      </c>
      <c r="G551" s="215">
        <v>46195.0</v>
      </c>
      <c r="H551" s="193">
        <v>475.0</v>
      </c>
      <c r="I551" s="215">
        <v>46195.0</v>
      </c>
      <c r="J551" s="193" t="s">
        <v>933</v>
      </c>
      <c r="K551" s="193" t="s">
        <v>206</v>
      </c>
      <c r="L551" s="359" t="s">
        <v>147</v>
      </c>
      <c r="M551" s="199"/>
      <c r="N551" s="193" t="s">
        <v>337</v>
      </c>
      <c r="O551" s="193" t="s">
        <v>206</v>
      </c>
      <c r="P551" s="193" t="s">
        <v>206</v>
      </c>
      <c r="Q551" s="199"/>
      <c r="R551" s="193" t="s">
        <v>900</v>
      </c>
      <c r="S551" s="193" t="s">
        <v>44</v>
      </c>
      <c r="T551" s="193" t="s">
        <v>358</v>
      </c>
      <c r="U551" s="193" t="s">
        <v>932</v>
      </c>
      <c r="V551" s="193" t="s">
        <v>892</v>
      </c>
      <c r="W551" s="193" t="s">
        <v>212</v>
      </c>
      <c r="X551" s="193" t="s">
        <v>232</v>
      </c>
      <c r="Y551" s="200">
        <v>3.0</v>
      </c>
      <c r="Z551" s="202" t="s">
        <v>233</v>
      </c>
      <c r="AA551" s="202" t="s">
        <v>234</v>
      </c>
      <c r="AB551" s="203">
        <v>20000.0</v>
      </c>
      <c r="AC551" s="203">
        <v>103820.0</v>
      </c>
      <c r="AD551" s="204">
        <v>46199.0</v>
      </c>
      <c r="AE551" s="204">
        <v>46260.0</v>
      </c>
      <c r="AF551" s="226" t="s">
        <v>934</v>
      </c>
      <c r="AG551" s="219"/>
      <c r="AH551" s="219"/>
      <c r="AI551" s="219"/>
      <c r="AJ551" s="219"/>
      <c r="AK551" s="219"/>
      <c r="AL551" s="219"/>
      <c r="AM551" s="219"/>
      <c r="AN551" s="219"/>
      <c r="AO551" s="219"/>
    </row>
    <row r="552">
      <c r="A552" s="193">
        <v>18806.0</v>
      </c>
      <c r="B552" s="194" t="s">
        <v>203</v>
      </c>
      <c r="C552" s="193">
        <v>2026.0</v>
      </c>
      <c r="D552" s="359" t="s">
        <v>898</v>
      </c>
      <c r="E552" s="199"/>
      <c r="F552" s="208" t="s">
        <v>204</v>
      </c>
      <c r="G552" s="223">
        <v>46195.0</v>
      </c>
      <c r="H552" s="193">
        <v>475.0</v>
      </c>
      <c r="I552" s="223">
        <v>46195.0</v>
      </c>
      <c r="J552" s="193" t="s">
        <v>935</v>
      </c>
      <c r="K552" s="193" t="s">
        <v>206</v>
      </c>
      <c r="L552" s="359" t="s">
        <v>147</v>
      </c>
      <c r="M552" s="199"/>
      <c r="N552" s="193" t="s">
        <v>337</v>
      </c>
      <c r="O552" s="193" t="s">
        <v>206</v>
      </c>
      <c r="P552" s="193" t="s">
        <v>206</v>
      </c>
      <c r="Q552" s="199"/>
      <c r="R552" s="193" t="s">
        <v>900</v>
      </c>
      <c r="S552" s="193" t="s">
        <v>44</v>
      </c>
      <c r="T552" s="193" t="s">
        <v>358</v>
      </c>
      <c r="U552" s="193" t="s">
        <v>936</v>
      </c>
      <c r="V552" s="193" t="s">
        <v>892</v>
      </c>
      <c r="W552" s="193" t="s">
        <v>212</v>
      </c>
      <c r="X552" s="193" t="s">
        <v>232</v>
      </c>
      <c r="Y552" s="200">
        <v>3.0</v>
      </c>
      <c r="Z552" s="202" t="s">
        <v>233</v>
      </c>
      <c r="AA552" s="202" t="s">
        <v>234</v>
      </c>
      <c r="AB552" s="203">
        <v>30000.0</v>
      </c>
      <c r="AC552" s="203">
        <v>155730.0</v>
      </c>
      <c r="AD552" s="204">
        <v>46199.0</v>
      </c>
      <c r="AE552" s="204">
        <v>46260.0</v>
      </c>
      <c r="AF552" s="226" t="s">
        <v>934</v>
      </c>
      <c r="AG552" s="219"/>
      <c r="AH552" s="219"/>
      <c r="AI552" s="219"/>
      <c r="AJ552" s="219"/>
      <c r="AK552" s="219"/>
      <c r="AL552" s="219"/>
      <c r="AM552" s="219"/>
      <c r="AN552" s="219"/>
      <c r="AO552" s="219"/>
    </row>
    <row r="553">
      <c r="A553" s="193">
        <v>18820.0</v>
      </c>
      <c r="B553" s="194" t="s">
        <v>203</v>
      </c>
      <c r="C553" s="193">
        <v>2026.0</v>
      </c>
      <c r="D553" s="359" t="s">
        <v>898</v>
      </c>
      <c r="E553" s="199"/>
      <c r="F553" s="207"/>
      <c r="G553" s="248"/>
      <c r="H553" s="199"/>
      <c r="I553" s="235"/>
      <c r="J553" s="199"/>
      <c r="K553" s="193" t="s">
        <v>206</v>
      </c>
      <c r="L553" s="359" t="s">
        <v>147</v>
      </c>
      <c r="M553" s="199"/>
      <c r="N553" s="193" t="s">
        <v>227</v>
      </c>
      <c r="O553" s="193" t="s">
        <v>206</v>
      </c>
      <c r="P553" s="193" t="s">
        <v>206</v>
      </c>
      <c r="Q553" s="199"/>
      <c r="R553" s="193" t="s">
        <v>900</v>
      </c>
      <c r="S553" s="193" t="s">
        <v>44</v>
      </c>
      <c r="T553" s="193" t="s">
        <v>229</v>
      </c>
      <c r="U553" s="193" t="s">
        <v>937</v>
      </c>
      <c r="V553" s="193" t="s">
        <v>892</v>
      </c>
      <c r="W553" s="193" t="s">
        <v>212</v>
      </c>
      <c r="X553" s="193" t="s">
        <v>232</v>
      </c>
      <c r="Y553" s="200">
        <v>3.0</v>
      </c>
      <c r="Z553" s="202" t="s">
        <v>233</v>
      </c>
      <c r="AA553" s="202" t="s">
        <v>234</v>
      </c>
      <c r="AB553" s="221"/>
      <c r="AC553" s="203">
        <v>1852500.0</v>
      </c>
      <c r="AD553" s="204">
        <v>46107.0</v>
      </c>
      <c r="AE553" s="204">
        <v>46168.0</v>
      </c>
      <c r="AF553" s="205"/>
      <c r="AG553" s="219"/>
      <c r="AH553" s="206"/>
      <c r="AI553" s="206"/>
      <c r="AJ553" s="206"/>
      <c r="AK553" s="206"/>
      <c r="AL553" s="206"/>
      <c r="AM553" s="206"/>
      <c r="AN553" s="206"/>
      <c r="AO553" s="206"/>
    </row>
    <row r="554">
      <c r="A554" s="193">
        <v>18840.0</v>
      </c>
      <c r="B554" s="194" t="s">
        <v>203</v>
      </c>
      <c r="C554" s="193">
        <v>2026.0</v>
      </c>
      <c r="D554" s="195" t="s">
        <v>292</v>
      </c>
      <c r="E554" s="193">
        <v>10.0</v>
      </c>
      <c r="F554" s="193" t="s">
        <v>293</v>
      </c>
      <c r="G554" s="248"/>
      <c r="H554" s="199"/>
      <c r="I554" s="233"/>
      <c r="J554" s="199"/>
      <c r="K554" s="243" t="s">
        <v>206</v>
      </c>
      <c r="L554" s="359" t="s">
        <v>147</v>
      </c>
      <c r="M554" s="199"/>
      <c r="N554" s="193" t="s">
        <v>207</v>
      </c>
      <c r="O554" s="193" t="s">
        <v>206</v>
      </c>
      <c r="P554" s="193" t="s">
        <v>206</v>
      </c>
      <c r="Q554" s="199"/>
      <c r="R554" s="193" t="s">
        <v>208</v>
      </c>
      <c r="S554" s="193" t="s">
        <v>39</v>
      </c>
      <c r="T554" s="193" t="s">
        <v>209</v>
      </c>
      <c r="U554" s="193" t="s">
        <v>938</v>
      </c>
      <c r="V554" s="193" t="s">
        <v>892</v>
      </c>
      <c r="W554" s="193" t="s">
        <v>212</v>
      </c>
      <c r="X554" s="193" t="s">
        <v>252</v>
      </c>
      <c r="Y554" s="200">
        <v>3.0</v>
      </c>
      <c r="Z554" s="202" t="s">
        <v>233</v>
      </c>
      <c r="AA554" s="202" t="s">
        <v>215</v>
      </c>
      <c r="AB554" s="203">
        <v>189744.39</v>
      </c>
      <c r="AC554" s="203">
        <v>189744.39</v>
      </c>
      <c r="AD554" s="204">
        <v>46199.0</v>
      </c>
      <c r="AE554" s="204">
        <v>46260.0</v>
      </c>
      <c r="AF554" s="226" t="s">
        <v>268</v>
      </c>
      <c r="AG554" s="219"/>
      <c r="AH554" s="219"/>
      <c r="AI554" s="219"/>
      <c r="AJ554" s="219"/>
      <c r="AK554" s="219"/>
      <c r="AL554" s="219"/>
      <c r="AM554" s="219"/>
      <c r="AN554" s="219"/>
      <c r="AO554" s="219"/>
    </row>
    <row r="555">
      <c r="A555" s="193">
        <v>18841.0</v>
      </c>
      <c r="B555" s="194" t="s">
        <v>203</v>
      </c>
      <c r="C555" s="193">
        <v>2026.0</v>
      </c>
      <c r="D555" s="195" t="s">
        <v>292</v>
      </c>
      <c r="E555" s="193">
        <v>17.0</v>
      </c>
      <c r="F555" s="193" t="s">
        <v>293</v>
      </c>
      <c r="G555" s="248"/>
      <c r="H555" s="199"/>
      <c r="I555" s="220"/>
      <c r="J555" s="199"/>
      <c r="K555" s="243" t="s">
        <v>206</v>
      </c>
      <c r="L555" s="359" t="s">
        <v>147</v>
      </c>
      <c r="M555" s="199"/>
      <c r="N555" s="193" t="s">
        <v>207</v>
      </c>
      <c r="O555" s="193" t="s">
        <v>206</v>
      </c>
      <c r="P555" s="193" t="s">
        <v>206</v>
      </c>
      <c r="Q555" s="199"/>
      <c r="R555" s="193" t="s">
        <v>208</v>
      </c>
      <c r="S555" s="193" t="s">
        <v>39</v>
      </c>
      <c r="T555" s="193" t="s">
        <v>209</v>
      </c>
      <c r="U555" s="193" t="s">
        <v>938</v>
      </c>
      <c r="V555" s="193" t="s">
        <v>892</v>
      </c>
      <c r="W555" s="193" t="s">
        <v>212</v>
      </c>
      <c r="X555" s="193" t="s">
        <v>252</v>
      </c>
      <c r="Y555" s="200">
        <v>3.0</v>
      </c>
      <c r="Z555" s="202" t="s">
        <v>214</v>
      </c>
      <c r="AA555" s="202" t="s">
        <v>215</v>
      </c>
      <c r="AB555" s="203">
        <v>5371992.3</v>
      </c>
      <c r="AC555" s="203">
        <v>5371992.3</v>
      </c>
      <c r="AD555" s="204">
        <v>46291.0</v>
      </c>
      <c r="AE555" s="204">
        <v>46321.0</v>
      </c>
      <c r="AF555" s="360" t="s">
        <v>268</v>
      </c>
      <c r="AG555" s="219"/>
      <c r="AH555" s="219"/>
      <c r="AI555" s="219"/>
      <c r="AJ555" s="219"/>
      <c r="AK555" s="219"/>
      <c r="AL555" s="219"/>
      <c r="AM555" s="219"/>
      <c r="AN555" s="219"/>
      <c r="AO555" s="219"/>
    </row>
    <row r="556">
      <c r="A556" s="193">
        <v>18842.0</v>
      </c>
      <c r="B556" s="194" t="s">
        <v>203</v>
      </c>
      <c r="C556" s="193">
        <v>2024.0</v>
      </c>
      <c r="D556" s="193" t="s">
        <v>939</v>
      </c>
      <c r="E556" s="199"/>
      <c r="F556" s="193" t="s">
        <v>718</v>
      </c>
      <c r="G556" s="248"/>
      <c r="H556" s="199"/>
      <c r="I556" s="220"/>
      <c r="J556" s="199"/>
      <c r="K556" s="193" t="s">
        <v>206</v>
      </c>
      <c r="L556" s="359" t="s">
        <v>147</v>
      </c>
      <c r="M556" s="199"/>
      <c r="N556" s="193" t="s">
        <v>207</v>
      </c>
      <c r="O556" s="193" t="s">
        <v>206</v>
      </c>
      <c r="P556" s="193" t="s">
        <v>206</v>
      </c>
      <c r="Q556" s="199"/>
      <c r="R556" s="193" t="s">
        <v>208</v>
      </c>
      <c r="S556" s="193" t="s">
        <v>39</v>
      </c>
      <c r="T556" s="193" t="s">
        <v>209</v>
      </c>
      <c r="U556" s="193" t="s">
        <v>938</v>
      </c>
      <c r="V556" s="193" t="s">
        <v>892</v>
      </c>
      <c r="W556" s="193" t="s">
        <v>212</v>
      </c>
      <c r="X556" s="193" t="s">
        <v>252</v>
      </c>
      <c r="Y556" s="200">
        <v>3.0</v>
      </c>
      <c r="Z556" s="202" t="s">
        <v>214</v>
      </c>
      <c r="AA556" s="202" t="s">
        <v>215</v>
      </c>
      <c r="AB556" s="203">
        <v>1271263.31</v>
      </c>
      <c r="AC556" s="203">
        <v>1271263.31</v>
      </c>
      <c r="AD556" s="204">
        <v>46291.0</v>
      </c>
      <c r="AE556" s="204">
        <v>46321.0</v>
      </c>
      <c r="AF556" s="226" t="s">
        <v>940</v>
      </c>
      <c r="AG556" s="219"/>
      <c r="AH556" s="219"/>
      <c r="AI556" s="219"/>
      <c r="AJ556" s="219"/>
      <c r="AK556" s="219"/>
      <c r="AL556" s="219"/>
      <c r="AM556" s="219"/>
      <c r="AN556" s="219"/>
      <c r="AO556" s="219"/>
    </row>
    <row r="557">
      <c r="A557" s="193">
        <v>18860.0</v>
      </c>
      <c r="B557" s="232" t="s">
        <v>264</v>
      </c>
      <c r="C557" s="193">
        <v>2026.0</v>
      </c>
      <c r="D557" s="199"/>
      <c r="E557" s="199"/>
      <c r="F557" s="193" t="s">
        <v>265</v>
      </c>
      <c r="G557" s="248"/>
      <c r="H557" s="199"/>
      <c r="I557" s="220"/>
      <c r="J557" s="199"/>
      <c r="K557" s="193" t="s">
        <v>206</v>
      </c>
      <c r="L557" s="359" t="s">
        <v>147</v>
      </c>
      <c r="M557" s="199"/>
      <c r="N557" s="193" t="s">
        <v>207</v>
      </c>
      <c r="O557" s="193" t="s">
        <v>206</v>
      </c>
      <c r="P557" s="193" t="s">
        <v>206</v>
      </c>
      <c r="Q557" s="199"/>
      <c r="R557" s="193" t="s">
        <v>903</v>
      </c>
      <c r="S557" s="193" t="s">
        <v>47</v>
      </c>
      <c r="T557" s="193" t="s">
        <v>904</v>
      </c>
      <c r="U557" s="193" t="s">
        <v>941</v>
      </c>
      <c r="V557" s="193" t="s">
        <v>892</v>
      </c>
      <c r="W557" s="193" t="s">
        <v>212</v>
      </c>
      <c r="X557" s="193" t="s">
        <v>213</v>
      </c>
      <c r="Y557" s="200">
        <v>3.0</v>
      </c>
      <c r="Z557" s="202" t="s">
        <v>233</v>
      </c>
      <c r="AA557" s="202" t="s">
        <v>215</v>
      </c>
      <c r="AB557" s="221"/>
      <c r="AC557" s="203">
        <v>3757957.0</v>
      </c>
      <c r="AD557" s="204">
        <v>46229.0</v>
      </c>
      <c r="AE557" s="204">
        <v>46321.0</v>
      </c>
      <c r="AF557" s="205"/>
      <c r="AG557" s="219"/>
      <c r="AH557" s="219"/>
      <c r="AI557" s="219"/>
      <c r="AJ557" s="219"/>
      <c r="AK557" s="219"/>
      <c r="AL557" s="219"/>
      <c r="AM557" s="219"/>
      <c r="AN557" s="219"/>
      <c r="AO557" s="219"/>
    </row>
    <row r="558">
      <c r="A558" s="193">
        <v>18880.0</v>
      </c>
      <c r="B558" s="232" t="s">
        <v>264</v>
      </c>
      <c r="C558" s="193">
        <v>2026.0</v>
      </c>
      <c r="D558" s="359" t="s">
        <v>898</v>
      </c>
      <c r="E558" s="199"/>
      <c r="F558" s="199"/>
      <c r="G558" s="235"/>
      <c r="H558" s="199"/>
      <c r="I558" s="235"/>
      <c r="J558" s="199"/>
      <c r="K558" s="193" t="s">
        <v>206</v>
      </c>
      <c r="L558" s="359" t="s">
        <v>147</v>
      </c>
      <c r="M558" s="199"/>
      <c r="N558" s="193" t="s">
        <v>207</v>
      </c>
      <c r="O558" s="193" t="s">
        <v>206</v>
      </c>
      <c r="P558" s="193" t="s">
        <v>206</v>
      </c>
      <c r="Q558" s="199"/>
      <c r="R558" s="193" t="s">
        <v>903</v>
      </c>
      <c r="S558" s="193" t="s">
        <v>47</v>
      </c>
      <c r="T558" s="193" t="s">
        <v>904</v>
      </c>
      <c r="U558" s="193" t="s">
        <v>942</v>
      </c>
      <c r="V558" s="193" t="s">
        <v>892</v>
      </c>
      <c r="W558" s="193" t="s">
        <v>212</v>
      </c>
      <c r="X558" s="193" t="s">
        <v>213</v>
      </c>
      <c r="Y558" s="200">
        <v>3.0</v>
      </c>
      <c r="Z558" s="202" t="s">
        <v>233</v>
      </c>
      <c r="AA558" s="202" t="s">
        <v>215</v>
      </c>
      <c r="AB558" s="203">
        <v>3400000.0</v>
      </c>
      <c r="AC558" s="203">
        <v>3400000.0</v>
      </c>
      <c r="AD558" s="204">
        <v>46260.0</v>
      </c>
      <c r="AE558" s="204">
        <v>46352.0</v>
      </c>
      <c r="AF558" s="205"/>
      <c r="AG558" s="219"/>
      <c r="AH558" s="219"/>
      <c r="AI558" s="219"/>
      <c r="AJ558" s="219"/>
      <c r="AK558" s="219"/>
      <c r="AL558" s="219"/>
      <c r="AM558" s="219"/>
      <c r="AN558" s="219"/>
      <c r="AO558" s="219"/>
    </row>
    <row r="559">
      <c r="A559" s="193">
        <v>18881.0</v>
      </c>
      <c r="B559" s="232" t="s">
        <v>264</v>
      </c>
      <c r="C559" s="193">
        <v>2026.0</v>
      </c>
      <c r="D559" s="359" t="s">
        <v>898</v>
      </c>
      <c r="E559" s="193">
        <v>11.0</v>
      </c>
      <c r="F559" s="199"/>
      <c r="G559" s="235"/>
      <c r="H559" s="199"/>
      <c r="I559" s="235"/>
      <c r="J559" s="199"/>
      <c r="K559" s="193" t="s">
        <v>206</v>
      </c>
      <c r="L559" s="359" t="s">
        <v>147</v>
      </c>
      <c r="M559" s="199"/>
      <c r="N559" s="193" t="s">
        <v>207</v>
      </c>
      <c r="O559" s="193" t="s">
        <v>206</v>
      </c>
      <c r="P559" s="193" t="s">
        <v>206</v>
      </c>
      <c r="Q559" s="199"/>
      <c r="R559" s="193" t="s">
        <v>903</v>
      </c>
      <c r="S559" s="193" t="s">
        <v>47</v>
      </c>
      <c r="T559" s="193" t="s">
        <v>904</v>
      </c>
      <c r="U559" s="193" t="s">
        <v>942</v>
      </c>
      <c r="V559" s="193" t="s">
        <v>892</v>
      </c>
      <c r="W559" s="193" t="s">
        <v>212</v>
      </c>
      <c r="X559" s="193" t="s">
        <v>213</v>
      </c>
      <c r="Y559" s="200">
        <v>3.0</v>
      </c>
      <c r="Z559" s="202" t="s">
        <v>233</v>
      </c>
      <c r="AA559" s="202" t="s">
        <v>215</v>
      </c>
      <c r="AB559" s="203">
        <v>2600000.0</v>
      </c>
      <c r="AC559" s="203">
        <v>2600000.0</v>
      </c>
      <c r="AD559" s="204">
        <v>46291.0</v>
      </c>
      <c r="AE559" s="204">
        <v>46382.0</v>
      </c>
      <c r="AF559" s="205"/>
      <c r="AG559" s="219"/>
      <c r="AH559" s="219"/>
      <c r="AI559" s="219"/>
      <c r="AJ559" s="219"/>
      <c r="AK559" s="219"/>
      <c r="AL559" s="219"/>
      <c r="AM559" s="219"/>
      <c r="AN559" s="219"/>
      <c r="AO559" s="219"/>
    </row>
    <row r="560">
      <c r="A560" s="193">
        <v>18900.0</v>
      </c>
      <c r="B560" s="194" t="s">
        <v>203</v>
      </c>
      <c r="C560" s="193">
        <v>2026.0</v>
      </c>
      <c r="D560" s="199"/>
      <c r="E560" s="199"/>
      <c r="F560" s="199"/>
      <c r="G560" s="235"/>
      <c r="H560" s="199"/>
      <c r="I560" s="235"/>
      <c r="J560" s="199"/>
      <c r="K560" s="193" t="s">
        <v>206</v>
      </c>
      <c r="L560" s="359" t="s">
        <v>147</v>
      </c>
      <c r="M560" s="199"/>
      <c r="N560" s="193" t="s">
        <v>207</v>
      </c>
      <c r="O560" s="193" t="s">
        <v>206</v>
      </c>
      <c r="P560" s="193" t="s">
        <v>206</v>
      </c>
      <c r="Q560" s="199"/>
      <c r="R560" s="193" t="s">
        <v>208</v>
      </c>
      <c r="S560" s="193" t="s">
        <v>39</v>
      </c>
      <c r="T560" s="193" t="s">
        <v>209</v>
      </c>
      <c r="U560" s="193" t="s">
        <v>943</v>
      </c>
      <c r="V560" s="193" t="s">
        <v>892</v>
      </c>
      <c r="W560" s="193" t="s">
        <v>212</v>
      </c>
      <c r="X560" s="193" t="s">
        <v>252</v>
      </c>
      <c r="Y560" s="200">
        <v>3.0</v>
      </c>
      <c r="Z560" s="202" t="s">
        <v>233</v>
      </c>
      <c r="AA560" s="202" t="s">
        <v>215</v>
      </c>
      <c r="AB560" s="203">
        <v>100000.0</v>
      </c>
      <c r="AC560" s="203">
        <v>100000.0</v>
      </c>
      <c r="AD560" s="204">
        <v>46080.0</v>
      </c>
      <c r="AE560" s="204">
        <v>46383.0</v>
      </c>
      <c r="AF560" s="205"/>
      <c r="AG560" s="219"/>
      <c r="AH560" s="219"/>
      <c r="AI560" s="219"/>
      <c r="AJ560" s="219"/>
      <c r="AK560" s="219"/>
      <c r="AL560" s="219"/>
      <c r="AM560" s="219"/>
      <c r="AN560" s="219"/>
      <c r="AO560" s="219"/>
    </row>
    <row r="561">
      <c r="A561" s="193">
        <v>18920.0</v>
      </c>
      <c r="B561" s="194" t="s">
        <v>203</v>
      </c>
      <c r="C561" s="193">
        <v>2026.0</v>
      </c>
      <c r="D561" s="199"/>
      <c r="E561" s="199"/>
      <c r="F561" s="199"/>
      <c r="G561" s="235"/>
      <c r="H561" s="199"/>
      <c r="I561" s="235"/>
      <c r="J561" s="199"/>
      <c r="K561" s="193" t="s">
        <v>206</v>
      </c>
      <c r="L561" s="359" t="s">
        <v>147</v>
      </c>
      <c r="M561" s="199"/>
      <c r="N561" s="193" t="s">
        <v>207</v>
      </c>
      <c r="O561" s="193" t="s">
        <v>206</v>
      </c>
      <c r="P561" s="193" t="s">
        <v>206</v>
      </c>
      <c r="Q561" s="199"/>
      <c r="R561" s="193" t="s">
        <v>208</v>
      </c>
      <c r="S561" s="193" t="s">
        <v>39</v>
      </c>
      <c r="T561" s="193" t="s">
        <v>209</v>
      </c>
      <c r="U561" s="193" t="s">
        <v>944</v>
      </c>
      <c r="V561" s="193" t="s">
        <v>892</v>
      </c>
      <c r="W561" s="193" t="s">
        <v>212</v>
      </c>
      <c r="X561" s="193" t="s">
        <v>252</v>
      </c>
      <c r="Y561" s="200">
        <v>3.0</v>
      </c>
      <c r="Z561" s="202" t="s">
        <v>233</v>
      </c>
      <c r="AA561" s="202" t="s">
        <v>215</v>
      </c>
      <c r="AB561" s="203">
        <v>100000.0</v>
      </c>
      <c r="AC561" s="203">
        <v>100000.0</v>
      </c>
      <c r="AD561" s="204">
        <v>46080.0</v>
      </c>
      <c r="AE561" s="204">
        <v>46383.0</v>
      </c>
      <c r="AF561" s="205"/>
      <c r="AG561" s="219"/>
      <c r="AH561" s="219"/>
      <c r="AI561" s="219"/>
      <c r="AJ561" s="219"/>
      <c r="AK561" s="219"/>
      <c r="AL561" s="219"/>
      <c r="AM561" s="219"/>
      <c r="AN561" s="219"/>
      <c r="AO561" s="219"/>
    </row>
    <row r="562">
      <c r="A562" s="193">
        <v>18940.0</v>
      </c>
      <c r="B562" s="194" t="s">
        <v>203</v>
      </c>
      <c r="C562" s="193">
        <v>2026.0</v>
      </c>
      <c r="D562" s="199"/>
      <c r="E562" s="199"/>
      <c r="F562" s="199"/>
      <c r="G562" s="233"/>
      <c r="H562" s="199"/>
      <c r="I562" s="233"/>
      <c r="J562" s="199"/>
      <c r="K562" s="193" t="s">
        <v>206</v>
      </c>
      <c r="L562" s="359" t="s">
        <v>147</v>
      </c>
      <c r="M562" s="199"/>
      <c r="N562" s="193" t="s">
        <v>207</v>
      </c>
      <c r="O562" s="193" t="s">
        <v>206</v>
      </c>
      <c r="P562" s="193" t="s">
        <v>206</v>
      </c>
      <c r="Q562" s="199"/>
      <c r="R562" s="193" t="s">
        <v>208</v>
      </c>
      <c r="S562" s="193" t="s">
        <v>39</v>
      </c>
      <c r="T562" s="193" t="s">
        <v>209</v>
      </c>
      <c r="U562" s="193" t="s">
        <v>945</v>
      </c>
      <c r="V562" s="193" t="s">
        <v>892</v>
      </c>
      <c r="W562" s="193" t="s">
        <v>212</v>
      </c>
      <c r="X562" s="193" t="s">
        <v>252</v>
      </c>
      <c r="Y562" s="200">
        <v>3.0</v>
      </c>
      <c r="Z562" s="202" t="s">
        <v>233</v>
      </c>
      <c r="AA562" s="202" t="s">
        <v>215</v>
      </c>
      <c r="AB562" s="203">
        <v>100000.0</v>
      </c>
      <c r="AC562" s="203">
        <v>100000.0</v>
      </c>
      <c r="AD562" s="204">
        <v>46080.0</v>
      </c>
      <c r="AE562" s="204">
        <v>46383.0</v>
      </c>
      <c r="AF562" s="205"/>
      <c r="AG562" s="219"/>
      <c r="AH562" s="219"/>
      <c r="AI562" s="219"/>
      <c r="AJ562" s="219"/>
      <c r="AK562" s="219"/>
      <c r="AL562" s="219"/>
      <c r="AM562" s="219"/>
      <c r="AN562" s="219"/>
      <c r="AO562" s="219"/>
    </row>
    <row r="563">
      <c r="A563" s="193">
        <v>18960.0</v>
      </c>
      <c r="B563" s="194" t="s">
        <v>203</v>
      </c>
      <c r="C563" s="193">
        <v>2026.0</v>
      </c>
      <c r="D563" s="199"/>
      <c r="E563" s="199"/>
      <c r="F563" s="199"/>
      <c r="G563" s="248"/>
      <c r="H563" s="199"/>
      <c r="I563" s="233"/>
      <c r="J563" s="199"/>
      <c r="K563" s="193" t="s">
        <v>206</v>
      </c>
      <c r="L563" s="359" t="s">
        <v>147</v>
      </c>
      <c r="M563" s="199"/>
      <c r="N563" s="193" t="s">
        <v>207</v>
      </c>
      <c r="O563" s="193" t="s">
        <v>206</v>
      </c>
      <c r="P563" s="193" t="s">
        <v>206</v>
      </c>
      <c r="Q563" s="199"/>
      <c r="R563" s="193" t="s">
        <v>208</v>
      </c>
      <c r="S563" s="193" t="s">
        <v>39</v>
      </c>
      <c r="T563" s="193" t="s">
        <v>209</v>
      </c>
      <c r="U563" s="193" t="s">
        <v>946</v>
      </c>
      <c r="V563" s="193" t="s">
        <v>892</v>
      </c>
      <c r="W563" s="193" t="s">
        <v>212</v>
      </c>
      <c r="X563" s="193" t="s">
        <v>252</v>
      </c>
      <c r="Y563" s="200">
        <v>3.0</v>
      </c>
      <c r="Z563" s="202" t="s">
        <v>233</v>
      </c>
      <c r="AA563" s="202" t="s">
        <v>215</v>
      </c>
      <c r="AB563" s="203">
        <v>100000.0</v>
      </c>
      <c r="AC563" s="203">
        <v>100000.0</v>
      </c>
      <c r="AD563" s="204">
        <v>46080.0</v>
      </c>
      <c r="AE563" s="204">
        <v>46383.0</v>
      </c>
      <c r="AF563" s="205"/>
      <c r="AG563" s="219"/>
      <c r="AH563" s="219"/>
      <c r="AI563" s="219"/>
      <c r="AJ563" s="219"/>
      <c r="AK563" s="219"/>
      <c r="AL563" s="219"/>
      <c r="AM563" s="219"/>
      <c r="AN563" s="219"/>
      <c r="AO563" s="219"/>
    </row>
    <row r="564">
      <c r="A564" s="193">
        <v>18980.0</v>
      </c>
      <c r="B564" s="194" t="s">
        <v>203</v>
      </c>
      <c r="C564" s="193">
        <v>2026.0</v>
      </c>
      <c r="D564" s="199"/>
      <c r="E564" s="199"/>
      <c r="F564" s="199"/>
      <c r="G564" s="233"/>
      <c r="H564" s="199"/>
      <c r="I564" s="233"/>
      <c r="J564" s="199"/>
      <c r="K564" s="193" t="s">
        <v>206</v>
      </c>
      <c r="L564" s="359" t="s">
        <v>147</v>
      </c>
      <c r="M564" s="199"/>
      <c r="N564" s="193" t="s">
        <v>207</v>
      </c>
      <c r="O564" s="193" t="s">
        <v>206</v>
      </c>
      <c r="P564" s="193" t="s">
        <v>206</v>
      </c>
      <c r="Q564" s="199"/>
      <c r="R564" s="193" t="s">
        <v>208</v>
      </c>
      <c r="S564" s="193" t="s">
        <v>39</v>
      </c>
      <c r="T564" s="193" t="s">
        <v>209</v>
      </c>
      <c r="U564" s="193" t="s">
        <v>947</v>
      </c>
      <c r="V564" s="193" t="s">
        <v>892</v>
      </c>
      <c r="W564" s="193" t="s">
        <v>212</v>
      </c>
      <c r="X564" s="193" t="s">
        <v>252</v>
      </c>
      <c r="Y564" s="200">
        <v>3.0</v>
      </c>
      <c r="Z564" s="202" t="s">
        <v>233</v>
      </c>
      <c r="AA564" s="202" t="s">
        <v>215</v>
      </c>
      <c r="AB564" s="203">
        <v>100000.0</v>
      </c>
      <c r="AC564" s="203">
        <v>100000.0</v>
      </c>
      <c r="AD564" s="204">
        <v>46080.0</v>
      </c>
      <c r="AE564" s="204">
        <v>46383.0</v>
      </c>
      <c r="AF564" s="205"/>
      <c r="AG564" s="219"/>
      <c r="AH564" s="219"/>
      <c r="AI564" s="219"/>
      <c r="AJ564" s="219"/>
      <c r="AK564" s="219"/>
      <c r="AL564" s="219"/>
      <c r="AM564" s="219"/>
      <c r="AN564" s="219"/>
      <c r="AO564" s="219"/>
    </row>
    <row r="565">
      <c r="A565" s="193">
        <v>19000.0</v>
      </c>
      <c r="B565" s="194" t="s">
        <v>203</v>
      </c>
      <c r="C565" s="193">
        <v>2026.0</v>
      </c>
      <c r="D565" s="199"/>
      <c r="E565" s="199"/>
      <c r="F565" s="199"/>
      <c r="G565" s="235"/>
      <c r="H565" s="199"/>
      <c r="I565" s="235"/>
      <c r="J565" s="199"/>
      <c r="K565" s="193" t="s">
        <v>206</v>
      </c>
      <c r="L565" s="359" t="s">
        <v>147</v>
      </c>
      <c r="M565" s="199"/>
      <c r="N565" s="193" t="s">
        <v>207</v>
      </c>
      <c r="O565" s="193" t="s">
        <v>206</v>
      </c>
      <c r="P565" s="193" t="s">
        <v>206</v>
      </c>
      <c r="Q565" s="199"/>
      <c r="R565" s="193" t="s">
        <v>208</v>
      </c>
      <c r="S565" s="193" t="s">
        <v>39</v>
      </c>
      <c r="T565" s="193" t="s">
        <v>209</v>
      </c>
      <c r="U565" s="193" t="s">
        <v>948</v>
      </c>
      <c r="V565" s="193" t="s">
        <v>892</v>
      </c>
      <c r="W565" s="193" t="s">
        <v>212</v>
      </c>
      <c r="X565" s="193" t="s">
        <v>252</v>
      </c>
      <c r="Y565" s="200">
        <v>3.0</v>
      </c>
      <c r="Z565" s="202" t="s">
        <v>233</v>
      </c>
      <c r="AA565" s="202" t="s">
        <v>215</v>
      </c>
      <c r="AB565" s="203">
        <v>100000.0</v>
      </c>
      <c r="AC565" s="203">
        <v>100000.0</v>
      </c>
      <c r="AD565" s="204">
        <v>46080.0</v>
      </c>
      <c r="AE565" s="204">
        <v>46383.0</v>
      </c>
      <c r="AF565" s="205"/>
      <c r="AG565" s="219"/>
      <c r="AH565" s="219"/>
      <c r="AI565" s="219"/>
      <c r="AJ565" s="219"/>
      <c r="AK565" s="219"/>
      <c r="AL565" s="219"/>
      <c r="AM565" s="219"/>
      <c r="AN565" s="219"/>
      <c r="AO565" s="219"/>
    </row>
    <row r="566">
      <c r="A566" s="193">
        <v>19020.0</v>
      </c>
      <c r="B566" s="232" t="s">
        <v>264</v>
      </c>
      <c r="C566" s="193">
        <v>2026.0</v>
      </c>
      <c r="D566" s="359" t="s">
        <v>898</v>
      </c>
      <c r="E566" s="193">
        <v>12.0</v>
      </c>
      <c r="F566" s="199"/>
      <c r="G566" s="233"/>
      <c r="H566" s="199"/>
      <c r="I566" s="233"/>
      <c r="J566" s="199"/>
      <c r="K566" s="193" t="s">
        <v>206</v>
      </c>
      <c r="L566" s="359" t="s">
        <v>147</v>
      </c>
      <c r="M566" s="199"/>
      <c r="N566" s="193" t="s">
        <v>207</v>
      </c>
      <c r="O566" s="193" t="s">
        <v>206</v>
      </c>
      <c r="P566" s="193" t="s">
        <v>206</v>
      </c>
      <c r="Q566" s="199"/>
      <c r="R566" s="193" t="s">
        <v>903</v>
      </c>
      <c r="S566" s="193" t="s">
        <v>47</v>
      </c>
      <c r="T566" s="193" t="s">
        <v>904</v>
      </c>
      <c r="U566" s="193" t="s">
        <v>949</v>
      </c>
      <c r="V566" s="193" t="s">
        <v>892</v>
      </c>
      <c r="W566" s="193" t="s">
        <v>212</v>
      </c>
      <c r="X566" s="193" t="s">
        <v>213</v>
      </c>
      <c r="Y566" s="200">
        <v>3.0</v>
      </c>
      <c r="Z566" s="202" t="s">
        <v>233</v>
      </c>
      <c r="AA566" s="202" t="s">
        <v>215</v>
      </c>
      <c r="AB566" s="221"/>
      <c r="AC566" s="203">
        <v>6000000.0</v>
      </c>
      <c r="AD566" s="204">
        <v>46260.0</v>
      </c>
      <c r="AE566" s="204">
        <v>46382.0</v>
      </c>
      <c r="AF566" s="205"/>
      <c r="AG566" s="219"/>
      <c r="AH566" s="219"/>
      <c r="AI566" s="219"/>
      <c r="AJ566" s="219"/>
      <c r="AK566" s="219"/>
      <c r="AL566" s="219"/>
      <c r="AM566" s="219"/>
      <c r="AN566" s="219"/>
      <c r="AO566" s="219"/>
    </row>
    <row r="567">
      <c r="A567" s="193">
        <v>19040.0</v>
      </c>
      <c r="B567" s="232" t="s">
        <v>264</v>
      </c>
      <c r="C567" s="193">
        <v>2026.0</v>
      </c>
      <c r="D567" s="199"/>
      <c r="E567" s="199"/>
      <c r="F567" s="193" t="s">
        <v>272</v>
      </c>
      <c r="G567" s="233"/>
      <c r="H567" s="199"/>
      <c r="I567" s="233"/>
      <c r="J567" s="199"/>
      <c r="K567" s="193" t="s">
        <v>206</v>
      </c>
      <c r="L567" s="359" t="s">
        <v>147</v>
      </c>
      <c r="M567" s="199"/>
      <c r="N567" s="193" t="s">
        <v>207</v>
      </c>
      <c r="O567" s="193" t="s">
        <v>206</v>
      </c>
      <c r="P567" s="193" t="s">
        <v>206</v>
      </c>
      <c r="Q567" s="199"/>
      <c r="R567" s="193" t="s">
        <v>903</v>
      </c>
      <c r="S567" s="193" t="s">
        <v>47</v>
      </c>
      <c r="T567" s="193" t="s">
        <v>904</v>
      </c>
      <c r="U567" s="193" t="s">
        <v>950</v>
      </c>
      <c r="V567" s="193" t="s">
        <v>892</v>
      </c>
      <c r="W567" s="193" t="s">
        <v>212</v>
      </c>
      <c r="X567" s="193" t="s">
        <v>213</v>
      </c>
      <c r="Y567" s="200">
        <v>3.0</v>
      </c>
      <c r="Z567" s="202" t="s">
        <v>233</v>
      </c>
      <c r="AA567" s="202" t="s">
        <v>215</v>
      </c>
      <c r="AB567" s="221"/>
      <c r="AC567" s="203" t="s">
        <v>275</v>
      </c>
      <c r="AD567" s="204">
        <v>46049.0</v>
      </c>
      <c r="AE567" s="204">
        <v>46169.0</v>
      </c>
      <c r="AF567" s="226" t="s">
        <v>556</v>
      </c>
      <c r="AG567" s="219"/>
      <c r="AH567" s="219"/>
      <c r="AI567" s="219"/>
      <c r="AJ567" s="219"/>
      <c r="AK567" s="219"/>
      <c r="AL567" s="219"/>
      <c r="AM567" s="219"/>
      <c r="AN567" s="219"/>
      <c r="AO567" s="219"/>
    </row>
    <row r="568">
      <c r="A568" s="193">
        <v>19060.0</v>
      </c>
      <c r="B568" s="194" t="s">
        <v>203</v>
      </c>
      <c r="C568" s="193">
        <v>2026.0</v>
      </c>
      <c r="D568" s="359" t="s">
        <v>898</v>
      </c>
      <c r="E568" s="199"/>
      <c r="F568" s="193" t="s">
        <v>204</v>
      </c>
      <c r="G568" s="215">
        <v>46205.0</v>
      </c>
      <c r="H568" s="193">
        <v>530.0</v>
      </c>
      <c r="I568" s="215">
        <v>46205.0</v>
      </c>
      <c r="J568" s="193" t="s">
        <v>951</v>
      </c>
      <c r="K568" s="193" t="s">
        <v>206</v>
      </c>
      <c r="L568" s="359" t="s">
        <v>147</v>
      </c>
      <c r="M568" s="199"/>
      <c r="N568" s="193" t="s">
        <v>227</v>
      </c>
      <c r="O568" s="193" t="s">
        <v>206</v>
      </c>
      <c r="P568" s="193" t="s">
        <v>206</v>
      </c>
      <c r="Q568" s="199"/>
      <c r="R568" s="193" t="s">
        <v>900</v>
      </c>
      <c r="S568" s="193" t="s">
        <v>44</v>
      </c>
      <c r="T568" s="193" t="s">
        <v>901</v>
      </c>
      <c r="U568" s="193" t="s">
        <v>952</v>
      </c>
      <c r="V568" s="193" t="s">
        <v>892</v>
      </c>
      <c r="W568" s="193" t="s">
        <v>212</v>
      </c>
      <c r="X568" s="193" t="s">
        <v>213</v>
      </c>
      <c r="Y568" s="200">
        <v>3.0</v>
      </c>
      <c r="Z568" s="202" t="s">
        <v>214</v>
      </c>
      <c r="AA568" s="202" t="s">
        <v>215</v>
      </c>
      <c r="AB568" s="221"/>
      <c r="AC568" s="203">
        <v>782535.94</v>
      </c>
      <c r="AD568" s="204">
        <v>46229.0</v>
      </c>
      <c r="AE568" s="204">
        <v>46260.0</v>
      </c>
      <c r="AF568" s="226" t="s">
        <v>953</v>
      </c>
      <c r="AG568" s="219"/>
      <c r="AH568" s="219"/>
      <c r="AI568" s="219"/>
      <c r="AJ568" s="219"/>
      <c r="AK568" s="219"/>
      <c r="AL568" s="219"/>
      <c r="AM568" s="219"/>
      <c r="AN568" s="219"/>
      <c r="AO568" s="219"/>
    </row>
    <row r="569">
      <c r="A569" s="193">
        <v>19080.0</v>
      </c>
      <c r="B569" s="194" t="s">
        <v>203</v>
      </c>
      <c r="C569" s="193">
        <v>2026.0</v>
      </c>
      <c r="D569" s="359" t="s">
        <v>898</v>
      </c>
      <c r="E569" s="199"/>
      <c r="F569" s="193" t="s">
        <v>204</v>
      </c>
      <c r="G569" s="215">
        <v>46121.0</v>
      </c>
      <c r="H569" s="193">
        <v>286.0</v>
      </c>
      <c r="I569" s="215">
        <v>46121.0</v>
      </c>
      <c r="J569" s="193" t="s">
        <v>899</v>
      </c>
      <c r="K569" s="193" t="s">
        <v>206</v>
      </c>
      <c r="L569" s="359" t="s">
        <v>147</v>
      </c>
      <c r="M569" s="199"/>
      <c r="N569" s="193" t="s">
        <v>227</v>
      </c>
      <c r="O569" s="193" t="s">
        <v>206</v>
      </c>
      <c r="P569" s="193" t="s">
        <v>206</v>
      </c>
      <c r="Q569" s="199"/>
      <c r="R569" s="193" t="s">
        <v>900</v>
      </c>
      <c r="S569" s="193" t="s">
        <v>44</v>
      </c>
      <c r="T569" s="193" t="s">
        <v>901</v>
      </c>
      <c r="U569" s="193" t="s">
        <v>954</v>
      </c>
      <c r="V569" s="193" t="s">
        <v>892</v>
      </c>
      <c r="W569" s="193" t="s">
        <v>212</v>
      </c>
      <c r="X569" s="193" t="s">
        <v>213</v>
      </c>
      <c r="Y569" s="200">
        <v>3.0</v>
      </c>
      <c r="Z569" s="202" t="s">
        <v>214</v>
      </c>
      <c r="AA569" s="202" t="s">
        <v>234</v>
      </c>
      <c r="AB569" s="221"/>
      <c r="AC569" s="203">
        <v>142500.0</v>
      </c>
      <c r="AD569" s="258">
        <v>46138.0</v>
      </c>
      <c r="AE569" s="204">
        <v>46199.0</v>
      </c>
      <c r="AF569" s="205"/>
      <c r="AG569" s="219"/>
      <c r="AH569" s="206"/>
      <c r="AI569" s="206"/>
      <c r="AJ569" s="206"/>
      <c r="AK569" s="206"/>
      <c r="AL569" s="206"/>
      <c r="AM569" s="206"/>
      <c r="AN569" s="206"/>
      <c r="AO569" s="206"/>
    </row>
    <row r="570">
      <c r="A570" s="193">
        <v>19100.0</v>
      </c>
      <c r="B570" s="232" t="s">
        <v>264</v>
      </c>
      <c r="C570" s="193">
        <v>2026.0</v>
      </c>
      <c r="D570" s="359" t="s">
        <v>898</v>
      </c>
      <c r="E570" s="199"/>
      <c r="F570" s="199"/>
      <c r="G570" s="235"/>
      <c r="H570" s="199"/>
      <c r="I570" s="235"/>
      <c r="J570" s="199"/>
      <c r="K570" s="193" t="s">
        <v>206</v>
      </c>
      <c r="L570" s="359" t="s">
        <v>147</v>
      </c>
      <c r="M570" s="199"/>
      <c r="N570" s="193" t="s">
        <v>227</v>
      </c>
      <c r="O570" s="193" t="s">
        <v>206</v>
      </c>
      <c r="P570" s="193" t="s">
        <v>206</v>
      </c>
      <c r="Q570" s="199"/>
      <c r="R570" s="193" t="s">
        <v>900</v>
      </c>
      <c r="S570" s="193" t="s">
        <v>44</v>
      </c>
      <c r="T570" s="193" t="s">
        <v>229</v>
      </c>
      <c r="U570" s="193" t="s">
        <v>955</v>
      </c>
      <c r="V570" s="193" t="s">
        <v>231</v>
      </c>
      <c r="W570" s="193" t="s">
        <v>212</v>
      </c>
      <c r="X570" s="193" t="s">
        <v>232</v>
      </c>
      <c r="Y570" s="200">
        <v>3.0</v>
      </c>
      <c r="Z570" s="202" t="s">
        <v>233</v>
      </c>
      <c r="AA570" s="202" t="s">
        <v>234</v>
      </c>
      <c r="AB570" s="221"/>
      <c r="AC570" s="203">
        <v>575000.0</v>
      </c>
      <c r="AD570" s="204">
        <v>46168.0</v>
      </c>
      <c r="AE570" s="204">
        <v>46229.0</v>
      </c>
      <c r="AF570" s="205"/>
      <c r="AG570" s="219"/>
      <c r="AH570" s="219"/>
      <c r="AI570" s="219"/>
      <c r="AJ570" s="219"/>
      <c r="AK570" s="219"/>
      <c r="AL570" s="219"/>
      <c r="AM570" s="219"/>
      <c r="AN570" s="219"/>
      <c r="AO570" s="219"/>
    </row>
    <row r="571">
      <c r="A571" s="193">
        <v>19120.0</v>
      </c>
      <c r="B571" s="194" t="s">
        <v>203</v>
      </c>
      <c r="C571" s="193">
        <v>2026.0</v>
      </c>
      <c r="D571" s="199"/>
      <c r="E571" s="199"/>
      <c r="F571" s="199"/>
      <c r="G571" s="235"/>
      <c r="H571" s="199"/>
      <c r="I571" s="235"/>
      <c r="J571" s="199"/>
      <c r="K571" s="193" t="s">
        <v>206</v>
      </c>
      <c r="L571" s="359" t="s">
        <v>147</v>
      </c>
      <c r="M571" s="199"/>
      <c r="N571" s="193" t="s">
        <v>207</v>
      </c>
      <c r="O571" s="193" t="s">
        <v>206</v>
      </c>
      <c r="P571" s="193" t="s">
        <v>206</v>
      </c>
      <c r="Q571" s="199"/>
      <c r="R571" s="193" t="s">
        <v>208</v>
      </c>
      <c r="S571" s="193" t="s">
        <v>39</v>
      </c>
      <c r="T571" s="193" t="s">
        <v>209</v>
      </c>
      <c r="U571" s="193" t="s">
        <v>956</v>
      </c>
      <c r="V571" s="193" t="s">
        <v>892</v>
      </c>
      <c r="W571" s="193" t="s">
        <v>212</v>
      </c>
      <c r="X571" s="193" t="s">
        <v>252</v>
      </c>
      <c r="Y571" s="200">
        <v>3.0</v>
      </c>
      <c r="Z571" s="202" t="s">
        <v>233</v>
      </c>
      <c r="AA571" s="202" t="s">
        <v>215</v>
      </c>
      <c r="AB571" s="203">
        <v>71263.31</v>
      </c>
      <c r="AC571" s="203">
        <v>71263.31</v>
      </c>
      <c r="AD571" s="204">
        <v>46080.0</v>
      </c>
      <c r="AE571" s="204">
        <v>46383.0</v>
      </c>
      <c r="AF571" s="205"/>
      <c r="AG571" s="219"/>
      <c r="AH571" s="219"/>
      <c r="AI571" s="219"/>
      <c r="AJ571" s="219"/>
      <c r="AK571" s="219"/>
      <c r="AL571" s="219"/>
      <c r="AM571" s="219"/>
      <c r="AN571" s="219"/>
      <c r="AO571" s="219"/>
    </row>
    <row r="572">
      <c r="A572" s="193">
        <v>19121.0</v>
      </c>
      <c r="B572" s="194" t="s">
        <v>203</v>
      </c>
      <c r="C572" s="193">
        <v>2026.0</v>
      </c>
      <c r="D572" s="199"/>
      <c r="E572" s="199"/>
      <c r="F572" s="199"/>
      <c r="G572" s="248"/>
      <c r="H572" s="199"/>
      <c r="I572" s="220"/>
      <c r="J572" s="199"/>
      <c r="K572" s="193" t="s">
        <v>206</v>
      </c>
      <c r="L572" s="359" t="s">
        <v>147</v>
      </c>
      <c r="M572" s="199"/>
      <c r="N572" s="193" t="s">
        <v>207</v>
      </c>
      <c r="O572" s="193" t="s">
        <v>206</v>
      </c>
      <c r="P572" s="193" t="s">
        <v>206</v>
      </c>
      <c r="Q572" s="199"/>
      <c r="R572" s="193" t="s">
        <v>208</v>
      </c>
      <c r="S572" s="193" t="s">
        <v>39</v>
      </c>
      <c r="T572" s="193" t="s">
        <v>209</v>
      </c>
      <c r="U572" s="193" t="s">
        <v>956</v>
      </c>
      <c r="V572" s="193" t="s">
        <v>892</v>
      </c>
      <c r="W572" s="193" t="s">
        <v>212</v>
      </c>
      <c r="X572" s="193" t="s">
        <v>252</v>
      </c>
      <c r="Y572" s="200">
        <v>3.0</v>
      </c>
      <c r="Z572" s="202" t="s">
        <v>233</v>
      </c>
      <c r="AA572" s="202" t="s">
        <v>215</v>
      </c>
      <c r="AB572" s="203">
        <v>28736.69</v>
      </c>
      <c r="AC572" s="203">
        <v>28736.69</v>
      </c>
      <c r="AD572" s="204">
        <v>46080.0</v>
      </c>
      <c r="AE572" s="204">
        <v>46383.0</v>
      </c>
      <c r="AF572" s="226" t="s">
        <v>957</v>
      </c>
      <c r="AG572" s="219"/>
      <c r="AH572" s="219"/>
      <c r="AI572" s="219"/>
      <c r="AJ572" s="219"/>
      <c r="AK572" s="219"/>
      <c r="AL572" s="219"/>
      <c r="AM572" s="219"/>
      <c r="AN572" s="219"/>
      <c r="AO572" s="219"/>
    </row>
    <row r="573">
      <c r="A573" s="193">
        <v>19140.0</v>
      </c>
      <c r="B573" s="194" t="s">
        <v>203</v>
      </c>
      <c r="C573" s="193">
        <v>2026.0</v>
      </c>
      <c r="D573" s="199"/>
      <c r="E573" s="199"/>
      <c r="F573" s="199"/>
      <c r="G573" s="199"/>
      <c r="H573" s="199"/>
      <c r="I573" s="199"/>
      <c r="J573" s="199"/>
      <c r="K573" s="193" t="s">
        <v>206</v>
      </c>
      <c r="L573" s="359" t="s">
        <v>147</v>
      </c>
      <c r="M573" s="199"/>
      <c r="N573" s="193" t="s">
        <v>207</v>
      </c>
      <c r="O573" s="193" t="s">
        <v>206</v>
      </c>
      <c r="P573" s="193" t="s">
        <v>206</v>
      </c>
      <c r="Q573" s="199"/>
      <c r="R573" s="193" t="s">
        <v>208</v>
      </c>
      <c r="S573" s="193" t="s">
        <v>39</v>
      </c>
      <c r="T573" s="193" t="s">
        <v>209</v>
      </c>
      <c r="U573" s="193" t="s">
        <v>958</v>
      </c>
      <c r="V573" s="193" t="s">
        <v>892</v>
      </c>
      <c r="W573" s="193" t="s">
        <v>212</v>
      </c>
      <c r="X573" s="193" t="s">
        <v>252</v>
      </c>
      <c r="Y573" s="200">
        <v>3.0</v>
      </c>
      <c r="Z573" s="202" t="s">
        <v>233</v>
      </c>
      <c r="AA573" s="202" t="s">
        <v>215</v>
      </c>
      <c r="AB573" s="203">
        <v>100000.0</v>
      </c>
      <c r="AC573" s="203">
        <v>100000.0</v>
      </c>
      <c r="AD573" s="204">
        <v>46080.0</v>
      </c>
      <c r="AE573" s="204">
        <v>46383.0</v>
      </c>
      <c r="AF573" s="226" t="s">
        <v>959</v>
      </c>
      <c r="AG573" s="219"/>
      <c r="AH573" s="219"/>
      <c r="AI573" s="219"/>
      <c r="AJ573" s="219"/>
      <c r="AK573" s="219"/>
      <c r="AL573" s="219"/>
      <c r="AM573" s="219"/>
      <c r="AN573" s="219"/>
      <c r="AO573" s="219"/>
    </row>
    <row r="574">
      <c r="A574" s="193">
        <v>19160.0</v>
      </c>
      <c r="B574" s="194" t="s">
        <v>203</v>
      </c>
      <c r="C574" s="193">
        <v>2026.0</v>
      </c>
      <c r="D574" s="199"/>
      <c r="E574" s="199"/>
      <c r="F574" s="199"/>
      <c r="G574" s="199"/>
      <c r="H574" s="199"/>
      <c r="I574" s="199"/>
      <c r="J574" s="199"/>
      <c r="K574" s="193" t="s">
        <v>206</v>
      </c>
      <c r="L574" s="359" t="s">
        <v>147</v>
      </c>
      <c r="M574" s="199"/>
      <c r="N574" s="193" t="s">
        <v>207</v>
      </c>
      <c r="O574" s="193" t="s">
        <v>206</v>
      </c>
      <c r="P574" s="193" t="s">
        <v>206</v>
      </c>
      <c r="Q574" s="199"/>
      <c r="R574" s="193" t="s">
        <v>208</v>
      </c>
      <c r="S574" s="193" t="s">
        <v>39</v>
      </c>
      <c r="T574" s="193" t="s">
        <v>209</v>
      </c>
      <c r="U574" s="193" t="s">
        <v>960</v>
      </c>
      <c r="V574" s="193" t="s">
        <v>892</v>
      </c>
      <c r="W574" s="193" t="s">
        <v>212</v>
      </c>
      <c r="X574" s="193" t="s">
        <v>252</v>
      </c>
      <c r="Y574" s="200">
        <v>3.0</v>
      </c>
      <c r="Z574" s="202" t="s">
        <v>233</v>
      </c>
      <c r="AA574" s="202" t="s">
        <v>215</v>
      </c>
      <c r="AB574" s="203">
        <v>100000.0</v>
      </c>
      <c r="AC574" s="203">
        <v>100000.0</v>
      </c>
      <c r="AD574" s="204">
        <v>46080.0</v>
      </c>
      <c r="AE574" s="204">
        <v>46383.0</v>
      </c>
      <c r="AF574" s="226" t="s">
        <v>959</v>
      </c>
      <c r="AG574" s="219"/>
      <c r="AH574" s="219"/>
      <c r="AI574" s="219"/>
      <c r="AJ574" s="219"/>
      <c r="AK574" s="219"/>
      <c r="AL574" s="219"/>
      <c r="AM574" s="219"/>
      <c r="AN574" s="219"/>
      <c r="AO574" s="219"/>
    </row>
    <row r="575">
      <c r="A575" s="193">
        <v>19180.0</v>
      </c>
      <c r="B575" s="194" t="s">
        <v>203</v>
      </c>
      <c r="C575" s="193">
        <v>2026.0</v>
      </c>
      <c r="D575" s="199"/>
      <c r="E575" s="199"/>
      <c r="F575" s="199"/>
      <c r="G575" s="235"/>
      <c r="H575" s="199"/>
      <c r="I575" s="235"/>
      <c r="J575" s="199"/>
      <c r="K575" s="193" t="s">
        <v>206</v>
      </c>
      <c r="L575" s="359" t="s">
        <v>147</v>
      </c>
      <c r="M575" s="199"/>
      <c r="N575" s="193" t="s">
        <v>207</v>
      </c>
      <c r="O575" s="193" t="s">
        <v>206</v>
      </c>
      <c r="P575" s="193" t="s">
        <v>206</v>
      </c>
      <c r="Q575" s="199"/>
      <c r="R575" s="193" t="s">
        <v>208</v>
      </c>
      <c r="S575" s="193" t="s">
        <v>39</v>
      </c>
      <c r="T575" s="193" t="s">
        <v>209</v>
      </c>
      <c r="U575" s="193" t="s">
        <v>961</v>
      </c>
      <c r="V575" s="193" t="s">
        <v>892</v>
      </c>
      <c r="W575" s="193" t="s">
        <v>212</v>
      </c>
      <c r="X575" s="193" t="s">
        <v>252</v>
      </c>
      <c r="Y575" s="200">
        <v>3.0</v>
      </c>
      <c r="Z575" s="202" t="s">
        <v>233</v>
      </c>
      <c r="AA575" s="202" t="s">
        <v>215</v>
      </c>
      <c r="AB575" s="203">
        <v>100000.0</v>
      </c>
      <c r="AC575" s="203">
        <v>100000.0</v>
      </c>
      <c r="AD575" s="204">
        <v>46081.0</v>
      </c>
      <c r="AE575" s="204">
        <v>46384.0</v>
      </c>
      <c r="AF575" s="226" t="s">
        <v>962</v>
      </c>
      <c r="AG575" s="219"/>
      <c r="AH575" s="206"/>
      <c r="AI575" s="206"/>
      <c r="AJ575" s="206"/>
      <c r="AK575" s="206"/>
      <c r="AL575" s="206"/>
      <c r="AM575" s="206"/>
      <c r="AN575" s="206"/>
      <c r="AO575" s="206"/>
    </row>
    <row r="576">
      <c r="A576" s="193">
        <v>19200.0</v>
      </c>
      <c r="B576" s="194" t="s">
        <v>203</v>
      </c>
      <c r="C576" s="193">
        <v>2026.0</v>
      </c>
      <c r="D576" s="199"/>
      <c r="E576" s="199"/>
      <c r="F576" s="199"/>
      <c r="G576" s="220"/>
      <c r="H576" s="199"/>
      <c r="I576" s="220"/>
      <c r="J576" s="199"/>
      <c r="K576" s="193" t="s">
        <v>206</v>
      </c>
      <c r="L576" s="359" t="s">
        <v>147</v>
      </c>
      <c r="M576" s="199"/>
      <c r="N576" s="193" t="s">
        <v>207</v>
      </c>
      <c r="O576" s="193" t="s">
        <v>206</v>
      </c>
      <c r="P576" s="193" t="s">
        <v>206</v>
      </c>
      <c r="Q576" s="199"/>
      <c r="R576" s="193" t="s">
        <v>208</v>
      </c>
      <c r="S576" s="193" t="s">
        <v>39</v>
      </c>
      <c r="T576" s="193" t="s">
        <v>209</v>
      </c>
      <c r="U576" s="193" t="s">
        <v>963</v>
      </c>
      <c r="V576" s="193" t="s">
        <v>892</v>
      </c>
      <c r="W576" s="193" t="s">
        <v>212</v>
      </c>
      <c r="X576" s="193" t="s">
        <v>252</v>
      </c>
      <c r="Y576" s="200">
        <v>3.0</v>
      </c>
      <c r="Z576" s="202" t="s">
        <v>233</v>
      </c>
      <c r="AA576" s="202" t="s">
        <v>215</v>
      </c>
      <c r="AB576" s="203">
        <v>100000.0</v>
      </c>
      <c r="AC576" s="203">
        <v>100000.0</v>
      </c>
      <c r="AD576" s="204">
        <v>46081.0</v>
      </c>
      <c r="AE576" s="204">
        <v>46384.0</v>
      </c>
      <c r="AF576" s="226" t="s">
        <v>962</v>
      </c>
      <c r="AG576" s="219"/>
      <c r="AH576" s="219"/>
      <c r="AI576" s="219"/>
      <c r="AJ576" s="219"/>
      <c r="AK576" s="219"/>
      <c r="AL576" s="219"/>
      <c r="AM576" s="219"/>
      <c r="AN576" s="219"/>
      <c r="AO576" s="219"/>
    </row>
    <row r="577">
      <c r="A577" s="193">
        <v>19220.0</v>
      </c>
      <c r="B577" s="194" t="s">
        <v>203</v>
      </c>
      <c r="C577" s="193">
        <v>2026.0</v>
      </c>
      <c r="D577" s="199"/>
      <c r="E577" s="199"/>
      <c r="F577" s="199"/>
      <c r="G577" s="248"/>
      <c r="H577" s="199"/>
      <c r="I577" s="220"/>
      <c r="J577" s="199"/>
      <c r="K577" s="193" t="s">
        <v>206</v>
      </c>
      <c r="L577" s="359" t="s">
        <v>147</v>
      </c>
      <c r="M577" s="199"/>
      <c r="N577" s="193" t="s">
        <v>207</v>
      </c>
      <c r="O577" s="193" t="s">
        <v>206</v>
      </c>
      <c r="P577" s="193" t="s">
        <v>206</v>
      </c>
      <c r="Q577" s="199"/>
      <c r="R577" s="193" t="s">
        <v>208</v>
      </c>
      <c r="S577" s="193" t="s">
        <v>39</v>
      </c>
      <c r="T577" s="193" t="s">
        <v>209</v>
      </c>
      <c r="U577" s="193" t="s">
        <v>964</v>
      </c>
      <c r="V577" s="193" t="s">
        <v>892</v>
      </c>
      <c r="W577" s="193" t="s">
        <v>212</v>
      </c>
      <c r="X577" s="193" t="s">
        <v>252</v>
      </c>
      <c r="Y577" s="200">
        <v>3.0</v>
      </c>
      <c r="Z577" s="202" t="s">
        <v>233</v>
      </c>
      <c r="AA577" s="202" t="s">
        <v>215</v>
      </c>
      <c r="AB577" s="203">
        <v>100000.0</v>
      </c>
      <c r="AC577" s="203">
        <v>100000.0</v>
      </c>
      <c r="AD577" s="204">
        <v>46081.0</v>
      </c>
      <c r="AE577" s="204">
        <v>46384.0</v>
      </c>
      <c r="AF577" s="226" t="s">
        <v>962</v>
      </c>
      <c r="AG577" s="219"/>
      <c r="AH577" s="219"/>
      <c r="AI577" s="219"/>
      <c r="AJ577" s="219"/>
      <c r="AK577" s="219"/>
      <c r="AL577" s="219"/>
      <c r="AM577" s="219"/>
      <c r="AN577" s="219"/>
      <c r="AO577" s="219"/>
    </row>
    <row r="578">
      <c r="A578" s="193">
        <v>19240.0</v>
      </c>
      <c r="B578" s="194" t="s">
        <v>203</v>
      </c>
      <c r="C578" s="193">
        <v>2026.0</v>
      </c>
      <c r="D578" s="359" t="s">
        <v>898</v>
      </c>
      <c r="E578" s="193">
        <v>67.0</v>
      </c>
      <c r="F578" s="199"/>
      <c r="G578" s="248"/>
      <c r="H578" s="199"/>
      <c r="I578" s="220"/>
      <c r="J578" s="199"/>
      <c r="K578" s="193" t="s">
        <v>206</v>
      </c>
      <c r="L578" s="359" t="s">
        <v>147</v>
      </c>
      <c r="M578" s="199"/>
      <c r="N578" s="193" t="s">
        <v>207</v>
      </c>
      <c r="O578" s="193" t="s">
        <v>206</v>
      </c>
      <c r="P578" s="193" t="s">
        <v>206</v>
      </c>
      <c r="Q578" s="199"/>
      <c r="R578" s="193" t="s">
        <v>965</v>
      </c>
      <c r="S578" s="193" t="s">
        <v>45</v>
      </c>
      <c r="T578" s="193" t="s">
        <v>966</v>
      </c>
      <c r="U578" s="193" t="s">
        <v>967</v>
      </c>
      <c r="V578" s="193" t="s">
        <v>892</v>
      </c>
      <c r="W578" s="193" t="s">
        <v>212</v>
      </c>
      <c r="X578" s="193" t="s">
        <v>213</v>
      </c>
      <c r="Y578" s="200">
        <v>3.0</v>
      </c>
      <c r="Z578" s="202" t="s">
        <v>214</v>
      </c>
      <c r="AA578" s="202" t="s">
        <v>215</v>
      </c>
      <c r="AB578" s="203">
        <v>1962977.67</v>
      </c>
      <c r="AC578" s="203">
        <v>1962977.67</v>
      </c>
      <c r="AD578" s="204">
        <v>46321.0</v>
      </c>
      <c r="AE578" s="204">
        <v>46049.0</v>
      </c>
      <c r="AF578" s="226" t="s">
        <v>968</v>
      </c>
      <c r="AG578" s="219"/>
      <c r="AH578" s="219"/>
      <c r="AI578" s="219"/>
      <c r="AJ578" s="219"/>
      <c r="AK578" s="219"/>
      <c r="AL578" s="219"/>
      <c r="AM578" s="219"/>
      <c r="AN578" s="219"/>
      <c r="AO578" s="219"/>
    </row>
    <row r="579">
      <c r="A579" s="193">
        <v>19241.0</v>
      </c>
      <c r="B579" s="232" t="s">
        <v>264</v>
      </c>
      <c r="C579" s="193">
        <v>2026.0</v>
      </c>
      <c r="D579" s="199"/>
      <c r="E579" s="199"/>
      <c r="F579" s="193" t="s">
        <v>265</v>
      </c>
      <c r="G579" s="248"/>
      <c r="H579" s="199"/>
      <c r="I579" s="220"/>
      <c r="J579" s="199"/>
      <c r="K579" s="193" t="s">
        <v>206</v>
      </c>
      <c r="L579" s="359" t="s">
        <v>147</v>
      </c>
      <c r="M579" s="199"/>
      <c r="N579" s="193" t="s">
        <v>207</v>
      </c>
      <c r="O579" s="193" t="s">
        <v>206</v>
      </c>
      <c r="P579" s="193" t="s">
        <v>206</v>
      </c>
      <c r="Q579" s="199"/>
      <c r="R579" s="193" t="s">
        <v>965</v>
      </c>
      <c r="S579" s="193" t="s">
        <v>45</v>
      </c>
      <c r="T579" s="193" t="s">
        <v>966</v>
      </c>
      <c r="U579" s="193" t="s">
        <v>967</v>
      </c>
      <c r="V579" s="193" t="s">
        <v>892</v>
      </c>
      <c r="W579" s="193" t="s">
        <v>212</v>
      </c>
      <c r="X579" s="193" t="s">
        <v>213</v>
      </c>
      <c r="Y579" s="200">
        <v>3.0</v>
      </c>
      <c r="Z579" s="202" t="s">
        <v>214</v>
      </c>
      <c r="AA579" s="202" t="s">
        <v>215</v>
      </c>
      <c r="AB579" s="203">
        <v>2497091.0</v>
      </c>
      <c r="AC579" s="203">
        <v>2497091.0</v>
      </c>
      <c r="AD579" s="204">
        <v>46321.0</v>
      </c>
      <c r="AE579" s="204">
        <v>46049.0</v>
      </c>
      <c r="AF579" s="226" t="s">
        <v>969</v>
      </c>
      <c r="AG579" s="219"/>
      <c r="AH579" s="206"/>
      <c r="AI579" s="206"/>
      <c r="AJ579" s="206"/>
      <c r="AK579" s="206"/>
      <c r="AL579" s="206"/>
      <c r="AM579" s="206"/>
      <c r="AN579" s="206"/>
      <c r="AO579" s="206"/>
    </row>
    <row r="580">
      <c r="A580" s="193">
        <v>19242.0</v>
      </c>
      <c r="B580" s="194" t="s">
        <v>203</v>
      </c>
      <c r="C580" s="193">
        <v>2026.0</v>
      </c>
      <c r="D580" s="359" t="s">
        <v>898</v>
      </c>
      <c r="E580" s="193" t="s">
        <v>970</v>
      </c>
      <c r="F580" s="193" t="s">
        <v>784</v>
      </c>
      <c r="G580" s="230">
        <v>46282.0</v>
      </c>
      <c r="H580" s="252">
        <v>14442.0</v>
      </c>
      <c r="I580" s="198">
        <v>46282.0</v>
      </c>
      <c r="J580" s="293" t="s">
        <v>971</v>
      </c>
      <c r="K580" s="193" t="s">
        <v>206</v>
      </c>
      <c r="L580" s="359" t="s">
        <v>147</v>
      </c>
      <c r="M580" s="199"/>
      <c r="N580" s="193" t="s">
        <v>207</v>
      </c>
      <c r="O580" s="193" t="s">
        <v>206</v>
      </c>
      <c r="P580" s="193" t="s">
        <v>206</v>
      </c>
      <c r="Q580" s="199"/>
      <c r="R580" s="193" t="s">
        <v>965</v>
      </c>
      <c r="S580" s="193" t="s">
        <v>45</v>
      </c>
      <c r="T580" s="193" t="s">
        <v>966</v>
      </c>
      <c r="U580" s="193" t="s">
        <v>967</v>
      </c>
      <c r="V580" s="193" t="s">
        <v>892</v>
      </c>
      <c r="W580" s="193" t="s">
        <v>212</v>
      </c>
      <c r="X580" s="193" t="s">
        <v>213</v>
      </c>
      <c r="Y580" s="200">
        <v>3.0</v>
      </c>
      <c r="Z580" s="202" t="s">
        <v>214</v>
      </c>
      <c r="AA580" s="202" t="s">
        <v>215</v>
      </c>
      <c r="AB580" s="221"/>
      <c r="AC580" s="203">
        <v>1539931.33</v>
      </c>
      <c r="AD580" s="204">
        <v>46321.0</v>
      </c>
      <c r="AE580" s="204">
        <v>46049.0</v>
      </c>
      <c r="AF580" s="205"/>
      <c r="AG580" s="219"/>
      <c r="AH580" s="219"/>
      <c r="AI580" s="219"/>
      <c r="AJ580" s="219"/>
      <c r="AK580" s="219"/>
      <c r="AL580" s="219"/>
      <c r="AM580" s="219"/>
      <c r="AN580" s="219"/>
      <c r="AO580" s="219"/>
    </row>
    <row r="581">
      <c r="A581" s="193">
        <v>19243.0</v>
      </c>
      <c r="B581" s="194" t="s">
        <v>203</v>
      </c>
      <c r="C581" s="193">
        <v>2026.0</v>
      </c>
      <c r="D581" s="359" t="s">
        <v>898</v>
      </c>
      <c r="E581" s="193" t="s">
        <v>970</v>
      </c>
      <c r="F581" s="193" t="s">
        <v>784</v>
      </c>
      <c r="G581" s="198">
        <v>46286.0</v>
      </c>
      <c r="H581" s="252">
        <v>14587.0</v>
      </c>
      <c r="I581" s="198">
        <v>46286.0</v>
      </c>
      <c r="J581" s="293" t="s">
        <v>971</v>
      </c>
      <c r="K581" s="193" t="s">
        <v>206</v>
      </c>
      <c r="L581" s="359" t="s">
        <v>147</v>
      </c>
      <c r="M581" s="199"/>
      <c r="N581" s="193" t="s">
        <v>207</v>
      </c>
      <c r="O581" s="193" t="s">
        <v>206</v>
      </c>
      <c r="P581" s="193" t="s">
        <v>206</v>
      </c>
      <c r="Q581" s="199"/>
      <c r="R581" s="193" t="s">
        <v>965</v>
      </c>
      <c r="S581" s="193" t="s">
        <v>45</v>
      </c>
      <c r="T581" s="193" t="s">
        <v>966</v>
      </c>
      <c r="U581" s="193" t="s">
        <v>967</v>
      </c>
      <c r="V581" s="193" t="s">
        <v>892</v>
      </c>
      <c r="W581" s="193" t="s">
        <v>212</v>
      </c>
      <c r="X581" s="193" t="s">
        <v>213</v>
      </c>
      <c r="Y581" s="200">
        <v>3.0</v>
      </c>
      <c r="Z581" s="202" t="s">
        <v>214</v>
      </c>
      <c r="AA581" s="202" t="s">
        <v>215</v>
      </c>
      <c r="AB581" s="221"/>
      <c r="AC581" s="203">
        <v>0.77</v>
      </c>
      <c r="AD581" s="204">
        <v>46321.0</v>
      </c>
      <c r="AE581" s="204">
        <v>46049.0</v>
      </c>
      <c r="AF581" s="205"/>
      <c r="AG581" s="219"/>
      <c r="AH581" s="206"/>
      <c r="AI581" s="206"/>
      <c r="AJ581" s="206"/>
      <c r="AK581" s="206"/>
      <c r="AL581" s="206"/>
      <c r="AM581" s="206"/>
      <c r="AN581" s="206"/>
      <c r="AO581" s="206"/>
    </row>
    <row r="582">
      <c r="A582" s="193">
        <v>19260.0</v>
      </c>
      <c r="B582" s="232" t="s">
        <v>264</v>
      </c>
      <c r="C582" s="193">
        <v>2026.0</v>
      </c>
      <c r="D582" s="199"/>
      <c r="E582" s="199"/>
      <c r="F582" s="193" t="s">
        <v>272</v>
      </c>
      <c r="G582" s="248"/>
      <c r="H582" s="199"/>
      <c r="I582" s="220"/>
      <c r="J582" s="199"/>
      <c r="K582" s="193" t="s">
        <v>206</v>
      </c>
      <c r="L582" s="359" t="s">
        <v>147</v>
      </c>
      <c r="M582" s="199"/>
      <c r="N582" s="193" t="s">
        <v>207</v>
      </c>
      <c r="O582" s="193" t="s">
        <v>206</v>
      </c>
      <c r="P582" s="193" t="s">
        <v>206</v>
      </c>
      <c r="Q582" s="199"/>
      <c r="R582" s="193" t="s">
        <v>965</v>
      </c>
      <c r="S582" s="193" t="s">
        <v>45</v>
      </c>
      <c r="T582" s="193" t="s">
        <v>966</v>
      </c>
      <c r="U582" s="193" t="s">
        <v>972</v>
      </c>
      <c r="V582" s="193" t="s">
        <v>892</v>
      </c>
      <c r="W582" s="193" t="s">
        <v>212</v>
      </c>
      <c r="X582" s="193" t="s">
        <v>213</v>
      </c>
      <c r="Y582" s="200">
        <v>3.0</v>
      </c>
      <c r="Z582" s="202" t="s">
        <v>214</v>
      </c>
      <c r="AA582" s="202" t="s">
        <v>215</v>
      </c>
      <c r="AB582" s="203" t="s">
        <v>275</v>
      </c>
      <c r="AC582" s="281" t="s">
        <v>275</v>
      </c>
      <c r="AD582" s="204">
        <v>46049.0</v>
      </c>
      <c r="AE582" s="204">
        <v>46139.0</v>
      </c>
      <c r="AF582" s="226" t="s">
        <v>556</v>
      </c>
      <c r="AG582" s="219"/>
      <c r="AH582" s="219"/>
      <c r="AI582" s="219"/>
      <c r="AJ582" s="219"/>
      <c r="AK582" s="219"/>
      <c r="AL582" s="219"/>
      <c r="AM582" s="219"/>
      <c r="AN582" s="219"/>
      <c r="AO582" s="219"/>
    </row>
    <row r="583">
      <c r="A583" s="193">
        <v>19280.0</v>
      </c>
      <c r="B583" s="194" t="s">
        <v>203</v>
      </c>
      <c r="C583" s="193">
        <v>2026.0</v>
      </c>
      <c r="D583" s="199"/>
      <c r="E583" s="199"/>
      <c r="F583" s="199"/>
      <c r="G583" s="248"/>
      <c r="H583" s="199"/>
      <c r="I583" s="220"/>
      <c r="J583" s="199"/>
      <c r="K583" s="193" t="s">
        <v>206</v>
      </c>
      <c r="L583" s="359" t="s">
        <v>147</v>
      </c>
      <c r="M583" s="199"/>
      <c r="N583" s="193" t="s">
        <v>207</v>
      </c>
      <c r="O583" s="193" t="s">
        <v>206</v>
      </c>
      <c r="P583" s="193" t="s">
        <v>206</v>
      </c>
      <c r="Q583" s="199"/>
      <c r="R583" s="193" t="s">
        <v>208</v>
      </c>
      <c r="S583" s="193" t="s">
        <v>39</v>
      </c>
      <c r="T583" s="193" t="s">
        <v>209</v>
      </c>
      <c r="U583" s="193" t="s">
        <v>973</v>
      </c>
      <c r="V583" s="193" t="s">
        <v>892</v>
      </c>
      <c r="W583" s="193" t="s">
        <v>212</v>
      </c>
      <c r="X583" s="193" t="s">
        <v>252</v>
      </c>
      <c r="Y583" s="200">
        <v>3.0</v>
      </c>
      <c r="Z583" s="202" t="s">
        <v>233</v>
      </c>
      <c r="AA583" s="202" t="s">
        <v>215</v>
      </c>
      <c r="AB583" s="203">
        <v>100000.0</v>
      </c>
      <c r="AC583" s="203">
        <v>100000.0</v>
      </c>
      <c r="AD583" s="204">
        <v>46081.0</v>
      </c>
      <c r="AE583" s="204">
        <v>46384.0</v>
      </c>
      <c r="AF583" s="226" t="s">
        <v>962</v>
      </c>
      <c r="AG583" s="219"/>
      <c r="AH583" s="219"/>
      <c r="AI583" s="219"/>
      <c r="AJ583" s="219"/>
      <c r="AK583" s="219"/>
      <c r="AL583" s="219"/>
      <c r="AM583" s="219"/>
      <c r="AN583" s="219"/>
      <c r="AO583" s="219"/>
    </row>
    <row r="584">
      <c r="A584" s="193">
        <v>19300.0</v>
      </c>
      <c r="B584" s="194" t="s">
        <v>203</v>
      </c>
      <c r="C584" s="193">
        <v>2026.0</v>
      </c>
      <c r="D584" s="199"/>
      <c r="E584" s="199"/>
      <c r="F584" s="199"/>
      <c r="G584" s="220"/>
      <c r="H584" s="199"/>
      <c r="I584" s="220"/>
      <c r="J584" s="199"/>
      <c r="K584" s="193" t="s">
        <v>206</v>
      </c>
      <c r="L584" s="359" t="s">
        <v>147</v>
      </c>
      <c r="M584" s="199"/>
      <c r="N584" s="193" t="s">
        <v>207</v>
      </c>
      <c r="O584" s="193" t="s">
        <v>206</v>
      </c>
      <c r="P584" s="193" t="s">
        <v>206</v>
      </c>
      <c r="Q584" s="199"/>
      <c r="R584" s="193" t="s">
        <v>208</v>
      </c>
      <c r="S584" s="193" t="s">
        <v>39</v>
      </c>
      <c r="T584" s="193" t="s">
        <v>209</v>
      </c>
      <c r="U584" s="193" t="s">
        <v>974</v>
      </c>
      <c r="V584" s="193" t="s">
        <v>892</v>
      </c>
      <c r="W584" s="193" t="s">
        <v>212</v>
      </c>
      <c r="X584" s="193" t="s">
        <v>252</v>
      </c>
      <c r="Y584" s="200">
        <v>3.0</v>
      </c>
      <c r="Z584" s="202" t="s">
        <v>233</v>
      </c>
      <c r="AA584" s="202" t="s">
        <v>215</v>
      </c>
      <c r="AB584" s="203">
        <v>100000.0</v>
      </c>
      <c r="AC584" s="203">
        <v>100000.0</v>
      </c>
      <c r="AD584" s="204">
        <v>46081.0</v>
      </c>
      <c r="AE584" s="204">
        <v>46384.0</v>
      </c>
      <c r="AF584" s="226" t="s">
        <v>962</v>
      </c>
      <c r="AG584" s="219"/>
      <c r="AH584" s="206"/>
      <c r="AI584" s="206"/>
      <c r="AJ584" s="206"/>
      <c r="AK584" s="206"/>
      <c r="AL584" s="206"/>
      <c r="AM584" s="206"/>
      <c r="AN584" s="206"/>
      <c r="AO584" s="206"/>
    </row>
    <row r="585">
      <c r="A585" s="193">
        <v>19320.0</v>
      </c>
      <c r="B585" s="194" t="s">
        <v>203</v>
      </c>
      <c r="C585" s="193">
        <v>2026.0</v>
      </c>
      <c r="D585" s="199"/>
      <c r="E585" s="199"/>
      <c r="F585" s="199"/>
      <c r="G585" s="220"/>
      <c r="H585" s="199"/>
      <c r="I585" s="220"/>
      <c r="J585" s="199"/>
      <c r="K585" s="193" t="s">
        <v>206</v>
      </c>
      <c r="L585" s="359" t="s">
        <v>147</v>
      </c>
      <c r="M585" s="199"/>
      <c r="N585" s="193" t="s">
        <v>207</v>
      </c>
      <c r="O585" s="193" t="s">
        <v>206</v>
      </c>
      <c r="P585" s="193" t="s">
        <v>206</v>
      </c>
      <c r="Q585" s="199"/>
      <c r="R585" s="193" t="s">
        <v>208</v>
      </c>
      <c r="S585" s="193" t="s">
        <v>39</v>
      </c>
      <c r="T585" s="193" t="s">
        <v>209</v>
      </c>
      <c r="U585" s="193" t="s">
        <v>975</v>
      </c>
      <c r="V585" s="193" t="s">
        <v>892</v>
      </c>
      <c r="W585" s="193" t="s">
        <v>212</v>
      </c>
      <c r="X585" s="193" t="s">
        <v>252</v>
      </c>
      <c r="Y585" s="200">
        <v>3.0</v>
      </c>
      <c r="Z585" s="202" t="s">
        <v>233</v>
      </c>
      <c r="AA585" s="202" t="s">
        <v>215</v>
      </c>
      <c r="AB585" s="203">
        <v>100000.0</v>
      </c>
      <c r="AC585" s="203">
        <v>100000.0</v>
      </c>
      <c r="AD585" s="204">
        <v>46081.0</v>
      </c>
      <c r="AE585" s="204">
        <v>46384.0</v>
      </c>
      <c r="AF585" s="226" t="s">
        <v>962</v>
      </c>
      <c r="AG585" s="219"/>
      <c r="AH585" s="219"/>
      <c r="AI585" s="219"/>
      <c r="AJ585" s="219"/>
      <c r="AK585" s="219"/>
      <c r="AL585" s="219"/>
      <c r="AM585" s="219"/>
      <c r="AN585" s="219"/>
      <c r="AO585" s="219"/>
    </row>
    <row r="586">
      <c r="A586" s="193">
        <v>19340.0</v>
      </c>
      <c r="B586" s="194" t="s">
        <v>203</v>
      </c>
      <c r="C586" s="193">
        <v>2026.0</v>
      </c>
      <c r="D586" s="199"/>
      <c r="E586" s="199"/>
      <c r="F586" s="199"/>
      <c r="G586" s="220"/>
      <c r="H586" s="199"/>
      <c r="I586" s="220"/>
      <c r="J586" s="199"/>
      <c r="K586" s="193" t="s">
        <v>206</v>
      </c>
      <c r="L586" s="359" t="s">
        <v>147</v>
      </c>
      <c r="M586" s="199"/>
      <c r="N586" s="193" t="s">
        <v>207</v>
      </c>
      <c r="O586" s="193" t="s">
        <v>206</v>
      </c>
      <c r="P586" s="193" t="s">
        <v>206</v>
      </c>
      <c r="Q586" s="199"/>
      <c r="R586" s="193" t="s">
        <v>208</v>
      </c>
      <c r="S586" s="193" t="s">
        <v>39</v>
      </c>
      <c r="T586" s="193" t="s">
        <v>209</v>
      </c>
      <c r="U586" s="193" t="s">
        <v>976</v>
      </c>
      <c r="V586" s="193" t="s">
        <v>892</v>
      </c>
      <c r="W586" s="193" t="s">
        <v>212</v>
      </c>
      <c r="X586" s="193" t="s">
        <v>252</v>
      </c>
      <c r="Y586" s="200">
        <v>3.0</v>
      </c>
      <c r="Z586" s="202" t="s">
        <v>233</v>
      </c>
      <c r="AA586" s="202" t="s">
        <v>215</v>
      </c>
      <c r="AB586" s="203">
        <v>100000.0</v>
      </c>
      <c r="AC586" s="203">
        <v>100000.0</v>
      </c>
      <c r="AD586" s="204">
        <v>46081.0</v>
      </c>
      <c r="AE586" s="204">
        <v>46384.0</v>
      </c>
      <c r="AF586" s="226" t="s">
        <v>962</v>
      </c>
      <c r="AG586" s="219"/>
      <c r="AH586" s="206"/>
      <c r="AI586" s="206"/>
      <c r="AJ586" s="206"/>
      <c r="AK586" s="206"/>
      <c r="AL586" s="206"/>
      <c r="AM586" s="206"/>
      <c r="AN586" s="206"/>
      <c r="AO586" s="206"/>
    </row>
    <row r="587">
      <c r="A587" s="193">
        <v>19360.0</v>
      </c>
      <c r="B587" s="194" t="s">
        <v>203</v>
      </c>
      <c r="C587" s="193">
        <v>2026.0</v>
      </c>
      <c r="D587" s="199"/>
      <c r="E587" s="199"/>
      <c r="F587" s="199"/>
      <c r="G587" s="248"/>
      <c r="H587" s="199"/>
      <c r="I587" s="220"/>
      <c r="J587" s="199"/>
      <c r="K587" s="193" t="s">
        <v>206</v>
      </c>
      <c r="L587" s="359" t="s">
        <v>147</v>
      </c>
      <c r="M587" s="199"/>
      <c r="N587" s="193" t="s">
        <v>207</v>
      </c>
      <c r="O587" s="193" t="s">
        <v>206</v>
      </c>
      <c r="P587" s="193" t="s">
        <v>206</v>
      </c>
      <c r="Q587" s="199"/>
      <c r="R587" s="193" t="s">
        <v>208</v>
      </c>
      <c r="S587" s="193" t="s">
        <v>39</v>
      </c>
      <c r="T587" s="193" t="s">
        <v>209</v>
      </c>
      <c r="U587" s="193" t="s">
        <v>977</v>
      </c>
      <c r="V587" s="193" t="s">
        <v>892</v>
      </c>
      <c r="W587" s="193" t="s">
        <v>212</v>
      </c>
      <c r="X587" s="193" t="s">
        <v>252</v>
      </c>
      <c r="Y587" s="200">
        <v>3.0</v>
      </c>
      <c r="Z587" s="202" t="s">
        <v>233</v>
      </c>
      <c r="AA587" s="202" t="s">
        <v>215</v>
      </c>
      <c r="AB587" s="203">
        <v>100000.0</v>
      </c>
      <c r="AC587" s="203">
        <v>100000.0</v>
      </c>
      <c r="AD587" s="204">
        <v>46081.0</v>
      </c>
      <c r="AE587" s="204">
        <v>46384.0</v>
      </c>
      <c r="AF587" s="226" t="s">
        <v>962</v>
      </c>
      <c r="AG587" s="219"/>
      <c r="AH587" s="206"/>
      <c r="AI587" s="206"/>
      <c r="AJ587" s="206"/>
      <c r="AK587" s="206"/>
      <c r="AL587" s="206"/>
      <c r="AM587" s="206"/>
      <c r="AN587" s="206"/>
      <c r="AO587" s="206"/>
    </row>
    <row r="588">
      <c r="A588" s="193">
        <v>19380.0</v>
      </c>
      <c r="B588" s="194" t="s">
        <v>203</v>
      </c>
      <c r="C588" s="193">
        <v>2026.0</v>
      </c>
      <c r="D588" s="199"/>
      <c r="E588" s="199"/>
      <c r="F588" s="199"/>
      <c r="G588" s="248"/>
      <c r="H588" s="199"/>
      <c r="I588" s="220"/>
      <c r="J588" s="199"/>
      <c r="K588" s="193" t="s">
        <v>206</v>
      </c>
      <c r="L588" s="359" t="s">
        <v>147</v>
      </c>
      <c r="M588" s="199"/>
      <c r="N588" s="193" t="s">
        <v>207</v>
      </c>
      <c r="O588" s="193" t="s">
        <v>206</v>
      </c>
      <c r="P588" s="193" t="s">
        <v>206</v>
      </c>
      <c r="Q588" s="199"/>
      <c r="R588" s="193" t="s">
        <v>208</v>
      </c>
      <c r="S588" s="193" t="s">
        <v>39</v>
      </c>
      <c r="T588" s="193" t="s">
        <v>209</v>
      </c>
      <c r="U588" s="193" t="s">
        <v>978</v>
      </c>
      <c r="V588" s="193" t="s">
        <v>892</v>
      </c>
      <c r="W588" s="193" t="s">
        <v>212</v>
      </c>
      <c r="X588" s="193" t="s">
        <v>252</v>
      </c>
      <c r="Y588" s="200">
        <v>3.0</v>
      </c>
      <c r="Z588" s="202" t="s">
        <v>233</v>
      </c>
      <c r="AA588" s="202" t="s">
        <v>215</v>
      </c>
      <c r="AB588" s="203">
        <v>100000.0</v>
      </c>
      <c r="AC588" s="203">
        <v>100000.0</v>
      </c>
      <c r="AD588" s="204">
        <v>46081.0</v>
      </c>
      <c r="AE588" s="204">
        <v>46384.0</v>
      </c>
      <c r="AF588" s="226" t="s">
        <v>962</v>
      </c>
      <c r="AG588" s="219"/>
      <c r="AH588" s="206"/>
      <c r="AI588" s="206"/>
      <c r="AJ588" s="206"/>
      <c r="AK588" s="206"/>
      <c r="AL588" s="206"/>
      <c r="AM588" s="206"/>
      <c r="AN588" s="206"/>
      <c r="AO588" s="206"/>
    </row>
    <row r="589">
      <c r="A589" s="193">
        <v>19400.0</v>
      </c>
      <c r="B589" s="232" t="s">
        <v>264</v>
      </c>
      <c r="C589" s="193">
        <v>2026.0</v>
      </c>
      <c r="D589" s="359" t="s">
        <v>898</v>
      </c>
      <c r="E589" s="199"/>
      <c r="F589" s="199"/>
      <c r="G589" s="248"/>
      <c r="H589" s="199"/>
      <c r="I589" s="220"/>
      <c r="J589" s="199"/>
      <c r="K589" s="193" t="s">
        <v>206</v>
      </c>
      <c r="L589" s="359" t="s">
        <v>147</v>
      </c>
      <c r="M589" s="199"/>
      <c r="N589" s="193" t="s">
        <v>227</v>
      </c>
      <c r="O589" s="193" t="s">
        <v>206</v>
      </c>
      <c r="P589" s="193" t="s">
        <v>206</v>
      </c>
      <c r="Q589" s="207"/>
      <c r="R589" s="208" t="s">
        <v>903</v>
      </c>
      <c r="S589" s="193" t="s">
        <v>47</v>
      </c>
      <c r="T589" s="193" t="s">
        <v>229</v>
      </c>
      <c r="U589" s="193" t="s">
        <v>979</v>
      </c>
      <c r="V589" s="193" t="s">
        <v>892</v>
      </c>
      <c r="W589" s="193" t="s">
        <v>212</v>
      </c>
      <c r="X589" s="193" t="s">
        <v>232</v>
      </c>
      <c r="Y589" s="200">
        <v>3.0</v>
      </c>
      <c r="Z589" s="202" t="s">
        <v>233</v>
      </c>
      <c r="AA589" s="202" t="s">
        <v>234</v>
      </c>
      <c r="AB589" s="221"/>
      <c r="AC589" s="203">
        <v>2500000.0</v>
      </c>
      <c r="AD589" s="204">
        <v>46229.0</v>
      </c>
      <c r="AE589" s="204">
        <v>46291.0</v>
      </c>
      <c r="AF589" s="205"/>
      <c r="AG589" s="219"/>
      <c r="AH589" s="206"/>
      <c r="AI589" s="206"/>
      <c r="AJ589" s="206"/>
      <c r="AK589" s="206"/>
      <c r="AL589" s="206"/>
      <c r="AM589" s="206"/>
      <c r="AN589" s="206"/>
      <c r="AO589" s="206"/>
    </row>
    <row r="590">
      <c r="A590" s="193">
        <v>19420.0</v>
      </c>
      <c r="B590" s="194" t="s">
        <v>203</v>
      </c>
      <c r="C590" s="193">
        <v>2026.0</v>
      </c>
      <c r="D590" s="359" t="s">
        <v>898</v>
      </c>
      <c r="E590" s="199"/>
      <c r="F590" s="199"/>
      <c r="G590" s="248"/>
      <c r="H590" s="199"/>
      <c r="I590" s="220"/>
      <c r="J590" s="199"/>
      <c r="K590" s="193" t="s">
        <v>206</v>
      </c>
      <c r="L590" s="359" t="s">
        <v>147</v>
      </c>
      <c r="M590" s="199"/>
      <c r="N590" s="193" t="s">
        <v>227</v>
      </c>
      <c r="O590" s="193" t="s">
        <v>206</v>
      </c>
      <c r="P590" s="193" t="s">
        <v>206</v>
      </c>
      <c r="Q590" s="207"/>
      <c r="R590" s="208" t="s">
        <v>925</v>
      </c>
      <c r="S590" s="193" t="s">
        <v>46</v>
      </c>
      <c r="T590" s="193" t="s">
        <v>229</v>
      </c>
      <c r="U590" s="193" t="s">
        <v>979</v>
      </c>
      <c r="V590" s="193" t="s">
        <v>892</v>
      </c>
      <c r="W590" s="193" t="s">
        <v>212</v>
      </c>
      <c r="X590" s="193" t="s">
        <v>232</v>
      </c>
      <c r="Y590" s="200">
        <v>3.0</v>
      </c>
      <c r="Z590" s="202" t="s">
        <v>233</v>
      </c>
      <c r="AA590" s="202" t="s">
        <v>234</v>
      </c>
      <c r="AB590" s="221"/>
      <c r="AC590" s="203">
        <v>2373979.0</v>
      </c>
      <c r="AD590" s="204">
        <v>46229.0</v>
      </c>
      <c r="AE590" s="204">
        <v>46291.0</v>
      </c>
      <c r="AF590" s="205"/>
      <c r="AG590" s="219"/>
      <c r="AH590" s="206"/>
      <c r="AI590" s="206"/>
      <c r="AJ590" s="206"/>
      <c r="AK590" s="206"/>
      <c r="AL590" s="206"/>
      <c r="AM590" s="206"/>
      <c r="AN590" s="206"/>
      <c r="AO590" s="206"/>
    </row>
    <row r="591">
      <c r="A591" s="193">
        <v>19421.0</v>
      </c>
      <c r="B591" s="232" t="s">
        <v>264</v>
      </c>
      <c r="C591" s="193">
        <v>2026.0</v>
      </c>
      <c r="D591" s="199"/>
      <c r="E591" s="199"/>
      <c r="F591" s="199"/>
      <c r="G591" s="248"/>
      <c r="H591" s="199"/>
      <c r="I591" s="220"/>
      <c r="J591" s="199"/>
      <c r="K591" s="193" t="s">
        <v>206</v>
      </c>
      <c r="L591" s="359" t="s">
        <v>147</v>
      </c>
      <c r="M591" s="199"/>
      <c r="N591" s="193" t="s">
        <v>227</v>
      </c>
      <c r="O591" s="193" t="s">
        <v>206</v>
      </c>
      <c r="P591" s="193" t="s">
        <v>206</v>
      </c>
      <c r="Q591" s="199"/>
      <c r="R591" s="193" t="s">
        <v>925</v>
      </c>
      <c r="S591" s="193" t="s">
        <v>46</v>
      </c>
      <c r="T591" s="193" t="s">
        <v>229</v>
      </c>
      <c r="U591" s="193" t="s">
        <v>979</v>
      </c>
      <c r="V591" s="193" t="s">
        <v>892</v>
      </c>
      <c r="W591" s="193" t="s">
        <v>212</v>
      </c>
      <c r="X591" s="193" t="s">
        <v>232</v>
      </c>
      <c r="Y591" s="200">
        <v>3.0</v>
      </c>
      <c r="Z591" s="202" t="s">
        <v>233</v>
      </c>
      <c r="AA591" s="202" t="s">
        <v>234</v>
      </c>
      <c r="AB591" s="221"/>
      <c r="AC591" s="203">
        <v>326021.0</v>
      </c>
      <c r="AD591" s="204">
        <v>46229.0</v>
      </c>
      <c r="AE591" s="204">
        <v>46291.0</v>
      </c>
      <c r="AF591" s="226" t="s">
        <v>980</v>
      </c>
      <c r="AG591" s="219"/>
      <c r="AH591" s="219"/>
      <c r="AI591" s="219"/>
      <c r="AJ591" s="219"/>
      <c r="AK591" s="219"/>
      <c r="AL591" s="219"/>
      <c r="AM591" s="219"/>
      <c r="AN591" s="219"/>
      <c r="AO591" s="219"/>
    </row>
    <row r="592">
      <c r="A592" s="193">
        <v>19440.0</v>
      </c>
      <c r="B592" s="232" t="s">
        <v>264</v>
      </c>
      <c r="C592" s="193">
        <v>2026.0</v>
      </c>
      <c r="D592" s="359" t="s">
        <v>898</v>
      </c>
      <c r="E592" s="199"/>
      <c r="F592" s="199"/>
      <c r="G592" s="248"/>
      <c r="H592" s="199"/>
      <c r="I592" s="235"/>
      <c r="J592" s="199"/>
      <c r="K592" s="193" t="s">
        <v>206</v>
      </c>
      <c r="L592" s="359" t="s">
        <v>147</v>
      </c>
      <c r="M592" s="199"/>
      <c r="N592" s="193" t="s">
        <v>227</v>
      </c>
      <c r="O592" s="193" t="s">
        <v>206</v>
      </c>
      <c r="P592" s="193" t="s">
        <v>206</v>
      </c>
      <c r="Q592" s="199"/>
      <c r="R592" s="193" t="s">
        <v>900</v>
      </c>
      <c r="S592" s="193" t="s">
        <v>44</v>
      </c>
      <c r="T592" s="193" t="s">
        <v>229</v>
      </c>
      <c r="U592" s="193" t="s">
        <v>981</v>
      </c>
      <c r="V592" s="193" t="s">
        <v>231</v>
      </c>
      <c r="W592" s="193" t="s">
        <v>212</v>
      </c>
      <c r="X592" s="193" t="s">
        <v>232</v>
      </c>
      <c r="Y592" s="200">
        <v>3.0</v>
      </c>
      <c r="Z592" s="202" t="s">
        <v>233</v>
      </c>
      <c r="AA592" s="202" t="s">
        <v>234</v>
      </c>
      <c r="AB592" s="221"/>
      <c r="AC592" s="203">
        <v>575000.0</v>
      </c>
      <c r="AD592" s="204">
        <v>46229.0</v>
      </c>
      <c r="AE592" s="204">
        <v>46291.0</v>
      </c>
      <c r="AF592" s="205"/>
      <c r="AG592" s="219"/>
      <c r="AH592" s="206"/>
      <c r="AI592" s="206"/>
      <c r="AJ592" s="206"/>
      <c r="AK592" s="206"/>
      <c r="AL592" s="206"/>
      <c r="AM592" s="206"/>
      <c r="AN592" s="206"/>
      <c r="AO592" s="206"/>
    </row>
    <row r="593">
      <c r="A593" s="193">
        <v>19460.0</v>
      </c>
      <c r="B593" s="194" t="s">
        <v>203</v>
      </c>
      <c r="C593" s="193">
        <v>2026.0</v>
      </c>
      <c r="D593" s="199"/>
      <c r="E593" s="199"/>
      <c r="F593" s="199"/>
      <c r="G593" s="248"/>
      <c r="H593" s="199"/>
      <c r="I593" s="233"/>
      <c r="J593" s="199"/>
      <c r="K593" s="193" t="s">
        <v>206</v>
      </c>
      <c r="L593" s="359" t="s">
        <v>147</v>
      </c>
      <c r="M593" s="199"/>
      <c r="N593" s="193" t="s">
        <v>207</v>
      </c>
      <c r="O593" s="193" t="s">
        <v>206</v>
      </c>
      <c r="P593" s="193" t="s">
        <v>206</v>
      </c>
      <c r="Q593" s="199"/>
      <c r="R593" s="193" t="s">
        <v>208</v>
      </c>
      <c r="S593" s="193" t="s">
        <v>39</v>
      </c>
      <c r="T593" s="193" t="s">
        <v>209</v>
      </c>
      <c r="U593" s="193" t="s">
        <v>982</v>
      </c>
      <c r="V593" s="193" t="s">
        <v>892</v>
      </c>
      <c r="W593" s="193" t="s">
        <v>212</v>
      </c>
      <c r="X593" s="193" t="s">
        <v>252</v>
      </c>
      <c r="Y593" s="200">
        <v>3.0</v>
      </c>
      <c r="Z593" s="202" t="s">
        <v>233</v>
      </c>
      <c r="AA593" s="202" t="s">
        <v>215</v>
      </c>
      <c r="AB593" s="203">
        <v>100000.0</v>
      </c>
      <c r="AC593" s="203">
        <v>100000.0</v>
      </c>
      <c r="AD593" s="204">
        <v>46081.0</v>
      </c>
      <c r="AE593" s="204">
        <v>46384.0</v>
      </c>
      <c r="AF593" s="226" t="s">
        <v>962</v>
      </c>
      <c r="AG593" s="219"/>
      <c r="AH593" s="219"/>
      <c r="AI593" s="219"/>
      <c r="AJ593" s="219"/>
      <c r="AK593" s="219"/>
      <c r="AL593" s="219"/>
      <c r="AM593" s="219"/>
      <c r="AN593" s="219"/>
      <c r="AO593" s="219"/>
    </row>
    <row r="594">
      <c r="A594" s="193">
        <v>19480.0</v>
      </c>
      <c r="B594" s="194" t="s">
        <v>203</v>
      </c>
      <c r="C594" s="193">
        <v>2026.0</v>
      </c>
      <c r="D594" s="199"/>
      <c r="E594" s="199"/>
      <c r="F594" s="199"/>
      <c r="G594" s="220"/>
      <c r="H594" s="199"/>
      <c r="I594" s="235"/>
      <c r="J594" s="199"/>
      <c r="K594" s="193" t="s">
        <v>206</v>
      </c>
      <c r="L594" s="359" t="s">
        <v>147</v>
      </c>
      <c r="M594" s="199"/>
      <c r="N594" s="193" t="s">
        <v>207</v>
      </c>
      <c r="O594" s="193" t="s">
        <v>206</v>
      </c>
      <c r="P594" s="193" t="s">
        <v>206</v>
      </c>
      <c r="Q594" s="199"/>
      <c r="R594" s="193" t="s">
        <v>208</v>
      </c>
      <c r="S594" s="193" t="s">
        <v>39</v>
      </c>
      <c r="T594" s="193" t="s">
        <v>209</v>
      </c>
      <c r="U594" s="193" t="s">
        <v>983</v>
      </c>
      <c r="V594" s="193" t="s">
        <v>892</v>
      </c>
      <c r="W594" s="193" t="s">
        <v>212</v>
      </c>
      <c r="X594" s="193" t="s">
        <v>252</v>
      </c>
      <c r="Y594" s="200">
        <v>3.0</v>
      </c>
      <c r="Z594" s="202" t="s">
        <v>233</v>
      </c>
      <c r="AA594" s="202" t="s">
        <v>215</v>
      </c>
      <c r="AB594" s="203">
        <v>100000.0</v>
      </c>
      <c r="AC594" s="203">
        <v>100000.0</v>
      </c>
      <c r="AD594" s="276">
        <v>46081.0</v>
      </c>
      <c r="AE594" s="204">
        <v>46384.0</v>
      </c>
      <c r="AF594" s="226" t="s">
        <v>962</v>
      </c>
      <c r="AG594" s="219"/>
      <c r="AH594" s="206"/>
      <c r="AI594" s="206"/>
      <c r="AJ594" s="206"/>
      <c r="AK594" s="206"/>
      <c r="AL594" s="206"/>
      <c r="AM594" s="206"/>
      <c r="AN594" s="206"/>
      <c r="AO594" s="206"/>
    </row>
    <row r="595">
      <c r="A595" s="193">
        <v>19500.0</v>
      </c>
      <c r="B595" s="194" t="s">
        <v>203</v>
      </c>
      <c r="C595" s="193">
        <v>2026.0</v>
      </c>
      <c r="D595" s="199"/>
      <c r="E595" s="199"/>
      <c r="F595" s="199"/>
      <c r="G595" s="220"/>
      <c r="H595" s="199"/>
      <c r="I595" s="220"/>
      <c r="J595" s="199"/>
      <c r="K595" s="193" t="s">
        <v>206</v>
      </c>
      <c r="L595" s="359" t="s">
        <v>147</v>
      </c>
      <c r="M595" s="199"/>
      <c r="N595" s="193" t="s">
        <v>207</v>
      </c>
      <c r="O595" s="193" t="s">
        <v>206</v>
      </c>
      <c r="P595" s="193" t="s">
        <v>206</v>
      </c>
      <c r="Q595" s="199"/>
      <c r="R595" s="193" t="s">
        <v>208</v>
      </c>
      <c r="S595" s="193" t="s">
        <v>39</v>
      </c>
      <c r="T595" s="193" t="s">
        <v>209</v>
      </c>
      <c r="U595" s="193" t="s">
        <v>984</v>
      </c>
      <c r="V595" s="193" t="s">
        <v>892</v>
      </c>
      <c r="W595" s="193" t="s">
        <v>212</v>
      </c>
      <c r="X595" s="193" t="s">
        <v>252</v>
      </c>
      <c r="Y595" s="200">
        <v>3.0</v>
      </c>
      <c r="Z595" s="202" t="s">
        <v>233</v>
      </c>
      <c r="AA595" s="202" t="s">
        <v>215</v>
      </c>
      <c r="AB595" s="203">
        <v>100000.0</v>
      </c>
      <c r="AC595" s="203">
        <v>100000.0</v>
      </c>
      <c r="AD595" s="276">
        <v>46081.0</v>
      </c>
      <c r="AE595" s="204">
        <v>46384.0</v>
      </c>
      <c r="AF595" s="226" t="s">
        <v>962</v>
      </c>
      <c r="AG595" s="219"/>
      <c r="AH595" s="206"/>
      <c r="AI595" s="206"/>
      <c r="AJ595" s="206"/>
      <c r="AK595" s="206"/>
      <c r="AL595" s="206"/>
      <c r="AM595" s="206"/>
      <c r="AN595" s="206"/>
      <c r="AO595" s="206"/>
    </row>
    <row r="596">
      <c r="A596" s="193">
        <v>19520.0</v>
      </c>
      <c r="B596" s="194" t="s">
        <v>203</v>
      </c>
      <c r="C596" s="193">
        <v>2026.0</v>
      </c>
      <c r="D596" s="199"/>
      <c r="E596" s="199"/>
      <c r="F596" s="199"/>
      <c r="G596" s="220"/>
      <c r="H596" s="199"/>
      <c r="I596" s="220"/>
      <c r="J596" s="199"/>
      <c r="K596" s="193" t="s">
        <v>206</v>
      </c>
      <c r="L596" s="359" t="s">
        <v>147</v>
      </c>
      <c r="M596" s="199"/>
      <c r="N596" s="193" t="s">
        <v>207</v>
      </c>
      <c r="O596" s="193" t="s">
        <v>206</v>
      </c>
      <c r="P596" s="193" t="s">
        <v>206</v>
      </c>
      <c r="Q596" s="199"/>
      <c r="R596" s="193" t="s">
        <v>208</v>
      </c>
      <c r="S596" s="193" t="s">
        <v>39</v>
      </c>
      <c r="T596" s="193" t="s">
        <v>209</v>
      </c>
      <c r="U596" s="193" t="s">
        <v>985</v>
      </c>
      <c r="V596" s="193" t="s">
        <v>892</v>
      </c>
      <c r="W596" s="193" t="s">
        <v>212</v>
      </c>
      <c r="X596" s="193" t="s">
        <v>252</v>
      </c>
      <c r="Y596" s="200">
        <v>3.0</v>
      </c>
      <c r="Z596" s="202" t="s">
        <v>233</v>
      </c>
      <c r="AA596" s="202" t="s">
        <v>215</v>
      </c>
      <c r="AB596" s="203">
        <v>100000.0</v>
      </c>
      <c r="AC596" s="203">
        <v>100000.0</v>
      </c>
      <c r="AD596" s="276">
        <v>46081.0</v>
      </c>
      <c r="AE596" s="204">
        <v>46384.0</v>
      </c>
      <c r="AF596" s="226" t="s">
        <v>962</v>
      </c>
      <c r="AG596" s="219"/>
      <c r="AH596" s="206"/>
      <c r="AI596" s="206"/>
      <c r="AJ596" s="206"/>
      <c r="AK596" s="206"/>
      <c r="AL596" s="206"/>
      <c r="AM596" s="206"/>
      <c r="AN596" s="206"/>
      <c r="AO596" s="206"/>
    </row>
    <row r="597">
      <c r="A597" s="193">
        <v>19540.0</v>
      </c>
      <c r="B597" s="194" t="s">
        <v>203</v>
      </c>
      <c r="C597" s="193">
        <v>2026.0</v>
      </c>
      <c r="D597" s="199"/>
      <c r="E597" s="199"/>
      <c r="F597" s="199"/>
      <c r="G597" s="220"/>
      <c r="H597" s="199"/>
      <c r="I597" s="220"/>
      <c r="J597" s="199"/>
      <c r="K597" s="193" t="s">
        <v>206</v>
      </c>
      <c r="L597" s="359" t="s">
        <v>147</v>
      </c>
      <c r="M597" s="199"/>
      <c r="N597" s="193" t="s">
        <v>207</v>
      </c>
      <c r="O597" s="193" t="s">
        <v>206</v>
      </c>
      <c r="P597" s="193" t="s">
        <v>206</v>
      </c>
      <c r="Q597" s="199"/>
      <c r="R597" s="193" t="s">
        <v>208</v>
      </c>
      <c r="S597" s="193" t="s">
        <v>39</v>
      </c>
      <c r="T597" s="193" t="s">
        <v>209</v>
      </c>
      <c r="U597" s="193" t="s">
        <v>986</v>
      </c>
      <c r="V597" s="193" t="s">
        <v>892</v>
      </c>
      <c r="W597" s="193" t="s">
        <v>212</v>
      </c>
      <c r="X597" s="193" t="s">
        <v>252</v>
      </c>
      <c r="Y597" s="200">
        <v>3.0</v>
      </c>
      <c r="Z597" s="202" t="s">
        <v>233</v>
      </c>
      <c r="AA597" s="202" t="s">
        <v>215</v>
      </c>
      <c r="AB597" s="203">
        <v>100000.0</v>
      </c>
      <c r="AC597" s="203">
        <v>100000.0</v>
      </c>
      <c r="AD597" s="204">
        <v>46081.0</v>
      </c>
      <c r="AE597" s="204">
        <v>46384.0</v>
      </c>
      <c r="AF597" s="226" t="s">
        <v>987</v>
      </c>
      <c r="AG597" s="219"/>
      <c r="AH597" s="206"/>
      <c r="AI597" s="206"/>
      <c r="AJ597" s="206"/>
      <c r="AK597" s="206"/>
      <c r="AL597" s="206"/>
      <c r="AM597" s="206"/>
      <c r="AN597" s="206"/>
      <c r="AO597" s="206"/>
    </row>
    <row r="598">
      <c r="A598" s="193">
        <v>19560.0</v>
      </c>
      <c r="B598" s="194" t="s">
        <v>203</v>
      </c>
      <c r="C598" s="193">
        <v>2026.0</v>
      </c>
      <c r="D598" s="199"/>
      <c r="E598" s="199"/>
      <c r="F598" s="199"/>
      <c r="G598" s="220"/>
      <c r="H598" s="199"/>
      <c r="I598" s="220"/>
      <c r="J598" s="199"/>
      <c r="K598" s="193" t="s">
        <v>206</v>
      </c>
      <c r="L598" s="359" t="s">
        <v>147</v>
      </c>
      <c r="M598" s="199"/>
      <c r="N598" s="193" t="s">
        <v>207</v>
      </c>
      <c r="O598" s="193" t="s">
        <v>206</v>
      </c>
      <c r="P598" s="193" t="s">
        <v>206</v>
      </c>
      <c r="Q598" s="199"/>
      <c r="R598" s="193" t="s">
        <v>208</v>
      </c>
      <c r="S598" s="193" t="s">
        <v>39</v>
      </c>
      <c r="T598" s="193" t="s">
        <v>209</v>
      </c>
      <c r="U598" s="193" t="s">
        <v>988</v>
      </c>
      <c r="V598" s="193" t="s">
        <v>892</v>
      </c>
      <c r="W598" s="193" t="s">
        <v>212</v>
      </c>
      <c r="X598" s="193" t="s">
        <v>252</v>
      </c>
      <c r="Y598" s="200">
        <v>3.0</v>
      </c>
      <c r="Z598" s="202" t="s">
        <v>233</v>
      </c>
      <c r="AA598" s="202" t="s">
        <v>215</v>
      </c>
      <c r="AB598" s="203">
        <v>100000.0</v>
      </c>
      <c r="AC598" s="203">
        <v>100000.0</v>
      </c>
      <c r="AD598" s="204">
        <v>46081.0</v>
      </c>
      <c r="AE598" s="204">
        <v>46384.0</v>
      </c>
      <c r="AF598" s="226" t="s">
        <v>962</v>
      </c>
      <c r="AG598" s="219"/>
      <c r="AH598" s="206"/>
      <c r="AI598" s="206"/>
      <c r="AJ598" s="206"/>
      <c r="AK598" s="206"/>
      <c r="AL598" s="206"/>
      <c r="AM598" s="206"/>
      <c r="AN598" s="206"/>
      <c r="AO598" s="206"/>
    </row>
    <row r="599">
      <c r="A599" s="193">
        <v>19580.0</v>
      </c>
      <c r="B599" s="194" t="s">
        <v>203</v>
      </c>
      <c r="C599" s="193">
        <v>2026.0</v>
      </c>
      <c r="D599" s="359" t="s">
        <v>898</v>
      </c>
      <c r="E599" s="199"/>
      <c r="F599" s="193" t="s">
        <v>204</v>
      </c>
      <c r="G599" s="223">
        <v>46122.0</v>
      </c>
      <c r="H599" s="193">
        <v>287.0</v>
      </c>
      <c r="I599" s="223">
        <v>46122.0</v>
      </c>
      <c r="J599" s="193" t="s">
        <v>917</v>
      </c>
      <c r="K599" s="193" t="s">
        <v>206</v>
      </c>
      <c r="L599" s="359" t="s">
        <v>147</v>
      </c>
      <c r="M599" s="199"/>
      <c r="N599" s="193" t="s">
        <v>227</v>
      </c>
      <c r="O599" s="193" t="s">
        <v>206</v>
      </c>
      <c r="P599" s="193" t="s">
        <v>206</v>
      </c>
      <c r="Q599" s="199"/>
      <c r="R599" s="193" t="s">
        <v>900</v>
      </c>
      <c r="S599" s="193" t="s">
        <v>44</v>
      </c>
      <c r="T599" s="193" t="s">
        <v>901</v>
      </c>
      <c r="U599" s="193" t="s">
        <v>989</v>
      </c>
      <c r="V599" s="193" t="s">
        <v>892</v>
      </c>
      <c r="W599" s="193" t="s">
        <v>212</v>
      </c>
      <c r="X599" s="193" t="s">
        <v>213</v>
      </c>
      <c r="Y599" s="200">
        <v>3.0</v>
      </c>
      <c r="Z599" s="202" t="s">
        <v>214</v>
      </c>
      <c r="AA599" s="202" t="s">
        <v>234</v>
      </c>
      <c r="AB599" s="221"/>
      <c r="AC599" s="203">
        <v>10743.83</v>
      </c>
      <c r="AD599" s="258">
        <v>46138.0</v>
      </c>
      <c r="AE599" s="204">
        <v>46291.0</v>
      </c>
      <c r="AF599" s="205"/>
      <c r="AG599" s="219"/>
      <c r="AH599" s="206"/>
      <c r="AI599" s="206"/>
      <c r="AJ599" s="206"/>
      <c r="AK599" s="206"/>
      <c r="AL599" s="206"/>
      <c r="AM599" s="206"/>
      <c r="AN599" s="206"/>
      <c r="AO599" s="206"/>
    </row>
    <row r="600">
      <c r="A600" s="193">
        <v>19581.0</v>
      </c>
      <c r="B600" s="194" t="s">
        <v>203</v>
      </c>
      <c r="C600" s="193">
        <v>2026.0</v>
      </c>
      <c r="D600" s="359" t="s">
        <v>898</v>
      </c>
      <c r="E600" s="199"/>
      <c r="F600" s="193" t="s">
        <v>204</v>
      </c>
      <c r="G600" s="230">
        <v>46121.0</v>
      </c>
      <c r="H600" s="193">
        <v>286.0</v>
      </c>
      <c r="I600" s="223">
        <v>46121.0</v>
      </c>
      <c r="J600" s="193" t="s">
        <v>899</v>
      </c>
      <c r="K600" s="193" t="s">
        <v>206</v>
      </c>
      <c r="L600" s="359" t="s">
        <v>147</v>
      </c>
      <c r="M600" s="199"/>
      <c r="N600" s="193" t="s">
        <v>227</v>
      </c>
      <c r="O600" s="193" t="s">
        <v>206</v>
      </c>
      <c r="P600" s="193" t="s">
        <v>206</v>
      </c>
      <c r="Q600" s="199"/>
      <c r="R600" s="193" t="s">
        <v>900</v>
      </c>
      <c r="S600" s="193" t="s">
        <v>44</v>
      </c>
      <c r="T600" s="193" t="s">
        <v>901</v>
      </c>
      <c r="U600" s="193" t="s">
        <v>989</v>
      </c>
      <c r="V600" s="193" t="s">
        <v>892</v>
      </c>
      <c r="W600" s="193" t="s">
        <v>212</v>
      </c>
      <c r="X600" s="193" t="s">
        <v>213</v>
      </c>
      <c r="Y600" s="200">
        <v>3.0</v>
      </c>
      <c r="Z600" s="202" t="s">
        <v>214</v>
      </c>
      <c r="AA600" s="202" t="s">
        <v>234</v>
      </c>
      <c r="AB600" s="221"/>
      <c r="AC600" s="203">
        <v>270000.0</v>
      </c>
      <c r="AD600" s="285">
        <v>46138.0</v>
      </c>
      <c r="AE600" s="204">
        <v>46291.0</v>
      </c>
      <c r="AF600" s="205"/>
      <c r="AG600" s="219"/>
      <c r="AH600" s="206"/>
      <c r="AI600" s="206"/>
      <c r="AJ600" s="206"/>
      <c r="AK600" s="206"/>
      <c r="AL600" s="206"/>
      <c r="AM600" s="206"/>
      <c r="AN600" s="206"/>
      <c r="AO600" s="206"/>
    </row>
    <row r="601">
      <c r="A601" s="193">
        <v>19582.0</v>
      </c>
      <c r="B601" s="194" t="s">
        <v>203</v>
      </c>
      <c r="C601" s="193">
        <v>2026.0</v>
      </c>
      <c r="D601" s="359" t="s">
        <v>898</v>
      </c>
      <c r="E601" s="199"/>
      <c r="F601" s="193" t="s">
        <v>204</v>
      </c>
      <c r="G601" s="223">
        <v>46122.0</v>
      </c>
      <c r="H601" s="193">
        <v>288.0</v>
      </c>
      <c r="I601" s="223">
        <v>46122.0</v>
      </c>
      <c r="J601" s="193" t="s">
        <v>917</v>
      </c>
      <c r="K601" s="193" t="s">
        <v>206</v>
      </c>
      <c r="L601" s="359" t="s">
        <v>147</v>
      </c>
      <c r="M601" s="199"/>
      <c r="N601" s="193" t="s">
        <v>227</v>
      </c>
      <c r="O601" s="193" t="s">
        <v>206</v>
      </c>
      <c r="P601" s="193" t="s">
        <v>206</v>
      </c>
      <c r="Q601" s="199"/>
      <c r="R601" s="193" t="s">
        <v>900</v>
      </c>
      <c r="S601" s="193" t="s">
        <v>44</v>
      </c>
      <c r="T601" s="193" t="s">
        <v>901</v>
      </c>
      <c r="U601" s="193" t="s">
        <v>989</v>
      </c>
      <c r="V601" s="193" t="s">
        <v>892</v>
      </c>
      <c r="W601" s="193" t="s">
        <v>212</v>
      </c>
      <c r="X601" s="193" t="s">
        <v>213</v>
      </c>
      <c r="Y601" s="200">
        <v>3.0</v>
      </c>
      <c r="Z601" s="202" t="s">
        <v>214</v>
      </c>
      <c r="AA601" s="202" t="s">
        <v>234</v>
      </c>
      <c r="AB601" s="221"/>
      <c r="AC601" s="203">
        <v>297806.17</v>
      </c>
      <c r="AD601" s="285">
        <v>46138.0</v>
      </c>
      <c r="AE601" s="204">
        <v>46291.0</v>
      </c>
      <c r="AF601" s="205"/>
      <c r="AG601" s="219"/>
      <c r="AH601" s="206"/>
      <c r="AI601" s="206"/>
      <c r="AJ601" s="206"/>
      <c r="AK601" s="206"/>
      <c r="AL601" s="206"/>
      <c r="AM601" s="206"/>
      <c r="AN601" s="206"/>
      <c r="AO601" s="206"/>
    </row>
    <row r="602">
      <c r="A602" s="193">
        <v>19600.0</v>
      </c>
      <c r="B602" s="232" t="s">
        <v>264</v>
      </c>
      <c r="C602" s="193">
        <v>2026.0</v>
      </c>
      <c r="D602" s="199"/>
      <c r="E602" s="199"/>
      <c r="F602" s="193" t="s">
        <v>272</v>
      </c>
      <c r="G602" s="248"/>
      <c r="H602" s="199"/>
      <c r="I602" s="220"/>
      <c r="J602" s="199"/>
      <c r="K602" s="193" t="s">
        <v>206</v>
      </c>
      <c r="L602" s="359" t="s">
        <v>147</v>
      </c>
      <c r="M602" s="199"/>
      <c r="N602" s="193" t="s">
        <v>207</v>
      </c>
      <c r="O602" s="193" t="s">
        <v>206</v>
      </c>
      <c r="P602" s="193" t="s">
        <v>206</v>
      </c>
      <c r="Q602" s="199"/>
      <c r="R602" s="193" t="s">
        <v>965</v>
      </c>
      <c r="S602" s="193" t="s">
        <v>45</v>
      </c>
      <c r="T602" s="193" t="s">
        <v>966</v>
      </c>
      <c r="U602" s="193" t="s">
        <v>990</v>
      </c>
      <c r="V602" s="193" t="s">
        <v>892</v>
      </c>
      <c r="W602" s="193" t="s">
        <v>212</v>
      </c>
      <c r="X602" s="193" t="s">
        <v>213</v>
      </c>
      <c r="Y602" s="200">
        <v>3.0</v>
      </c>
      <c r="Z602" s="202" t="s">
        <v>214</v>
      </c>
      <c r="AA602" s="202" t="s">
        <v>215</v>
      </c>
      <c r="AB602" s="203" t="s">
        <v>275</v>
      </c>
      <c r="AC602" s="203" t="s">
        <v>275</v>
      </c>
      <c r="AD602" s="203" t="s">
        <v>367</v>
      </c>
      <c r="AE602" s="193" t="s">
        <v>367</v>
      </c>
      <c r="AF602" s="226" t="s">
        <v>556</v>
      </c>
      <c r="AG602" s="219"/>
      <c r="AH602" s="206"/>
      <c r="AI602" s="206"/>
      <c r="AJ602" s="206"/>
      <c r="AK602" s="206"/>
      <c r="AL602" s="206"/>
      <c r="AM602" s="206"/>
      <c r="AN602" s="206"/>
      <c r="AO602" s="206"/>
    </row>
    <row r="603">
      <c r="A603" s="193">
        <v>19620.0</v>
      </c>
      <c r="B603" s="232" t="s">
        <v>264</v>
      </c>
      <c r="C603" s="193">
        <v>2026.0</v>
      </c>
      <c r="D603" s="199"/>
      <c r="E603" s="199"/>
      <c r="F603" s="193" t="s">
        <v>272</v>
      </c>
      <c r="G603" s="248"/>
      <c r="H603" s="199"/>
      <c r="I603" s="220"/>
      <c r="J603" s="199"/>
      <c r="K603" s="193" t="s">
        <v>206</v>
      </c>
      <c r="L603" s="359" t="s">
        <v>147</v>
      </c>
      <c r="M603" s="199"/>
      <c r="N603" s="193" t="s">
        <v>207</v>
      </c>
      <c r="O603" s="193" t="s">
        <v>206</v>
      </c>
      <c r="P603" s="193" t="s">
        <v>206</v>
      </c>
      <c r="Q603" s="199"/>
      <c r="R603" s="193" t="s">
        <v>965</v>
      </c>
      <c r="S603" s="193" t="s">
        <v>45</v>
      </c>
      <c r="T603" s="193" t="s">
        <v>966</v>
      </c>
      <c r="U603" s="193" t="s">
        <v>991</v>
      </c>
      <c r="V603" s="193" t="s">
        <v>892</v>
      </c>
      <c r="W603" s="193" t="s">
        <v>212</v>
      </c>
      <c r="X603" s="193" t="s">
        <v>213</v>
      </c>
      <c r="Y603" s="200">
        <v>3.0</v>
      </c>
      <c r="Z603" s="202" t="s">
        <v>214</v>
      </c>
      <c r="AA603" s="202" t="s">
        <v>215</v>
      </c>
      <c r="AB603" s="203" t="s">
        <v>275</v>
      </c>
      <c r="AC603" s="203" t="s">
        <v>275</v>
      </c>
      <c r="AD603" s="203" t="s">
        <v>367</v>
      </c>
      <c r="AE603" s="193" t="s">
        <v>367</v>
      </c>
      <c r="AF603" s="226" t="s">
        <v>556</v>
      </c>
      <c r="AG603" s="219"/>
      <c r="AH603" s="219"/>
      <c r="AI603" s="219"/>
      <c r="AJ603" s="219"/>
      <c r="AK603" s="219"/>
      <c r="AL603" s="219"/>
      <c r="AM603" s="219"/>
      <c r="AN603" s="219"/>
      <c r="AO603" s="219"/>
    </row>
    <row r="604">
      <c r="A604" s="193">
        <v>19640.0</v>
      </c>
      <c r="B604" s="194" t="s">
        <v>203</v>
      </c>
      <c r="C604" s="193">
        <v>2026.0</v>
      </c>
      <c r="D604" s="195">
        <v>2048.0</v>
      </c>
      <c r="E604" s="199"/>
      <c r="F604" s="199"/>
      <c r="G604" s="248"/>
      <c r="H604" s="199"/>
      <c r="I604" s="220"/>
      <c r="J604" s="199"/>
      <c r="K604" s="193" t="s">
        <v>206</v>
      </c>
      <c r="L604" s="194" t="s">
        <v>144</v>
      </c>
      <c r="M604" s="199"/>
      <c r="N604" s="193" t="s">
        <v>207</v>
      </c>
      <c r="O604" s="193" t="s">
        <v>206</v>
      </c>
      <c r="P604" s="193" t="s">
        <v>206</v>
      </c>
      <c r="Q604" s="199"/>
      <c r="R604" s="193" t="s">
        <v>279</v>
      </c>
      <c r="S604" s="193" t="s">
        <v>50</v>
      </c>
      <c r="T604" s="193" t="s">
        <v>992</v>
      </c>
      <c r="U604" s="193" t="s">
        <v>993</v>
      </c>
      <c r="V604" s="193" t="s">
        <v>50</v>
      </c>
      <c r="W604" s="193" t="s">
        <v>264</v>
      </c>
      <c r="X604" s="193" t="s">
        <v>232</v>
      </c>
      <c r="Y604" s="200">
        <v>4.0</v>
      </c>
      <c r="Z604" s="202" t="s">
        <v>531</v>
      </c>
      <c r="AA604" s="202" t="s">
        <v>215</v>
      </c>
      <c r="AB604" s="203">
        <v>756764.18</v>
      </c>
      <c r="AC604" s="203">
        <v>756764.18</v>
      </c>
      <c r="AD604" s="204">
        <v>46352.0</v>
      </c>
      <c r="AE604" s="204">
        <v>46382.0</v>
      </c>
      <c r="AF604" s="226" t="s">
        <v>994</v>
      </c>
      <c r="AG604" s="219"/>
      <c r="AH604" s="206"/>
      <c r="AI604" s="206"/>
      <c r="AJ604" s="206"/>
      <c r="AK604" s="206"/>
      <c r="AL604" s="206"/>
      <c r="AM604" s="206"/>
      <c r="AN604" s="206"/>
      <c r="AO604" s="206"/>
    </row>
    <row r="605">
      <c r="A605" s="193">
        <v>19641.0</v>
      </c>
      <c r="B605" s="194" t="s">
        <v>203</v>
      </c>
      <c r="C605" s="193">
        <v>2026.0</v>
      </c>
      <c r="D605" s="195">
        <v>2048.0</v>
      </c>
      <c r="E605" s="199"/>
      <c r="F605" s="224" t="s">
        <v>204</v>
      </c>
      <c r="G605" s="361">
        <v>46118.0</v>
      </c>
      <c r="H605" s="208">
        <v>242.0</v>
      </c>
      <c r="I605" s="283">
        <v>46118.0</v>
      </c>
      <c r="J605" s="208" t="s">
        <v>995</v>
      </c>
      <c r="K605" s="193" t="s">
        <v>206</v>
      </c>
      <c r="L605" s="194" t="s">
        <v>144</v>
      </c>
      <c r="M605" s="199"/>
      <c r="N605" s="193" t="s">
        <v>207</v>
      </c>
      <c r="O605" s="193" t="s">
        <v>206</v>
      </c>
      <c r="P605" s="193" t="s">
        <v>206</v>
      </c>
      <c r="Q605" s="199"/>
      <c r="R605" s="193" t="s">
        <v>279</v>
      </c>
      <c r="S605" s="193" t="s">
        <v>50</v>
      </c>
      <c r="T605" s="193" t="s">
        <v>996</v>
      </c>
      <c r="U605" s="193" t="s">
        <v>993</v>
      </c>
      <c r="V605" s="193" t="s">
        <v>50</v>
      </c>
      <c r="W605" s="193" t="s">
        <v>264</v>
      </c>
      <c r="X605" s="193" t="s">
        <v>232</v>
      </c>
      <c r="Y605" s="200">
        <v>4.0</v>
      </c>
      <c r="Z605" s="202" t="s">
        <v>531</v>
      </c>
      <c r="AA605" s="202" t="s">
        <v>215</v>
      </c>
      <c r="AB605" s="203">
        <v>838718.58</v>
      </c>
      <c r="AC605" s="203">
        <v>838718.58</v>
      </c>
      <c r="AD605" s="258">
        <v>46138.0</v>
      </c>
      <c r="AE605" s="204">
        <v>46352.0</v>
      </c>
      <c r="AF605" s="205"/>
      <c r="AG605" s="206"/>
      <c r="AH605" s="206"/>
      <c r="AI605" s="206"/>
      <c r="AJ605" s="206"/>
      <c r="AK605" s="206"/>
      <c r="AL605" s="206"/>
      <c r="AM605" s="206"/>
      <c r="AN605" s="206"/>
      <c r="AO605" s="206"/>
    </row>
    <row r="606">
      <c r="A606" s="193">
        <v>19642.0</v>
      </c>
      <c r="B606" s="194" t="s">
        <v>203</v>
      </c>
      <c r="C606" s="193">
        <v>2026.0</v>
      </c>
      <c r="D606" s="195">
        <v>2048.0</v>
      </c>
      <c r="E606" s="199"/>
      <c r="F606" s="224" t="s">
        <v>204</v>
      </c>
      <c r="G606" s="223">
        <v>46118.0</v>
      </c>
      <c r="H606" s="208">
        <v>244.0</v>
      </c>
      <c r="I606" s="283">
        <v>46118.0</v>
      </c>
      <c r="J606" s="193" t="s">
        <v>997</v>
      </c>
      <c r="K606" s="193" t="s">
        <v>206</v>
      </c>
      <c r="L606" s="194" t="s">
        <v>144</v>
      </c>
      <c r="M606" s="199"/>
      <c r="N606" s="193" t="s">
        <v>475</v>
      </c>
      <c r="O606" s="193" t="s">
        <v>206</v>
      </c>
      <c r="P606" s="193" t="s">
        <v>206</v>
      </c>
      <c r="Q606" s="199"/>
      <c r="R606" s="193" t="s">
        <v>279</v>
      </c>
      <c r="S606" s="193" t="s">
        <v>50</v>
      </c>
      <c r="T606" s="193" t="s">
        <v>998</v>
      </c>
      <c r="U606" s="193" t="s">
        <v>993</v>
      </c>
      <c r="V606" s="193" t="s">
        <v>50</v>
      </c>
      <c r="W606" s="193" t="s">
        <v>264</v>
      </c>
      <c r="X606" s="193" t="s">
        <v>232</v>
      </c>
      <c r="Y606" s="200">
        <v>4.0</v>
      </c>
      <c r="Z606" s="202" t="s">
        <v>531</v>
      </c>
      <c r="AA606" s="202" t="s">
        <v>215</v>
      </c>
      <c r="AB606" s="203">
        <v>24517.24</v>
      </c>
      <c r="AC606" s="203">
        <v>24517.24</v>
      </c>
      <c r="AD606" s="258">
        <v>46138.0</v>
      </c>
      <c r="AE606" s="204">
        <v>46352.0</v>
      </c>
      <c r="AF606" s="205"/>
      <c r="AG606" s="219"/>
      <c r="AH606" s="206"/>
      <c r="AI606" s="206"/>
      <c r="AJ606" s="206"/>
      <c r="AK606" s="206"/>
      <c r="AL606" s="206"/>
      <c r="AM606" s="206"/>
      <c r="AN606" s="206"/>
      <c r="AO606" s="206"/>
    </row>
    <row r="607">
      <c r="A607" s="193">
        <v>19660.0</v>
      </c>
      <c r="B607" s="232" t="s">
        <v>264</v>
      </c>
      <c r="C607" s="193">
        <v>2026.0</v>
      </c>
      <c r="D607" s="199"/>
      <c r="E607" s="199"/>
      <c r="F607" s="199"/>
      <c r="G607" s="266"/>
      <c r="H607" s="199"/>
      <c r="I607" s="220"/>
      <c r="J607" s="199"/>
      <c r="K607" s="193" t="s">
        <v>206</v>
      </c>
      <c r="L607" s="232" t="s">
        <v>146</v>
      </c>
      <c r="M607" s="199"/>
      <c r="N607" s="193" t="s">
        <v>207</v>
      </c>
      <c r="O607" s="193" t="s">
        <v>206</v>
      </c>
      <c r="P607" s="193" t="s">
        <v>206</v>
      </c>
      <c r="Q607" s="199"/>
      <c r="R607" s="193" t="s">
        <v>279</v>
      </c>
      <c r="S607" s="193" t="s">
        <v>50</v>
      </c>
      <c r="T607" s="193" t="s">
        <v>992</v>
      </c>
      <c r="U607" s="193" t="s">
        <v>999</v>
      </c>
      <c r="V607" s="193" t="s">
        <v>50</v>
      </c>
      <c r="W607" s="193" t="s">
        <v>264</v>
      </c>
      <c r="X607" s="193" t="s">
        <v>232</v>
      </c>
      <c r="Y607" s="200">
        <v>4.0</v>
      </c>
      <c r="Z607" s="202" t="s">
        <v>531</v>
      </c>
      <c r="AA607" s="202" t="s">
        <v>215</v>
      </c>
      <c r="AB607" s="203">
        <v>3132000.0</v>
      </c>
      <c r="AC607" s="203">
        <v>3132000.0</v>
      </c>
      <c r="AD607" s="276">
        <v>46291.0</v>
      </c>
      <c r="AE607" s="204">
        <v>46352.0</v>
      </c>
      <c r="AF607" s="205"/>
      <c r="AG607" s="219"/>
      <c r="AH607" s="219"/>
      <c r="AI607" s="219"/>
      <c r="AJ607" s="219"/>
      <c r="AK607" s="219"/>
      <c r="AL607" s="219"/>
      <c r="AM607" s="219"/>
      <c r="AN607" s="219"/>
      <c r="AO607" s="219"/>
    </row>
    <row r="608">
      <c r="A608" s="193">
        <v>19680.0</v>
      </c>
      <c r="B608" s="232" t="s">
        <v>264</v>
      </c>
      <c r="C608" s="193">
        <v>2026.0</v>
      </c>
      <c r="D608" s="359" t="s">
        <v>898</v>
      </c>
      <c r="E608" s="199"/>
      <c r="F608" s="199"/>
      <c r="G608" s="248"/>
      <c r="H608" s="199"/>
      <c r="I608" s="233"/>
      <c r="J608" s="199"/>
      <c r="K608" s="193" t="s">
        <v>206</v>
      </c>
      <c r="L608" s="359" t="s">
        <v>147</v>
      </c>
      <c r="M608" s="199"/>
      <c r="N608" s="193" t="s">
        <v>227</v>
      </c>
      <c r="O608" s="193" t="s">
        <v>206</v>
      </c>
      <c r="P608" s="193" t="s">
        <v>206</v>
      </c>
      <c r="Q608" s="199"/>
      <c r="R608" s="193" t="s">
        <v>900</v>
      </c>
      <c r="S608" s="193" t="s">
        <v>44</v>
      </c>
      <c r="T608" s="193" t="s">
        <v>229</v>
      </c>
      <c r="U608" s="193" t="s">
        <v>1000</v>
      </c>
      <c r="V608" s="193" t="s">
        <v>231</v>
      </c>
      <c r="W608" s="193" t="s">
        <v>212</v>
      </c>
      <c r="X608" s="193" t="s">
        <v>232</v>
      </c>
      <c r="Y608" s="200">
        <v>3.0</v>
      </c>
      <c r="Z608" s="202" t="s">
        <v>233</v>
      </c>
      <c r="AA608" s="202" t="s">
        <v>234</v>
      </c>
      <c r="AB608" s="221"/>
      <c r="AC608" s="203">
        <v>765000.0</v>
      </c>
      <c r="AD608" s="204">
        <v>46291.0</v>
      </c>
      <c r="AE608" s="204">
        <v>46352.0</v>
      </c>
      <c r="AF608" s="205"/>
      <c r="AG608" s="219"/>
      <c r="AH608" s="206"/>
      <c r="AI608" s="206"/>
      <c r="AJ608" s="206"/>
      <c r="AK608" s="206"/>
      <c r="AL608" s="206"/>
      <c r="AM608" s="206"/>
      <c r="AN608" s="206"/>
      <c r="AO608" s="206"/>
    </row>
    <row r="609">
      <c r="A609" s="193">
        <v>19700.0</v>
      </c>
      <c r="B609" s="194" t="s">
        <v>203</v>
      </c>
      <c r="C609" s="193">
        <v>2026.0</v>
      </c>
      <c r="D609" s="359" t="s">
        <v>898</v>
      </c>
      <c r="E609" s="193">
        <v>13.0</v>
      </c>
      <c r="F609" s="199"/>
      <c r="G609" s="248"/>
      <c r="H609" s="199"/>
      <c r="I609" s="233"/>
      <c r="J609" s="199"/>
      <c r="K609" s="193" t="s">
        <v>206</v>
      </c>
      <c r="L609" s="359" t="s">
        <v>147</v>
      </c>
      <c r="M609" s="199"/>
      <c r="N609" s="193" t="s">
        <v>227</v>
      </c>
      <c r="O609" s="193" t="s">
        <v>206</v>
      </c>
      <c r="P609" s="193" t="s">
        <v>206</v>
      </c>
      <c r="Q609" s="199"/>
      <c r="R609" s="193" t="s">
        <v>900</v>
      </c>
      <c r="S609" s="193" t="s">
        <v>44</v>
      </c>
      <c r="T609" s="193" t="s">
        <v>229</v>
      </c>
      <c r="U609" s="193" t="s">
        <v>1001</v>
      </c>
      <c r="V609" s="193" t="s">
        <v>892</v>
      </c>
      <c r="W609" s="193" t="s">
        <v>212</v>
      </c>
      <c r="X609" s="193" t="s">
        <v>232</v>
      </c>
      <c r="Y609" s="200">
        <v>3.0</v>
      </c>
      <c r="Z609" s="202" t="s">
        <v>233</v>
      </c>
      <c r="AA609" s="202" t="s">
        <v>234</v>
      </c>
      <c r="AB609" s="221"/>
      <c r="AC609" s="203">
        <v>110719.63</v>
      </c>
      <c r="AD609" s="204">
        <v>46260.0</v>
      </c>
      <c r="AE609" s="204">
        <v>46352.0</v>
      </c>
      <c r="AF609" s="226" t="s">
        <v>1002</v>
      </c>
      <c r="AG609" s="219"/>
      <c r="AH609" s="206"/>
      <c r="AI609" s="206"/>
      <c r="AJ609" s="206"/>
      <c r="AK609" s="206"/>
      <c r="AL609" s="206"/>
      <c r="AM609" s="206"/>
      <c r="AN609" s="206"/>
      <c r="AO609" s="206"/>
    </row>
    <row r="610">
      <c r="A610" s="193">
        <v>19701.0</v>
      </c>
      <c r="B610" s="194" t="s">
        <v>203</v>
      </c>
      <c r="C610" s="193">
        <v>2026.0</v>
      </c>
      <c r="D610" s="359" t="s">
        <v>898</v>
      </c>
      <c r="E610" s="193">
        <v>13.0</v>
      </c>
      <c r="F610" s="193" t="s">
        <v>204</v>
      </c>
      <c r="G610" s="230">
        <v>46281.0</v>
      </c>
      <c r="H610" s="193">
        <v>14361.0</v>
      </c>
      <c r="I610" s="223">
        <v>46281.0</v>
      </c>
      <c r="J610" s="193" t="s">
        <v>404</v>
      </c>
      <c r="K610" s="193" t="s">
        <v>206</v>
      </c>
      <c r="L610" s="359" t="s">
        <v>147</v>
      </c>
      <c r="M610" s="199"/>
      <c r="N610" s="193" t="s">
        <v>227</v>
      </c>
      <c r="O610" s="193" t="s">
        <v>206</v>
      </c>
      <c r="P610" s="193" t="s">
        <v>206</v>
      </c>
      <c r="Q610" s="199"/>
      <c r="R610" s="193" t="s">
        <v>900</v>
      </c>
      <c r="S610" s="193" t="s">
        <v>44</v>
      </c>
      <c r="T610" s="193" t="s">
        <v>229</v>
      </c>
      <c r="U610" s="193" t="s">
        <v>1001</v>
      </c>
      <c r="V610" s="193" t="s">
        <v>892</v>
      </c>
      <c r="W610" s="193" t="s">
        <v>212</v>
      </c>
      <c r="X610" s="193" t="s">
        <v>232</v>
      </c>
      <c r="Y610" s="200">
        <v>3.0</v>
      </c>
      <c r="Z610" s="202" t="s">
        <v>233</v>
      </c>
      <c r="AA610" s="202" t="s">
        <v>234</v>
      </c>
      <c r="AB610" s="203">
        <v>103343.17</v>
      </c>
      <c r="AC610" s="203">
        <v>528910.37</v>
      </c>
      <c r="AD610" s="204">
        <v>46260.0</v>
      </c>
      <c r="AE610" s="204">
        <v>46352.0</v>
      </c>
      <c r="AF610" s="205"/>
      <c r="AG610" s="219"/>
      <c r="AH610" s="206"/>
      <c r="AI610" s="206"/>
      <c r="AJ610" s="206"/>
      <c r="AK610" s="206"/>
      <c r="AL610" s="206"/>
      <c r="AM610" s="206"/>
      <c r="AN610" s="206"/>
      <c r="AO610" s="206"/>
    </row>
    <row r="611">
      <c r="A611" s="193">
        <v>19720.0</v>
      </c>
      <c r="B611" s="194" t="s">
        <v>203</v>
      </c>
      <c r="C611" s="193">
        <v>2026.0</v>
      </c>
      <c r="D611" s="359" t="s">
        <v>898</v>
      </c>
      <c r="E611" s="199"/>
      <c r="F611" s="199"/>
      <c r="G611" s="248"/>
      <c r="H611" s="199"/>
      <c r="I611" s="220"/>
      <c r="J611" s="199"/>
      <c r="K611" s="193" t="s">
        <v>206</v>
      </c>
      <c r="L611" s="359" t="s">
        <v>147</v>
      </c>
      <c r="M611" s="199"/>
      <c r="N611" s="193" t="s">
        <v>227</v>
      </c>
      <c r="O611" s="193" t="s">
        <v>206</v>
      </c>
      <c r="P611" s="193" t="s">
        <v>206</v>
      </c>
      <c r="Q611" s="199"/>
      <c r="R611" s="193" t="s">
        <v>900</v>
      </c>
      <c r="S611" s="193" t="s">
        <v>44</v>
      </c>
      <c r="T611" s="193" t="s">
        <v>229</v>
      </c>
      <c r="U611" s="193" t="s">
        <v>1003</v>
      </c>
      <c r="V611" s="193" t="s">
        <v>892</v>
      </c>
      <c r="W611" s="193" t="s">
        <v>212</v>
      </c>
      <c r="X611" s="193" t="s">
        <v>232</v>
      </c>
      <c r="Y611" s="200">
        <v>3.0</v>
      </c>
      <c r="Z611" s="202" t="s">
        <v>233</v>
      </c>
      <c r="AA611" s="202" t="s">
        <v>234</v>
      </c>
      <c r="AB611" s="221"/>
      <c r="AC611" s="203">
        <v>121775.14</v>
      </c>
      <c r="AD611" s="204">
        <v>46291.0</v>
      </c>
      <c r="AE611" s="204">
        <v>46352.0</v>
      </c>
      <c r="AF611" s="226" t="s">
        <v>1004</v>
      </c>
      <c r="AG611" s="219"/>
      <c r="AH611" s="219"/>
      <c r="AI611" s="219"/>
      <c r="AJ611" s="219"/>
      <c r="AK611" s="219"/>
      <c r="AL611" s="219"/>
      <c r="AM611" s="219"/>
      <c r="AN611" s="219"/>
      <c r="AO611" s="219"/>
    </row>
    <row r="612">
      <c r="A612" s="193">
        <v>19721.0</v>
      </c>
      <c r="B612" s="232" t="s">
        <v>264</v>
      </c>
      <c r="C612" s="193">
        <v>2026.0</v>
      </c>
      <c r="D612" s="199"/>
      <c r="E612" s="199"/>
      <c r="F612" s="199"/>
      <c r="G612" s="248"/>
      <c r="H612" s="199"/>
      <c r="I612" s="220"/>
      <c r="J612" s="199"/>
      <c r="K612" s="193" t="s">
        <v>206</v>
      </c>
      <c r="L612" s="359" t="s">
        <v>147</v>
      </c>
      <c r="M612" s="199"/>
      <c r="N612" s="193" t="s">
        <v>227</v>
      </c>
      <c r="O612" s="193" t="s">
        <v>206</v>
      </c>
      <c r="P612" s="193" t="s">
        <v>206</v>
      </c>
      <c r="Q612" s="199"/>
      <c r="R612" s="193" t="s">
        <v>900</v>
      </c>
      <c r="S612" s="193" t="s">
        <v>44</v>
      </c>
      <c r="T612" s="193" t="s">
        <v>229</v>
      </c>
      <c r="U612" s="193" t="s">
        <v>1003</v>
      </c>
      <c r="V612" s="193" t="s">
        <v>892</v>
      </c>
      <c r="W612" s="193" t="s">
        <v>212</v>
      </c>
      <c r="X612" s="193" t="s">
        <v>232</v>
      </c>
      <c r="Y612" s="200">
        <v>3.0</v>
      </c>
      <c r="Z612" s="202" t="s">
        <v>233</v>
      </c>
      <c r="AA612" s="202" t="s">
        <v>234</v>
      </c>
      <c r="AB612" s="221"/>
      <c r="AC612" s="203">
        <v>1730724.86</v>
      </c>
      <c r="AD612" s="204">
        <v>46291.0</v>
      </c>
      <c r="AE612" s="204">
        <v>46352.0</v>
      </c>
      <c r="AF612" s="205"/>
      <c r="AG612" s="219"/>
      <c r="AH612" s="206"/>
      <c r="AI612" s="206"/>
      <c r="AJ612" s="206"/>
      <c r="AK612" s="206"/>
      <c r="AL612" s="206"/>
      <c r="AM612" s="206"/>
      <c r="AN612" s="206"/>
      <c r="AO612" s="206"/>
    </row>
    <row r="613">
      <c r="A613" s="193">
        <v>19740.0</v>
      </c>
      <c r="B613" s="194" t="s">
        <v>203</v>
      </c>
      <c r="C613" s="193">
        <v>2026.0</v>
      </c>
      <c r="D613" s="359" t="s">
        <v>898</v>
      </c>
      <c r="E613" s="199"/>
      <c r="F613" s="193" t="s">
        <v>204</v>
      </c>
      <c r="G613" s="230">
        <v>46255.0</v>
      </c>
      <c r="H613" s="252">
        <v>12765.0</v>
      </c>
      <c r="I613" s="223">
        <v>46255.0</v>
      </c>
      <c r="J613" s="193" t="s">
        <v>951</v>
      </c>
      <c r="K613" s="193" t="s">
        <v>206</v>
      </c>
      <c r="L613" s="359" t="s">
        <v>147</v>
      </c>
      <c r="M613" s="199"/>
      <c r="N613" s="193" t="s">
        <v>227</v>
      </c>
      <c r="O613" s="193" t="s">
        <v>206</v>
      </c>
      <c r="P613" s="193" t="s">
        <v>206</v>
      </c>
      <c r="Q613" s="199"/>
      <c r="R613" s="193" t="s">
        <v>900</v>
      </c>
      <c r="S613" s="193" t="s">
        <v>44</v>
      </c>
      <c r="T613" s="193" t="s">
        <v>901</v>
      </c>
      <c r="U613" s="193" t="s">
        <v>1005</v>
      </c>
      <c r="V613" s="193" t="s">
        <v>892</v>
      </c>
      <c r="W613" s="193" t="s">
        <v>212</v>
      </c>
      <c r="X613" s="193" t="s">
        <v>213</v>
      </c>
      <c r="Y613" s="200">
        <v>3.0</v>
      </c>
      <c r="Z613" s="202" t="s">
        <v>214</v>
      </c>
      <c r="AA613" s="202" t="s">
        <v>234</v>
      </c>
      <c r="AB613" s="203">
        <v>25767.86</v>
      </c>
      <c r="AC613" s="203">
        <v>132289.63</v>
      </c>
      <c r="AD613" s="204">
        <v>46199.0</v>
      </c>
      <c r="AE613" s="204">
        <v>46260.0</v>
      </c>
      <c r="AF613" s="226" t="s">
        <v>268</v>
      </c>
      <c r="AG613" s="219"/>
      <c r="AH613" s="206"/>
      <c r="AI613" s="206"/>
      <c r="AJ613" s="206"/>
      <c r="AK613" s="206"/>
      <c r="AL613" s="206"/>
      <c r="AM613" s="206"/>
      <c r="AN613" s="206"/>
      <c r="AO613" s="206"/>
    </row>
    <row r="614">
      <c r="A614" s="193">
        <v>19741.0</v>
      </c>
      <c r="B614" s="194" t="s">
        <v>203</v>
      </c>
      <c r="C614" s="193">
        <v>2026.0</v>
      </c>
      <c r="D614" s="359" t="s">
        <v>898</v>
      </c>
      <c r="E614" s="199"/>
      <c r="F614" s="193" t="s">
        <v>204</v>
      </c>
      <c r="G614" s="230">
        <v>46121.0</v>
      </c>
      <c r="H614" s="193">
        <v>286.0</v>
      </c>
      <c r="I614" s="223">
        <v>46121.0</v>
      </c>
      <c r="J614" s="193" t="s">
        <v>899</v>
      </c>
      <c r="K614" s="193" t="s">
        <v>206</v>
      </c>
      <c r="L614" s="359" t="s">
        <v>147</v>
      </c>
      <c r="M614" s="199"/>
      <c r="N614" s="193" t="s">
        <v>227</v>
      </c>
      <c r="O614" s="193" t="s">
        <v>206</v>
      </c>
      <c r="P614" s="193" t="s">
        <v>206</v>
      </c>
      <c r="Q614" s="199"/>
      <c r="R614" s="193" t="s">
        <v>900</v>
      </c>
      <c r="S614" s="193" t="s">
        <v>44</v>
      </c>
      <c r="T614" s="193" t="s">
        <v>901</v>
      </c>
      <c r="U614" s="193" t="s">
        <v>1005</v>
      </c>
      <c r="V614" s="193" t="s">
        <v>892</v>
      </c>
      <c r="W614" s="193" t="s">
        <v>212</v>
      </c>
      <c r="X614" s="193" t="s">
        <v>213</v>
      </c>
      <c r="Y614" s="200">
        <v>3.0</v>
      </c>
      <c r="Z614" s="202" t="s">
        <v>214</v>
      </c>
      <c r="AA614" s="202" t="s">
        <v>234</v>
      </c>
      <c r="AB614" s="221"/>
      <c r="AC614" s="203">
        <v>356876.28</v>
      </c>
      <c r="AD614" s="258">
        <v>46138.0</v>
      </c>
      <c r="AE614" s="204">
        <v>46382.0</v>
      </c>
      <c r="AF614" s="205"/>
      <c r="AG614" s="219"/>
      <c r="AH614" s="206"/>
      <c r="AI614" s="206"/>
      <c r="AJ614" s="206"/>
      <c r="AK614" s="206"/>
      <c r="AL614" s="206"/>
      <c r="AM614" s="206"/>
      <c r="AN614" s="206"/>
      <c r="AO614" s="206"/>
    </row>
    <row r="615">
      <c r="A615" s="193">
        <v>19742.0</v>
      </c>
      <c r="B615" s="194" t="s">
        <v>203</v>
      </c>
      <c r="C615" s="193">
        <v>2026.0</v>
      </c>
      <c r="D615" s="359" t="s">
        <v>898</v>
      </c>
      <c r="E615" s="199"/>
      <c r="F615" s="193" t="s">
        <v>204</v>
      </c>
      <c r="G615" s="223">
        <v>46205.0</v>
      </c>
      <c r="H615" s="193">
        <v>533.0</v>
      </c>
      <c r="I615" s="223">
        <v>46205.0</v>
      </c>
      <c r="J615" s="193" t="s">
        <v>917</v>
      </c>
      <c r="K615" s="193" t="s">
        <v>206</v>
      </c>
      <c r="L615" s="359" t="s">
        <v>147</v>
      </c>
      <c r="M615" s="199"/>
      <c r="N615" s="193" t="s">
        <v>227</v>
      </c>
      <c r="O615" s="193" t="s">
        <v>206</v>
      </c>
      <c r="P615" s="193" t="s">
        <v>206</v>
      </c>
      <c r="Q615" s="199"/>
      <c r="R615" s="193" t="s">
        <v>900</v>
      </c>
      <c r="S615" s="193" t="s">
        <v>44</v>
      </c>
      <c r="T615" s="193" t="s">
        <v>901</v>
      </c>
      <c r="U615" s="193" t="s">
        <v>1005</v>
      </c>
      <c r="V615" s="193" t="s">
        <v>892</v>
      </c>
      <c r="W615" s="193" t="s">
        <v>212</v>
      </c>
      <c r="X615" s="193" t="s">
        <v>213</v>
      </c>
      <c r="Y615" s="200">
        <v>3.0</v>
      </c>
      <c r="Z615" s="202" t="s">
        <v>214</v>
      </c>
      <c r="AA615" s="202" t="s">
        <v>215</v>
      </c>
      <c r="AB615" s="221"/>
      <c r="AC615" s="203">
        <v>155811.0</v>
      </c>
      <c r="AD615" s="204">
        <v>46229.0</v>
      </c>
      <c r="AE615" s="204">
        <v>46260.0</v>
      </c>
      <c r="AF615" s="226" t="s">
        <v>268</v>
      </c>
      <c r="AG615" s="219"/>
      <c r="AH615" s="206"/>
      <c r="AI615" s="206"/>
      <c r="AJ615" s="206"/>
      <c r="AK615" s="206"/>
      <c r="AL615" s="206"/>
      <c r="AM615" s="206"/>
      <c r="AN615" s="206"/>
      <c r="AO615" s="206"/>
    </row>
    <row r="616">
      <c r="A616" s="193">
        <v>19760.0</v>
      </c>
      <c r="B616" s="232" t="s">
        <v>264</v>
      </c>
      <c r="C616" s="193">
        <v>2026.0</v>
      </c>
      <c r="D616" s="199"/>
      <c r="E616" s="199"/>
      <c r="F616" s="199"/>
      <c r="G616" s="248"/>
      <c r="H616" s="199"/>
      <c r="I616" s="220"/>
      <c r="J616" s="199"/>
      <c r="K616" s="193" t="s">
        <v>206</v>
      </c>
      <c r="L616" s="232" t="s">
        <v>146</v>
      </c>
      <c r="M616" s="199"/>
      <c r="N616" s="193" t="s">
        <v>227</v>
      </c>
      <c r="O616" s="193" t="s">
        <v>206</v>
      </c>
      <c r="P616" s="193" t="s">
        <v>206</v>
      </c>
      <c r="Q616" s="199"/>
      <c r="R616" s="193" t="s">
        <v>228</v>
      </c>
      <c r="S616" s="193" t="s">
        <v>47</v>
      </c>
      <c r="T616" s="193" t="s">
        <v>229</v>
      </c>
      <c r="U616" s="193" t="s">
        <v>1006</v>
      </c>
      <c r="V616" s="193" t="s">
        <v>50</v>
      </c>
      <c r="W616" s="193" t="s">
        <v>212</v>
      </c>
      <c r="X616" s="193" t="s">
        <v>232</v>
      </c>
      <c r="Y616" s="200">
        <v>4.0</v>
      </c>
      <c r="Z616" s="202" t="s">
        <v>531</v>
      </c>
      <c r="AA616" s="202" t="s">
        <v>234</v>
      </c>
      <c r="AB616" s="221"/>
      <c r="AC616" s="203">
        <v>20000.0</v>
      </c>
      <c r="AD616" s="204">
        <v>46107.0</v>
      </c>
      <c r="AE616" s="204">
        <v>46168.0</v>
      </c>
      <c r="AF616" s="205"/>
      <c r="AG616" s="219"/>
      <c r="AH616" s="219"/>
      <c r="AI616" s="219"/>
      <c r="AJ616" s="219"/>
      <c r="AK616" s="219"/>
      <c r="AL616" s="219"/>
      <c r="AM616" s="219"/>
      <c r="AN616" s="219"/>
      <c r="AO616" s="219"/>
    </row>
    <row r="617">
      <c r="A617" s="193">
        <v>19780.0</v>
      </c>
      <c r="B617" s="232" t="s">
        <v>264</v>
      </c>
      <c r="C617" s="193">
        <v>2026.0</v>
      </c>
      <c r="D617" s="199"/>
      <c r="E617" s="199"/>
      <c r="F617" s="199"/>
      <c r="G617" s="248"/>
      <c r="H617" s="199"/>
      <c r="I617" s="220"/>
      <c r="J617" s="199"/>
      <c r="K617" s="193" t="s">
        <v>206</v>
      </c>
      <c r="L617" s="232" t="s">
        <v>146</v>
      </c>
      <c r="M617" s="199"/>
      <c r="N617" s="193" t="s">
        <v>337</v>
      </c>
      <c r="O617" s="193" t="s">
        <v>206</v>
      </c>
      <c r="P617" s="193" t="s">
        <v>670</v>
      </c>
      <c r="Q617" s="199"/>
      <c r="R617" s="193" t="s">
        <v>228</v>
      </c>
      <c r="S617" s="193" t="s">
        <v>46</v>
      </c>
      <c r="T617" s="193" t="s">
        <v>1007</v>
      </c>
      <c r="U617" s="193" t="s">
        <v>1008</v>
      </c>
      <c r="V617" s="193" t="s">
        <v>50</v>
      </c>
      <c r="W617" s="193" t="s">
        <v>212</v>
      </c>
      <c r="X617" s="193" t="s">
        <v>232</v>
      </c>
      <c r="Y617" s="200">
        <v>4.0</v>
      </c>
      <c r="Z617" s="202" t="s">
        <v>531</v>
      </c>
      <c r="AA617" s="202" t="s">
        <v>234</v>
      </c>
      <c r="AB617" s="221"/>
      <c r="AC617" s="203">
        <v>4643.36</v>
      </c>
      <c r="AD617" s="204">
        <v>46107.0</v>
      </c>
      <c r="AE617" s="204">
        <v>46168.0</v>
      </c>
      <c r="AF617" s="205"/>
      <c r="AG617" s="206"/>
      <c r="AH617" s="206"/>
      <c r="AI617" s="206"/>
      <c r="AJ617" s="206"/>
      <c r="AK617" s="206"/>
      <c r="AL617" s="206"/>
      <c r="AM617" s="206"/>
      <c r="AN617" s="206"/>
      <c r="AO617" s="206"/>
    </row>
    <row r="618">
      <c r="A618" s="193">
        <v>19800.0</v>
      </c>
      <c r="B618" s="232" t="s">
        <v>264</v>
      </c>
      <c r="C618" s="193">
        <v>2026.0</v>
      </c>
      <c r="D618" s="199"/>
      <c r="E618" s="199"/>
      <c r="F618" s="199"/>
      <c r="G618" s="248"/>
      <c r="H618" s="199"/>
      <c r="I618" s="220"/>
      <c r="J618" s="199"/>
      <c r="K618" s="193" t="s">
        <v>206</v>
      </c>
      <c r="L618" s="232" t="s">
        <v>146</v>
      </c>
      <c r="M618" s="199"/>
      <c r="N618" s="193" t="s">
        <v>227</v>
      </c>
      <c r="O618" s="193" t="s">
        <v>206</v>
      </c>
      <c r="P618" s="193" t="s">
        <v>670</v>
      </c>
      <c r="Q618" s="199"/>
      <c r="R618" s="193" t="s">
        <v>228</v>
      </c>
      <c r="S618" s="193" t="s">
        <v>46</v>
      </c>
      <c r="T618" s="193" t="s">
        <v>1009</v>
      </c>
      <c r="U618" s="193" t="s">
        <v>1010</v>
      </c>
      <c r="V618" s="193" t="s">
        <v>50</v>
      </c>
      <c r="W618" s="193" t="s">
        <v>212</v>
      </c>
      <c r="X618" s="193" t="s">
        <v>232</v>
      </c>
      <c r="Y618" s="200">
        <v>4.0</v>
      </c>
      <c r="Z618" s="202" t="s">
        <v>531</v>
      </c>
      <c r="AA618" s="202" t="s">
        <v>234</v>
      </c>
      <c r="AB618" s="221"/>
      <c r="AC618" s="203">
        <v>6266.4</v>
      </c>
      <c r="AD618" s="204">
        <v>46107.0</v>
      </c>
      <c r="AE618" s="204">
        <v>46168.0</v>
      </c>
      <c r="AF618" s="205"/>
      <c r="AG618" s="206"/>
      <c r="AH618" s="206"/>
      <c r="AI618" s="206"/>
      <c r="AJ618" s="206"/>
      <c r="AK618" s="206"/>
      <c r="AL618" s="206"/>
      <c r="AM618" s="206"/>
      <c r="AN618" s="206"/>
      <c r="AO618" s="206"/>
    </row>
    <row r="619">
      <c r="A619" s="193">
        <v>19820.0</v>
      </c>
      <c r="B619" s="232" t="s">
        <v>264</v>
      </c>
      <c r="C619" s="193">
        <v>2026.0</v>
      </c>
      <c r="D619" s="199"/>
      <c r="E619" s="199"/>
      <c r="F619" s="199"/>
      <c r="G619" s="248"/>
      <c r="H619" s="199"/>
      <c r="I619" s="220"/>
      <c r="J619" s="199"/>
      <c r="K619" s="193" t="s">
        <v>206</v>
      </c>
      <c r="L619" s="232" t="s">
        <v>146</v>
      </c>
      <c r="M619" s="199"/>
      <c r="N619" s="193" t="s">
        <v>337</v>
      </c>
      <c r="O619" s="193" t="s">
        <v>206</v>
      </c>
      <c r="P619" s="193" t="s">
        <v>670</v>
      </c>
      <c r="Q619" s="199"/>
      <c r="R619" s="193" t="s">
        <v>228</v>
      </c>
      <c r="S619" s="193" t="s">
        <v>46</v>
      </c>
      <c r="T619" s="193" t="s">
        <v>1011</v>
      </c>
      <c r="U619" s="193" t="s">
        <v>1008</v>
      </c>
      <c r="V619" s="193" t="s">
        <v>50</v>
      </c>
      <c r="W619" s="193" t="s">
        <v>212</v>
      </c>
      <c r="X619" s="193" t="s">
        <v>232</v>
      </c>
      <c r="Y619" s="200">
        <v>4.0</v>
      </c>
      <c r="Z619" s="202" t="s">
        <v>531</v>
      </c>
      <c r="AA619" s="202" t="s">
        <v>234</v>
      </c>
      <c r="AB619" s="221"/>
      <c r="AC619" s="203">
        <v>4643.36</v>
      </c>
      <c r="AD619" s="204">
        <v>46107.0</v>
      </c>
      <c r="AE619" s="204">
        <v>46168.0</v>
      </c>
      <c r="AF619" s="205"/>
      <c r="AG619" s="206"/>
      <c r="AH619" s="206"/>
      <c r="AI619" s="206"/>
      <c r="AJ619" s="206"/>
      <c r="AK619" s="206"/>
      <c r="AL619" s="206"/>
      <c r="AM619" s="206"/>
      <c r="AN619" s="206"/>
      <c r="AO619" s="206"/>
    </row>
    <row r="620">
      <c r="A620" s="193">
        <v>19840.0</v>
      </c>
      <c r="B620" s="232" t="s">
        <v>264</v>
      </c>
      <c r="C620" s="193">
        <v>2026.0</v>
      </c>
      <c r="D620" s="199"/>
      <c r="E620" s="199"/>
      <c r="F620" s="199"/>
      <c r="G620" s="248"/>
      <c r="H620" s="199"/>
      <c r="I620" s="220"/>
      <c r="J620" s="199"/>
      <c r="K620" s="193" t="s">
        <v>206</v>
      </c>
      <c r="L620" s="232" t="s">
        <v>146</v>
      </c>
      <c r="M620" s="199"/>
      <c r="N620" s="193" t="s">
        <v>227</v>
      </c>
      <c r="O620" s="193" t="s">
        <v>206</v>
      </c>
      <c r="P620" s="193" t="s">
        <v>1012</v>
      </c>
      <c r="Q620" s="199"/>
      <c r="R620" s="193" t="s">
        <v>228</v>
      </c>
      <c r="S620" s="193" t="s">
        <v>46</v>
      </c>
      <c r="T620" s="193" t="s">
        <v>1013</v>
      </c>
      <c r="U620" s="193" t="s">
        <v>1014</v>
      </c>
      <c r="V620" s="193" t="s">
        <v>50</v>
      </c>
      <c r="W620" s="193" t="s">
        <v>212</v>
      </c>
      <c r="X620" s="193" t="s">
        <v>232</v>
      </c>
      <c r="Y620" s="200">
        <v>4.0</v>
      </c>
      <c r="Z620" s="202" t="s">
        <v>531</v>
      </c>
      <c r="AA620" s="202" t="s">
        <v>234</v>
      </c>
      <c r="AB620" s="221"/>
      <c r="AC620" s="203">
        <v>78050.0</v>
      </c>
      <c r="AD620" s="204">
        <v>46107.0</v>
      </c>
      <c r="AE620" s="204">
        <v>46168.0</v>
      </c>
      <c r="AF620" s="205"/>
      <c r="AG620" s="206"/>
      <c r="AH620" s="206"/>
      <c r="AI620" s="206"/>
      <c r="AJ620" s="206"/>
      <c r="AK620" s="206"/>
      <c r="AL620" s="206"/>
      <c r="AM620" s="206"/>
      <c r="AN620" s="206"/>
      <c r="AO620" s="206"/>
    </row>
    <row r="621">
      <c r="A621" s="193">
        <v>19860.0</v>
      </c>
      <c r="B621" s="232" t="s">
        <v>264</v>
      </c>
      <c r="C621" s="193">
        <v>2026.0</v>
      </c>
      <c r="D621" s="199"/>
      <c r="E621" s="199"/>
      <c r="F621" s="199"/>
      <c r="G621" s="248"/>
      <c r="H621" s="199"/>
      <c r="I621" s="220"/>
      <c r="J621" s="199"/>
      <c r="K621" s="193" t="s">
        <v>206</v>
      </c>
      <c r="L621" s="232" t="s">
        <v>146</v>
      </c>
      <c r="M621" s="199"/>
      <c r="N621" s="193" t="s">
        <v>207</v>
      </c>
      <c r="O621" s="193" t="s">
        <v>206</v>
      </c>
      <c r="P621" s="193" t="s">
        <v>1015</v>
      </c>
      <c r="Q621" s="199"/>
      <c r="R621" s="193" t="s">
        <v>208</v>
      </c>
      <c r="S621" s="193" t="s">
        <v>39</v>
      </c>
      <c r="T621" s="193" t="s">
        <v>1016</v>
      </c>
      <c r="U621" s="193" t="s">
        <v>1017</v>
      </c>
      <c r="V621" s="193" t="s">
        <v>50</v>
      </c>
      <c r="W621" s="193" t="s">
        <v>212</v>
      </c>
      <c r="X621" s="193" t="s">
        <v>232</v>
      </c>
      <c r="Y621" s="200">
        <v>4.0</v>
      </c>
      <c r="Z621" s="202" t="s">
        <v>531</v>
      </c>
      <c r="AA621" s="202" t="s">
        <v>215</v>
      </c>
      <c r="AB621" s="221"/>
      <c r="AC621" s="203">
        <v>6117.99</v>
      </c>
      <c r="AD621" s="204">
        <v>46107.0</v>
      </c>
      <c r="AE621" s="204">
        <v>46168.0</v>
      </c>
      <c r="AF621" s="205"/>
      <c r="AG621" s="206"/>
      <c r="AH621" s="206"/>
      <c r="AI621" s="206"/>
      <c r="AJ621" s="206"/>
      <c r="AK621" s="206"/>
      <c r="AL621" s="206"/>
      <c r="AM621" s="206"/>
      <c r="AN621" s="206"/>
      <c r="AO621" s="206"/>
    </row>
    <row r="622">
      <c r="A622" s="193">
        <v>19880.0</v>
      </c>
      <c r="B622" s="232" t="s">
        <v>264</v>
      </c>
      <c r="C622" s="193">
        <v>2026.0</v>
      </c>
      <c r="D622" s="199"/>
      <c r="E622" s="199"/>
      <c r="F622" s="199"/>
      <c r="G622" s="248"/>
      <c r="H622" s="199"/>
      <c r="I622" s="235"/>
      <c r="J622" s="199"/>
      <c r="K622" s="193" t="s">
        <v>206</v>
      </c>
      <c r="L622" s="232" t="s">
        <v>146</v>
      </c>
      <c r="M622" s="199"/>
      <c r="N622" s="193" t="s">
        <v>227</v>
      </c>
      <c r="O622" s="193" t="s">
        <v>206</v>
      </c>
      <c r="P622" s="193" t="s">
        <v>1015</v>
      </c>
      <c r="Q622" s="199"/>
      <c r="R622" s="193" t="s">
        <v>208</v>
      </c>
      <c r="S622" s="193" t="s">
        <v>39</v>
      </c>
      <c r="T622" s="193" t="s">
        <v>1018</v>
      </c>
      <c r="U622" s="193" t="s">
        <v>1019</v>
      </c>
      <c r="V622" s="193" t="s">
        <v>50</v>
      </c>
      <c r="W622" s="193" t="s">
        <v>212</v>
      </c>
      <c r="X622" s="193" t="s">
        <v>232</v>
      </c>
      <c r="Y622" s="200">
        <v>4.0</v>
      </c>
      <c r="Z622" s="202" t="s">
        <v>531</v>
      </c>
      <c r="AA622" s="202" t="s">
        <v>234</v>
      </c>
      <c r="AB622" s="221"/>
      <c r="AC622" s="203">
        <v>1427.99</v>
      </c>
      <c r="AD622" s="204">
        <v>46107.0</v>
      </c>
      <c r="AE622" s="204">
        <v>46168.0</v>
      </c>
      <c r="AF622" s="205"/>
      <c r="AG622" s="206"/>
      <c r="AH622" s="206"/>
      <c r="AI622" s="206"/>
      <c r="AJ622" s="206"/>
      <c r="AK622" s="206"/>
      <c r="AL622" s="206"/>
      <c r="AM622" s="206"/>
      <c r="AN622" s="206"/>
      <c r="AO622" s="206"/>
    </row>
    <row r="623">
      <c r="A623" s="193">
        <v>19900.0</v>
      </c>
      <c r="B623" s="232" t="s">
        <v>264</v>
      </c>
      <c r="C623" s="193">
        <v>2026.0</v>
      </c>
      <c r="D623" s="199"/>
      <c r="E623" s="199"/>
      <c r="F623" s="199"/>
      <c r="G623" s="248"/>
      <c r="H623" s="199"/>
      <c r="I623" s="220"/>
      <c r="J623" s="199"/>
      <c r="K623" s="193" t="s">
        <v>206</v>
      </c>
      <c r="L623" s="232" t="s">
        <v>146</v>
      </c>
      <c r="M623" s="199"/>
      <c r="N623" s="193" t="s">
        <v>227</v>
      </c>
      <c r="O623" s="193" t="s">
        <v>206</v>
      </c>
      <c r="P623" s="193" t="s">
        <v>1015</v>
      </c>
      <c r="Q623" s="199"/>
      <c r="R623" s="193" t="s">
        <v>208</v>
      </c>
      <c r="S623" s="193" t="s">
        <v>39</v>
      </c>
      <c r="T623" s="193" t="s">
        <v>1020</v>
      </c>
      <c r="U623" s="193" t="s">
        <v>1021</v>
      </c>
      <c r="V623" s="193" t="s">
        <v>50</v>
      </c>
      <c r="W623" s="193" t="s">
        <v>212</v>
      </c>
      <c r="X623" s="193" t="s">
        <v>232</v>
      </c>
      <c r="Y623" s="200">
        <v>4.0</v>
      </c>
      <c r="Z623" s="202" t="s">
        <v>531</v>
      </c>
      <c r="AA623" s="202" t="s">
        <v>234</v>
      </c>
      <c r="AB623" s="221"/>
      <c r="AC623" s="203">
        <v>1540.47</v>
      </c>
      <c r="AD623" s="204">
        <v>46107.0</v>
      </c>
      <c r="AE623" s="204">
        <v>46168.0</v>
      </c>
      <c r="AF623" s="205"/>
      <c r="AG623" s="206"/>
      <c r="AH623" s="206"/>
      <c r="AI623" s="206"/>
      <c r="AJ623" s="206"/>
      <c r="AK623" s="206"/>
      <c r="AL623" s="206"/>
      <c r="AM623" s="206"/>
      <c r="AN623" s="206"/>
      <c r="AO623" s="206"/>
    </row>
    <row r="624">
      <c r="A624" s="193">
        <v>19920.0</v>
      </c>
      <c r="B624" s="232" t="s">
        <v>264</v>
      </c>
      <c r="C624" s="193">
        <v>2026.0</v>
      </c>
      <c r="D624" s="199"/>
      <c r="E624" s="199"/>
      <c r="F624" s="199"/>
      <c r="G624" s="248"/>
      <c r="H624" s="199"/>
      <c r="I624" s="220"/>
      <c r="J624" s="199"/>
      <c r="K624" s="193" t="s">
        <v>206</v>
      </c>
      <c r="L624" s="232" t="s">
        <v>146</v>
      </c>
      <c r="M624" s="199"/>
      <c r="N624" s="193" t="s">
        <v>337</v>
      </c>
      <c r="O624" s="193" t="s">
        <v>206</v>
      </c>
      <c r="P624" s="193" t="s">
        <v>1015</v>
      </c>
      <c r="Q624" s="199"/>
      <c r="R624" s="193" t="s">
        <v>208</v>
      </c>
      <c r="S624" s="193" t="s">
        <v>39</v>
      </c>
      <c r="T624" s="193" t="s">
        <v>1022</v>
      </c>
      <c r="U624" s="193" t="s">
        <v>1023</v>
      </c>
      <c r="V624" s="193" t="s">
        <v>50</v>
      </c>
      <c r="W624" s="193" t="s">
        <v>212</v>
      </c>
      <c r="X624" s="193" t="s">
        <v>232</v>
      </c>
      <c r="Y624" s="200">
        <v>4.0</v>
      </c>
      <c r="Z624" s="202" t="s">
        <v>531</v>
      </c>
      <c r="AA624" s="202" t="s">
        <v>234</v>
      </c>
      <c r="AB624" s="221"/>
      <c r="AC624" s="203">
        <v>3564.6</v>
      </c>
      <c r="AD624" s="204">
        <v>46107.0</v>
      </c>
      <c r="AE624" s="204">
        <v>46168.0</v>
      </c>
      <c r="AF624" s="205"/>
      <c r="AG624" s="206"/>
      <c r="AH624" s="206"/>
      <c r="AI624" s="206"/>
      <c r="AJ624" s="206"/>
      <c r="AK624" s="206"/>
      <c r="AL624" s="206"/>
      <c r="AM624" s="206"/>
      <c r="AN624" s="206"/>
      <c r="AO624" s="206"/>
    </row>
    <row r="625">
      <c r="A625" s="193">
        <v>19940.0</v>
      </c>
      <c r="B625" s="232" t="s">
        <v>264</v>
      </c>
      <c r="C625" s="193">
        <v>2026.0</v>
      </c>
      <c r="D625" s="199"/>
      <c r="E625" s="199"/>
      <c r="F625" s="199"/>
      <c r="G625" s="248"/>
      <c r="H625" s="199"/>
      <c r="I625" s="220"/>
      <c r="J625" s="199"/>
      <c r="K625" s="193" t="s">
        <v>206</v>
      </c>
      <c r="L625" s="232" t="s">
        <v>146</v>
      </c>
      <c r="M625" s="199"/>
      <c r="N625" s="193" t="s">
        <v>207</v>
      </c>
      <c r="O625" s="193" t="s">
        <v>206</v>
      </c>
      <c r="P625" s="193" t="s">
        <v>1015</v>
      </c>
      <c r="Q625" s="199"/>
      <c r="R625" s="193" t="s">
        <v>208</v>
      </c>
      <c r="S625" s="193" t="s">
        <v>39</v>
      </c>
      <c r="T625" s="193" t="s">
        <v>1024</v>
      </c>
      <c r="U625" s="193" t="s">
        <v>1025</v>
      </c>
      <c r="V625" s="193" t="s">
        <v>50</v>
      </c>
      <c r="W625" s="193" t="s">
        <v>212</v>
      </c>
      <c r="X625" s="193" t="s">
        <v>232</v>
      </c>
      <c r="Y625" s="200">
        <v>4.0</v>
      </c>
      <c r="Z625" s="202" t="s">
        <v>531</v>
      </c>
      <c r="AA625" s="202" t="s">
        <v>215</v>
      </c>
      <c r="AB625" s="221"/>
      <c r="AC625" s="203">
        <v>95498.82</v>
      </c>
      <c r="AD625" s="204">
        <v>46107.0</v>
      </c>
      <c r="AE625" s="204">
        <v>46168.0</v>
      </c>
      <c r="AF625" s="205"/>
      <c r="AG625" s="206"/>
      <c r="AH625" s="206"/>
      <c r="AI625" s="206"/>
      <c r="AJ625" s="206"/>
      <c r="AK625" s="206"/>
      <c r="AL625" s="206"/>
      <c r="AM625" s="206"/>
      <c r="AN625" s="206"/>
      <c r="AO625" s="206"/>
    </row>
    <row r="626">
      <c r="A626" s="193">
        <v>19960.0</v>
      </c>
      <c r="B626" s="232" t="s">
        <v>264</v>
      </c>
      <c r="C626" s="193">
        <v>2026.0</v>
      </c>
      <c r="D626" s="199"/>
      <c r="E626" s="199"/>
      <c r="F626" s="199"/>
      <c r="G626" s="248"/>
      <c r="H626" s="199"/>
      <c r="I626" s="220"/>
      <c r="J626" s="199"/>
      <c r="K626" s="193" t="s">
        <v>206</v>
      </c>
      <c r="L626" s="232" t="s">
        <v>146</v>
      </c>
      <c r="M626" s="199"/>
      <c r="N626" s="193" t="s">
        <v>337</v>
      </c>
      <c r="O626" s="193" t="s">
        <v>206</v>
      </c>
      <c r="P626" s="193" t="s">
        <v>1015</v>
      </c>
      <c r="Q626" s="199"/>
      <c r="R626" s="193" t="s">
        <v>208</v>
      </c>
      <c r="S626" s="193" t="s">
        <v>39</v>
      </c>
      <c r="T626" s="193" t="s">
        <v>1026</v>
      </c>
      <c r="U626" s="193" t="s">
        <v>1027</v>
      </c>
      <c r="V626" s="193" t="s">
        <v>50</v>
      </c>
      <c r="W626" s="193" t="s">
        <v>212</v>
      </c>
      <c r="X626" s="193" t="s">
        <v>232</v>
      </c>
      <c r="Y626" s="200">
        <v>4.0</v>
      </c>
      <c r="Z626" s="202" t="s">
        <v>531</v>
      </c>
      <c r="AA626" s="202" t="s">
        <v>234</v>
      </c>
      <c r="AB626" s="221"/>
      <c r="AC626" s="203">
        <v>30379.01</v>
      </c>
      <c r="AD626" s="204">
        <v>46107.0</v>
      </c>
      <c r="AE626" s="204">
        <v>46168.0</v>
      </c>
      <c r="AF626" s="205"/>
      <c r="AG626" s="206"/>
      <c r="AH626" s="206"/>
      <c r="AI626" s="206"/>
      <c r="AJ626" s="206"/>
      <c r="AK626" s="206"/>
      <c r="AL626" s="206"/>
      <c r="AM626" s="206"/>
      <c r="AN626" s="206"/>
      <c r="AO626" s="206"/>
    </row>
    <row r="627">
      <c r="A627" s="193">
        <v>19980.0</v>
      </c>
      <c r="B627" s="232" t="s">
        <v>264</v>
      </c>
      <c r="C627" s="193">
        <v>2026.0</v>
      </c>
      <c r="D627" s="199"/>
      <c r="E627" s="199"/>
      <c r="F627" s="199"/>
      <c r="G627" s="248"/>
      <c r="H627" s="199"/>
      <c r="I627" s="220"/>
      <c r="J627" s="199"/>
      <c r="K627" s="193" t="s">
        <v>206</v>
      </c>
      <c r="L627" s="232" t="s">
        <v>146</v>
      </c>
      <c r="M627" s="199"/>
      <c r="N627" s="193" t="s">
        <v>207</v>
      </c>
      <c r="O627" s="193" t="s">
        <v>206</v>
      </c>
      <c r="P627" s="193" t="s">
        <v>1015</v>
      </c>
      <c r="Q627" s="199"/>
      <c r="R627" s="193" t="s">
        <v>208</v>
      </c>
      <c r="S627" s="193" t="s">
        <v>39</v>
      </c>
      <c r="T627" s="193" t="s">
        <v>1028</v>
      </c>
      <c r="U627" s="193" t="s">
        <v>1029</v>
      </c>
      <c r="V627" s="193" t="s">
        <v>50</v>
      </c>
      <c r="W627" s="193" t="s">
        <v>212</v>
      </c>
      <c r="X627" s="193" t="s">
        <v>232</v>
      </c>
      <c r="Y627" s="200">
        <v>4.0</v>
      </c>
      <c r="Z627" s="202" t="s">
        <v>531</v>
      </c>
      <c r="AA627" s="202" t="s">
        <v>215</v>
      </c>
      <c r="AB627" s="221"/>
      <c r="AC627" s="203">
        <v>5599.0</v>
      </c>
      <c r="AD627" s="204">
        <v>46107.0</v>
      </c>
      <c r="AE627" s="204">
        <v>46168.0</v>
      </c>
      <c r="AF627" s="205"/>
      <c r="AG627" s="206"/>
      <c r="AH627" s="206"/>
      <c r="AI627" s="206"/>
      <c r="AJ627" s="206"/>
      <c r="AK627" s="206"/>
      <c r="AL627" s="206"/>
      <c r="AM627" s="206"/>
      <c r="AN627" s="206"/>
      <c r="AO627" s="206"/>
    </row>
    <row r="628">
      <c r="A628" s="193">
        <v>20000.0</v>
      </c>
      <c r="B628" s="232" t="s">
        <v>264</v>
      </c>
      <c r="C628" s="193">
        <v>2026.0</v>
      </c>
      <c r="D628" s="199"/>
      <c r="E628" s="199"/>
      <c r="F628" s="199"/>
      <c r="G628" s="248"/>
      <c r="H628" s="199"/>
      <c r="I628" s="220"/>
      <c r="J628" s="199"/>
      <c r="K628" s="193" t="s">
        <v>206</v>
      </c>
      <c r="L628" s="232" t="s">
        <v>146</v>
      </c>
      <c r="M628" s="199"/>
      <c r="N628" s="193" t="s">
        <v>227</v>
      </c>
      <c r="O628" s="193" t="s">
        <v>206</v>
      </c>
      <c r="P628" s="193" t="s">
        <v>1015</v>
      </c>
      <c r="Q628" s="199"/>
      <c r="R628" s="193" t="s">
        <v>208</v>
      </c>
      <c r="S628" s="193" t="s">
        <v>39</v>
      </c>
      <c r="T628" s="193" t="s">
        <v>1030</v>
      </c>
      <c r="U628" s="193" t="s">
        <v>1031</v>
      </c>
      <c r="V628" s="193" t="s">
        <v>50</v>
      </c>
      <c r="W628" s="193" t="s">
        <v>212</v>
      </c>
      <c r="X628" s="193" t="s">
        <v>232</v>
      </c>
      <c r="Y628" s="200">
        <v>4.0</v>
      </c>
      <c r="Z628" s="202" t="s">
        <v>531</v>
      </c>
      <c r="AA628" s="202" t="s">
        <v>234</v>
      </c>
      <c r="AB628" s="221"/>
      <c r="AC628" s="203">
        <v>3907.5</v>
      </c>
      <c r="AD628" s="204">
        <v>46107.0</v>
      </c>
      <c r="AE628" s="204">
        <v>46168.0</v>
      </c>
      <c r="AF628" s="205"/>
      <c r="AG628" s="206"/>
      <c r="AH628" s="206"/>
      <c r="AI628" s="206"/>
      <c r="AJ628" s="206"/>
      <c r="AK628" s="206"/>
      <c r="AL628" s="206"/>
      <c r="AM628" s="206"/>
      <c r="AN628" s="206"/>
      <c r="AO628" s="206"/>
    </row>
    <row r="629">
      <c r="A629" s="193">
        <v>20020.0</v>
      </c>
      <c r="B629" s="232" t="s">
        <v>264</v>
      </c>
      <c r="C629" s="193">
        <v>2026.0</v>
      </c>
      <c r="D629" s="199"/>
      <c r="E629" s="199"/>
      <c r="F629" s="199"/>
      <c r="G629" s="248"/>
      <c r="H629" s="199"/>
      <c r="I629" s="235"/>
      <c r="J629" s="199"/>
      <c r="K629" s="193" t="s">
        <v>206</v>
      </c>
      <c r="L629" s="232" t="s">
        <v>146</v>
      </c>
      <c r="M629" s="199"/>
      <c r="N629" s="193" t="s">
        <v>337</v>
      </c>
      <c r="O629" s="193" t="s">
        <v>206</v>
      </c>
      <c r="P629" s="193" t="s">
        <v>1015</v>
      </c>
      <c r="Q629" s="199"/>
      <c r="R629" s="193" t="s">
        <v>208</v>
      </c>
      <c r="S629" s="193" t="s">
        <v>39</v>
      </c>
      <c r="T629" s="193" t="s">
        <v>1032</v>
      </c>
      <c r="U629" s="193" t="s">
        <v>1033</v>
      </c>
      <c r="V629" s="193" t="s">
        <v>50</v>
      </c>
      <c r="W629" s="193" t="s">
        <v>212</v>
      </c>
      <c r="X629" s="193" t="s">
        <v>232</v>
      </c>
      <c r="Y629" s="200">
        <v>4.0</v>
      </c>
      <c r="Z629" s="202" t="s">
        <v>531</v>
      </c>
      <c r="AA629" s="202" t="s">
        <v>234</v>
      </c>
      <c r="AB629" s="221"/>
      <c r="AC629" s="203">
        <v>70385.24</v>
      </c>
      <c r="AD629" s="204">
        <v>46107.0</v>
      </c>
      <c r="AE629" s="204">
        <v>46168.0</v>
      </c>
      <c r="AF629" s="205"/>
      <c r="AG629" s="206"/>
      <c r="AH629" s="206"/>
      <c r="AI629" s="206"/>
      <c r="AJ629" s="206"/>
      <c r="AK629" s="206"/>
      <c r="AL629" s="206"/>
      <c r="AM629" s="206"/>
      <c r="AN629" s="206"/>
      <c r="AO629" s="206"/>
    </row>
    <row r="630">
      <c r="A630" s="193">
        <v>20040.0</v>
      </c>
      <c r="B630" s="232" t="s">
        <v>264</v>
      </c>
      <c r="C630" s="193">
        <v>2026.0</v>
      </c>
      <c r="D630" s="199"/>
      <c r="E630" s="199"/>
      <c r="F630" s="199"/>
      <c r="G630" s="220"/>
      <c r="H630" s="199"/>
      <c r="I630" s="220"/>
      <c r="J630" s="199"/>
      <c r="K630" s="193" t="s">
        <v>206</v>
      </c>
      <c r="L630" s="232" t="s">
        <v>146</v>
      </c>
      <c r="M630" s="199"/>
      <c r="N630" s="193" t="s">
        <v>337</v>
      </c>
      <c r="O630" s="193" t="s">
        <v>206</v>
      </c>
      <c r="P630" s="193" t="s">
        <v>1015</v>
      </c>
      <c r="Q630" s="199"/>
      <c r="R630" s="193" t="s">
        <v>208</v>
      </c>
      <c r="S630" s="193" t="s">
        <v>39</v>
      </c>
      <c r="T630" s="193" t="s">
        <v>1034</v>
      </c>
      <c r="U630" s="193" t="s">
        <v>1035</v>
      </c>
      <c r="V630" s="193" t="s">
        <v>50</v>
      </c>
      <c r="W630" s="193" t="s">
        <v>212</v>
      </c>
      <c r="X630" s="193" t="s">
        <v>232</v>
      </c>
      <c r="Y630" s="200">
        <v>4.0</v>
      </c>
      <c r="Z630" s="202" t="s">
        <v>531</v>
      </c>
      <c r="AA630" s="202" t="s">
        <v>234</v>
      </c>
      <c r="AB630" s="221"/>
      <c r="AC630" s="203">
        <v>6184.49</v>
      </c>
      <c r="AD630" s="204">
        <v>46107.0</v>
      </c>
      <c r="AE630" s="204">
        <v>46168.0</v>
      </c>
      <c r="AF630" s="205"/>
      <c r="AG630" s="206"/>
      <c r="AH630" s="206"/>
      <c r="AI630" s="206"/>
      <c r="AJ630" s="206"/>
      <c r="AK630" s="206"/>
      <c r="AL630" s="206"/>
      <c r="AM630" s="206"/>
      <c r="AN630" s="206"/>
      <c r="AO630" s="206"/>
    </row>
    <row r="631">
      <c r="A631" s="193">
        <v>20060.0</v>
      </c>
      <c r="B631" s="232" t="s">
        <v>264</v>
      </c>
      <c r="C631" s="193">
        <v>2026.0</v>
      </c>
      <c r="D631" s="199"/>
      <c r="E631" s="199"/>
      <c r="F631" s="199"/>
      <c r="G631" s="220"/>
      <c r="H631" s="199"/>
      <c r="I631" s="220"/>
      <c r="J631" s="199"/>
      <c r="K631" s="193" t="s">
        <v>206</v>
      </c>
      <c r="L631" s="232" t="s">
        <v>146</v>
      </c>
      <c r="M631" s="199"/>
      <c r="N631" s="193" t="s">
        <v>227</v>
      </c>
      <c r="O631" s="193" t="s">
        <v>206</v>
      </c>
      <c r="P631" s="193" t="s">
        <v>1015</v>
      </c>
      <c r="Q631" s="199"/>
      <c r="R631" s="193" t="s">
        <v>208</v>
      </c>
      <c r="S631" s="193" t="s">
        <v>39</v>
      </c>
      <c r="T631" s="193" t="s">
        <v>1036</v>
      </c>
      <c r="U631" s="193" t="s">
        <v>1037</v>
      </c>
      <c r="V631" s="193" t="s">
        <v>50</v>
      </c>
      <c r="W631" s="193" t="s">
        <v>212</v>
      </c>
      <c r="X631" s="193" t="s">
        <v>232</v>
      </c>
      <c r="Y631" s="200">
        <v>4.0</v>
      </c>
      <c r="Z631" s="202" t="s">
        <v>531</v>
      </c>
      <c r="AA631" s="202" t="s">
        <v>234</v>
      </c>
      <c r="AB631" s="221"/>
      <c r="AC631" s="203">
        <v>6900.0</v>
      </c>
      <c r="AD631" s="204">
        <v>46107.0</v>
      </c>
      <c r="AE631" s="204">
        <v>46168.0</v>
      </c>
      <c r="AF631" s="205"/>
      <c r="AG631" s="206"/>
      <c r="AH631" s="206"/>
      <c r="AI631" s="206"/>
      <c r="AJ631" s="206"/>
      <c r="AK631" s="206"/>
      <c r="AL631" s="206"/>
      <c r="AM631" s="206"/>
      <c r="AN631" s="206"/>
      <c r="AO631" s="206"/>
    </row>
    <row r="632">
      <c r="A632" s="193">
        <v>20080.0</v>
      </c>
      <c r="B632" s="232" t="s">
        <v>264</v>
      </c>
      <c r="C632" s="193">
        <v>2026.0</v>
      </c>
      <c r="D632" s="199"/>
      <c r="E632" s="199"/>
      <c r="F632" s="199"/>
      <c r="G632" s="220"/>
      <c r="H632" s="199"/>
      <c r="I632" s="220"/>
      <c r="J632" s="199"/>
      <c r="K632" s="193" t="s">
        <v>206</v>
      </c>
      <c r="L632" s="232" t="s">
        <v>146</v>
      </c>
      <c r="M632" s="199"/>
      <c r="N632" s="193" t="s">
        <v>337</v>
      </c>
      <c r="O632" s="193" t="s">
        <v>206</v>
      </c>
      <c r="P632" s="193" t="s">
        <v>1015</v>
      </c>
      <c r="Q632" s="199"/>
      <c r="R632" s="193" t="s">
        <v>208</v>
      </c>
      <c r="S632" s="193" t="s">
        <v>39</v>
      </c>
      <c r="T632" s="193" t="s">
        <v>1038</v>
      </c>
      <c r="U632" s="193" t="s">
        <v>1039</v>
      </c>
      <c r="V632" s="193" t="s">
        <v>50</v>
      </c>
      <c r="W632" s="193" t="s">
        <v>212</v>
      </c>
      <c r="X632" s="193" t="s">
        <v>232</v>
      </c>
      <c r="Y632" s="200">
        <v>4.0</v>
      </c>
      <c r="Z632" s="202" t="s">
        <v>531</v>
      </c>
      <c r="AA632" s="202" t="s">
        <v>234</v>
      </c>
      <c r="AB632" s="221"/>
      <c r="AC632" s="203">
        <v>9659.52</v>
      </c>
      <c r="AD632" s="204">
        <v>46107.0</v>
      </c>
      <c r="AE632" s="204">
        <v>46168.0</v>
      </c>
      <c r="AF632" s="205"/>
      <c r="AG632" s="206"/>
      <c r="AH632" s="206"/>
      <c r="AI632" s="206"/>
      <c r="AJ632" s="206"/>
      <c r="AK632" s="206"/>
      <c r="AL632" s="206"/>
      <c r="AM632" s="206"/>
      <c r="AN632" s="206"/>
      <c r="AO632" s="206"/>
    </row>
    <row r="633">
      <c r="A633" s="193">
        <v>20100.0</v>
      </c>
      <c r="B633" s="232" t="s">
        <v>264</v>
      </c>
      <c r="C633" s="193">
        <v>2026.0</v>
      </c>
      <c r="D633" s="199"/>
      <c r="E633" s="199"/>
      <c r="F633" s="199"/>
      <c r="G633" s="248"/>
      <c r="H633" s="199"/>
      <c r="I633" s="235"/>
      <c r="J633" s="199"/>
      <c r="K633" s="193" t="s">
        <v>206</v>
      </c>
      <c r="L633" s="232" t="s">
        <v>146</v>
      </c>
      <c r="M633" s="199"/>
      <c r="N633" s="193" t="s">
        <v>227</v>
      </c>
      <c r="O633" s="193" t="s">
        <v>206</v>
      </c>
      <c r="P633" s="193" t="s">
        <v>1015</v>
      </c>
      <c r="Q633" s="199"/>
      <c r="R633" s="193" t="s">
        <v>208</v>
      </c>
      <c r="S633" s="193" t="s">
        <v>39</v>
      </c>
      <c r="T633" s="193" t="s">
        <v>1040</v>
      </c>
      <c r="U633" s="193" t="s">
        <v>1041</v>
      </c>
      <c r="V633" s="193" t="s">
        <v>50</v>
      </c>
      <c r="W633" s="193" t="s">
        <v>212</v>
      </c>
      <c r="X633" s="193" t="s">
        <v>232</v>
      </c>
      <c r="Y633" s="200">
        <v>4.0</v>
      </c>
      <c r="Z633" s="202" t="s">
        <v>531</v>
      </c>
      <c r="AA633" s="202" t="s">
        <v>234</v>
      </c>
      <c r="AB633" s="221"/>
      <c r="AC633" s="203">
        <v>1700.33</v>
      </c>
      <c r="AD633" s="204">
        <v>46107.0</v>
      </c>
      <c r="AE633" s="204">
        <v>46168.0</v>
      </c>
      <c r="AF633" s="205"/>
      <c r="AG633" s="219"/>
      <c r="AH633" s="219"/>
      <c r="AI633" s="219"/>
      <c r="AJ633" s="219"/>
      <c r="AK633" s="219"/>
      <c r="AL633" s="219"/>
      <c r="AM633" s="219"/>
      <c r="AN633" s="219"/>
      <c r="AO633" s="219"/>
    </row>
    <row r="634">
      <c r="A634" s="193">
        <v>20120.0</v>
      </c>
      <c r="B634" s="232" t="s">
        <v>264</v>
      </c>
      <c r="C634" s="193">
        <v>2026.0</v>
      </c>
      <c r="D634" s="199"/>
      <c r="E634" s="199"/>
      <c r="F634" s="199"/>
      <c r="G634" s="248"/>
      <c r="H634" s="199"/>
      <c r="I634" s="220"/>
      <c r="J634" s="199"/>
      <c r="K634" s="193" t="s">
        <v>206</v>
      </c>
      <c r="L634" s="232" t="s">
        <v>146</v>
      </c>
      <c r="M634" s="199"/>
      <c r="N634" s="193" t="s">
        <v>621</v>
      </c>
      <c r="O634" s="193" t="s">
        <v>206</v>
      </c>
      <c r="P634" s="193" t="s">
        <v>1015</v>
      </c>
      <c r="Q634" s="199"/>
      <c r="R634" s="193" t="s">
        <v>208</v>
      </c>
      <c r="S634" s="193" t="s">
        <v>39</v>
      </c>
      <c r="T634" s="193" t="s">
        <v>1042</v>
      </c>
      <c r="U634" s="193" t="s">
        <v>1043</v>
      </c>
      <c r="V634" s="193" t="s">
        <v>50</v>
      </c>
      <c r="W634" s="193" t="s">
        <v>212</v>
      </c>
      <c r="X634" s="193" t="s">
        <v>232</v>
      </c>
      <c r="Y634" s="200">
        <v>4.0</v>
      </c>
      <c r="Z634" s="202" t="s">
        <v>531</v>
      </c>
      <c r="AA634" s="202" t="s">
        <v>234</v>
      </c>
      <c r="AB634" s="221"/>
      <c r="AC634" s="203">
        <v>2618.18</v>
      </c>
      <c r="AD634" s="204">
        <v>46107.0</v>
      </c>
      <c r="AE634" s="204">
        <v>46168.0</v>
      </c>
      <c r="AF634" s="205"/>
      <c r="AG634" s="206"/>
      <c r="AH634" s="206"/>
      <c r="AI634" s="206"/>
      <c r="AJ634" s="206"/>
      <c r="AK634" s="206"/>
      <c r="AL634" s="206"/>
      <c r="AM634" s="206"/>
      <c r="AN634" s="206"/>
      <c r="AO634" s="206"/>
    </row>
    <row r="635">
      <c r="A635" s="193">
        <v>20140.0</v>
      </c>
      <c r="B635" s="232" t="s">
        <v>264</v>
      </c>
      <c r="C635" s="193">
        <v>2026.0</v>
      </c>
      <c r="D635" s="199"/>
      <c r="E635" s="199"/>
      <c r="F635" s="199"/>
      <c r="G635" s="248"/>
      <c r="H635" s="199"/>
      <c r="I635" s="220"/>
      <c r="J635" s="199"/>
      <c r="K635" s="193" t="s">
        <v>206</v>
      </c>
      <c r="L635" s="232" t="s">
        <v>146</v>
      </c>
      <c r="M635" s="199"/>
      <c r="N635" s="193" t="s">
        <v>227</v>
      </c>
      <c r="O635" s="193" t="s">
        <v>206</v>
      </c>
      <c r="P635" s="193" t="s">
        <v>1015</v>
      </c>
      <c r="Q635" s="199"/>
      <c r="R635" s="193" t="s">
        <v>208</v>
      </c>
      <c r="S635" s="193" t="s">
        <v>39</v>
      </c>
      <c r="T635" s="193" t="s">
        <v>1044</v>
      </c>
      <c r="U635" s="193" t="s">
        <v>1045</v>
      </c>
      <c r="V635" s="193" t="s">
        <v>50</v>
      </c>
      <c r="W635" s="193" t="s">
        <v>212</v>
      </c>
      <c r="X635" s="193" t="s">
        <v>232</v>
      </c>
      <c r="Y635" s="200">
        <v>4.0</v>
      </c>
      <c r="Z635" s="202" t="s">
        <v>531</v>
      </c>
      <c r="AA635" s="202" t="s">
        <v>234</v>
      </c>
      <c r="AB635" s="221"/>
      <c r="AC635" s="203">
        <v>35209.77</v>
      </c>
      <c r="AD635" s="204">
        <v>46107.0</v>
      </c>
      <c r="AE635" s="204">
        <v>46168.0</v>
      </c>
      <c r="AF635" s="205"/>
      <c r="AG635" s="206"/>
      <c r="AH635" s="206"/>
      <c r="AI635" s="206"/>
      <c r="AJ635" s="206"/>
      <c r="AK635" s="206"/>
      <c r="AL635" s="206"/>
      <c r="AM635" s="206"/>
      <c r="AN635" s="206"/>
      <c r="AO635" s="206"/>
    </row>
    <row r="636">
      <c r="A636" s="193">
        <v>20160.0</v>
      </c>
      <c r="B636" s="232" t="s">
        <v>264</v>
      </c>
      <c r="C636" s="193">
        <v>2026.0</v>
      </c>
      <c r="D636" s="199"/>
      <c r="E636" s="199"/>
      <c r="F636" s="199"/>
      <c r="G636" s="248"/>
      <c r="H636" s="199"/>
      <c r="I636" s="220"/>
      <c r="J636" s="199"/>
      <c r="K636" s="193" t="s">
        <v>206</v>
      </c>
      <c r="L636" s="232" t="s">
        <v>146</v>
      </c>
      <c r="M636" s="199"/>
      <c r="N636" s="193" t="s">
        <v>227</v>
      </c>
      <c r="O636" s="193" t="s">
        <v>206</v>
      </c>
      <c r="P636" s="193" t="s">
        <v>1046</v>
      </c>
      <c r="Q636" s="199"/>
      <c r="R636" s="193" t="s">
        <v>208</v>
      </c>
      <c r="S636" s="193" t="s">
        <v>39</v>
      </c>
      <c r="T636" s="193" t="s">
        <v>1047</v>
      </c>
      <c r="U636" s="193" t="s">
        <v>1048</v>
      </c>
      <c r="V636" s="193" t="s">
        <v>50</v>
      </c>
      <c r="W636" s="193" t="s">
        <v>212</v>
      </c>
      <c r="X636" s="193" t="s">
        <v>232</v>
      </c>
      <c r="Y636" s="200">
        <v>4.0</v>
      </c>
      <c r="Z636" s="202" t="s">
        <v>531</v>
      </c>
      <c r="AA636" s="202" t="s">
        <v>234</v>
      </c>
      <c r="AB636" s="221"/>
      <c r="AC636" s="203">
        <v>9382.03</v>
      </c>
      <c r="AD636" s="204">
        <v>46107.0</v>
      </c>
      <c r="AE636" s="204">
        <v>46168.0</v>
      </c>
      <c r="AF636" s="205"/>
      <c r="AG636" s="206"/>
      <c r="AH636" s="206"/>
      <c r="AI636" s="206"/>
      <c r="AJ636" s="206"/>
      <c r="AK636" s="206"/>
      <c r="AL636" s="206"/>
      <c r="AM636" s="206"/>
      <c r="AN636" s="206"/>
      <c r="AO636" s="206"/>
    </row>
    <row r="637">
      <c r="A637" s="193">
        <v>20180.0</v>
      </c>
      <c r="B637" s="232" t="s">
        <v>264</v>
      </c>
      <c r="C637" s="193">
        <v>2026.0</v>
      </c>
      <c r="D637" s="199"/>
      <c r="E637" s="199"/>
      <c r="F637" s="199"/>
      <c r="G637" s="248"/>
      <c r="H637" s="199"/>
      <c r="I637" s="220"/>
      <c r="J637" s="199"/>
      <c r="K637" s="193" t="s">
        <v>206</v>
      </c>
      <c r="L637" s="232" t="s">
        <v>146</v>
      </c>
      <c r="M637" s="199"/>
      <c r="N637" s="193" t="s">
        <v>227</v>
      </c>
      <c r="O637" s="193" t="s">
        <v>206</v>
      </c>
      <c r="P637" s="193" t="s">
        <v>1046</v>
      </c>
      <c r="Q637" s="199"/>
      <c r="R637" s="193" t="s">
        <v>208</v>
      </c>
      <c r="S637" s="193" t="s">
        <v>39</v>
      </c>
      <c r="T637" s="193" t="s">
        <v>1049</v>
      </c>
      <c r="U637" s="193" t="s">
        <v>1031</v>
      </c>
      <c r="V637" s="193" t="s">
        <v>50</v>
      </c>
      <c r="W637" s="193" t="s">
        <v>212</v>
      </c>
      <c r="X637" s="193" t="s">
        <v>232</v>
      </c>
      <c r="Y637" s="200">
        <v>4.0</v>
      </c>
      <c r="Z637" s="202" t="s">
        <v>531</v>
      </c>
      <c r="AA637" s="202" t="s">
        <v>234</v>
      </c>
      <c r="AB637" s="221"/>
      <c r="AC637" s="203">
        <v>1640.74</v>
      </c>
      <c r="AD637" s="204">
        <v>46107.0</v>
      </c>
      <c r="AE637" s="204">
        <v>46168.0</v>
      </c>
      <c r="AF637" s="205"/>
      <c r="AG637" s="206"/>
      <c r="AH637" s="206"/>
      <c r="AI637" s="206"/>
      <c r="AJ637" s="206"/>
      <c r="AK637" s="206"/>
      <c r="AL637" s="206"/>
      <c r="AM637" s="206"/>
      <c r="AN637" s="206"/>
      <c r="AO637" s="206"/>
    </row>
    <row r="638">
      <c r="A638" s="193">
        <v>20200.0</v>
      </c>
      <c r="B638" s="232" t="s">
        <v>264</v>
      </c>
      <c r="C638" s="193">
        <v>2026.0</v>
      </c>
      <c r="D638" s="199"/>
      <c r="E638" s="199"/>
      <c r="F638" s="199"/>
      <c r="G638" s="248"/>
      <c r="H638" s="199"/>
      <c r="I638" s="220"/>
      <c r="J638" s="199"/>
      <c r="K638" s="193" t="s">
        <v>206</v>
      </c>
      <c r="L638" s="232" t="s">
        <v>146</v>
      </c>
      <c r="M638" s="199"/>
      <c r="N638" s="193" t="s">
        <v>227</v>
      </c>
      <c r="O638" s="193" t="s">
        <v>206</v>
      </c>
      <c r="P638" s="193" t="s">
        <v>1046</v>
      </c>
      <c r="Q638" s="199"/>
      <c r="R638" s="193" t="s">
        <v>208</v>
      </c>
      <c r="S638" s="193" t="s">
        <v>39</v>
      </c>
      <c r="T638" s="193" t="s">
        <v>1050</v>
      </c>
      <c r="U638" s="193" t="s">
        <v>1051</v>
      </c>
      <c r="V638" s="193" t="s">
        <v>50</v>
      </c>
      <c r="W638" s="193" t="s">
        <v>212</v>
      </c>
      <c r="X638" s="193" t="s">
        <v>232</v>
      </c>
      <c r="Y638" s="200">
        <v>4.0</v>
      </c>
      <c r="Z638" s="202" t="s">
        <v>531</v>
      </c>
      <c r="AA638" s="202" t="s">
        <v>234</v>
      </c>
      <c r="AB638" s="221"/>
      <c r="AC638" s="203">
        <v>5523.84</v>
      </c>
      <c r="AD638" s="204">
        <v>46107.0</v>
      </c>
      <c r="AE638" s="204">
        <v>46168.0</v>
      </c>
      <c r="AF638" s="205"/>
      <c r="AG638" s="206"/>
      <c r="AH638" s="206"/>
      <c r="AI638" s="206"/>
      <c r="AJ638" s="206"/>
      <c r="AK638" s="206"/>
      <c r="AL638" s="206"/>
      <c r="AM638" s="206"/>
      <c r="AN638" s="206"/>
      <c r="AO638" s="206"/>
    </row>
    <row r="639">
      <c r="A639" s="193">
        <v>20220.0</v>
      </c>
      <c r="B639" s="232" t="s">
        <v>264</v>
      </c>
      <c r="C639" s="193">
        <v>2026.0</v>
      </c>
      <c r="D639" s="199"/>
      <c r="E639" s="199"/>
      <c r="F639" s="199"/>
      <c r="G639" s="248"/>
      <c r="H639" s="199"/>
      <c r="I639" s="220"/>
      <c r="J639" s="199"/>
      <c r="K639" s="193" t="s">
        <v>206</v>
      </c>
      <c r="L639" s="232" t="s">
        <v>146</v>
      </c>
      <c r="M639" s="199"/>
      <c r="N639" s="193" t="s">
        <v>337</v>
      </c>
      <c r="O639" s="193" t="s">
        <v>206</v>
      </c>
      <c r="P639" s="193" t="s">
        <v>1046</v>
      </c>
      <c r="Q639" s="199"/>
      <c r="R639" s="193" t="s">
        <v>208</v>
      </c>
      <c r="S639" s="193" t="s">
        <v>39</v>
      </c>
      <c r="T639" s="193" t="s">
        <v>1052</v>
      </c>
      <c r="U639" s="193" t="s">
        <v>1053</v>
      </c>
      <c r="V639" s="193" t="s">
        <v>50</v>
      </c>
      <c r="W639" s="193" t="s">
        <v>212</v>
      </c>
      <c r="X639" s="193" t="s">
        <v>232</v>
      </c>
      <c r="Y639" s="200">
        <v>4.0</v>
      </c>
      <c r="Z639" s="202" t="s">
        <v>531</v>
      </c>
      <c r="AA639" s="202" t="s">
        <v>234</v>
      </c>
      <c r="AB639" s="221"/>
      <c r="AC639" s="203">
        <v>1728.0</v>
      </c>
      <c r="AD639" s="204">
        <v>46107.0</v>
      </c>
      <c r="AE639" s="204">
        <v>46168.0</v>
      </c>
      <c r="AF639" s="205"/>
      <c r="AG639" s="206"/>
      <c r="AH639" s="206"/>
      <c r="AI639" s="206"/>
      <c r="AJ639" s="206"/>
      <c r="AK639" s="206"/>
      <c r="AL639" s="206"/>
      <c r="AM639" s="206"/>
      <c r="AN639" s="206"/>
      <c r="AO639" s="206"/>
    </row>
    <row r="640">
      <c r="A640" s="193">
        <v>20240.0</v>
      </c>
      <c r="B640" s="232" t="s">
        <v>264</v>
      </c>
      <c r="C640" s="193">
        <v>2026.0</v>
      </c>
      <c r="D640" s="199"/>
      <c r="E640" s="199"/>
      <c r="F640" s="199"/>
      <c r="G640" s="248"/>
      <c r="H640" s="199"/>
      <c r="I640" s="235"/>
      <c r="J640" s="199"/>
      <c r="K640" s="193" t="s">
        <v>206</v>
      </c>
      <c r="L640" s="232" t="s">
        <v>146</v>
      </c>
      <c r="M640" s="199"/>
      <c r="N640" s="193" t="s">
        <v>207</v>
      </c>
      <c r="O640" s="193" t="s">
        <v>206</v>
      </c>
      <c r="P640" s="193" t="s">
        <v>1046</v>
      </c>
      <c r="Q640" s="199"/>
      <c r="R640" s="193" t="s">
        <v>208</v>
      </c>
      <c r="S640" s="193" t="s">
        <v>39</v>
      </c>
      <c r="T640" s="193" t="s">
        <v>1054</v>
      </c>
      <c r="U640" s="193" t="s">
        <v>1055</v>
      </c>
      <c r="V640" s="193" t="s">
        <v>50</v>
      </c>
      <c r="W640" s="193" t="s">
        <v>212</v>
      </c>
      <c r="X640" s="193" t="s">
        <v>232</v>
      </c>
      <c r="Y640" s="200">
        <v>4.0</v>
      </c>
      <c r="Z640" s="202" t="s">
        <v>531</v>
      </c>
      <c r="AA640" s="202" t="s">
        <v>215</v>
      </c>
      <c r="AB640" s="221"/>
      <c r="AC640" s="203">
        <v>16259.16</v>
      </c>
      <c r="AD640" s="204">
        <v>46107.0</v>
      </c>
      <c r="AE640" s="204">
        <v>46168.0</v>
      </c>
      <c r="AF640" s="205"/>
      <c r="AG640" s="206"/>
      <c r="AH640" s="206"/>
      <c r="AI640" s="206"/>
      <c r="AJ640" s="206"/>
      <c r="AK640" s="206"/>
      <c r="AL640" s="206"/>
      <c r="AM640" s="206"/>
      <c r="AN640" s="206"/>
      <c r="AO640" s="206"/>
    </row>
    <row r="641">
      <c r="A641" s="193">
        <v>20260.0</v>
      </c>
      <c r="B641" s="232" t="s">
        <v>264</v>
      </c>
      <c r="C641" s="193">
        <v>2026.0</v>
      </c>
      <c r="D641" s="199"/>
      <c r="E641" s="199"/>
      <c r="F641" s="199"/>
      <c r="G641" s="248"/>
      <c r="H641" s="199"/>
      <c r="I641" s="235"/>
      <c r="J641" s="199"/>
      <c r="K641" s="193" t="s">
        <v>206</v>
      </c>
      <c r="L641" s="232" t="s">
        <v>146</v>
      </c>
      <c r="M641" s="199"/>
      <c r="N641" s="193" t="s">
        <v>207</v>
      </c>
      <c r="O641" s="193" t="s">
        <v>206</v>
      </c>
      <c r="P641" s="193" t="s">
        <v>1046</v>
      </c>
      <c r="Q641" s="199"/>
      <c r="R641" s="193" t="s">
        <v>208</v>
      </c>
      <c r="S641" s="193" t="s">
        <v>39</v>
      </c>
      <c r="T641" s="193" t="s">
        <v>1056</v>
      </c>
      <c r="U641" s="193" t="s">
        <v>1057</v>
      </c>
      <c r="V641" s="193" t="s">
        <v>50</v>
      </c>
      <c r="W641" s="193" t="s">
        <v>212</v>
      </c>
      <c r="X641" s="193" t="s">
        <v>232</v>
      </c>
      <c r="Y641" s="200">
        <v>4.0</v>
      </c>
      <c r="Z641" s="202" t="s">
        <v>531</v>
      </c>
      <c r="AA641" s="202" t="s">
        <v>215</v>
      </c>
      <c r="AB641" s="221"/>
      <c r="AC641" s="203">
        <v>3953.73</v>
      </c>
      <c r="AD641" s="204">
        <v>46107.0</v>
      </c>
      <c r="AE641" s="204">
        <v>46168.0</v>
      </c>
      <c r="AF641" s="205"/>
      <c r="AG641" s="219"/>
      <c r="AH641" s="219"/>
      <c r="AI641" s="219"/>
      <c r="AJ641" s="219"/>
      <c r="AK641" s="219"/>
      <c r="AL641" s="219"/>
      <c r="AM641" s="219"/>
      <c r="AN641" s="219"/>
      <c r="AO641" s="219"/>
    </row>
    <row r="642" ht="16.5" customHeight="1">
      <c r="A642" s="193">
        <v>20280.0</v>
      </c>
      <c r="B642" s="232" t="s">
        <v>264</v>
      </c>
      <c r="C642" s="193">
        <v>2026.0</v>
      </c>
      <c r="D642" s="199"/>
      <c r="E642" s="199"/>
      <c r="F642" s="199"/>
      <c r="G642" s="248"/>
      <c r="H642" s="199"/>
      <c r="I642" s="235"/>
      <c r="J642" s="199"/>
      <c r="K642" s="193" t="s">
        <v>206</v>
      </c>
      <c r="L642" s="232" t="s">
        <v>146</v>
      </c>
      <c r="M642" s="199"/>
      <c r="N642" s="193" t="s">
        <v>337</v>
      </c>
      <c r="O642" s="193" t="s">
        <v>206</v>
      </c>
      <c r="P642" s="193" t="s">
        <v>1046</v>
      </c>
      <c r="Q642" s="199"/>
      <c r="R642" s="193" t="s">
        <v>208</v>
      </c>
      <c r="S642" s="193" t="s">
        <v>39</v>
      </c>
      <c r="T642" s="193" t="s">
        <v>1058</v>
      </c>
      <c r="U642" s="193" t="s">
        <v>1059</v>
      </c>
      <c r="V642" s="193" t="s">
        <v>50</v>
      </c>
      <c r="W642" s="193" t="s">
        <v>212</v>
      </c>
      <c r="X642" s="193" t="s">
        <v>232</v>
      </c>
      <c r="Y642" s="200">
        <v>4.0</v>
      </c>
      <c r="Z642" s="202" t="s">
        <v>531</v>
      </c>
      <c r="AA642" s="202" t="s">
        <v>234</v>
      </c>
      <c r="AB642" s="221"/>
      <c r="AC642" s="203">
        <v>1635.84</v>
      </c>
      <c r="AD642" s="204">
        <v>46107.0</v>
      </c>
      <c r="AE642" s="204">
        <v>46168.0</v>
      </c>
      <c r="AF642" s="205"/>
      <c r="AG642" s="219"/>
      <c r="AH642" s="219"/>
      <c r="AI642" s="219"/>
      <c r="AJ642" s="219"/>
      <c r="AK642" s="219"/>
      <c r="AL642" s="219"/>
      <c r="AM642" s="219"/>
      <c r="AN642" s="219"/>
      <c r="AO642" s="219"/>
    </row>
    <row r="643" ht="16.5" customHeight="1">
      <c r="A643" s="193">
        <v>20300.0</v>
      </c>
      <c r="B643" s="232" t="s">
        <v>264</v>
      </c>
      <c r="C643" s="193">
        <v>2026.0</v>
      </c>
      <c r="D643" s="199"/>
      <c r="E643" s="199"/>
      <c r="F643" s="199"/>
      <c r="G643" s="248"/>
      <c r="H643" s="199"/>
      <c r="I643" s="220"/>
      <c r="J643" s="199"/>
      <c r="K643" s="193" t="s">
        <v>206</v>
      </c>
      <c r="L643" s="232" t="s">
        <v>146</v>
      </c>
      <c r="M643" s="199"/>
      <c r="N643" s="193" t="s">
        <v>207</v>
      </c>
      <c r="O643" s="193" t="s">
        <v>206</v>
      </c>
      <c r="P643" s="193" t="s">
        <v>1046</v>
      </c>
      <c r="Q643" s="199"/>
      <c r="R643" s="193" t="s">
        <v>208</v>
      </c>
      <c r="S643" s="193" t="s">
        <v>39</v>
      </c>
      <c r="T643" s="193" t="s">
        <v>1060</v>
      </c>
      <c r="U643" s="193" t="s">
        <v>1061</v>
      </c>
      <c r="V643" s="193" t="s">
        <v>50</v>
      </c>
      <c r="W643" s="193" t="s">
        <v>212</v>
      </c>
      <c r="X643" s="193" t="s">
        <v>232</v>
      </c>
      <c r="Y643" s="200">
        <v>4.0</v>
      </c>
      <c r="Z643" s="202" t="s">
        <v>531</v>
      </c>
      <c r="AA643" s="202" t="s">
        <v>215</v>
      </c>
      <c r="AB643" s="221"/>
      <c r="AC643" s="203">
        <v>4526.66</v>
      </c>
      <c r="AD643" s="204">
        <v>46107.0</v>
      </c>
      <c r="AE643" s="204">
        <v>46168.0</v>
      </c>
      <c r="AF643" s="205"/>
      <c r="AG643" s="206"/>
      <c r="AH643" s="206"/>
      <c r="AI643" s="206"/>
      <c r="AJ643" s="206"/>
      <c r="AK643" s="206"/>
      <c r="AL643" s="206"/>
      <c r="AM643" s="206"/>
      <c r="AN643" s="206"/>
      <c r="AO643" s="206"/>
    </row>
    <row r="644" ht="16.5" customHeight="1">
      <c r="A644" s="193">
        <v>20320.0</v>
      </c>
      <c r="B644" s="232" t="s">
        <v>264</v>
      </c>
      <c r="C644" s="193">
        <v>2026.0</v>
      </c>
      <c r="D644" s="199"/>
      <c r="E644" s="199"/>
      <c r="F644" s="199"/>
      <c r="G644" s="248"/>
      <c r="H644" s="199"/>
      <c r="I644" s="235"/>
      <c r="J644" s="199"/>
      <c r="K644" s="193" t="s">
        <v>206</v>
      </c>
      <c r="L644" s="232" t="s">
        <v>146</v>
      </c>
      <c r="M644" s="199"/>
      <c r="N644" s="193" t="s">
        <v>227</v>
      </c>
      <c r="O644" s="193" t="s">
        <v>206</v>
      </c>
      <c r="P644" s="193" t="s">
        <v>1046</v>
      </c>
      <c r="Q644" s="199"/>
      <c r="R644" s="193" t="s">
        <v>208</v>
      </c>
      <c r="S644" s="193" t="s">
        <v>39</v>
      </c>
      <c r="T644" s="193" t="s">
        <v>1062</v>
      </c>
      <c r="U644" s="193" t="s">
        <v>1063</v>
      </c>
      <c r="V644" s="193" t="s">
        <v>50</v>
      </c>
      <c r="W644" s="193" t="s">
        <v>212</v>
      </c>
      <c r="X644" s="193" t="s">
        <v>232</v>
      </c>
      <c r="Y644" s="200">
        <v>4.0</v>
      </c>
      <c r="Z644" s="202" t="s">
        <v>531</v>
      </c>
      <c r="AA644" s="202" t="s">
        <v>234</v>
      </c>
      <c r="AB644" s="221"/>
      <c r="AC644" s="203">
        <v>8640.0</v>
      </c>
      <c r="AD644" s="204">
        <v>46107.0</v>
      </c>
      <c r="AE644" s="204">
        <v>46168.0</v>
      </c>
      <c r="AF644" s="205"/>
      <c r="AG644" s="219"/>
      <c r="AH644" s="219"/>
      <c r="AI644" s="219"/>
      <c r="AJ644" s="219"/>
      <c r="AK644" s="219"/>
      <c r="AL644" s="219"/>
      <c r="AM644" s="219"/>
      <c r="AN644" s="219"/>
      <c r="AO644" s="219"/>
    </row>
    <row r="645">
      <c r="A645" s="193">
        <v>20340.0</v>
      </c>
      <c r="B645" s="232" t="s">
        <v>264</v>
      </c>
      <c r="C645" s="193">
        <v>2026.0</v>
      </c>
      <c r="D645" s="199"/>
      <c r="E645" s="199"/>
      <c r="F645" s="199"/>
      <c r="G645" s="248"/>
      <c r="H645" s="199"/>
      <c r="I645" s="220"/>
      <c r="J645" s="199"/>
      <c r="K645" s="193" t="s">
        <v>206</v>
      </c>
      <c r="L645" s="232" t="s">
        <v>146</v>
      </c>
      <c r="M645" s="199"/>
      <c r="N645" s="193" t="s">
        <v>337</v>
      </c>
      <c r="O645" s="193" t="s">
        <v>206</v>
      </c>
      <c r="P645" s="193" t="s">
        <v>1046</v>
      </c>
      <c r="Q645" s="199"/>
      <c r="R645" s="193" t="s">
        <v>208</v>
      </c>
      <c r="S645" s="193" t="s">
        <v>39</v>
      </c>
      <c r="T645" s="193" t="s">
        <v>1064</v>
      </c>
      <c r="U645" s="193" t="s">
        <v>1065</v>
      </c>
      <c r="V645" s="193" t="s">
        <v>50</v>
      </c>
      <c r="W645" s="193" t="s">
        <v>212</v>
      </c>
      <c r="X645" s="193" t="s">
        <v>232</v>
      </c>
      <c r="Y645" s="200">
        <v>4.0</v>
      </c>
      <c r="Z645" s="202" t="s">
        <v>531</v>
      </c>
      <c r="AA645" s="202" t="s">
        <v>234</v>
      </c>
      <c r="AB645" s="221"/>
      <c r="AC645" s="203">
        <v>539.56</v>
      </c>
      <c r="AD645" s="204">
        <v>46107.0</v>
      </c>
      <c r="AE645" s="204">
        <v>46168.0</v>
      </c>
      <c r="AF645" s="205"/>
      <c r="AG645" s="206"/>
      <c r="AH645" s="206"/>
      <c r="AI645" s="206"/>
      <c r="AJ645" s="206"/>
      <c r="AK645" s="206"/>
      <c r="AL645" s="206"/>
      <c r="AM645" s="206"/>
      <c r="AN645" s="206"/>
      <c r="AO645" s="206"/>
    </row>
    <row r="646">
      <c r="A646" s="193">
        <v>20360.0</v>
      </c>
      <c r="B646" s="232" t="s">
        <v>264</v>
      </c>
      <c r="C646" s="193">
        <v>2026.0</v>
      </c>
      <c r="D646" s="199"/>
      <c r="E646" s="199"/>
      <c r="F646" s="199"/>
      <c r="G646" s="248"/>
      <c r="H646" s="199"/>
      <c r="I646" s="220"/>
      <c r="J646" s="199"/>
      <c r="K646" s="193" t="s">
        <v>206</v>
      </c>
      <c r="L646" s="232" t="s">
        <v>146</v>
      </c>
      <c r="M646" s="199"/>
      <c r="N646" s="193" t="s">
        <v>337</v>
      </c>
      <c r="O646" s="193" t="s">
        <v>206</v>
      </c>
      <c r="P646" s="193" t="s">
        <v>1046</v>
      </c>
      <c r="Q646" s="199"/>
      <c r="R646" s="193" t="s">
        <v>208</v>
      </c>
      <c r="S646" s="193" t="s">
        <v>39</v>
      </c>
      <c r="T646" s="193" t="s">
        <v>1066</v>
      </c>
      <c r="U646" s="193" t="s">
        <v>1067</v>
      </c>
      <c r="V646" s="193" t="s">
        <v>50</v>
      </c>
      <c r="W646" s="193" t="s">
        <v>212</v>
      </c>
      <c r="X646" s="193" t="s">
        <v>232</v>
      </c>
      <c r="Y646" s="200">
        <v>4.0</v>
      </c>
      <c r="Z646" s="202" t="s">
        <v>531</v>
      </c>
      <c r="AA646" s="202" t="s">
        <v>234</v>
      </c>
      <c r="AB646" s="221"/>
      <c r="AC646" s="203">
        <v>42369.84</v>
      </c>
      <c r="AD646" s="204">
        <v>46107.0</v>
      </c>
      <c r="AE646" s="204">
        <v>46168.0</v>
      </c>
      <c r="AF646" s="205"/>
      <c r="AG646" s="206"/>
      <c r="AH646" s="206"/>
      <c r="AI646" s="206"/>
      <c r="AJ646" s="206"/>
      <c r="AK646" s="206"/>
      <c r="AL646" s="206"/>
      <c r="AM646" s="206"/>
      <c r="AN646" s="206"/>
      <c r="AO646" s="206"/>
    </row>
    <row r="647">
      <c r="A647" s="193">
        <v>20380.0</v>
      </c>
      <c r="B647" s="232" t="s">
        <v>264</v>
      </c>
      <c r="C647" s="193">
        <v>2026.0</v>
      </c>
      <c r="D647" s="199"/>
      <c r="E647" s="199"/>
      <c r="F647" s="199"/>
      <c r="G647" s="248"/>
      <c r="H647" s="199"/>
      <c r="I647" s="235"/>
      <c r="J647" s="199"/>
      <c r="K647" s="193" t="s">
        <v>206</v>
      </c>
      <c r="L647" s="232" t="s">
        <v>146</v>
      </c>
      <c r="M647" s="199"/>
      <c r="N647" s="193" t="s">
        <v>227</v>
      </c>
      <c r="O647" s="193" t="s">
        <v>206</v>
      </c>
      <c r="P647" s="193" t="s">
        <v>485</v>
      </c>
      <c r="Q647" s="199"/>
      <c r="R647" s="193" t="s">
        <v>208</v>
      </c>
      <c r="S647" s="193" t="s">
        <v>39</v>
      </c>
      <c r="T647" s="193" t="s">
        <v>1068</v>
      </c>
      <c r="U647" s="193" t="s">
        <v>1069</v>
      </c>
      <c r="V647" s="193" t="s">
        <v>50</v>
      </c>
      <c r="W647" s="193" t="s">
        <v>212</v>
      </c>
      <c r="X647" s="193" t="s">
        <v>232</v>
      </c>
      <c r="Y647" s="200">
        <v>4.0</v>
      </c>
      <c r="Z647" s="202" t="s">
        <v>531</v>
      </c>
      <c r="AA647" s="202" t="s">
        <v>234</v>
      </c>
      <c r="AB647" s="221"/>
      <c r="AC647" s="203">
        <v>11500.0</v>
      </c>
      <c r="AD647" s="204">
        <v>46107.0</v>
      </c>
      <c r="AE647" s="204">
        <v>46168.0</v>
      </c>
      <c r="AF647" s="205"/>
      <c r="AG647" s="206"/>
      <c r="AH647" s="206"/>
      <c r="AI647" s="206"/>
      <c r="AJ647" s="206"/>
      <c r="AK647" s="206"/>
      <c r="AL647" s="206"/>
      <c r="AM647" s="206"/>
      <c r="AN647" s="206"/>
      <c r="AO647" s="206"/>
    </row>
    <row r="648">
      <c r="A648" s="193">
        <v>20400.0</v>
      </c>
      <c r="B648" s="232" t="s">
        <v>264</v>
      </c>
      <c r="C648" s="193">
        <v>2026.0</v>
      </c>
      <c r="D648" s="199"/>
      <c r="E648" s="199"/>
      <c r="F648" s="199"/>
      <c r="G648" s="248"/>
      <c r="H648" s="199"/>
      <c r="I648" s="220"/>
      <c r="J648" s="199"/>
      <c r="K648" s="193" t="s">
        <v>206</v>
      </c>
      <c r="L648" s="232" t="s">
        <v>146</v>
      </c>
      <c r="M648" s="199"/>
      <c r="N648" s="193" t="s">
        <v>207</v>
      </c>
      <c r="O648" s="193" t="s">
        <v>206</v>
      </c>
      <c r="P648" s="193" t="s">
        <v>485</v>
      </c>
      <c r="Q648" s="199"/>
      <c r="R648" s="193" t="s">
        <v>208</v>
      </c>
      <c r="S648" s="193" t="s">
        <v>39</v>
      </c>
      <c r="T648" s="193" t="s">
        <v>1070</v>
      </c>
      <c r="U648" s="193" t="s">
        <v>1071</v>
      </c>
      <c r="V648" s="193" t="s">
        <v>50</v>
      </c>
      <c r="W648" s="193" t="s">
        <v>212</v>
      </c>
      <c r="X648" s="193" t="s">
        <v>232</v>
      </c>
      <c r="Y648" s="200">
        <v>4.0</v>
      </c>
      <c r="Z648" s="202" t="s">
        <v>531</v>
      </c>
      <c r="AA648" s="202" t="s">
        <v>215</v>
      </c>
      <c r="AB648" s="221"/>
      <c r="AC648" s="203">
        <v>1440.0</v>
      </c>
      <c r="AD648" s="204">
        <v>46107.0</v>
      </c>
      <c r="AE648" s="204">
        <v>46168.0</v>
      </c>
      <c r="AF648" s="205"/>
      <c r="AG648" s="206"/>
      <c r="AH648" s="206"/>
      <c r="AI648" s="206"/>
      <c r="AJ648" s="206"/>
      <c r="AK648" s="206"/>
      <c r="AL648" s="206"/>
      <c r="AM648" s="206"/>
      <c r="AN648" s="206"/>
      <c r="AO648" s="206"/>
    </row>
    <row r="649">
      <c r="A649" s="193">
        <v>20420.0</v>
      </c>
      <c r="B649" s="232" t="s">
        <v>264</v>
      </c>
      <c r="C649" s="193">
        <v>2026.0</v>
      </c>
      <c r="D649" s="199"/>
      <c r="E649" s="199"/>
      <c r="F649" s="199"/>
      <c r="G649" s="199"/>
      <c r="H649" s="199"/>
      <c r="I649" s="199"/>
      <c r="J649" s="199"/>
      <c r="K649" s="193" t="s">
        <v>206</v>
      </c>
      <c r="L649" s="232" t="s">
        <v>146</v>
      </c>
      <c r="M649" s="199"/>
      <c r="N649" s="193" t="s">
        <v>227</v>
      </c>
      <c r="O649" s="193" t="s">
        <v>206</v>
      </c>
      <c r="P649" s="193" t="s">
        <v>485</v>
      </c>
      <c r="Q649" s="199"/>
      <c r="R649" s="193" t="s">
        <v>208</v>
      </c>
      <c r="S649" s="193" t="s">
        <v>39</v>
      </c>
      <c r="T649" s="193" t="s">
        <v>1072</v>
      </c>
      <c r="U649" s="193" t="s">
        <v>1051</v>
      </c>
      <c r="V649" s="193" t="s">
        <v>50</v>
      </c>
      <c r="W649" s="193" t="s">
        <v>212</v>
      </c>
      <c r="X649" s="193" t="s">
        <v>232</v>
      </c>
      <c r="Y649" s="200">
        <v>4.0</v>
      </c>
      <c r="Z649" s="202" t="s">
        <v>531</v>
      </c>
      <c r="AA649" s="202" t="s">
        <v>234</v>
      </c>
      <c r="AB649" s="221"/>
      <c r="AC649" s="203">
        <v>7346.42</v>
      </c>
      <c r="AD649" s="204">
        <v>46107.0</v>
      </c>
      <c r="AE649" s="204">
        <v>46168.0</v>
      </c>
      <c r="AF649" s="205"/>
      <c r="AG649" s="206"/>
      <c r="AH649" s="206"/>
      <c r="AI649" s="206"/>
      <c r="AJ649" s="206"/>
      <c r="AK649" s="206"/>
      <c r="AL649" s="206"/>
      <c r="AM649" s="206"/>
      <c r="AN649" s="206"/>
      <c r="AO649" s="206"/>
    </row>
    <row r="650">
      <c r="A650" s="193">
        <v>20440.0</v>
      </c>
      <c r="B650" s="232" t="s">
        <v>264</v>
      </c>
      <c r="C650" s="193">
        <v>2026.0</v>
      </c>
      <c r="D650" s="199"/>
      <c r="E650" s="199"/>
      <c r="F650" s="199"/>
      <c r="G650" s="248"/>
      <c r="H650" s="199"/>
      <c r="I650" s="220"/>
      <c r="J650" s="199"/>
      <c r="K650" s="193" t="s">
        <v>206</v>
      </c>
      <c r="L650" s="232" t="s">
        <v>146</v>
      </c>
      <c r="M650" s="199"/>
      <c r="N650" s="193" t="s">
        <v>621</v>
      </c>
      <c r="O650" s="193" t="s">
        <v>206</v>
      </c>
      <c r="P650" s="193" t="s">
        <v>485</v>
      </c>
      <c r="Q650" s="199"/>
      <c r="R650" s="193" t="s">
        <v>208</v>
      </c>
      <c r="S650" s="193" t="s">
        <v>39</v>
      </c>
      <c r="T650" s="193" t="s">
        <v>1073</v>
      </c>
      <c r="U650" s="193" t="s">
        <v>1074</v>
      </c>
      <c r="V650" s="193" t="s">
        <v>50</v>
      </c>
      <c r="W650" s="193" t="s">
        <v>212</v>
      </c>
      <c r="X650" s="193" t="s">
        <v>232</v>
      </c>
      <c r="Y650" s="200">
        <v>4.0</v>
      </c>
      <c r="Z650" s="202" t="s">
        <v>531</v>
      </c>
      <c r="AA650" s="202" t="s">
        <v>234</v>
      </c>
      <c r="AB650" s="221"/>
      <c r="AC650" s="203">
        <v>1100.0</v>
      </c>
      <c r="AD650" s="204">
        <v>46107.0</v>
      </c>
      <c r="AE650" s="204">
        <v>46168.0</v>
      </c>
      <c r="AF650" s="205"/>
      <c r="AG650" s="206"/>
      <c r="AH650" s="206"/>
      <c r="AI650" s="206"/>
      <c r="AJ650" s="206"/>
      <c r="AK650" s="206"/>
      <c r="AL650" s="206"/>
      <c r="AM650" s="206"/>
      <c r="AN650" s="206"/>
      <c r="AO650" s="206"/>
    </row>
    <row r="651">
      <c r="A651" s="193">
        <v>20460.0</v>
      </c>
      <c r="B651" s="232" t="s">
        <v>264</v>
      </c>
      <c r="C651" s="193">
        <v>2026.0</v>
      </c>
      <c r="D651" s="199"/>
      <c r="E651" s="199"/>
      <c r="F651" s="199"/>
      <c r="G651" s="199"/>
      <c r="H651" s="199"/>
      <c r="I651" s="199"/>
      <c r="J651" s="199"/>
      <c r="K651" s="193" t="s">
        <v>206</v>
      </c>
      <c r="L651" s="232" t="s">
        <v>146</v>
      </c>
      <c r="M651" s="199"/>
      <c r="N651" s="193" t="s">
        <v>337</v>
      </c>
      <c r="O651" s="193" t="s">
        <v>206</v>
      </c>
      <c r="P651" s="193" t="s">
        <v>673</v>
      </c>
      <c r="Q651" s="199"/>
      <c r="R651" s="193" t="s">
        <v>208</v>
      </c>
      <c r="S651" s="193" t="s">
        <v>39</v>
      </c>
      <c r="T651" s="193" t="s">
        <v>1075</v>
      </c>
      <c r="U651" s="193" t="s">
        <v>1076</v>
      </c>
      <c r="V651" s="193" t="s">
        <v>50</v>
      </c>
      <c r="W651" s="193" t="s">
        <v>212</v>
      </c>
      <c r="X651" s="193" t="s">
        <v>232</v>
      </c>
      <c r="Y651" s="200">
        <v>4.0</v>
      </c>
      <c r="Z651" s="202" t="s">
        <v>531</v>
      </c>
      <c r="AA651" s="202" t="s">
        <v>234</v>
      </c>
      <c r="AB651" s="221"/>
      <c r="AC651" s="203">
        <v>29841.25</v>
      </c>
      <c r="AD651" s="204">
        <v>46107.0</v>
      </c>
      <c r="AE651" s="204">
        <v>46168.0</v>
      </c>
      <c r="AF651" s="205"/>
      <c r="AG651" s="206"/>
      <c r="AH651" s="206"/>
      <c r="AI651" s="206"/>
      <c r="AJ651" s="206"/>
      <c r="AK651" s="206"/>
      <c r="AL651" s="206"/>
      <c r="AM651" s="206"/>
      <c r="AN651" s="206"/>
      <c r="AO651" s="206"/>
    </row>
    <row r="652">
      <c r="A652" s="193">
        <v>20480.0</v>
      </c>
      <c r="B652" s="232" t="s">
        <v>264</v>
      </c>
      <c r="C652" s="193">
        <v>2026.0</v>
      </c>
      <c r="D652" s="199"/>
      <c r="E652" s="199"/>
      <c r="F652" s="199"/>
      <c r="G652" s="248"/>
      <c r="H652" s="199"/>
      <c r="I652" s="235"/>
      <c r="J652" s="199"/>
      <c r="K652" s="193" t="s">
        <v>206</v>
      </c>
      <c r="L652" s="232" t="s">
        <v>146</v>
      </c>
      <c r="M652" s="199"/>
      <c r="N652" s="193" t="s">
        <v>227</v>
      </c>
      <c r="O652" s="193" t="s">
        <v>206</v>
      </c>
      <c r="P652" s="193" t="s">
        <v>673</v>
      </c>
      <c r="Q652" s="199"/>
      <c r="R652" s="193" t="s">
        <v>208</v>
      </c>
      <c r="S652" s="193" t="s">
        <v>39</v>
      </c>
      <c r="T652" s="193" t="s">
        <v>1077</v>
      </c>
      <c r="U652" s="193" t="s">
        <v>1078</v>
      </c>
      <c r="V652" s="193" t="s">
        <v>50</v>
      </c>
      <c r="W652" s="193" t="s">
        <v>212</v>
      </c>
      <c r="X652" s="193" t="s">
        <v>232</v>
      </c>
      <c r="Y652" s="200">
        <v>4.0</v>
      </c>
      <c r="Z652" s="202" t="s">
        <v>531</v>
      </c>
      <c r="AA652" s="202" t="s">
        <v>234</v>
      </c>
      <c r="AB652" s="221"/>
      <c r="AC652" s="203">
        <v>14544.52</v>
      </c>
      <c r="AD652" s="204">
        <v>46107.0</v>
      </c>
      <c r="AE652" s="204">
        <v>46168.0</v>
      </c>
      <c r="AF652" s="205"/>
      <c r="AG652" s="206"/>
      <c r="AH652" s="206"/>
      <c r="AI652" s="206"/>
      <c r="AJ652" s="206"/>
      <c r="AK652" s="206"/>
      <c r="AL652" s="206"/>
      <c r="AM652" s="206"/>
      <c r="AN652" s="206"/>
      <c r="AO652" s="206"/>
    </row>
    <row r="653">
      <c r="A653" s="193">
        <v>20500.0</v>
      </c>
      <c r="B653" s="232" t="s">
        <v>264</v>
      </c>
      <c r="C653" s="193">
        <v>2026.0</v>
      </c>
      <c r="D653" s="199"/>
      <c r="E653" s="199"/>
      <c r="F653" s="199"/>
      <c r="G653" s="248"/>
      <c r="H653" s="199"/>
      <c r="I653" s="235"/>
      <c r="J653" s="199"/>
      <c r="K653" s="193" t="s">
        <v>206</v>
      </c>
      <c r="L653" s="232" t="s">
        <v>146</v>
      </c>
      <c r="M653" s="199"/>
      <c r="N653" s="193" t="s">
        <v>337</v>
      </c>
      <c r="O653" s="193" t="s">
        <v>206</v>
      </c>
      <c r="P653" s="193" t="s">
        <v>673</v>
      </c>
      <c r="Q653" s="199"/>
      <c r="R653" s="193" t="s">
        <v>208</v>
      </c>
      <c r="S653" s="193" t="s">
        <v>39</v>
      </c>
      <c r="T653" s="193" t="s">
        <v>1079</v>
      </c>
      <c r="U653" s="193" t="s">
        <v>1080</v>
      </c>
      <c r="V653" s="193" t="s">
        <v>50</v>
      </c>
      <c r="W653" s="193" t="s">
        <v>212</v>
      </c>
      <c r="X653" s="193" t="s">
        <v>232</v>
      </c>
      <c r="Y653" s="200">
        <v>4.0</v>
      </c>
      <c r="Z653" s="202" t="s">
        <v>531</v>
      </c>
      <c r="AA653" s="202" t="s">
        <v>234</v>
      </c>
      <c r="AB653" s="221"/>
      <c r="AC653" s="203">
        <v>127233.1</v>
      </c>
      <c r="AD653" s="204">
        <v>46107.0</v>
      </c>
      <c r="AE653" s="204">
        <v>46168.0</v>
      </c>
      <c r="AF653" s="205"/>
      <c r="AG653" s="206"/>
      <c r="AH653" s="206"/>
      <c r="AI653" s="206"/>
      <c r="AJ653" s="206"/>
      <c r="AK653" s="206"/>
      <c r="AL653" s="206"/>
      <c r="AM653" s="206"/>
      <c r="AN653" s="206"/>
      <c r="AO653" s="206"/>
    </row>
    <row r="654">
      <c r="A654" s="193">
        <v>20520.0</v>
      </c>
      <c r="B654" s="232" t="s">
        <v>264</v>
      </c>
      <c r="C654" s="193">
        <v>2026.0</v>
      </c>
      <c r="D654" s="199"/>
      <c r="E654" s="199"/>
      <c r="F654" s="199"/>
      <c r="G654" s="248"/>
      <c r="H654" s="199"/>
      <c r="I654" s="220"/>
      <c r="J654" s="199"/>
      <c r="K654" s="193" t="s">
        <v>206</v>
      </c>
      <c r="L654" s="232" t="s">
        <v>146</v>
      </c>
      <c r="M654" s="199"/>
      <c r="N654" s="193" t="s">
        <v>337</v>
      </c>
      <c r="O654" s="193" t="s">
        <v>206</v>
      </c>
      <c r="P654" s="193" t="s">
        <v>673</v>
      </c>
      <c r="Q654" s="199"/>
      <c r="R654" s="193" t="s">
        <v>208</v>
      </c>
      <c r="S654" s="193" t="s">
        <v>39</v>
      </c>
      <c r="T654" s="193" t="s">
        <v>1081</v>
      </c>
      <c r="U654" s="193" t="s">
        <v>1082</v>
      </c>
      <c r="V654" s="193" t="s">
        <v>50</v>
      </c>
      <c r="W654" s="193" t="s">
        <v>212</v>
      </c>
      <c r="X654" s="193" t="s">
        <v>232</v>
      </c>
      <c r="Y654" s="200">
        <v>4.0</v>
      </c>
      <c r="Z654" s="202" t="s">
        <v>531</v>
      </c>
      <c r="AA654" s="202" t="s">
        <v>234</v>
      </c>
      <c r="AB654" s="221"/>
      <c r="AC654" s="203">
        <v>7920.0</v>
      </c>
      <c r="AD654" s="204">
        <v>46107.0</v>
      </c>
      <c r="AE654" s="204">
        <v>46168.0</v>
      </c>
      <c r="AF654" s="205"/>
      <c r="AG654" s="206"/>
      <c r="AH654" s="206"/>
      <c r="AI654" s="206"/>
      <c r="AJ654" s="206"/>
      <c r="AK654" s="206"/>
      <c r="AL654" s="206"/>
      <c r="AM654" s="206"/>
      <c r="AN654" s="206"/>
      <c r="AO654" s="206"/>
    </row>
    <row r="655">
      <c r="A655" s="193">
        <v>20540.0</v>
      </c>
      <c r="B655" s="232" t="s">
        <v>264</v>
      </c>
      <c r="C655" s="193">
        <v>2026.0</v>
      </c>
      <c r="D655" s="199"/>
      <c r="E655" s="199"/>
      <c r="F655" s="199"/>
      <c r="G655" s="248"/>
      <c r="H655" s="199"/>
      <c r="I655" s="235"/>
      <c r="J655" s="199"/>
      <c r="K655" s="193" t="s">
        <v>206</v>
      </c>
      <c r="L655" s="232" t="s">
        <v>146</v>
      </c>
      <c r="M655" s="199"/>
      <c r="N655" s="193" t="s">
        <v>337</v>
      </c>
      <c r="O655" s="193" t="s">
        <v>206</v>
      </c>
      <c r="P655" s="193" t="s">
        <v>673</v>
      </c>
      <c r="Q655" s="199"/>
      <c r="R655" s="193" t="s">
        <v>208</v>
      </c>
      <c r="S655" s="193" t="s">
        <v>39</v>
      </c>
      <c r="T655" s="193" t="s">
        <v>1083</v>
      </c>
      <c r="U655" s="193" t="s">
        <v>1067</v>
      </c>
      <c r="V655" s="193" t="s">
        <v>50</v>
      </c>
      <c r="W655" s="193" t="s">
        <v>212</v>
      </c>
      <c r="X655" s="193" t="s">
        <v>232</v>
      </c>
      <c r="Y655" s="200">
        <v>4.0</v>
      </c>
      <c r="Z655" s="202" t="s">
        <v>531</v>
      </c>
      <c r="AA655" s="202" t="s">
        <v>234</v>
      </c>
      <c r="AB655" s="221"/>
      <c r="AC655" s="203">
        <v>21184.83</v>
      </c>
      <c r="AD655" s="204">
        <v>46107.0</v>
      </c>
      <c r="AE655" s="204">
        <v>46168.0</v>
      </c>
      <c r="AF655" s="205"/>
      <c r="AG655" s="206"/>
      <c r="AH655" s="206"/>
      <c r="AI655" s="206"/>
      <c r="AJ655" s="206"/>
      <c r="AK655" s="206"/>
      <c r="AL655" s="206"/>
      <c r="AM655" s="206"/>
      <c r="AN655" s="206"/>
      <c r="AO655" s="206"/>
    </row>
    <row r="656">
      <c r="A656" s="193">
        <v>20560.0</v>
      </c>
      <c r="B656" s="232" t="s">
        <v>264</v>
      </c>
      <c r="C656" s="193">
        <v>2026.0</v>
      </c>
      <c r="D656" s="199"/>
      <c r="E656" s="199"/>
      <c r="F656" s="199"/>
      <c r="G656" s="220"/>
      <c r="H656" s="199"/>
      <c r="I656" s="220"/>
      <c r="J656" s="199"/>
      <c r="K656" s="193" t="s">
        <v>206</v>
      </c>
      <c r="L656" s="232" t="s">
        <v>146</v>
      </c>
      <c r="M656" s="199"/>
      <c r="N656" s="193" t="s">
        <v>337</v>
      </c>
      <c r="O656" s="193" t="s">
        <v>206</v>
      </c>
      <c r="P656" s="193" t="s">
        <v>673</v>
      </c>
      <c r="Q656" s="199"/>
      <c r="R656" s="193" t="s">
        <v>208</v>
      </c>
      <c r="S656" s="193" t="s">
        <v>39</v>
      </c>
      <c r="T656" s="193" t="s">
        <v>1084</v>
      </c>
      <c r="U656" s="193" t="s">
        <v>1085</v>
      </c>
      <c r="V656" s="193" t="s">
        <v>50</v>
      </c>
      <c r="W656" s="193" t="s">
        <v>212</v>
      </c>
      <c r="X656" s="193" t="s">
        <v>232</v>
      </c>
      <c r="Y656" s="200">
        <v>4.0</v>
      </c>
      <c r="Z656" s="202" t="s">
        <v>531</v>
      </c>
      <c r="AA656" s="202" t="s">
        <v>234</v>
      </c>
      <c r="AB656" s="221"/>
      <c r="AC656" s="203">
        <v>45695.26</v>
      </c>
      <c r="AD656" s="204">
        <v>46107.0</v>
      </c>
      <c r="AE656" s="204">
        <v>46168.0</v>
      </c>
      <c r="AF656" s="205"/>
      <c r="AG656" s="206"/>
      <c r="AH656" s="206"/>
      <c r="AI656" s="206"/>
      <c r="AJ656" s="206"/>
      <c r="AK656" s="206"/>
      <c r="AL656" s="206"/>
      <c r="AM656" s="206"/>
      <c r="AN656" s="206"/>
      <c r="AO656" s="206"/>
    </row>
    <row r="657">
      <c r="A657" s="193">
        <v>20580.0</v>
      </c>
      <c r="B657" s="232" t="s">
        <v>264</v>
      </c>
      <c r="C657" s="193">
        <v>2026.0</v>
      </c>
      <c r="D657" s="199"/>
      <c r="E657" s="199"/>
      <c r="F657" s="199"/>
      <c r="G657" s="220"/>
      <c r="H657" s="199"/>
      <c r="I657" s="220"/>
      <c r="J657" s="199"/>
      <c r="K657" s="193" t="s">
        <v>206</v>
      </c>
      <c r="L657" s="232" t="s">
        <v>146</v>
      </c>
      <c r="M657" s="199"/>
      <c r="N657" s="193" t="s">
        <v>337</v>
      </c>
      <c r="O657" s="193" t="s">
        <v>206</v>
      </c>
      <c r="P657" s="193" t="s">
        <v>673</v>
      </c>
      <c r="Q657" s="199"/>
      <c r="R657" s="193" t="s">
        <v>208</v>
      </c>
      <c r="S657" s="193" t="s">
        <v>39</v>
      </c>
      <c r="T657" s="193" t="s">
        <v>1086</v>
      </c>
      <c r="U657" s="193" t="s">
        <v>1033</v>
      </c>
      <c r="V657" s="193" t="s">
        <v>50</v>
      </c>
      <c r="W657" s="193" t="s">
        <v>212</v>
      </c>
      <c r="X657" s="193" t="s">
        <v>232</v>
      </c>
      <c r="Y657" s="200">
        <v>4.0</v>
      </c>
      <c r="Z657" s="202" t="s">
        <v>531</v>
      </c>
      <c r="AA657" s="202" t="s">
        <v>234</v>
      </c>
      <c r="AB657" s="221"/>
      <c r="AC657" s="203">
        <v>281540.88</v>
      </c>
      <c r="AD657" s="204">
        <v>46107.0</v>
      </c>
      <c r="AE657" s="204">
        <v>46168.0</v>
      </c>
      <c r="AF657" s="205"/>
      <c r="AG657" s="206"/>
      <c r="AH657" s="206"/>
      <c r="AI657" s="206"/>
      <c r="AJ657" s="206"/>
      <c r="AK657" s="206"/>
      <c r="AL657" s="206"/>
      <c r="AM657" s="206"/>
      <c r="AN657" s="206"/>
      <c r="AO657" s="206"/>
    </row>
    <row r="658">
      <c r="A658" s="193">
        <v>20600.0</v>
      </c>
      <c r="B658" s="232" t="s">
        <v>264</v>
      </c>
      <c r="C658" s="193">
        <v>2026.0</v>
      </c>
      <c r="D658" s="199"/>
      <c r="E658" s="199"/>
      <c r="F658" s="199"/>
      <c r="G658" s="220"/>
      <c r="H658" s="199"/>
      <c r="I658" s="220"/>
      <c r="J658" s="199"/>
      <c r="K658" s="193" t="s">
        <v>206</v>
      </c>
      <c r="L658" s="232" t="s">
        <v>146</v>
      </c>
      <c r="M658" s="199"/>
      <c r="N658" s="193" t="s">
        <v>227</v>
      </c>
      <c r="O658" s="193" t="s">
        <v>206</v>
      </c>
      <c r="P658" s="193" t="s">
        <v>673</v>
      </c>
      <c r="Q658" s="199"/>
      <c r="R658" s="193" t="s">
        <v>208</v>
      </c>
      <c r="S658" s="193" t="s">
        <v>39</v>
      </c>
      <c r="T658" s="193" t="s">
        <v>1087</v>
      </c>
      <c r="U658" s="193" t="s">
        <v>1031</v>
      </c>
      <c r="V658" s="193" t="s">
        <v>50</v>
      </c>
      <c r="W658" s="193" t="s">
        <v>212</v>
      </c>
      <c r="X658" s="193" t="s">
        <v>232</v>
      </c>
      <c r="Y658" s="200">
        <v>4.0</v>
      </c>
      <c r="Z658" s="202" t="s">
        <v>531</v>
      </c>
      <c r="AA658" s="202" t="s">
        <v>234</v>
      </c>
      <c r="AB658" s="221"/>
      <c r="AC658" s="203">
        <v>3281.48</v>
      </c>
      <c r="AD658" s="204">
        <v>46107.0</v>
      </c>
      <c r="AE658" s="204">
        <v>46168.0</v>
      </c>
      <c r="AF658" s="205"/>
      <c r="AG658" s="206"/>
      <c r="AH658" s="206"/>
      <c r="AI658" s="206"/>
      <c r="AJ658" s="206"/>
      <c r="AK658" s="206"/>
      <c r="AL658" s="206"/>
      <c r="AM658" s="206"/>
      <c r="AN658" s="206"/>
      <c r="AO658" s="206"/>
    </row>
    <row r="659">
      <c r="A659" s="193">
        <v>20620.0</v>
      </c>
      <c r="B659" s="232" t="s">
        <v>264</v>
      </c>
      <c r="C659" s="193">
        <v>2026.0</v>
      </c>
      <c r="D659" s="199"/>
      <c r="E659" s="199"/>
      <c r="F659" s="199"/>
      <c r="G659" s="220"/>
      <c r="H659" s="199"/>
      <c r="I659" s="220"/>
      <c r="J659" s="199"/>
      <c r="K659" s="193" t="s">
        <v>206</v>
      </c>
      <c r="L659" s="232" t="s">
        <v>146</v>
      </c>
      <c r="M659" s="199"/>
      <c r="N659" s="193" t="s">
        <v>337</v>
      </c>
      <c r="O659" s="193" t="s">
        <v>206</v>
      </c>
      <c r="P659" s="193" t="s">
        <v>673</v>
      </c>
      <c r="Q659" s="199"/>
      <c r="R659" s="193" t="s">
        <v>208</v>
      </c>
      <c r="S659" s="193" t="s">
        <v>39</v>
      </c>
      <c r="T659" s="193" t="s">
        <v>1088</v>
      </c>
      <c r="U659" s="193" t="s">
        <v>1089</v>
      </c>
      <c r="V659" s="193" t="s">
        <v>50</v>
      </c>
      <c r="W659" s="193" t="s">
        <v>212</v>
      </c>
      <c r="X659" s="193" t="s">
        <v>232</v>
      </c>
      <c r="Y659" s="200">
        <v>4.0</v>
      </c>
      <c r="Z659" s="202" t="s">
        <v>531</v>
      </c>
      <c r="AA659" s="202" t="s">
        <v>234</v>
      </c>
      <c r="AB659" s="221"/>
      <c r="AC659" s="203">
        <v>17226.02</v>
      </c>
      <c r="AD659" s="204">
        <v>46107.0</v>
      </c>
      <c r="AE659" s="204">
        <v>46168.0</v>
      </c>
      <c r="AF659" s="205"/>
      <c r="AG659" s="206"/>
      <c r="AH659" s="206"/>
      <c r="AI659" s="206"/>
      <c r="AJ659" s="206"/>
      <c r="AK659" s="206"/>
      <c r="AL659" s="206"/>
      <c r="AM659" s="206"/>
      <c r="AN659" s="206"/>
      <c r="AO659" s="206"/>
    </row>
    <row r="660">
      <c r="A660" s="193">
        <v>20640.0</v>
      </c>
      <c r="B660" s="232" t="s">
        <v>264</v>
      </c>
      <c r="C660" s="193">
        <v>2026.0</v>
      </c>
      <c r="D660" s="199"/>
      <c r="E660" s="199"/>
      <c r="F660" s="199"/>
      <c r="G660" s="220"/>
      <c r="H660" s="199"/>
      <c r="I660" s="220"/>
      <c r="J660" s="199"/>
      <c r="K660" s="193" t="s">
        <v>206</v>
      </c>
      <c r="L660" s="232" t="s">
        <v>146</v>
      </c>
      <c r="M660" s="199"/>
      <c r="N660" s="193" t="s">
        <v>337</v>
      </c>
      <c r="O660" s="193" t="s">
        <v>206</v>
      </c>
      <c r="P660" s="193" t="s">
        <v>673</v>
      </c>
      <c r="Q660" s="199"/>
      <c r="R660" s="193" t="s">
        <v>208</v>
      </c>
      <c r="S660" s="193" t="s">
        <v>39</v>
      </c>
      <c r="T660" s="193" t="s">
        <v>1090</v>
      </c>
      <c r="U660" s="193" t="s">
        <v>1091</v>
      </c>
      <c r="V660" s="193" t="s">
        <v>50</v>
      </c>
      <c r="W660" s="193" t="s">
        <v>212</v>
      </c>
      <c r="X660" s="193" t="s">
        <v>232</v>
      </c>
      <c r="Y660" s="200">
        <v>4.0</v>
      </c>
      <c r="Z660" s="202" t="s">
        <v>531</v>
      </c>
      <c r="AA660" s="202" t="s">
        <v>234</v>
      </c>
      <c r="AB660" s="221"/>
      <c r="AC660" s="203">
        <v>5614.08</v>
      </c>
      <c r="AD660" s="204">
        <v>46107.0</v>
      </c>
      <c r="AE660" s="204">
        <v>46168.0</v>
      </c>
      <c r="AF660" s="205"/>
      <c r="AG660" s="206"/>
      <c r="AH660" s="206"/>
      <c r="AI660" s="206"/>
      <c r="AJ660" s="206"/>
      <c r="AK660" s="206"/>
      <c r="AL660" s="206"/>
      <c r="AM660" s="206"/>
      <c r="AN660" s="206"/>
      <c r="AO660" s="206"/>
    </row>
    <row r="661">
      <c r="A661" s="193">
        <v>20660.0</v>
      </c>
      <c r="B661" s="232" t="s">
        <v>264</v>
      </c>
      <c r="C661" s="193">
        <v>2026.0</v>
      </c>
      <c r="D661" s="199"/>
      <c r="E661" s="199"/>
      <c r="F661" s="199"/>
      <c r="G661" s="220"/>
      <c r="H661" s="199"/>
      <c r="I661" s="235"/>
      <c r="J661" s="199"/>
      <c r="K661" s="193" t="s">
        <v>206</v>
      </c>
      <c r="L661" s="232" t="s">
        <v>146</v>
      </c>
      <c r="M661" s="199"/>
      <c r="N661" s="193" t="s">
        <v>337</v>
      </c>
      <c r="O661" s="193" t="s">
        <v>206</v>
      </c>
      <c r="P661" s="193" t="s">
        <v>673</v>
      </c>
      <c r="Q661" s="199"/>
      <c r="R661" s="193" t="s">
        <v>208</v>
      </c>
      <c r="S661" s="193" t="s">
        <v>39</v>
      </c>
      <c r="T661" s="193" t="s">
        <v>1092</v>
      </c>
      <c r="U661" s="193" t="s">
        <v>1093</v>
      </c>
      <c r="V661" s="193" t="s">
        <v>50</v>
      </c>
      <c r="W661" s="193" t="s">
        <v>212</v>
      </c>
      <c r="X661" s="193" t="s">
        <v>232</v>
      </c>
      <c r="Y661" s="200">
        <v>4.0</v>
      </c>
      <c r="Z661" s="202" t="s">
        <v>531</v>
      </c>
      <c r="AA661" s="202" t="s">
        <v>234</v>
      </c>
      <c r="AB661" s="221"/>
      <c r="AC661" s="203">
        <v>41310.1</v>
      </c>
      <c r="AD661" s="204">
        <v>46107.0</v>
      </c>
      <c r="AE661" s="204">
        <v>46168.0</v>
      </c>
      <c r="AF661" s="205"/>
      <c r="AG661" s="206"/>
      <c r="AH661" s="206"/>
      <c r="AI661" s="206"/>
      <c r="AJ661" s="206"/>
      <c r="AK661" s="206"/>
      <c r="AL661" s="206"/>
      <c r="AM661" s="206"/>
      <c r="AN661" s="206"/>
      <c r="AO661" s="206"/>
    </row>
    <row r="662">
      <c r="A662" s="193">
        <v>20680.0</v>
      </c>
      <c r="B662" s="232" t="s">
        <v>264</v>
      </c>
      <c r="C662" s="193">
        <v>2026.0</v>
      </c>
      <c r="D662" s="199"/>
      <c r="E662" s="199"/>
      <c r="F662" s="199"/>
      <c r="G662" s="220"/>
      <c r="H662" s="199"/>
      <c r="I662" s="220"/>
      <c r="J662" s="199"/>
      <c r="K662" s="193" t="s">
        <v>206</v>
      </c>
      <c r="L662" s="232" t="s">
        <v>146</v>
      </c>
      <c r="M662" s="199"/>
      <c r="N662" s="193" t="s">
        <v>337</v>
      </c>
      <c r="O662" s="193" t="s">
        <v>206</v>
      </c>
      <c r="P662" s="193" t="s">
        <v>673</v>
      </c>
      <c r="Q662" s="199"/>
      <c r="R662" s="193" t="s">
        <v>208</v>
      </c>
      <c r="S662" s="193" t="s">
        <v>39</v>
      </c>
      <c r="T662" s="193" t="s">
        <v>1094</v>
      </c>
      <c r="U662" s="193" t="s">
        <v>1095</v>
      </c>
      <c r="V662" s="193" t="s">
        <v>50</v>
      </c>
      <c r="W662" s="193" t="s">
        <v>212</v>
      </c>
      <c r="X662" s="193" t="s">
        <v>232</v>
      </c>
      <c r="Y662" s="200">
        <v>4.0</v>
      </c>
      <c r="Z662" s="202" t="s">
        <v>531</v>
      </c>
      <c r="AA662" s="202" t="s">
        <v>234</v>
      </c>
      <c r="AB662" s="221"/>
      <c r="AC662" s="203">
        <v>71840.16</v>
      </c>
      <c r="AD662" s="204">
        <v>46107.0</v>
      </c>
      <c r="AE662" s="204">
        <v>46168.0</v>
      </c>
      <c r="AF662" s="205"/>
      <c r="AG662" s="206"/>
      <c r="AH662" s="206"/>
      <c r="AI662" s="206"/>
      <c r="AJ662" s="206"/>
      <c r="AK662" s="206"/>
      <c r="AL662" s="206"/>
      <c r="AM662" s="206"/>
      <c r="AN662" s="206"/>
      <c r="AO662" s="206"/>
    </row>
    <row r="663">
      <c r="A663" s="193">
        <v>20700.0</v>
      </c>
      <c r="B663" s="232" t="s">
        <v>264</v>
      </c>
      <c r="C663" s="193">
        <v>2026.0</v>
      </c>
      <c r="D663" s="199"/>
      <c r="E663" s="199"/>
      <c r="F663" s="199"/>
      <c r="G663" s="220"/>
      <c r="H663" s="199"/>
      <c r="I663" s="220"/>
      <c r="J663" s="199"/>
      <c r="K663" s="193" t="s">
        <v>206</v>
      </c>
      <c r="L663" s="232" t="s">
        <v>146</v>
      </c>
      <c r="M663" s="199"/>
      <c r="N663" s="193" t="s">
        <v>337</v>
      </c>
      <c r="O663" s="193" t="s">
        <v>206</v>
      </c>
      <c r="P663" s="193" t="s">
        <v>673</v>
      </c>
      <c r="Q663" s="199"/>
      <c r="R663" s="193" t="s">
        <v>208</v>
      </c>
      <c r="S663" s="193" t="s">
        <v>39</v>
      </c>
      <c r="T663" s="193" t="s">
        <v>1096</v>
      </c>
      <c r="U663" s="193" t="s">
        <v>1097</v>
      </c>
      <c r="V663" s="193" t="s">
        <v>50</v>
      </c>
      <c r="W663" s="193" t="s">
        <v>212</v>
      </c>
      <c r="X663" s="193" t="s">
        <v>232</v>
      </c>
      <c r="Y663" s="200">
        <v>4.0</v>
      </c>
      <c r="Z663" s="202" t="s">
        <v>531</v>
      </c>
      <c r="AA663" s="202" t="s">
        <v>234</v>
      </c>
      <c r="AB663" s="221"/>
      <c r="AC663" s="203">
        <v>49691.71</v>
      </c>
      <c r="AD663" s="204">
        <v>46107.0</v>
      </c>
      <c r="AE663" s="204">
        <v>46168.0</v>
      </c>
      <c r="AF663" s="205"/>
      <c r="AG663" s="206"/>
      <c r="AH663" s="206"/>
      <c r="AI663" s="206"/>
      <c r="AJ663" s="206"/>
      <c r="AK663" s="206"/>
      <c r="AL663" s="206"/>
      <c r="AM663" s="206"/>
      <c r="AN663" s="206"/>
      <c r="AO663" s="206"/>
    </row>
    <row r="664">
      <c r="A664" s="193">
        <v>20720.0</v>
      </c>
      <c r="B664" s="232" t="s">
        <v>264</v>
      </c>
      <c r="C664" s="193">
        <v>2026.0</v>
      </c>
      <c r="D664" s="199"/>
      <c r="E664" s="199"/>
      <c r="F664" s="199"/>
      <c r="G664" s="348"/>
      <c r="H664" s="199"/>
      <c r="I664" s="348"/>
      <c r="J664" s="199"/>
      <c r="K664" s="193" t="s">
        <v>206</v>
      </c>
      <c r="L664" s="232" t="s">
        <v>146</v>
      </c>
      <c r="M664" s="199"/>
      <c r="N664" s="193" t="s">
        <v>337</v>
      </c>
      <c r="O664" s="193" t="s">
        <v>206</v>
      </c>
      <c r="P664" s="193" t="s">
        <v>673</v>
      </c>
      <c r="Q664" s="199"/>
      <c r="R664" s="193" t="s">
        <v>208</v>
      </c>
      <c r="S664" s="193" t="s">
        <v>39</v>
      </c>
      <c r="T664" s="193" t="s">
        <v>1098</v>
      </c>
      <c r="U664" s="193" t="s">
        <v>1099</v>
      </c>
      <c r="V664" s="193" t="s">
        <v>50</v>
      </c>
      <c r="W664" s="193" t="s">
        <v>212</v>
      </c>
      <c r="X664" s="193" t="s">
        <v>232</v>
      </c>
      <c r="Y664" s="200">
        <v>4.0</v>
      </c>
      <c r="Z664" s="202" t="s">
        <v>531</v>
      </c>
      <c r="AA664" s="202" t="s">
        <v>234</v>
      </c>
      <c r="AB664" s="221"/>
      <c r="AC664" s="203">
        <v>10170.63</v>
      </c>
      <c r="AD664" s="204">
        <v>46107.0</v>
      </c>
      <c r="AE664" s="204">
        <v>46168.0</v>
      </c>
      <c r="AF664" s="205"/>
      <c r="AG664" s="206"/>
      <c r="AH664" s="206"/>
      <c r="AI664" s="206"/>
      <c r="AJ664" s="206"/>
      <c r="AK664" s="206"/>
      <c r="AL664" s="206"/>
      <c r="AM664" s="206"/>
      <c r="AN664" s="206"/>
      <c r="AO664" s="206"/>
    </row>
    <row r="665">
      <c r="A665" s="193">
        <v>20740.0</v>
      </c>
      <c r="B665" s="232" t="s">
        <v>264</v>
      </c>
      <c r="C665" s="193">
        <v>2026.0</v>
      </c>
      <c r="D665" s="199"/>
      <c r="E665" s="199"/>
      <c r="F665" s="199"/>
      <c r="G665" s="348"/>
      <c r="H665" s="199"/>
      <c r="I665" s="348"/>
      <c r="J665" s="199"/>
      <c r="K665" s="193" t="s">
        <v>206</v>
      </c>
      <c r="L665" s="232" t="s">
        <v>146</v>
      </c>
      <c r="M665" s="199"/>
      <c r="N665" s="193" t="s">
        <v>337</v>
      </c>
      <c r="O665" s="193" t="s">
        <v>206</v>
      </c>
      <c r="P665" s="193" t="s">
        <v>673</v>
      </c>
      <c r="Q665" s="199"/>
      <c r="R665" s="193" t="s">
        <v>208</v>
      </c>
      <c r="S665" s="193" t="s">
        <v>39</v>
      </c>
      <c r="T665" s="193" t="s">
        <v>1100</v>
      </c>
      <c r="U665" s="193" t="s">
        <v>1101</v>
      </c>
      <c r="V665" s="193" t="s">
        <v>50</v>
      </c>
      <c r="W665" s="193" t="s">
        <v>212</v>
      </c>
      <c r="X665" s="193" t="s">
        <v>232</v>
      </c>
      <c r="Y665" s="200">
        <v>4.0</v>
      </c>
      <c r="Z665" s="202" t="s">
        <v>531</v>
      </c>
      <c r="AA665" s="202" t="s">
        <v>234</v>
      </c>
      <c r="AB665" s="221"/>
      <c r="AC665" s="203">
        <v>10390.56</v>
      </c>
      <c r="AD665" s="204">
        <v>46107.0</v>
      </c>
      <c r="AE665" s="204">
        <v>46168.0</v>
      </c>
      <c r="AF665" s="205"/>
      <c r="AG665" s="206"/>
      <c r="AH665" s="206"/>
      <c r="AI665" s="206"/>
      <c r="AJ665" s="206"/>
      <c r="AK665" s="206"/>
      <c r="AL665" s="206"/>
      <c r="AM665" s="206"/>
      <c r="AN665" s="206"/>
      <c r="AO665" s="206"/>
    </row>
    <row r="666">
      <c r="A666" s="193">
        <v>20760.0</v>
      </c>
      <c r="B666" s="232" t="s">
        <v>264</v>
      </c>
      <c r="C666" s="193">
        <v>2026.0</v>
      </c>
      <c r="D666" s="199"/>
      <c r="E666" s="199"/>
      <c r="F666" s="199"/>
      <c r="G666" s="348"/>
      <c r="H666" s="199"/>
      <c r="I666" s="348"/>
      <c r="J666" s="199"/>
      <c r="K666" s="193" t="s">
        <v>206</v>
      </c>
      <c r="L666" s="232" t="s">
        <v>146</v>
      </c>
      <c r="M666" s="199"/>
      <c r="N666" s="193" t="s">
        <v>337</v>
      </c>
      <c r="O666" s="193" t="s">
        <v>206</v>
      </c>
      <c r="P666" s="193" t="s">
        <v>673</v>
      </c>
      <c r="Q666" s="199"/>
      <c r="R666" s="193" t="s">
        <v>208</v>
      </c>
      <c r="S666" s="193" t="s">
        <v>39</v>
      </c>
      <c r="T666" s="193" t="s">
        <v>1102</v>
      </c>
      <c r="U666" s="193" t="s">
        <v>1103</v>
      </c>
      <c r="V666" s="193" t="s">
        <v>50</v>
      </c>
      <c r="W666" s="193" t="s">
        <v>212</v>
      </c>
      <c r="X666" s="193" t="s">
        <v>232</v>
      </c>
      <c r="Y666" s="200">
        <v>4.0</v>
      </c>
      <c r="Z666" s="202" t="s">
        <v>531</v>
      </c>
      <c r="AA666" s="202" t="s">
        <v>234</v>
      </c>
      <c r="AB666" s="221"/>
      <c r="AC666" s="203">
        <v>16649.76</v>
      </c>
      <c r="AD666" s="204">
        <v>46107.0</v>
      </c>
      <c r="AE666" s="204">
        <v>46168.0</v>
      </c>
      <c r="AF666" s="205"/>
      <c r="AG666" s="206"/>
      <c r="AH666" s="206"/>
      <c r="AI666" s="206"/>
      <c r="AJ666" s="206"/>
      <c r="AK666" s="206"/>
      <c r="AL666" s="206"/>
      <c r="AM666" s="206"/>
      <c r="AN666" s="206"/>
      <c r="AO666" s="206"/>
    </row>
    <row r="667">
      <c r="A667" s="193">
        <v>20780.0</v>
      </c>
      <c r="B667" s="232" t="s">
        <v>264</v>
      </c>
      <c r="C667" s="193">
        <v>2026.0</v>
      </c>
      <c r="D667" s="199"/>
      <c r="E667" s="199"/>
      <c r="F667" s="199"/>
      <c r="G667" s="220"/>
      <c r="H667" s="199"/>
      <c r="I667" s="220"/>
      <c r="J667" s="199"/>
      <c r="K667" s="193" t="s">
        <v>206</v>
      </c>
      <c r="L667" s="232" t="s">
        <v>146</v>
      </c>
      <c r="M667" s="199"/>
      <c r="N667" s="193" t="s">
        <v>337</v>
      </c>
      <c r="O667" s="193" t="s">
        <v>206</v>
      </c>
      <c r="P667" s="193" t="s">
        <v>673</v>
      </c>
      <c r="Q667" s="199"/>
      <c r="R667" s="193" t="s">
        <v>208</v>
      </c>
      <c r="S667" s="193" t="s">
        <v>39</v>
      </c>
      <c r="T667" s="193" t="s">
        <v>1104</v>
      </c>
      <c r="U667" s="193" t="s">
        <v>1105</v>
      </c>
      <c r="V667" s="193" t="s">
        <v>50</v>
      </c>
      <c r="W667" s="193" t="s">
        <v>212</v>
      </c>
      <c r="X667" s="193" t="s">
        <v>232</v>
      </c>
      <c r="Y667" s="200">
        <v>4.0</v>
      </c>
      <c r="Z667" s="202" t="s">
        <v>531</v>
      </c>
      <c r="AA667" s="202" t="s">
        <v>234</v>
      </c>
      <c r="AB667" s="221"/>
      <c r="AC667" s="203">
        <v>16761.31</v>
      </c>
      <c r="AD667" s="204">
        <v>46107.0</v>
      </c>
      <c r="AE667" s="204">
        <v>46168.0</v>
      </c>
      <c r="AF667" s="205"/>
      <c r="AG667" s="206"/>
      <c r="AH667" s="206"/>
      <c r="AI667" s="206"/>
      <c r="AJ667" s="206"/>
      <c r="AK667" s="206"/>
      <c r="AL667" s="206"/>
      <c r="AM667" s="206"/>
      <c r="AN667" s="206"/>
      <c r="AO667" s="206"/>
    </row>
    <row r="668">
      <c r="A668" s="193">
        <v>20800.0</v>
      </c>
      <c r="B668" s="232" t="s">
        <v>264</v>
      </c>
      <c r="C668" s="193">
        <v>2026.0</v>
      </c>
      <c r="D668" s="199"/>
      <c r="E668" s="199"/>
      <c r="F668" s="199"/>
      <c r="G668" s="248"/>
      <c r="H668" s="199"/>
      <c r="I668" s="220"/>
      <c r="J668" s="199"/>
      <c r="K668" s="193" t="s">
        <v>206</v>
      </c>
      <c r="L668" s="232" t="s">
        <v>146</v>
      </c>
      <c r="M668" s="199"/>
      <c r="N668" s="193" t="s">
        <v>227</v>
      </c>
      <c r="O668" s="193" t="s">
        <v>206</v>
      </c>
      <c r="P668" s="193" t="s">
        <v>673</v>
      </c>
      <c r="Q668" s="199"/>
      <c r="R668" s="193" t="s">
        <v>208</v>
      </c>
      <c r="S668" s="193" t="s">
        <v>39</v>
      </c>
      <c r="T668" s="193" t="s">
        <v>1106</v>
      </c>
      <c r="U668" s="193" t="s">
        <v>1107</v>
      </c>
      <c r="V668" s="193" t="s">
        <v>50</v>
      </c>
      <c r="W668" s="193" t="s">
        <v>212</v>
      </c>
      <c r="X668" s="193" t="s">
        <v>232</v>
      </c>
      <c r="Y668" s="200">
        <v>4.0</v>
      </c>
      <c r="Z668" s="202" t="s">
        <v>531</v>
      </c>
      <c r="AA668" s="202" t="s">
        <v>234</v>
      </c>
      <c r="AB668" s="221"/>
      <c r="AC668" s="203">
        <v>78663.08</v>
      </c>
      <c r="AD668" s="204">
        <v>46107.0</v>
      </c>
      <c r="AE668" s="204">
        <v>46168.0</v>
      </c>
      <c r="AF668" s="205"/>
      <c r="AG668" s="206"/>
      <c r="AH668" s="206"/>
      <c r="AI668" s="206"/>
      <c r="AJ668" s="206"/>
      <c r="AK668" s="206"/>
      <c r="AL668" s="206"/>
      <c r="AM668" s="206"/>
      <c r="AN668" s="206"/>
      <c r="AO668" s="206"/>
    </row>
    <row r="669">
      <c r="A669" s="193">
        <v>20820.0</v>
      </c>
      <c r="B669" s="232" t="s">
        <v>264</v>
      </c>
      <c r="C669" s="193">
        <v>2026.0</v>
      </c>
      <c r="D669" s="199"/>
      <c r="E669" s="199"/>
      <c r="F669" s="199"/>
      <c r="G669" s="248"/>
      <c r="H669" s="199"/>
      <c r="I669" s="235"/>
      <c r="J669" s="199"/>
      <c r="K669" s="193" t="s">
        <v>206</v>
      </c>
      <c r="L669" s="232" t="s">
        <v>146</v>
      </c>
      <c r="M669" s="199"/>
      <c r="N669" s="193" t="s">
        <v>337</v>
      </c>
      <c r="O669" s="193" t="s">
        <v>206</v>
      </c>
      <c r="P669" s="193" t="s">
        <v>673</v>
      </c>
      <c r="Q669" s="199"/>
      <c r="R669" s="193" t="s">
        <v>208</v>
      </c>
      <c r="S669" s="193" t="s">
        <v>39</v>
      </c>
      <c r="T669" s="193" t="s">
        <v>1108</v>
      </c>
      <c r="U669" s="193" t="s">
        <v>1109</v>
      </c>
      <c r="V669" s="193" t="s">
        <v>50</v>
      </c>
      <c r="W669" s="193" t="s">
        <v>212</v>
      </c>
      <c r="X669" s="193" t="s">
        <v>232</v>
      </c>
      <c r="Y669" s="200">
        <v>4.0</v>
      </c>
      <c r="Z669" s="202" t="s">
        <v>531</v>
      </c>
      <c r="AA669" s="202" t="s">
        <v>234</v>
      </c>
      <c r="AB669" s="221"/>
      <c r="AC669" s="203">
        <v>16148.16</v>
      </c>
      <c r="AD669" s="204">
        <v>46107.0</v>
      </c>
      <c r="AE669" s="204">
        <v>46168.0</v>
      </c>
      <c r="AF669" s="205"/>
      <c r="AG669" s="206"/>
      <c r="AH669" s="206"/>
      <c r="AI669" s="206"/>
      <c r="AJ669" s="206"/>
      <c r="AK669" s="206"/>
      <c r="AL669" s="206"/>
      <c r="AM669" s="206"/>
      <c r="AN669" s="206"/>
      <c r="AO669" s="206"/>
    </row>
    <row r="670">
      <c r="A670" s="193">
        <v>20840.0</v>
      </c>
      <c r="B670" s="232" t="s">
        <v>264</v>
      </c>
      <c r="C670" s="193">
        <v>2026.0</v>
      </c>
      <c r="D670" s="199"/>
      <c r="E670" s="199"/>
      <c r="F670" s="199"/>
      <c r="G670" s="220"/>
      <c r="H670" s="199"/>
      <c r="I670" s="220"/>
      <c r="J670" s="199"/>
      <c r="K670" s="193" t="s">
        <v>206</v>
      </c>
      <c r="L670" s="232" t="s">
        <v>146</v>
      </c>
      <c r="M670" s="199"/>
      <c r="N670" s="193" t="s">
        <v>227</v>
      </c>
      <c r="O670" s="193" t="s">
        <v>206</v>
      </c>
      <c r="P670" s="193" t="s">
        <v>673</v>
      </c>
      <c r="Q670" s="199"/>
      <c r="R670" s="193" t="s">
        <v>208</v>
      </c>
      <c r="S670" s="193" t="s">
        <v>39</v>
      </c>
      <c r="T670" s="193" t="s">
        <v>1110</v>
      </c>
      <c r="U670" s="193" t="s">
        <v>1111</v>
      </c>
      <c r="V670" s="193" t="s">
        <v>50</v>
      </c>
      <c r="W670" s="193" t="s">
        <v>212</v>
      </c>
      <c r="X670" s="193" t="s">
        <v>232</v>
      </c>
      <c r="Y670" s="200">
        <v>4.0</v>
      </c>
      <c r="Z670" s="202" t="s">
        <v>531</v>
      </c>
      <c r="AA670" s="202" t="s">
        <v>234</v>
      </c>
      <c r="AB670" s="221"/>
      <c r="AC670" s="203">
        <v>3528.8</v>
      </c>
      <c r="AD670" s="204">
        <v>46107.0</v>
      </c>
      <c r="AE670" s="204">
        <v>46168.0</v>
      </c>
      <c r="AF670" s="205"/>
      <c r="AG670" s="206"/>
      <c r="AH670" s="206"/>
      <c r="AI670" s="206"/>
      <c r="AJ670" s="206"/>
      <c r="AK670" s="206"/>
      <c r="AL670" s="206"/>
      <c r="AM670" s="206"/>
      <c r="AN670" s="206"/>
      <c r="AO670" s="206"/>
    </row>
    <row r="671">
      <c r="A671" s="193">
        <v>20860.0</v>
      </c>
      <c r="B671" s="232" t="s">
        <v>264</v>
      </c>
      <c r="C671" s="193">
        <v>2026.0</v>
      </c>
      <c r="D671" s="199"/>
      <c r="E671" s="199"/>
      <c r="F671" s="199"/>
      <c r="G671" s="220"/>
      <c r="H671" s="199"/>
      <c r="I671" s="220"/>
      <c r="J671" s="199"/>
      <c r="K671" s="193" t="s">
        <v>206</v>
      </c>
      <c r="L671" s="232" t="s">
        <v>146</v>
      </c>
      <c r="M671" s="199"/>
      <c r="N671" s="193" t="s">
        <v>337</v>
      </c>
      <c r="O671" s="193" t="s">
        <v>206</v>
      </c>
      <c r="P671" s="193" t="s">
        <v>673</v>
      </c>
      <c r="Q671" s="199"/>
      <c r="R671" s="193" t="s">
        <v>208</v>
      </c>
      <c r="S671" s="193" t="s">
        <v>39</v>
      </c>
      <c r="T671" s="193" t="s">
        <v>1112</v>
      </c>
      <c r="U671" s="193" t="s">
        <v>1113</v>
      </c>
      <c r="V671" s="193" t="s">
        <v>50</v>
      </c>
      <c r="W671" s="193" t="s">
        <v>212</v>
      </c>
      <c r="X671" s="193" t="s">
        <v>232</v>
      </c>
      <c r="Y671" s="200">
        <v>4.0</v>
      </c>
      <c r="Z671" s="202" t="s">
        <v>531</v>
      </c>
      <c r="AA671" s="202" t="s">
        <v>234</v>
      </c>
      <c r="AB671" s="221"/>
      <c r="AC671" s="203">
        <v>11510.24</v>
      </c>
      <c r="AD671" s="204">
        <v>46107.0</v>
      </c>
      <c r="AE671" s="204">
        <v>46168.0</v>
      </c>
      <c r="AF671" s="205"/>
      <c r="AG671" s="206"/>
      <c r="AH671" s="206"/>
      <c r="AI671" s="206"/>
      <c r="AJ671" s="206"/>
      <c r="AK671" s="206"/>
      <c r="AL671" s="206"/>
      <c r="AM671" s="206"/>
      <c r="AN671" s="206"/>
      <c r="AO671" s="206"/>
    </row>
    <row r="672">
      <c r="A672" s="193">
        <v>20880.0</v>
      </c>
      <c r="B672" s="232" t="s">
        <v>264</v>
      </c>
      <c r="C672" s="193">
        <v>2026.0</v>
      </c>
      <c r="D672" s="199"/>
      <c r="E672" s="199"/>
      <c r="F672" s="199"/>
      <c r="G672" s="248"/>
      <c r="H672" s="199"/>
      <c r="I672" s="235"/>
      <c r="J672" s="199"/>
      <c r="K672" s="193" t="s">
        <v>206</v>
      </c>
      <c r="L672" s="232" t="s">
        <v>146</v>
      </c>
      <c r="M672" s="199"/>
      <c r="N672" s="193" t="s">
        <v>337</v>
      </c>
      <c r="O672" s="193" t="s">
        <v>206</v>
      </c>
      <c r="P672" s="193" t="s">
        <v>673</v>
      </c>
      <c r="Q672" s="199"/>
      <c r="R672" s="193" t="s">
        <v>208</v>
      </c>
      <c r="S672" s="193" t="s">
        <v>39</v>
      </c>
      <c r="T672" s="193" t="s">
        <v>1114</v>
      </c>
      <c r="U672" s="193" t="s">
        <v>1023</v>
      </c>
      <c r="V672" s="193" t="s">
        <v>50</v>
      </c>
      <c r="W672" s="193" t="s">
        <v>212</v>
      </c>
      <c r="X672" s="193" t="s">
        <v>232</v>
      </c>
      <c r="Y672" s="200">
        <v>4.0</v>
      </c>
      <c r="Z672" s="202" t="s">
        <v>531</v>
      </c>
      <c r="AA672" s="202" t="s">
        <v>234</v>
      </c>
      <c r="AB672" s="221"/>
      <c r="AC672" s="203">
        <v>6448.5</v>
      </c>
      <c r="AD672" s="204">
        <v>46107.0</v>
      </c>
      <c r="AE672" s="204">
        <v>46168.0</v>
      </c>
      <c r="AF672" s="205"/>
      <c r="AG672" s="206"/>
      <c r="AH672" s="206"/>
      <c r="AI672" s="206"/>
      <c r="AJ672" s="206"/>
      <c r="AK672" s="206"/>
      <c r="AL672" s="206"/>
      <c r="AM672" s="206"/>
      <c r="AN672" s="206"/>
      <c r="AO672" s="206"/>
    </row>
    <row r="673">
      <c r="A673" s="193">
        <v>20900.0</v>
      </c>
      <c r="B673" s="232" t="s">
        <v>264</v>
      </c>
      <c r="C673" s="193">
        <v>2026.0</v>
      </c>
      <c r="D673" s="199"/>
      <c r="E673" s="199"/>
      <c r="F673" s="199"/>
      <c r="G673" s="248"/>
      <c r="H673" s="199"/>
      <c r="I673" s="220"/>
      <c r="J673" s="199"/>
      <c r="K673" s="193" t="s">
        <v>206</v>
      </c>
      <c r="L673" s="232" t="s">
        <v>146</v>
      </c>
      <c r="M673" s="199"/>
      <c r="N673" s="193" t="s">
        <v>337</v>
      </c>
      <c r="O673" s="193" t="s">
        <v>206</v>
      </c>
      <c r="P673" s="193" t="s">
        <v>673</v>
      </c>
      <c r="Q673" s="199"/>
      <c r="R673" s="193" t="s">
        <v>208</v>
      </c>
      <c r="S673" s="193" t="s">
        <v>39</v>
      </c>
      <c r="T673" s="193" t="s">
        <v>1115</v>
      </c>
      <c r="U673" s="193" t="s">
        <v>1116</v>
      </c>
      <c r="V673" s="193" t="s">
        <v>50</v>
      </c>
      <c r="W673" s="193" t="s">
        <v>212</v>
      </c>
      <c r="X673" s="193" t="s">
        <v>232</v>
      </c>
      <c r="Y673" s="200">
        <v>4.0</v>
      </c>
      <c r="Z673" s="202" t="s">
        <v>531</v>
      </c>
      <c r="AA673" s="202" t="s">
        <v>234</v>
      </c>
      <c r="AB673" s="221"/>
      <c r="AC673" s="203">
        <v>1621.61</v>
      </c>
      <c r="AD673" s="204">
        <v>46107.0</v>
      </c>
      <c r="AE673" s="204">
        <v>46168.0</v>
      </c>
      <c r="AF673" s="205"/>
      <c r="AG673" s="206"/>
      <c r="AH673" s="206"/>
      <c r="AI673" s="206"/>
      <c r="AJ673" s="206"/>
      <c r="AK673" s="206"/>
      <c r="AL673" s="206"/>
      <c r="AM673" s="206"/>
      <c r="AN673" s="206"/>
      <c r="AO673" s="206"/>
    </row>
    <row r="674">
      <c r="A674" s="193">
        <v>20920.0</v>
      </c>
      <c r="B674" s="232" t="s">
        <v>264</v>
      </c>
      <c r="C674" s="193">
        <v>2026.0</v>
      </c>
      <c r="D674" s="199"/>
      <c r="E674" s="199"/>
      <c r="F674" s="199"/>
      <c r="G674" s="248"/>
      <c r="H674" s="199"/>
      <c r="I674" s="220"/>
      <c r="J674" s="199"/>
      <c r="K674" s="193" t="s">
        <v>206</v>
      </c>
      <c r="L674" s="232" t="s">
        <v>146</v>
      </c>
      <c r="M674" s="199"/>
      <c r="N674" s="193" t="s">
        <v>337</v>
      </c>
      <c r="O674" s="193" t="s">
        <v>206</v>
      </c>
      <c r="P674" s="193" t="s">
        <v>673</v>
      </c>
      <c r="Q674" s="207"/>
      <c r="R674" s="208" t="s">
        <v>208</v>
      </c>
      <c r="S674" s="193" t="s">
        <v>39</v>
      </c>
      <c r="T674" s="193" t="s">
        <v>1117</v>
      </c>
      <c r="U674" s="193" t="s">
        <v>1118</v>
      </c>
      <c r="V674" s="193" t="s">
        <v>50</v>
      </c>
      <c r="W674" s="193" t="s">
        <v>212</v>
      </c>
      <c r="X674" s="193" t="s">
        <v>232</v>
      </c>
      <c r="Y674" s="200">
        <v>4.0</v>
      </c>
      <c r="Z674" s="202" t="s">
        <v>531</v>
      </c>
      <c r="AA674" s="202" t="s">
        <v>234</v>
      </c>
      <c r="AB674" s="221"/>
      <c r="AC674" s="203">
        <v>193536.0</v>
      </c>
      <c r="AD674" s="204">
        <v>46107.0</v>
      </c>
      <c r="AE674" s="204">
        <v>46168.0</v>
      </c>
      <c r="AF674" s="205"/>
      <c r="AG674" s="206"/>
      <c r="AH674" s="206"/>
      <c r="AI674" s="206"/>
      <c r="AJ674" s="206"/>
      <c r="AK674" s="206"/>
      <c r="AL674" s="206"/>
      <c r="AM674" s="206"/>
      <c r="AN674" s="206"/>
      <c r="AO674" s="206"/>
    </row>
    <row r="675">
      <c r="A675" s="193">
        <v>20940.0</v>
      </c>
      <c r="B675" s="232" t="s">
        <v>264</v>
      </c>
      <c r="C675" s="193">
        <v>2026.0</v>
      </c>
      <c r="D675" s="199"/>
      <c r="E675" s="199"/>
      <c r="F675" s="199"/>
      <c r="G675" s="248"/>
      <c r="H675" s="199"/>
      <c r="I675" s="348"/>
      <c r="J675" s="199"/>
      <c r="K675" s="193" t="s">
        <v>206</v>
      </c>
      <c r="L675" s="232" t="s">
        <v>146</v>
      </c>
      <c r="M675" s="199"/>
      <c r="N675" s="193" t="s">
        <v>337</v>
      </c>
      <c r="O675" s="193" t="s">
        <v>206</v>
      </c>
      <c r="P675" s="193" t="s">
        <v>1119</v>
      </c>
      <c r="Q675" s="207"/>
      <c r="R675" s="208" t="s">
        <v>208</v>
      </c>
      <c r="S675" s="193" t="s">
        <v>39</v>
      </c>
      <c r="T675" s="193" t="s">
        <v>1120</v>
      </c>
      <c r="U675" s="193" t="s">
        <v>1082</v>
      </c>
      <c r="V675" s="193" t="s">
        <v>50</v>
      </c>
      <c r="W675" s="193" t="s">
        <v>212</v>
      </c>
      <c r="X675" s="193" t="s">
        <v>232</v>
      </c>
      <c r="Y675" s="200">
        <v>4.0</v>
      </c>
      <c r="Z675" s="202" t="s">
        <v>531</v>
      </c>
      <c r="AA675" s="202" t="s">
        <v>234</v>
      </c>
      <c r="AB675" s="221"/>
      <c r="AC675" s="203">
        <v>7920.0</v>
      </c>
      <c r="AD675" s="204">
        <v>46107.0</v>
      </c>
      <c r="AE675" s="204">
        <v>46168.0</v>
      </c>
      <c r="AF675" s="205"/>
      <c r="AG675" s="206"/>
      <c r="AH675" s="206"/>
      <c r="AI675" s="206"/>
      <c r="AJ675" s="206"/>
      <c r="AK675" s="206"/>
      <c r="AL675" s="206"/>
      <c r="AM675" s="206"/>
      <c r="AN675" s="206"/>
      <c r="AO675" s="206"/>
    </row>
    <row r="676">
      <c r="A676" s="193">
        <v>20960.0</v>
      </c>
      <c r="B676" s="232" t="s">
        <v>264</v>
      </c>
      <c r="C676" s="193">
        <v>2026.0</v>
      </c>
      <c r="D676" s="199"/>
      <c r="E676" s="199"/>
      <c r="F676" s="199"/>
      <c r="G676" s="248"/>
      <c r="H676" s="199"/>
      <c r="I676" s="348"/>
      <c r="J676" s="199"/>
      <c r="K676" s="193" t="s">
        <v>206</v>
      </c>
      <c r="L676" s="232" t="s">
        <v>146</v>
      </c>
      <c r="M676" s="199"/>
      <c r="N676" s="193" t="s">
        <v>207</v>
      </c>
      <c r="O676" s="193" t="s">
        <v>206</v>
      </c>
      <c r="P676" s="193" t="s">
        <v>1119</v>
      </c>
      <c r="Q676" s="207"/>
      <c r="R676" s="208" t="s">
        <v>208</v>
      </c>
      <c r="S676" s="193" t="s">
        <v>39</v>
      </c>
      <c r="T676" s="193" t="s">
        <v>1121</v>
      </c>
      <c r="U676" s="193" t="s">
        <v>1122</v>
      </c>
      <c r="V676" s="193" t="s">
        <v>50</v>
      </c>
      <c r="W676" s="193" t="s">
        <v>212</v>
      </c>
      <c r="X676" s="193" t="s">
        <v>232</v>
      </c>
      <c r="Y676" s="200">
        <v>4.0</v>
      </c>
      <c r="Z676" s="202" t="s">
        <v>531</v>
      </c>
      <c r="AA676" s="202" t="s">
        <v>215</v>
      </c>
      <c r="AB676" s="221"/>
      <c r="AC676" s="203">
        <v>6912.0</v>
      </c>
      <c r="AD676" s="204">
        <v>46107.0</v>
      </c>
      <c r="AE676" s="204">
        <v>46168.0</v>
      </c>
      <c r="AF676" s="205"/>
      <c r="AG676" s="206"/>
      <c r="AH676" s="206"/>
      <c r="AI676" s="206"/>
      <c r="AJ676" s="206"/>
      <c r="AK676" s="206"/>
      <c r="AL676" s="206"/>
      <c r="AM676" s="206"/>
      <c r="AN676" s="206"/>
      <c r="AO676" s="206"/>
    </row>
    <row r="677">
      <c r="A677" s="193">
        <v>20980.0</v>
      </c>
      <c r="B677" s="232" t="s">
        <v>264</v>
      </c>
      <c r="C677" s="193">
        <v>2026.0</v>
      </c>
      <c r="D677" s="199"/>
      <c r="E677" s="199"/>
      <c r="F677" s="199"/>
      <c r="G677" s="248"/>
      <c r="H677" s="199"/>
      <c r="I677" s="235"/>
      <c r="J677" s="199"/>
      <c r="K677" s="193" t="s">
        <v>206</v>
      </c>
      <c r="L677" s="232" t="s">
        <v>146</v>
      </c>
      <c r="M677" s="199"/>
      <c r="N677" s="193" t="s">
        <v>337</v>
      </c>
      <c r="O677" s="193" t="s">
        <v>206</v>
      </c>
      <c r="P677" s="193" t="s">
        <v>1119</v>
      </c>
      <c r="Q677" s="207"/>
      <c r="R677" s="208" t="s">
        <v>208</v>
      </c>
      <c r="S677" s="193" t="s">
        <v>39</v>
      </c>
      <c r="T677" s="193" t="s">
        <v>1123</v>
      </c>
      <c r="U677" s="193" t="s">
        <v>1124</v>
      </c>
      <c r="V677" s="193" t="s">
        <v>50</v>
      </c>
      <c r="W677" s="193" t="s">
        <v>212</v>
      </c>
      <c r="X677" s="193" t="s">
        <v>232</v>
      </c>
      <c r="Y677" s="200">
        <v>4.0</v>
      </c>
      <c r="Z677" s="202" t="s">
        <v>531</v>
      </c>
      <c r="AA677" s="202" t="s">
        <v>234</v>
      </c>
      <c r="AB677" s="221"/>
      <c r="AC677" s="203">
        <v>14346.09</v>
      </c>
      <c r="AD677" s="204">
        <v>46107.0</v>
      </c>
      <c r="AE677" s="204">
        <v>46168.0</v>
      </c>
      <c r="AF677" s="205"/>
      <c r="AG677" s="206"/>
      <c r="AH677" s="206"/>
      <c r="AI677" s="206"/>
      <c r="AJ677" s="206"/>
      <c r="AK677" s="206"/>
      <c r="AL677" s="206"/>
      <c r="AM677" s="206"/>
      <c r="AN677" s="206"/>
      <c r="AO677" s="206"/>
    </row>
    <row r="678">
      <c r="A678" s="193">
        <v>21000.0</v>
      </c>
      <c r="B678" s="232" t="s">
        <v>264</v>
      </c>
      <c r="C678" s="193">
        <v>2026.0</v>
      </c>
      <c r="D678" s="199"/>
      <c r="E678" s="199"/>
      <c r="F678" s="199"/>
      <c r="G678" s="220"/>
      <c r="H678" s="199"/>
      <c r="I678" s="220"/>
      <c r="J678" s="199"/>
      <c r="K678" s="193" t="s">
        <v>206</v>
      </c>
      <c r="L678" s="232" t="s">
        <v>146</v>
      </c>
      <c r="M678" s="199"/>
      <c r="N678" s="193" t="s">
        <v>337</v>
      </c>
      <c r="O678" s="193" t="s">
        <v>206</v>
      </c>
      <c r="P678" s="193" t="s">
        <v>1119</v>
      </c>
      <c r="Q678" s="207"/>
      <c r="R678" s="208" t="s">
        <v>208</v>
      </c>
      <c r="S678" s="193" t="s">
        <v>39</v>
      </c>
      <c r="T678" s="193" t="s">
        <v>1125</v>
      </c>
      <c r="U678" s="193" t="s">
        <v>1101</v>
      </c>
      <c r="V678" s="193" t="s">
        <v>50</v>
      </c>
      <c r="W678" s="193" t="s">
        <v>212</v>
      </c>
      <c r="X678" s="193" t="s">
        <v>232</v>
      </c>
      <c r="Y678" s="200">
        <v>4.0</v>
      </c>
      <c r="Z678" s="202" t="s">
        <v>531</v>
      </c>
      <c r="AA678" s="202" t="s">
        <v>234</v>
      </c>
      <c r="AB678" s="221"/>
      <c r="AC678" s="203">
        <v>11443.52</v>
      </c>
      <c r="AD678" s="204">
        <v>46107.0</v>
      </c>
      <c r="AE678" s="204">
        <v>46168.0</v>
      </c>
      <c r="AF678" s="205"/>
      <c r="AG678" s="206"/>
      <c r="AH678" s="206"/>
      <c r="AI678" s="206"/>
      <c r="AJ678" s="206"/>
      <c r="AK678" s="206"/>
      <c r="AL678" s="206"/>
      <c r="AM678" s="206"/>
      <c r="AN678" s="206"/>
      <c r="AO678" s="206"/>
    </row>
    <row r="679">
      <c r="A679" s="193">
        <v>21020.0</v>
      </c>
      <c r="B679" s="232" t="s">
        <v>264</v>
      </c>
      <c r="C679" s="193">
        <v>2026.0</v>
      </c>
      <c r="D679" s="199"/>
      <c r="E679" s="199"/>
      <c r="F679" s="199"/>
      <c r="G679" s="220"/>
      <c r="H679" s="199"/>
      <c r="I679" s="220"/>
      <c r="J679" s="199"/>
      <c r="K679" s="193" t="s">
        <v>206</v>
      </c>
      <c r="L679" s="232" t="s">
        <v>146</v>
      </c>
      <c r="M679" s="199"/>
      <c r="N679" s="193" t="s">
        <v>337</v>
      </c>
      <c r="O679" s="193" t="s">
        <v>206</v>
      </c>
      <c r="P679" s="193" t="s">
        <v>1119</v>
      </c>
      <c r="Q679" s="207"/>
      <c r="R679" s="208" t="s">
        <v>208</v>
      </c>
      <c r="S679" s="193" t="s">
        <v>39</v>
      </c>
      <c r="T679" s="193" t="s">
        <v>1126</v>
      </c>
      <c r="U679" s="193" t="s">
        <v>1116</v>
      </c>
      <c r="V679" s="193" t="s">
        <v>50</v>
      </c>
      <c r="W679" s="193" t="s">
        <v>212</v>
      </c>
      <c r="X679" s="193" t="s">
        <v>232</v>
      </c>
      <c r="Y679" s="200">
        <v>4.0</v>
      </c>
      <c r="Z679" s="202" t="s">
        <v>531</v>
      </c>
      <c r="AA679" s="202" t="s">
        <v>234</v>
      </c>
      <c r="AB679" s="221"/>
      <c r="AC679" s="203">
        <v>9057.02</v>
      </c>
      <c r="AD679" s="204">
        <v>46107.0</v>
      </c>
      <c r="AE679" s="204">
        <v>46168.0</v>
      </c>
      <c r="AF679" s="205"/>
      <c r="AG679" s="206"/>
      <c r="AH679" s="206"/>
      <c r="AI679" s="206"/>
      <c r="AJ679" s="206"/>
      <c r="AK679" s="206"/>
      <c r="AL679" s="206"/>
      <c r="AM679" s="206"/>
      <c r="AN679" s="206"/>
      <c r="AO679" s="206"/>
    </row>
    <row r="680">
      <c r="A680" s="193">
        <v>21040.0</v>
      </c>
      <c r="B680" s="232" t="s">
        <v>264</v>
      </c>
      <c r="C680" s="193">
        <v>2026.0</v>
      </c>
      <c r="D680" s="199"/>
      <c r="E680" s="199"/>
      <c r="F680" s="199"/>
      <c r="G680" s="248"/>
      <c r="H680" s="199"/>
      <c r="I680" s="220"/>
      <c r="J680" s="199"/>
      <c r="K680" s="193" t="s">
        <v>206</v>
      </c>
      <c r="L680" s="232" t="s">
        <v>146</v>
      </c>
      <c r="M680" s="199"/>
      <c r="N680" s="193" t="s">
        <v>337</v>
      </c>
      <c r="O680" s="193" t="s">
        <v>206</v>
      </c>
      <c r="P680" s="193" t="s">
        <v>1119</v>
      </c>
      <c r="Q680" s="207"/>
      <c r="R680" s="208" t="s">
        <v>208</v>
      </c>
      <c r="S680" s="193" t="s">
        <v>39</v>
      </c>
      <c r="T680" s="193" t="s">
        <v>1127</v>
      </c>
      <c r="U680" s="193" t="s">
        <v>1105</v>
      </c>
      <c r="V680" s="193" t="s">
        <v>50</v>
      </c>
      <c r="W680" s="193" t="s">
        <v>212</v>
      </c>
      <c r="X680" s="193" t="s">
        <v>232</v>
      </c>
      <c r="Y680" s="200">
        <v>4.0</v>
      </c>
      <c r="Z680" s="202" t="s">
        <v>531</v>
      </c>
      <c r="AA680" s="202" t="s">
        <v>234</v>
      </c>
      <c r="AB680" s="221"/>
      <c r="AC680" s="203">
        <v>18459.87</v>
      </c>
      <c r="AD680" s="204">
        <v>46107.0</v>
      </c>
      <c r="AE680" s="204">
        <v>46168.0</v>
      </c>
      <c r="AF680" s="205"/>
      <c r="AG680" s="206"/>
      <c r="AH680" s="206"/>
      <c r="AI680" s="206"/>
      <c r="AJ680" s="206"/>
      <c r="AK680" s="206"/>
      <c r="AL680" s="206"/>
      <c r="AM680" s="206"/>
      <c r="AN680" s="206"/>
      <c r="AO680" s="206"/>
    </row>
    <row r="681">
      <c r="A681" s="193">
        <v>21060.0</v>
      </c>
      <c r="B681" s="232" t="s">
        <v>264</v>
      </c>
      <c r="C681" s="193">
        <v>2026.0</v>
      </c>
      <c r="D681" s="199"/>
      <c r="E681" s="199"/>
      <c r="F681" s="199"/>
      <c r="G681" s="248"/>
      <c r="H681" s="199"/>
      <c r="I681" s="220"/>
      <c r="J681" s="199"/>
      <c r="K681" s="193" t="s">
        <v>206</v>
      </c>
      <c r="L681" s="232" t="s">
        <v>146</v>
      </c>
      <c r="M681" s="199"/>
      <c r="N681" s="193" t="s">
        <v>337</v>
      </c>
      <c r="O681" s="193" t="s">
        <v>206</v>
      </c>
      <c r="P681" s="193" t="s">
        <v>1119</v>
      </c>
      <c r="Q681" s="207"/>
      <c r="R681" s="208" t="s">
        <v>208</v>
      </c>
      <c r="S681" s="193" t="s">
        <v>39</v>
      </c>
      <c r="T681" s="193" t="s">
        <v>1128</v>
      </c>
      <c r="U681" s="193" t="s">
        <v>1129</v>
      </c>
      <c r="V681" s="193" t="s">
        <v>50</v>
      </c>
      <c r="W681" s="193" t="s">
        <v>212</v>
      </c>
      <c r="X681" s="193" t="s">
        <v>232</v>
      </c>
      <c r="Y681" s="200">
        <v>4.0</v>
      </c>
      <c r="Z681" s="202" t="s">
        <v>531</v>
      </c>
      <c r="AA681" s="202" t="s">
        <v>234</v>
      </c>
      <c r="AB681" s="221"/>
      <c r="AC681" s="203">
        <v>14649.85</v>
      </c>
      <c r="AD681" s="204">
        <v>46107.0</v>
      </c>
      <c r="AE681" s="204">
        <v>46168.0</v>
      </c>
      <c r="AF681" s="205"/>
      <c r="AG681" s="206"/>
      <c r="AH681" s="206"/>
      <c r="AI681" s="206"/>
      <c r="AJ681" s="206"/>
      <c r="AK681" s="206"/>
      <c r="AL681" s="206"/>
      <c r="AM681" s="206"/>
      <c r="AN681" s="206"/>
      <c r="AO681" s="206"/>
    </row>
    <row r="682">
      <c r="A682" s="193">
        <v>21080.0</v>
      </c>
      <c r="B682" s="232" t="s">
        <v>264</v>
      </c>
      <c r="C682" s="193">
        <v>2026.0</v>
      </c>
      <c r="D682" s="199"/>
      <c r="E682" s="199"/>
      <c r="F682" s="199"/>
      <c r="G682" s="248"/>
      <c r="H682" s="199"/>
      <c r="I682" s="235"/>
      <c r="J682" s="199"/>
      <c r="K682" s="193" t="s">
        <v>206</v>
      </c>
      <c r="L682" s="232" t="s">
        <v>146</v>
      </c>
      <c r="M682" s="199"/>
      <c r="N682" s="193" t="s">
        <v>337</v>
      </c>
      <c r="O682" s="193" t="s">
        <v>206</v>
      </c>
      <c r="P682" s="193" t="s">
        <v>206</v>
      </c>
      <c r="Q682" s="207"/>
      <c r="R682" s="208" t="s">
        <v>208</v>
      </c>
      <c r="S682" s="193" t="s">
        <v>39</v>
      </c>
      <c r="T682" s="193" t="s">
        <v>1130</v>
      </c>
      <c r="U682" s="193" t="s">
        <v>1118</v>
      </c>
      <c r="V682" s="193" t="s">
        <v>50</v>
      </c>
      <c r="W682" s="193" t="s">
        <v>212</v>
      </c>
      <c r="X682" s="193" t="s">
        <v>232</v>
      </c>
      <c r="Y682" s="200">
        <v>4.0</v>
      </c>
      <c r="Z682" s="202" t="s">
        <v>531</v>
      </c>
      <c r="AA682" s="202" t="s">
        <v>234</v>
      </c>
      <c r="AB682" s="221"/>
      <c r="AC682" s="203">
        <v>193536.0</v>
      </c>
      <c r="AD682" s="204">
        <v>46107.0</v>
      </c>
      <c r="AE682" s="204">
        <v>46168.0</v>
      </c>
      <c r="AF682" s="205"/>
      <c r="AG682" s="206"/>
      <c r="AH682" s="206"/>
      <c r="AI682" s="206"/>
      <c r="AJ682" s="206"/>
      <c r="AK682" s="206"/>
      <c r="AL682" s="206"/>
      <c r="AM682" s="206"/>
      <c r="AN682" s="206"/>
      <c r="AO682" s="206"/>
    </row>
    <row r="683">
      <c r="A683" s="193">
        <v>21100.0</v>
      </c>
      <c r="B683" s="232" t="s">
        <v>264</v>
      </c>
      <c r="C683" s="193">
        <v>2026.0</v>
      </c>
      <c r="D683" s="199"/>
      <c r="E683" s="199"/>
      <c r="F683" s="199"/>
      <c r="G683" s="248"/>
      <c r="H683" s="199"/>
      <c r="I683" s="220"/>
      <c r="J683" s="199"/>
      <c r="K683" s="193" t="s">
        <v>206</v>
      </c>
      <c r="L683" s="232" t="s">
        <v>146</v>
      </c>
      <c r="M683" s="199"/>
      <c r="N683" s="193" t="s">
        <v>337</v>
      </c>
      <c r="O683" s="193" t="s">
        <v>206</v>
      </c>
      <c r="P683" s="193" t="s">
        <v>1131</v>
      </c>
      <c r="Q683" s="207"/>
      <c r="R683" s="208" t="s">
        <v>219</v>
      </c>
      <c r="S683" s="193" t="s">
        <v>43</v>
      </c>
      <c r="T683" s="193" t="s">
        <v>1132</v>
      </c>
      <c r="U683" s="193" t="s">
        <v>1133</v>
      </c>
      <c r="V683" s="193" t="s">
        <v>50</v>
      </c>
      <c r="W683" s="193" t="s">
        <v>212</v>
      </c>
      <c r="X683" s="193" t="s">
        <v>232</v>
      </c>
      <c r="Y683" s="200">
        <v>4.0</v>
      </c>
      <c r="Z683" s="202" t="s">
        <v>531</v>
      </c>
      <c r="AA683" s="202" t="s">
        <v>234</v>
      </c>
      <c r="AB683" s="221"/>
      <c r="AC683" s="203">
        <v>13100.0</v>
      </c>
      <c r="AD683" s="204">
        <v>46107.0</v>
      </c>
      <c r="AE683" s="204">
        <v>46168.0</v>
      </c>
      <c r="AF683" s="205"/>
      <c r="AG683" s="206"/>
      <c r="AH683" s="206"/>
      <c r="AI683" s="206"/>
      <c r="AJ683" s="206"/>
      <c r="AK683" s="206"/>
      <c r="AL683" s="206"/>
      <c r="AM683" s="206"/>
      <c r="AN683" s="206"/>
      <c r="AO683" s="206"/>
    </row>
    <row r="684">
      <c r="A684" s="193">
        <v>21120.0</v>
      </c>
      <c r="B684" s="232" t="s">
        <v>264</v>
      </c>
      <c r="C684" s="193">
        <v>2026.0</v>
      </c>
      <c r="D684" s="199"/>
      <c r="E684" s="199"/>
      <c r="F684" s="199"/>
      <c r="G684" s="248"/>
      <c r="H684" s="199"/>
      <c r="I684" s="220"/>
      <c r="J684" s="199"/>
      <c r="K684" s="193" t="s">
        <v>206</v>
      </c>
      <c r="L684" s="232" t="s">
        <v>146</v>
      </c>
      <c r="M684" s="199"/>
      <c r="N684" s="193" t="s">
        <v>337</v>
      </c>
      <c r="O684" s="193" t="s">
        <v>206</v>
      </c>
      <c r="P684" s="193" t="s">
        <v>1131</v>
      </c>
      <c r="Q684" s="207"/>
      <c r="R684" s="208" t="s">
        <v>219</v>
      </c>
      <c r="S684" s="193" t="s">
        <v>43</v>
      </c>
      <c r="T684" s="193" t="s">
        <v>1134</v>
      </c>
      <c r="U684" s="193" t="s">
        <v>1135</v>
      </c>
      <c r="V684" s="193" t="s">
        <v>50</v>
      </c>
      <c r="W684" s="193" t="s">
        <v>212</v>
      </c>
      <c r="X684" s="193" t="s">
        <v>232</v>
      </c>
      <c r="Y684" s="200">
        <v>4.0</v>
      </c>
      <c r="Z684" s="202" t="s">
        <v>531</v>
      </c>
      <c r="AA684" s="202" t="s">
        <v>234</v>
      </c>
      <c r="AB684" s="221"/>
      <c r="AC684" s="203">
        <v>146224.32</v>
      </c>
      <c r="AD684" s="204">
        <v>46107.0</v>
      </c>
      <c r="AE684" s="204">
        <v>46168.0</v>
      </c>
      <c r="AF684" s="205"/>
      <c r="AG684" s="206"/>
      <c r="AH684" s="206"/>
      <c r="AI684" s="206"/>
      <c r="AJ684" s="206"/>
      <c r="AK684" s="206"/>
      <c r="AL684" s="206"/>
      <c r="AM684" s="206"/>
      <c r="AN684" s="206"/>
      <c r="AO684" s="206"/>
    </row>
    <row r="685">
      <c r="A685" s="193">
        <v>21140.0</v>
      </c>
      <c r="B685" s="232" t="s">
        <v>264</v>
      </c>
      <c r="C685" s="193">
        <v>2026.0</v>
      </c>
      <c r="D685" s="199"/>
      <c r="E685" s="199"/>
      <c r="F685" s="199"/>
      <c r="G685" s="248"/>
      <c r="H685" s="199"/>
      <c r="I685" s="220"/>
      <c r="J685" s="199"/>
      <c r="K685" s="193" t="s">
        <v>206</v>
      </c>
      <c r="L685" s="232" t="s">
        <v>146</v>
      </c>
      <c r="M685" s="199"/>
      <c r="N685" s="193" t="s">
        <v>337</v>
      </c>
      <c r="O685" s="193" t="s">
        <v>206</v>
      </c>
      <c r="P685" s="193" t="s">
        <v>1131</v>
      </c>
      <c r="Q685" s="207"/>
      <c r="R685" s="208" t="s">
        <v>219</v>
      </c>
      <c r="S685" s="193" t="s">
        <v>43</v>
      </c>
      <c r="T685" s="193" t="s">
        <v>1136</v>
      </c>
      <c r="U685" s="193" t="s">
        <v>1137</v>
      </c>
      <c r="V685" s="193" t="s">
        <v>50</v>
      </c>
      <c r="W685" s="193" t="s">
        <v>212</v>
      </c>
      <c r="X685" s="193" t="s">
        <v>232</v>
      </c>
      <c r="Y685" s="200">
        <v>4.0</v>
      </c>
      <c r="Z685" s="202" t="s">
        <v>531</v>
      </c>
      <c r="AA685" s="202" t="s">
        <v>234</v>
      </c>
      <c r="AB685" s="221"/>
      <c r="AC685" s="203">
        <v>8059.0</v>
      </c>
      <c r="AD685" s="204">
        <v>46107.0</v>
      </c>
      <c r="AE685" s="204">
        <v>46168.0</v>
      </c>
      <c r="AF685" s="205"/>
      <c r="AG685" s="206"/>
      <c r="AH685" s="206"/>
      <c r="AI685" s="206"/>
      <c r="AJ685" s="206"/>
      <c r="AK685" s="206"/>
      <c r="AL685" s="206"/>
      <c r="AM685" s="206"/>
      <c r="AN685" s="206"/>
      <c r="AO685" s="206"/>
    </row>
    <row r="686">
      <c r="A686" s="193">
        <v>21160.0</v>
      </c>
      <c r="B686" s="232" t="s">
        <v>264</v>
      </c>
      <c r="C686" s="193">
        <v>2026.0</v>
      </c>
      <c r="D686" s="199"/>
      <c r="E686" s="199"/>
      <c r="F686" s="199"/>
      <c r="G686" s="248"/>
      <c r="H686" s="199"/>
      <c r="I686" s="220"/>
      <c r="J686" s="199"/>
      <c r="K686" s="193" t="s">
        <v>206</v>
      </c>
      <c r="L686" s="232" t="s">
        <v>146</v>
      </c>
      <c r="M686" s="199"/>
      <c r="N686" s="193" t="s">
        <v>337</v>
      </c>
      <c r="O686" s="193" t="s">
        <v>206</v>
      </c>
      <c r="P686" s="193" t="s">
        <v>1131</v>
      </c>
      <c r="Q686" s="207"/>
      <c r="R686" s="208" t="s">
        <v>219</v>
      </c>
      <c r="S686" s="193" t="s">
        <v>43</v>
      </c>
      <c r="T686" s="193" t="s">
        <v>1138</v>
      </c>
      <c r="U686" s="193" t="s">
        <v>1139</v>
      </c>
      <c r="V686" s="193" t="s">
        <v>50</v>
      </c>
      <c r="W686" s="193" t="s">
        <v>212</v>
      </c>
      <c r="X686" s="193" t="s">
        <v>232</v>
      </c>
      <c r="Y686" s="200">
        <v>4.0</v>
      </c>
      <c r="Z686" s="202" t="s">
        <v>531</v>
      </c>
      <c r="AA686" s="202" t="s">
        <v>234</v>
      </c>
      <c r="AB686" s="221"/>
      <c r="AC686" s="203">
        <v>16118.0</v>
      </c>
      <c r="AD686" s="204">
        <v>46107.0</v>
      </c>
      <c r="AE686" s="204">
        <v>46168.0</v>
      </c>
      <c r="AF686" s="205"/>
      <c r="AG686" s="206"/>
      <c r="AH686" s="206"/>
      <c r="AI686" s="206"/>
      <c r="AJ686" s="206"/>
      <c r="AK686" s="206"/>
      <c r="AL686" s="206"/>
      <c r="AM686" s="206"/>
      <c r="AN686" s="206"/>
      <c r="AO686" s="206"/>
    </row>
    <row r="687">
      <c r="A687" s="193">
        <v>21180.0</v>
      </c>
      <c r="B687" s="232" t="s">
        <v>264</v>
      </c>
      <c r="C687" s="193">
        <v>2026.0</v>
      </c>
      <c r="D687" s="199"/>
      <c r="E687" s="199"/>
      <c r="F687" s="199"/>
      <c r="G687" s="248"/>
      <c r="H687" s="199"/>
      <c r="I687" s="220"/>
      <c r="J687" s="199"/>
      <c r="K687" s="193" t="s">
        <v>206</v>
      </c>
      <c r="L687" s="232" t="s">
        <v>146</v>
      </c>
      <c r="M687" s="199"/>
      <c r="N687" s="193" t="s">
        <v>207</v>
      </c>
      <c r="O687" s="193" t="s">
        <v>206</v>
      </c>
      <c r="P687" s="193" t="s">
        <v>1131</v>
      </c>
      <c r="Q687" s="207"/>
      <c r="R687" s="208" t="s">
        <v>219</v>
      </c>
      <c r="S687" s="193" t="s">
        <v>43</v>
      </c>
      <c r="T687" s="193" t="s">
        <v>1140</v>
      </c>
      <c r="U687" s="193" t="s">
        <v>1141</v>
      </c>
      <c r="V687" s="193" t="s">
        <v>50</v>
      </c>
      <c r="W687" s="193" t="s">
        <v>212</v>
      </c>
      <c r="X687" s="193" t="s">
        <v>232</v>
      </c>
      <c r="Y687" s="200">
        <v>4.0</v>
      </c>
      <c r="Z687" s="202" t="s">
        <v>531</v>
      </c>
      <c r="AA687" s="202" t="s">
        <v>215</v>
      </c>
      <c r="AB687" s="221"/>
      <c r="AC687" s="203">
        <v>4820.38</v>
      </c>
      <c r="AD687" s="204">
        <v>46107.0</v>
      </c>
      <c r="AE687" s="204">
        <v>46168.0</v>
      </c>
      <c r="AF687" s="205"/>
      <c r="AG687" s="219"/>
      <c r="AH687" s="219"/>
      <c r="AI687" s="219"/>
      <c r="AJ687" s="219"/>
      <c r="AK687" s="219"/>
      <c r="AL687" s="219"/>
      <c r="AM687" s="219"/>
      <c r="AN687" s="219"/>
      <c r="AO687" s="219"/>
    </row>
    <row r="688">
      <c r="A688" s="193">
        <v>21200.0</v>
      </c>
      <c r="B688" s="232" t="s">
        <v>264</v>
      </c>
      <c r="C688" s="193">
        <v>2026.0</v>
      </c>
      <c r="D688" s="199"/>
      <c r="E688" s="199"/>
      <c r="F688" s="199"/>
      <c r="G688" s="248"/>
      <c r="H688" s="199"/>
      <c r="I688" s="220"/>
      <c r="J688" s="199"/>
      <c r="K688" s="193" t="s">
        <v>206</v>
      </c>
      <c r="L688" s="232" t="s">
        <v>146</v>
      </c>
      <c r="M688" s="199"/>
      <c r="N688" s="193" t="s">
        <v>337</v>
      </c>
      <c r="O688" s="193" t="s">
        <v>206</v>
      </c>
      <c r="P688" s="193" t="s">
        <v>1131</v>
      </c>
      <c r="Q688" s="207"/>
      <c r="R688" s="208" t="s">
        <v>219</v>
      </c>
      <c r="S688" s="193" t="s">
        <v>43</v>
      </c>
      <c r="T688" s="193" t="s">
        <v>1142</v>
      </c>
      <c r="U688" s="193" t="s">
        <v>1143</v>
      </c>
      <c r="V688" s="193" t="s">
        <v>50</v>
      </c>
      <c r="W688" s="193" t="s">
        <v>212</v>
      </c>
      <c r="X688" s="193" t="s">
        <v>232</v>
      </c>
      <c r="Y688" s="200">
        <v>4.0</v>
      </c>
      <c r="Z688" s="202" t="s">
        <v>531</v>
      </c>
      <c r="AA688" s="202" t="s">
        <v>234</v>
      </c>
      <c r="AB688" s="221"/>
      <c r="AC688" s="203">
        <v>89740.8</v>
      </c>
      <c r="AD688" s="204">
        <v>46107.0</v>
      </c>
      <c r="AE688" s="204">
        <v>46168.0</v>
      </c>
      <c r="AF688" s="205"/>
      <c r="AG688" s="219"/>
      <c r="AH688" s="219"/>
      <c r="AI688" s="219"/>
      <c r="AJ688" s="219"/>
      <c r="AK688" s="219"/>
      <c r="AL688" s="219"/>
      <c r="AM688" s="219"/>
      <c r="AN688" s="219"/>
      <c r="AO688" s="219"/>
    </row>
    <row r="689">
      <c r="A689" s="193">
        <v>21220.0</v>
      </c>
      <c r="B689" s="232" t="s">
        <v>264</v>
      </c>
      <c r="C689" s="193">
        <v>2026.0</v>
      </c>
      <c r="D689" s="199"/>
      <c r="E689" s="199"/>
      <c r="F689" s="199"/>
      <c r="G689" s="248"/>
      <c r="H689" s="199"/>
      <c r="I689" s="348"/>
      <c r="J689" s="199"/>
      <c r="K689" s="193" t="s">
        <v>206</v>
      </c>
      <c r="L689" s="232" t="s">
        <v>146</v>
      </c>
      <c r="M689" s="199"/>
      <c r="N689" s="193" t="s">
        <v>337</v>
      </c>
      <c r="O689" s="193" t="s">
        <v>206</v>
      </c>
      <c r="P689" s="193" t="s">
        <v>1131</v>
      </c>
      <c r="Q689" s="207"/>
      <c r="R689" s="208" t="s">
        <v>219</v>
      </c>
      <c r="S689" s="193" t="s">
        <v>43</v>
      </c>
      <c r="T689" s="193" t="s">
        <v>1144</v>
      </c>
      <c r="U689" s="193" t="s">
        <v>1145</v>
      </c>
      <c r="V689" s="193" t="s">
        <v>50</v>
      </c>
      <c r="W689" s="193" t="s">
        <v>212</v>
      </c>
      <c r="X689" s="193" t="s">
        <v>232</v>
      </c>
      <c r="Y689" s="200">
        <v>4.0</v>
      </c>
      <c r="Z689" s="202" t="s">
        <v>531</v>
      </c>
      <c r="AA689" s="202" t="s">
        <v>234</v>
      </c>
      <c r="AB689" s="221"/>
      <c r="AC689" s="203">
        <v>6679.56</v>
      </c>
      <c r="AD689" s="204">
        <v>46107.0</v>
      </c>
      <c r="AE689" s="204">
        <v>46168.0</v>
      </c>
      <c r="AF689" s="205"/>
      <c r="AG689" s="206"/>
      <c r="AH689" s="206"/>
      <c r="AI689" s="206"/>
      <c r="AJ689" s="206"/>
      <c r="AK689" s="206"/>
      <c r="AL689" s="206"/>
      <c r="AM689" s="206"/>
      <c r="AN689" s="206"/>
      <c r="AO689" s="206"/>
    </row>
    <row r="690">
      <c r="A690" s="193">
        <v>21240.0</v>
      </c>
      <c r="B690" s="232" t="s">
        <v>264</v>
      </c>
      <c r="C690" s="193">
        <v>2026.0</v>
      </c>
      <c r="D690" s="199"/>
      <c r="E690" s="199"/>
      <c r="F690" s="199"/>
      <c r="G690" s="248"/>
      <c r="H690" s="199"/>
      <c r="I690" s="220"/>
      <c r="J690" s="199"/>
      <c r="K690" s="193" t="s">
        <v>206</v>
      </c>
      <c r="L690" s="232" t="s">
        <v>146</v>
      </c>
      <c r="M690" s="199"/>
      <c r="N690" s="193" t="s">
        <v>337</v>
      </c>
      <c r="O690" s="193" t="s">
        <v>206</v>
      </c>
      <c r="P690" s="193" t="s">
        <v>763</v>
      </c>
      <c r="Q690" s="207"/>
      <c r="R690" s="208" t="s">
        <v>219</v>
      </c>
      <c r="S690" s="193" t="s">
        <v>43</v>
      </c>
      <c r="T690" s="193" t="s">
        <v>1146</v>
      </c>
      <c r="U690" s="193" t="s">
        <v>1147</v>
      </c>
      <c r="V690" s="193" t="s">
        <v>50</v>
      </c>
      <c r="W690" s="193" t="s">
        <v>212</v>
      </c>
      <c r="X690" s="193" t="s">
        <v>232</v>
      </c>
      <c r="Y690" s="200">
        <v>4.0</v>
      </c>
      <c r="Z690" s="202" t="s">
        <v>531</v>
      </c>
      <c r="AA690" s="202" t="s">
        <v>234</v>
      </c>
      <c r="AB690" s="221"/>
      <c r="AC690" s="203">
        <v>3321.8</v>
      </c>
      <c r="AD690" s="204">
        <v>46107.0</v>
      </c>
      <c r="AE690" s="204">
        <v>46168.0</v>
      </c>
      <c r="AF690" s="205"/>
      <c r="AG690" s="206"/>
      <c r="AH690" s="206"/>
      <c r="AI690" s="206"/>
      <c r="AJ690" s="206"/>
      <c r="AK690" s="206"/>
      <c r="AL690" s="206"/>
      <c r="AM690" s="206"/>
      <c r="AN690" s="206"/>
      <c r="AO690" s="206"/>
    </row>
    <row r="691">
      <c r="A691" s="193">
        <v>21260.0</v>
      </c>
      <c r="B691" s="232" t="s">
        <v>264</v>
      </c>
      <c r="C691" s="193">
        <v>2026.0</v>
      </c>
      <c r="D691" s="199"/>
      <c r="E691" s="199"/>
      <c r="F691" s="199"/>
      <c r="G691" s="248"/>
      <c r="H691" s="199"/>
      <c r="I691" s="220"/>
      <c r="J691" s="199"/>
      <c r="K691" s="193" t="s">
        <v>206</v>
      </c>
      <c r="L691" s="232" t="s">
        <v>146</v>
      </c>
      <c r="M691" s="199"/>
      <c r="N691" s="193" t="s">
        <v>227</v>
      </c>
      <c r="O691" s="193" t="s">
        <v>206</v>
      </c>
      <c r="P691" s="193" t="s">
        <v>1012</v>
      </c>
      <c r="Q691" s="207"/>
      <c r="R691" s="208" t="s">
        <v>219</v>
      </c>
      <c r="S691" s="193" t="s">
        <v>43</v>
      </c>
      <c r="T691" s="193" t="s">
        <v>1148</v>
      </c>
      <c r="U691" s="193" t="s">
        <v>1149</v>
      </c>
      <c r="V691" s="193" t="s">
        <v>50</v>
      </c>
      <c r="W691" s="193" t="s">
        <v>212</v>
      </c>
      <c r="X691" s="193" t="s">
        <v>232</v>
      </c>
      <c r="Y691" s="200">
        <v>4.0</v>
      </c>
      <c r="Z691" s="202" t="s">
        <v>531</v>
      </c>
      <c r="AA691" s="202" t="s">
        <v>234</v>
      </c>
      <c r="AB691" s="221"/>
      <c r="AC691" s="203">
        <v>935.0</v>
      </c>
      <c r="AD691" s="204">
        <v>46107.0</v>
      </c>
      <c r="AE691" s="204">
        <v>46168.0</v>
      </c>
      <c r="AF691" s="205"/>
      <c r="AG691" s="206"/>
      <c r="AH691" s="206"/>
      <c r="AI691" s="206"/>
      <c r="AJ691" s="206"/>
      <c r="AK691" s="206"/>
      <c r="AL691" s="206"/>
      <c r="AM691" s="206"/>
      <c r="AN691" s="206"/>
      <c r="AO691" s="206"/>
    </row>
    <row r="692">
      <c r="A692" s="193">
        <v>21280.0</v>
      </c>
      <c r="B692" s="232" t="s">
        <v>264</v>
      </c>
      <c r="C692" s="193">
        <v>2026.0</v>
      </c>
      <c r="D692" s="199"/>
      <c r="E692" s="199"/>
      <c r="F692" s="199"/>
      <c r="G692" s="248"/>
      <c r="H692" s="199"/>
      <c r="I692" s="235"/>
      <c r="J692" s="199"/>
      <c r="K692" s="193" t="s">
        <v>206</v>
      </c>
      <c r="L692" s="232" t="s">
        <v>146</v>
      </c>
      <c r="M692" s="199"/>
      <c r="N692" s="193" t="s">
        <v>337</v>
      </c>
      <c r="O692" s="193" t="s">
        <v>206</v>
      </c>
      <c r="P692" s="193" t="s">
        <v>1012</v>
      </c>
      <c r="Q692" s="207"/>
      <c r="R692" s="208" t="s">
        <v>219</v>
      </c>
      <c r="S692" s="193" t="s">
        <v>43</v>
      </c>
      <c r="T692" s="193" t="s">
        <v>1150</v>
      </c>
      <c r="U692" s="193" t="s">
        <v>1151</v>
      </c>
      <c r="V692" s="193" t="s">
        <v>50</v>
      </c>
      <c r="W692" s="193" t="s">
        <v>212</v>
      </c>
      <c r="X692" s="193" t="s">
        <v>232</v>
      </c>
      <c r="Y692" s="200">
        <v>4.0</v>
      </c>
      <c r="Z692" s="202" t="s">
        <v>531</v>
      </c>
      <c r="AA692" s="202" t="s">
        <v>234</v>
      </c>
      <c r="AB692" s="221"/>
      <c r="AC692" s="203">
        <v>4835.3</v>
      </c>
      <c r="AD692" s="204">
        <v>46107.0</v>
      </c>
      <c r="AE692" s="204">
        <v>46168.0</v>
      </c>
      <c r="AF692" s="205"/>
      <c r="AG692" s="206"/>
      <c r="AH692" s="206"/>
      <c r="AI692" s="206"/>
      <c r="AJ692" s="206"/>
      <c r="AK692" s="206"/>
      <c r="AL692" s="206"/>
      <c r="AM692" s="206"/>
      <c r="AN692" s="206"/>
      <c r="AO692" s="206"/>
    </row>
    <row r="693">
      <c r="A693" s="193">
        <v>21300.0</v>
      </c>
      <c r="B693" s="232" t="s">
        <v>264</v>
      </c>
      <c r="C693" s="193">
        <v>2026.0</v>
      </c>
      <c r="D693" s="199"/>
      <c r="E693" s="199"/>
      <c r="F693" s="199"/>
      <c r="G693" s="248"/>
      <c r="H693" s="199"/>
      <c r="I693" s="235"/>
      <c r="J693" s="199"/>
      <c r="K693" s="193" t="s">
        <v>206</v>
      </c>
      <c r="L693" s="232" t="s">
        <v>146</v>
      </c>
      <c r="M693" s="199"/>
      <c r="N693" s="193" t="s">
        <v>621</v>
      </c>
      <c r="O693" s="193" t="s">
        <v>206</v>
      </c>
      <c r="P693" s="193" t="s">
        <v>244</v>
      </c>
      <c r="Q693" s="207"/>
      <c r="R693" s="208" t="s">
        <v>219</v>
      </c>
      <c r="S693" s="193" t="s">
        <v>43</v>
      </c>
      <c r="T693" s="193" t="s">
        <v>1152</v>
      </c>
      <c r="U693" s="193" t="s">
        <v>1153</v>
      </c>
      <c r="V693" s="193" t="s">
        <v>50</v>
      </c>
      <c r="W693" s="193" t="s">
        <v>212</v>
      </c>
      <c r="X693" s="193" t="s">
        <v>232</v>
      </c>
      <c r="Y693" s="200">
        <v>4.0</v>
      </c>
      <c r="Z693" s="202" t="s">
        <v>531</v>
      </c>
      <c r="AA693" s="202" t="s">
        <v>234</v>
      </c>
      <c r="AB693" s="221"/>
      <c r="AC693" s="203">
        <v>241920.0</v>
      </c>
      <c r="AD693" s="204">
        <v>46107.0</v>
      </c>
      <c r="AE693" s="204">
        <v>46168.0</v>
      </c>
      <c r="AF693" s="205"/>
      <c r="AG693" s="206"/>
      <c r="AH693" s="206"/>
      <c r="AI693" s="206"/>
      <c r="AJ693" s="206"/>
      <c r="AK693" s="206"/>
      <c r="AL693" s="206"/>
      <c r="AM693" s="206"/>
      <c r="AN693" s="206"/>
      <c r="AO693" s="206"/>
    </row>
    <row r="694">
      <c r="A694" s="193">
        <v>21320.0</v>
      </c>
      <c r="B694" s="232" t="s">
        <v>264</v>
      </c>
      <c r="C694" s="193">
        <v>2026.0</v>
      </c>
      <c r="D694" s="199"/>
      <c r="E694" s="199"/>
      <c r="F694" s="199"/>
      <c r="G694" s="248"/>
      <c r="H694" s="199"/>
      <c r="I694" s="220"/>
      <c r="J694" s="199"/>
      <c r="K694" s="193" t="s">
        <v>206</v>
      </c>
      <c r="L694" s="232" t="s">
        <v>146</v>
      </c>
      <c r="M694" s="199"/>
      <c r="N694" s="193" t="s">
        <v>621</v>
      </c>
      <c r="O694" s="193" t="s">
        <v>206</v>
      </c>
      <c r="P694" s="193" t="s">
        <v>670</v>
      </c>
      <c r="Q694" s="207"/>
      <c r="R694" s="208" t="s">
        <v>279</v>
      </c>
      <c r="S694" s="193" t="s">
        <v>50</v>
      </c>
      <c r="T694" s="193" t="s">
        <v>1154</v>
      </c>
      <c r="U694" s="193" t="s">
        <v>1155</v>
      </c>
      <c r="V694" s="193" t="s">
        <v>50</v>
      </c>
      <c r="W694" s="193" t="s">
        <v>212</v>
      </c>
      <c r="X694" s="193" t="s">
        <v>232</v>
      </c>
      <c r="Y694" s="200">
        <v>4.0</v>
      </c>
      <c r="Z694" s="202" t="s">
        <v>531</v>
      </c>
      <c r="AA694" s="202" t="s">
        <v>234</v>
      </c>
      <c r="AB694" s="221"/>
      <c r="AC694" s="203">
        <v>1753.8</v>
      </c>
      <c r="AD694" s="204">
        <v>46107.0</v>
      </c>
      <c r="AE694" s="204">
        <v>46168.0</v>
      </c>
      <c r="AF694" s="205"/>
      <c r="AG694" s="206"/>
      <c r="AH694" s="206"/>
      <c r="AI694" s="206"/>
      <c r="AJ694" s="206"/>
      <c r="AK694" s="206"/>
      <c r="AL694" s="206"/>
      <c r="AM694" s="206"/>
      <c r="AN694" s="206"/>
      <c r="AO694" s="206"/>
    </row>
    <row r="695">
      <c r="A695" s="193">
        <v>21340.0</v>
      </c>
      <c r="B695" s="232" t="s">
        <v>264</v>
      </c>
      <c r="C695" s="193">
        <v>2026.0</v>
      </c>
      <c r="D695" s="199"/>
      <c r="E695" s="199"/>
      <c r="F695" s="199"/>
      <c r="G695" s="248"/>
      <c r="H695" s="199"/>
      <c r="I695" s="235"/>
      <c r="J695" s="199"/>
      <c r="K695" s="193" t="s">
        <v>206</v>
      </c>
      <c r="L695" s="232" t="s">
        <v>146</v>
      </c>
      <c r="M695" s="199"/>
      <c r="N695" s="193" t="s">
        <v>207</v>
      </c>
      <c r="O695" s="193" t="s">
        <v>206</v>
      </c>
      <c r="P695" s="193" t="s">
        <v>670</v>
      </c>
      <c r="Q695" s="207"/>
      <c r="R695" s="208" t="s">
        <v>279</v>
      </c>
      <c r="S695" s="193" t="s">
        <v>50</v>
      </c>
      <c r="T695" s="193" t="s">
        <v>1156</v>
      </c>
      <c r="U695" s="193" t="s">
        <v>1157</v>
      </c>
      <c r="V695" s="193" t="s">
        <v>50</v>
      </c>
      <c r="W695" s="193" t="s">
        <v>212</v>
      </c>
      <c r="X695" s="193" t="s">
        <v>232</v>
      </c>
      <c r="Y695" s="200">
        <v>4.0</v>
      </c>
      <c r="Z695" s="202" t="s">
        <v>531</v>
      </c>
      <c r="AA695" s="202" t="s">
        <v>215</v>
      </c>
      <c r="AB695" s="221"/>
      <c r="AC695" s="203">
        <v>3968.9</v>
      </c>
      <c r="AD695" s="204">
        <v>46107.0</v>
      </c>
      <c r="AE695" s="204">
        <v>46168.0</v>
      </c>
      <c r="AF695" s="205"/>
      <c r="AG695" s="219"/>
      <c r="AH695" s="219"/>
      <c r="AI695" s="219"/>
      <c r="AJ695" s="219"/>
      <c r="AK695" s="219"/>
      <c r="AL695" s="219"/>
      <c r="AM695" s="219"/>
      <c r="AN695" s="219"/>
      <c r="AO695" s="219"/>
    </row>
    <row r="696">
      <c r="A696" s="193">
        <v>21360.0</v>
      </c>
      <c r="B696" s="232" t="s">
        <v>264</v>
      </c>
      <c r="C696" s="193">
        <v>2026.0</v>
      </c>
      <c r="D696" s="199"/>
      <c r="E696" s="199"/>
      <c r="F696" s="199"/>
      <c r="G696" s="248"/>
      <c r="H696" s="199"/>
      <c r="I696" s="220"/>
      <c r="J696" s="199"/>
      <c r="K696" s="193" t="s">
        <v>206</v>
      </c>
      <c r="L696" s="232" t="s">
        <v>146</v>
      </c>
      <c r="M696" s="199"/>
      <c r="N696" s="193" t="s">
        <v>227</v>
      </c>
      <c r="O696" s="193" t="s">
        <v>206</v>
      </c>
      <c r="P696" s="193" t="s">
        <v>670</v>
      </c>
      <c r="Q696" s="207"/>
      <c r="R696" s="208" t="s">
        <v>279</v>
      </c>
      <c r="S696" s="193" t="s">
        <v>50</v>
      </c>
      <c r="T696" s="193" t="s">
        <v>1158</v>
      </c>
      <c r="U696" s="193" t="s">
        <v>1159</v>
      </c>
      <c r="V696" s="193" t="s">
        <v>50</v>
      </c>
      <c r="W696" s="193" t="s">
        <v>212</v>
      </c>
      <c r="X696" s="193" t="s">
        <v>232</v>
      </c>
      <c r="Y696" s="200">
        <v>4.0</v>
      </c>
      <c r="Z696" s="202" t="s">
        <v>531</v>
      </c>
      <c r="AA696" s="202" t="s">
        <v>234</v>
      </c>
      <c r="AB696" s="221"/>
      <c r="AC696" s="203">
        <v>3255.91</v>
      </c>
      <c r="AD696" s="204">
        <v>46107.0</v>
      </c>
      <c r="AE696" s="204">
        <v>46168.0</v>
      </c>
      <c r="AF696" s="205"/>
      <c r="AG696" s="219"/>
      <c r="AH696" s="219"/>
      <c r="AI696" s="219"/>
      <c r="AJ696" s="219"/>
      <c r="AK696" s="219"/>
      <c r="AL696" s="219"/>
      <c r="AM696" s="219"/>
      <c r="AN696" s="219"/>
      <c r="AO696" s="219"/>
    </row>
    <row r="697">
      <c r="A697" s="193">
        <v>21380.0</v>
      </c>
      <c r="B697" s="232" t="s">
        <v>264</v>
      </c>
      <c r="C697" s="193">
        <v>2026.0</v>
      </c>
      <c r="D697" s="199"/>
      <c r="E697" s="199"/>
      <c r="F697" s="199"/>
      <c r="G697" s="248"/>
      <c r="H697" s="199"/>
      <c r="I697" s="220"/>
      <c r="J697" s="199"/>
      <c r="K697" s="193" t="s">
        <v>206</v>
      </c>
      <c r="L697" s="232" t="s">
        <v>146</v>
      </c>
      <c r="M697" s="199"/>
      <c r="N697" s="193" t="s">
        <v>227</v>
      </c>
      <c r="O697" s="193" t="s">
        <v>206</v>
      </c>
      <c r="P697" s="193" t="s">
        <v>670</v>
      </c>
      <c r="Q697" s="207"/>
      <c r="R697" s="208" t="s">
        <v>279</v>
      </c>
      <c r="S697" s="193" t="s">
        <v>50</v>
      </c>
      <c r="T697" s="193" t="s">
        <v>1160</v>
      </c>
      <c r="U697" s="193" t="s">
        <v>1161</v>
      </c>
      <c r="V697" s="193" t="s">
        <v>50</v>
      </c>
      <c r="W697" s="193" t="s">
        <v>212</v>
      </c>
      <c r="X697" s="193" t="s">
        <v>232</v>
      </c>
      <c r="Y697" s="200">
        <v>4.0</v>
      </c>
      <c r="Z697" s="202" t="s">
        <v>531</v>
      </c>
      <c r="AA697" s="202" t="s">
        <v>234</v>
      </c>
      <c r="AB697" s="221"/>
      <c r="AC697" s="203">
        <v>711.38</v>
      </c>
      <c r="AD697" s="204">
        <v>46107.0</v>
      </c>
      <c r="AE697" s="204">
        <v>46168.0</v>
      </c>
      <c r="AF697" s="205"/>
      <c r="AG697" s="219"/>
      <c r="AH697" s="219"/>
      <c r="AI697" s="219"/>
      <c r="AJ697" s="219"/>
      <c r="AK697" s="219"/>
      <c r="AL697" s="219"/>
      <c r="AM697" s="219"/>
      <c r="AN697" s="219"/>
      <c r="AO697" s="219"/>
    </row>
    <row r="698">
      <c r="A698" s="193">
        <v>21400.0</v>
      </c>
      <c r="B698" s="232" t="s">
        <v>264</v>
      </c>
      <c r="C698" s="193">
        <v>2026.0</v>
      </c>
      <c r="D698" s="199"/>
      <c r="E698" s="199"/>
      <c r="F698" s="199"/>
      <c r="G698" s="248"/>
      <c r="H698" s="199"/>
      <c r="I698" s="220"/>
      <c r="J698" s="199"/>
      <c r="K698" s="193" t="s">
        <v>206</v>
      </c>
      <c r="L698" s="232" t="s">
        <v>146</v>
      </c>
      <c r="M698" s="199"/>
      <c r="N698" s="193" t="s">
        <v>227</v>
      </c>
      <c r="O698" s="193" t="s">
        <v>206</v>
      </c>
      <c r="P698" s="193" t="s">
        <v>670</v>
      </c>
      <c r="Q698" s="207"/>
      <c r="R698" s="208" t="s">
        <v>279</v>
      </c>
      <c r="S698" s="193" t="s">
        <v>50</v>
      </c>
      <c r="T698" s="193" t="s">
        <v>1162</v>
      </c>
      <c r="U698" s="193" t="s">
        <v>1031</v>
      </c>
      <c r="V698" s="193" t="s">
        <v>50</v>
      </c>
      <c r="W698" s="193" t="s">
        <v>212</v>
      </c>
      <c r="X698" s="193" t="s">
        <v>232</v>
      </c>
      <c r="Y698" s="200">
        <v>4.0</v>
      </c>
      <c r="Z698" s="202" t="s">
        <v>531</v>
      </c>
      <c r="AA698" s="202" t="s">
        <v>234</v>
      </c>
      <c r="AB698" s="221"/>
      <c r="AC698" s="203">
        <v>1580.92</v>
      </c>
      <c r="AD698" s="204">
        <v>46107.0</v>
      </c>
      <c r="AE698" s="204">
        <v>46168.0</v>
      </c>
      <c r="AF698" s="205"/>
      <c r="AG698" s="219"/>
      <c r="AH698" s="219"/>
      <c r="AI698" s="219"/>
      <c r="AJ698" s="219"/>
      <c r="AK698" s="219"/>
      <c r="AL698" s="219"/>
      <c r="AM698" s="219"/>
      <c r="AN698" s="219"/>
      <c r="AO698" s="219"/>
    </row>
    <row r="699">
      <c r="A699" s="193">
        <v>21420.0</v>
      </c>
      <c r="B699" s="232" t="s">
        <v>264</v>
      </c>
      <c r="C699" s="193">
        <v>2026.0</v>
      </c>
      <c r="D699" s="199"/>
      <c r="E699" s="199"/>
      <c r="F699" s="199"/>
      <c r="G699" s="248"/>
      <c r="H699" s="199"/>
      <c r="I699" s="220"/>
      <c r="J699" s="199"/>
      <c r="K699" s="193" t="s">
        <v>206</v>
      </c>
      <c r="L699" s="232" t="s">
        <v>146</v>
      </c>
      <c r="M699" s="199"/>
      <c r="N699" s="193" t="s">
        <v>207</v>
      </c>
      <c r="O699" s="193" t="s">
        <v>206</v>
      </c>
      <c r="P699" s="193" t="s">
        <v>670</v>
      </c>
      <c r="Q699" s="207"/>
      <c r="R699" s="208" t="s">
        <v>279</v>
      </c>
      <c r="S699" s="193" t="s">
        <v>50</v>
      </c>
      <c r="T699" s="193" t="s">
        <v>1163</v>
      </c>
      <c r="U699" s="193" t="s">
        <v>1164</v>
      </c>
      <c r="V699" s="193" t="s">
        <v>50</v>
      </c>
      <c r="W699" s="193" t="s">
        <v>212</v>
      </c>
      <c r="X699" s="193" t="s">
        <v>232</v>
      </c>
      <c r="Y699" s="200">
        <v>4.0</v>
      </c>
      <c r="Z699" s="202" t="s">
        <v>531</v>
      </c>
      <c r="AA699" s="202" t="s">
        <v>215</v>
      </c>
      <c r="AB699" s="221"/>
      <c r="AC699" s="203">
        <v>615.48</v>
      </c>
      <c r="AD699" s="204">
        <v>46107.0</v>
      </c>
      <c r="AE699" s="204">
        <v>46168.0</v>
      </c>
      <c r="AF699" s="205"/>
      <c r="AG699" s="219"/>
      <c r="AH699" s="219"/>
      <c r="AI699" s="219"/>
      <c r="AJ699" s="219"/>
      <c r="AK699" s="219"/>
      <c r="AL699" s="219"/>
      <c r="AM699" s="219"/>
      <c r="AN699" s="219"/>
      <c r="AO699" s="219"/>
    </row>
    <row r="700">
      <c r="A700" s="193">
        <v>21440.0</v>
      </c>
      <c r="B700" s="232" t="s">
        <v>264</v>
      </c>
      <c r="C700" s="193">
        <v>2026.0</v>
      </c>
      <c r="D700" s="199"/>
      <c r="E700" s="199"/>
      <c r="F700" s="199"/>
      <c r="G700" s="248"/>
      <c r="H700" s="199"/>
      <c r="I700" s="220"/>
      <c r="J700" s="199"/>
      <c r="K700" s="193" t="s">
        <v>206</v>
      </c>
      <c r="L700" s="232" t="s">
        <v>146</v>
      </c>
      <c r="M700" s="199"/>
      <c r="N700" s="193" t="s">
        <v>207</v>
      </c>
      <c r="O700" s="193" t="s">
        <v>206</v>
      </c>
      <c r="P700" s="193" t="s">
        <v>670</v>
      </c>
      <c r="Q700" s="207"/>
      <c r="R700" s="208" t="s">
        <v>279</v>
      </c>
      <c r="S700" s="193" t="s">
        <v>50</v>
      </c>
      <c r="T700" s="193" t="s">
        <v>1165</v>
      </c>
      <c r="U700" s="193" t="s">
        <v>1166</v>
      </c>
      <c r="V700" s="193" t="s">
        <v>50</v>
      </c>
      <c r="W700" s="193" t="s">
        <v>212</v>
      </c>
      <c r="X700" s="193" t="s">
        <v>232</v>
      </c>
      <c r="Y700" s="200">
        <v>4.0</v>
      </c>
      <c r="Z700" s="202" t="s">
        <v>531</v>
      </c>
      <c r="AA700" s="202" t="s">
        <v>215</v>
      </c>
      <c r="AB700" s="221"/>
      <c r="AC700" s="203">
        <v>3761.62</v>
      </c>
      <c r="AD700" s="204">
        <v>46107.0</v>
      </c>
      <c r="AE700" s="204">
        <v>46168.0</v>
      </c>
      <c r="AF700" s="205"/>
      <c r="AG700" s="219"/>
      <c r="AH700" s="219"/>
      <c r="AI700" s="219"/>
      <c r="AJ700" s="219"/>
      <c r="AK700" s="219"/>
      <c r="AL700" s="219"/>
      <c r="AM700" s="219"/>
      <c r="AN700" s="219"/>
      <c r="AO700" s="219"/>
    </row>
    <row r="701">
      <c r="A701" s="193">
        <v>21460.0</v>
      </c>
      <c r="B701" s="232" t="s">
        <v>264</v>
      </c>
      <c r="C701" s="193">
        <v>2026.0</v>
      </c>
      <c r="D701" s="199"/>
      <c r="E701" s="199"/>
      <c r="F701" s="199"/>
      <c r="G701" s="248"/>
      <c r="H701" s="199"/>
      <c r="I701" s="220"/>
      <c r="J701" s="199"/>
      <c r="K701" s="193" t="s">
        <v>206</v>
      </c>
      <c r="L701" s="232" t="s">
        <v>146</v>
      </c>
      <c r="M701" s="199"/>
      <c r="N701" s="193" t="s">
        <v>227</v>
      </c>
      <c r="O701" s="193" t="s">
        <v>206</v>
      </c>
      <c r="P701" s="193" t="s">
        <v>696</v>
      </c>
      <c r="Q701" s="207"/>
      <c r="R701" s="208" t="s">
        <v>279</v>
      </c>
      <c r="S701" s="193" t="s">
        <v>50</v>
      </c>
      <c r="T701" s="193" t="s">
        <v>1167</v>
      </c>
      <c r="U701" s="193" t="s">
        <v>1168</v>
      </c>
      <c r="V701" s="193" t="s">
        <v>50</v>
      </c>
      <c r="W701" s="193" t="s">
        <v>212</v>
      </c>
      <c r="X701" s="193" t="s">
        <v>232</v>
      </c>
      <c r="Y701" s="200">
        <v>4.0</v>
      </c>
      <c r="Z701" s="202" t="s">
        <v>531</v>
      </c>
      <c r="AA701" s="202" t="s">
        <v>234</v>
      </c>
      <c r="AB701" s="221"/>
      <c r="AC701" s="203">
        <v>3456.0</v>
      </c>
      <c r="AD701" s="204">
        <v>46107.0</v>
      </c>
      <c r="AE701" s="204">
        <v>46168.0</v>
      </c>
      <c r="AF701" s="205"/>
      <c r="AG701" s="219"/>
      <c r="AH701" s="219"/>
      <c r="AI701" s="219"/>
      <c r="AJ701" s="219"/>
      <c r="AK701" s="219"/>
      <c r="AL701" s="219"/>
      <c r="AM701" s="219"/>
      <c r="AN701" s="219"/>
      <c r="AO701" s="219"/>
    </row>
    <row r="702">
      <c r="A702" s="193">
        <v>21480.0</v>
      </c>
      <c r="B702" s="232" t="s">
        <v>264</v>
      </c>
      <c r="C702" s="193">
        <v>2026.0</v>
      </c>
      <c r="D702" s="199"/>
      <c r="E702" s="199"/>
      <c r="F702" s="199"/>
      <c r="G702" s="248"/>
      <c r="H702" s="199"/>
      <c r="I702" s="220"/>
      <c r="J702" s="199"/>
      <c r="K702" s="193" t="s">
        <v>206</v>
      </c>
      <c r="L702" s="232" t="s">
        <v>146</v>
      </c>
      <c r="M702" s="199"/>
      <c r="N702" s="193" t="s">
        <v>227</v>
      </c>
      <c r="O702" s="193" t="s">
        <v>206</v>
      </c>
      <c r="P702" s="193" t="s">
        <v>763</v>
      </c>
      <c r="Q702" s="207"/>
      <c r="R702" s="208" t="s">
        <v>279</v>
      </c>
      <c r="S702" s="193" t="s">
        <v>50</v>
      </c>
      <c r="T702" s="193" t="s">
        <v>1169</v>
      </c>
      <c r="U702" s="193" t="s">
        <v>1170</v>
      </c>
      <c r="V702" s="193" t="s">
        <v>50</v>
      </c>
      <c r="W702" s="193" t="s">
        <v>212</v>
      </c>
      <c r="X702" s="193" t="s">
        <v>232</v>
      </c>
      <c r="Y702" s="200">
        <v>4.0</v>
      </c>
      <c r="Z702" s="202" t="s">
        <v>531</v>
      </c>
      <c r="AA702" s="202" t="s">
        <v>234</v>
      </c>
      <c r="AB702" s="221"/>
      <c r="AC702" s="203">
        <v>23396.98</v>
      </c>
      <c r="AD702" s="204">
        <v>46107.0</v>
      </c>
      <c r="AE702" s="204">
        <v>46168.0</v>
      </c>
      <c r="AF702" s="205"/>
      <c r="AG702" s="219"/>
      <c r="AH702" s="219"/>
      <c r="AI702" s="219"/>
      <c r="AJ702" s="219"/>
      <c r="AK702" s="219"/>
      <c r="AL702" s="219"/>
      <c r="AM702" s="219"/>
      <c r="AN702" s="219"/>
      <c r="AO702" s="219"/>
    </row>
    <row r="703">
      <c r="A703" s="193">
        <v>21500.0</v>
      </c>
      <c r="B703" s="232" t="s">
        <v>264</v>
      </c>
      <c r="C703" s="193">
        <v>2026.0</v>
      </c>
      <c r="D703" s="199"/>
      <c r="E703" s="199"/>
      <c r="F703" s="199"/>
      <c r="G703" s="248"/>
      <c r="H703" s="199"/>
      <c r="I703" s="348"/>
      <c r="J703" s="199"/>
      <c r="K703" s="193" t="s">
        <v>206</v>
      </c>
      <c r="L703" s="232" t="s">
        <v>146</v>
      </c>
      <c r="M703" s="199"/>
      <c r="N703" s="193" t="s">
        <v>227</v>
      </c>
      <c r="O703" s="193" t="s">
        <v>206</v>
      </c>
      <c r="P703" s="193" t="s">
        <v>763</v>
      </c>
      <c r="Q703" s="207"/>
      <c r="R703" s="208" t="s">
        <v>279</v>
      </c>
      <c r="S703" s="193" t="s">
        <v>50</v>
      </c>
      <c r="T703" s="193" t="s">
        <v>1171</v>
      </c>
      <c r="U703" s="193" t="s">
        <v>1172</v>
      </c>
      <c r="V703" s="193" t="s">
        <v>50</v>
      </c>
      <c r="W703" s="193" t="s">
        <v>212</v>
      </c>
      <c r="X703" s="193" t="s">
        <v>232</v>
      </c>
      <c r="Y703" s="200">
        <v>4.0</v>
      </c>
      <c r="Z703" s="202" t="s">
        <v>531</v>
      </c>
      <c r="AA703" s="202" t="s">
        <v>234</v>
      </c>
      <c r="AB703" s="221"/>
      <c r="AC703" s="203">
        <v>4510.08</v>
      </c>
      <c r="AD703" s="204">
        <v>46107.0</v>
      </c>
      <c r="AE703" s="204">
        <v>46168.0</v>
      </c>
      <c r="AF703" s="205"/>
      <c r="AG703" s="219"/>
      <c r="AH703" s="219"/>
      <c r="AI703" s="219"/>
      <c r="AJ703" s="219"/>
      <c r="AK703" s="219"/>
      <c r="AL703" s="219"/>
      <c r="AM703" s="219"/>
      <c r="AN703" s="219"/>
      <c r="AO703" s="219"/>
    </row>
    <row r="704">
      <c r="A704" s="193">
        <v>21520.0</v>
      </c>
      <c r="B704" s="232" t="s">
        <v>264</v>
      </c>
      <c r="C704" s="193">
        <v>2026.0</v>
      </c>
      <c r="D704" s="199"/>
      <c r="E704" s="199"/>
      <c r="F704" s="199"/>
      <c r="G704" s="248"/>
      <c r="H704" s="199"/>
      <c r="I704" s="348"/>
      <c r="J704" s="199"/>
      <c r="K704" s="193" t="s">
        <v>206</v>
      </c>
      <c r="L704" s="232" t="s">
        <v>146</v>
      </c>
      <c r="M704" s="199"/>
      <c r="N704" s="193" t="s">
        <v>227</v>
      </c>
      <c r="O704" s="193" t="s">
        <v>206</v>
      </c>
      <c r="P704" s="193" t="s">
        <v>1015</v>
      </c>
      <c r="Q704" s="207"/>
      <c r="R704" s="208" t="s">
        <v>279</v>
      </c>
      <c r="S704" s="193" t="s">
        <v>50</v>
      </c>
      <c r="T704" s="193" t="s">
        <v>1173</v>
      </c>
      <c r="U704" s="193" t="s">
        <v>1118</v>
      </c>
      <c r="V704" s="193" t="s">
        <v>50</v>
      </c>
      <c r="W704" s="193" t="s">
        <v>212</v>
      </c>
      <c r="X704" s="193" t="s">
        <v>232</v>
      </c>
      <c r="Y704" s="200">
        <v>4.0</v>
      </c>
      <c r="Z704" s="202" t="s">
        <v>531</v>
      </c>
      <c r="AA704" s="202" t="s">
        <v>234</v>
      </c>
      <c r="AB704" s="221"/>
      <c r="AC704" s="203">
        <v>96768.0</v>
      </c>
      <c r="AD704" s="204">
        <v>46107.0</v>
      </c>
      <c r="AE704" s="204">
        <v>46168.0</v>
      </c>
      <c r="AF704" s="205"/>
      <c r="AG704" s="219"/>
      <c r="AH704" s="219"/>
      <c r="AI704" s="219"/>
      <c r="AJ704" s="219"/>
      <c r="AK704" s="219"/>
      <c r="AL704" s="219"/>
      <c r="AM704" s="219"/>
      <c r="AN704" s="219"/>
      <c r="AO704" s="219"/>
    </row>
    <row r="705">
      <c r="A705" s="193">
        <v>21540.0</v>
      </c>
      <c r="B705" s="232" t="s">
        <v>264</v>
      </c>
      <c r="C705" s="193">
        <v>2026.0</v>
      </c>
      <c r="D705" s="199"/>
      <c r="E705" s="199"/>
      <c r="F705" s="199"/>
      <c r="G705" s="248"/>
      <c r="H705" s="199"/>
      <c r="I705" s="220"/>
      <c r="J705" s="199"/>
      <c r="K705" s="193" t="s">
        <v>206</v>
      </c>
      <c r="L705" s="232" t="s">
        <v>146</v>
      </c>
      <c r="M705" s="199"/>
      <c r="N705" s="193" t="s">
        <v>227</v>
      </c>
      <c r="O705" s="193" t="s">
        <v>206</v>
      </c>
      <c r="P705" s="193" t="s">
        <v>1012</v>
      </c>
      <c r="Q705" s="207"/>
      <c r="R705" s="208" t="s">
        <v>279</v>
      </c>
      <c r="S705" s="193" t="s">
        <v>50</v>
      </c>
      <c r="T705" s="193" t="s">
        <v>1174</v>
      </c>
      <c r="U705" s="193" t="s">
        <v>1175</v>
      </c>
      <c r="V705" s="193" t="s">
        <v>50</v>
      </c>
      <c r="W705" s="193" t="s">
        <v>212</v>
      </c>
      <c r="X705" s="193" t="s">
        <v>232</v>
      </c>
      <c r="Y705" s="200">
        <v>4.0</v>
      </c>
      <c r="Z705" s="202" t="s">
        <v>531</v>
      </c>
      <c r="AA705" s="202" t="s">
        <v>234</v>
      </c>
      <c r="AB705" s="221"/>
      <c r="AC705" s="203">
        <v>8470.0</v>
      </c>
      <c r="AD705" s="204">
        <v>46107.0</v>
      </c>
      <c r="AE705" s="204">
        <v>46168.0</v>
      </c>
      <c r="AF705" s="205"/>
      <c r="AG705" s="219"/>
      <c r="AH705" s="219"/>
      <c r="AI705" s="219"/>
      <c r="AJ705" s="219"/>
      <c r="AK705" s="219"/>
      <c r="AL705" s="219"/>
      <c r="AM705" s="219"/>
      <c r="AN705" s="219"/>
      <c r="AO705" s="219"/>
    </row>
    <row r="706">
      <c r="A706" s="193">
        <v>21560.0</v>
      </c>
      <c r="B706" s="232" t="s">
        <v>264</v>
      </c>
      <c r="C706" s="193">
        <v>2026.0</v>
      </c>
      <c r="D706" s="199"/>
      <c r="E706" s="199"/>
      <c r="F706" s="199"/>
      <c r="G706" s="248"/>
      <c r="H706" s="199"/>
      <c r="I706" s="220"/>
      <c r="J706" s="199"/>
      <c r="K706" s="193" t="s">
        <v>206</v>
      </c>
      <c r="L706" s="232" t="s">
        <v>146</v>
      </c>
      <c r="M706" s="199"/>
      <c r="N706" s="193" t="s">
        <v>227</v>
      </c>
      <c r="O706" s="193" t="s">
        <v>206</v>
      </c>
      <c r="P706" s="193" t="s">
        <v>1012</v>
      </c>
      <c r="Q706" s="207"/>
      <c r="R706" s="208" t="s">
        <v>279</v>
      </c>
      <c r="S706" s="193" t="s">
        <v>50</v>
      </c>
      <c r="T706" s="193" t="s">
        <v>1176</v>
      </c>
      <c r="U706" s="193" t="s">
        <v>1177</v>
      </c>
      <c r="V706" s="193" t="s">
        <v>50</v>
      </c>
      <c r="W706" s="193" t="s">
        <v>212</v>
      </c>
      <c r="X706" s="193" t="s">
        <v>232</v>
      </c>
      <c r="Y706" s="200">
        <v>4.0</v>
      </c>
      <c r="Z706" s="202" t="s">
        <v>531</v>
      </c>
      <c r="AA706" s="202" t="s">
        <v>234</v>
      </c>
      <c r="AB706" s="221"/>
      <c r="AC706" s="203">
        <v>1791.36</v>
      </c>
      <c r="AD706" s="204">
        <v>46107.0</v>
      </c>
      <c r="AE706" s="204">
        <v>46168.0</v>
      </c>
      <c r="AF706" s="205"/>
      <c r="AG706" s="219"/>
      <c r="AH706" s="219"/>
      <c r="AI706" s="219"/>
      <c r="AJ706" s="219"/>
      <c r="AK706" s="219"/>
      <c r="AL706" s="219"/>
      <c r="AM706" s="219"/>
      <c r="AN706" s="219"/>
      <c r="AO706" s="219"/>
    </row>
    <row r="707">
      <c r="A707" s="193">
        <v>21580.0</v>
      </c>
      <c r="B707" s="232" t="s">
        <v>264</v>
      </c>
      <c r="C707" s="193">
        <v>2026.0</v>
      </c>
      <c r="D707" s="199"/>
      <c r="E707" s="199"/>
      <c r="F707" s="199"/>
      <c r="G707" s="248"/>
      <c r="H707" s="199"/>
      <c r="I707" s="199"/>
      <c r="J707" s="199"/>
      <c r="K707" s="193" t="s">
        <v>206</v>
      </c>
      <c r="L707" s="232" t="s">
        <v>146</v>
      </c>
      <c r="M707" s="199"/>
      <c r="N707" s="193" t="s">
        <v>227</v>
      </c>
      <c r="O707" s="193" t="s">
        <v>206</v>
      </c>
      <c r="P707" s="193" t="s">
        <v>1178</v>
      </c>
      <c r="Q707" s="207"/>
      <c r="R707" s="208" t="s">
        <v>279</v>
      </c>
      <c r="S707" s="193" t="s">
        <v>50</v>
      </c>
      <c r="T707" s="193" t="s">
        <v>1179</v>
      </c>
      <c r="U707" s="193" t="s">
        <v>1180</v>
      </c>
      <c r="V707" s="193" t="s">
        <v>50</v>
      </c>
      <c r="W707" s="193" t="s">
        <v>212</v>
      </c>
      <c r="X707" s="193" t="s">
        <v>232</v>
      </c>
      <c r="Y707" s="200">
        <v>4.0</v>
      </c>
      <c r="Z707" s="202" t="s">
        <v>531</v>
      </c>
      <c r="AA707" s="202" t="s">
        <v>234</v>
      </c>
      <c r="AB707" s="221"/>
      <c r="AC707" s="203">
        <v>40383.58</v>
      </c>
      <c r="AD707" s="204">
        <v>46107.0</v>
      </c>
      <c r="AE707" s="204">
        <v>46168.0</v>
      </c>
      <c r="AF707" s="205"/>
      <c r="AG707" s="219"/>
      <c r="AH707" s="219"/>
      <c r="AI707" s="219"/>
      <c r="AJ707" s="219"/>
      <c r="AK707" s="219"/>
      <c r="AL707" s="219"/>
      <c r="AM707" s="219"/>
      <c r="AN707" s="219"/>
      <c r="AO707" s="219"/>
    </row>
    <row r="708">
      <c r="A708" s="193">
        <v>21600.0</v>
      </c>
      <c r="B708" s="232" t="s">
        <v>264</v>
      </c>
      <c r="C708" s="193">
        <v>2026.0</v>
      </c>
      <c r="D708" s="199"/>
      <c r="E708" s="199"/>
      <c r="F708" s="199"/>
      <c r="G708" s="248"/>
      <c r="H708" s="199"/>
      <c r="I708" s="348"/>
      <c r="J708" s="199"/>
      <c r="K708" s="193" t="s">
        <v>206</v>
      </c>
      <c r="L708" s="232" t="s">
        <v>146</v>
      </c>
      <c r="M708" s="199"/>
      <c r="N708" s="193" t="s">
        <v>337</v>
      </c>
      <c r="O708" s="193" t="s">
        <v>206</v>
      </c>
      <c r="P708" s="193" t="s">
        <v>1178</v>
      </c>
      <c r="Q708" s="207"/>
      <c r="R708" s="208" t="s">
        <v>279</v>
      </c>
      <c r="S708" s="193" t="s">
        <v>50</v>
      </c>
      <c r="T708" s="193" t="s">
        <v>1181</v>
      </c>
      <c r="U708" s="193" t="s">
        <v>1182</v>
      </c>
      <c r="V708" s="193" t="s">
        <v>50</v>
      </c>
      <c r="W708" s="193" t="s">
        <v>212</v>
      </c>
      <c r="X708" s="193" t="s">
        <v>232</v>
      </c>
      <c r="Y708" s="200">
        <v>4.0</v>
      </c>
      <c r="Z708" s="202" t="s">
        <v>531</v>
      </c>
      <c r="AA708" s="202" t="s">
        <v>234</v>
      </c>
      <c r="AB708" s="221"/>
      <c r="AC708" s="203">
        <v>50770.48</v>
      </c>
      <c r="AD708" s="204">
        <v>46107.0</v>
      </c>
      <c r="AE708" s="204">
        <v>46168.0</v>
      </c>
      <c r="AF708" s="205"/>
      <c r="AG708" s="219"/>
      <c r="AH708" s="219"/>
      <c r="AI708" s="219"/>
      <c r="AJ708" s="219"/>
      <c r="AK708" s="219"/>
      <c r="AL708" s="219"/>
      <c r="AM708" s="219"/>
      <c r="AN708" s="219"/>
      <c r="AO708" s="219"/>
    </row>
    <row r="709">
      <c r="A709" s="193">
        <v>21620.0</v>
      </c>
      <c r="B709" s="232" t="s">
        <v>264</v>
      </c>
      <c r="C709" s="193">
        <v>2026.0</v>
      </c>
      <c r="D709" s="199"/>
      <c r="E709" s="199"/>
      <c r="F709" s="199"/>
      <c r="G709" s="248"/>
      <c r="H709" s="199"/>
      <c r="I709" s="235"/>
      <c r="J709" s="199"/>
      <c r="K709" s="193" t="s">
        <v>206</v>
      </c>
      <c r="L709" s="232" t="s">
        <v>146</v>
      </c>
      <c r="M709" s="199"/>
      <c r="N709" s="193" t="s">
        <v>207</v>
      </c>
      <c r="O709" s="193" t="s">
        <v>206</v>
      </c>
      <c r="P709" s="193" t="s">
        <v>485</v>
      </c>
      <c r="Q709" s="207"/>
      <c r="R709" s="208" t="s">
        <v>279</v>
      </c>
      <c r="S709" s="193" t="s">
        <v>50</v>
      </c>
      <c r="T709" s="193" t="s">
        <v>1184</v>
      </c>
      <c r="U709" s="193" t="s">
        <v>1185</v>
      </c>
      <c r="V709" s="193" t="s">
        <v>50</v>
      </c>
      <c r="W709" s="193" t="s">
        <v>212</v>
      </c>
      <c r="X709" s="193" t="s">
        <v>232</v>
      </c>
      <c r="Y709" s="200">
        <v>4.0</v>
      </c>
      <c r="Z709" s="202" t="s">
        <v>531</v>
      </c>
      <c r="AA709" s="202" t="s">
        <v>215</v>
      </c>
      <c r="AB709" s="221"/>
      <c r="AC709" s="203">
        <v>13599.8</v>
      </c>
      <c r="AD709" s="204">
        <v>46107.0</v>
      </c>
      <c r="AE709" s="204">
        <v>46168.0</v>
      </c>
      <c r="AF709" s="205"/>
      <c r="AG709" s="219"/>
      <c r="AH709" s="219"/>
      <c r="AI709" s="219"/>
      <c r="AJ709" s="219"/>
      <c r="AK709" s="219"/>
      <c r="AL709" s="219"/>
      <c r="AM709" s="219"/>
      <c r="AN709" s="219"/>
      <c r="AO709" s="219"/>
    </row>
    <row r="710">
      <c r="A710" s="193">
        <v>21640.0</v>
      </c>
      <c r="B710" s="232" t="s">
        <v>264</v>
      </c>
      <c r="C710" s="193">
        <v>2026.0</v>
      </c>
      <c r="D710" s="199"/>
      <c r="E710" s="199"/>
      <c r="F710" s="199"/>
      <c r="G710" s="199"/>
      <c r="H710" s="235"/>
      <c r="I710" s="199"/>
      <c r="J710" s="199"/>
      <c r="K710" s="193" t="s">
        <v>206</v>
      </c>
      <c r="L710" s="232" t="s">
        <v>146</v>
      </c>
      <c r="M710" s="199"/>
      <c r="N710" s="193" t="s">
        <v>227</v>
      </c>
      <c r="O710" s="193" t="s">
        <v>206</v>
      </c>
      <c r="P710" s="193" t="s">
        <v>1186</v>
      </c>
      <c r="Q710" s="207"/>
      <c r="R710" s="208" t="s">
        <v>279</v>
      </c>
      <c r="S710" s="193" t="s">
        <v>50</v>
      </c>
      <c r="T710" s="193" t="s">
        <v>1187</v>
      </c>
      <c r="U710" s="193" t="s">
        <v>1188</v>
      </c>
      <c r="V710" s="193" t="s">
        <v>50</v>
      </c>
      <c r="W710" s="193" t="s">
        <v>212</v>
      </c>
      <c r="X710" s="193" t="s">
        <v>232</v>
      </c>
      <c r="Y710" s="200">
        <v>4.0</v>
      </c>
      <c r="Z710" s="202" t="s">
        <v>531</v>
      </c>
      <c r="AA710" s="202" t="s">
        <v>234</v>
      </c>
      <c r="AB710" s="221"/>
      <c r="AC710" s="203">
        <v>8289.0</v>
      </c>
      <c r="AD710" s="204">
        <v>46107.0</v>
      </c>
      <c r="AE710" s="204">
        <v>46168.0</v>
      </c>
      <c r="AF710" s="205"/>
      <c r="AG710" s="219"/>
      <c r="AH710" s="219"/>
      <c r="AI710" s="219"/>
      <c r="AJ710" s="219"/>
      <c r="AK710" s="219"/>
      <c r="AL710" s="219"/>
      <c r="AM710" s="219"/>
      <c r="AN710" s="219"/>
      <c r="AO710" s="219"/>
    </row>
    <row r="711">
      <c r="A711" s="193">
        <v>21660.0</v>
      </c>
      <c r="B711" s="232" t="s">
        <v>264</v>
      </c>
      <c r="C711" s="193">
        <v>2026.0</v>
      </c>
      <c r="D711" s="199"/>
      <c r="E711" s="199"/>
      <c r="F711" s="199"/>
      <c r="G711" s="248"/>
      <c r="H711" s="199"/>
      <c r="I711" s="235"/>
      <c r="J711" s="199"/>
      <c r="K711" s="193" t="s">
        <v>206</v>
      </c>
      <c r="L711" s="232" t="s">
        <v>146</v>
      </c>
      <c r="M711" s="199"/>
      <c r="N711" s="193" t="s">
        <v>621</v>
      </c>
      <c r="O711" s="193" t="s">
        <v>206</v>
      </c>
      <c r="P711" s="193" t="s">
        <v>1186</v>
      </c>
      <c r="Q711" s="207"/>
      <c r="R711" s="208" t="s">
        <v>279</v>
      </c>
      <c r="S711" s="193" t="s">
        <v>50</v>
      </c>
      <c r="T711" s="193" t="s">
        <v>1189</v>
      </c>
      <c r="U711" s="193" t="s">
        <v>1190</v>
      </c>
      <c r="V711" s="193" t="s">
        <v>50</v>
      </c>
      <c r="W711" s="193" t="s">
        <v>212</v>
      </c>
      <c r="X711" s="193" t="s">
        <v>232</v>
      </c>
      <c r="Y711" s="200">
        <v>4.0</v>
      </c>
      <c r="Z711" s="202" t="s">
        <v>531</v>
      </c>
      <c r="AA711" s="202" t="s">
        <v>234</v>
      </c>
      <c r="AB711" s="221"/>
      <c r="AC711" s="203">
        <v>32000.0</v>
      </c>
      <c r="AD711" s="204">
        <v>46107.0</v>
      </c>
      <c r="AE711" s="204">
        <v>46168.0</v>
      </c>
      <c r="AF711" s="205"/>
      <c r="AG711" s="219"/>
      <c r="AH711" s="219"/>
      <c r="AI711" s="219"/>
      <c r="AJ711" s="219"/>
      <c r="AK711" s="219"/>
      <c r="AL711" s="219"/>
      <c r="AM711" s="219"/>
      <c r="AN711" s="219"/>
      <c r="AO711" s="219"/>
    </row>
    <row r="712">
      <c r="A712" s="193">
        <v>21680.0</v>
      </c>
      <c r="B712" s="232" t="s">
        <v>264</v>
      </c>
      <c r="C712" s="193">
        <v>2026.0</v>
      </c>
      <c r="D712" s="199"/>
      <c r="E712" s="199"/>
      <c r="F712" s="199"/>
      <c r="G712" s="248"/>
      <c r="H712" s="199"/>
      <c r="I712" s="199"/>
      <c r="J712" s="199"/>
      <c r="K712" s="193" t="s">
        <v>206</v>
      </c>
      <c r="L712" s="232" t="s">
        <v>146</v>
      </c>
      <c r="M712" s="199"/>
      <c r="N712" s="193" t="s">
        <v>227</v>
      </c>
      <c r="O712" s="193" t="s">
        <v>206</v>
      </c>
      <c r="P712" s="193" t="s">
        <v>1119</v>
      </c>
      <c r="Q712" s="207"/>
      <c r="R712" s="208" t="s">
        <v>279</v>
      </c>
      <c r="S712" s="193" t="s">
        <v>50</v>
      </c>
      <c r="T712" s="193" t="s">
        <v>1191</v>
      </c>
      <c r="U712" s="193" t="s">
        <v>1037</v>
      </c>
      <c r="V712" s="193" t="s">
        <v>50</v>
      </c>
      <c r="W712" s="193" t="s">
        <v>212</v>
      </c>
      <c r="X712" s="193" t="s">
        <v>232</v>
      </c>
      <c r="Y712" s="200">
        <v>4.0</v>
      </c>
      <c r="Z712" s="202" t="s">
        <v>531</v>
      </c>
      <c r="AA712" s="202" t="s">
        <v>234</v>
      </c>
      <c r="AB712" s="221"/>
      <c r="AC712" s="203">
        <v>4083.84</v>
      </c>
      <c r="AD712" s="204">
        <v>46107.0</v>
      </c>
      <c r="AE712" s="204">
        <v>46168.0</v>
      </c>
      <c r="AF712" s="205"/>
      <c r="AG712" s="219"/>
      <c r="AH712" s="219"/>
      <c r="AI712" s="219"/>
      <c r="AJ712" s="219"/>
      <c r="AK712" s="219"/>
      <c r="AL712" s="219"/>
      <c r="AM712" s="219"/>
      <c r="AN712" s="219"/>
      <c r="AO712" s="219"/>
    </row>
    <row r="713">
      <c r="A713" s="193">
        <v>21700.0</v>
      </c>
      <c r="B713" s="232" t="s">
        <v>264</v>
      </c>
      <c r="C713" s="193">
        <v>2026.0</v>
      </c>
      <c r="D713" s="199"/>
      <c r="E713" s="199"/>
      <c r="F713" s="199"/>
      <c r="G713" s="248"/>
      <c r="H713" s="199"/>
      <c r="I713" s="199"/>
      <c r="J713" s="199"/>
      <c r="K713" s="193" t="s">
        <v>206</v>
      </c>
      <c r="L713" s="232" t="s">
        <v>146</v>
      </c>
      <c r="M713" s="199"/>
      <c r="N713" s="193" t="s">
        <v>227</v>
      </c>
      <c r="O713" s="193" t="s">
        <v>206</v>
      </c>
      <c r="P713" s="193" t="s">
        <v>368</v>
      </c>
      <c r="Q713" s="207"/>
      <c r="R713" s="208" t="s">
        <v>279</v>
      </c>
      <c r="S713" s="193" t="s">
        <v>50</v>
      </c>
      <c r="T713" s="193" t="s">
        <v>1192</v>
      </c>
      <c r="U713" s="193" t="s">
        <v>1193</v>
      </c>
      <c r="V713" s="193" t="s">
        <v>50</v>
      </c>
      <c r="W713" s="193" t="s">
        <v>212</v>
      </c>
      <c r="X713" s="193" t="s">
        <v>232</v>
      </c>
      <c r="Y713" s="200">
        <v>4.0</v>
      </c>
      <c r="Z713" s="202" t="s">
        <v>531</v>
      </c>
      <c r="AA713" s="202" t="s">
        <v>234</v>
      </c>
      <c r="AB713" s="221"/>
      <c r="AC713" s="203">
        <v>356.16</v>
      </c>
      <c r="AD713" s="204">
        <v>46107.0</v>
      </c>
      <c r="AE713" s="204">
        <v>46168.0</v>
      </c>
      <c r="AF713" s="205"/>
      <c r="AG713" s="219"/>
      <c r="AH713" s="219"/>
      <c r="AI713" s="219"/>
      <c r="AJ713" s="219"/>
      <c r="AK713" s="219"/>
      <c r="AL713" s="219"/>
      <c r="AM713" s="219"/>
      <c r="AN713" s="219"/>
      <c r="AO713" s="219"/>
    </row>
    <row r="714">
      <c r="A714" s="193">
        <v>21720.0</v>
      </c>
      <c r="B714" s="232" t="s">
        <v>264</v>
      </c>
      <c r="C714" s="193">
        <v>2026.0</v>
      </c>
      <c r="D714" s="199"/>
      <c r="E714" s="199"/>
      <c r="F714" s="199"/>
      <c r="G714" s="248"/>
      <c r="H714" s="199"/>
      <c r="I714" s="233"/>
      <c r="J714" s="199"/>
      <c r="K714" s="193" t="s">
        <v>206</v>
      </c>
      <c r="L714" s="232" t="s">
        <v>146</v>
      </c>
      <c r="M714" s="199"/>
      <c r="N714" s="193" t="s">
        <v>227</v>
      </c>
      <c r="O714" s="193" t="s">
        <v>206</v>
      </c>
      <c r="P714" s="193" t="s">
        <v>1194</v>
      </c>
      <c r="Q714" s="207"/>
      <c r="R714" s="208" t="s">
        <v>279</v>
      </c>
      <c r="S714" s="193" t="s">
        <v>50</v>
      </c>
      <c r="T714" s="193" t="s">
        <v>1195</v>
      </c>
      <c r="U714" s="193" t="s">
        <v>1196</v>
      </c>
      <c r="V714" s="193" t="s">
        <v>50</v>
      </c>
      <c r="W714" s="193" t="s">
        <v>212</v>
      </c>
      <c r="X714" s="193" t="s">
        <v>232</v>
      </c>
      <c r="Y714" s="200">
        <v>4.0</v>
      </c>
      <c r="Z714" s="202" t="s">
        <v>531</v>
      </c>
      <c r="AA714" s="202" t="s">
        <v>234</v>
      </c>
      <c r="AB714" s="221"/>
      <c r="AC714" s="203">
        <v>9901.44</v>
      </c>
      <c r="AD714" s="204">
        <v>46107.0</v>
      </c>
      <c r="AE714" s="204">
        <v>46168.0</v>
      </c>
      <c r="AF714" s="205"/>
      <c r="AG714" s="219"/>
      <c r="AH714" s="219"/>
      <c r="AI714" s="219"/>
      <c r="AJ714" s="219"/>
      <c r="AK714" s="219"/>
      <c r="AL714" s="219"/>
      <c r="AM714" s="219"/>
      <c r="AN714" s="219"/>
      <c r="AO714" s="219"/>
    </row>
    <row r="715">
      <c r="A715" s="193">
        <v>21740.0</v>
      </c>
      <c r="B715" s="232" t="s">
        <v>264</v>
      </c>
      <c r="C715" s="193">
        <v>2026.0</v>
      </c>
      <c r="D715" s="199"/>
      <c r="E715" s="199"/>
      <c r="F715" s="199"/>
      <c r="G715" s="248"/>
      <c r="H715" s="199"/>
      <c r="I715" s="348"/>
      <c r="J715" s="199"/>
      <c r="K715" s="193" t="s">
        <v>206</v>
      </c>
      <c r="L715" s="232" t="s">
        <v>146</v>
      </c>
      <c r="M715" s="199"/>
      <c r="N715" s="193" t="s">
        <v>337</v>
      </c>
      <c r="O715" s="193" t="s">
        <v>206</v>
      </c>
      <c r="P715" s="193" t="s">
        <v>1194</v>
      </c>
      <c r="Q715" s="207"/>
      <c r="R715" s="208" t="s">
        <v>279</v>
      </c>
      <c r="S715" s="193" t="s">
        <v>50</v>
      </c>
      <c r="T715" s="193" t="s">
        <v>1197</v>
      </c>
      <c r="U715" s="193" t="s">
        <v>1161</v>
      </c>
      <c r="V715" s="193" t="s">
        <v>50</v>
      </c>
      <c r="W715" s="193" t="s">
        <v>212</v>
      </c>
      <c r="X715" s="193" t="s">
        <v>232</v>
      </c>
      <c r="Y715" s="200">
        <v>4.0</v>
      </c>
      <c r="Z715" s="202" t="s">
        <v>531</v>
      </c>
      <c r="AA715" s="202" t="s">
        <v>234</v>
      </c>
      <c r="AB715" s="221"/>
      <c r="AC715" s="203">
        <v>3943.47</v>
      </c>
      <c r="AD715" s="204">
        <v>46107.0</v>
      </c>
      <c r="AE715" s="204">
        <v>46168.0</v>
      </c>
      <c r="AF715" s="205"/>
      <c r="AG715" s="219"/>
      <c r="AH715" s="219"/>
      <c r="AI715" s="219"/>
      <c r="AJ715" s="219"/>
      <c r="AK715" s="219"/>
      <c r="AL715" s="219"/>
      <c r="AM715" s="219"/>
      <c r="AN715" s="219"/>
      <c r="AO715" s="219"/>
    </row>
    <row r="716">
      <c r="A716" s="193">
        <v>21760.0</v>
      </c>
      <c r="B716" s="232" t="s">
        <v>264</v>
      </c>
      <c r="C716" s="193">
        <v>2026.0</v>
      </c>
      <c r="D716" s="199"/>
      <c r="E716" s="199"/>
      <c r="F716" s="199"/>
      <c r="G716" s="248"/>
      <c r="H716" s="199"/>
      <c r="I716" s="199"/>
      <c r="J716" s="199"/>
      <c r="K716" s="193" t="s">
        <v>206</v>
      </c>
      <c r="L716" s="232" t="s">
        <v>146</v>
      </c>
      <c r="M716" s="199"/>
      <c r="N716" s="193" t="s">
        <v>207</v>
      </c>
      <c r="O716" s="193" t="s">
        <v>206</v>
      </c>
      <c r="P716" s="193" t="s">
        <v>1194</v>
      </c>
      <c r="Q716" s="207"/>
      <c r="R716" s="208" t="s">
        <v>279</v>
      </c>
      <c r="S716" s="193" t="s">
        <v>50</v>
      </c>
      <c r="T716" s="193" t="s">
        <v>1198</v>
      </c>
      <c r="U716" s="193" t="s">
        <v>1199</v>
      </c>
      <c r="V716" s="193" t="s">
        <v>50</v>
      </c>
      <c r="W716" s="193" t="s">
        <v>212</v>
      </c>
      <c r="X716" s="193" t="s">
        <v>232</v>
      </c>
      <c r="Y716" s="200">
        <v>4.0</v>
      </c>
      <c r="Z716" s="202" t="s">
        <v>531</v>
      </c>
      <c r="AA716" s="202" t="s">
        <v>215</v>
      </c>
      <c r="AB716" s="221"/>
      <c r="AC716" s="203">
        <v>211.52</v>
      </c>
      <c r="AD716" s="204">
        <v>46107.0</v>
      </c>
      <c r="AE716" s="204">
        <v>46168.0</v>
      </c>
      <c r="AF716" s="205"/>
      <c r="AG716" s="219"/>
      <c r="AH716" s="219"/>
      <c r="AI716" s="219"/>
      <c r="AJ716" s="219"/>
      <c r="AK716" s="219"/>
      <c r="AL716" s="219"/>
      <c r="AM716" s="219"/>
      <c r="AN716" s="219"/>
      <c r="AO716" s="219"/>
    </row>
    <row r="717">
      <c r="A717" s="193">
        <v>21780.0</v>
      </c>
      <c r="B717" s="232" t="s">
        <v>264</v>
      </c>
      <c r="C717" s="193">
        <v>2026.0</v>
      </c>
      <c r="D717" s="199"/>
      <c r="E717" s="199"/>
      <c r="F717" s="199"/>
      <c r="G717" s="235"/>
      <c r="H717" s="199"/>
      <c r="I717" s="235"/>
      <c r="J717" s="199"/>
      <c r="K717" s="193" t="s">
        <v>206</v>
      </c>
      <c r="L717" s="232" t="s">
        <v>146</v>
      </c>
      <c r="M717" s="199"/>
      <c r="N717" s="193" t="s">
        <v>207</v>
      </c>
      <c r="O717" s="193" t="s">
        <v>206</v>
      </c>
      <c r="P717" s="193" t="s">
        <v>1194</v>
      </c>
      <c r="Q717" s="207"/>
      <c r="R717" s="208" t="s">
        <v>279</v>
      </c>
      <c r="S717" s="193" t="s">
        <v>50</v>
      </c>
      <c r="T717" s="193" t="s">
        <v>1200</v>
      </c>
      <c r="U717" s="193" t="s">
        <v>1201</v>
      </c>
      <c r="V717" s="193" t="s">
        <v>50</v>
      </c>
      <c r="W717" s="193" t="s">
        <v>212</v>
      </c>
      <c r="X717" s="193" t="s">
        <v>232</v>
      </c>
      <c r="Y717" s="200">
        <v>4.0</v>
      </c>
      <c r="Z717" s="202" t="s">
        <v>531</v>
      </c>
      <c r="AA717" s="202" t="s">
        <v>215</v>
      </c>
      <c r="AB717" s="221"/>
      <c r="AC717" s="203">
        <v>211.52</v>
      </c>
      <c r="AD717" s="204">
        <v>46107.0</v>
      </c>
      <c r="AE717" s="204">
        <v>46168.0</v>
      </c>
      <c r="AF717" s="205"/>
      <c r="AG717" s="219"/>
      <c r="AH717" s="219"/>
      <c r="AI717" s="219"/>
      <c r="AJ717" s="219"/>
      <c r="AK717" s="219"/>
      <c r="AL717" s="219"/>
      <c r="AM717" s="219"/>
      <c r="AN717" s="219"/>
      <c r="AO717" s="219"/>
    </row>
    <row r="718">
      <c r="A718" s="193">
        <v>21800.0</v>
      </c>
      <c r="B718" s="232" t="s">
        <v>264</v>
      </c>
      <c r="C718" s="193">
        <v>2026.0</v>
      </c>
      <c r="D718" s="199"/>
      <c r="E718" s="199"/>
      <c r="F718" s="199"/>
      <c r="G718" s="248"/>
      <c r="H718" s="199"/>
      <c r="I718" s="235"/>
      <c r="J718" s="199"/>
      <c r="K718" s="193" t="s">
        <v>206</v>
      </c>
      <c r="L718" s="232" t="s">
        <v>146</v>
      </c>
      <c r="M718" s="199"/>
      <c r="N718" s="193" t="s">
        <v>337</v>
      </c>
      <c r="O718" s="193" t="s">
        <v>206</v>
      </c>
      <c r="P718" s="193" t="s">
        <v>1194</v>
      </c>
      <c r="Q718" s="207"/>
      <c r="R718" s="208" t="s">
        <v>279</v>
      </c>
      <c r="S718" s="193" t="s">
        <v>50</v>
      </c>
      <c r="T718" s="193" t="s">
        <v>1202</v>
      </c>
      <c r="U718" s="193" t="s">
        <v>1201</v>
      </c>
      <c r="V718" s="193" t="s">
        <v>50</v>
      </c>
      <c r="W718" s="193" t="s">
        <v>212</v>
      </c>
      <c r="X718" s="193" t="s">
        <v>232</v>
      </c>
      <c r="Y718" s="200">
        <v>4.0</v>
      </c>
      <c r="Z718" s="202" t="s">
        <v>531</v>
      </c>
      <c r="AA718" s="202" t="s">
        <v>234</v>
      </c>
      <c r="AB718" s="221"/>
      <c r="AC718" s="203">
        <v>303.03</v>
      </c>
      <c r="AD718" s="204">
        <v>46107.0</v>
      </c>
      <c r="AE718" s="204">
        <v>46168.0</v>
      </c>
      <c r="AF718" s="205"/>
      <c r="AG718" s="219"/>
      <c r="AH718" s="219"/>
      <c r="AI718" s="219"/>
      <c r="AJ718" s="219"/>
      <c r="AK718" s="219"/>
      <c r="AL718" s="219"/>
      <c r="AM718" s="219"/>
      <c r="AN718" s="219"/>
      <c r="AO718" s="219"/>
    </row>
    <row r="719">
      <c r="A719" s="193">
        <v>21820.0</v>
      </c>
      <c r="B719" s="232" t="s">
        <v>264</v>
      </c>
      <c r="C719" s="193">
        <v>2026.0</v>
      </c>
      <c r="D719" s="199"/>
      <c r="E719" s="199"/>
      <c r="F719" s="199"/>
      <c r="G719" s="248"/>
      <c r="H719" s="199"/>
      <c r="I719" s="220"/>
      <c r="J719" s="199"/>
      <c r="K719" s="193" t="s">
        <v>206</v>
      </c>
      <c r="L719" s="232" t="s">
        <v>146</v>
      </c>
      <c r="M719" s="199"/>
      <c r="N719" s="193" t="s">
        <v>337</v>
      </c>
      <c r="O719" s="193" t="s">
        <v>206</v>
      </c>
      <c r="P719" s="193" t="s">
        <v>1194</v>
      </c>
      <c r="Q719" s="207"/>
      <c r="R719" s="208" t="s">
        <v>279</v>
      </c>
      <c r="S719" s="193" t="s">
        <v>50</v>
      </c>
      <c r="T719" s="193" t="s">
        <v>1203</v>
      </c>
      <c r="U719" s="193" t="s">
        <v>1204</v>
      </c>
      <c r="V719" s="193" t="s">
        <v>50</v>
      </c>
      <c r="W719" s="193" t="s">
        <v>212</v>
      </c>
      <c r="X719" s="193" t="s">
        <v>232</v>
      </c>
      <c r="Y719" s="200">
        <v>4.0</v>
      </c>
      <c r="Z719" s="202" t="s">
        <v>531</v>
      </c>
      <c r="AA719" s="202" t="s">
        <v>234</v>
      </c>
      <c r="AB719" s="221"/>
      <c r="AC719" s="203">
        <v>1084.15</v>
      </c>
      <c r="AD719" s="204">
        <v>46107.0</v>
      </c>
      <c r="AE719" s="204">
        <v>46168.0</v>
      </c>
      <c r="AF719" s="205"/>
      <c r="AG719" s="219"/>
      <c r="AH719" s="219"/>
      <c r="AI719" s="219"/>
      <c r="AJ719" s="219"/>
      <c r="AK719" s="219"/>
      <c r="AL719" s="219"/>
      <c r="AM719" s="219"/>
      <c r="AN719" s="219"/>
      <c r="AO719" s="219"/>
    </row>
    <row r="720">
      <c r="A720" s="193">
        <v>21840.0</v>
      </c>
      <c r="B720" s="232" t="s">
        <v>264</v>
      </c>
      <c r="C720" s="193">
        <v>2026.0</v>
      </c>
      <c r="D720" s="199"/>
      <c r="E720" s="199"/>
      <c r="F720" s="199"/>
      <c r="G720" s="248"/>
      <c r="H720" s="199"/>
      <c r="I720" s="348"/>
      <c r="J720" s="199"/>
      <c r="K720" s="193" t="s">
        <v>206</v>
      </c>
      <c r="L720" s="232" t="s">
        <v>146</v>
      </c>
      <c r="M720" s="199"/>
      <c r="N720" s="193" t="s">
        <v>227</v>
      </c>
      <c r="O720" s="193" t="s">
        <v>206</v>
      </c>
      <c r="P720" s="193" t="s">
        <v>676</v>
      </c>
      <c r="Q720" s="207"/>
      <c r="R720" s="208" t="s">
        <v>279</v>
      </c>
      <c r="S720" s="193" t="s">
        <v>50</v>
      </c>
      <c r="T720" s="193" t="s">
        <v>1205</v>
      </c>
      <c r="U720" s="193" t="s">
        <v>1206</v>
      </c>
      <c r="V720" s="193" t="s">
        <v>50</v>
      </c>
      <c r="W720" s="193" t="s">
        <v>212</v>
      </c>
      <c r="X720" s="193" t="s">
        <v>232</v>
      </c>
      <c r="Y720" s="200">
        <v>4.0</v>
      </c>
      <c r="Z720" s="202" t="s">
        <v>531</v>
      </c>
      <c r="AA720" s="202" t="s">
        <v>234</v>
      </c>
      <c r="AB720" s="221"/>
      <c r="AC720" s="203">
        <v>1088.88</v>
      </c>
      <c r="AD720" s="204">
        <v>46107.0</v>
      </c>
      <c r="AE720" s="204">
        <v>46168.0</v>
      </c>
      <c r="AF720" s="205"/>
      <c r="AG720" s="219"/>
      <c r="AH720" s="219"/>
      <c r="AI720" s="219"/>
      <c r="AJ720" s="219"/>
      <c r="AK720" s="219"/>
      <c r="AL720" s="219"/>
      <c r="AM720" s="219"/>
      <c r="AN720" s="219"/>
      <c r="AO720" s="219"/>
    </row>
    <row r="721">
      <c r="A721" s="193">
        <v>21860.0</v>
      </c>
      <c r="B721" s="232" t="s">
        <v>264</v>
      </c>
      <c r="C721" s="193">
        <v>2026.0</v>
      </c>
      <c r="D721" s="199"/>
      <c r="E721" s="199"/>
      <c r="F721" s="199"/>
      <c r="G721" s="248"/>
      <c r="H721" s="199"/>
      <c r="I721" s="220"/>
      <c r="J721" s="199"/>
      <c r="K721" s="193" t="s">
        <v>206</v>
      </c>
      <c r="L721" s="232" t="s">
        <v>146</v>
      </c>
      <c r="M721" s="199"/>
      <c r="N721" s="193" t="s">
        <v>227</v>
      </c>
      <c r="O721" s="193" t="s">
        <v>206</v>
      </c>
      <c r="P721" s="193" t="s">
        <v>676</v>
      </c>
      <c r="Q721" s="207"/>
      <c r="R721" s="208" t="s">
        <v>279</v>
      </c>
      <c r="S721" s="193" t="s">
        <v>50</v>
      </c>
      <c r="T721" s="193" t="s">
        <v>1207</v>
      </c>
      <c r="U721" s="193" t="s">
        <v>1208</v>
      </c>
      <c r="V721" s="193" t="s">
        <v>50</v>
      </c>
      <c r="W721" s="193" t="s">
        <v>212</v>
      </c>
      <c r="X721" s="193" t="s">
        <v>232</v>
      </c>
      <c r="Y721" s="200">
        <v>4.0</v>
      </c>
      <c r="Z721" s="202" t="s">
        <v>531</v>
      </c>
      <c r="AA721" s="202" t="s">
        <v>234</v>
      </c>
      <c r="AB721" s="221"/>
      <c r="AC721" s="203">
        <v>1174.89</v>
      </c>
      <c r="AD721" s="204">
        <v>46107.0</v>
      </c>
      <c r="AE721" s="204">
        <v>46168.0</v>
      </c>
      <c r="AF721" s="205"/>
      <c r="AG721" s="219"/>
      <c r="AH721" s="219"/>
      <c r="AI721" s="219"/>
      <c r="AJ721" s="219"/>
      <c r="AK721" s="219"/>
      <c r="AL721" s="219"/>
      <c r="AM721" s="219"/>
      <c r="AN721" s="219"/>
      <c r="AO721" s="219"/>
    </row>
    <row r="722">
      <c r="A722" s="193">
        <v>21880.0</v>
      </c>
      <c r="B722" s="232" t="s">
        <v>264</v>
      </c>
      <c r="C722" s="193">
        <v>2026.0</v>
      </c>
      <c r="D722" s="199"/>
      <c r="E722" s="199"/>
      <c r="F722" s="199"/>
      <c r="G722" s="248"/>
      <c r="H722" s="199"/>
      <c r="I722" s="220"/>
      <c r="J722" s="199"/>
      <c r="K722" s="193" t="s">
        <v>206</v>
      </c>
      <c r="L722" s="232" t="s">
        <v>146</v>
      </c>
      <c r="M722" s="199"/>
      <c r="N722" s="193" t="s">
        <v>337</v>
      </c>
      <c r="O722" s="193" t="s">
        <v>206</v>
      </c>
      <c r="P722" s="193" t="s">
        <v>206</v>
      </c>
      <c r="Q722" s="207"/>
      <c r="R722" s="208" t="s">
        <v>279</v>
      </c>
      <c r="S722" s="193" t="s">
        <v>50</v>
      </c>
      <c r="T722" s="193" t="s">
        <v>1209</v>
      </c>
      <c r="U722" s="193" t="s">
        <v>1210</v>
      </c>
      <c r="V722" s="193" t="s">
        <v>50</v>
      </c>
      <c r="W722" s="193" t="s">
        <v>212</v>
      </c>
      <c r="X722" s="193" t="s">
        <v>232</v>
      </c>
      <c r="Y722" s="200">
        <v>4.0</v>
      </c>
      <c r="Z722" s="202" t="s">
        <v>531</v>
      </c>
      <c r="AA722" s="202" t="s">
        <v>234</v>
      </c>
      <c r="AB722" s="221"/>
      <c r="AC722" s="203">
        <v>59097.6</v>
      </c>
      <c r="AD722" s="204">
        <v>46107.0</v>
      </c>
      <c r="AE722" s="204">
        <v>46168.0</v>
      </c>
      <c r="AF722" s="205"/>
      <c r="AG722" s="219"/>
      <c r="AH722" s="219"/>
      <c r="AI722" s="219"/>
      <c r="AJ722" s="219"/>
      <c r="AK722" s="219"/>
      <c r="AL722" s="219"/>
      <c r="AM722" s="219"/>
      <c r="AN722" s="219"/>
      <c r="AO722" s="219"/>
    </row>
    <row r="723">
      <c r="A723" s="193">
        <v>21900.0</v>
      </c>
      <c r="B723" s="232" t="s">
        <v>264</v>
      </c>
      <c r="C723" s="193">
        <v>2026.0</v>
      </c>
      <c r="D723" s="199"/>
      <c r="E723" s="199"/>
      <c r="F723" s="199"/>
      <c r="G723" s="248"/>
      <c r="H723" s="199"/>
      <c r="I723" s="233"/>
      <c r="J723" s="199"/>
      <c r="K723" s="193" t="s">
        <v>206</v>
      </c>
      <c r="L723" s="232" t="s">
        <v>146</v>
      </c>
      <c r="M723" s="199"/>
      <c r="N723" s="193" t="s">
        <v>621</v>
      </c>
      <c r="O723" s="193" t="s">
        <v>206</v>
      </c>
      <c r="P723" s="193" t="s">
        <v>206</v>
      </c>
      <c r="Q723" s="207"/>
      <c r="R723" s="208" t="s">
        <v>279</v>
      </c>
      <c r="S723" s="193" t="s">
        <v>50</v>
      </c>
      <c r="T723" s="193" t="s">
        <v>1211</v>
      </c>
      <c r="U723" s="193" t="s">
        <v>1212</v>
      </c>
      <c r="V723" s="193" t="s">
        <v>50</v>
      </c>
      <c r="W723" s="193" t="s">
        <v>212</v>
      </c>
      <c r="X723" s="193" t="s">
        <v>232</v>
      </c>
      <c r="Y723" s="200">
        <v>4.0</v>
      </c>
      <c r="Z723" s="202" t="s">
        <v>531</v>
      </c>
      <c r="AA723" s="202" t="s">
        <v>234</v>
      </c>
      <c r="AB723" s="221"/>
      <c r="AC723" s="203">
        <v>21634.38</v>
      </c>
      <c r="AD723" s="204">
        <v>46107.0</v>
      </c>
      <c r="AE723" s="204">
        <v>46168.0</v>
      </c>
      <c r="AF723" s="205"/>
      <c r="AG723" s="219"/>
      <c r="AH723" s="219"/>
      <c r="AI723" s="219"/>
      <c r="AJ723" s="219"/>
      <c r="AK723" s="219"/>
      <c r="AL723" s="219"/>
      <c r="AM723" s="219"/>
      <c r="AN723" s="219"/>
      <c r="AO723" s="219"/>
    </row>
    <row r="724">
      <c r="A724" s="193">
        <v>21920.0</v>
      </c>
      <c r="B724" s="232" t="s">
        <v>264</v>
      </c>
      <c r="C724" s="193">
        <v>2026.0</v>
      </c>
      <c r="D724" s="199"/>
      <c r="E724" s="199"/>
      <c r="F724" s="199"/>
      <c r="G724" s="248"/>
      <c r="H724" s="199"/>
      <c r="I724" s="233"/>
      <c r="J724" s="199"/>
      <c r="K724" s="193" t="s">
        <v>206</v>
      </c>
      <c r="L724" s="232" t="s">
        <v>146</v>
      </c>
      <c r="M724" s="199"/>
      <c r="N724" s="193" t="s">
        <v>227</v>
      </c>
      <c r="O724" s="193" t="s">
        <v>206</v>
      </c>
      <c r="P724" s="193" t="s">
        <v>206</v>
      </c>
      <c r="Q724" s="207"/>
      <c r="R724" s="208" t="s">
        <v>279</v>
      </c>
      <c r="S724" s="193" t="s">
        <v>50</v>
      </c>
      <c r="T724" s="193" t="s">
        <v>1213</v>
      </c>
      <c r="U724" s="193" t="s">
        <v>1214</v>
      </c>
      <c r="V724" s="193" t="s">
        <v>50</v>
      </c>
      <c r="W724" s="193" t="s">
        <v>212</v>
      </c>
      <c r="X724" s="193" t="s">
        <v>232</v>
      </c>
      <c r="Y724" s="200">
        <v>4.0</v>
      </c>
      <c r="Z724" s="202" t="s">
        <v>531</v>
      </c>
      <c r="AA724" s="202" t="s">
        <v>234</v>
      </c>
      <c r="AB724" s="221"/>
      <c r="AC724" s="203">
        <v>51.26</v>
      </c>
      <c r="AD724" s="204">
        <v>46107.0</v>
      </c>
      <c r="AE724" s="204">
        <v>46168.0</v>
      </c>
      <c r="AF724" s="205"/>
      <c r="AG724" s="219"/>
      <c r="AH724" s="219"/>
      <c r="AI724" s="219"/>
      <c r="AJ724" s="219"/>
      <c r="AK724" s="219"/>
      <c r="AL724" s="219"/>
      <c r="AM724" s="219"/>
      <c r="AN724" s="219"/>
      <c r="AO724" s="219"/>
    </row>
    <row r="725">
      <c r="A725" s="193">
        <v>21940.0</v>
      </c>
      <c r="B725" s="232" t="s">
        <v>264</v>
      </c>
      <c r="C725" s="193">
        <v>2026.0</v>
      </c>
      <c r="D725" s="199"/>
      <c r="E725" s="199"/>
      <c r="F725" s="199"/>
      <c r="G725" s="248"/>
      <c r="H725" s="199"/>
      <c r="I725" s="220"/>
      <c r="J725" s="199"/>
      <c r="K725" s="193" t="s">
        <v>206</v>
      </c>
      <c r="L725" s="232" t="s">
        <v>146</v>
      </c>
      <c r="M725" s="199"/>
      <c r="N725" s="193" t="s">
        <v>337</v>
      </c>
      <c r="O725" s="193" t="s">
        <v>206</v>
      </c>
      <c r="P725" s="193" t="s">
        <v>206</v>
      </c>
      <c r="Q725" s="207"/>
      <c r="R725" s="208" t="s">
        <v>279</v>
      </c>
      <c r="S725" s="193" t="s">
        <v>50</v>
      </c>
      <c r="T725" s="193" t="s">
        <v>1215</v>
      </c>
      <c r="U725" s="193" t="s">
        <v>1216</v>
      </c>
      <c r="V725" s="193" t="s">
        <v>50</v>
      </c>
      <c r="W725" s="193" t="s">
        <v>212</v>
      </c>
      <c r="X725" s="193" t="s">
        <v>232</v>
      </c>
      <c r="Y725" s="200">
        <v>4.0</v>
      </c>
      <c r="Z725" s="202" t="s">
        <v>531</v>
      </c>
      <c r="AA725" s="202" t="s">
        <v>234</v>
      </c>
      <c r="AB725" s="221"/>
      <c r="AC725" s="203">
        <v>211356.18</v>
      </c>
      <c r="AD725" s="204">
        <v>46107.0</v>
      </c>
      <c r="AE725" s="204">
        <v>46168.0</v>
      </c>
      <c r="AF725" s="205"/>
      <c r="AG725" s="219"/>
      <c r="AH725" s="219"/>
      <c r="AI725" s="219"/>
      <c r="AJ725" s="219"/>
      <c r="AK725" s="219"/>
      <c r="AL725" s="219"/>
      <c r="AM725" s="219"/>
      <c r="AN725" s="219"/>
      <c r="AO725" s="219"/>
    </row>
    <row r="726">
      <c r="A726" s="193">
        <v>21960.0</v>
      </c>
      <c r="B726" s="232" t="s">
        <v>264</v>
      </c>
      <c r="C726" s="193">
        <v>2026.0</v>
      </c>
      <c r="D726" s="199"/>
      <c r="E726" s="199"/>
      <c r="F726" s="199"/>
      <c r="G726" s="248"/>
      <c r="H726" s="199"/>
      <c r="I726" s="348"/>
      <c r="J726" s="199"/>
      <c r="K726" s="193" t="s">
        <v>206</v>
      </c>
      <c r="L726" s="232" t="s">
        <v>146</v>
      </c>
      <c r="M726" s="199"/>
      <c r="N726" s="193" t="s">
        <v>227</v>
      </c>
      <c r="O726" s="193" t="s">
        <v>206</v>
      </c>
      <c r="P726" s="193" t="s">
        <v>206</v>
      </c>
      <c r="Q726" s="207"/>
      <c r="R726" s="208" t="s">
        <v>279</v>
      </c>
      <c r="S726" s="193" t="s">
        <v>50</v>
      </c>
      <c r="T726" s="193" t="s">
        <v>1217</v>
      </c>
      <c r="U726" s="193" t="s">
        <v>1218</v>
      </c>
      <c r="V726" s="193" t="s">
        <v>50</v>
      </c>
      <c r="W726" s="193" t="s">
        <v>212</v>
      </c>
      <c r="X726" s="193" t="s">
        <v>232</v>
      </c>
      <c r="Y726" s="200">
        <v>4.0</v>
      </c>
      <c r="Z726" s="202" t="s">
        <v>531</v>
      </c>
      <c r="AA726" s="202" t="s">
        <v>234</v>
      </c>
      <c r="AB726" s="221"/>
      <c r="AC726" s="203">
        <v>113207.04</v>
      </c>
      <c r="AD726" s="204">
        <v>46107.0</v>
      </c>
      <c r="AE726" s="204">
        <v>46168.0</v>
      </c>
      <c r="AF726" s="205"/>
      <c r="AG726" s="219"/>
      <c r="AH726" s="219"/>
      <c r="AI726" s="219"/>
      <c r="AJ726" s="219"/>
      <c r="AK726" s="219"/>
      <c r="AL726" s="219"/>
      <c r="AM726" s="219"/>
      <c r="AN726" s="219"/>
      <c r="AO726" s="219"/>
    </row>
    <row r="727">
      <c r="A727" s="193">
        <v>21980.0</v>
      </c>
      <c r="B727" s="232" t="s">
        <v>264</v>
      </c>
      <c r="C727" s="193">
        <v>2026.0</v>
      </c>
      <c r="D727" s="199"/>
      <c r="E727" s="199"/>
      <c r="F727" s="199"/>
      <c r="G727" s="248"/>
      <c r="H727" s="199"/>
      <c r="I727" s="199"/>
      <c r="J727" s="199"/>
      <c r="K727" s="193" t="s">
        <v>206</v>
      </c>
      <c r="L727" s="232" t="s">
        <v>146</v>
      </c>
      <c r="M727" s="199"/>
      <c r="N727" s="193" t="s">
        <v>227</v>
      </c>
      <c r="O727" s="193" t="s">
        <v>206</v>
      </c>
      <c r="P727" s="193" t="s">
        <v>206</v>
      </c>
      <c r="Q727" s="207"/>
      <c r="R727" s="208" t="s">
        <v>279</v>
      </c>
      <c r="S727" s="193" t="s">
        <v>50</v>
      </c>
      <c r="T727" s="193" t="s">
        <v>1219</v>
      </c>
      <c r="U727" s="193" t="s">
        <v>1220</v>
      </c>
      <c r="V727" s="193" t="s">
        <v>50</v>
      </c>
      <c r="W727" s="193" t="s">
        <v>212</v>
      </c>
      <c r="X727" s="193" t="s">
        <v>232</v>
      </c>
      <c r="Y727" s="200">
        <v>4.0</v>
      </c>
      <c r="Z727" s="202" t="s">
        <v>531</v>
      </c>
      <c r="AA727" s="202" t="s">
        <v>234</v>
      </c>
      <c r="AB727" s="221"/>
      <c r="AC727" s="203">
        <v>101568.52</v>
      </c>
      <c r="AD727" s="204">
        <v>46107.0</v>
      </c>
      <c r="AE727" s="204">
        <v>46168.0</v>
      </c>
      <c r="AF727" s="205"/>
      <c r="AG727" s="219"/>
      <c r="AH727" s="219"/>
      <c r="AI727" s="219"/>
      <c r="AJ727" s="219"/>
      <c r="AK727" s="219"/>
      <c r="AL727" s="219"/>
      <c r="AM727" s="219"/>
      <c r="AN727" s="219"/>
      <c r="AO727" s="219"/>
    </row>
    <row r="728">
      <c r="A728" s="193">
        <v>22000.0</v>
      </c>
      <c r="B728" s="232" t="s">
        <v>264</v>
      </c>
      <c r="C728" s="193">
        <v>2026.0</v>
      </c>
      <c r="D728" s="199"/>
      <c r="E728" s="199"/>
      <c r="F728" s="199"/>
      <c r="G728" s="248"/>
      <c r="H728" s="199"/>
      <c r="I728" s="220"/>
      <c r="J728" s="199"/>
      <c r="K728" s="193" t="s">
        <v>206</v>
      </c>
      <c r="L728" s="232" t="s">
        <v>146</v>
      </c>
      <c r="M728" s="199"/>
      <c r="N728" s="193" t="s">
        <v>621</v>
      </c>
      <c r="O728" s="193" t="s">
        <v>206</v>
      </c>
      <c r="P728" s="193" t="s">
        <v>206</v>
      </c>
      <c r="Q728" s="207"/>
      <c r="R728" s="208" t="s">
        <v>279</v>
      </c>
      <c r="S728" s="193" t="s">
        <v>50</v>
      </c>
      <c r="T728" s="193" t="s">
        <v>1221</v>
      </c>
      <c r="U728" s="193" t="s">
        <v>1222</v>
      </c>
      <c r="V728" s="193" t="s">
        <v>50</v>
      </c>
      <c r="W728" s="193" t="s">
        <v>212</v>
      </c>
      <c r="X728" s="193" t="s">
        <v>232</v>
      </c>
      <c r="Y728" s="200">
        <v>4.0</v>
      </c>
      <c r="Z728" s="202" t="s">
        <v>531</v>
      </c>
      <c r="AA728" s="202" t="s">
        <v>234</v>
      </c>
      <c r="AB728" s="221"/>
      <c r="AC728" s="203">
        <v>174107.89</v>
      </c>
      <c r="AD728" s="204">
        <v>46107.0</v>
      </c>
      <c r="AE728" s="204">
        <v>46168.0</v>
      </c>
      <c r="AF728" s="205"/>
      <c r="AG728" s="219"/>
      <c r="AH728" s="219"/>
      <c r="AI728" s="219"/>
      <c r="AJ728" s="219"/>
      <c r="AK728" s="219"/>
      <c r="AL728" s="219"/>
      <c r="AM728" s="219"/>
      <c r="AN728" s="219"/>
      <c r="AO728" s="219"/>
    </row>
    <row r="729">
      <c r="A729" s="193">
        <v>22020.0</v>
      </c>
      <c r="B729" s="232" t="s">
        <v>264</v>
      </c>
      <c r="C729" s="193">
        <v>2026.0</v>
      </c>
      <c r="D729" s="199"/>
      <c r="E729" s="199"/>
      <c r="F729" s="199"/>
      <c r="G729" s="248"/>
      <c r="H729" s="199"/>
      <c r="I729" s="235"/>
      <c r="J729" s="199"/>
      <c r="K729" s="193" t="s">
        <v>206</v>
      </c>
      <c r="L729" s="232" t="s">
        <v>146</v>
      </c>
      <c r="M729" s="199"/>
      <c r="N729" s="193" t="s">
        <v>337</v>
      </c>
      <c r="O729" s="193" t="s">
        <v>206</v>
      </c>
      <c r="P729" s="193" t="s">
        <v>206</v>
      </c>
      <c r="Q729" s="207"/>
      <c r="R729" s="208" t="s">
        <v>279</v>
      </c>
      <c r="S729" s="193" t="s">
        <v>50</v>
      </c>
      <c r="T729" s="193" t="s">
        <v>1223</v>
      </c>
      <c r="U729" s="193" t="s">
        <v>1224</v>
      </c>
      <c r="V729" s="193" t="s">
        <v>50</v>
      </c>
      <c r="W729" s="193" t="s">
        <v>212</v>
      </c>
      <c r="X729" s="193" t="s">
        <v>232</v>
      </c>
      <c r="Y729" s="200">
        <v>4.0</v>
      </c>
      <c r="Z729" s="202" t="s">
        <v>531</v>
      </c>
      <c r="AA729" s="202" t="s">
        <v>234</v>
      </c>
      <c r="AB729" s="221"/>
      <c r="AC729" s="203">
        <v>623589.71</v>
      </c>
      <c r="AD729" s="204">
        <v>46107.0</v>
      </c>
      <c r="AE729" s="204">
        <v>46168.0</v>
      </c>
      <c r="AF729" s="205"/>
      <c r="AG729" s="219"/>
      <c r="AH729" s="219"/>
      <c r="AI729" s="219"/>
      <c r="AJ729" s="219"/>
      <c r="AK729" s="219"/>
      <c r="AL729" s="219"/>
      <c r="AM729" s="219"/>
      <c r="AN729" s="219"/>
      <c r="AO729" s="219"/>
    </row>
    <row r="730">
      <c r="A730" s="193">
        <v>22040.0</v>
      </c>
      <c r="B730" s="232" t="s">
        <v>264</v>
      </c>
      <c r="C730" s="193">
        <v>2026.0</v>
      </c>
      <c r="D730" s="199"/>
      <c r="E730" s="199"/>
      <c r="F730" s="199"/>
      <c r="G730" s="248"/>
      <c r="H730" s="199"/>
      <c r="I730" s="199"/>
      <c r="J730" s="199"/>
      <c r="K730" s="193" t="s">
        <v>206</v>
      </c>
      <c r="L730" s="232" t="s">
        <v>146</v>
      </c>
      <c r="M730" s="199"/>
      <c r="N730" s="193" t="s">
        <v>227</v>
      </c>
      <c r="O730" s="193" t="s">
        <v>206</v>
      </c>
      <c r="P730" s="193" t="s">
        <v>206</v>
      </c>
      <c r="Q730" s="207"/>
      <c r="R730" s="208" t="s">
        <v>279</v>
      </c>
      <c r="S730" s="193" t="s">
        <v>50</v>
      </c>
      <c r="T730" s="193" t="s">
        <v>1225</v>
      </c>
      <c r="U730" s="193" t="s">
        <v>1226</v>
      </c>
      <c r="V730" s="193" t="s">
        <v>50</v>
      </c>
      <c r="W730" s="193" t="s">
        <v>212</v>
      </c>
      <c r="X730" s="193" t="s">
        <v>232</v>
      </c>
      <c r="Y730" s="200">
        <v>4.0</v>
      </c>
      <c r="Z730" s="202" t="s">
        <v>531</v>
      </c>
      <c r="AA730" s="202" t="s">
        <v>234</v>
      </c>
      <c r="AB730" s="221"/>
      <c r="AC730" s="203">
        <v>3562.0</v>
      </c>
      <c r="AD730" s="204">
        <v>46107.0</v>
      </c>
      <c r="AE730" s="204">
        <v>46168.0</v>
      </c>
      <c r="AF730" s="205"/>
      <c r="AG730" s="219"/>
      <c r="AH730" s="219"/>
      <c r="AI730" s="219"/>
      <c r="AJ730" s="219"/>
      <c r="AK730" s="219"/>
      <c r="AL730" s="219"/>
      <c r="AM730" s="219"/>
      <c r="AN730" s="219"/>
      <c r="AO730" s="219"/>
    </row>
    <row r="731">
      <c r="A731" s="193">
        <v>22060.0</v>
      </c>
      <c r="B731" s="232" t="s">
        <v>264</v>
      </c>
      <c r="C731" s="193">
        <v>2026.0</v>
      </c>
      <c r="D731" s="199"/>
      <c r="E731" s="199"/>
      <c r="F731" s="199"/>
      <c r="G731" s="248"/>
      <c r="H731" s="199"/>
      <c r="I731" s="220"/>
      <c r="J731" s="199"/>
      <c r="K731" s="193" t="s">
        <v>206</v>
      </c>
      <c r="L731" s="232" t="s">
        <v>146</v>
      </c>
      <c r="M731" s="199"/>
      <c r="N731" s="193" t="s">
        <v>227</v>
      </c>
      <c r="O731" s="193" t="s">
        <v>206</v>
      </c>
      <c r="P731" s="193" t="s">
        <v>206</v>
      </c>
      <c r="Q731" s="199"/>
      <c r="R731" s="193" t="s">
        <v>279</v>
      </c>
      <c r="S731" s="193" t="s">
        <v>50</v>
      </c>
      <c r="T731" s="193" t="s">
        <v>1227</v>
      </c>
      <c r="U731" s="193" t="s">
        <v>1228</v>
      </c>
      <c r="V731" s="193" t="s">
        <v>50</v>
      </c>
      <c r="W731" s="193" t="s">
        <v>212</v>
      </c>
      <c r="X731" s="193" t="s">
        <v>232</v>
      </c>
      <c r="Y731" s="200">
        <v>4.0</v>
      </c>
      <c r="Z731" s="202" t="s">
        <v>531</v>
      </c>
      <c r="AA731" s="202" t="s">
        <v>234</v>
      </c>
      <c r="AB731" s="221"/>
      <c r="AC731" s="203">
        <v>1638.52</v>
      </c>
      <c r="AD731" s="204">
        <v>46107.0</v>
      </c>
      <c r="AE731" s="204">
        <v>46168.0</v>
      </c>
      <c r="AF731" s="205"/>
      <c r="AG731" s="219"/>
      <c r="AH731" s="219"/>
      <c r="AI731" s="219"/>
      <c r="AJ731" s="219"/>
      <c r="AK731" s="219"/>
      <c r="AL731" s="219"/>
      <c r="AM731" s="219"/>
      <c r="AN731" s="219"/>
      <c r="AO731" s="219"/>
    </row>
    <row r="732">
      <c r="A732" s="193">
        <v>22080.0</v>
      </c>
      <c r="B732" s="232" t="s">
        <v>264</v>
      </c>
      <c r="C732" s="193">
        <v>2026.0</v>
      </c>
      <c r="D732" s="199"/>
      <c r="E732" s="199"/>
      <c r="F732" s="199"/>
      <c r="G732" s="248"/>
      <c r="H732" s="199"/>
      <c r="I732" s="235"/>
      <c r="J732" s="199"/>
      <c r="K732" s="193" t="s">
        <v>206</v>
      </c>
      <c r="L732" s="232" t="s">
        <v>146</v>
      </c>
      <c r="M732" s="199"/>
      <c r="N732" s="193" t="s">
        <v>337</v>
      </c>
      <c r="O732" s="193" t="s">
        <v>206</v>
      </c>
      <c r="P732" s="193" t="s">
        <v>206</v>
      </c>
      <c r="Q732" s="199"/>
      <c r="R732" s="193" t="s">
        <v>279</v>
      </c>
      <c r="S732" s="193" t="s">
        <v>50</v>
      </c>
      <c r="T732" s="193" t="s">
        <v>1229</v>
      </c>
      <c r="U732" s="193" t="s">
        <v>1230</v>
      </c>
      <c r="V732" s="193" t="s">
        <v>50</v>
      </c>
      <c r="W732" s="193" t="s">
        <v>212</v>
      </c>
      <c r="X732" s="193" t="s">
        <v>232</v>
      </c>
      <c r="Y732" s="200">
        <v>4.0</v>
      </c>
      <c r="Z732" s="202" t="s">
        <v>531</v>
      </c>
      <c r="AA732" s="202" t="s">
        <v>234</v>
      </c>
      <c r="AB732" s="221"/>
      <c r="AC732" s="203">
        <v>37520.5</v>
      </c>
      <c r="AD732" s="204">
        <v>46107.0</v>
      </c>
      <c r="AE732" s="204">
        <v>46168.0</v>
      </c>
      <c r="AF732" s="205"/>
      <c r="AG732" s="219"/>
      <c r="AH732" s="219"/>
      <c r="AI732" s="219"/>
      <c r="AJ732" s="219"/>
      <c r="AK732" s="219"/>
      <c r="AL732" s="219"/>
      <c r="AM732" s="219"/>
      <c r="AN732" s="219"/>
      <c r="AO732" s="219"/>
    </row>
    <row r="733">
      <c r="A733" s="193">
        <v>22100.0</v>
      </c>
      <c r="B733" s="232" t="s">
        <v>264</v>
      </c>
      <c r="C733" s="193">
        <v>2026.0</v>
      </c>
      <c r="D733" s="199"/>
      <c r="E733" s="199"/>
      <c r="F733" s="199"/>
      <c r="G733" s="248"/>
      <c r="H733" s="199"/>
      <c r="I733" s="199"/>
      <c r="J733" s="199"/>
      <c r="K733" s="193" t="s">
        <v>206</v>
      </c>
      <c r="L733" s="232" t="s">
        <v>146</v>
      </c>
      <c r="M733" s="199"/>
      <c r="N733" s="193" t="s">
        <v>337</v>
      </c>
      <c r="O733" s="193" t="s">
        <v>206</v>
      </c>
      <c r="P733" s="193" t="s">
        <v>206</v>
      </c>
      <c r="Q733" s="199"/>
      <c r="R733" s="193" t="s">
        <v>279</v>
      </c>
      <c r="S733" s="193" t="s">
        <v>50</v>
      </c>
      <c r="T733" s="193" t="s">
        <v>1231</v>
      </c>
      <c r="U733" s="193" t="s">
        <v>1232</v>
      </c>
      <c r="V733" s="193" t="s">
        <v>50</v>
      </c>
      <c r="W733" s="193" t="s">
        <v>212</v>
      </c>
      <c r="X733" s="193" t="s">
        <v>232</v>
      </c>
      <c r="Y733" s="200">
        <v>4.0</v>
      </c>
      <c r="Z733" s="202" t="s">
        <v>531</v>
      </c>
      <c r="AA733" s="202" t="s">
        <v>234</v>
      </c>
      <c r="AB733" s="221"/>
      <c r="AC733" s="203">
        <v>4836.0</v>
      </c>
      <c r="AD733" s="204">
        <v>46107.0</v>
      </c>
      <c r="AE733" s="204">
        <v>46168.0</v>
      </c>
      <c r="AF733" s="205"/>
      <c r="AG733" s="219"/>
      <c r="AH733" s="219"/>
      <c r="AI733" s="219"/>
      <c r="AJ733" s="219"/>
      <c r="AK733" s="219"/>
      <c r="AL733" s="219"/>
      <c r="AM733" s="219"/>
      <c r="AN733" s="219"/>
      <c r="AO733" s="219"/>
    </row>
    <row r="734">
      <c r="A734" s="193">
        <v>22120.0</v>
      </c>
      <c r="B734" s="232" t="s">
        <v>264</v>
      </c>
      <c r="C734" s="193">
        <v>2026.0</v>
      </c>
      <c r="D734" s="199"/>
      <c r="E734" s="199"/>
      <c r="F734" s="199"/>
      <c r="G734" s="248"/>
      <c r="H734" s="199"/>
      <c r="I734" s="220"/>
      <c r="J734" s="199"/>
      <c r="K734" s="193" t="s">
        <v>206</v>
      </c>
      <c r="L734" s="232" t="s">
        <v>146</v>
      </c>
      <c r="M734" s="199"/>
      <c r="N734" s="193" t="s">
        <v>227</v>
      </c>
      <c r="O734" s="193" t="s">
        <v>206</v>
      </c>
      <c r="P734" s="193" t="s">
        <v>206</v>
      </c>
      <c r="Q734" s="199"/>
      <c r="R734" s="193" t="s">
        <v>279</v>
      </c>
      <c r="S734" s="193" t="s">
        <v>50</v>
      </c>
      <c r="T734" s="193" t="s">
        <v>1233</v>
      </c>
      <c r="U734" s="193" t="s">
        <v>1234</v>
      </c>
      <c r="V734" s="193" t="s">
        <v>50</v>
      </c>
      <c r="W734" s="193" t="s">
        <v>212</v>
      </c>
      <c r="X734" s="193" t="s">
        <v>232</v>
      </c>
      <c r="Y734" s="200">
        <v>4.0</v>
      </c>
      <c r="Z734" s="202" t="s">
        <v>531</v>
      </c>
      <c r="AA734" s="202" t="s">
        <v>234</v>
      </c>
      <c r="AB734" s="221"/>
      <c r="AC734" s="203">
        <v>3698.04</v>
      </c>
      <c r="AD734" s="204">
        <v>46107.0</v>
      </c>
      <c r="AE734" s="204">
        <v>46168.0</v>
      </c>
      <c r="AF734" s="205"/>
      <c r="AG734" s="219"/>
      <c r="AH734" s="219"/>
      <c r="AI734" s="219"/>
      <c r="AJ734" s="219"/>
      <c r="AK734" s="219"/>
      <c r="AL734" s="219"/>
      <c r="AM734" s="219"/>
      <c r="AN734" s="219"/>
      <c r="AO734" s="219"/>
    </row>
    <row r="735">
      <c r="A735" s="193">
        <v>22140.0</v>
      </c>
      <c r="B735" s="232" t="s">
        <v>264</v>
      </c>
      <c r="C735" s="193">
        <v>2026.0</v>
      </c>
      <c r="D735" s="199"/>
      <c r="E735" s="199"/>
      <c r="F735" s="199"/>
      <c r="G735" s="248"/>
      <c r="H735" s="199"/>
      <c r="I735" s="235"/>
      <c r="J735" s="199"/>
      <c r="K735" s="193" t="s">
        <v>206</v>
      </c>
      <c r="L735" s="232" t="s">
        <v>146</v>
      </c>
      <c r="M735" s="199"/>
      <c r="N735" s="193" t="s">
        <v>227</v>
      </c>
      <c r="O735" s="193" t="s">
        <v>206</v>
      </c>
      <c r="P735" s="193" t="s">
        <v>206</v>
      </c>
      <c r="Q735" s="199"/>
      <c r="R735" s="193" t="s">
        <v>279</v>
      </c>
      <c r="S735" s="193" t="s">
        <v>50</v>
      </c>
      <c r="T735" s="193" t="s">
        <v>1235</v>
      </c>
      <c r="U735" s="193" t="s">
        <v>1236</v>
      </c>
      <c r="V735" s="193" t="s">
        <v>50</v>
      </c>
      <c r="W735" s="193" t="s">
        <v>212</v>
      </c>
      <c r="X735" s="193" t="s">
        <v>232</v>
      </c>
      <c r="Y735" s="200">
        <v>4.0</v>
      </c>
      <c r="Z735" s="202" t="s">
        <v>531</v>
      </c>
      <c r="AA735" s="202" t="s">
        <v>234</v>
      </c>
      <c r="AB735" s="221"/>
      <c r="AC735" s="203">
        <v>7290.92</v>
      </c>
      <c r="AD735" s="204">
        <v>46107.0</v>
      </c>
      <c r="AE735" s="204">
        <v>46168.0</v>
      </c>
      <c r="AF735" s="205"/>
      <c r="AG735" s="219"/>
      <c r="AH735" s="219"/>
      <c r="AI735" s="219"/>
      <c r="AJ735" s="219"/>
      <c r="AK735" s="219"/>
      <c r="AL735" s="219"/>
      <c r="AM735" s="219"/>
      <c r="AN735" s="219"/>
      <c r="AO735" s="219"/>
    </row>
    <row r="736">
      <c r="A736" s="193">
        <v>22160.0</v>
      </c>
      <c r="B736" s="232" t="s">
        <v>264</v>
      </c>
      <c r="C736" s="193">
        <v>2026.0</v>
      </c>
      <c r="D736" s="199"/>
      <c r="E736" s="199"/>
      <c r="F736" s="199"/>
      <c r="G736" s="248"/>
      <c r="H736" s="199"/>
      <c r="I736" s="233"/>
      <c r="J736" s="199"/>
      <c r="K736" s="193" t="s">
        <v>206</v>
      </c>
      <c r="L736" s="232" t="s">
        <v>146</v>
      </c>
      <c r="M736" s="199"/>
      <c r="N736" s="193" t="s">
        <v>227</v>
      </c>
      <c r="O736" s="193" t="s">
        <v>206</v>
      </c>
      <c r="P736" s="193" t="s">
        <v>206</v>
      </c>
      <c r="Q736" s="199"/>
      <c r="R736" s="193" t="s">
        <v>279</v>
      </c>
      <c r="S736" s="193" t="s">
        <v>50</v>
      </c>
      <c r="T736" s="193" t="s">
        <v>1237</v>
      </c>
      <c r="U736" s="193" t="s">
        <v>1238</v>
      </c>
      <c r="V736" s="193" t="s">
        <v>50</v>
      </c>
      <c r="W736" s="193" t="s">
        <v>212</v>
      </c>
      <c r="X736" s="193" t="s">
        <v>232</v>
      </c>
      <c r="Y736" s="200">
        <v>4.0</v>
      </c>
      <c r="Z736" s="202" t="s">
        <v>531</v>
      </c>
      <c r="AA736" s="202" t="s">
        <v>234</v>
      </c>
      <c r="AB736" s="221"/>
      <c r="AC736" s="203">
        <v>6123.7</v>
      </c>
      <c r="AD736" s="204">
        <v>46107.0</v>
      </c>
      <c r="AE736" s="204">
        <v>46168.0</v>
      </c>
      <c r="AF736" s="205"/>
      <c r="AG736" s="219"/>
      <c r="AH736" s="219"/>
      <c r="AI736" s="219"/>
      <c r="AJ736" s="219"/>
      <c r="AK736" s="219"/>
      <c r="AL736" s="219"/>
      <c r="AM736" s="219"/>
      <c r="AN736" s="219"/>
      <c r="AO736" s="219"/>
    </row>
    <row r="737">
      <c r="A737" s="193">
        <v>22180.0</v>
      </c>
      <c r="B737" s="232" t="s">
        <v>264</v>
      </c>
      <c r="C737" s="193">
        <v>2026.0</v>
      </c>
      <c r="D737" s="199"/>
      <c r="E737" s="199"/>
      <c r="F737" s="199"/>
      <c r="G737" s="248"/>
      <c r="H737" s="199"/>
      <c r="I737" s="220"/>
      <c r="J737" s="199"/>
      <c r="K737" s="193" t="s">
        <v>206</v>
      </c>
      <c r="L737" s="232" t="s">
        <v>146</v>
      </c>
      <c r="M737" s="199"/>
      <c r="N737" s="193" t="s">
        <v>227</v>
      </c>
      <c r="O737" s="193" t="s">
        <v>206</v>
      </c>
      <c r="P737" s="193" t="s">
        <v>206</v>
      </c>
      <c r="Q737" s="199"/>
      <c r="R737" s="193" t="s">
        <v>279</v>
      </c>
      <c r="S737" s="193" t="s">
        <v>50</v>
      </c>
      <c r="T737" s="193" t="s">
        <v>1239</v>
      </c>
      <c r="U737" s="193" t="s">
        <v>1240</v>
      </c>
      <c r="V737" s="193" t="s">
        <v>50</v>
      </c>
      <c r="W737" s="193" t="s">
        <v>212</v>
      </c>
      <c r="X737" s="193" t="s">
        <v>232</v>
      </c>
      <c r="Y737" s="200">
        <v>4.0</v>
      </c>
      <c r="Z737" s="202" t="s">
        <v>531</v>
      </c>
      <c r="AA737" s="202" t="s">
        <v>234</v>
      </c>
      <c r="AB737" s="221"/>
      <c r="AC737" s="203">
        <v>11165.0</v>
      </c>
      <c r="AD737" s="204">
        <v>46107.0</v>
      </c>
      <c r="AE737" s="204">
        <v>46168.0</v>
      </c>
      <c r="AF737" s="205"/>
      <c r="AG737" s="219"/>
      <c r="AH737" s="219"/>
      <c r="AI737" s="219"/>
      <c r="AJ737" s="219"/>
      <c r="AK737" s="219"/>
      <c r="AL737" s="219"/>
      <c r="AM737" s="219"/>
      <c r="AN737" s="219"/>
      <c r="AO737" s="219"/>
    </row>
    <row r="738">
      <c r="A738" s="193">
        <v>22200.0</v>
      </c>
      <c r="B738" s="232" t="s">
        <v>264</v>
      </c>
      <c r="C738" s="193">
        <v>2026.0</v>
      </c>
      <c r="D738" s="199"/>
      <c r="E738" s="199"/>
      <c r="F738" s="199"/>
      <c r="G738" s="248"/>
      <c r="H738" s="199"/>
      <c r="I738" s="220"/>
      <c r="J738" s="199"/>
      <c r="K738" s="193" t="s">
        <v>206</v>
      </c>
      <c r="L738" s="232" t="s">
        <v>146</v>
      </c>
      <c r="M738" s="199"/>
      <c r="N738" s="193" t="s">
        <v>227</v>
      </c>
      <c r="O738" s="193" t="s">
        <v>206</v>
      </c>
      <c r="P738" s="193" t="s">
        <v>206</v>
      </c>
      <c r="Q738" s="199"/>
      <c r="R738" s="193" t="s">
        <v>279</v>
      </c>
      <c r="S738" s="193" t="s">
        <v>50</v>
      </c>
      <c r="T738" s="193" t="s">
        <v>1241</v>
      </c>
      <c r="U738" s="193" t="s">
        <v>1242</v>
      </c>
      <c r="V738" s="193" t="s">
        <v>50</v>
      </c>
      <c r="W738" s="193" t="s">
        <v>212</v>
      </c>
      <c r="X738" s="193" t="s">
        <v>232</v>
      </c>
      <c r="Y738" s="200">
        <v>4.0</v>
      </c>
      <c r="Z738" s="202" t="s">
        <v>531</v>
      </c>
      <c r="AA738" s="202" t="s">
        <v>234</v>
      </c>
      <c r="AB738" s="221"/>
      <c r="AC738" s="203">
        <v>8965.0</v>
      </c>
      <c r="AD738" s="204">
        <v>46107.0</v>
      </c>
      <c r="AE738" s="204">
        <v>46168.0</v>
      </c>
      <c r="AF738" s="205"/>
      <c r="AG738" s="219"/>
      <c r="AH738" s="219"/>
      <c r="AI738" s="219"/>
      <c r="AJ738" s="219"/>
      <c r="AK738" s="219"/>
      <c r="AL738" s="219"/>
      <c r="AM738" s="219"/>
      <c r="AN738" s="219"/>
      <c r="AO738" s="219"/>
    </row>
    <row r="739">
      <c r="A739" s="193">
        <v>22220.0</v>
      </c>
      <c r="B739" s="232" t="s">
        <v>264</v>
      </c>
      <c r="C739" s="193">
        <v>2026.0</v>
      </c>
      <c r="D739" s="199"/>
      <c r="E739" s="199"/>
      <c r="F739" s="199"/>
      <c r="G739" s="248"/>
      <c r="H739" s="199"/>
      <c r="I739" s="220"/>
      <c r="J739" s="199"/>
      <c r="K739" s="193" t="s">
        <v>206</v>
      </c>
      <c r="L739" s="232" t="s">
        <v>146</v>
      </c>
      <c r="M739" s="199"/>
      <c r="N739" s="193" t="s">
        <v>227</v>
      </c>
      <c r="O739" s="193" t="s">
        <v>206</v>
      </c>
      <c r="P739" s="193" t="s">
        <v>206</v>
      </c>
      <c r="Q739" s="199"/>
      <c r="R739" s="193" t="s">
        <v>279</v>
      </c>
      <c r="S739" s="193" t="s">
        <v>50</v>
      </c>
      <c r="T739" s="193" t="s">
        <v>1243</v>
      </c>
      <c r="U739" s="193" t="s">
        <v>1244</v>
      </c>
      <c r="V739" s="193" t="s">
        <v>50</v>
      </c>
      <c r="W739" s="193" t="s">
        <v>212</v>
      </c>
      <c r="X739" s="193" t="s">
        <v>232</v>
      </c>
      <c r="Y739" s="200">
        <v>4.0</v>
      </c>
      <c r="Z739" s="202" t="s">
        <v>531</v>
      </c>
      <c r="AA739" s="202" t="s">
        <v>234</v>
      </c>
      <c r="AB739" s="221"/>
      <c r="AC739" s="203">
        <v>2535.5</v>
      </c>
      <c r="AD739" s="204">
        <v>46107.0</v>
      </c>
      <c r="AE739" s="204">
        <v>46168.0</v>
      </c>
      <c r="AF739" s="205"/>
      <c r="AG739" s="219"/>
      <c r="AH739" s="219"/>
      <c r="AI739" s="219"/>
      <c r="AJ739" s="219"/>
      <c r="AK739" s="219"/>
      <c r="AL739" s="219"/>
      <c r="AM739" s="219"/>
      <c r="AN739" s="219"/>
      <c r="AO739" s="219"/>
    </row>
    <row r="740">
      <c r="A740" s="193">
        <v>22240.0</v>
      </c>
      <c r="B740" s="232" t="s">
        <v>264</v>
      </c>
      <c r="C740" s="193">
        <v>2026.0</v>
      </c>
      <c r="D740" s="199"/>
      <c r="E740" s="199"/>
      <c r="F740" s="199"/>
      <c r="G740" s="248"/>
      <c r="H740" s="199"/>
      <c r="I740" s="220"/>
      <c r="J740" s="199"/>
      <c r="K740" s="193" t="s">
        <v>206</v>
      </c>
      <c r="L740" s="232" t="s">
        <v>146</v>
      </c>
      <c r="M740" s="199"/>
      <c r="N740" s="193" t="s">
        <v>337</v>
      </c>
      <c r="O740" s="193" t="s">
        <v>206</v>
      </c>
      <c r="P740" s="193" t="s">
        <v>206</v>
      </c>
      <c r="Q740" s="199"/>
      <c r="R740" s="193" t="s">
        <v>279</v>
      </c>
      <c r="S740" s="193" t="s">
        <v>50</v>
      </c>
      <c r="T740" s="193" t="s">
        <v>1245</v>
      </c>
      <c r="U740" s="193" t="s">
        <v>1246</v>
      </c>
      <c r="V740" s="193" t="s">
        <v>50</v>
      </c>
      <c r="W740" s="193" t="s">
        <v>212</v>
      </c>
      <c r="X740" s="193" t="s">
        <v>232</v>
      </c>
      <c r="Y740" s="200">
        <v>4.0</v>
      </c>
      <c r="Z740" s="202" t="s">
        <v>531</v>
      </c>
      <c r="AA740" s="202" t="s">
        <v>234</v>
      </c>
      <c r="AB740" s="221"/>
      <c r="AC740" s="203">
        <v>3146.84</v>
      </c>
      <c r="AD740" s="204">
        <v>46107.0</v>
      </c>
      <c r="AE740" s="204">
        <v>46168.0</v>
      </c>
      <c r="AF740" s="205"/>
      <c r="AG740" s="219"/>
      <c r="AH740" s="219"/>
      <c r="AI740" s="219"/>
      <c r="AJ740" s="219"/>
      <c r="AK740" s="219"/>
      <c r="AL740" s="219"/>
      <c r="AM740" s="219"/>
      <c r="AN740" s="219"/>
      <c r="AO740" s="219"/>
    </row>
    <row r="741">
      <c r="A741" s="193">
        <v>22260.0</v>
      </c>
      <c r="B741" s="232" t="s">
        <v>264</v>
      </c>
      <c r="C741" s="193">
        <v>2026.0</v>
      </c>
      <c r="D741" s="199"/>
      <c r="E741" s="199"/>
      <c r="F741" s="199"/>
      <c r="G741" s="248"/>
      <c r="H741" s="199"/>
      <c r="I741" s="220"/>
      <c r="J741" s="199"/>
      <c r="K741" s="193" t="s">
        <v>206</v>
      </c>
      <c r="L741" s="232" t="s">
        <v>146</v>
      </c>
      <c r="M741" s="199"/>
      <c r="N741" s="193" t="s">
        <v>337</v>
      </c>
      <c r="O741" s="193" t="s">
        <v>206</v>
      </c>
      <c r="P741" s="193" t="s">
        <v>206</v>
      </c>
      <c r="Q741" s="199"/>
      <c r="R741" s="193" t="s">
        <v>279</v>
      </c>
      <c r="S741" s="193" t="s">
        <v>50</v>
      </c>
      <c r="T741" s="193" t="s">
        <v>1247</v>
      </c>
      <c r="U741" s="193" t="s">
        <v>1248</v>
      </c>
      <c r="V741" s="193" t="s">
        <v>50</v>
      </c>
      <c r="W741" s="193" t="s">
        <v>212</v>
      </c>
      <c r="X741" s="193" t="s">
        <v>232</v>
      </c>
      <c r="Y741" s="200">
        <v>4.0</v>
      </c>
      <c r="Z741" s="202" t="s">
        <v>531</v>
      </c>
      <c r="AA741" s="202" t="s">
        <v>234</v>
      </c>
      <c r="AB741" s="221"/>
      <c r="AC741" s="203">
        <v>2200.0</v>
      </c>
      <c r="AD741" s="204">
        <v>46107.0</v>
      </c>
      <c r="AE741" s="204">
        <v>46168.0</v>
      </c>
      <c r="AF741" s="205"/>
      <c r="AG741" s="219"/>
      <c r="AH741" s="219"/>
      <c r="AI741" s="219"/>
      <c r="AJ741" s="219"/>
      <c r="AK741" s="219"/>
      <c r="AL741" s="219"/>
      <c r="AM741" s="219"/>
      <c r="AN741" s="219"/>
      <c r="AO741" s="219"/>
    </row>
    <row r="742">
      <c r="A742" s="193">
        <v>22280.0</v>
      </c>
      <c r="B742" s="232" t="s">
        <v>264</v>
      </c>
      <c r="C742" s="193">
        <v>2026.0</v>
      </c>
      <c r="D742" s="199"/>
      <c r="E742" s="199"/>
      <c r="F742" s="199"/>
      <c r="G742" s="248"/>
      <c r="H742" s="199"/>
      <c r="I742" s="235"/>
      <c r="J742" s="199"/>
      <c r="K742" s="193" t="s">
        <v>206</v>
      </c>
      <c r="L742" s="232" t="s">
        <v>146</v>
      </c>
      <c r="M742" s="199"/>
      <c r="N742" s="193" t="s">
        <v>337</v>
      </c>
      <c r="O742" s="193" t="s">
        <v>206</v>
      </c>
      <c r="P742" s="193" t="s">
        <v>206</v>
      </c>
      <c r="Q742" s="199"/>
      <c r="R742" s="193" t="s">
        <v>279</v>
      </c>
      <c r="S742" s="193" t="s">
        <v>50</v>
      </c>
      <c r="T742" s="193" t="s">
        <v>1249</v>
      </c>
      <c r="U742" s="193" t="s">
        <v>1250</v>
      </c>
      <c r="V742" s="193" t="s">
        <v>50</v>
      </c>
      <c r="W742" s="193" t="s">
        <v>212</v>
      </c>
      <c r="X742" s="193" t="s">
        <v>232</v>
      </c>
      <c r="Y742" s="200">
        <v>4.0</v>
      </c>
      <c r="Z742" s="202" t="s">
        <v>531</v>
      </c>
      <c r="AA742" s="202" t="s">
        <v>234</v>
      </c>
      <c r="AB742" s="221"/>
      <c r="AC742" s="203">
        <v>12000.0</v>
      </c>
      <c r="AD742" s="204">
        <v>46107.0</v>
      </c>
      <c r="AE742" s="204">
        <v>46168.0</v>
      </c>
      <c r="AF742" s="205"/>
      <c r="AG742" s="219"/>
      <c r="AH742" s="219"/>
      <c r="AI742" s="219"/>
      <c r="AJ742" s="219"/>
      <c r="AK742" s="219"/>
      <c r="AL742" s="219"/>
      <c r="AM742" s="219"/>
      <c r="AN742" s="219"/>
      <c r="AO742" s="219"/>
    </row>
    <row r="743">
      <c r="A743" s="193">
        <v>22300.0</v>
      </c>
      <c r="B743" s="232" t="s">
        <v>264</v>
      </c>
      <c r="C743" s="193">
        <v>2026.0</v>
      </c>
      <c r="D743" s="199"/>
      <c r="E743" s="199"/>
      <c r="F743" s="199"/>
      <c r="G743" s="248"/>
      <c r="H743" s="199"/>
      <c r="I743" s="235"/>
      <c r="J743" s="199"/>
      <c r="K743" s="193" t="s">
        <v>206</v>
      </c>
      <c r="L743" s="232" t="s">
        <v>146</v>
      </c>
      <c r="M743" s="199"/>
      <c r="N743" s="193" t="s">
        <v>337</v>
      </c>
      <c r="O743" s="193" t="s">
        <v>206</v>
      </c>
      <c r="P743" s="193" t="s">
        <v>206</v>
      </c>
      <c r="Q743" s="199"/>
      <c r="R743" s="193" t="s">
        <v>279</v>
      </c>
      <c r="S743" s="193" t="s">
        <v>50</v>
      </c>
      <c r="T743" s="193" t="s">
        <v>1251</v>
      </c>
      <c r="U743" s="193" t="s">
        <v>1252</v>
      </c>
      <c r="V743" s="193" t="s">
        <v>50</v>
      </c>
      <c r="W743" s="193" t="s">
        <v>212</v>
      </c>
      <c r="X743" s="193" t="s">
        <v>232</v>
      </c>
      <c r="Y743" s="200">
        <v>4.0</v>
      </c>
      <c r="Z743" s="202" t="s">
        <v>531</v>
      </c>
      <c r="AA743" s="202" t="s">
        <v>234</v>
      </c>
      <c r="AB743" s="221"/>
      <c r="AC743" s="203">
        <v>4800.0</v>
      </c>
      <c r="AD743" s="204">
        <v>46107.0</v>
      </c>
      <c r="AE743" s="204">
        <v>46168.0</v>
      </c>
      <c r="AF743" s="205"/>
      <c r="AG743" s="219"/>
      <c r="AH743" s="219"/>
      <c r="AI743" s="219"/>
      <c r="AJ743" s="219"/>
      <c r="AK743" s="219"/>
      <c r="AL743" s="219"/>
      <c r="AM743" s="219"/>
      <c r="AN743" s="219"/>
      <c r="AO743" s="219"/>
    </row>
    <row r="744">
      <c r="A744" s="193">
        <v>22320.0</v>
      </c>
      <c r="B744" s="232" t="s">
        <v>264</v>
      </c>
      <c r="C744" s="193">
        <v>2026.0</v>
      </c>
      <c r="D744" s="199"/>
      <c r="E744" s="199"/>
      <c r="F744" s="199"/>
      <c r="G744" s="248"/>
      <c r="H744" s="199"/>
      <c r="I744" s="233"/>
      <c r="J744" s="199"/>
      <c r="K744" s="193" t="s">
        <v>206</v>
      </c>
      <c r="L744" s="232" t="s">
        <v>146</v>
      </c>
      <c r="M744" s="199"/>
      <c r="N744" s="193" t="s">
        <v>337</v>
      </c>
      <c r="O744" s="193" t="s">
        <v>206</v>
      </c>
      <c r="P744" s="193" t="s">
        <v>206</v>
      </c>
      <c r="Q744" s="199"/>
      <c r="R744" s="193" t="s">
        <v>279</v>
      </c>
      <c r="S744" s="193" t="s">
        <v>50</v>
      </c>
      <c r="T744" s="193" t="s">
        <v>1253</v>
      </c>
      <c r="U744" s="193" t="s">
        <v>1254</v>
      </c>
      <c r="V744" s="193" t="s">
        <v>50</v>
      </c>
      <c r="W744" s="193" t="s">
        <v>212</v>
      </c>
      <c r="X744" s="193" t="s">
        <v>232</v>
      </c>
      <c r="Y744" s="200">
        <v>4.0</v>
      </c>
      <c r="Z744" s="202" t="s">
        <v>531</v>
      </c>
      <c r="AA744" s="202" t="s">
        <v>234</v>
      </c>
      <c r="AB744" s="221"/>
      <c r="AC744" s="203">
        <v>6000.0</v>
      </c>
      <c r="AD744" s="204">
        <v>46107.0</v>
      </c>
      <c r="AE744" s="204">
        <v>46168.0</v>
      </c>
      <c r="AF744" s="205"/>
      <c r="AG744" s="219"/>
      <c r="AH744" s="219"/>
      <c r="AI744" s="219"/>
      <c r="AJ744" s="219"/>
      <c r="AK744" s="219"/>
      <c r="AL744" s="219"/>
      <c r="AM744" s="219"/>
      <c r="AN744" s="219"/>
      <c r="AO744" s="219"/>
    </row>
    <row r="745">
      <c r="A745" s="193">
        <v>22340.0</v>
      </c>
      <c r="B745" s="232" t="s">
        <v>264</v>
      </c>
      <c r="C745" s="193">
        <v>2026.0</v>
      </c>
      <c r="D745" s="199"/>
      <c r="E745" s="199"/>
      <c r="F745" s="199"/>
      <c r="G745" s="248"/>
      <c r="H745" s="199"/>
      <c r="I745" s="235"/>
      <c r="J745" s="199"/>
      <c r="K745" s="193" t="s">
        <v>206</v>
      </c>
      <c r="L745" s="232" t="s">
        <v>146</v>
      </c>
      <c r="M745" s="199"/>
      <c r="N745" s="193" t="s">
        <v>337</v>
      </c>
      <c r="O745" s="193" t="s">
        <v>206</v>
      </c>
      <c r="P745" s="193" t="s">
        <v>206</v>
      </c>
      <c r="Q745" s="199"/>
      <c r="R745" s="193" t="s">
        <v>279</v>
      </c>
      <c r="S745" s="193" t="s">
        <v>50</v>
      </c>
      <c r="T745" s="193" t="s">
        <v>1255</v>
      </c>
      <c r="U745" s="193" t="s">
        <v>1256</v>
      </c>
      <c r="V745" s="193" t="s">
        <v>50</v>
      </c>
      <c r="W745" s="193" t="s">
        <v>212</v>
      </c>
      <c r="X745" s="193" t="s">
        <v>232</v>
      </c>
      <c r="Y745" s="200">
        <v>4.0</v>
      </c>
      <c r="Z745" s="202" t="s">
        <v>531</v>
      </c>
      <c r="AA745" s="202" t="s">
        <v>234</v>
      </c>
      <c r="AB745" s="221"/>
      <c r="AC745" s="203">
        <v>8000.0</v>
      </c>
      <c r="AD745" s="204">
        <v>46107.0</v>
      </c>
      <c r="AE745" s="204">
        <v>46168.0</v>
      </c>
      <c r="AF745" s="205"/>
      <c r="AG745" s="219"/>
      <c r="AH745" s="219"/>
      <c r="AI745" s="219"/>
      <c r="AJ745" s="219"/>
      <c r="AK745" s="219"/>
      <c r="AL745" s="219"/>
      <c r="AM745" s="219"/>
      <c r="AN745" s="219"/>
      <c r="AO745" s="219"/>
    </row>
    <row r="746">
      <c r="A746" s="193">
        <v>22360.0</v>
      </c>
      <c r="B746" s="232" t="s">
        <v>264</v>
      </c>
      <c r="C746" s="193">
        <v>2026.0</v>
      </c>
      <c r="D746" s="199"/>
      <c r="E746" s="199"/>
      <c r="F746" s="199"/>
      <c r="G746" s="248"/>
      <c r="H746" s="199"/>
      <c r="I746" s="235"/>
      <c r="J746" s="199"/>
      <c r="K746" s="193" t="s">
        <v>206</v>
      </c>
      <c r="L746" s="232" t="s">
        <v>146</v>
      </c>
      <c r="M746" s="199"/>
      <c r="N746" s="193" t="s">
        <v>337</v>
      </c>
      <c r="O746" s="193" t="s">
        <v>206</v>
      </c>
      <c r="P746" s="193" t="s">
        <v>206</v>
      </c>
      <c r="Q746" s="199"/>
      <c r="R746" s="193" t="s">
        <v>279</v>
      </c>
      <c r="S746" s="193" t="s">
        <v>50</v>
      </c>
      <c r="T746" s="193" t="s">
        <v>1257</v>
      </c>
      <c r="U746" s="193" t="s">
        <v>1258</v>
      </c>
      <c r="V746" s="193" t="s">
        <v>50</v>
      </c>
      <c r="W746" s="193" t="s">
        <v>212</v>
      </c>
      <c r="X746" s="193" t="s">
        <v>232</v>
      </c>
      <c r="Y746" s="200">
        <v>4.0</v>
      </c>
      <c r="Z746" s="202" t="s">
        <v>531</v>
      </c>
      <c r="AA746" s="202" t="s">
        <v>234</v>
      </c>
      <c r="AB746" s="221"/>
      <c r="AC746" s="203">
        <v>500.0</v>
      </c>
      <c r="AD746" s="204">
        <v>46107.0</v>
      </c>
      <c r="AE746" s="204">
        <v>46168.0</v>
      </c>
      <c r="AF746" s="205"/>
      <c r="AG746" s="219"/>
      <c r="AH746" s="219"/>
      <c r="AI746" s="219"/>
      <c r="AJ746" s="219"/>
      <c r="AK746" s="219"/>
      <c r="AL746" s="219"/>
      <c r="AM746" s="219"/>
      <c r="AN746" s="219"/>
      <c r="AO746" s="219"/>
    </row>
    <row r="747">
      <c r="A747" s="193">
        <v>22380.0</v>
      </c>
      <c r="B747" s="232" t="s">
        <v>264</v>
      </c>
      <c r="C747" s="193">
        <v>2026.0</v>
      </c>
      <c r="D747" s="199"/>
      <c r="E747" s="199"/>
      <c r="F747" s="199"/>
      <c r="G747" s="248"/>
      <c r="H747" s="199"/>
      <c r="I747" s="235"/>
      <c r="J747" s="199"/>
      <c r="K747" s="193" t="s">
        <v>206</v>
      </c>
      <c r="L747" s="232" t="s">
        <v>146</v>
      </c>
      <c r="M747" s="199"/>
      <c r="N747" s="193" t="s">
        <v>337</v>
      </c>
      <c r="O747" s="193" t="s">
        <v>206</v>
      </c>
      <c r="P747" s="193" t="s">
        <v>206</v>
      </c>
      <c r="Q747" s="199"/>
      <c r="R747" s="193" t="s">
        <v>279</v>
      </c>
      <c r="S747" s="193" t="s">
        <v>50</v>
      </c>
      <c r="T747" s="193" t="s">
        <v>1259</v>
      </c>
      <c r="U747" s="193" t="s">
        <v>1260</v>
      </c>
      <c r="V747" s="193" t="s">
        <v>50</v>
      </c>
      <c r="W747" s="193" t="s">
        <v>212</v>
      </c>
      <c r="X747" s="193" t="s">
        <v>232</v>
      </c>
      <c r="Y747" s="200">
        <v>4.0</v>
      </c>
      <c r="Z747" s="202" t="s">
        <v>531</v>
      </c>
      <c r="AA747" s="202" t="s">
        <v>234</v>
      </c>
      <c r="AB747" s="221"/>
      <c r="AC747" s="203">
        <v>2800.0</v>
      </c>
      <c r="AD747" s="204">
        <v>46107.0</v>
      </c>
      <c r="AE747" s="204">
        <v>46168.0</v>
      </c>
      <c r="AF747" s="205"/>
      <c r="AG747" s="219"/>
      <c r="AH747" s="219"/>
      <c r="AI747" s="219"/>
      <c r="AJ747" s="219"/>
      <c r="AK747" s="219"/>
      <c r="AL747" s="219"/>
      <c r="AM747" s="219"/>
      <c r="AN747" s="219"/>
      <c r="AO747" s="219"/>
    </row>
    <row r="748">
      <c r="A748" s="193">
        <v>22400.0</v>
      </c>
      <c r="B748" s="232" t="s">
        <v>264</v>
      </c>
      <c r="C748" s="193">
        <v>2026.0</v>
      </c>
      <c r="D748" s="199"/>
      <c r="E748" s="199"/>
      <c r="F748" s="199"/>
      <c r="G748" s="248"/>
      <c r="H748" s="199"/>
      <c r="I748" s="220"/>
      <c r="J748" s="199"/>
      <c r="K748" s="193" t="s">
        <v>206</v>
      </c>
      <c r="L748" s="232" t="s">
        <v>146</v>
      </c>
      <c r="M748" s="199"/>
      <c r="N748" s="193" t="s">
        <v>337</v>
      </c>
      <c r="O748" s="193" t="s">
        <v>206</v>
      </c>
      <c r="P748" s="193" t="s">
        <v>206</v>
      </c>
      <c r="Q748" s="199"/>
      <c r="R748" s="193" t="s">
        <v>279</v>
      </c>
      <c r="S748" s="193" t="s">
        <v>50</v>
      </c>
      <c r="T748" s="193" t="s">
        <v>1261</v>
      </c>
      <c r="U748" s="193" t="s">
        <v>1262</v>
      </c>
      <c r="V748" s="193" t="s">
        <v>50</v>
      </c>
      <c r="W748" s="193" t="s">
        <v>212</v>
      </c>
      <c r="X748" s="193" t="s">
        <v>232</v>
      </c>
      <c r="Y748" s="200">
        <v>4.0</v>
      </c>
      <c r="Z748" s="202" t="s">
        <v>531</v>
      </c>
      <c r="AA748" s="202" t="s">
        <v>234</v>
      </c>
      <c r="AB748" s="221"/>
      <c r="AC748" s="203">
        <v>9000.0</v>
      </c>
      <c r="AD748" s="204">
        <v>46107.0</v>
      </c>
      <c r="AE748" s="204">
        <v>46168.0</v>
      </c>
      <c r="AF748" s="205"/>
      <c r="AG748" s="219"/>
      <c r="AH748" s="219"/>
      <c r="AI748" s="219"/>
      <c r="AJ748" s="219"/>
      <c r="AK748" s="219"/>
      <c r="AL748" s="219"/>
      <c r="AM748" s="219"/>
      <c r="AN748" s="219"/>
      <c r="AO748" s="219"/>
    </row>
    <row r="749">
      <c r="A749" s="193">
        <v>22420.0</v>
      </c>
      <c r="B749" s="232" t="s">
        <v>264</v>
      </c>
      <c r="C749" s="193">
        <v>2026.0</v>
      </c>
      <c r="D749" s="199"/>
      <c r="E749" s="199"/>
      <c r="F749" s="199"/>
      <c r="G749" s="248"/>
      <c r="H749" s="199"/>
      <c r="I749" s="199"/>
      <c r="J749" s="199"/>
      <c r="K749" s="193" t="s">
        <v>206</v>
      </c>
      <c r="L749" s="232" t="s">
        <v>146</v>
      </c>
      <c r="M749" s="199"/>
      <c r="N749" s="193" t="s">
        <v>337</v>
      </c>
      <c r="O749" s="193" t="s">
        <v>206</v>
      </c>
      <c r="P749" s="193" t="s">
        <v>206</v>
      </c>
      <c r="Q749" s="199"/>
      <c r="R749" s="193" t="s">
        <v>279</v>
      </c>
      <c r="S749" s="193" t="s">
        <v>50</v>
      </c>
      <c r="T749" s="193" t="s">
        <v>1263</v>
      </c>
      <c r="U749" s="193" t="s">
        <v>1264</v>
      </c>
      <c r="V749" s="193" t="s">
        <v>50</v>
      </c>
      <c r="W749" s="193" t="s">
        <v>212</v>
      </c>
      <c r="X749" s="193" t="s">
        <v>232</v>
      </c>
      <c r="Y749" s="200">
        <v>4.0</v>
      </c>
      <c r="Z749" s="202" t="s">
        <v>531</v>
      </c>
      <c r="AA749" s="202" t="s">
        <v>234</v>
      </c>
      <c r="AB749" s="221"/>
      <c r="AC749" s="203">
        <v>2500.0</v>
      </c>
      <c r="AD749" s="204">
        <v>46107.0</v>
      </c>
      <c r="AE749" s="204">
        <v>46168.0</v>
      </c>
      <c r="AF749" s="205"/>
      <c r="AG749" s="219"/>
      <c r="AH749" s="219"/>
      <c r="AI749" s="219"/>
      <c r="AJ749" s="219"/>
      <c r="AK749" s="219"/>
      <c r="AL749" s="219"/>
      <c r="AM749" s="219"/>
      <c r="AN749" s="219"/>
      <c r="AO749" s="219"/>
    </row>
    <row r="750">
      <c r="A750" s="193">
        <v>22440.0</v>
      </c>
      <c r="B750" s="232" t="s">
        <v>264</v>
      </c>
      <c r="C750" s="193">
        <v>2026.0</v>
      </c>
      <c r="D750" s="199"/>
      <c r="E750" s="199"/>
      <c r="F750" s="199"/>
      <c r="G750" s="248"/>
      <c r="H750" s="199"/>
      <c r="I750" s="220"/>
      <c r="J750" s="199"/>
      <c r="K750" s="193" t="s">
        <v>206</v>
      </c>
      <c r="L750" s="232" t="s">
        <v>146</v>
      </c>
      <c r="M750" s="199"/>
      <c r="N750" s="193" t="s">
        <v>337</v>
      </c>
      <c r="O750" s="193" t="s">
        <v>206</v>
      </c>
      <c r="P750" s="193" t="s">
        <v>206</v>
      </c>
      <c r="Q750" s="199"/>
      <c r="R750" s="193" t="s">
        <v>279</v>
      </c>
      <c r="S750" s="193" t="s">
        <v>50</v>
      </c>
      <c r="T750" s="193" t="s">
        <v>1265</v>
      </c>
      <c r="U750" s="193" t="s">
        <v>1266</v>
      </c>
      <c r="V750" s="193" t="s">
        <v>50</v>
      </c>
      <c r="W750" s="193" t="s">
        <v>212</v>
      </c>
      <c r="X750" s="193" t="s">
        <v>232</v>
      </c>
      <c r="Y750" s="200">
        <v>4.0</v>
      </c>
      <c r="Z750" s="202" t="s">
        <v>531</v>
      </c>
      <c r="AA750" s="202" t="s">
        <v>234</v>
      </c>
      <c r="AB750" s="221"/>
      <c r="AC750" s="203">
        <v>100000.0</v>
      </c>
      <c r="AD750" s="204">
        <v>46107.0</v>
      </c>
      <c r="AE750" s="204">
        <v>46168.0</v>
      </c>
      <c r="AF750" s="205"/>
      <c r="AG750" s="219"/>
      <c r="AH750" s="219"/>
      <c r="AI750" s="219"/>
      <c r="AJ750" s="219"/>
      <c r="AK750" s="219"/>
      <c r="AL750" s="219"/>
      <c r="AM750" s="219"/>
      <c r="AN750" s="219"/>
      <c r="AO750" s="219"/>
    </row>
    <row r="751">
      <c r="A751" s="193">
        <v>22460.0</v>
      </c>
      <c r="B751" s="232" t="s">
        <v>264</v>
      </c>
      <c r="C751" s="193">
        <v>2026.0</v>
      </c>
      <c r="D751" s="199"/>
      <c r="E751" s="199"/>
      <c r="F751" s="199"/>
      <c r="G751" s="248"/>
      <c r="H751" s="199"/>
      <c r="I751" s="220"/>
      <c r="J751" s="199"/>
      <c r="K751" s="193" t="s">
        <v>206</v>
      </c>
      <c r="L751" s="232" t="s">
        <v>146</v>
      </c>
      <c r="M751" s="199"/>
      <c r="N751" s="193" t="s">
        <v>337</v>
      </c>
      <c r="O751" s="193" t="s">
        <v>206</v>
      </c>
      <c r="P751" s="193" t="s">
        <v>206</v>
      </c>
      <c r="Q751" s="199"/>
      <c r="R751" s="193" t="s">
        <v>219</v>
      </c>
      <c r="S751" s="193" t="s">
        <v>44</v>
      </c>
      <c r="T751" s="193" t="s">
        <v>358</v>
      </c>
      <c r="U751" s="193" t="s">
        <v>359</v>
      </c>
      <c r="V751" s="193" t="s">
        <v>231</v>
      </c>
      <c r="W751" s="193" t="s">
        <v>212</v>
      </c>
      <c r="X751" s="193" t="s">
        <v>232</v>
      </c>
      <c r="Y751" s="200">
        <v>3.0</v>
      </c>
      <c r="Z751" s="202" t="s">
        <v>233</v>
      </c>
      <c r="AA751" s="202" t="s">
        <v>234</v>
      </c>
      <c r="AB751" s="221"/>
      <c r="AC751" s="203">
        <v>150000.0</v>
      </c>
      <c r="AD751" s="204">
        <v>46107.0</v>
      </c>
      <c r="AE751" s="204">
        <v>46168.0</v>
      </c>
      <c r="AF751" s="205"/>
      <c r="AG751" s="219"/>
      <c r="AH751" s="219"/>
      <c r="AI751" s="219"/>
      <c r="AJ751" s="219"/>
      <c r="AK751" s="219"/>
      <c r="AL751" s="219"/>
      <c r="AM751" s="219"/>
      <c r="AN751" s="219"/>
      <c r="AO751" s="219"/>
    </row>
    <row r="752">
      <c r="A752" s="193">
        <v>22480.0</v>
      </c>
      <c r="B752" s="232" t="s">
        <v>264</v>
      </c>
      <c r="C752" s="193">
        <v>2026.0</v>
      </c>
      <c r="D752" s="199"/>
      <c r="E752" s="199"/>
      <c r="F752" s="199"/>
      <c r="G752" s="248"/>
      <c r="H752" s="199"/>
      <c r="I752" s="220"/>
      <c r="J752" s="199"/>
      <c r="K752" s="193" t="s">
        <v>206</v>
      </c>
      <c r="L752" s="232" t="s">
        <v>146</v>
      </c>
      <c r="M752" s="199"/>
      <c r="N752" s="193" t="s">
        <v>227</v>
      </c>
      <c r="O752" s="193" t="s">
        <v>206</v>
      </c>
      <c r="P752" s="193" t="s">
        <v>206</v>
      </c>
      <c r="Q752" s="199"/>
      <c r="R752" s="193" t="s">
        <v>219</v>
      </c>
      <c r="S752" s="193" t="s">
        <v>44</v>
      </c>
      <c r="T752" s="193" t="s">
        <v>229</v>
      </c>
      <c r="U752" s="193" t="s">
        <v>1267</v>
      </c>
      <c r="V752" s="193" t="s">
        <v>231</v>
      </c>
      <c r="W752" s="193" t="s">
        <v>212</v>
      </c>
      <c r="X752" s="193" t="s">
        <v>232</v>
      </c>
      <c r="Y752" s="200">
        <v>3.0</v>
      </c>
      <c r="Z752" s="202" t="s">
        <v>233</v>
      </c>
      <c r="AA752" s="202" t="s">
        <v>234</v>
      </c>
      <c r="AB752" s="221"/>
      <c r="AC752" s="203">
        <v>250000.0</v>
      </c>
      <c r="AD752" s="204">
        <v>46107.0</v>
      </c>
      <c r="AE752" s="204">
        <v>46168.0</v>
      </c>
      <c r="AF752" s="205"/>
      <c r="AG752" s="219"/>
      <c r="AH752" s="219"/>
      <c r="AI752" s="219"/>
      <c r="AJ752" s="219"/>
      <c r="AK752" s="219"/>
      <c r="AL752" s="219"/>
      <c r="AM752" s="219"/>
      <c r="AN752" s="219"/>
      <c r="AO752" s="219"/>
    </row>
    <row r="753">
      <c r="A753" s="193">
        <v>22500.0</v>
      </c>
      <c r="B753" s="232" t="s">
        <v>264</v>
      </c>
      <c r="C753" s="193">
        <v>2026.0</v>
      </c>
      <c r="D753" s="199"/>
      <c r="E753" s="199"/>
      <c r="F753" s="199"/>
      <c r="G753" s="248"/>
      <c r="H753" s="199"/>
      <c r="I753" s="235"/>
      <c r="J753" s="199"/>
      <c r="K753" s="193" t="s">
        <v>206</v>
      </c>
      <c r="L753" s="232" t="s">
        <v>146</v>
      </c>
      <c r="M753" s="199"/>
      <c r="N753" s="193" t="s">
        <v>207</v>
      </c>
      <c r="O753" s="193" t="s">
        <v>206</v>
      </c>
      <c r="P753" s="193" t="s">
        <v>206</v>
      </c>
      <c r="Q753" s="199"/>
      <c r="R753" s="193" t="s">
        <v>219</v>
      </c>
      <c r="S753" s="193" t="s">
        <v>44</v>
      </c>
      <c r="T753" s="193" t="s">
        <v>423</v>
      </c>
      <c r="U753" s="193" t="s">
        <v>1268</v>
      </c>
      <c r="V753" s="193" t="s">
        <v>155</v>
      </c>
      <c r="W753" s="193" t="s">
        <v>203</v>
      </c>
      <c r="X753" s="193" t="s">
        <v>252</v>
      </c>
      <c r="Y753" s="200">
        <v>3.0</v>
      </c>
      <c r="Z753" s="202" t="s">
        <v>214</v>
      </c>
      <c r="AA753" s="202" t="s">
        <v>215</v>
      </c>
      <c r="AB753" s="203">
        <v>6000000.0</v>
      </c>
      <c r="AC753" s="203">
        <v>6000000.0</v>
      </c>
      <c r="AD753" s="204">
        <v>46107.0</v>
      </c>
      <c r="AE753" s="204">
        <v>46168.0</v>
      </c>
      <c r="AF753" s="205"/>
      <c r="AG753" s="219"/>
      <c r="AH753" s="219"/>
      <c r="AI753" s="219"/>
      <c r="AJ753" s="219"/>
      <c r="AK753" s="219"/>
      <c r="AL753" s="219"/>
      <c r="AM753" s="219"/>
      <c r="AN753" s="219"/>
      <c r="AO753" s="219"/>
    </row>
    <row r="754">
      <c r="A754" s="193">
        <v>22520.0</v>
      </c>
      <c r="B754" s="232" t="s">
        <v>264</v>
      </c>
      <c r="C754" s="193">
        <v>2026.0</v>
      </c>
      <c r="D754" s="199"/>
      <c r="E754" s="199"/>
      <c r="F754" s="199"/>
      <c r="G754" s="248"/>
      <c r="H754" s="199"/>
      <c r="I754" s="220"/>
      <c r="J754" s="199"/>
      <c r="K754" s="193" t="s">
        <v>206</v>
      </c>
      <c r="L754" s="232" t="s">
        <v>146</v>
      </c>
      <c r="M754" s="199"/>
      <c r="N754" s="193" t="s">
        <v>227</v>
      </c>
      <c r="O754" s="193" t="s">
        <v>206</v>
      </c>
      <c r="P754" s="193" t="s">
        <v>763</v>
      </c>
      <c r="Q754" s="199"/>
      <c r="R754" s="193" t="s">
        <v>219</v>
      </c>
      <c r="S754" s="193" t="s">
        <v>44</v>
      </c>
      <c r="T754" s="193" t="s">
        <v>1269</v>
      </c>
      <c r="U754" s="193" t="s">
        <v>1270</v>
      </c>
      <c r="V754" s="193" t="s">
        <v>50</v>
      </c>
      <c r="W754" s="193" t="s">
        <v>212</v>
      </c>
      <c r="X754" s="193" t="s">
        <v>232</v>
      </c>
      <c r="Y754" s="200">
        <v>4.0</v>
      </c>
      <c r="Z754" s="202" t="s">
        <v>531</v>
      </c>
      <c r="AA754" s="202" t="s">
        <v>234</v>
      </c>
      <c r="AB754" s="221"/>
      <c r="AC754" s="203">
        <v>25603.2</v>
      </c>
      <c r="AD754" s="204">
        <v>46107.0</v>
      </c>
      <c r="AE754" s="204">
        <v>46168.0</v>
      </c>
      <c r="AF754" s="205"/>
      <c r="AG754" s="219"/>
      <c r="AH754" s="219"/>
      <c r="AI754" s="219"/>
      <c r="AJ754" s="219"/>
      <c r="AK754" s="219"/>
      <c r="AL754" s="219"/>
      <c r="AM754" s="219"/>
      <c r="AN754" s="219"/>
      <c r="AO754" s="219"/>
    </row>
    <row r="755">
      <c r="A755" s="193">
        <v>22540.0</v>
      </c>
      <c r="B755" s="232" t="s">
        <v>264</v>
      </c>
      <c r="C755" s="193">
        <v>2026.0</v>
      </c>
      <c r="D755" s="199"/>
      <c r="E755" s="199"/>
      <c r="F755" s="199"/>
      <c r="G755" s="248"/>
      <c r="H755" s="199"/>
      <c r="I755" s="235"/>
      <c r="J755" s="199"/>
      <c r="K755" s="193" t="s">
        <v>206</v>
      </c>
      <c r="L755" s="232" t="s">
        <v>146</v>
      </c>
      <c r="M755" s="199"/>
      <c r="N755" s="193" t="s">
        <v>337</v>
      </c>
      <c r="O755" s="193" t="s">
        <v>206</v>
      </c>
      <c r="P755" s="193" t="s">
        <v>763</v>
      </c>
      <c r="Q755" s="199"/>
      <c r="R755" s="193" t="s">
        <v>219</v>
      </c>
      <c r="S755" s="193" t="s">
        <v>44</v>
      </c>
      <c r="T755" s="193" t="s">
        <v>1271</v>
      </c>
      <c r="U755" s="193" t="s">
        <v>1272</v>
      </c>
      <c r="V755" s="193" t="s">
        <v>50</v>
      </c>
      <c r="W755" s="193" t="s">
        <v>212</v>
      </c>
      <c r="X755" s="193" t="s">
        <v>232</v>
      </c>
      <c r="Y755" s="200">
        <v>4.0</v>
      </c>
      <c r="Z755" s="202" t="s">
        <v>531</v>
      </c>
      <c r="AA755" s="202" t="s">
        <v>234</v>
      </c>
      <c r="AB755" s="221"/>
      <c r="AC755" s="203">
        <v>1858.65</v>
      </c>
      <c r="AD755" s="204">
        <v>46107.0</v>
      </c>
      <c r="AE755" s="204">
        <v>46168.0</v>
      </c>
      <c r="AF755" s="205"/>
      <c r="AG755" s="219"/>
      <c r="AH755" s="219"/>
      <c r="AI755" s="219"/>
      <c r="AJ755" s="219"/>
      <c r="AK755" s="219"/>
      <c r="AL755" s="219"/>
      <c r="AM755" s="219"/>
      <c r="AN755" s="219"/>
      <c r="AO755" s="219"/>
    </row>
    <row r="756">
      <c r="A756" s="193">
        <v>22560.0</v>
      </c>
      <c r="B756" s="232" t="s">
        <v>264</v>
      </c>
      <c r="C756" s="193">
        <v>2026.0</v>
      </c>
      <c r="D756" s="199"/>
      <c r="E756" s="199"/>
      <c r="F756" s="199"/>
      <c r="G756" s="248"/>
      <c r="H756" s="199"/>
      <c r="I756" s="235"/>
      <c r="J756" s="199"/>
      <c r="K756" s="193" t="s">
        <v>206</v>
      </c>
      <c r="L756" s="232" t="s">
        <v>146</v>
      </c>
      <c r="M756" s="199"/>
      <c r="N756" s="193" t="s">
        <v>227</v>
      </c>
      <c r="O756" s="193" t="s">
        <v>206</v>
      </c>
      <c r="P756" s="193" t="s">
        <v>763</v>
      </c>
      <c r="Q756" s="199"/>
      <c r="R756" s="193" t="s">
        <v>219</v>
      </c>
      <c r="S756" s="193" t="s">
        <v>44</v>
      </c>
      <c r="T756" s="193" t="s">
        <v>1273</v>
      </c>
      <c r="U756" s="193" t="s">
        <v>1031</v>
      </c>
      <c r="V756" s="193" t="s">
        <v>50</v>
      </c>
      <c r="W756" s="193" t="s">
        <v>212</v>
      </c>
      <c r="X756" s="193" t="s">
        <v>232</v>
      </c>
      <c r="Y756" s="200">
        <v>4.0</v>
      </c>
      <c r="Z756" s="202" t="s">
        <v>531</v>
      </c>
      <c r="AA756" s="202" t="s">
        <v>234</v>
      </c>
      <c r="AB756" s="221"/>
      <c r="AC756" s="203">
        <v>3281.48</v>
      </c>
      <c r="AD756" s="204">
        <v>46107.0</v>
      </c>
      <c r="AE756" s="204">
        <v>46168.0</v>
      </c>
      <c r="AF756" s="205"/>
      <c r="AG756" s="219"/>
      <c r="AH756" s="219"/>
      <c r="AI756" s="219"/>
      <c r="AJ756" s="219"/>
      <c r="AK756" s="219"/>
      <c r="AL756" s="219"/>
      <c r="AM756" s="219"/>
      <c r="AN756" s="219"/>
      <c r="AO756" s="219"/>
    </row>
    <row r="757">
      <c r="A757" s="193">
        <v>22580.0</v>
      </c>
      <c r="B757" s="232" t="s">
        <v>264</v>
      </c>
      <c r="C757" s="193">
        <v>2026.0</v>
      </c>
      <c r="D757" s="199"/>
      <c r="E757" s="199"/>
      <c r="F757" s="199"/>
      <c r="G757" s="248"/>
      <c r="H757" s="199"/>
      <c r="I757" s="235"/>
      <c r="J757" s="199"/>
      <c r="K757" s="193" t="s">
        <v>206</v>
      </c>
      <c r="L757" s="232" t="s">
        <v>146</v>
      </c>
      <c r="M757" s="199"/>
      <c r="N757" s="193" t="s">
        <v>227</v>
      </c>
      <c r="O757" s="193" t="s">
        <v>206</v>
      </c>
      <c r="P757" s="193" t="s">
        <v>763</v>
      </c>
      <c r="Q757" s="199"/>
      <c r="R757" s="193" t="s">
        <v>219</v>
      </c>
      <c r="S757" s="193" t="s">
        <v>44</v>
      </c>
      <c r="T757" s="193" t="s">
        <v>1274</v>
      </c>
      <c r="U757" s="193" t="s">
        <v>1275</v>
      </c>
      <c r="V757" s="193" t="s">
        <v>50</v>
      </c>
      <c r="W757" s="193" t="s">
        <v>212</v>
      </c>
      <c r="X757" s="193" t="s">
        <v>232</v>
      </c>
      <c r="Y757" s="200">
        <v>4.0</v>
      </c>
      <c r="Z757" s="202" t="s">
        <v>531</v>
      </c>
      <c r="AA757" s="202" t="s">
        <v>234</v>
      </c>
      <c r="AB757" s="221"/>
      <c r="AC757" s="203">
        <v>5379.78</v>
      </c>
      <c r="AD757" s="204">
        <v>46107.0</v>
      </c>
      <c r="AE757" s="204">
        <v>46168.0</v>
      </c>
      <c r="AF757" s="205"/>
      <c r="AG757" s="219"/>
      <c r="AH757" s="219"/>
      <c r="AI757" s="219"/>
      <c r="AJ757" s="219"/>
      <c r="AK757" s="219"/>
      <c r="AL757" s="219"/>
      <c r="AM757" s="219"/>
      <c r="AN757" s="219"/>
      <c r="AO757" s="219"/>
    </row>
    <row r="758">
      <c r="A758" s="193">
        <v>22600.0</v>
      </c>
      <c r="B758" s="232" t="s">
        <v>264</v>
      </c>
      <c r="C758" s="193">
        <v>2026.0</v>
      </c>
      <c r="D758" s="199"/>
      <c r="E758" s="199"/>
      <c r="F758" s="199"/>
      <c r="G758" s="248"/>
      <c r="H758" s="199"/>
      <c r="I758" s="235"/>
      <c r="J758" s="199"/>
      <c r="K758" s="193" t="s">
        <v>206</v>
      </c>
      <c r="L758" s="232" t="s">
        <v>146</v>
      </c>
      <c r="M758" s="199"/>
      <c r="N758" s="193" t="s">
        <v>337</v>
      </c>
      <c r="O758" s="193" t="s">
        <v>206</v>
      </c>
      <c r="P758" s="193" t="s">
        <v>763</v>
      </c>
      <c r="Q758" s="199"/>
      <c r="R758" s="193" t="s">
        <v>219</v>
      </c>
      <c r="S758" s="193" t="s">
        <v>44</v>
      </c>
      <c r="T758" s="193" t="s">
        <v>1276</v>
      </c>
      <c r="U758" s="193" t="s">
        <v>1008</v>
      </c>
      <c r="V758" s="193" t="s">
        <v>50</v>
      </c>
      <c r="W758" s="193" t="s">
        <v>212</v>
      </c>
      <c r="X758" s="193" t="s">
        <v>232</v>
      </c>
      <c r="Y758" s="200">
        <v>4.0</v>
      </c>
      <c r="Z758" s="202" t="s">
        <v>531</v>
      </c>
      <c r="AA758" s="202" t="s">
        <v>234</v>
      </c>
      <c r="AB758" s="221"/>
      <c r="AC758" s="203">
        <v>2566.77</v>
      </c>
      <c r="AD758" s="204">
        <v>46107.0</v>
      </c>
      <c r="AE758" s="204">
        <v>46168.0</v>
      </c>
      <c r="AF758" s="205"/>
      <c r="AG758" s="219"/>
      <c r="AH758" s="219"/>
      <c r="AI758" s="219"/>
      <c r="AJ758" s="219"/>
      <c r="AK758" s="219"/>
      <c r="AL758" s="219"/>
      <c r="AM758" s="219"/>
      <c r="AN758" s="219"/>
      <c r="AO758" s="219"/>
    </row>
    <row r="759">
      <c r="A759" s="193">
        <v>22620.0</v>
      </c>
      <c r="B759" s="232" t="s">
        <v>264</v>
      </c>
      <c r="C759" s="193">
        <v>2026.0</v>
      </c>
      <c r="D759" s="199"/>
      <c r="E759" s="199"/>
      <c r="F759" s="199"/>
      <c r="G759" s="248"/>
      <c r="H759" s="199"/>
      <c r="I759" s="235"/>
      <c r="J759" s="199"/>
      <c r="K759" s="193" t="s">
        <v>206</v>
      </c>
      <c r="L759" s="232" t="s">
        <v>146</v>
      </c>
      <c r="M759" s="199"/>
      <c r="N759" s="193" t="s">
        <v>207</v>
      </c>
      <c r="O759" s="193" t="s">
        <v>206</v>
      </c>
      <c r="P759" s="193" t="s">
        <v>763</v>
      </c>
      <c r="Q759" s="199"/>
      <c r="R759" s="193" t="s">
        <v>219</v>
      </c>
      <c r="S759" s="193" t="s">
        <v>44</v>
      </c>
      <c r="T759" s="193" t="s">
        <v>1277</v>
      </c>
      <c r="U759" s="193" t="s">
        <v>1278</v>
      </c>
      <c r="V759" s="193" t="s">
        <v>50</v>
      </c>
      <c r="W759" s="193" t="s">
        <v>212</v>
      </c>
      <c r="X759" s="193" t="s">
        <v>232</v>
      </c>
      <c r="Y759" s="200">
        <v>4.0</v>
      </c>
      <c r="Z759" s="202" t="s">
        <v>531</v>
      </c>
      <c r="AA759" s="202" t="s">
        <v>215</v>
      </c>
      <c r="AB759" s="221"/>
      <c r="AC759" s="203">
        <v>2940.42</v>
      </c>
      <c r="AD759" s="204">
        <v>46107.0</v>
      </c>
      <c r="AE759" s="204">
        <v>46168.0</v>
      </c>
      <c r="AF759" s="205"/>
      <c r="AG759" s="219"/>
      <c r="AH759" s="219"/>
      <c r="AI759" s="219"/>
      <c r="AJ759" s="219"/>
      <c r="AK759" s="219"/>
      <c r="AL759" s="219"/>
      <c r="AM759" s="219"/>
      <c r="AN759" s="219"/>
      <c r="AO759" s="219"/>
    </row>
    <row r="760">
      <c r="A760" s="193">
        <v>22640.0</v>
      </c>
      <c r="B760" s="232" t="s">
        <v>264</v>
      </c>
      <c r="C760" s="193">
        <v>2026.0</v>
      </c>
      <c r="D760" s="199"/>
      <c r="E760" s="199"/>
      <c r="F760" s="199"/>
      <c r="G760" s="235"/>
      <c r="H760" s="199"/>
      <c r="I760" s="235"/>
      <c r="J760" s="199"/>
      <c r="K760" s="193" t="s">
        <v>206</v>
      </c>
      <c r="L760" s="232" t="s">
        <v>146</v>
      </c>
      <c r="M760" s="199"/>
      <c r="N760" s="193" t="s">
        <v>227</v>
      </c>
      <c r="O760" s="193" t="s">
        <v>206</v>
      </c>
      <c r="P760" s="193" t="s">
        <v>763</v>
      </c>
      <c r="Q760" s="199"/>
      <c r="R760" s="193" t="s">
        <v>219</v>
      </c>
      <c r="S760" s="193" t="s">
        <v>44</v>
      </c>
      <c r="T760" s="193" t="s">
        <v>1279</v>
      </c>
      <c r="U760" s="193" t="s">
        <v>1280</v>
      </c>
      <c r="V760" s="193" t="s">
        <v>50</v>
      </c>
      <c r="W760" s="193" t="s">
        <v>212</v>
      </c>
      <c r="X760" s="193" t="s">
        <v>232</v>
      </c>
      <c r="Y760" s="200">
        <v>4.0</v>
      </c>
      <c r="Z760" s="202" t="s">
        <v>531</v>
      </c>
      <c r="AA760" s="202" t="s">
        <v>234</v>
      </c>
      <c r="AB760" s="221"/>
      <c r="AC760" s="203">
        <v>13206.42</v>
      </c>
      <c r="AD760" s="204">
        <v>46107.0</v>
      </c>
      <c r="AE760" s="204">
        <v>46168.0</v>
      </c>
      <c r="AF760" s="205"/>
      <c r="AG760" s="219"/>
      <c r="AH760" s="219"/>
      <c r="AI760" s="219"/>
      <c r="AJ760" s="219"/>
      <c r="AK760" s="219"/>
      <c r="AL760" s="219"/>
      <c r="AM760" s="219"/>
      <c r="AN760" s="219"/>
      <c r="AO760" s="219"/>
    </row>
    <row r="761">
      <c r="A761" s="193">
        <v>22660.0</v>
      </c>
      <c r="B761" s="232" t="s">
        <v>264</v>
      </c>
      <c r="C761" s="193">
        <v>2026.0</v>
      </c>
      <c r="D761" s="199"/>
      <c r="E761" s="199"/>
      <c r="F761" s="199"/>
      <c r="G761" s="248"/>
      <c r="H761" s="199"/>
      <c r="I761" s="235"/>
      <c r="J761" s="199"/>
      <c r="K761" s="193" t="s">
        <v>206</v>
      </c>
      <c r="L761" s="232" t="s">
        <v>146</v>
      </c>
      <c r="M761" s="199"/>
      <c r="N761" s="193" t="s">
        <v>227</v>
      </c>
      <c r="O761" s="193" t="s">
        <v>206</v>
      </c>
      <c r="P761" s="193" t="s">
        <v>763</v>
      </c>
      <c r="Q761" s="199"/>
      <c r="R761" s="193" t="s">
        <v>219</v>
      </c>
      <c r="S761" s="193" t="s">
        <v>44</v>
      </c>
      <c r="T761" s="193" t="s">
        <v>1281</v>
      </c>
      <c r="U761" s="193" t="s">
        <v>1282</v>
      </c>
      <c r="V761" s="193" t="s">
        <v>50</v>
      </c>
      <c r="W761" s="193" t="s">
        <v>212</v>
      </c>
      <c r="X761" s="193" t="s">
        <v>232</v>
      </c>
      <c r="Y761" s="200">
        <v>4.0</v>
      </c>
      <c r="Z761" s="202" t="s">
        <v>531</v>
      </c>
      <c r="AA761" s="202" t="s">
        <v>234</v>
      </c>
      <c r="AB761" s="221"/>
      <c r="AC761" s="203">
        <v>9688.2</v>
      </c>
      <c r="AD761" s="204">
        <v>46107.0</v>
      </c>
      <c r="AE761" s="204">
        <v>46168.0</v>
      </c>
      <c r="AF761" s="205"/>
      <c r="AG761" s="219"/>
      <c r="AH761" s="219"/>
      <c r="AI761" s="219"/>
      <c r="AJ761" s="219"/>
      <c r="AK761" s="219"/>
      <c r="AL761" s="219"/>
      <c r="AM761" s="219"/>
      <c r="AN761" s="219"/>
      <c r="AO761" s="219"/>
    </row>
    <row r="762">
      <c r="A762" s="193">
        <v>22680.0</v>
      </c>
      <c r="B762" s="232" t="s">
        <v>264</v>
      </c>
      <c r="C762" s="193">
        <v>2026.0</v>
      </c>
      <c r="D762" s="199"/>
      <c r="E762" s="199"/>
      <c r="F762" s="199"/>
      <c r="G762" s="248"/>
      <c r="H762" s="199"/>
      <c r="I762" s="235"/>
      <c r="J762" s="199"/>
      <c r="K762" s="193" t="s">
        <v>206</v>
      </c>
      <c r="L762" s="232" t="s">
        <v>146</v>
      </c>
      <c r="M762" s="199"/>
      <c r="N762" s="193" t="s">
        <v>207</v>
      </c>
      <c r="O762" s="193" t="s">
        <v>206</v>
      </c>
      <c r="P762" s="193" t="s">
        <v>1012</v>
      </c>
      <c r="Q762" s="199"/>
      <c r="R762" s="193" t="s">
        <v>219</v>
      </c>
      <c r="S762" s="193" t="s">
        <v>44</v>
      </c>
      <c r="T762" s="193" t="s">
        <v>1283</v>
      </c>
      <c r="U762" s="193" t="s">
        <v>1284</v>
      </c>
      <c r="V762" s="193" t="s">
        <v>50</v>
      </c>
      <c r="W762" s="193" t="s">
        <v>212</v>
      </c>
      <c r="X762" s="193" t="s">
        <v>232</v>
      </c>
      <c r="Y762" s="200">
        <v>4.0</v>
      </c>
      <c r="Z762" s="202" t="s">
        <v>531</v>
      </c>
      <c r="AA762" s="202" t="s">
        <v>215</v>
      </c>
      <c r="AB762" s="221"/>
      <c r="AC762" s="203">
        <v>14599.08</v>
      </c>
      <c r="AD762" s="204">
        <v>46107.0</v>
      </c>
      <c r="AE762" s="204">
        <v>46168.0</v>
      </c>
      <c r="AF762" s="205"/>
      <c r="AG762" s="219"/>
      <c r="AH762" s="219"/>
      <c r="AI762" s="219"/>
      <c r="AJ762" s="219"/>
      <c r="AK762" s="219"/>
      <c r="AL762" s="219"/>
      <c r="AM762" s="219"/>
      <c r="AN762" s="219"/>
      <c r="AO762" s="219"/>
    </row>
    <row r="763">
      <c r="A763" s="193">
        <v>22700.0</v>
      </c>
      <c r="B763" s="232" t="s">
        <v>264</v>
      </c>
      <c r="C763" s="193">
        <v>2026.0</v>
      </c>
      <c r="D763" s="199"/>
      <c r="E763" s="199"/>
      <c r="F763" s="199"/>
      <c r="G763" s="248"/>
      <c r="H763" s="199"/>
      <c r="I763" s="235"/>
      <c r="J763" s="199"/>
      <c r="K763" s="193" t="s">
        <v>206</v>
      </c>
      <c r="L763" s="232" t="s">
        <v>146</v>
      </c>
      <c r="M763" s="199"/>
      <c r="N763" s="193" t="s">
        <v>227</v>
      </c>
      <c r="O763" s="193" t="s">
        <v>206</v>
      </c>
      <c r="P763" s="193" t="s">
        <v>1012</v>
      </c>
      <c r="Q763" s="199"/>
      <c r="R763" s="193" t="s">
        <v>219</v>
      </c>
      <c r="S763" s="193" t="s">
        <v>44</v>
      </c>
      <c r="T763" s="193" t="s">
        <v>1285</v>
      </c>
      <c r="U763" s="193" t="s">
        <v>1286</v>
      </c>
      <c r="V763" s="193" t="s">
        <v>50</v>
      </c>
      <c r="W763" s="193" t="s">
        <v>212</v>
      </c>
      <c r="X763" s="193" t="s">
        <v>232</v>
      </c>
      <c r="Y763" s="200">
        <v>4.0</v>
      </c>
      <c r="Z763" s="202" t="s">
        <v>531</v>
      </c>
      <c r="AA763" s="202" t="s">
        <v>234</v>
      </c>
      <c r="AB763" s="221"/>
      <c r="AC763" s="203">
        <v>45377.15</v>
      </c>
      <c r="AD763" s="204">
        <v>46107.0</v>
      </c>
      <c r="AE763" s="204">
        <v>46168.0</v>
      </c>
      <c r="AF763" s="205"/>
      <c r="AG763" s="219"/>
      <c r="AH763" s="219"/>
      <c r="AI763" s="219"/>
      <c r="AJ763" s="219"/>
      <c r="AK763" s="219"/>
      <c r="AL763" s="219"/>
      <c r="AM763" s="219"/>
      <c r="AN763" s="219"/>
      <c r="AO763" s="219"/>
    </row>
    <row r="764">
      <c r="A764" s="193">
        <v>22720.0</v>
      </c>
      <c r="B764" s="232" t="s">
        <v>264</v>
      </c>
      <c r="C764" s="193">
        <v>2026.0</v>
      </c>
      <c r="D764" s="199"/>
      <c r="E764" s="199"/>
      <c r="F764" s="199"/>
      <c r="G764" s="248"/>
      <c r="H764" s="199"/>
      <c r="I764" s="220"/>
      <c r="J764" s="199"/>
      <c r="K764" s="193" t="s">
        <v>206</v>
      </c>
      <c r="L764" s="232" t="s">
        <v>146</v>
      </c>
      <c r="M764" s="199"/>
      <c r="N764" s="193" t="s">
        <v>621</v>
      </c>
      <c r="O764" s="193" t="s">
        <v>206</v>
      </c>
      <c r="P764" s="193" t="s">
        <v>683</v>
      </c>
      <c r="Q764" s="199"/>
      <c r="R764" s="193" t="s">
        <v>219</v>
      </c>
      <c r="S764" s="193" t="s">
        <v>44</v>
      </c>
      <c r="T764" s="193" t="s">
        <v>1287</v>
      </c>
      <c r="U764" s="193" t="s">
        <v>1288</v>
      </c>
      <c r="V764" s="193" t="s">
        <v>50</v>
      </c>
      <c r="W764" s="193" t="s">
        <v>212</v>
      </c>
      <c r="X764" s="193" t="s">
        <v>232</v>
      </c>
      <c r="Y764" s="200">
        <v>4.0</v>
      </c>
      <c r="Z764" s="202" t="s">
        <v>531</v>
      </c>
      <c r="AA764" s="202" t="s">
        <v>234</v>
      </c>
      <c r="AB764" s="221"/>
      <c r="AC764" s="203">
        <v>12721.42</v>
      </c>
      <c r="AD764" s="204">
        <v>46107.0</v>
      </c>
      <c r="AE764" s="204">
        <v>46168.0</v>
      </c>
      <c r="AF764" s="205"/>
      <c r="AG764" s="219"/>
      <c r="AH764" s="219"/>
      <c r="AI764" s="219"/>
      <c r="AJ764" s="219"/>
      <c r="AK764" s="219"/>
      <c r="AL764" s="219"/>
      <c r="AM764" s="219"/>
      <c r="AN764" s="219"/>
      <c r="AO764" s="219"/>
    </row>
    <row r="765">
      <c r="A765" s="193">
        <v>22740.0</v>
      </c>
      <c r="B765" s="232" t="s">
        <v>264</v>
      </c>
      <c r="C765" s="193">
        <v>2026.0</v>
      </c>
      <c r="D765" s="199"/>
      <c r="E765" s="199"/>
      <c r="F765" s="199"/>
      <c r="G765" s="248"/>
      <c r="H765" s="199"/>
      <c r="I765" s="235"/>
      <c r="J765" s="199"/>
      <c r="K765" s="193" t="s">
        <v>206</v>
      </c>
      <c r="L765" s="232" t="s">
        <v>146</v>
      </c>
      <c r="M765" s="199"/>
      <c r="N765" s="193" t="s">
        <v>337</v>
      </c>
      <c r="O765" s="193" t="s">
        <v>206</v>
      </c>
      <c r="P765" s="193" t="s">
        <v>683</v>
      </c>
      <c r="Q765" s="199"/>
      <c r="R765" s="193" t="s">
        <v>219</v>
      </c>
      <c r="S765" s="193" t="s">
        <v>44</v>
      </c>
      <c r="T765" s="193" t="s">
        <v>1289</v>
      </c>
      <c r="U765" s="193" t="s">
        <v>1290</v>
      </c>
      <c r="V765" s="193" t="s">
        <v>50</v>
      </c>
      <c r="W765" s="193" t="s">
        <v>212</v>
      </c>
      <c r="X765" s="193" t="s">
        <v>232</v>
      </c>
      <c r="Y765" s="200">
        <v>4.0</v>
      </c>
      <c r="Z765" s="202" t="s">
        <v>531</v>
      </c>
      <c r="AA765" s="202" t="s">
        <v>234</v>
      </c>
      <c r="AB765" s="221"/>
      <c r="AC765" s="203">
        <v>21715.86</v>
      </c>
      <c r="AD765" s="204">
        <v>46107.0</v>
      </c>
      <c r="AE765" s="204">
        <v>46168.0</v>
      </c>
      <c r="AF765" s="205"/>
      <c r="AG765" s="219"/>
      <c r="AH765" s="219"/>
      <c r="AI765" s="219"/>
      <c r="AJ765" s="219"/>
      <c r="AK765" s="219"/>
      <c r="AL765" s="219"/>
      <c r="AM765" s="219"/>
      <c r="AN765" s="219"/>
      <c r="AO765" s="219"/>
    </row>
    <row r="766">
      <c r="A766" s="193">
        <v>22760.0</v>
      </c>
      <c r="B766" s="232" t="s">
        <v>264</v>
      </c>
      <c r="C766" s="193">
        <v>2026.0</v>
      </c>
      <c r="D766" s="199"/>
      <c r="E766" s="199"/>
      <c r="F766" s="199"/>
      <c r="G766" s="248"/>
      <c r="H766" s="199"/>
      <c r="I766" s="235"/>
      <c r="J766" s="199"/>
      <c r="K766" s="193" t="s">
        <v>206</v>
      </c>
      <c r="L766" s="232" t="s">
        <v>146</v>
      </c>
      <c r="M766" s="199"/>
      <c r="N766" s="193" t="s">
        <v>337</v>
      </c>
      <c r="O766" s="193" t="s">
        <v>206</v>
      </c>
      <c r="P766" s="193" t="s">
        <v>683</v>
      </c>
      <c r="Q766" s="199"/>
      <c r="R766" s="193" t="s">
        <v>219</v>
      </c>
      <c r="S766" s="193" t="s">
        <v>44</v>
      </c>
      <c r="T766" s="193" t="s">
        <v>1291</v>
      </c>
      <c r="U766" s="193" t="s">
        <v>1292</v>
      </c>
      <c r="V766" s="193" t="s">
        <v>50</v>
      </c>
      <c r="W766" s="193" t="s">
        <v>212</v>
      </c>
      <c r="X766" s="193" t="s">
        <v>232</v>
      </c>
      <c r="Y766" s="200">
        <v>4.0</v>
      </c>
      <c r="Z766" s="202" t="s">
        <v>531</v>
      </c>
      <c r="AA766" s="202" t="s">
        <v>234</v>
      </c>
      <c r="AB766" s="221"/>
      <c r="AC766" s="203">
        <v>6291.52</v>
      </c>
      <c r="AD766" s="204">
        <v>46107.0</v>
      </c>
      <c r="AE766" s="204">
        <v>46168.0</v>
      </c>
      <c r="AF766" s="205"/>
      <c r="AG766" s="219"/>
      <c r="AH766" s="219"/>
      <c r="AI766" s="219"/>
      <c r="AJ766" s="219"/>
      <c r="AK766" s="219"/>
      <c r="AL766" s="219"/>
      <c r="AM766" s="219"/>
      <c r="AN766" s="219"/>
      <c r="AO766" s="219"/>
    </row>
    <row r="767">
      <c r="A767" s="193">
        <v>22780.0</v>
      </c>
      <c r="B767" s="232" t="s">
        <v>264</v>
      </c>
      <c r="C767" s="193">
        <v>2026.0</v>
      </c>
      <c r="D767" s="199"/>
      <c r="E767" s="199"/>
      <c r="F767" s="199"/>
      <c r="G767" s="248"/>
      <c r="H767" s="199"/>
      <c r="I767" s="235"/>
      <c r="J767" s="199"/>
      <c r="K767" s="193" t="s">
        <v>206</v>
      </c>
      <c r="L767" s="232" t="s">
        <v>146</v>
      </c>
      <c r="M767" s="199"/>
      <c r="N767" s="193" t="s">
        <v>337</v>
      </c>
      <c r="O767" s="193" t="s">
        <v>206</v>
      </c>
      <c r="P767" s="193" t="s">
        <v>683</v>
      </c>
      <c r="Q767" s="199"/>
      <c r="R767" s="193" t="s">
        <v>219</v>
      </c>
      <c r="S767" s="193" t="s">
        <v>44</v>
      </c>
      <c r="T767" s="193" t="s">
        <v>1293</v>
      </c>
      <c r="U767" s="193" t="s">
        <v>1294</v>
      </c>
      <c r="V767" s="193" t="s">
        <v>50</v>
      </c>
      <c r="W767" s="193" t="s">
        <v>212</v>
      </c>
      <c r="X767" s="193" t="s">
        <v>232</v>
      </c>
      <c r="Y767" s="200">
        <v>4.0</v>
      </c>
      <c r="Z767" s="202" t="s">
        <v>531</v>
      </c>
      <c r="AA767" s="202" t="s">
        <v>234</v>
      </c>
      <c r="AB767" s="221"/>
      <c r="AC767" s="203">
        <v>16733.95</v>
      </c>
      <c r="AD767" s="204">
        <v>46107.0</v>
      </c>
      <c r="AE767" s="204">
        <v>46168.0</v>
      </c>
      <c r="AF767" s="205"/>
      <c r="AG767" s="219"/>
      <c r="AH767" s="219"/>
      <c r="AI767" s="219"/>
      <c r="AJ767" s="219"/>
      <c r="AK767" s="219"/>
      <c r="AL767" s="219"/>
      <c r="AM767" s="219"/>
      <c r="AN767" s="219"/>
      <c r="AO767" s="219"/>
    </row>
    <row r="768">
      <c r="A768" s="193">
        <v>22800.0</v>
      </c>
      <c r="B768" s="232" t="s">
        <v>264</v>
      </c>
      <c r="C768" s="193">
        <v>2026.0</v>
      </c>
      <c r="D768" s="199"/>
      <c r="E768" s="199"/>
      <c r="F768" s="199"/>
      <c r="G768" s="248"/>
      <c r="H768" s="199"/>
      <c r="I768" s="235"/>
      <c r="J768" s="199"/>
      <c r="K768" s="193" t="s">
        <v>206</v>
      </c>
      <c r="L768" s="232" t="s">
        <v>146</v>
      </c>
      <c r="M768" s="199"/>
      <c r="N768" s="193" t="s">
        <v>337</v>
      </c>
      <c r="O768" s="193" t="s">
        <v>206</v>
      </c>
      <c r="P768" s="193" t="s">
        <v>683</v>
      </c>
      <c r="Q768" s="199"/>
      <c r="R768" s="193" t="s">
        <v>219</v>
      </c>
      <c r="S768" s="193" t="s">
        <v>44</v>
      </c>
      <c r="T768" s="193" t="s">
        <v>1295</v>
      </c>
      <c r="U768" s="193" t="s">
        <v>1296</v>
      </c>
      <c r="V768" s="193" t="s">
        <v>50</v>
      </c>
      <c r="W768" s="193" t="s">
        <v>212</v>
      </c>
      <c r="X768" s="193" t="s">
        <v>232</v>
      </c>
      <c r="Y768" s="200">
        <v>4.0</v>
      </c>
      <c r="Z768" s="202" t="s">
        <v>531</v>
      </c>
      <c r="AA768" s="202" t="s">
        <v>234</v>
      </c>
      <c r="AB768" s="221"/>
      <c r="AC768" s="203">
        <v>5443.2</v>
      </c>
      <c r="AD768" s="204">
        <v>46107.0</v>
      </c>
      <c r="AE768" s="204">
        <v>46168.0</v>
      </c>
      <c r="AF768" s="205"/>
      <c r="AG768" s="219"/>
      <c r="AH768" s="219"/>
      <c r="AI768" s="219"/>
      <c r="AJ768" s="219"/>
      <c r="AK768" s="219"/>
      <c r="AL768" s="219"/>
      <c r="AM768" s="219"/>
      <c r="AN768" s="219"/>
      <c r="AO768" s="219"/>
    </row>
    <row r="769">
      <c r="A769" s="193">
        <v>22820.0</v>
      </c>
      <c r="B769" s="232" t="s">
        <v>264</v>
      </c>
      <c r="C769" s="193">
        <v>2026.0</v>
      </c>
      <c r="D769" s="199"/>
      <c r="E769" s="199"/>
      <c r="F769" s="199"/>
      <c r="G769" s="248"/>
      <c r="H769" s="199"/>
      <c r="I769" s="235"/>
      <c r="J769" s="199"/>
      <c r="K769" s="193" t="s">
        <v>206</v>
      </c>
      <c r="L769" s="232" t="s">
        <v>146</v>
      </c>
      <c r="M769" s="199"/>
      <c r="N769" s="193" t="s">
        <v>337</v>
      </c>
      <c r="O769" s="193" t="s">
        <v>206</v>
      </c>
      <c r="P769" s="193" t="s">
        <v>683</v>
      </c>
      <c r="Q769" s="199"/>
      <c r="R769" s="193" t="s">
        <v>219</v>
      </c>
      <c r="S769" s="193" t="s">
        <v>44</v>
      </c>
      <c r="T769" s="193" t="s">
        <v>1297</v>
      </c>
      <c r="U769" s="193" t="s">
        <v>1298</v>
      </c>
      <c r="V769" s="193" t="s">
        <v>50</v>
      </c>
      <c r="W769" s="193" t="s">
        <v>212</v>
      </c>
      <c r="X769" s="193" t="s">
        <v>232</v>
      </c>
      <c r="Y769" s="200">
        <v>4.0</v>
      </c>
      <c r="Z769" s="202" t="s">
        <v>531</v>
      </c>
      <c r="AA769" s="202" t="s">
        <v>234</v>
      </c>
      <c r="AB769" s="221"/>
      <c r="AC769" s="203">
        <v>2079.96</v>
      </c>
      <c r="AD769" s="204">
        <v>46107.0</v>
      </c>
      <c r="AE769" s="204">
        <v>46168.0</v>
      </c>
      <c r="AF769" s="205"/>
      <c r="AG769" s="219"/>
      <c r="AH769" s="219"/>
      <c r="AI769" s="219"/>
      <c r="AJ769" s="219"/>
      <c r="AK769" s="219"/>
      <c r="AL769" s="219"/>
      <c r="AM769" s="219"/>
      <c r="AN769" s="219"/>
      <c r="AO769" s="219"/>
    </row>
    <row r="770">
      <c r="A770" s="193">
        <v>22840.0</v>
      </c>
      <c r="B770" s="232" t="s">
        <v>264</v>
      </c>
      <c r="C770" s="193">
        <v>2026.0</v>
      </c>
      <c r="D770" s="199"/>
      <c r="E770" s="199"/>
      <c r="F770" s="199"/>
      <c r="G770" s="248"/>
      <c r="H770" s="199"/>
      <c r="I770" s="235"/>
      <c r="J770" s="199"/>
      <c r="K770" s="193" t="s">
        <v>206</v>
      </c>
      <c r="L770" s="232" t="s">
        <v>146</v>
      </c>
      <c r="M770" s="199"/>
      <c r="N770" s="193" t="s">
        <v>337</v>
      </c>
      <c r="O770" s="193" t="s">
        <v>206</v>
      </c>
      <c r="P770" s="193" t="s">
        <v>683</v>
      </c>
      <c r="Q770" s="199"/>
      <c r="R770" s="193" t="s">
        <v>219</v>
      </c>
      <c r="S770" s="193" t="s">
        <v>44</v>
      </c>
      <c r="T770" s="193" t="s">
        <v>1299</v>
      </c>
      <c r="U770" s="193" t="s">
        <v>1300</v>
      </c>
      <c r="V770" s="193" t="s">
        <v>50</v>
      </c>
      <c r="W770" s="193" t="s">
        <v>212</v>
      </c>
      <c r="X770" s="193" t="s">
        <v>232</v>
      </c>
      <c r="Y770" s="200">
        <v>4.0</v>
      </c>
      <c r="Z770" s="202" t="s">
        <v>531</v>
      </c>
      <c r="AA770" s="202" t="s">
        <v>234</v>
      </c>
      <c r="AB770" s="221"/>
      <c r="AC770" s="203">
        <v>4881.36</v>
      </c>
      <c r="AD770" s="204">
        <v>46107.0</v>
      </c>
      <c r="AE770" s="204">
        <v>46168.0</v>
      </c>
      <c r="AF770" s="205"/>
      <c r="AG770" s="219"/>
      <c r="AH770" s="219"/>
      <c r="AI770" s="219"/>
      <c r="AJ770" s="219"/>
      <c r="AK770" s="219"/>
      <c r="AL770" s="219"/>
      <c r="AM770" s="219"/>
      <c r="AN770" s="219"/>
      <c r="AO770" s="219"/>
    </row>
    <row r="771">
      <c r="A771" s="193">
        <v>22860.0</v>
      </c>
      <c r="B771" s="232" t="s">
        <v>264</v>
      </c>
      <c r="C771" s="193">
        <v>2026.0</v>
      </c>
      <c r="D771" s="199"/>
      <c r="E771" s="199"/>
      <c r="F771" s="199"/>
      <c r="G771" s="248"/>
      <c r="H771" s="199"/>
      <c r="I771" s="235"/>
      <c r="J771" s="199"/>
      <c r="K771" s="193" t="s">
        <v>206</v>
      </c>
      <c r="L771" s="232" t="s">
        <v>146</v>
      </c>
      <c r="M771" s="199"/>
      <c r="N771" s="193" t="s">
        <v>337</v>
      </c>
      <c r="O771" s="193" t="s">
        <v>206</v>
      </c>
      <c r="P771" s="193" t="s">
        <v>683</v>
      </c>
      <c r="Q771" s="199"/>
      <c r="R771" s="193" t="s">
        <v>219</v>
      </c>
      <c r="S771" s="193" t="s">
        <v>44</v>
      </c>
      <c r="T771" s="193" t="s">
        <v>1301</v>
      </c>
      <c r="U771" s="193" t="s">
        <v>1302</v>
      </c>
      <c r="V771" s="193" t="s">
        <v>50</v>
      </c>
      <c r="W771" s="193" t="s">
        <v>212</v>
      </c>
      <c r="X771" s="193" t="s">
        <v>232</v>
      </c>
      <c r="Y771" s="200">
        <v>4.0</v>
      </c>
      <c r="Z771" s="202" t="s">
        <v>531</v>
      </c>
      <c r="AA771" s="202" t="s">
        <v>234</v>
      </c>
      <c r="AB771" s="221"/>
      <c r="AC771" s="203">
        <v>5724.75</v>
      </c>
      <c r="AD771" s="204">
        <v>46107.0</v>
      </c>
      <c r="AE771" s="204">
        <v>46168.0</v>
      </c>
      <c r="AF771" s="205"/>
      <c r="AG771" s="219"/>
      <c r="AH771" s="219"/>
      <c r="AI771" s="219"/>
      <c r="AJ771" s="219"/>
      <c r="AK771" s="219"/>
      <c r="AL771" s="219"/>
      <c r="AM771" s="219"/>
      <c r="AN771" s="219"/>
      <c r="AO771" s="219"/>
    </row>
    <row r="772">
      <c r="A772" s="193">
        <v>22880.0</v>
      </c>
      <c r="B772" s="232" t="s">
        <v>264</v>
      </c>
      <c r="C772" s="193">
        <v>2026.0</v>
      </c>
      <c r="D772" s="199"/>
      <c r="E772" s="199"/>
      <c r="F772" s="199"/>
      <c r="G772" s="248"/>
      <c r="H772" s="199"/>
      <c r="I772" s="220"/>
      <c r="J772" s="199"/>
      <c r="K772" s="193" t="s">
        <v>206</v>
      </c>
      <c r="L772" s="232" t="s">
        <v>146</v>
      </c>
      <c r="M772" s="199"/>
      <c r="N772" s="193" t="s">
        <v>227</v>
      </c>
      <c r="O772" s="193" t="s">
        <v>206</v>
      </c>
      <c r="P772" s="193" t="s">
        <v>683</v>
      </c>
      <c r="Q772" s="199"/>
      <c r="R772" s="193" t="s">
        <v>219</v>
      </c>
      <c r="S772" s="193" t="s">
        <v>44</v>
      </c>
      <c r="T772" s="193" t="s">
        <v>1303</v>
      </c>
      <c r="U772" s="193" t="s">
        <v>1304</v>
      </c>
      <c r="V772" s="193" t="s">
        <v>50</v>
      </c>
      <c r="W772" s="193" t="s">
        <v>212</v>
      </c>
      <c r="X772" s="193" t="s">
        <v>232</v>
      </c>
      <c r="Y772" s="200">
        <v>4.0</v>
      </c>
      <c r="Z772" s="202" t="s">
        <v>531</v>
      </c>
      <c r="AA772" s="202" t="s">
        <v>234</v>
      </c>
      <c r="AB772" s="221"/>
      <c r="AC772" s="203">
        <v>74306.88</v>
      </c>
      <c r="AD772" s="204">
        <v>46107.0</v>
      </c>
      <c r="AE772" s="204">
        <v>46168.0</v>
      </c>
      <c r="AF772" s="205"/>
      <c r="AG772" s="219"/>
      <c r="AH772" s="219"/>
      <c r="AI772" s="219"/>
      <c r="AJ772" s="219"/>
      <c r="AK772" s="219"/>
      <c r="AL772" s="219"/>
      <c r="AM772" s="219"/>
      <c r="AN772" s="219"/>
      <c r="AO772" s="219"/>
    </row>
    <row r="773">
      <c r="A773" s="193">
        <v>22900.0</v>
      </c>
      <c r="B773" s="232" t="s">
        <v>264</v>
      </c>
      <c r="C773" s="193">
        <v>2026.0</v>
      </c>
      <c r="D773" s="199"/>
      <c r="E773" s="199"/>
      <c r="F773" s="199"/>
      <c r="G773" s="248"/>
      <c r="H773" s="199"/>
      <c r="I773" s="235"/>
      <c r="J773" s="199"/>
      <c r="K773" s="193" t="s">
        <v>206</v>
      </c>
      <c r="L773" s="232" t="s">
        <v>146</v>
      </c>
      <c r="M773" s="199"/>
      <c r="N773" s="193" t="s">
        <v>227</v>
      </c>
      <c r="O773" s="193" t="s">
        <v>206</v>
      </c>
      <c r="P773" s="193" t="s">
        <v>683</v>
      </c>
      <c r="Q773" s="207"/>
      <c r="R773" s="208" t="s">
        <v>219</v>
      </c>
      <c r="S773" s="193" t="s">
        <v>44</v>
      </c>
      <c r="T773" s="193" t="s">
        <v>1305</v>
      </c>
      <c r="U773" s="193" t="s">
        <v>1306</v>
      </c>
      <c r="V773" s="193" t="s">
        <v>50</v>
      </c>
      <c r="W773" s="193" t="s">
        <v>212</v>
      </c>
      <c r="X773" s="193" t="s">
        <v>232</v>
      </c>
      <c r="Y773" s="200">
        <v>4.0</v>
      </c>
      <c r="Z773" s="202" t="s">
        <v>531</v>
      </c>
      <c r="AA773" s="202" t="s">
        <v>234</v>
      </c>
      <c r="AB773" s="221"/>
      <c r="AC773" s="203">
        <v>3803.84</v>
      </c>
      <c r="AD773" s="204">
        <v>46107.0</v>
      </c>
      <c r="AE773" s="204">
        <v>46168.0</v>
      </c>
      <c r="AF773" s="205"/>
      <c r="AG773" s="219"/>
      <c r="AH773" s="219"/>
      <c r="AI773" s="219"/>
      <c r="AJ773" s="219"/>
      <c r="AK773" s="219"/>
      <c r="AL773" s="219"/>
      <c r="AM773" s="219"/>
      <c r="AN773" s="219"/>
      <c r="AO773" s="219"/>
    </row>
    <row r="774">
      <c r="A774" s="193">
        <v>22920.0</v>
      </c>
      <c r="B774" s="232" t="s">
        <v>264</v>
      </c>
      <c r="C774" s="193">
        <v>2026.0</v>
      </c>
      <c r="D774" s="199"/>
      <c r="E774" s="199"/>
      <c r="F774" s="199"/>
      <c r="G774" s="248"/>
      <c r="H774" s="199"/>
      <c r="I774" s="235"/>
      <c r="J774" s="199"/>
      <c r="K774" s="193" t="s">
        <v>206</v>
      </c>
      <c r="L774" s="232" t="s">
        <v>146</v>
      </c>
      <c r="M774" s="199"/>
      <c r="N774" s="193" t="s">
        <v>227</v>
      </c>
      <c r="O774" s="193" t="s">
        <v>206</v>
      </c>
      <c r="P774" s="193" t="s">
        <v>683</v>
      </c>
      <c r="Q774" s="207"/>
      <c r="R774" s="208" t="s">
        <v>219</v>
      </c>
      <c r="S774" s="193" t="s">
        <v>44</v>
      </c>
      <c r="T774" s="193" t="s">
        <v>1308</v>
      </c>
      <c r="U774" s="193" t="s">
        <v>1309</v>
      </c>
      <c r="V774" s="193" t="s">
        <v>50</v>
      </c>
      <c r="W774" s="193" t="s">
        <v>212</v>
      </c>
      <c r="X774" s="193" t="s">
        <v>232</v>
      </c>
      <c r="Y774" s="200">
        <v>4.0</v>
      </c>
      <c r="Z774" s="202" t="s">
        <v>531</v>
      </c>
      <c r="AA774" s="202" t="s">
        <v>234</v>
      </c>
      <c r="AB774" s="221"/>
      <c r="AC774" s="203">
        <v>38239.49</v>
      </c>
      <c r="AD774" s="204">
        <v>46107.0</v>
      </c>
      <c r="AE774" s="204">
        <v>46168.0</v>
      </c>
      <c r="AF774" s="205"/>
      <c r="AG774" s="219"/>
      <c r="AH774" s="219"/>
      <c r="AI774" s="219"/>
      <c r="AJ774" s="219"/>
      <c r="AK774" s="219"/>
      <c r="AL774" s="219"/>
      <c r="AM774" s="219"/>
      <c r="AN774" s="219"/>
      <c r="AO774" s="219"/>
    </row>
    <row r="775">
      <c r="A775" s="193">
        <v>22940.0</v>
      </c>
      <c r="B775" s="232" t="s">
        <v>264</v>
      </c>
      <c r="C775" s="193">
        <v>2026.0</v>
      </c>
      <c r="D775" s="199"/>
      <c r="E775" s="199"/>
      <c r="F775" s="199"/>
      <c r="G775" s="248"/>
      <c r="H775" s="199"/>
      <c r="I775" s="220"/>
      <c r="J775" s="199"/>
      <c r="K775" s="193" t="s">
        <v>206</v>
      </c>
      <c r="L775" s="232" t="s">
        <v>146</v>
      </c>
      <c r="M775" s="199"/>
      <c r="N775" s="193" t="s">
        <v>227</v>
      </c>
      <c r="O775" s="193" t="s">
        <v>206</v>
      </c>
      <c r="P775" s="193" t="s">
        <v>683</v>
      </c>
      <c r="Q775" s="207"/>
      <c r="R775" s="208" t="s">
        <v>219</v>
      </c>
      <c r="S775" s="193" t="s">
        <v>44</v>
      </c>
      <c r="T775" s="193" t="s">
        <v>1310</v>
      </c>
      <c r="U775" s="193" t="s">
        <v>1311</v>
      </c>
      <c r="V775" s="193" t="s">
        <v>50</v>
      </c>
      <c r="W775" s="193" t="s">
        <v>212</v>
      </c>
      <c r="X775" s="193" t="s">
        <v>232</v>
      </c>
      <c r="Y775" s="200">
        <v>4.0</v>
      </c>
      <c r="Z775" s="202" t="s">
        <v>531</v>
      </c>
      <c r="AA775" s="202" t="s">
        <v>234</v>
      </c>
      <c r="AB775" s="221"/>
      <c r="AC775" s="203">
        <v>11520.0</v>
      </c>
      <c r="AD775" s="204">
        <v>46107.0</v>
      </c>
      <c r="AE775" s="204">
        <v>46168.0</v>
      </c>
      <c r="AF775" s="205"/>
      <c r="AG775" s="219"/>
      <c r="AH775" s="219"/>
      <c r="AI775" s="219"/>
      <c r="AJ775" s="219"/>
      <c r="AK775" s="219"/>
      <c r="AL775" s="219"/>
      <c r="AM775" s="219"/>
      <c r="AN775" s="219"/>
      <c r="AO775" s="219"/>
    </row>
    <row r="776">
      <c r="A776" s="193">
        <v>22960.0</v>
      </c>
      <c r="B776" s="232" t="s">
        <v>264</v>
      </c>
      <c r="C776" s="193">
        <v>2026.0</v>
      </c>
      <c r="D776" s="199"/>
      <c r="E776" s="199"/>
      <c r="F776" s="199"/>
      <c r="G776" s="248"/>
      <c r="H776" s="199"/>
      <c r="I776" s="220"/>
      <c r="J776" s="199"/>
      <c r="K776" s="193" t="s">
        <v>206</v>
      </c>
      <c r="L776" s="232" t="s">
        <v>146</v>
      </c>
      <c r="M776" s="199"/>
      <c r="N776" s="193" t="s">
        <v>227</v>
      </c>
      <c r="O776" s="193" t="s">
        <v>206</v>
      </c>
      <c r="P776" s="193" t="s">
        <v>683</v>
      </c>
      <c r="Q776" s="199"/>
      <c r="R776" s="193" t="s">
        <v>219</v>
      </c>
      <c r="S776" s="193" t="s">
        <v>44</v>
      </c>
      <c r="T776" s="193" t="s">
        <v>1312</v>
      </c>
      <c r="U776" s="193" t="s">
        <v>1313</v>
      </c>
      <c r="V776" s="193" t="s">
        <v>50</v>
      </c>
      <c r="W776" s="193" t="s">
        <v>212</v>
      </c>
      <c r="X776" s="193" t="s">
        <v>232</v>
      </c>
      <c r="Y776" s="200">
        <v>4.0</v>
      </c>
      <c r="Z776" s="202" t="s">
        <v>531</v>
      </c>
      <c r="AA776" s="202" t="s">
        <v>234</v>
      </c>
      <c r="AB776" s="221"/>
      <c r="AC776" s="203">
        <v>2306.88</v>
      </c>
      <c r="AD776" s="204">
        <v>46107.0</v>
      </c>
      <c r="AE776" s="204">
        <v>46168.0</v>
      </c>
      <c r="AF776" s="205"/>
      <c r="AG776" s="219"/>
      <c r="AH776" s="219"/>
      <c r="AI776" s="219"/>
      <c r="AJ776" s="219"/>
      <c r="AK776" s="219"/>
      <c r="AL776" s="219"/>
      <c r="AM776" s="219"/>
      <c r="AN776" s="219"/>
      <c r="AO776" s="219"/>
    </row>
    <row r="777">
      <c r="A777" s="193">
        <v>22980.0</v>
      </c>
      <c r="B777" s="232" t="s">
        <v>264</v>
      </c>
      <c r="C777" s="193">
        <v>2026.0</v>
      </c>
      <c r="D777" s="199"/>
      <c r="E777" s="199"/>
      <c r="F777" s="199"/>
      <c r="G777" s="248"/>
      <c r="H777" s="199"/>
      <c r="I777" s="220"/>
      <c r="J777" s="199"/>
      <c r="K777" s="193" t="s">
        <v>206</v>
      </c>
      <c r="L777" s="232" t="s">
        <v>146</v>
      </c>
      <c r="M777" s="199"/>
      <c r="N777" s="193" t="s">
        <v>337</v>
      </c>
      <c r="O777" s="193" t="s">
        <v>206</v>
      </c>
      <c r="P777" s="193" t="s">
        <v>683</v>
      </c>
      <c r="Q777" s="199"/>
      <c r="R777" s="193" t="s">
        <v>219</v>
      </c>
      <c r="S777" s="193" t="s">
        <v>44</v>
      </c>
      <c r="T777" s="193" t="s">
        <v>1314</v>
      </c>
      <c r="U777" s="193" t="s">
        <v>1315</v>
      </c>
      <c r="V777" s="193" t="s">
        <v>50</v>
      </c>
      <c r="W777" s="193" t="s">
        <v>212</v>
      </c>
      <c r="X777" s="193" t="s">
        <v>232</v>
      </c>
      <c r="Y777" s="200">
        <v>4.0</v>
      </c>
      <c r="Z777" s="202" t="s">
        <v>531</v>
      </c>
      <c r="AA777" s="202" t="s">
        <v>234</v>
      </c>
      <c r="AB777" s="221"/>
      <c r="AC777" s="203">
        <v>4277.49</v>
      </c>
      <c r="AD777" s="204">
        <v>46107.0</v>
      </c>
      <c r="AE777" s="204">
        <v>46168.0</v>
      </c>
      <c r="AF777" s="205"/>
      <c r="AG777" s="219"/>
      <c r="AH777" s="219"/>
      <c r="AI777" s="219"/>
      <c r="AJ777" s="219"/>
      <c r="AK777" s="219"/>
      <c r="AL777" s="219"/>
      <c r="AM777" s="219"/>
      <c r="AN777" s="219"/>
      <c r="AO777" s="219"/>
    </row>
    <row r="778">
      <c r="A778" s="193">
        <v>23000.0</v>
      </c>
      <c r="B778" s="232" t="s">
        <v>264</v>
      </c>
      <c r="C778" s="193">
        <v>2026.0</v>
      </c>
      <c r="D778" s="199"/>
      <c r="E778" s="199"/>
      <c r="F778" s="199"/>
      <c r="G778" s="235"/>
      <c r="H778" s="199"/>
      <c r="I778" s="233"/>
      <c r="J778" s="199"/>
      <c r="K778" s="193" t="s">
        <v>206</v>
      </c>
      <c r="L778" s="232" t="s">
        <v>146</v>
      </c>
      <c r="M778" s="199"/>
      <c r="N778" s="193" t="s">
        <v>337</v>
      </c>
      <c r="O778" s="193" t="s">
        <v>206</v>
      </c>
      <c r="P778" s="193" t="s">
        <v>683</v>
      </c>
      <c r="Q778" s="199"/>
      <c r="R778" s="193" t="s">
        <v>219</v>
      </c>
      <c r="S778" s="193" t="s">
        <v>44</v>
      </c>
      <c r="T778" s="193" t="s">
        <v>1316</v>
      </c>
      <c r="U778" s="193" t="s">
        <v>1317</v>
      </c>
      <c r="V778" s="193" t="s">
        <v>50</v>
      </c>
      <c r="W778" s="193" t="s">
        <v>212</v>
      </c>
      <c r="X778" s="193" t="s">
        <v>232</v>
      </c>
      <c r="Y778" s="200">
        <v>4.0</v>
      </c>
      <c r="Z778" s="202" t="s">
        <v>531</v>
      </c>
      <c r="AA778" s="202" t="s">
        <v>234</v>
      </c>
      <c r="AB778" s="221"/>
      <c r="AC778" s="203">
        <v>57141.94</v>
      </c>
      <c r="AD778" s="204">
        <v>46107.0</v>
      </c>
      <c r="AE778" s="204">
        <v>46168.0</v>
      </c>
      <c r="AF778" s="205"/>
      <c r="AG778" s="219"/>
      <c r="AH778" s="219"/>
      <c r="AI778" s="219"/>
      <c r="AJ778" s="219"/>
      <c r="AK778" s="219"/>
      <c r="AL778" s="219"/>
      <c r="AM778" s="219"/>
      <c r="AN778" s="219"/>
      <c r="AO778" s="219"/>
    </row>
    <row r="779">
      <c r="A779" s="193">
        <v>23020.0</v>
      </c>
      <c r="B779" s="232" t="s">
        <v>264</v>
      </c>
      <c r="C779" s="193">
        <v>2026.0</v>
      </c>
      <c r="D779" s="199"/>
      <c r="E779" s="199"/>
      <c r="F779" s="199"/>
      <c r="G779" s="248"/>
      <c r="H779" s="199"/>
      <c r="I779" s="235"/>
      <c r="J779" s="199"/>
      <c r="K779" s="193" t="s">
        <v>206</v>
      </c>
      <c r="L779" s="232" t="s">
        <v>146</v>
      </c>
      <c r="M779" s="199"/>
      <c r="N779" s="193" t="s">
        <v>227</v>
      </c>
      <c r="O779" s="193" t="s">
        <v>206</v>
      </c>
      <c r="P779" s="193" t="s">
        <v>683</v>
      </c>
      <c r="Q779" s="199"/>
      <c r="R779" s="193" t="s">
        <v>219</v>
      </c>
      <c r="S779" s="193" t="s">
        <v>44</v>
      </c>
      <c r="T779" s="193" t="s">
        <v>1318</v>
      </c>
      <c r="U779" s="193" t="s">
        <v>1319</v>
      </c>
      <c r="V779" s="193" t="s">
        <v>50</v>
      </c>
      <c r="W779" s="193" t="s">
        <v>212</v>
      </c>
      <c r="X779" s="193" t="s">
        <v>232</v>
      </c>
      <c r="Y779" s="200">
        <v>4.0</v>
      </c>
      <c r="Z779" s="202" t="s">
        <v>531</v>
      </c>
      <c r="AA779" s="202" t="s">
        <v>234</v>
      </c>
      <c r="AB779" s="221"/>
      <c r="AC779" s="203">
        <v>709483.35</v>
      </c>
      <c r="AD779" s="204">
        <v>46107.0</v>
      </c>
      <c r="AE779" s="204">
        <v>46168.0</v>
      </c>
      <c r="AF779" s="205"/>
      <c r="AG779" s="219"/>
      <c r="AH779" s="219"/>
      <c r="AI779" s="219"/>
      <c r="AJ779" s="219"/>
      <c r="AK779" s="219"/>
      <c r="AL779" s="219"/>
      <c r="AM779" s="219"/>
      <c r="AN779" s="219"/>
      <c r="AO779" s="219"/>
    </row>
    <row r="780">
      <c r="A780" s="193">
        <v>23040.0</v>
      </c>
      <c r="B780" s="232" t="s">
        <v>264</v>
      </c>
      <c r="C780" s="193">
        <v>2026.0</v>
      </c>
      <c r="D780" s="199"/>
      <c r="E780" s="199"/>
      <c r="F780" s="199"/>
      <c r="G780" s="253"/>
      <c r="H780" s="199"/>
      <c r="I780" s="248"/>
      <c r="J780" s="199"/>
      <c r="K780" s="193" t="s">
        <v>206</v>
      </c>
      <c r="L780" s="232" t="s">
        <v>146</v>
      </c>
      <c r="M780" s="199"/>
      <c r="N780" s="193" t="s">
        <v>227</v>
      </c>
      <c r="O780" s="193" t="s">
        <v>206</v>
      </c>
      <c r="P780" s="193" t="s">
        <v>683</v>
      </c>
      <c r="Q780" s="199"/>
      <c r="R780" s="193" t="s">
        <v>219</v>
      </c>
      <c r="S780" s="193" t="s">
        <v>44</v>
      </c>
      <c r="T780" s="193" t="s">
        <v>1320</v>
      </c>
      <c r="U780" s="193" t="s">
        <v>1321</v>
      </c>
      <c r="V780" s="193" t="s">
        <v>50</v>
      </c>
      <c r="W780" s="193" t="s">
        <v>212</v>
      </c>
      <c r="X780" s="193" t="s">
        <v>232</v>
      </c>
      <c r="Y780" s="200">
        <v>4.0</v>
      </c>
      <c r="Z780" s="202" t="s">
        <v>531</v>
      </c>
      <c r="AA780" s="202" t="s">
        <v>234</v>
      </c>
      <c r="AB780" s="221"/>
      <c r="AC780" s="203">
        <v>41431.68</v>
      </c>
      <c r="AD780" s="204">
        <v>46107.0</v>
      </c>
      <c r="AE780" s="204">
        <v>46168.0</v>
      </c>
      <c r="AF780" s="205"/>
      <c r="AG780" s="219"/>
      <c r="AH780" s="219"/>
      <c r="AI780" s="219"/>
      <c r="AJ780" s="219"/>
      <c r="AK780" s="219"/>
      <c r="AL780" s="219"/>
      <c r="AM780" s="219"/>
      <c r="AN780" s="219"/>
      <c r="AO780" s="219"/>
    </row>
    <row r="781">
      <c r="A781" s="193">
        <v>23060.0</v>
      </c>
      <c r="B781" s="232" t="s">
        <v>264</v>
      </c>
      <c r="C781" s="193">
        <v>2026.0</v>
      </c>
      <c r="D781" s="199"/>
      <c r="E781" s="199"/>
      <c r="F781" s="199"/>
      <c r="G781" s="248"/>
      <c r="H781" s="199"/>
      <c r="I781" s="235"/>
      <c r="J781" s="199"/>
      <c r="K781" s="193" t="s">
        <v>206</v>
      </c>
      <c r="L781" s="232" t="s">
        <v>146</v>
      </c>
      <c r="M781" s="199"/>
      <c r="N781" s="193" t="s">
        <v>337</v>
      </c>
      <c r="O781" s="193" t="s">
        <v>206</v>
      </c>
      <c r="P781" s="193" t="s">
        <v>683</v>
      </c>
      <c r="Q781" s="199"/>
      <c r="R781" s="193" t="s">
        <v>219</v>
      </c>
      <c r="S781" s="193" t="s">
        <v>44</v>
      </c>
      <c r="T781" s="193" t="s">
        <v>1322</v>
      </c>
      <c r="U781" s="193" t="s">
        <v>1323</v>
      </c>
      <c r="V781" s="193" t="s">
        <v>50</v>
      </c>
      <c r="W781" s="193" t="s">
        <v>212</v>
      </c>
      <c r="X781" s="193" t="s">
        <v>232</v>
      </c>
      <c r="Y781" s="200">
        <v>4.0</v>
      </c>
      <c r="Z781" s="202" t="s">
        <v>531</v>
      </c>
      <c r="AA781" s="202" t="s">
        <v>234</v>
      </c>
      <c r="AB781" s="221"/>
      <c r="AC781" s="203">
        <v>24022.71</v>
      </c>
      <c r="AD781" s="204">
        <v>46107.0</v>
      </c>
      <c r="AE781" s="204">
        <v>46168.0</v>
      </c>
      <c r="AF781" s="205"/>
      <c r="AG781" s="219"/>
      <c r="AH781" s="219"/>
      <c r="AI781" s="219"/>
      <c r="AJ781" s="219"/>
      <c r="AK781" s="219"/>
      <c r="AL781" s="219"/>
      <c r="AM781" s="219"/>
      <c r="AN781" s="219"/>
      <c r="AO781" s="219"/>
    </row>
    <row r="782">
      <c r="A782" s="193">
        <v>23080.0</v>
      </c>
      <c r="B782" s="232" t="s">
        <v>264</v>
      </c>
      <c r="C782" s="193">
        <v>2026.0</v>
      </c>
      <c r="D782" s="199"/>
      <c r="E782" s="199"/>
      <c r="F782" s="199"/>
      <c r="G782" s="248"/>
      <c r="H782" s="199"/>
      <c r="I782" s="235"/>
      <c r="J782" s="199"/>
      <c r="K782" s="193" t="s">
        <v>206</v>
      </c>
      <c r="L782" s="232" t="s">
        <v>146</v>
      </c>
      <c r="M782" s="199"/>
      <c r="N782" s="193" t="s">
        <v>207</v>
      </c>
      <c r="O782" s="193" t="s">
        <v>206</v>
      </c>
      <c r="P782" s="193" t="s">
        <v>763</v>
      </c>
      <c r="Q782" s="199"/>
      <c r="R782" s="193" t="s">
        <v>219</v>
      </c>
      <c r="S782" s="193" t="s">
        <v>45</v>
      </c>
      <c r="T782" s="193" t="s">
        <v>1324</v>
      </c>
      <c r="U782" s="193" t="s">
        <v>1325</v>
      </c>
      <c r="V782" s="193" t="s">
        <v>50</v>
      </c>
      <c r="W782" s="193" t="s">
        <v>212</v>
      </c>
      <c r="X782" s="193" t="s">
        <v>232</v>
      </c>
      <c r="Y782" s="200">
        <v>4.0</v>
      </c>
      <c r="Z782" s="202" t="s">
        <v>531</v>
      </c>
      <c r="AA782" s="202" t="s">
        <v>215</v>
      </c>
      <c r="AB782" s="221"/>
      <c r="AC782" s="203">
        <v>4064.54</v>
      </c>
      <c r="AD782" s="204">
        <v>46107.0</v>
      </c>
      <c r="AE782" s="204">
        <v>46168.0</v>
      </c>
      <c r="AF782" s="205"/>
      <c r="AG782" s="219"/>
      <c r="AH782" s="219"/>
      <c r="AI782" s="219"/>
      <c r="AJ782" s="219"/>
      <c r="AK782" s="219"/>
      <c r="AL782" s="219"/>
      <c r="AM782" s="219"/>
      <c r="AN782" s="219"/>
      <c r="AO782" s="219"/>
    </row>
    <row r="783">
      <c r="A783" s="193">
        <v>23100.0</v>
      </c>
      <c r="B783" s="232" t="s">
        <v>264</v>
      </c>
      <c r="C783" s="193">
        <v>2026.0</v>
      </c>
      <c r="D783" s="199"/>
      <c r="E783" s="199"/>
      <c r="F783" s="199"/>
      <c r="G783" s="248"/>
      <c r="H783" s="199"/>
      <c r="I783" s="235"/>
      <c r="J783" s="199"/>
      <c r="K783" s="193" t="s">
        <v>206</v>
      </c>
      <c r="L783" s="232" t="s">
        <v>146</v>
      </c>
      <c r="M783" s="199"/>
      <c r="N783" s="193" t="s">
        <v>227</v>
      </c>
      <c r="O783" s="193" t="s">
        <v>206</v>
      </c>
      <c r="P783" s="193" t="s">
        <v>763</v>
      </c>
      <c r="Q783" s="207"/>
      <c r="R783" s="208" t="s">
        <v>219</v>
      </c>
      <c r="S783" s="193" t="s">
        <v>45</v>
      </c>
      <c r="T783" s="193" t="s">
        <v>1326</v>
      </c>
      <c r="U783" s="193" t="s">
        <v>1327</v>
      </c>
      <c r="V783" s="193" t="s">
        <v>50</v>
      </c>
      <c r="W783" s="193" t="s">
        <v>212</v>
      </c>
      <c r="X783" s="193" t="s">
        <v>232</v>
      </c>
      <c r="Y783" s="200">
        <v>4.0</v>
      </c>
      <c r="Z783" s="202" t="s">
        <v>531</v>
      </c>
      <c r="AA783" s="202" t="s">
        <v>234</v>
      </c>
      <c r="AB783" s="221"/>
      <c r="AC783" s="203">
        <v>4227.84</v>
      </c>
      <c r="AD783" s="204">
        <v>46107.0</v>
      </c>
      <c r="AE783" s="204">
        <v>46168.0</v>
      </c>
      <c r="AF783" s="205"/>
      <c r="AG783" s="219"/>
      <c r="AH783" s="219"/>
      <c r="AI783" s="219"/>
      <c r="AJ783" s="219"/>
      <c r="AK783" s="219"/>
      <c r="AL783" s="219"/>
      <c r="AM783" s="219"/>
      <c r="AN783" s="219"/>
      <c r="AO783" s="219"/>
    </row>
    <row r="784">
      <c r="A784" s="193">
        <v>23120.0</v>
      </c>
      <c r="B784" s="232" t="s">
        <v>264</v>
      </c>
      <c r="C784" s="193">
        <v>2026.0</v>
      </c>
      <c r="D784" s="199"/>
      <c r="E784" s="199"/>
      <c r="F784" s="199"/>
      <c r="G784" s="248"/>
      <c r="H784" s="199"/>
      <c r="I784" s="220"/>
      <c r="J784" s="199"/>
      <c r="K784" s="193" t="s">
        <v>206</v>
      </c>
      <c r="L784" s="232" t="s">
        <v>146</v>
      </c>
      <c r="M784" s="199"/>
      <c r="N784" s="193" t="s">
        <v>227</v>
      </c>
      <c r="O784" s="193" t="s">
        <v>206</v>
      </c>
      <c r="P784" s="193" t="s">
        <v>763</v>
      </c>
      <c r="Q784" s="199"/>
      <c r="R784" s="193" t="s">
        <v>219</v>
      </c>
      <c r="S784" s="193" t="s">
        <v>45</v>
      </c>
      <c r="T784" s="193" t="s">
        <v>1328</v>
      </c>
      <c r="U784" s="193" t="s">
        <v>1329</v>
      </c>
      <c r="V784" s="193" t="s">
        <v>50</v>
      </c>
      <c r="W784" s="193" t="s">
        <v>212</v>
      </c>
      <c r="X784" s="193" t="s">
        <v>232</v>
      </c>
      <c r="Y784" s="200">
        <v>4.0</v>
      </c>
      <c r="Z784" s="202" t="s">
        <v>531</v>
      </c>
      <c r="AA784" s="202" t="s">
        <v>234</v>
      </c>
      <c r="AB784" s="221"/>
      <c r="AC784" s="203">
        <v>9389.96</v>
      </c>
      <c r="AD784" s="204">
        <v>46107.0</v>
      </c>
      <c r="AE784" s="204">
        <v>46168.0</v>
      </c>
      <c r="AF784" s="205"/>
      <c r="AG784" s="219"/>
      <c r="AH784" s="219"/>
      <c r="AI784" s="219"/>
      <c r="AJ784" s="219"/>
      <c r="AK784" s="219"/>
      <c r="AL784" s="219"/>
      <c r="AM784" s="219"/>
      <c r="AN784" s="219"/>
      <c r="AO784" s="219"/>
    </row>
    <row r="785">
      <c r="A785" s="193">
        <v>23140.0</v>
      </c>
      <c r="B785" s="232" t="s">
        <v>264</v>
      </c>
      <c r="C785" s="193">
        <v>2026.0</v>
      </c>
      <c r="D785" s="199"/>
      <c r="E785" s="199"/>
      <c r="F785" s="199"/>
      <c r="G785" s="248"/>
      <c r="H785" s="199"/>
      <c r="I785" s="235"/>
      <c r="J785" s="199"/>
      <c r="K785" s="193" t="s">
        <v>206</v>
      </c>
      <c r="L785" s="232" t="s">
        <v>146</v>
      </c>
      <c r="M785" s="199"/>
      <c r="N785" s="193" t="s">
        <v>337</v>
      </c>
      <c r="O785" s="193" t="s">
        <v>206</v>
      </c>
      <c r="P785" s="193" t="s">
        <v>1015</v>
      </c>
      <c r="Q785" s="199"/>
      <c r="R785" s="193" t="s">
        <v>219</v>
      </c>
      <c r="S785" s="193" t="s">
        <v>45</v>
      </c>
      <c r="T785" s="193" t="s">
        <v>1330</v>
      </c>
      <c r="U785" s="193" t="s">
        <v>1331</v>
      </c>
      <c r="V785" s="193" t="s">
        <v>50</v>
      </c>
      <c r="W785" s="193" t="s">
        <v>212</v>
      </c>
      <c r="X785" s="193" t="s">
        <v>232</v>
      </c>
      <c r="Y785" s="200">
        <v>4.0</v>
      </c>
      <c r="Z785" s="202" t="s">
        <v>531</v>
      </c>
      <c r="AA785" s="202" t="s">
        <v>234</v>
      </c>
      <c r="AB785" s="221"/>
      <c r="AC785" s="203">
        <v>1163.64</v>
      </c>
      <c r="AD785" s="204">
        <v>46107.0</v>
      </c>
      <c r="AE785" s="204">
        <v>46168.0</v>
      </c>
      <c r="AF785" s="205"/>
      <c r="AG785" s="219"/>
      <c r="AH785" s="219"/>
      <c r="AI785" s="219"/>
      <c r="AJ785" s="219"/>
      <c r="AK785" s="219"/>
      <c r="AL785" s="219"/>
      <c r="AM785" s="219"/>
      <c r="AN785" s="219"/>
      <c r="AO785" s="219"/>
    </row>
    <row r="786">
      <c r="A786" s="193">
        <v>23160.0</v>
      </c>
      <c r="B786" s="232" t="s">
        <v>264</v>
      </c>
      <c r="C786" s="193">
        <v>2026.0</v>
      </c>
      <c r="D786" s="199"/>
      <c r="E786" s="199"/>
      <c r="F786" s="199"/>
      <c r="G786" s="248"/>
      <c r="H786" s="199"/>
      <c r="I786" s="235"/>
      <c r="J786" s="199"/>
      <c r="K786" s="193" t="s">
        <v>206</v>
      </c>
      <c r="L786" s="232" t="s">
        <v>146</v>
      </c>
      <c r="M786" s="199"/>
      <c r="N786" s="193" t="s">
        <v>227</v>
      </c>
      <c r="O786" s="193" t="s">
        <v>206</v>
      </c>
      <c r="P786" s="193" t="s">
        <v>1015</v>
      </c>
      <c r="Q786" s="199"/>
      <c r="R786" s="193" t="s">
        <v>219</v>
      </c>
      <c r="S786" s="193" t="s">
        <v>45</v>
      </c>
      <c r="T786" s="193" t="s">
        <v>1332</v>
      </c>
      <c r="U786" s="193" t="s">
        <v>1333</v>
      </c>
      <c r="V786" s="193" t="s">
        <v>50</v>
      </c>
      <c r="W786" s="193" t="s">
        <v>212</v>
      </c>
      <c r="X786" s="193" t="s">
        <v>232</v>
      </c>
      <c r="Y786" s="200">
        <v>4.0</v>
      </c>
      <c r="Z786" s="202" t="s">
        <v>531</v>
      </c>
      <c r="AA786" s="202" t="s">
        <v>234</v>
      </c>
      <c r="AB786" s="221"/>
      <c r="AC786" s="203">
        <v>7204.82</v>
      </c>
      <c r="AD786" s="204">
        <v>46107.0</v>
      </c>
      <c r="AE786" s="204">
        <v>46168.0</v>
      </c>
      <c r="AF786" s="205"/>
      <c r="AG786" s="219"/>
      <c r="AH786" s="219"/>
      <c r="AI786" s="219"/>
      <c r="AJ786" s="219"/>
      <c r="AK786" s="219"/>
      <c r="AL786" s="219"/>
      <c r="AM786" s="219"/>
      <c r="AN786" s="219"/>
      <c r="AO786" s="219"/>
    </row>
    <row r="787">
      <c r="A787" s="193">
        <v>23180.0</v>
      </c>
      <c r="B787" s="232" t="s">
        <v>264</v>
      </c>
      <c r="C787" s="193">
        <v>2026.0</v>
      </c>
      <c r="D787" s="199"/>
      <c r="E787" s="199"/>
      <c r="F787" s="199"/>
      <c r="G787" s="248"/>
      <c r="H787" s="199"/>
      <c r="I787" s="220"/>
      <c r="J787" s="199"/>
      <c r="K787" s="193" t="s">
        <v>206</v>
      </c>
      <c r="L787" s="232" t="s">
        <v>146</v>
      </c>
      <c r="M787" s="199"/>
      <c r="N787" s="193" t="s">
        <v>227</v>
      </c>
      <c r="O787" s="193" t="s">
        <v>206</v>
      </c>
      <c r="P787" s="193" t="s">
        <v>1015</v>
      </c>
      <c r="Q787" s="199"/>
      <c r="R787" s="193" t="s">
        <v>219</v>
      </c>
      <c r="S787" s="193" t="s">
        <v>45</v>
      </c>
      <c r="T787" s="193" t="s">
        <v>1334</v>
      </c>
      <c r="U787" s="193" t="s">
        <v>1327</v>
      </c>
      <c r="V787" s="193" t="s">
        <v>50</v>
      </c>
      <c r="W787" s="193" t="s">
        <v>212</v>
      </c>
      <c r="X787" s="193" t="s">
        <v>232</v>
      </c>
      <c r="Y787" s="200">
        <v>4.0</v>
      </c>
      <c r="Z787" s="202" t="s">
        <v>531</v>
      </c>
      <c r="AA787" s="202" t="s">
        <v>234</v>
      </c>
      <c r="AB787" s="221"/>
      <c r="AC787" s="203">
        <v>3662.66</v>
      </c>
      <c r="AD787" s="204">
        <v>46107.0</v>
      </c>
      <c r="AE787" s="204">
        <v>46168.0</v>
      </c>
      <c r="AF787" s="205"/>
      <c r="AG787" s="219"/>
      <c r="AH787" s="219"/>
      <c r="AI787" s="219"/>
      <c r="AJ787" s="219"/>
      <c r="AK787" s="219"/>
      <c r="AL787" s="219"/>
      <c r="AM787" s="219"/>
      <c r="AN787" s="219"/>
      <c r="AO787" s="219"/>
    </row>
    <row r="788">
      <c r="A788" s="193">
        <v>23200.0</v>
      </c>
      <c r="B788" s="232" t="s">
        <v>264</v>
      </c>
      <c r="C788" s="193">
        <v>2026.0</v>
      </c>
      <c r="D788" s="199"/>
      <c r="E788" s="199"/>
      <c r="F788" s="199"/>
      <c r="G788" s="199"/>
      <c r="H788" s="199"/>
      <c r="I788" s="199"/>
      <c r="J788" s="199"/>
      <c r="K788" s="193" t="s">
        <v>206</v>
      </c>
      <c r="L788" s="232" t="s">
        <v>146</v>
      </c>
      <c r="M788" s="199"/>
      <c r="N788" s="193" t="s">
        <v>227</v>
      </c>
      <c r="O788" s="193" t="s">
        <v>206</v>
      </c>
      <c r="P788" s="193" t="s">
        <v>206</v>
      </c>
      <c r="Q788" s="199"/>
      <c r="R788" s="193" t="s">
        <v>269</v>
      </c>
      <c r="S788" s="193" t="s">
        <v>49</v>
      </c>
      <c r="T788" s="193" t="s">
        <v>229</v>
      </c>
      <c r="U788" s="193" t="s">
        <v>364</v>
      </c>
      <c r="V788" s="193" t="s">
        <v>231</v>
      </c>
      <c r="W788" s="193" t="s">
        <v>212</v>
      </c>
      <c r="X788" s="193" t="s">
        <v>232</v>
      </c>
      <c r="Y788" s="200">
        <v>3.0</v>
      </c>
      <c r="Z788" s="202" t="s">
        <v>233</v>
      </c>
      <c r="AA788" s="202" t="s">
        <v>234</v>
      </c>
      <c r="AB788" s="221"/>
      <c r="AC788" s="203">
        <v>250000.0</v>
      </c>
      <c r="AD788" s="204">
        <v>46107.0</v>
      </c>
      <c r="AE788" s="204">
        <v>46168.0</v>
      </c>
      <c r="AF788" s="205"/>
      <c r="AG788" s="219"/>
      <c r="AH788" s="219"/>
      <c r="AI788" s="219"/>
      <c r="AJ788" s="219"/>
      <c r="AK788" s="219"/>
      <c r="AL788" s="219"/>
      <c r="AM788" s="219"/>
      <c r="AN788" s="219"/>
      <c r="AO788" s="219"/>
    </row>
    <row r="789">
      <c r="A789" s="193">
        <v>23220.0</v>
      </c>
      <c r="B789" s="232" t="s">
        <v>264</v>
      </c>
      <c r="C789" s="193">
        <v>2026.0</v>
      </c>
      <c r="D789" s="199"/>
      <c r="E789" s="199"/>
      <c r="F789" s="199"/>
      <c r="G789" s="248"/>
      <c r="H789" s="199"/>
      <c r="I789" s="220"/>
      <c r="J789" s="199"/>
      <c r="K789" s="193" t="s">
        <v>206</v>
      </c>
      <c r="L789" s="232" t="s">
        <v>146</v>
      </c>
      <c r="M789" s="199"/>
      <c r="N789" s="193" t="s">
        <v>337</v>
      </c>
      <c r="O789" s="193" t="s">
        <v>206</v>
      </c>
      <c r="P789" s="193" t="s">
        <v>206</v>
      </c>
      <c r="Q789" s="199"/>
      <c r="R789" s="193" t="s">
        <v>269</v>
      </c>
      <c r="S789" s="193" t="s">
        <v>49</v>
      </c>
      <c r="T789" s="193" t="s">
        <v>358</v>
      </c>
      <c r="U789" s="193" t="s">
        <v>359</v>
      </c>
      <c r="V789" s="193" t="s">
        <v>231</v>
      </c>
      <c r="W789" s="193" t="s">
        <v>212</v>
      </c>
      <c r="X789" s="193" t="s">
        <v>232</v>
      </c>
      <c r="Y789" s="200">
        <v>3.0</v>
      </c>
      <c r="Z789" s="202" t="s">
        <v>233</v>
      </c>
      <c r="AA789" s="202" t="s">
        <v>234</v>
      </c>
      <c r="AB789" s="221"/>
      <c r="AC789" s="203">
        <v>30000.0</v>
      </c>
      <c r="AD789" s="204">
        <v>46107.0</v>
      </c>
      <c r="AE789" s="204">
        <v>46168.0</v>
      </c>
      <c r="AF789" s="205"/>
      <c r="AG789" s="219"/>
      <c r="AH789" s="219"/>
      <c r="AI789" s="219"/>
      <c r="AJ789" s="219"/>
      <c r="AK789" s="219"/>
      <c r="AL789" s="219"/>
      <c r="AM789" s="219"/>
      <c r="AN789" s="219"/>
      <c r="AO789" s="219"/>
    </row>
    <row r="790">
      <c r="A790" s="193">
        <v>23240.0</v>
      </c>
      <c r="B790" s="232" t="s">
        <v>264</v>
      </c>
      <c r="C790" s="193">
        <v>2026.0</v>
      </c>
      <c r="D790" s="199"/>
      <c r="E790" s="199"/>
      <c r="F790" s="199"/>
      <c r="G790" s="248"/>
      <c r="H790" s="199"/>
      <c r="I790" s="235"/>
      <c r="J790" s="199"/>
      <c r="K790" s="193" t="s">
        <v>206</v>
      </c>
      <c r="L790" s="232" t="s">
        <v>146</v>
      </c>
      <c r="M790" s="199"/>
      <c r="N790" s="193" t="s">
        <v>227</v>
      </c>
      <c r="O790" s="193" t="s">
        <v>206</v>
      </c>
      <c r="P790" s="193" t="s">
        <v>206</v>
      </c>
      <c r="Q790" s="199"/>
      <c r="R790" s="193" t="s">
        <v>228</v>
      </c>
      <c r="S790" s="193" t="s">
        <v>48</v>
      </c>
      <c r="T790" s="193" t="s">
        <v>229</v>
      </c>
      <c r="U790" s="193" t="s">
        <v>447</v>
      </c>
      <c r="V790" s="193" t="s">
        <v>231</v>
      </c>
      <c r="W790" s="193" t="s">
        <v>212</v>
      </c>
      <c r="X790" s="193" t="s">
        <v>232</v>
      </c>
      <c r="Y790" s="200">
        <v>3.0</v>
      </c>
      <c r="Z790" s="202" t="s">
        <v>233</v>
      </c>
      <c r="AA790" s="202" t="s">
        <v>234</v>
      </c>
      <c r="AB790" s="221"/>
      <c r="AC790" s="203">
        <v>130000.0</v>
      </c>
      <c r="AD790" s="204">
        <v>46107.0</v>
      </c>
      <c r="AE790" s="204">
        <v>46168.0</v>
      </c>
      <c r="AF790" s="205"/>
      <c r="AG790" s="219"/>
      <c r="AH790" s="219"/>
      <c r="AI790" s="219"/>
      <c r="AJ790" s="219"/>
      <c r="AK790" s="219"/>
      <c r="AL790" s="219"/>
      <c r="AM790" s="219"/>
      <c r="AN790" s="219"/>
      <c r="AO790" s="219"/>
    </row>
    <row r="791">
      <c r="A791" s="193">
        <v>23260.0</v>
      </c>
      <c r="B791" s="232" t="s">
        <v>264</v>
      </c>
      <c r="C791" s="193">
        <v>2026.0</v>
      </c>
      <c r="D791" s="199"/>
      <c r="E791" s="199"/>
      <c r="F791" s="199"/>
      <c r="G791" s="248"/>
      <c r="H791" s="199"/>
      <c r="I791" s="235"/>
      <c r="J791" s="199"/>
      <c r="K791" s="193" t="s">
        <v>206</v>
      </c>
      <c r="L791" s="232" t="s">
        <v>146</v>
      </c>
      <c r="M791" s="199"/>
      <c r="N791" s="193" t="s">
        <v>227</v>
      </c>
      <c r="O791" s="193" t="s">
        <v>206</v>
      </c>
      <c r="P791" s="193" t="s">
        <v>206</v>
      </c>
      <c r="Q791" s="199"/>
      <c r="R791" s="193" t="s">
        <v>228</v>
      </c>
      <c r="S791" s="193" t="s">
        <v>48</v>
      </c>
      <c r="T791" s="193" t="s">
        <v>229</v>
      </c>
      <c r="U791" s="193" t="s">
        <v>448</v>
      </c>
      <c r="V791" s="193" t="s">
        <v>231</v>
      </c>
      <c r="W791" s="193" t="s">
        <v>212</v>
      </c>
      <c r="X791" s="193" t="s">
        <v>232</v>
      </c>
      <c r="Y791" s="200">
        <v>3.0</v>
      </c>
      <c r="Z791" s="202" t="s">
        <v>233</v>
      </c>
      <c r="AA791" s="202" t="s">
        <v>234</v>
      </c>
      <c r="AB791" s="221"/>
      <c r="AC791" s="203">
        <v>130000.0</v>
      </c>
      <c r="AD791" s="204">
        <v>46107.0</v>
      </c>
      <c r="AE791" s="204">
        <v>46168.0</v>
      </c>
      <c r="AF791" s="205"/>
      <c r="AG791" s="219"/>
      <c r="AH791" s="219"/>
      <c r="AI791" s="219"/>
      <c r="AJ791" s="219"/>
      <c r="AK791" s="219"/>
      <c r="AL791" s="219"/>
      <c r="AM791" s="219"/>
      <c r="AN791" s="219"/>
      <c r="AO791" s="219"/>
    </row>
    <row r="792">
      <c r="A792" s="193">
        <v>23280.0</v>
      </c>
      <c r="B792" s="232" t="s">
        <v>264</v>
      </c>
      <c r="C792" s="193">
        <v>2026.0</v>
      </c>
      <c r="D792" s="199"/>
      <c r="E792" s="199"/>
      <c r="F792" s="199"/>
      <c r="G792" s="248"/>
      <c r="H792" s="199"/>
      <c r="I792" s="235"/>
      <c r="J792" s="199"/>
      <c r="K792" s="193" t="s">
        <v>206</v>
      </c>
      <c r="L792" s="232" t="s">
        <v>146</v>
      </c>
      <c r="M792" s="199"/>
      <c r="N792" s="193" t="s">
        <v>227</v>
      </c>
      <c r="O792" s="193" t="s">
        <v>206</v>
      </c>
      <c r="P792" s="193" t="s">
        <v>206</v>
      </c>
      <c r="Q792" s="199"/>
      <c r="R792" s="193" t="s">
        <v>279</v>
      </c>
      <c r="S792" s="193" t="s">
        <v>50</v>
      </c>
      <c r="T792" s="193" t="s">
        <v>1335</v>
      </c>
      <c r="U792" s="193" t="s">
        <v>1336</v>
      </c>
      <c r="V792" s="193" t="s">
        <v>50</v>
      </c>
      <c r="W792" s="193" t="s">
        <v>264</v>
      </c>
      <c r="X792" s="193" t="s">
        <v>232</v>
      </c>
      <c r="Y792" s="200">
        <v>4.0</v>
      </c>
      <c r="Z792" s="202" t="s">
        <v>531</v>
      </c>
      <c r="AA792" s="202" t="s">
        <v>234</v>
      </c>
      <c r="AB792" s="203">
        <v>263721.4</v>
      </c>
      <c r="AC792" s="203">
        <v>263721.4</v>
      </c>
      <c r="AD792" s="204">
        <v>46107.0</v>
      </c>
      <c r="AE792" s="204">
        <v>46168.0</v>
      </c>
      <c r="AF792" s="205"/>
      <c r="AG792" s="219"/>
      <c r="AH792" s="219"/>
      <c r="AI792" s="219"/>
      <c r="AJ792" s="219"/>
      <c r="AK792" s="219"/>
      <c r="AL792" s="219"/>
      <c r="AM792" s="219"/>
      <c r="AN792" s="219"/>
      <c r="AO792" s="219"/>
    </row>
    <row r="793">
      <c r="A793" s="193">
        <v>23300.0</v>
      </c>
      <c r="B793" s="232" t="s">
        <v>264</v>
      </c>
      <c r="C793" s="193">
        <v>2026.0</v>
      </c>
      <c r="D793" s="199"/>
      <c r="E793" s="199"/>
      <c r="F793" s="199"/>
      <c r="G793" s="248"/>
      <c r="H793" s="199"/>
      <c r="I793" s="235"/>
      <c r="J793" s="199"/>
      <c r="K793" s="193" t="s">
        <v>206</v>
      </c>
      <c r="L793" s="232" t="s">
        <v>146</v>
      </c>
      <c r="M793" s="199"/>
      <c r="N793" s="193" t="s">
        <v>227</v>
      </c>
      <c r="O793" s="193" t="s">
        <v>206</v>
      </c>
      <c r="P793" s="193" t="s">
        <v>696</v>
      </c>
      <c r="Q793" s="199"/>
      <c r="R793" s="193" t="s">
        <v>279</v>
      </c>
      <c r="S793" s="193" t="s">
        <v>50</v>
      </c>
      <c r="T793" s="193" t="s">
        <v>1337</v>
      </c>
      <c r="U793" s="193" t="s">
        <v>1338</v>
      </c>
      <c r="V793" s="193" t="s">
        <v>50</v>
      </c>
      <c r="W793" s="193" t="s">
        <v>212</v>
      </c>
      <c r="X793" s="193" t="s">
        <v>232</v>
      </c>
      <c r="Y793" s="200">
        <v>4.0</v>
      </c>
      <c r="Z793" s="202" t="s">
        <v>531</v>
      </c>
      <c r="AA793" s="202" t="s">
        <v>234</v>
      </c>
      <c r="AB793" s="221"/>
      <c r="AC793" s="203">
        <v>31696.0</v>
      </c>
      <c r="AD793" s="204">
        <v>46107.0</v>
      </c>
      <c r="AE793" s="204">
        <v>46168.0</v>
      </c>
      <c r="AF793" s="205"/>
      <c r="AG793" s="219"/>
      <c r="AH793" s="219"/>
      <c r="AI793" s="219"/>
      <c r="AJ793" s="219"/>
      <c r="AK793" s="219"/>
      <c r="AL793" s="219"/>
      <c r="AM793" s="219"/>
      <c r="AN793" s="219"/>
      <c r="AO793" s="219"/>
    </row>
    <row r="794">
      <c r="A794" s="193">
        <v>23320.0</v>
      </c>
      <c r="B794" s="232" t="s">
        <v>264</v>
      </c>
      <c r="C794" s="193">
        <v>2026.0</v>
      </c>
      <c r="D794" s="199"/>
      <c r="E794" s="199"/>
      <c r="F794" s="199"/>
      <c r="G794" s="248"/>
      <c r="H794" s="199"/>
      <c r="I794" s="235"/>
      <c r="J794" s="199"/>
      <c r="K794" s="193" t="s">
        <v>206</v>
      </c>
      <c r="L794" s="232" t="s">
        <v>146</v>
      </c>
      <c r="M794" s="199"/>
      <c r="N794" s="193" t="s">
        <v>227</v>
      </c>
      <c r="O794" s="193" t="s">
        <v>206</v>
      </c>
      <c r="P794" s="193" t="s">
        <v>696</v>
      </c>
      <c r="Q794" s="199"/>
      <c r="R794" s="193" t="s">
        <v>279</v>
      </c>
      <c r="S794" s="193" t="s">
        <v>50</v>
      </c>
      <c r="T794" s="193" t="s">
        <v>1339</v>
      </c>
      <c r="U794" s="193" t="s">
        <v>1340</v>
      </c>
      <c r="V794" s="193" t="s">
        <v>50</v>
      </c>
      <c r="W794" s="193" t="s">
        <v>212</v>
      </c>
      <c r="X794" s="193" t="s">
        <v>232</v>
      </c>
      <c r="Y794" s="200">
        <v>4.0</v>
      </c>
      <c r="Z794" s="202" t="s">
        <v>531</v>
      </c>
      <c r="AA794" s="202" t="s">
        <v>234</v>
      </c>
      <c r="AB794" s="221"/>
      <c r="AC794" s="203">
        <v>18664.62</v>
      </c>
      <c r="AD794" s="204">
        <v>46107.0</v>
      </c>
      <c r="AE794" s="204">
        <v>46168.0</v>
      </c>
      <c r="AF794" s="205"/>
      <c r="AG794" s="219"/>
      <c r="AH794" s="219"/>
      <c r="AI794" s="219"/>
      <c r="AJ794" s="219"/>
      <c r="AK794" s="219"/>
      <c r="AL794" s="219"/>
      <c r="AM794" s="219"/>
      <c r="AN794" s="219"/>
      <c r="AO794" s="219"/>
    </row>
    <row r="795">
      <c r="A795" s="193">
        <v>23340.0</v>
      </c>
      <c r="B795" s="232" t="s">
        <v>264</v>
      </c>
      <c r="C795" s="193">
        <v>2026.0</v>
      </c>
      <c r="D795" s="199"/>
      <c r="E795" s="199"/>
      <c r="F795" s="199"/>
      <c r="G795" s="248"/>
      <c r="H795" s="199"/>
      <c r="I795" s="220"/>
      <c r="J795" s="199"/>
      <c r="K795" s="193" t="s">
        <v>206</v>
      </c>
      <c r="L795" s="232" t="s">
        <v>146</v>
      </c>
      <c r="M795" s="199"/>
      <c r="N795" s="193" t="s">
        <v>227</v>
      </c>
      <c r="O795" s="193" t="s">
        <v>206</v>
      </c>
      <c r="P795" s="193" t="s">
        <v>676</v>
      </c>
      <c r="Q795" s="199"/>
      <c r="R795" s="193" t="s">
        <v>279</v>
      </c>
      <c r="S795" s="193" t="s">
        <v>50</v>
      </c>
      <c r="T795" s="193" t="s">
        <v>1341</v>
      </c>
      <c r="U795" s="193" t="s">
        <v>1342</v>
      </c>
      <c r="V795" s="193" t="s">
        <v>50</v>
      </c>
      <c r="W795" s="193" t="s">
        <v>212</v>
      </c>
      <c r="X795" s="193" t="s">
        <v>232</v>
      </c>
      <c r="Y795" s="200">
        <v>4.0</v>
      </c>
      <c r="Z795" s="202" t="s">
        <v>531</v>
      </c>
      <c r="AA795" s="202" t="s">
        <v>234</v>
      </c>
      <c r="AB795" s="221"/>
      <c r="AC795" s="203">
        <v>16622.96</v>
      </c>
      <c r="AD795" s="204">
        <v>46107.0</v>
      </c>
      <c r="AE795" s="204">
        <v>46168.0</v>
      </c>
      <c r="AF795" s="205"/>
      <c r="AG795" s="219"/>
      <c r="AH795" s="219"/>
      <c r="AI795" s="219"/>
      <c r="AJ795" s="219"/>
      <c r="AK795" s="219"/>
      <c r="AL795" s="219"/>
      <c r="AM795" s="219"/>
      <c r="AN795" s="219"/>
      <c r="AO795" s="219"/>
    </row>
    <row r="796">
      <c r="A796" s="193">
        <v>23360.0</v>
      </c>
      <c r="B796" s="232" t="s">
        <v>264</v>
      </c>
      <c r="C796" s="193">
        <v>2026.0</v>
      </c>
      <c r="D796" s="199"/>
      <c r="E796" s="199"/>
      <c r="F796" s="199"/>
      <c r="G796" s="248"/>
      <c r="H796" s="199"/>
      <c r="I796" s="235"/>
      <c r="J796" s="199"/>
      <c r="K796" s="193" t="s">
        <v>206</v>
      </c>
      <c r="L796" s="232" t="s">
        <v>146</v>
      </c>
      <c r="M796" s="199"/>
      <c r="N796" s="193" t="s">
        <v>207</v>
      </c>
      <c r="O796" s="193" t="s">
        <v>206</v>
      </c>
      <c r="P796" s="193" t="s">
        <v>206</v>
      </c>
      <c r="Q796" s="199"/>
      <c r="R796" s="193" t="s">
        <v>219</v>
      </c>
      <c r="S796" s="193" t="s">
        <v>43</v>
      </c>
      <c r="T796" s="193" t="s">
        <v>464</v>
      </c>
      <c r="U796" s="193" t="s">
        <v>1343</v>
      </c>
      <c r="V796" s="193" t="s">
        <v>382</v>
      </c>
      <c r="W796" s="193" t="s">
        <v>212</v>
      </c>
      <c r="X796" s="193" t="s">
        <v>252</v>
      </c>
      <c r="Y796" s="200">
        <v>3.0</v>
      </c>
      <c r="Z796" s="202" t="s">
        <v>214</v>
      </c>
      <c r="AA796" s="202" t="s">
        <v>215</v>
      </c>
      <c r="AB796" s="203">
        <v>1000000.0</v>
      </c>
      <c r="AC796" s="203">
        <v>1000000.0</v>
      </c>
      <c r="AD796" s="204">
        <v>46107.0</v>
      </c>
      <c r="AE796" s="204">
        <v>46168.0</v>
      </c>
      <c r="AF796" s="205"/>
      <c r="AG796" s="219"/>
      <c r="AH796" s="219"/>
      <c r="AI796" s="219"/>
      <c r="AJ796" s="219"/>
      <c r="AK796" s="219"/>
      <c r="AL796" s="219"/>
      <c r="AM796" s="219"/>
      <c r="AN796" s="219"/>
      <c r="AO796" s="219"/>
    </row>
    <row r="797">
      <c r="A797" s="193">
        <v>23380.0</v>
      </c>
      <c r="B797" s="232" t="s">
        <v>264</v>
      </c>
      <c r="C797" s="193">
        <v>2026.0</v>
      </c>
      <c r="D797" s="199"/>
      <c r="E797" s="199"/>
      <c r="F797" s="199"/>
      <c r="G797" s="248"/>
      <c r="H797" s="199"/>
      <c r="I797" s="220"/>
      <c r="J797" s="199"/>
      <c r="K797" s="193" t="s">
        <v>206</v>
      </c>
      <c r="L797" s="232" t="s">
        <v>146</v>
      </c>
      <c r="M797" s="199"/>
      <c r="N797" s="193" t="s">
        <v>207</v>
      </c>
      <c r="O797" s="193" t="s">
        <v>206</v>
      </c>
      <c r="P797" s="193" t="s">
        <v>206</v>
      </c>
      <c r="Q797" s="199"/>
      <c r="R797" s="193" t="s">
        <v>219</v>
      </c>
      <c r="S797" s="193" t="s">
        <v>44</v>
      </c>
      <c r="T797" s="193" t="s">
        <v>220</v>
      </c>
      <c r="U797" s="193" t="s">
        <v>1344</v>
      </c>
      <c r="V797" s="193" t="s">
        <v>290</v>
      </c>
      <c r="W797" s="193" t="s">
        <v>212</v>
      </c>
      <c r="X797" s="193" t="s">
        <v>252</v>
      </c>
      <c r="Y797" s="200">
        <v>3.0</v>
      </c>
      <c r="Z797" s="202" t="s">
        <v>214</v>
      </c>
      <c r="AA797" s="202" t="s">
        <v>215</v>
      </c>
      <c r="AB797" s="203">
        <v>1134000.0</v>
      </c>
      <c r="AC797" s="203">
        <v>1134000.0</v>
      </c>
      <c r="AD797" s="204">
        <v>46107.0</v>
      </c>
      <c r="AE797" s="204">
        <v>46168.0</v>
      </c>
      <c r="AF797" s="205"/>
      <c r="AG797" s="219"/>
      <c r="AH797" s="219"/>
      <c r="AI797" s="219"/>
      <c r="AJ797" s="219"/>
      <c r="AK797" s="219"/>
      <c r="AL797" s="219"/>
      <c r="AM797" s="219"/>
      <c r="AN797" s="219"/>
      <c r="AO797" s="219"/>
    </row>
    <row r="798">
      <c r="A798" s="193">
        <v>23400.0</v>
      </c>
      <c r="B798" s="232" t="s">
        <v>264</v>
      </c>
      <c r="C798" s="193">
        <v>2026.0</v>
      </c>
      <c r="D798" s="199"/>
      <c r="E798" s="199"/>
      <c r="F798" s="199"/>
      <c r="G798" s="248"/>
      <c r="H798" s="199"/>
      <c r="I798" s="220"/>
      <c r="J798" s="219"/>
      <c r="K798" s="193" t="s">
        <v>206</v>
      </c>
      <c r="L798" s="234" t="s">
        <v>145</v>
      </c>
      <c r="M798" s="199"/>
      <c r="N798" s="193" t="s">
        <v>207</v>
      </c>
      <c r="O798" s="193" t="s">
        <v>206</v>
      </c>
      <c r="P798" s="193" t="s">
        <v>206</v>
      </c>
      <c r="Q798" s="199"/>
      <c r="R798" s="193" t="s">
        <v>219</v>
      </c>
      <c r="S798" s="193" t="s">
        <v>44</v>
      </c>
      <c r="T798" s="193" t="s">
        <v>220</v>
      </c>
      <c r="U798" s="193" t="s">
        <v>1345</v>
      </c>
      <c r="V798" s="193" t="s">
        <v>290</v>
      </c>
      <c r="W798" s="193" t="s">
        <v>212</v>
      </c>
      <c r="X798" s="193" t="s">
        <v>252</v>
      </c>
      <c r="Y798" s="200">
        <v>3.0</v>
      </c>
      <c r="Z798" s="202" t="s">
        <v>214</v>
      </c>
      <c r="AA798" s="202" t="s">
        <v>215</v>
      </c>
      <c r="AB798" s="203">
        <v>2658920.32</v>
      </c>
      <c r="AC798" s="203">
        <v>2658920.32</v>
      </c>
      <c r="AD798" s="204">
        <v>46199.0</v>
      </c>
      <c r="AE798" s="204">
        <v>46260.0</v>
      </c>
      <c r="AF798" s="226" t="s">
        <v>1346</v>
      </c>
      <c r="AG798" s="219"/>
      <c r="AH798" s="219"/>
      <c r="AI798" s="219"/>
      <c r="AJ798" s="219"/>
      <c r="AK798" s="219"/>
      <c r="AL798" s="219"/>
      <c r="AM798" s="219"/>
      <c r="AN798" s="219"/>
      <c r="AO798" s="219"/>
    </row>
    <row r="799">
      <c r="A799" s="193">
        <v>23401.0</v>
      </c>
      <c r="B799" s="194" t="s">
        <v>203</v>
      </c>
      <c r="C799" s="193">
        <v>2026.0</v>
      </c>
      <c r="D799" s="199"/>
      <c r="E799" s="199"/>
      <c r="F799" s="193" t="s">
        <v>272</v>
      </c>
      <c r="G799" s="248"/>
      <c r="H799" s="199"/>
      <c r="I799" s="348"/>
      <c r="J799" s="199"/>
      <c r="K799" s="193" t="s">
        <v>206</v>
      </c>
      <c r="L799" s="234" t="s">
        <v>145</v>
      </c>
      <c r="M799" s="199"/>
      <c r="N799" s="193" t="s">
        <v>207</v>
      </c>
      <c r="O799" s="193" t="s">
        <v>206</v>
      </c>
      <c r="P799" s="193" t="s">
        <v>206</v>
      </c>
      <c r="Q799" s="199"/>
      <c r="R799" s="193" t="s">
        <v>219</v>
      </c>
      <c r="S799" s="193" t="s">
        <v>44</v>
      </c>
      <c r="T799" s="193" t="s">
        <v>220</v>
      </c>
      <c r="U799" s="193" t="s">
        <v>1345</v>
      </c>
      <c r="V799" s="193" t="s">
        <v>290</v>
      </c>
      <c r="W799" s="193" t="s">
        <v>212</v>
      </c>
      <c r="X799" s="193" t="s">
        <v>252</v>
      </c>
      <c r="Y799" s="200">
        <v>3.0</v>
      </c>
      <c r="Z799" s="202" t="s">
        <v>214</v>
      </c>
      <c r="AA799" s="202" t="s">
        <v>215</v>
      </c>
      <c r="AB799" s="203" t="s">
        <v>275</v>
      </c>
      <c r="AC799" s="203" t="s">
        <v>275</v>
      </c>
      <c r="AD799" s="204">
        <v>46199.0</v>
      </c>
      <c r="AE799" s="204">
        <v>46260.0</v>
      </c>
      <c r="AF799" s="226" t="s">
        <v>1350</v>
      </c>
      <c r="AG799" s="219"/>
      <c r="AH799" s="219"/>
      <c r="AI799" s="219"/>
      <c r="AJ799" s="219"/>
      <c r="AK799" s="219"/>
      <c r="AL799" s="219"/>
      <c r="AM799" s="219"/>
      <c r="AN799" s="219"/>
      <c r="AO799" s="219"/>
    </row>
    <row r="800">
      <c r="A800" s="193">
        <v>23420.0</v>
      </c>
      <c r="B800" s="232" t="s">
        <v>264</v>
      </c>
      <c r="C800" s="193">
        <v>2026.0</v>
      </c>
      <c r="D800" s="199"/>
      <c r="E800" s="199"/>
      <c r="F800" s="199"/>
      <c r="G800" s="248"/>
      <c r="H800" s="199"/>
      <c r="I800" s="220"/>
      <c r="J800" s="199"/>
      <c r="K800" s="193" t="s">
        <v>206</v>
      </c>
      <c r="L800" s="232" t="s">
        <v>146</v>
      </c>
      <c r="M800" s="199"/>
      <c r="N800" s="193" t="s">
        <v>227</v>
      </c>
      <c r="O800" s="193" t="s">
        <v>206</v>
      </c>
      <c r="P800" s="193" t="s">
        <v>244</v>
      </c>
      <c r="Q800" s="207"/>
      <c r="R800" s="208" t="s">
        <v>228</v>
      </c>
      <c r="S800" s="193" t="s">
        <v>46</v>
      </c>
      <c r="T800" s="193" t="s">
        <v>1351</v>
      </c>
      <c r="U800" s="193" t="s">
        <v>1352</v>
      </c>
      <c r="V800" s="193" t="s">
        <v>155</v>
      </c>
      <c r="W800" s="193" t="s">
        <v>203</v>
      </c>
      <c r="X800" s="193" t="s">
        <v>252</v>
      </c>
      <c r="Y800" s="200">
        <v>3.0</v>
      </c>
      <c r="Z800" s="202" t="s">
        <v>233</v>
      </c>
      <c r="AA800" s="202" t="s">
        <v>234</v>
      </c>
      <c r="AB800" s="221"/>
      <c r="AC800" s="203">
        <v>5635000.0</v>
      </c>
      <c r="AD800" s="204">
        <v>46382.0</v>
      </c>
      <c r="AE800" s="204">
        <v>46080.0</v>
      </c>
      <c r="AF800" s="205"/>
      <c r="AG800" s="219"/>
      <c r="AH800" s="219"/>
      <c r="AI800" s="219"/>
      <c r="AJ800" s="219"/>
      <c r="AK800" s="219"/>
      <c r="AL800" s="219"/>
      <c r="AM800" s="219"/>
      <c r="AN800" s="219"/>
      <c r="AO800" s="219"/>
    </row>
    <row r="801">
      <c r="A801" s="193">
        <v>23440.0</v>
      </c>
      <c r="B801" s="232" t="s">
        <v>264</v>
      </c>
      <c r="C801" s="193">
        <v>2026.0</v>
      </c>
      <c r="D801" s="199"/>
      <c r="E801" s="199"/>
      <c r="F801" s="199"/>
      <c r="G801" s="248"/>
      <c r="H801" s="199"/>
      <c r="I801" s="235"/>
      <c r="J801" s="199"/>
      <c r="K801" s="193" t="s">
        <v>206</v>
      </c>
      <c r="L801" s="232" t="s">
        <v>146</v>
      </c>
      <c r="M801" s="199"/>
      <c r="N801" s="193" t="s">
        <v>227</v>
      </c>
      <c r="O801" s="193" t="s">
        <v>206</v>
      </c>
      <c r="P801" s="193" t="s">
        <v>244</v>
      </c>
      <c r="Q801" s="199"/>
      <c r="R801" s="193" t="s">
        <v>228</v>
      </c>
      <c r="S801" s="193" t="s">
        <v>46</v>
      </c>
      <c r="T801" s="193" t="s">
        <v>1351</v>
      </c>
      <c r="U801" s="193" t="s">
        <v>1353</v>
      </c>
      <c r="V801" s="193" t="s">
        <v>155</v>
      </c>
      <c r="W801" s="193" t="s">
        <v>203</v>
      </c>
      <c r="X801" s="193" t="s">
        <v>252</v>
      </c>
      <c r="Y801" s="200">
        <v>3.0</v>
      </c>
      <c r="Z801" s="202" t="s">
        <v>233</v>
      </c>
      <c r="AA801" s="202" t="s">
        <v>234</v>
      </c>
      <c r="AB801" s="221"/>
      <c r="AC801" s="203">
        <v>5635000.0</v>
      </c>
      <c r="AD801" s="204">
        <v>46382.0</v>
      </c>
      <c r="AE801" s="204">
        <v>46080.0</v>
      </c>
      <c r="AF801" s="226" t="s">
        <v>1354</v>
      </c>
      <c r="AG801" s="219"/>
      <c r="AH801" s="219"/>
      <c r="AI801" s="219"/>
      <c r="AJ801" s="219"/>
      <c r="AK801" s="219"/>
      <c r="AL801" s="219"/>
      <c r="AM801" s="219"/>
      <c r="AN801" s="219"/>
      <c r="AO801" s="219"/>
    </row>
    <row r="802">
      <c r="A802" s="193">
        <v>23460.0</v>
      </c>
      <c r="B802" s="232" t="s">
        <v>264</v>
      </c>
      <c r="C802" s="193">
        <v>2026.0</v>
      </c>
      <c r="D802" s="199"/>
      <c r="E802" s="199"/>
      <c r="F802" s="199"/>
      <c r="G802" s="248"/>
      <c r="H802" s="199"/>
      <c r="I802" s="220"/>
      <c r="J802" s="199"/>
      <c r="K802" s="193" t="s">
        <v>206</v>
      </c>
      <c r="L802" s="232" t="s">
        <v>146</v>
      </c>
      <c r="M802" s="199"/>
      <c r="N802" s="193" t="s">
        <v>227</v>
      </c>
      <c r="O802" s="193" t="s">
        <v>206</v>
      </c>
      <c r="P802" s="193" t="s">
        <v>244</v>
      </c>
      <c r="Q802" s="199"/>
      <c r="R802" s="193" t="s">
        <v>228</v>
      </c>
      <c r="S802" s="193" t="s">
        <v>46</v>
      </c>
      <c r="T802" s="193" t="s">
        <v>1351</v>
      </c>
      <c r="U802" s="193" t="s">
        <v>1355</v>
      </c>
      <c r="V802" s="193" t="s">
        <v>155</v>
      </c>
      <c r="W802" s="193" t="s">
        <v>203</v>
      </c>
      <c r="X802" s="193" t="s">
        <v>252</v>
      </c>
      <c r="Y802" s="200">
        <v>3.0</v>
      </c>
      <c r="Z802" s="202" t="s">
        <v>233</v>
      </c>
      <c r="AA802" s="202" t="s">
        <v>234</v>
      </c>
      <c r="AB802" s="221"/>
      <c r="AC802" s="203">
        <v>5635000.0</v>
      </c>
      <c r="AD802" s="204">
        <v>46382.0</v>
      </c>
      <c r="AE802" s="204">
        <v>46080.0</v>
      </c>
      <c r="AF802" s="226" t="s">
        <v>1356</v>
      </c>
      <c r="AG802" s="219"/>
      <c r="AH802" s="219"/>
      <c r="AI802" s="219"/>
      <c r="AJ802" s="219"/>
      <c r="AK802" s="219"/>
      <c r="AL802" s="219"/>
      <c r="AM802" s="219"/>
      <c r="AN802" s="219"/>
      <c r="AO802" s="219"/>
    </row>
    <row r="803">
      <c r="A803" s="193">
        <v>23480.0</v>
      </c>
      <c r="B803" s="232" t="s">
        <v>264</v>
      </c>
      <c r="C803" s="193">
        <v>2026.0</v>
      </c>
      <c r="D803" s="199"/>
      <c r="E803" s="199"/>
      <c r="F803" s="199"/>
      <c r="G803" s="248"/>
      <c r="H803" s="199"/>
      <c r="I803" s="220"/>
      <c r="J803" s="199"/>
      <c r="K803" s="193" t="s">
        <v>206</v>
      </c>
      <c r="L803" s="232" t="s">
        <v>146</v>
      </c>
      <c r="M803" s="199"/>
      <c r="N803" s="193" t="s">
        <v>227</v>
      </c>
      <c r="O803" s="193" t="s">
        <v>206</v>
      </c>
      <c r="P803" s="193" t="s">
        <v>244</v>
      </c>
      <c r="Q803" s="199"/>
      <c r="R803" s="193" t="s">
        <v>228</v>
      </c>
      <c r="S803" s="193" t="s">
        <v>46</v>
      </c>
      <c r="T803" s="193" t="s">
        <v>1351</v>
      </c>
      <c r="U803" s="193" t="s">
        <v>1357</v>
      </c>
      <c r="V803" s="193" t="s">
        <v>155</v>
      </c>
      <c r="W803" s="193" t="s">
        <v>203</v>
      </c>
      <c r="X803" s="193" t="s">
        <v>252</v>
      </c>
      <c r="Y803" s="200">
        <v>3.0</v>
      </c>
      <c r="Z803" s="202" t="s">
        <v>233</v>
      </c>
      <c r="AA803" s="202" t="s">
        <v>234</v>
      </c>
      <c r="AB803" s="221"/>
      <c r="AC803" s="203">
        <v>5635000.0</v>
      </c>
      <c r="AD803" s="204">
        <v>46382.0</v>
      </c>
      <c r="AE803" s="204">
        <v>46080.0</v>
      </c>
      <c r="AF803" s="226" t="s">
        <v>1358</v>
      </c>
      <c r="AG803" s="219"/>
      <c r="AH803" s="219"/>
      <c r="AI803" s="219"/>
      <c r="AJ803" s="219"/>
      <c r="AK803" s="219"/>
      <c r="AL803" s="219"/>
      <c r="AM803" s="219"/>
      <c r="AN803" s="219"/>
      <c r="AO803" s="219"/>
    </row>
    <row r="804">
      <c r="A804" s="193">
        <v>23500.0</v>
      </c>
      <c r="B804" s="194" t="s">
        <v>203</v>
      </c>
      <c r="C804" s="193">
        <v>2026.0</v>
      </c>
      <c r="D804" s="195">
        <v>2048.0</v>
      </c>
      <c r="E804" s="199"/>
      <c r="F804" s="193" t="s">
        <v>204</v>
      </c>
      <c r="G804" s="230">
        <v>46265.0</v>
      </c>
      <c r="H804" s="193">
        <v>13250.0</v>
      </c>
      <c r="I804" s="223">
        <v>46265.0</v>
      </c>
      <c r="J804" s="193" t="s">
        <v>262</v>
      </c>
      <c r="K804" s="193" t="s">
        <v>206</v>
      </c>
      <c r="L804" s="194" t="s">
        <v>144</v>
      </c>
      <c r="M804" s="199"/>
      <c r="N804" s="193" t="s">
        <v>475</v>
      </c>
      <c r="O804" s="193" t="s">
        <v>206</v>
      </c>
      <c r="P804" s="193" t="s">
        <v>206</v>
      </c>
      <c r="Q804" s="207"/>
      <c r="R804" s="208" t="s">
        <v>279</v>
      </c>
      <c r="S804" s="193" t="s">
        <v>50</v>
      </c>
      <c r="T804" s="193" t="s">
        <v>522</v>
      </c>
      <c r="U804" s="193" t="s">
        <v>1359</v>
      </c>
      <c r="V804" s="193" t="s">
        <v>524</v>
      </c>
      <c r="W804" s="193" t="s">
        <v>264</v>
      </c>
      <c r="X804" s="193" t="s">
        <v>232</v>
      </c>
      <c r="Y804" s="200">
        <v>3.0</v>
      </c>
      <c r="Z804" s="202" t="s">
        <v>214</v>
      </c>
      <c r="AA804" s="202" t="s">
        <v>215</v>
      </c>
      <c r="AB804" s="203">
        <v>917912.27</v>
      </c>
      <c r="AC804" s="203">
        <v>917912.27</v>
      </c>
      <c r="AD804" s="204">
        <v>46229.0</v>
      </c>
      <c r="AE804" s="204">
        <v>46291.0</v>
      </c>
      <c r="AF804" s="205"/>
      <c r="AG804" s="219"/>
      <c r="AH804" s="219"/>
      <c r="AI804" s="219"/>
      <c r="AJ804" s="219"/>
      <c r="AK804" s="219"/>
      <c r="AL804" s="219"/>
      <c r="AM804" s="219"/>
      <c r="AN804" s="219"/>
      <c r="AO804" s="219"/>
    </row>
    <row r="805">
      <c r="A805" s="193">
        <v>23520.0</v>
      </c>
      <c r="B805" s="232" t="s">
        <v>264</v>
      </c>
      <c r="C805" s="193">
        <v>2026.0</v>
      </c>
      <c r="D805" s="199"/>
      <c r="E805" s="199"/>
      <c r="F805" s="199"/>
      <c r="G805" s="248"/>
      <c r="H805" s="199"/>
      <c r="I805" s="220"/>
      <c r="J805" s="199"/>
      <c r="K805" s="193" t="s">
        <v>206</v>
      </c>
      <c r="L805" s="232" t="s">
        <v>146</v>
      </c>
      <c r="M805" s="199"/>
      <c r="N805" s="193" t="s">
        <v>227</v>
      </c>
      <c r="O805" s="193" t="s">
        <v>206</v>
      </c>
      <c r="P805" s="193" t="s">
        <v>244</v>
      </c>
      <c r="Q805" s="207"/>
      <c r="R805" s="208" t="s">
        <v>228</v>
      </c>
      <c r="S805" s="193" t="s">
        <v>46</v>
      </c>
      <c r="T805" s="193" t="s">
        <v>229</v>
      </c>
      <c r="U805" s="193" t="s">
        <v>1360</v>
      </c>
      <c r="V805" s="193" t="s">
        <v>155</v>
      </c>
      <c r="W805" s="193" t="s">
        <v>203</v>
      </c>
      <c r="X805" s="193" t="s">
        <v>232</v>
      </c>
      <c r="Y805" s="200">
        <v>3.0</v>
      </c>
      <c r="Z805" s="202" t="s">
        <v>233</v>
      </c>
      <c r="AA805" s="202" t="s">
        <v>234</v>
      </c>
      <c r="AB805" s="221"/>
      <c r="AC805" s="203">
        <v>3500000.0</v>
      </c>
      <c r="AD805" s="204">
        <v>46168.0</v>
      </c>
      <c r="AE805" s="204">
        <v>46229.0</v>
      </c>
      <c r="AF805" s="205"/>
      <c r="AG805" s="219"/>
      <c r="AH805" s="219"/>
      <c r="AI805" s="219"/>
      <c r="AJ805" s="219"/>
      <c r="AK805" s="219"/>
      <c r="AL805" s="219"/>
      <c r="AM805" s="219"/>
      <c r="AN805" s="219"/>
      <c r="AO805" s="219"/>
    </row>
    <row r="806">
      <c r="A806" s="193">
        <v>23540.0</v>
      </c>
      <c r="B806" s="194" t="s">
        <v>203</v>
      </c>
      <c r="C806" s="193">
        <v>2026.0</v>
      </c>
      <c r="D806" s="195">
        <v>2048.0</v>
      </c>
      <c r="E806" s="199"/>
      <c r="F806" s="193" t="s">
        <v>204</v>
      </c>
      <c r="G806" s="230">
        <v>46192.0</v>
      </c>
      <c r="H806" s="193">
        <v>480.0</v>
      </c>
      <c r="I806" s="223">
        <v>46195.0</v>
      </c>
      <c r="J806" s="193" t="s">
        <v>595</v>
      </c>
      <c r="K806" s="193" t="s">
        <v>206</v>
      </c>
      <c r="L806" s="194" t="s">
        <v>144</v>
      </c>
      <c r="M806" s="199"/>
      <c r="N806" s="193" t="s">
        <v>227</v>
      </c>
      <c r="O806" s="193" t="s">
        <v>206</v>
      </c>
      <c r="P806" s="193" t="s">
        <v>244</v>
      </c>
      <c r="Q806" s="207"/>
      <c r="R806" s="208" t="s">
        <v>208</v>
      </c>
      <c r="S806" s="193" t="s">
        <v>39</v>
      </c>
      <c r="T806" s="193" t="s">
        <v>390</v>
      </c>
      <c r="U806" s="193" t="s">
        <v>1361</v>
      </c>
      <c r="V806" s="193" t="s">
        <v>155</v>
      </c>
      <c r="W806" s="193" t="s">
        <v>203</v>
      </c>
      <c r="X806" s="193" t="s">
        <v>252</v>
      </c>
      <c r="Y806" s="200">
        <v>3.0</v>
      </c>
      <c r="Z806" s="202" t="s">
        <v>214</v>
      </c>
      <c r="AA806" s="202" t="s">
        <v>234</v>
      </c>
      <c r="AB806" s="221"/>
      <c r="AC806" s="203">
        <v>8000000.0</v>
      </c>
      <c r="AD806" s="204">
        <v>46199.0</v>
      </c>
      <c r="AE806" s="204">
        <v>46321.0</v>
      </c>
      <c r="AF806" s="205"/>
      <c r="AG806" s="219"/>
      <c r="AH806" s="219"/>
      <c r="AI806" s="219"/>
      <c r="AJ806" s="219"/>
      <c r="AK806" s="219"/>
      <c r="AL806" s="219"/>
      <c r="AM806" s="219"/>
      <c r="AN806" s="219"/>
      <c r="AO806" s="219"/>
    </row>
    <row r="807">
      <c r="A807" s="193">
        <v>23560.0</v>
      </c>
      <c r="B807" s="232" t="s">
        <v>264</v>
      </c>
      <c r="C807" s="193">
        <v>2026.0</v>
      </c>
      <c r="D807" s="199"/>
      <c r="E807" s="199"/>
      <c r="F807" s="199"/>
      <c r="G807" s="248"/>
      <c r="H807" s="199"/>
      <c r="I807" s="220"/>
      <c r="J807" s="199"/>
      <c r="K807" s="193" t="s">
        <v>206</v>
      </c>
      <c r="L807" s="232" t="s">
        <v>146</v>
      </c>
      <c r="M807" s="199"/>
      <c r="N807" s="193" t="s">
        <v>227</v>
      </c>
      <c r="O807" s="193" t="s">
        <v>206</v>
      </c>
      <c r="P807" s="193" t="s">
        <v>244</v>
      </c>
      <c r="Q807" s="207"/>
      <c r="R807" s="208" t="s">
        <v>219</v>
      </c>
      <c r="S807" s="193" t="s">
        <v>43</v>
      </c>
      <c r="T807" s="193" t="s">
        <v>229</v>
      </c>
      <c r="U807" s="193" t="s">
        <v>1360</v>
      </c>
      <c r="V807" s="193" t="s">
        <v>155</v>
      </c>
      <c r="W807" s="193" t="s">
        <v>203</v>
      </c>
      <c r="X807" s="193" t="s">
        <v>232</v>
      </c>
      <c r="Y807" s="200">
        <v>3.0</v>
      </c>
      <c r="Z807" s="202" t="s">
        <v>233</v>
      </c>
      <c r="AA807" s="202" t="s">
        <v>234</v>
      </c>
      <c r="AB807" s="221"/>
      <c r="AC807" s="203">
        <v>3500000.0</v>
      </c>
      <c r="AD807" s="204">
        <v>46168.0</v>
      </c>
      <c r="AE807" s="204">
        <v>46229.0</v>
      </c>
      <c r="AF807" s="205"/>
      <c r="AG807" s="219"/>
      <c r="AH807" s="219"/>
      <c r="AI807" s="219"/>
      <c r="AJ807" s="219"/>
      <c r="AK807" s="219"/>
      <c r="AL807" s="219"/>
      <c r="AM807" s="219"/>
      <c r="AN807" s="219"/>
      <c r="AO807" s="219"/>
    </row>
    <row r="808">
      <c r="A808" s="193">
        <v>23580.0</v>
      </c>
      <c r="B808" s="232" t="s">
        <v>264</v>
      </c>
      <c r="C808" s="193">
        <v>2026.0</v>
      </c>
      <c r="D808" s="199"/>
      <c r="E808" s="199"/>
      <c r="F808" s="199"/>
      <c r="G808" s="248"/>
      <c r="H808" s="199"/>
      <c r="I808" s="220"/>
      <c r="J808" s="199"/>
      <c r="K808" s="193" t="s">
        <v>206</v>
      </c>
      <c r="L808" s="232" t="s">
        <v>146</v>
      </c>
      <c r="M808" s="199"/>
      <c r="N808" s="193" t="s">
        <v>337</v>
      </c>
      <c r="O808" s="193" t="s">
        <v>206</v>
      </c>
      <c r="P808" s="193" t="s">
        <v>206</v>
      </c>
      <c r="Q808" s="199"/>
      <c r="R808" s="193" t="s">
        <v>219</v>
      </c>
      <c r="S808" s="193" t="s">
        <v>44</v>
      </c>
      <c r="T808" s="193" t="s">
        <v>358</v>
      </c>
      <c r="U808" s="193" t="s">
        <v>581</v>
      </c>
      <c r="V808" s="193" t="s">
        <v>231</v>
      </c>
      <c r="W808" s="193" t="s">
        <v>212</v>
      </c>
      <c r="X808" s="193" t="s">
        <v>232</v>
      </c>
      <c r="Y808" s="200">
        <v>3.0</v>
      </c>
      <c r="Z808" s="202" t="s">
        <v>233</v>
      </c>
      <c r="AA808" s="202" t="s">
        <v>234</v>
      </c>
      <c r="AB808" s="221"/>
      <c r="AC808" s="203">
        <v>150000.0</v>
      </c>
      <c r="AD808" s="204">
        <v>46168.0</v>
      </c>
      <c r="AE808" s="204">
        <v>46229.0</v>
      </c>
      <c r="AF808" s="205"/>
      <c r="AG808" s="219"/>
      <c r="AH808" s="219"/>
      <c r="AI808" s="219"/>
      <c r="AJ808" s="219"/>
      <c r="AK808" s="219"/>
      <c r="AL808" s="219"/>
      <c r="AM808" s="219"/>
      <c r="AN808" s="219"/>
      <c r="AO808" s="219"/>
    </row>
    <row r="809">
      <c r="A809" s="193">
        <v>23600.0</v>
      </c>
      <c r="B809" s="232" t="s">
        <v>264</v>
      </c>
      <c r="C809" s="193">
        <v>2026.0</v>
      </c>
      <c r="D809" s="199"/>
      <c r="E809" s="199"/>
      <c r="F809" s="199"/>
      <c r="G809" s="248"/>
      <c r="H809" s="199"/>
      <c r="I809" s="220"/>
      <c r="J809" s="199"/>
      <c r="K809" s="193" t="s">
        <v>206</v>
      </c>
      <c r="L809" s="232" t="s">
        <v>146</v>
      </c>
      <c r="M809" s="199"/>
      <c r="N809" s="193" t="s">
        <v>227</v>
      </c>
      <c r="O809" s="193" t="s">
        <v>206</v>
      </c>
      <c r="P809" s="193" t="s">
        <v>206</v>
      </c>
      <c r="Q809" s="207"/>
      <c r="R809" s="208" t="s">
        <v>219</v>
      </c>
      <c r="S809" s="193" t="s">
        <v>44</v>
      </c>
      <c r="T809" s="193" t="s">
        <v>229</v>
      </c>
      <c r="U809" s="193" t="s">
        <v>581</v>
      </c>
      <c r="V809" s="193" t="s">
        <v>231</v>
      </c>
      <c r="W809" s="193" t="s">
        <v>212</v>
      </c>
      <c r="X809" s="193" t="s">
        <v>232</v>
      </c>
      <c r="Y809" s="200">
        <v>3.0</v>
      </c>
      <c r="Z809" s="202" t="s">
        <v>233</v>
      </c>
      <c r="AA809" s="202" t="s">
        <v>234</v>
      </c>
      <c r="AB809" s="221"/>
      <c r="AC809" s="203">
        <v>100000.0</v>
      </c>
      <c r="AD809" s="204">
        <v>46168.0</v>
      </c>
      <c r="AE809" s="204">
        <v>46229.0</v>
      </c>
      <c r="AF809" s="205"/>
      <c r="AG809" s="219"/>
      <c r="AH809" s="219"/>
      <c r="AI809" s="219"/>
      <c r="AJ809" s="219"/>
      <c r="AK809" s="219"/>
      <c r="AL809" s="219"/>
      <c r="AM809" s="219"/>
      <c r="AN809" s="219"/>
      <c r="AO809" s="219"/>
    </row>
    <row r="810">
      <c r="A810" s="193">
        <v>23620.0</v>
      </c>
      <c r="B810" s="232" t="s">
        <v>264</v>
      </c>
      <c r="C810" s="193">
        <v>2026.0</v>
      </c>
      <c r="D810" s="199"/>
      <c r="E810" s="199"/>
      <c r="F810" s="199"/>
      <c r="G810" s="248"/>
      <c r="H810" s="199"/>
      <c r="I810" s="220"/>
      <c r="J810" s="199"/>
      <c r="K810" s="193" t="s">
        <v>206</v>
      </c>
      <c r="L810" s="232" t="s">
        <v>146</v>
      </c>
      <c r="M810" s="199"/>
      <c r="N810" s="193" t="s">
        <v>227</v>
      </c>
      <c r="O810" s="193" t="s">
        <v>206</v>
      </c>
      <c r="P810" s="193" t="s">
        <v>206</v>
      </c>
      <c r="Q810" s="199"/>
      <c r="R810" s="193" t="s">
        <v>219</v>
      </c>
      <c r="S810" s="193" t="s">
        <v>44</v>
      </c>
      <c r="T810" s="193" t="s">
        <v>229</v>
      </c>
      <c r="U810" s="193" t="s">
        <v>1362</v>
      </c>
      <c r="V810" s="193" t="s">
        <v>231</v>
      </c>
      <c r="W810" s="193" t="s">
        <v>212</v>
      </c>
      <c r="X810" s="193" t="s">
        <v>232</v>
      </c>
      <c r="Y810" s="200">
        <v>3.0</v>
      </c>
      <c r="Z810" s="202" t="s">
        <v>233</v>
      </c>
      <c r="AA810" s="202" t="s">
        <v>234</v>
      </c>
      <c r="AB810" s="221"/>
      <c r="AC810" s="203">
        <v>250000.0</v>
      </c>
      <c r="AD810" s="204">
        <v>46168.0</v>
      </c>
      <c r="AE810" s="204">
        <v>46229.0</v>
      </c>
      <c r="AF810" s="226" t="s">
        <v>1363</v>
      </c>
      <c r="AG810" s="219"/>
      <c r="AH810" s="219"/>
      <c r="AI810" s="219"/>
      <c r="AJ810" s="219"/>
      <c r="AK810" s="219"/>
      <c r="AL810" s="219"/>
      <c r="AM810" s="219"/>
      <c r="AN810" s="219"/>
      <c r="AO810" s="219"/>
    </row>
    <row r="811">
      <c r="A811" s="193">
        <v>23640.0</v>
      </c>
      <c r="B811" s="232" t="s">
        <v>264</v>
      </c>
      <c r="C811" s="193">
        <v>2026.0</v>
      </c>
      <c r="D811" s="199"/>
      <c r="E811" s="199"/>
      <c r="F811" s="199"/>
      <c r="G811" s="235"/>
      <c r="H811" s="199"/>
      <c r="I811" s="220"/>
      <c r="J811" s="199"/>
      <c r="K811" s="193" t="s">
        <v>206</v>
      </c>
      <c r="L811" s="232" t="s">
        <v>146</v>
      </c>
      <c r="M811" s="199"/>
      <c r="N811" s="193" t="s">
        <v>227</v>
      </c>
      <c r="O811" s="193" t="s">
        <v>206</v>
      </c>
      <c r="P811" s="193" t="s">
        <v>244</v>
      </c>
      <c r="Q811" s="199"/>
      <c r="R811" s="193" t="s">
        <v>219</v>
      </c>
      <c r="S811" s="193" t="s">
        <v>45</v>
      </c>
      <c r="T811" s="193" t="s">
        <v>245</v>
      </c>
      <c r="U811" s="193" t="s">
        <v>738</v>
      </c>
      <c r="V811" s="193" t="s">
        <v>155</v>
      </c>
      <c r="W811" s="193" t="s">
        <v>203</v>
      </c>
      <c r="X811" s="193" t="s">
        <v>232</v>
      </c>
      <c r="Y811" s="200">
        <v>3.0</v>
      </c>
      <c r="Z811" s="202" t="s">
        <v>214</v>
      </c>
      <c r="AA811" s="202" t="s">
        <v>234</v>
      </c>
      <c r="AB811" s="221"/>
      <c r="AC811" s="203">
        <v>120000.0</v>
      </c>
      <c r="AD811" s="204">
        <v>46168.0</v>
      </c>
      <c r="AE811" s="204">
        <v>46168.0</v>
      </c>
      <c r="AF811" s="226" t="s">
        <v>1364</v>
      </c>
      <c r="AG811" s="219"/>
      <c r="AH811" s="219"/>
      <c r="AI811" s="219"/>
      <c r="AJ811" s="219"/>
      <c r="AK811" s="219"/>
      <c r="AL811" s="219"/>
      <c r="AM811" s="219"/>
      <c r="AN811" s="219"/>
      <c r="AO811" s="219"/>
    </row>
    <row r="812">
      <c r="A812" s="193">
        <v>23660.0</v>
      </c>
      <c r="B812" s="232" t="s">
        <v>264</v>
      </c>
      <c r="C812" s="193">
        <v>2026.0</v>
      </c>
      <c r="D812" s="199"/>
      <c r="E812" s="199"/>
      <c r="F812" s="199"/>
      <c r="G812" s="235"/>
      <c r="H812" s="199"/>
      <c r="I812" s="220"/>
      <c r="J812" s="199"/>
      <c r="K812" s="193" t="s">
        <v>206</v>
      </c>
      <c r="L812" s="232" t="s">
        <v>146</v>
      </c>
      <c r="M812" s="199"/>
      <c r="N812" s="193" t="s">
        <v>337</v>
      </c>
      <c r="O812" s="193" t="s">
        <v>206</v>
      </c>
      <c r="P812" s="193" t="s">
        <v>206</v>
      </c>
      <c r="Q812" s="199"/>
      <c r="R812" s="193" t="s">
        <v>269</v>
      </c>
      <c r="S812" s="193" t="s">
        <v>49</v>
      </c>
      <c r="T812" s="193" t="s">
        <v>358</v>
      </c>
      <c r="U812" s="193" t="s">
        <v>581</v>
      </c>
      <c r="V812" s="193" t="s">
        <v>231</v>
      </c>
      <c r="W812" s="193" t="s">
        <v>212</v>
      </c>
      <c r="X812" s="193" t="s">
        <v>232</v>
      </c>
      <c r="Y812" s="200">
        <v>3.0</v>
      </c>
      <c r="Z812" s="202" t="s">
        <v>233</v>
      </c>
      <c r="AA812" s="202" t="s">
        <v>234</v>
      </c>
      <c r="AB812" s="221"/>
      <c r="AC812" s="203">
        <v>30000.0</v>
      </c>
      <c r="AD812" s="204">
        <v>46168.0</v>
      </c>
      <c r="AE812" s="204">
        <v>46229.0</v>
      </c>
      <c r="AF812" s="226" t="s">
        <v>1364</v>
      </c>
      <c r="AG812" s="219"/>
      <c r="AH812" s="219"/>
      <c r="AI812" s="219"/>
      <c r="AJ812" s="219"/>
      <c r="AK812" s="219"/>
      <c r="AL812" s="219"/>
      <c r="AM812" s="219"/>
      <c r="AN812" s="219"/>
      <c r="AO812" s="219"/>
    </row>
    <row r="813">
      <c r="A813" s="193">
        <v>23680.0</v>
      </c>
      <c r="B813" s="232" t="s">
        <v>264</v>
      </c>
      <c r="C813" s="193">
        <v>2026.0</v>
      </c>
      <c r="D813" s="199"/>
      <c r="E813" s="199"/>
      <c r="F813" s="199"/>
      <c r="G813" s="233"/>
      <c r="H813" s="199"/>
      <c r="I813" s="220"/>
      <c r="J813" s="199"/>
      <c r="K813" s="193" t="s">
        <v>206</v>
      </c>
      <c r="L813" s="232" t="s">
        <v>146</v>
      </c>
      <c r="M813" s="199"/>
      <c r="N813" s="193" t="s">
        <v>227</v>
      </c>
      <c r="O813" s="193" t="s">
        <v>206</v>
      </c>
      <c r="P813" s="193" t="s">
        <v>206</v>
      </c>
      <c r="Q813" s="199"/>
      <c r="R813" s="193" t="s">
        <v>279</v>
      </c>
      <c r="S813" s="193" t="s">
        <v>50</v>
      </c>
      <c r="T813" s="193" t="s">
        <v>280</v>
      </c>
      <c r="U813" s="193" t="s">
        <v>1365</v>
      </c>
      <c r="V813" s="193" t="s">
        <v>50</v>
      </c>
      <c r="W813" s="193" t="s">
        <v>264</v>
      </c>
      <c r="X813" s="193" t="s">
        <v>232</v>
      </c>
      <c r="Y813" s="200">
        <v>3.0</v>
      </c>
      <c r="Z813" s="202" t="s">
        <v>233</v>
      </c>
      <c r="AA813" s="202" t="s">
        <v>234</v>
      </c>
      <c r="AB813" s="221"/>
      <c r="AC813" s="203">
        <v>1679899.79</v>
      </c>
      <c r="AD813" s="204">
        <v>46168.0</v>
      </c>
      <c r="AE813" s="204">
        <v>46229.0</v>
      </c>
      <c r="AF813" s="226" t="s">
        <v>1364</v>
      </c>
      <c r="AG813" s="219"/>
      <c r="AH813" s="219"/>
      <c r="AI813" s="219"/>
      <c r="AJ813" s="219"/>
      <c r="AK813" s="219"/>
      <c r="AL813" s="219"/>
      <c r="AM813" s="219"/>
      <c r="AN813" s="219"/>
      <c r="AO813" s="219"/>
    </row>
    <row r="814">
      <c r="A814" s="193">
        <v>23700.0</v>
      </c>
      <c r="B814" s="194" t="s">
        <v>203</v>
      </c>
      <c r="C814" s="193">
        <v>2026.0</v>
      </c>
      <c r="D814" s="193" t="s">
        <v>1366</v>
      </c>
      <c r="E814" s="199"/>
      <c r="F814" s="193" t="s">
        <v>272</v>
      </c>
      <c r="G814" s="233"/>
      <c r="H814" s="199"/>
      <c r="I814" s="233"/>
      <c r="J814" s="199"/>
      <c r="K814" s="193" t="s">
        <v>206</v>
      </c>
      <c r="L814" s="232" t="s">
        <v>146</v>
      </c>
      <c r="M814" s="199"/>
      <c r="N814" s="193" t="s">
        <v>207</v>
      </c>
      <c r="O814" s="193" t="s">
        <v>206</v>
      </c>
      <c r="P814" s="193" t="s">
        <v>206</v>
      </c>
      <c r="Q814" s="199"/>
      <c r="R814" s="193" t="s">
        <v>269</v>
      </c>
      <c r="S814" s="193" t="s">
        <v>49</v>
      </c>
      <c r="T814" s="193" t="s">
        <v>356</v>
      </c>
      <c r="U814" s="193" t="s">
        <v>1367</v>
      </c>
      <c r="V814" s="193" t="s">
        <v>290</v>
      </c>
      <c r="W814" s="193" t="s">
        <v>212</v>
      </c>
      <c r="X814" s="193" t="s">
        <v>252</v>
      </c>
      <c r="Y814" s="200">
        <v>3.0</v>
      </c>
      <c r="Z814" s="202" t="s">
        <v>214</v>
      </c>
      <c r="AA814" s="202" t="s">
        <v>215</v>
      </c>
      <c r="AB814" s="203" t="s">
        <v>275</v>
      </c>
      <c r="AC814" s="203" t="s">
        <v>275</v>
      </c>
      <c r="AD814" s="204">
        <v>46168.0</v>
      </c>
      <c r="AE814" s="204">
        <v>46291.0</v>
      </c>
      <c r="AF814" s="226" t="s">
        <v>1368</v>
      </c>
      <c r="AG814" s="219"/>
      <c r="AH814" s="219"/>
      <c r="AI814" s="219"/>
      <c r="AJ814" s="219"/>
      <c r="AK814" s="219"/>
      <c r="AL814" s="219"/>
      <c r="AM814" s="219"/>
      <c r="AN814" s="219"/>
      <c r="AO814" s="219"/>
    </row>
    <row r="815">
      <c r="A815" s="193">
        <v>23701.0</v>
      </c>
      <c r="B815" s="194" t="s">
        <v>203</v>
      </c>
      <c r="C815" s="193">
        <v>2026.0</v>
      </c>
      <c r="D815" s="193" t="s">
        <v>1366</v>
      </c>
      <c r="E815" s="199"/>
      <c r="F815" s="193" t="s">
        <v>204</v>
      </c>
      <c r="G815" s="198">
        <v>46090.0</v>
      </c>
      <c r="H815" s="193" t="s">
        <v>1369</v>
      </c>
      <c r="I815" s="198">
        <v>46093.0</v>
      </c>
      <c r="J815" s="193" t="s">
        <v>1370</v>
      </c>
      <c r="K815" s="193" t="s">
        <v>206</v>
      </c>
      <c r="L815" s="232" t="s">
        <v>146</v>
      </c>
      <c r="M815" s="199"/>
      <c r="N815" s="193" t="s">
        <v>207</v>
      </c>
      <c r="O815" s="193" t="s">
        <v>206</v>
      </c>
      <c r="P815" s="193" t="s">
        <v>206</v>
      </c>
      <c r="Q815" s="199"/>
      <c r="R815" s="193" t="s">
        <v>269</v>
      </c>
      <c r="S815" s="193" t="s">
        <v>49</v>
      </c>
      <c r="T815" s="193" t="s">
        <v>356</v>
      </c>
      <c r="U815" s="193" t="s">
        <v>1371</v>
      </c>
      <c r="V815" s="193" t="s">
        <v>290</v>
      </c>
      <c r="W815" s="193" t="s">
        <v>212</v>
      </c>
      <c r="X815" s="193" t="s">
        <v>252</v>
      </c>
      <c r="Y815" s="200">
        <v>3.0</v>
      </c>
      <c r="Z815" s="202" t="s">
        <v>214</v>
      </c>
      <c r="AA815" s="202" t="s">
        <v>215</v>
      </c>
      <c r="AB815" s="203">
        <v>1000000.0</v>
      </c>
      <c r="AC815" s="203">
        <v>1000000.0</v>
      </c>
      <c r="AD815" s="204">
        <v>46107.0</v>
      </c>
      <c r="AE815" s="204">
        <v>46291.0</v>
      </c>
      <c r="AF815" s="226" t="s">
        <v>1368</v>
      </c>
      <c r="AG815" s="219"/>
      <c r="AH815" s="219"/>
      <c r="AI815" s="219"/>
      <c r="AJ815" s="219"/>
      <c r="AK815" s="219"/>
      <c r="AL815" s="219"/>
      <c r="AM815" s="219"/>
      <c r="AN815" s="219"/>
      <c r="AO815" s="219"/>
    </row>
    <row r="816">
      <c r="A816" s="193">
        <v>23702.0</v>
      </c>
      <c r="B816" s="194" t="s">
        <v>203</v>
      </c>
      <c r="C816" s="193">
        <v>2026.0</v>
      </c>
      <c r="D816" s="193" t="s">
        <v>1366</v>
      </c>
      <c r="E816" s="199"/>
      <c r="F816" s="193" t="s">
        <v>204</v>
      </c>
      <c r="G816" s="198">
        <v>46111.0</v>
      </c>
      <c r="H816" s="193" t="s">
        <v>1372</v>
      </c>
      <c r="I816" s="198">
        <v>46111.0</v>
      </c>
      <c r="J816" s="193" t="s">
        <v>1370</v>
      </c>
      <c r="K816" s="193" t="s">
        <v>206</v>
      </c>
      <c r="L816" s="232" t="s">
        <v>146</v>
      </c>
      <c r="M816" s="199"/>
      <c r="N816" s="193" t="s">
        <v>207</v>
      </c>
      <c r="O816" s="193" t="s">
        <v>206</v>
      </c>
      <c r="P816" s="193" t="s">
        <v>206</v>
      </c>
      <c r="Q816" s="199"/>
      <c r="R816" s="193" t="s">
        <v>269</v>
      </c>
      <c r="S816" s="193" t="s">
        <v>49</v>
      </c>
      <c r="T816" s="193" t="s">
        <v>356</v>
      </c>
      <c r="U816" s="193" t="s">
        <v>1373</v>
      </c>
      <c r="V816" s="193" t="s">
        <v>290</v>
      </c>
      <c r="W816" s="193" t="s">
        <v>212</v>
      </c>
      <c r="X816" s="193" t="s">
        <v>252</v>
      </c>
      <c r="Y816" s="200">
        <v>3.0</v>
      </c>
      <c r="Z816" s="202" t="s">
        <v>214</v>
      </c>
      <c r="AA816" s="202" t="s">
        <v>215</v>
      </c>
      <c r="AB816" s="203">
        <v>1000000.0</v>
      </c>
      <c r="AC816" s="203">
        <v>1000000.0</v>
      </c>
      <c r="AD816" s="204">
        <v>46107.0</v>
      </c>
      <c r="AE816" s="204">
        <v>46291.0</v>
      </c>
      <c r="AF816" s="226" t="s">
        <v>1368</v>
      </c>
      <c r="AG816" s="219"/>
      <c r="AH816" s="219"/>
      <c r="AI816" s="219"/>
      <c r="AJ816" s="219"/>
      <c r="AK816" s="219"/>
      <c r="AL816" s="219"/>
      <c r="AM816" s="219"/>
      <c r="AN816" s="219"/>
      <c r="AO816" s="219"/>
    </row>
    <row r="817">
      <c r="A817" s="193">
        <v>23703.0</v>
      </c>
      <c r="B817" s="194" t="s">
        <v>203</v>
      </c>
      <c r="C817" s="193">
        <v>2026.0</v>
      </c>
      <c r="D817" s="193" t="s">
        <v>1366</v>
      </c>
      <c r="E817" s="193">
        <v>14.0</v>
      </c>
      <c r="F817" s="193" t="s">
        <v>204</v>
      </c>
      <c r="G817" s="297">
        <v>46282.0</v>
      </c>
      <c r="H817" s="193" t="s">
        <v>1374</v>
      </c>
      <c r="I817" s="297">
        <v>46282.0</v>
      </c>
      <c r="J817" s="252" t="s">
        <v>1370</v>
      </c>
      <c r="K817" s="193" t="s">
        <v>206</v>
      </c>
      <c r="L817" s="232" t="s">
        <v>146</v>
      </c>
      <c r="M817" s="199"/>
      <c r="N817" s="193" t="s">
        <v>207</v>
      </c>
      <c r="O817" s="193" t="s">
        <v>206</v>
      </c>
      <c r="P817" s="193" t="s">
        <v>206</v>
      </c>
      <c r="Q817" s="199"/>
      <c r="R817" s="193" t="s">
        <v>269</v>
      </c>
      <c r="S817" s="193" t="s">
        <v>49</v>
      </c>
      <c r="T817" s="193" t="s">
        <v>356</v>
      </c>
      <c r="U817" s="193" t="s">
        <v>1375</v>
      </c>
      <c r="V817" s="193" t="s">
        <v>290</v>
      </c>
      <c r="W817" s="193" t="s">
        <v>212</v>
      </c>
      <c r="X817" s="193" t="s">
        <v>252</v>
      </c>
      <c r="Y817" s="200">
        <v>3.0</v>
      </c>
      <c r="Z817" s="202" t="s">
        <v>214</v>
      </c>
      <c r="AA817" s="202" t="s">
        <v>215</v>
      </c>
      <c r="AB817" s="203">
        <v>4320125.0</v>
      </c>
      <c r="AC817" s="367">
        <v>4320125.0</v>
      </c>
      <c r="AD817" s="204">
        <v>46229.0</v>
      </c>
      <c r="AE817" s="204">
        <v>46353.0</v>
      </c>
      <c r="AF817" s="226" t="s">
        <v>1376</v>
      </c>
      <c r="AG817" s="219"/>
      <c r="AH817" s="219"/>
      <c r="AI817" s="219"/>
      <c r="AJ817" s="219"/>
      <c r="AK817" s="219"/>
      <c r="AL817" s="219"/>
      <c r="AM817" s="219"/>
      <c r="AN817" s="219"/>
      <c r="AO817" s="219"/>
    </row>
    <row r="818">
      <c r="A818" s="193">
        <v>23704.0</v>
      </c>
      <c r="B818" s="194" t="s">
        <v>203</v>
      </c>
      <c r="C818" s="193">
        <v>2026.0</v>
      </c>
      <c r="D818" s="193" t="s">
        <v>1366</v>
      </c>
      <c r="E818" s="193">
        <v>16.0</v>
      </c>
      <c r="F818" s="193" t="s">
        <v>204</v>
      </c>
      <c r="G818" s="297">
        <v>46282.0</v>
      </c>
      <c r="H818" s="193" t="s">
        <v>1374</v>
      </c>
      <c r="I818" s="297">
        <v>46282.0</v>
      </c>
      <c r="J818" s="252" t="s">
        <v>1370</v>
      </c>
      <c r="K818" s="193" t="s">
        <v>206</v>
      </c>
      <c r="L818" s="232" t="s">
        <v>146</v>
      </c>
      <c r="M818" s="199"/>
      <c r="N818" s="193" t="s">
        <v>207</v>
      </c>
      <c r="O818" s="193" t="s">
        <v>206</v>
      </c>
      <c r="P818" s="193" t="s">
        <v>206</v>
      </c>
      <c r="Q818" s="199"/>
      <c r="R818" s="193" t="s">
        <v>269</v>
      </c>
      <c r="S818" s="193" t="s">
        <v>49</v>
      </c>
      <c r="T818" s="193" t="s">
        <v>356</v>
      </c>
      <c r="U818" s="193" t="s">
        <v>1377</v>
      </c>
      <c r="V818" s="193" t="s">
        <v>290</v>
      </c>
      <c r="W818" s="193" t="s">
        <v>212</v>
      </c>
      <c r="X818" s="193" t="s">
        <v>252</v>
      </c>
      <c r="Y818" s="200">
        <v>3.0</v>
      </c>
      <c r="Z818" s="202" t="s">
        <v>214</v>
      </c>
      <c r="AA818" s="202" t="s">
        <v>215</v>
      </c>
      <c r="AB818" s="203">
        <v>7871994.0</v>
      </c>
      <c r="AC818" s="367">
        <v>7871994.0</v>
      </c>
      <c r="AD818" s="204">
        <v>46260.0</v>
      </c>
      <c r="AE818" s="204">
        <v>46049.0</v>
      </c>
      <c r="AF818" s="226" t="s">
        <v>1378</v>
      </c>
      <c r="AG818" s="219"/>
      <c r="AH818" s="219"/>
      <c r="AI818" s="219"/>
      <c r="AJ818" s="219"/>
      <c r="AK818" s="219"/>
      <c r="AL818" s="219"/>
      <c r="AM818" s="219"/>
      <c r="AN818" s="219"/>
      <c r="AO818" s="219"/>
    </row>
    <row r="819">
      <c r="A819" s="193">
        <v>23705.0</v>
      </c>
      <c r="B819" s="194" t="s">
        <v>203</v>
      </c>
      <c r="C819" s="193">
        <v>2026.0</v>
      </c>
      <c r="D819" s="193" t="s">
        <v>1366</v>
      </c>
      <c r="E819" s="193">
        <v>15.0</v>
      </c>
      <c r="F819" s="193" t="s">
        <v>1379</v>
      </c>
      <c r="G819" s="235"/>
      <c r="H819" s="199"/>
      <c r="I819" s="235"/>
      <c r="J819" s="199"/>
      <c r="K819" s="193" t="s">
        <v>206</v>
      </c>
      <c r="L819" s="232" t="s">
        <v>146</v>
      </c>
      <c r="M819" s="199"/>
      <c r="N819" s="193" t="s">
        <v>207</v>
      </c>
      <c r="O819" s="193" t="s">
        <v>206</v>
      </c>
      <c r="P819" s="193" t="s">
        <v>206</v>
      </c>
      <c r="Q819" s="199"/>
      <c r="R819" s="193" t="s">
        <v>269</v>
      </c>
      <c r="S819" s="193" t="s">
        <v>49</v>
      </c>
      <c r="T819" s="193" t="s">
        <v>356</v>
      </c>
      <c r="U819" s="193" t="s">
        <v>1380</v>
      </c>
      <c r="V819" s="193" t="s">
        <v>290</v>
      </c>
      <c r="W819" s="193" t="s">
        <v>212</v>
      </c>
      <c r="X819" s="193" t="s">
        <v>252</v>
      </c>
      <c r="Y819" s="200">
        <v>3.0</v>
      </c>
      <c r="Z819" s="202" t="s">
        <v>214</v>
      </c>
      <c r="AA819" s="202" t="s">
        <v>215</v>
      </c>
      <c r="AB819" s="203">
        <v>4320125.0</v>
      </c>
      <c r="AC819" s="203">
        <v>4320125.0</v>
      </c>
      <c r="AD819" s="204">
        <v>46049.0</v>
      </c>
      <c r="AE819" s="204">
        <v>46080.0</v>
      </c>
      <c r="AF819" s="226" t="s">
        <v>1381</v>
      </c>
      <c r="AG819" s="219"/>
      <c r="AH819" s="219"/>
      <c r="AI819" s="219"/>
      <c r="AJ819" s="219"/>
      <c r="AK819" s="219"/>
      <c r="AL819" s="219"/>
      <c r="AM819" s="219"/>
      <c r="AN819" s="219"/>
      <c r="AO819" s="219"/>
    </row>
    <row r="820">
      <c r="A820" s="193">
        <v>23706.0</v>
      </c>
      <c r="B820" s="194" t="s">
        <v>203</v>
      </c>
      <c r="C820" s="193">
        <v>2026.0</v>
      </c>
      <c r="D820" s="193" t="s">
        <v>1366</v>
      </c>
      <c r="E820" s="199"/>
      <c r="F820" s="193" t="s">
        <v>1379</v>
      </c>
      <c r="G820" s="235"/>
      <c r="H820" s="199"/>
      <c r="I820" s="235"/>
      <c r="J820" s="199"/>
      <c r="K820" s="193" t="s">
        <v>206</v>
      </c>
      <c r="L820" s="232" t="s">
        <v>146</v>
      </c>
      <c r="M820" s="199"/>
      <c r="N820" s="193" t="s">
        <v>207</v>
      </c>
      <c r="O820" s="193" t="s">
        <v>206</v>
      </c>
      <c r="P820" s="193" t="s">
        <v>206</v>
      </c>
      <c r="Q820" s="199"/>
      <c r="R820" s="193" t="s">
        <v>269</v>
      </c>
      <c r="S820" s="193" t="s">
        <v>49</v>
      </c>
      <c r="T820" s="193" t="s">
        <v>356</v>
      </c>
      <c r="U820" s="193" t="s">
        <v>1367</v>
      </c>
      <c r="V820" s="193" t="s">
        <v>290</v>
      </c>
      <c r="W820" s="193" t="s">
        <v>212</v>
      </c>
      <c r="X820" s="193" t="s">
        <v>252</v>
      </c>
      <c r="Y820" s="200">
        <v>3.0</v>
      </c>
      <c r="Z820" s="202" t="s">
        <v>214</v>
      </c>
      <c r="AA820" s="202" t="s">
        <v>215</v>
      </c>
      <c r="AB820" s="203">
        <v>1162155.0</v>
      </c>
      <c r="AC820" s="203">
        <v>1162155.0</v>
      </c>
      <c r="AD820" s="204">
        <v>46049.0</v>
      </c>
      <c r="AE820" s="204">
        <v>46108.0</v>
      </c>
      <c r="AF820" s="226" t="s">
        <v>1382</v>
      </c>
      <c r="AG820" s="219"/>
      <c r="AH820" s="219"/>
      <c r="AI820" s="219"/>
      <c r="AJ820" s="219"/>
      <c r="AK820" s="219"/>
      <c r="AL820" s="219"/>
      <c r="AM820" s="219"/>
      <c r="AN820" s="219"/>
      <c r="AO820" s="219"/>
    </row>
    <row r="821">
      <c r="A821" s="193">
        <v>23707.0</v>
      </c>
      <c r="B821" s="194" t="s">
        <v>203</v>
      </c>
      <c r="C821" s="193">
        <v>2026.0</v>
      </c>
      <c r="D821" s="193" t="s">
        <v>1366</v>
      </c>
      <c r="E821" s="199"/>
      <c r="F821" s="193" t="s">
        <v>1379</v>
      </c>
      <c r="G821" s="235"/>
      <c r="H821" s="199"/>
      <c r="I821" s="235"/>
      <c r="J821" s="199"/>
      <c r="K821" s="193" t="s">
        <v>206</v>
      </c>
      <c r="L821" s="232" t="s">
        <v>146</v>
      </c>
      <c r="M821" s="199"/>
      <c r="N821" s="193" t="s">
        <v>207</v>
      </c>
      <c r="O821" s="193" t="s">
        <v>206</v>
      </c>
      <c r="P821" s="193" t="s">
        <v>206</v>
      </c>
      <c r="Q821" s="199"/>
      <c r="R821" s="193" t="s">
        <v>269</v>
      </c>
      <c r="S821" s="193" t="s">
        <v>49</v>
      </c>
      <c r="T821" s="193" t="s">
        <v>356</v>
      </c>
      <c r="U821" s="193" t="s">
        <v>1367</v>
      </c>
      <c r="V821" s="193" t="s">
        <v>290</v>
      </c>
      <c r="W821" s="193" t="s">
        <v>212</v>
      </c>
      <c r="X821" s="193" t="s">
        <v>252</v>
      </c>
      <c r="Y821" s="200">
        <v>3.0</v>
      </c>
      <c r="Z821" s="202" t="s">
        <v>214</v>
      </c>
      <c r="AA821" s="202" t="s">
        <v>215</v>
      </c>
      <c r="AB821" s="203">
        <v>805600.0</v>
      </c>
      <c r="AC821" s="203">
        <v>805600.0</v>
      </c>
      <c r="AD821" s="204">
        <v>46049.0</v>
      </c>
      <c r="AE821" s="204">
        <v>46169.0</v>
      </c>
      <c r="AF821" s="226" t="s">
        <v>1382</v>
      </c>
      <c r="AG821" s="219"/>
      <c r="AH821" s="219"/>
      <c r="AI821" s="219"/>
      <c r="AJ821" s="219"/>
      <c r="AK821" s="219"/>
      <c r="AL821" s="219"/>
      <c r="AM821" s="219"/>
      <c r="AN821" s="219"/>
      <c r="AO821" s="219"/>
    </row>
    <row r="822">
      <c r="A822" s="193">
        <v>23720.0</v>
      </c>
      <c r="B822" s="232" t="s">
        <v>264</v>
      </c>
      <c r="C822" s="193">
        <v>2026.0</v>
      </c>
      <c r="D822" s="199"/>
      <c r="E822" s="199"/>
      <c r="F822" s="199"/>
      <c r="G822" s="248"/>
      <c r="H822" s="199"/>
      <c r="I822" s="233"/>
      <c r="J822" s="199"/>
      <c r="K822" s="193" t="s">
        <v>206</v>
      </c>
      <c r="L822" s="232" t="s">
        <v>146</v>
      </c>
      <c r="M822" s="199"/>
      <c r="N822" s="193" t="s">
        <v>207</v>
      </c>
      <c r="O822" s="193" t="s">
        <v>206</v>
      </c>
      <c r="P822" s="193" t="s">
        <v>206</v>
      </c>
      <c r="Q822" s="199"/>
      <c r="R822" s="193" t="s">
        <v>279</v>
      </c>
      <c r="S822" s="193" t="s">
        <v>50</v>
      </c>
      <c r="T822" s="193" t="s">
        <v>1383</v>
      </c>
      <c r="U822" s="193" t="s">
        <v>1384</v>
      </c>
      <c r="V822" s="193" t="s">
        <v>50</v>
      </c>
      <c r="W822" s="193" t="s">
        <v>264</v>
      </c>
      <c r="X822" s="193" t="s">
        <v>232</v>
      </c>
      <c r="Y822" s="200">
        <v>3.0</v>
      </c>
      <c r="Z822" s="202" t="s">
        <v>233</v>
      </c>
      <c r="AA822" s="202" t="s">
        <v>215</v>
      </c>
      <c r="AB822" s="203">
        <v>473775.67</v>
      </c>
      <c r="AC822" s="203">
        <v>473775.67</v>
      </c>
      <c r="AD822" s="204">
        <v>46199.0</v>
      </c>
      <c r="AE822" s="204">
        <v>46260.0</v>
      </c>
      <c r="AF822" s="205"/>
      <c r="AG822" s="219"/>
      <c r="AH822" s="219"/>
      <c r="AI822" s="219"/>
      <c r="AJ822" s="219"/>
      <c r="AK822" s="219"/>
      <c r="AL822" s="219"/>
      <c r="AM822" s="219"/>
      <c r="AN822" s="219"/>
      <c r="AO822" s="219"/>
    </row>
    <row r="823">
      <c r="A823" s="193">
        <v>23740.0</v>
      </c>
      <c r="B823" s="194" t="s">
        <v>203</v>
      </c>
      <c r="C823" s="193">
        <v>2026.0</v>
      </c>
      <c r="D823" s="195">
        <v>2048.0</v>
      </c>
      <c r="E823" s="193">
        <v>77.0</v>
      </c>
      <c r="F823" s="193" t="s">
        <v>272</v>
      </c>
      <c r="G823" s="248"/>
      <c r="H823" s="199"/>
      <c r="I823" s="235"/>
      <c r="J823" s="199"/>
      <c r="K823" s="193" t="s">
        <v>206</v>
      </c>
      <c r="L823" s="194" t="s">
        <v>144</v>
      </c>
      <c r="M823" s="199"/>
      <c r="N823" s="193" t="s">
        <v>227</v>
      </c>
      <c r="O823" s="193" t="s">
        <v>206</v>
      </c>
      <c r="P823" s="193" t="s">
        <v>244</v>
      </c>
      <c r="Q823" s="199"/>
      <c r="R823" s="193" t="s">
        <v>219</v>
      </c>
      <c r="S823" s="193" t="s">
        <v>45</v>
      </c>
      <c r="T823" s="193" t="s">
        <v>229</v>
      </c>
      <c r="U823" s="193" t="s">
        <v>1385</v>
      </c>
      <c r="V823" s="193" t="s">
        <v>155</v>
      </c>
      <c r="W823" s="193" t="s">
        <v>203</v>
      </c>
      <c r="X823" s="193" t="s">
        <v>232</v>
      </c>
      <c r="Y823" s="200">
        <v>3.0</v>
      </c>
      <c r="Z823" s="202" t="s">
        <v>233</v>
      </c>
      <c r="AA823" s="202" t="s">
        <v>234</v>
      </c>
      <c r="AB823" s="221"/>
      <c r="AC823" s="203" t="s">
        <v>275</v>
      </c>
      <c r="AD823" s="204">
        <v>46291.0</v>
      </c>
      <c r="AE823" s="204">
        <v>46382.0</v>
      </c>
      <c r="AF823" s="360" t="s">
        <v>435</v>
      </c>
      <c r="AG823" s="219"/>
      <c r="AH823" s="219"/>
      <c r="AI823" s="219"/>
      <c r="AJ823" s="219"/>
      <c r="AK823" s="219"/>
      <c r="AL823" s="219"/>
      <c r="AM823" s="219"/>
      <c r="AN823" s="219"/>
      <c r="AO823" s="219"/>
    </row>
    <row r="824">
      <c r="A824" s="193">
        <v>23760.0</v>
      </c>
      <c r="B824" s="232" t="s">
        <v>264</v>
      </c>
      <c r="C824" s="193">
        <v>2026.0</v>
      </c>
      <c r="D824" s="199"/>
      <c r="E824" s="199"/>
      <c r="F824" s="193" t="s">
        <v>272</v>
      </c>
      <c r="G824" s="248"/>
      <c r="H824" s="199"/>
      <c r="I824" s="235"/>
      <c r="J824" s="199"/>
      <c r="K824" s="193" t="s">
        <v>206</v>
      </c>
      <c r="L824" s="232" t="s">
        <v>146</v>
      </c>
      <c r="M824" s="199"/>
      <c r="N824" s="193" t="s">
        <v>207</v>
      </c>
      <c r="O824" s="193" t="s">
        <v>206</v>
      </c>
      <c r="P824" s="193" t="s">
        <v>206</v>
      </c>
      <c r="Q824" s="199"/>
      <c r="R824" s="193" t="s">
        <v>269</v>
      </c>
      <c r="S824" s="193" t="s">
        <v>49</v>
      </c>
      <c r="T824" s="193" t="s">
        <v>1386</v>
      </c>
      <c r="U824" s="193" t="s">
        <v>1387</v>
      </c>
      <c r="V824" s="193" t="s">
        <v>155</v>
      </c>
      <c r="W824" s="193" t="s">
        <v>203</v>
      </c>
      <c r="X824" s="193" t="s">
        <v>252</v>
      </c>
      <c r="Y824" s="200">
        <v>3.0</v>
      </c>
      <c r="Z824" s="202" t="s">
        <v>214</v>
      </c>
      <c r="AA824" s="202" t="s">
        <v>215</v>
      </c>
      <c r="AB824" s="203" t="s">
        <v>275</v>
      </c>
      <c r="AC824" s="203" t="s">
        <v>275</v>
      </c>
      <c r="AD824" s="204">
        <v>46199.0</v>
      </c>
      <c r="AE824" s="204">
        <v>46260.0</v>
      </c>
      <c r="AF824" s="226" t="s">
        <v>1388</v>
      </c>
      <c r="AG824" s="219"/>
      <c r="AH824" s="219"/>
      <c r="AI824" s="219"/>
      <c r="AJ824" s="219"/>
      <c r="AK824" s="219"/>
      <c r="AL824" s="219"/>
      <c r="AM824" s="219"/>
      <c r="AN824" s="219"/>
      <c r="AO824" s="219"/>
    </row>
    <row r="825">
      <c r="A825" s="193">
        <v>23761.0</v>
      </c>
      <c r="B825" s="194" t="s">
        <v>203</v>
      </c>
      <c r="C825" s="193">
        <v>2026.0</v>
      </c>
      <c r="D825" s="193" t="s">
        <v>636</v>
      </c>
      <c r="E825" s="199"/>
      <c r="F825" s="193" t="s">
        <v>204</v>
      </c>
      <c r="G825" s="230">
        <v>46157.0</v>
      </c>
      <c r="H825" s="193">
        <v>406.0</v>
      </c>
      <c r="I825" s="215">
        <v>46154.0</v>
      </c>
      <c r="J825" s="193" t="s">
        <v>997</v>
      </c>
      <c r="K825" s="193" t="s">
        <v>206</v>
      </c>
      <c r="L825" s="232" t="s">
        <v>146</v>
      </c>
      <c r="M825" s="199"/>
      <c r="N825" s="193" t="s">
        <v>207</v>
      </c>
      <c r="O825" s="193" t="s">
        <v>206</v>
      </c>
      <c r="P825" s="193" t="s">
        <v>206</v>
      </c>
      <c r="Q825" s="199"/>
      <c r="R825" s="193" t="s">
        <v>269</v>
      </c>
      <c r="S825" s="193" t="s">
        <v>49</v>
      </c>
      <c r="T825" s="193" t="s">
        <v>1389</v>
      </c>
      <c r="U825" s="193" t="s">
        <v>1387</v>
      </c>
      <c r="V825" s="193" t="s">
        <v>155</v>
      </c>
      <c r="W825" s="193" t="s">
        <v>203</v>
      </c>
      <c r="X825" s="193" t="s">
        <v>252</v>
      </c>
      <c r="Y825" s="200">
        <v>3.0</v>
      </c>
      <c r="Z825" s="202" t="s">
        <v>214</v>
      </c>
      <c r="AA825" s="202" t="s">
        <v>215</v>
      </c>
      <c r="AB825" s="221"/>
      <c r="AC825" s="203">
        <v>1900000.0</v>
      </c>
      <c r="AD825" s="204">
        <v>46168.0</v>
      </c>
      <c r="AE825" s="204">
        <v>46260.0</v>
      </c>
      <c r="AF825" s="226" t="s">
        <v>1390</v>
      </c>
      <c r="AG825" s="219"/>
      <c r="AH825" s="219"/>
      <c r="AI825" s="219"/>
      <c r="AJ825" s="219"/>
      <c r="AK825" s="219"/>
      <c r="AL825" s="219"/>
      <c r="AM825" s="219"/>
      <c r="AN825" s="219"/>
      <c r="AO825" s="219"/>
    </row>
    <row r="826">
      <c r="A826" s="193">
        <v>23762.0</v>
      </c>
      <c r="B826" s="194" t="s">
        <v>203</v>
      </c>
      <c r="C826" s="193">
        <v>2026.0</v>
      </c>
      <c r="D826" s="193" t="s">
        <v>636</v>
      </c>
      <c r="E826" s="199"/>
      <c r="F826" s="193" t="s">
        <v>204</v>
      </c>
      <c r="G826" s="230">
        <v>46191.0</v>
      </c>
      <c r="H826" s="193">
        <v>430.0</v>
      </c>
      <c r="I826" s="215">
        <v>46191.0</v>
      </c>
      <c r="J826" s="193" t="s">
        <v>277</v>
      </c>
      <c r="K826" s="193" t="s">
        <v>206</v>
      </c>
      <c r="L826" s="232" t="s">
        <v>146</v>
      </c>
      <c r="M826" s="199"/>
      <c r="N826" s="193" t="s">
        <v>207</v>
      </c>
      <c r="O826" s="193" t="s">
        <v>206</v>
      </c>
      <c r="P826" s="193" t="s">
        <v>206</v>
      </c>
      <c r="Q826" s="199"/>
      <c r="R826" s="193" t="s">
        <v>269</v>
      </c>
      <c r="S826" s="193" t="s">
        <v>49</v>
      </c>
      <c r="T826" s="193" t="s">
        <v>1389</v>
      </c>
      <c r="U826" s="193" t="s">
        <v>1387</v>
      </c>
      <c r="V826" s="193" t="s">
        <v>155</v>
      </c>
      <c r="W826" s="193" t="s">
        <v>203</v>
      </c>
      <c r="X826" s="193" t="s">
        <v>252</v>
      </c>
      <c r="Y826" s="200">
        <v>3.0</v>
      </c>
      <c r="Z826" s="202" t="s">
        <v>233</v>
      </c>
      <c r="AA826" s="202" t="s">
        <v>215</v>
      </c>
      <c r="AB826" s="221"/>
      <c r="AC826" s="203">
        <v>600000.0</v>
      </c>
      <c r="AD826" s="204">
        <v>46199.0</v>
      </c>
      <c r="AE826" s="204">
        <v>46260.0</v>
      </c>
      <c r="AF826" s="226" t="s">
        <v>278</v>
      </c>
      <c r="AG826" s="219"/>
      <c r="AH826" s="219"/>
      <c r="AI826" s="219"/>
      <c r="AJ826" s="219"/>
      <c r="AK826" s="219"/>
      <c r="AL826" s="219"/>
      <c r="AM826" s="219"/>
      <c r="AN826" s="219"/>
      <c r="AO826" s="219"/>
    </row>
    <row r="827">
      <c r="A827" s="193">
        <v>23763.0</v>
      </c>
      <c r="B827" s="194" t="s">
        <v>203</v>
      </c>
      <c r="C827" s="193">
        <v>2026.0</v>
      </c>
      <c r="D827" s="193" t="s">
        <v>636</v>
      </c>
      <c r="E827" s="199"/>
      <c r="F827" s="193" t="s">
        <v>204</v>
      </c>
      <c r="G827" s="230">
        <v>46157.0</v>
      </c>
      <c r="H827" s="193">
        <v>406.0</v>
      </c>
      <c r="I827" s="215">
        <v>46154.0</v>
      </c>
      <c r="J827" s="193" t="s">
        <v>495</v>
      </c>
      <c r="K827" s="193" t="s">
        <v>206</v>
      </c>
      <c r="L827" s="194" t="s">
        <v>144</v>
      </c>
      <c r="M827" s="199"/>
      <c r="N827" s="193" t="s">
        <v>207</v>
      </c>
      <c r="O827" s="193" t="s">
        <v>206</v>
      </c>
      <c r="P827" s="193" t="s">
        <v>206</v>
      </c>
      <c r="Q827" s="199"/>
      <c r="R827" s="193" t="s">
        <v>269</v>
      </c>
      <c r="S827" s="193" t="s">
        <v>49</v>
      </c>
      <c r="T827" s="193" t="s">
        <v>356</v>
      </c>
      <c r="U827" s="193" t="s">
        <v>1387</v>
      </c>
      <c r="V827" s="193" t="s">
        <v>211</v>
      </c>
      <c r="W827" s="193" t="s">
        <v>212</v>
      </c>
      <c r="X827" s="193" t="s">
        <v>252</v>
      </c>
      <c r="Y827" s="200">
        <v>3.0</v>
      </c>
      <c r="Z827" s="202" t="s">
        <v>214</v>
      </c>
      <c r="AA827" s="202" t="s">
        <v>215</v>
      </c>
      <c r="AB827" s="221"/>
      <c r="AC827" s="203">
        <v>100000.0</v>
      </c>
      <c r="AD827" s="276">
        <v>46168.0</v>
      </c>
      <c r="AE827" s="204">
        <v>46260.0</v>
      </c>
      <c r="AF827" s="226" t="s">
        <v>1391</v>
      </c>
      <c r="AG827" s="219"/>
      <c r="AH827" s="219"/>
      <c r="AI827" s="219"/>
      <c r="AJ827" s="219"/>
      <c r="AK827" s="219"/>
      <c r="AL827" s="219"/>
      <c r="AM827" s="219"/>
      <c r="AN827" s="219"/>
      <c r="AO827" s="219"/>
    </row>
    <row r="828">
      <c r="A828" s="193">
        <v>23780.0</v>
      </c>
      <c r="B828" s="232" t="s">
        <v>264</v>
      </c>
      <c r="C828" s="193">
        <v>2026.0</v>
      </c>
      <c r="D828" s="199"/>
      <c r="E828" s="199"/>
      <c r="F828" s="199"/>
      <c r="G828" s="248"/>
      <c r="H828" s="199"/>
      <c r="I828" s="233"/>
      <c r="J828" s="199"/>
      <c r="K828" s="193" t="s">
        <v>206</v>
      </c>
      <c r="L828" s="232" t="s">
        <v>146</v>
      </c>
      <c r="M828" s="199"/>
      <c r="N828" s="193" t="s">
        <v>207</v>
      </c>
      <c r="O828" s="193" t="s">
        <v>206</v>
      </c>
      <c r="P828" s="193" t="s">
        <v>206</v>
      </c>
      <c r="Q828" s="207"/>
      <c r="R828" s="208" t="s">
        <v>219</v>
      </c>
      <c r="S828" s="193" t="s">
        <v>43</v>
      </c>
      <c r="T828" s="193" t="s">
        <v>1392</v>
      </c>
      <c r="U828" s="193" t="s">
        <v>1393</v>
      </c>
      <c r="V828" s="193" t="s">
        <v>290</v>
      </c>
      <c r="W828" s="193" t="s">
        <v>212</v>
      </c>
      <c r="X828" s="193" t="s">
        <v>252</v>
      </c>
      <c r="Y828" s="200">
        <v>3.0</v>
      </c>
      <c r="Z828" s="202" t="s">
        <v>214</v>
      </c>
      <c r="AA828" s="202" t="s">
        <v>215</v>
      </c>
      <c r="AB828" s="203">
        <v>750000.0</v>
      </c>
      <c r="AC828" s="203">
        <v>750000.0</v>
      </c>
      <c r="AD828" s="204">
        <v>46199.0</v>
      </c>
      <c r="AE828" s="204">
        <v>46260.0</v>
      </c>
      <c r="AF828" s="205"/>
      <c r="AG828" s="219"/>
      <c r="AH828" s="219"/>
      <c r="AI828" s="219"/>
      <c r="AJ828" s="219"/>
      <c r="AK828" s="219"/>
      <c r="AL828" s="219"/>
      <c r="AM828" s="219"/>
      <c r="AN828" s="219"/>
      <c r="AO828" s="219"/>
    </row>
    <row r="829">
      <c r="A829" s="193">
        <v>23800.0</v>
      </c>
      <c r="B829" s="232" t="s">
        <v>264</v>
      </c>
      <c r="C829" s="193">
        <v>2026.0</v>
      </c>
      <c r="D829" s="199"/>
      <c r="E829" s="199"/>
      <c r="F829" s="199"/>
      <c r="G829" s="248"/>
      <c r="H829" s="199"/>
      <c r="I829" s="233"/>
      <c r="J829" s="199"/>
      <c r="K829" s="193" t="s">
        <v>206</v>
      </c>
      <c r="L829" s="232" t="s">
        <v>146</v>
      </c>
      <c r="M829" s="199"/>
      <c r="N829" s="193" t="s">
        <v>475</v>
      </c>
      <c r="O829" s="193" t="s">
        <v>206</v>
      </c>
      <c r="P829" s="193" t="s">
        <v>206</v>
      </c>
      <c r="Q829" s="199"/>
      <c r="R829" s="193" t="s">
        <v>279</v>
      </c>
      <c r="S829" s="193" t="s">
        <v>50</v>
      </c>
      <c r="T829" s="193" t="s">
        <v>1394</v>
      </c>
      <c r="U829" s="193" t="s">
        <v>1395</v>
      </c>
      <c r="V829" s="193" t="s">
        <v>50</v>
      </c>
      <c r="W829" s="193" t="s">
        <v>264</v>
      </c>
      <c r="X829" s="193" t="s">
        <v>252</v>
      </c>
      <c r="Y829" s="200">
        <v>3.0</v>
      </c>
      <c r="Z829" s="202" t="s">
        <v>214</v>
      </c>
      <c r="AA829" s="202" t="s">
        <v>215</v>
      </c>
      <c r="AB829" s="203">
        <v>56160.0</v>
      </c>
      <c r="AC829" s="203">
        <v>56160.0</v>
      </c>
      <c r="AD829" s="204">
        <v>46199.0</v>
      </c>
      <c r="AE829" s="204">
        <v>46260.0</v>
      </c>
      <c r="AF829" s="205"/>
      <c r="AG829" s="219"/>
      <c r="AH829" s="219"/>
      <c r="AI829" s="219"/>
      <c r="AJ829" s="219"/>
      <c r="AK829" s="219"/>
      <c r="AL829" s="219"/>
      <c r="AM829" s="219"/>
      <c r="AN829" s="219"/>
      <c r="AO829" s="219"/>
    </row>
    <row r="830">
      <c r="A830" s="193">
        <v>23820.0</v>
      </c>
      <c r="B830" s="232" t="s">
        <v>264</v>
      </c>
      <c r="C830" s="193">
        <v>2026.0</v>
      </c>
      <c r="D830" s="199"/>
      <c r="E830" s="199"/>
      <c r="F830" s="199"/>
      <c r="G830" s="248"/>
      <c r="H830" s="199"/>
      <c r="I830" s="235"/>
      <c r="J830" s="199"/>
      <c r="K830" s="193" t="s">
        <v>206</v>
      </c>
      <c r="L830" s="232" t="s">
        <v>146</v>
      </c>
      <c r="M830" s="199"/>
      <c r="N830" s="193" t="s">
        <v>475</v>
      </c>
      <c r="O830" s="193" t="s">
        <v>206</v>
      </c>
      <c r="P830" s="193" t="s">
        <v>206</v>
      </c>
      <c r="Q830" s="199"/>
      <c r="R830" s="193" t="s">
        <v>279</v>
      </c>
      <c r="S830" s="193" t="s">
        <v>50</v>
      </c>
      <c r="T830" s="193" t="s">
        <v>1394</v>
      </c>
      <c r="U830" s="193" t="s">
        <v>1396</v>
      </c>
      <c r="V830" s="193" t="s">
        <v>50</v>
      </c>
      <c r="W830" s="193" t="s">
        <v>264</v>
      </c>
      <c r="X830" s="193" t="s">
        <v>252</v>
      </c>
      <c r="Y830" s="200">
        <v>3.0</v>
      </c>
      <c r="Z830" s="202" t="s">
        <v>214</v>
      </c>
      <c r="AA830" s="202" t="s">
        <v>215</v>
      </c>
      <c r="AB830" s="203">
        <v>1080.0</v>
      </c>
      <c r="AC830" s="203">
        <v>1080.0</v>
      </c>
      <c r="AD830" s="204">
        <v>46199.0</v>
      </c>
      <c r="AE830" s="204">
        <v>46260.0</v>
      </c>
      <c r="AF830" s="205"/>
      <c r="AG830" s="219"/>
      <c r="AH830" s="219"/>
      <c r="AI830" s="219"/>
      <c r="AJ830" s="219"/>
      <c r="AK830" s="219"/>
      <c r="AL830" s="219"/>
      <c r="AM830" s="219"/>
      <c r="AN830" s="219"/>
      <c r="AO830" s="219"/>
    </row>
    <row r="831">
      <c r="A831" s="193">
        <v>23840.0</v>
      </c>
      <c r="B831" s="232" t="s">
        <v>264</v>
      </c>
      <c r="C831" s="193">
        <v>2026.0</v>
      </c>
      <c r="D831" s="199"/>
      <c r="E831" s="199"/>
      <c r="F831" s="199"/>
      <c r="G831" s="248"/>
      <c r="H831" s="199"/>
      <c r="I831" s="235"/>
      <c r="J831" s="199"/>
      <c r="K831" s="193" t="s">
        <v>206</v>
      </c>
      <c r="L831" s="232" t="s">
        <v>146</v>
      </c>
      <c r="M831" s="199"/>
      <c r="N831" s="193" t="s">
        <v>475</v>
      </c>
      <c r="O831" s="193" t="s">
        <v>206</v>
      </c>
      <c r="P831" s="193" t="s">
        <v>206</v>
      </c>
      <c r="Q831" s="199"/>
      <c r="R831" s="193" t="s">
        <v>279</v>
      </c>
      <c r="S831" s="193" t="s">
        <v>50</v>
      </c>
      <c r="T831" s="193" t="s">
        <v>1394</v>
      </c>
      <c r="U831" s="193" t="s">
        <v>1397</v>
      </c>
      <c r="V831" s="193" t="s">
        <v>50</v>
      </c>
      <c r="W831" s="193" t="s">
        <v>264</v>
      </c>
      <c r="X831" s="193" t="s">
        <v>252</v>
      </c>
      <c r="Y831" s="200">
        <v>3.0</v>
      </c>
      <c r="Z831" s="202" t="s">
        <v>214</v>
      </c>
      <c r="AA831" s="202" t="s">
        <v>215</v>
      </c>
      <c r="AB831" s="203">
        <v>1080.0</v>
      </c>
      <c r="AC831" s="203">
        <v>1080.0</v>
      </c>
      <c r="AD831" s="204">
        <v>46199.0</v>
      </c>
      <c r="AE831" s="204">
        <v>46260.0</v>
      </c>
      <c r="AF831" s="205"/>
      <c r="AG831" s="219"/>
      <c r="AH831" s="219"/>
      <c r="AI831" s="219"/>
      <c r="AJ831" s="219"/>
      <c r="AK831" s="219"/>
      <c r="AL831" s="219"/>
      <c r="AM831" s="219"/>
      <c r="AN831" s="219"/>
      <c r="AO831" s="219"/>
    </row>
    <row r="832">
      <c r="A832" s="193">
        <v>23860.0</v>
      </c>
      <c r="B832" s="232" t="s">
        <v>264</v>
      </c>
      <c r="C832" s="193">
        <v>2026.0</v>
      </c>
      <c r="D832" s="199"/>
      <c r="E832" s="199"/>
      <c r="F832" s="199"/>
      <c r="G832" s="248"/>
      <c r="H832" s="199"/>
      <c r="I832" s="233"/>
      <c r="J832" s="199"/>
      <c r="K832" s="193" t="s">
        <v>206</v>
      </c>
      <c r="L832" s="232" t="s">
        <v>146</v>
      </c>
      <c r="M832" s="199"/>
      <c r="N832" s="193" t="s">
        <v>475</v>
      </c>
      <c r="O832" s="193" t="s">
        <v>206</v>
      </c>
      <c r="P832" s="193" t="s">
        <v>206</v>
      </c>
      <c r="Q832" s="199"/>
      <c r="R832" s="193" t="s">
        <v>279</v>
      </c>
      <c r="S832" s="193" t="s">
        <v>50</v>
      </c>
      <c r="T832" s="193" t="s">
        <v>1394</v>
      </c>
      <c r="U832" s="193" t="s">
        <v>1399</v>
      </c>
      <c r="V832" s="193" t="s">
        <v>50</v>
      </c>
      <c r="W832" s="193" t="s">
        <v>264</v>
      </c>
      <c r="X832" s="193" t="s">
        <v>252</v>
      </c>
      <c r="Y832" s="200">
        <v>3.0</v>
      </c>
      <c r="Z832" s="202" t="s">
        <v>214</v>
      </c>
      <c r="AA832" s="202" t="s">
        <v>215</v>
      </c>
      <c r="AB832" s="203">
        <v>1080.0</v>
      </c>
      <c r="AC832" s="203">
        <v>1080.0</v>
      </c>
      <c r="AD832" s="204">
        <v>46199.0</v>
      </c>
      <c r="AE832" s="204">
        <v>46260.0</v>
      </c>
      <c r="AF832" s="226" t="s">
        <v>379</v>
      </c>
      <c r="AG832" s="219"/>
      <c r="AH832" s="219"/>
      <c r="AI832" s="219"/>
      <c r="AJ832" s="219"/>
      <c r="AK832" s="219"/>
      <c r="AL832" s="219"/>
      <c r="AM832" s="219"/>
      <c r="AN832" s="219"/>
      <c r="AO832" s="219"/>
    </row>
    <row r="833">
      <c r="A833" s="193">
        <v>23880.0</v>
      </c>
      <c r="B833" s="232" t="s">
        <v>264</v>
      </c>
      <c r="C833" s="193">
        <v>2026.0</v>
      </c>
      <c r="D833" s="207"/>
      <c r="E833" s="199"/>
      <c r="F833" s="207"/>
      <c r="G833" s="248"/>
      <c r="H833" s="199"/>
      <c r="I833" s="233"/>
      <c r="J833" s="199"/>
      <c r="K833" s="193" t="s">
        <v>206</v>
      </c>
      <c r="L833" s="232" t="s">
        <v>146</v>
      </c>
      <c r="M833" s="199"/>
      <c r="N833" s="193" t="s">
        <v>207</v>
      </c>
      <c r="O833" s="193" t="s">
        <v>206</v>
      </c>
      <c r="P833" s="193" t="s">
        <v>206</v>
      </c>
      <c r="Q833" s="199"/>
      <c r="R833" s="193" t="s">
        <v>219</v>
      </c>
      <c r="S833" s="193" t="s">
        <v>44</v>
      </c>
      <c r="T833" s="193" t="s">
        <v>220</v>
      </c>
      <c r="U833" s="193" t="s">
        <v>1393</v>
      </c>
      <c r="V833" s="193" t="s">
        <v>290</v>
      </c>
      <c r="W833" s="193" t="s">
        <v>212</v>
      </c>
      <c r="X833" s="193" t="s">
        <v>252</v>
      </c>
      <c r="Y833" s="200">
        <v>3.0</v>
      </c>
      <c r="Z833" s="202" t="s">
        <v>214</v>
      </c>
      <c r="AA833" s="202" t="s">
        <v>215</v>
      </c>
      <c r="AB833" s="203">
        <v>750000.0</v>
      </c>
      <c r="AC833" s="203">
        <v>750000.0</v>
      </c>
      <c r="AD833" s="204">
        <v>46199.0</v>
      </c>
      <c r="AE833" s="204">
        <v>46260.0</v>
      </c>
      <c r="AF833" s="226" t="s">
        <v>379</v>
      </c>
      <c r="AG833" s="219"/>
      <c r="AH833" s="219"/>
      <c r="AI833" s="219"/>
      <c r="AJ833" s="219"/>
      <c r="AK833" s="219"/>
      <c r="AL833" s="219"/>
      <c r="AM833" s="219"/>
      <c r="AN833" s="219"/>
      <c r="AO833" s="219"/>
    </row>
    <row r="834">
      <c r="A834" s="193">
        <v>23900.0</v>
      </c>
      <c r="B834" s="194" t="s">
        <v>203</v>
      </c>
      <c r="C834" s="193">
        <v>2026.0</v>
      </c>
      <c r="D834" s="199"/>
      <c r="E834" s="199"/>
      <c r="F834" s="199"/>
      <c r="G834" s="248"/>
      <c r="H834" s="199"/>
      <c r="I834" s="233"/>
      <c r="J834" s="199"/>
      <c r="K834" s="193" t="s">
        <v>206</v>
      </c>
      <c r="L834" s="232" t="s">
        <v>146</v>
      </c>
      <c r="M834" s="199"/>
      <c r="N834" s="193" t="s">
        <v>227</v>
      </c>
      <c r="O834" s="193" t="s">
        <v>206</v>
      </c>
      <c r="P834" s="193" t="s">
        <v>206</v>
      </c>
      <c r="Q834" s="199"/>
      <c r="R834" s="193" t="s">
        <v>279</v>
      </c>
      <c r="S834" s="193" t="s">
        <v>50</v>
      </c>
      <c r="T834" s="193" t="s">
        <v>1400</v>
      </c>
      <c r="U834" s="193" t="s">
        <v>1401</v>
      </c>
      <c r="V834" s="193" t="s">
        <v>50</v>
      </c>
      <c r="W834" s="193" t="s">
        <v>264</v>
      </c>
      <c r="X834" s="193" t="s">
        <v>252</v>
      </c>
      <c r="Y834" s="200">
        <v>4.0</v>
      </c>
      <c r="Z834" s="202" t="s">
        <v>531</v>
      </c>
      <c r="AA834" s="202" t="s">
        <v>234</v>
      </c>
      <c r="AB834" s="221"/>
      <c r="AC834" s="203">
        <v>1.372047E7</v>
      </c>
      <c r="AD834" s="204">
        <v>46229.0</v>
      </c>
      <c r="AE834" s="204">
        <v>46291.0</v>
      </c>
      <c r="AF834" s="226" t="s">
        <v>379</v>
      </c>
      <c r="AG834" s="219"/>
      <c r="AH834" s="219"/>
      <c r="AI834" s="219"/>
      <c r="AJ834" s="219"/>
      <c r="AK834" s="219"/>
      <c r="AL834" s="219"/>
      <c r="AM834" s="219"/>
      <c r="AN834" s="219"/>
      <c r="AO834" s="219"/>
    </row>
    <row r="835">
      <c r="A835" s="193">
        <v>23920.0</v>
      </c>
      <c r="B835" s="194" t="s">
        <v>203</v>
      </c>
      <c r="C835" s="193">
        <v>2026.0</v>
      </c>
      <c r="D835" s="207"/>
      <c r="E835" s="193">
        <v>17.0</v>
      </c>
      <c r="F835" s="207"/>
      <c r="G835" s="248"/>
      <c r="H835" s="199"/>
      <c r="I835" s="233"/>
      <c r="J835" s="199"/>
      <c r="K835" s="193" t="s">
        <v>206</v>
      </c>
      <c r="L835" s="232" t="s">
        <v>146</v>
      </c>
      <c r="M835" s="199"/>
      <c r="N835" s="193" t="s">
        <v>227</v>
      </c>
      <c r="O835" s="193" t="s">
        <v>206</v>
      </c>
      <c r="P835" s="193" t="s">
        <v>244</v>
      </c>
      <c r="Q835" s="199"/>
      <c r="R835" s="193" t="s">
        <v>208</v>
      </c>
      <c r="S835" s="193" t="s">
        <v>39</v>
      </c>
      <c r="T835" s="193" t="s">
        <v>390</v>
      </c>
      <c r="U835" s="193" t="s">
        <v>1402</v>
      </c>
      <c r="V835" s="193" t="s">
        <v>155</v>
      </c>
      <c r="W835" s="193" t="s">
        <v>203</v>
      </c>
      <c r="X835" s="193" t="s">
        <v>252</v>
      </c>
      <c r="Y835" s="200">
        <v>3.0</v>
      </c>
      <c r="Z835" s="202" t="s">
        <v>214</v>
      </c>
      <c r="AA835" s="202" t="s">
        <v>234</v>
      </c>
      <c r="AB835" s="203">
        <v>929824.56</v>
      </c>
      <c r="AC835" s="203">
        <v>5300000.0</v>
      </c>
      <c r="AD835" s="204">
        <v>46260.0</v>
      </c>
      <c r="AE835" s="204">
        <v>46291.0</v>
      </c>
      <c r="AF835" s="369" t="s">
        <v>1403</v>
      </c>
      <c r="AG835" s="219"/>
      <c r="AH835" s="219"/>
      <c r="AI835" s="219"/>
      <c r="AJ835" s="219"/>
      <c r="AK835" s="219"/>
      <c r="AL835" s="219"/>
      <c r="AM835" s="219"/>
      <c r="AN835" s="219"/>
      <c r="AO835" s="219"/>
    </row>
    <row r="836">
      <c r="A836" s="193">
        <v>23921.0</v>
      </c>
      <c r="B836" s="194" t="s">
        <v>203</v>
      </c>
      <c r="C836" s="193">
        <v>2026.0</v>
      </c>
      <c r="D836" s="193" t="s">
        <v>1404</v>
      </c>
      <c r="E836" s="199"/>
      <c r="F836" s="208" t="s">
        <v>204</v>
      </c>
      <c r="G836" s="230">
        <v>46199.0</v>
      </c>
      <c r="H836" s="193">
        <v>514.0</v>
      </c>
      <c r="I836" s="215">
        <v>46199.0</v>
      </c>
      <c r="J836" s="193" t="s">
        <v>393</v>
      </c>
      <c r="K836" s="193" t="s">
        <v>206</v>
      </c>
      <c r="L836" s="232" t="s">
        <v>146</v>
      </c>
      <c r="M836" s="199"/>
      <c r="N836" s="193" t="s">
        <v>227</v>
      </c>
      <c r="O836" s="193" t="s">
        <v>206</v>
      </c>
      <c r="P836" s="193" t="s">
        <v>244</v>
      </c>
      <c r="Q836" s="199"/>
      <c r="R836" s="193" t="s">
        <v>312</v>
      </c>
      <c r="S836" s="193" t="s">
        <v>39</v>
      </c>
      <c r="T836" s="193" t="s">
        <v>390</v>
      </c>
      <c r="U836" s="193" t="s">
        <v>1402</v>
      </c>
      <c r="V836" s="193" t="s">
        <v>155</v>
      </c>
      <c r="W836" s="193" t="s">
        <v>203</v>
      </c>
      <c r="X836" s="193" t="s">
        <v>252</v>
      </c>
      <c r="Y836" s="200">
        <v>3.0</v>
      </c>
      <c r="Z836" s="202" t="s">
        <v>214</v>
      </c>
      <c r="AA836" s="202" t="s">
        <v>234</v>
      </c>
      <c r="AB836" s="221"/>
      <c r="AC836" s="203">
        <v>2700000.0</v>
      </c>
      <c r="AD836" s="204">
        <v>46199.0</v>
      </c>
      <c r="AE836" s="204">
        <v>46229.0</v>
      </c>
      <c r="AF836" s="226" t="s">
        <v>1405</v>
      </c>
      <c r="AG836" s="219"/>
      <c r="AH836" s="219"/>
      <c r="AI836" s="219"/>
      <c r="AJ836" s="219"/>
      <c r="AK836" s="219"/>
      <c r="AL836" s="219"/>
      <c r="AM836" s="219"/>
      <c r="AN836" s="219"/>
      <c r="AO836" s="219"/>
    </row>
    <row r="837">
      <c r="A837" s="193">
        <v>23940.0</v>
      </c>
      <c r="B837" s="194" t="s">
        <v>203</v>
      </c>
      <c r="C837" s="193">
        <v>2026.0</v>
      </c>
      <c r="D837" s="199"/>
      <c r="E837" s="193">
        <v>32.0</v>
      </c>
      <c r="F837" s="207"/>
      <c r="G837" s="235"/>
      <c r="H837" s="199"/>
      <c r="I837" s="233"/>
      <c r="J837" s="199"/>
      <c r="K837" s="193" t="s">
        <v>206</v>
      </c>
      <c r="L837" s="232" t="s">
        <v>146</v>
      </c>
      <c r="M837" s="199"/>
      <c r="N837" s="193" t="s">
        <v>227</v>
      </c>
      <c r="O837" s="193" t="s">
        <v>206</v>
      </c>
      <c r="P837" s="193" t="s">
        <v>244</v>
      </c>
      <c r="Q837" s="199"/>
      <c r="R837" s="193" t="s">
        <v>208</v>
      </c>
      <c r="S837" s="193" t="s">
        <v>39</v>
      </c>
      <c r="T837" s="193" t="s">
        <v>390</v>
      </c>
      <c r="U837" s="193" t="s">
        <v>1406</v>
      </c>
      <c r="V837" s="193" t="s">
        <v>155</v>
      </c>
      <c r="W837" s="193" t="s">
        <v>203</v>
      </c>
      <c r="X837" s="193" t="s">
        <v>252</v>
      </c>
      <c r="Y837" s="200">
        <v>3.0</v>
      </c>
      <c r="Z837" s="202" t="s">
        <v>214</v>
      </c>
      <c r="AA837" s="202" t="s">
        <v>234</v>
      </c>
      <c r="AB837" s="221"/>
      <c r="AC837" s="203">
        <v>8000000.0</v>
      </c>
      <c r="AD837" s="204">
        <v>46291.0</v>
      </c>
      <c r="AE837" s="204">
        <v>46321.0</v>
      </c>
      <c r="AF837" s="226" t="s">
        <v>1405</v>
      </c>
      <c r="AG837" s="219"/>
      <c r="AH837" s="219"/>
      <c r="AI837" s="219"/>
      <c r="AJ837" s="219"/>
      <c r="AK837" s="219"/>
      <c r="AL837" s="219"/>
      <c r="AM837" s="219"/>
      <c r="AN837" s="219"/>
      <c r="AO837" s="219"/>
    </row>
    <row r="838">
      <c r="A838" s="193">
        <v>23960.0</v>
      </c>
      <c r="B838" s="194" t="s">
        <v>203</v>
      </c>
      <c r="C838" s="193">
        <v>2026.0</v>
      </c>
      <c r="D838" s="195">
        <v>2048.0</v>
      </c>
      <c r="E838" s="193">
        <v>50.0</v>
      </c>
      <c r="F838" s="208" t="s">
        <v>293</v>
      </c>
      <c r="G838" s="199"/>
      <c r="H838" s="199"/>
      <c r="I838" s="233"/>
      <c r="J838" s="199"/>
      <c r="K838" s="243" t="s">
        <v>206</v>
      </c>
      <c r="L838" s="232" t="s">
        <v>146</v>
      </c>
      <c r="M838" s="199"/>
      <c r="N838" s="193" t="s">
        <v>227</v>
      </c>
      <c r="O838" s="193" t="s">
        <v>206</v>
      </c>
      <c r="P838" s="193" t="s">
        <v>244</v>
      </c>
      <c r="Q838" s="207"/>
      <c r="R838" s="208" t="s">
        <v>208</v>
      </c>
      <c r="S838" s="193" t="s">
        <v>39</v>
      </c>
      <c r="T838" s="227" t="s">
        <v>390</v>
      </c>
      <c r="U838" s="227" t="s">
        <v>1407</v>
      </c>
      <c r="V838" s="193" t="s">
        <v>155</v>
      </c>
      <c r="W838" s="193" t="s">
        <v>203</v>
      </c>
      <c r="X838" s="193" t="s">
        <v>252</v>
      </c>
      <c r="Y838" s="200">
        <v>3.0</v>
      </c>
      <c r="Z838" s="346" t="s">
        <v>214</v>
      </c>
      <c r="AA838" s="346" t="s">
        <v>234</v>
      </c>
      <c r="AB838" s="203">
        <v>1338217.66</v>
      </c>
      <c r="AC838" s="203">
        <v>7627840.66</v>
      </c>
      <c r="AD838" s="204">
        <v>46291.0</v>
      </c>
      <c r="AE838" s="204">
        <v>46321.0</v>
      </c>
      <c r="AF838" s="226" t="s">
        <v>1408</v>
      </c>
      <c r="AG838" s="219"/>
      <c r="AH838" s="219"/>
      <c r="AI838" s="219"/>
      <c r="AJ838" s="219"/>
      <c r="AK838" s="219"/>
      <c r="AL838" s="219"/>
      <c r="AM838" s="219"/>
      <c r="AN838" s="219"/>
      <c r="AO838" s="219"/>
    </row>
    <row r="839">
      <c r="A839" s="193">
        <v>23980.0</v>
      </c>
      <c r="B839" s="194" t="s">
        <v>203</v>
      </c>
      <c r="C839" s="193">
        <v>2026.0</v>
      </c>
      <c r="D839" s="195">
        <v>2048.0</v>
      </c>
      <c r="E839" s="193">
        <v>90.0</v>
      </c>
      <c r="F839" s="208" t="s">
        <v>293</v>
      </c>
      <c r="G839" s="248"/>
      <c r="H839" s="199"/>
      <c r="I839" s="233"/>
      <c r="J839" s="199"/>
      <c r="K839" s="243" t="s">
        <v>206</v>
      </c>
      <c r="L839" s="232" t="s">
        <v>146</v>
      </c>
      <c r="M839" s="199"/>
      <c r="N839" s="193" t="s">
        <v>227</v>
      </c>
      <c r="O839" s="193" t="s">
        <v>206</v>
      </c>
      <c r="P839" s="193" t="s">
        <v>244</v>
      </c>
      <c r="Q839" s="199"/>
      <c r="R839" s="193" t="s">
        <v>208</v>
      </c>
      <c r="S839" s="193" t="s">
        <v>39</v>
      </c>
      <c r="T839" s="193" t="s">
        <v>390</v>
      </c>
      <c r="U839" s="193" t="s">
        <v>1409</v>
      </c>
      <c r="V839" s="193" t="s">
        <v>155</v>
      </c>
      <c r="W839" s="193" t="s">
        <v>203</v>
      </c>
      <c r="X839" s="193" t="s">
        <v>252</v>
      </c>
      <c r="Y839" s="200">
        <v>3.0</v>
      </c>
      <c r="Z839" s="202" t="s">
        <v>214</v>
      </c>
      <c r="AA839" s="202" t="s">
        <v>234</v>
      </c>
      <c r="AB839" s="203">
        <v>1559392.62</v>
      </c>
      <c r="AC839" s="203">
        <v>8888537.93</v>
      </c>
      <c r="AD839" s="204">
        <v>46321.0</v>
      </c>
      <c r="AE839" s="204">
        <v>46352.0</v>
      </c>
      <c r="AF839" s="226" t="s">
        <v>1410</v>
      </c>
      <c r="AG839" s="219"/>
      <c r="AH839" s="219"/>
      <c r="AI839" s="219"/>
      <c r="AJ839" s="219"/>
      <c r="AK839" s="219"/>
      <c r="AL839" s="219"/>
      <c r="AM839" s="219"/>
      <c r="AN839" s="219"/>
      <c r="AO839" s="219"/>
    </row>
    <row r="840">
      <c r="A840" s="193">
        <v>24000.0</v>
      </c>
      <c r="B840" s="194" t="s">
        <v>203</v>
      </c>
      <c r="C840" s="193">
        <v>2026.0</v>
      </c>
      <c r="D840" s="199"/>
      <c r="E840" s="199"/>
      <c r="F840" s="199"/>
      <c r="G840" s="235"/>
      <c r="H840" s="199"/>
      <c r="I840" s="235"/>
      <c r="J840" s="199"/>
      <c r="K840" s="193" t="s">
        <v>206</v>
      </c>
      <c r="L840" s="232" t="s">
        <v>146</v>
      </c>
      <c r="M840" s="199"/>
      <c r="N840" s="193" t="s">
        <v>227</v>
      </c>
      <c r="O840" s="193" t="s">
        <v>206</v>
      </c>
      <c r="P840" s="193" t="s">
        <v>244</v>
      </c>
      <c r="Q840" s="199"/>
      <c r="R840" s="193" t="s">
        <v>208</v>
      </c>
      <c r="S840" s="193" t="s">
        <v>39</v>
      </c>
      <c r="T840" s="193" t="s">
        <v>390</v>
      </c>
      <c r="U840" s="193" t="s">
        <v>1411</v>
      </c>
      <c r="V840" s="193" t="s">
        <v>155</v>
      </c>
      <c r="W840" s="193" t="s">
        <v>203</v>
      </c>
      <c r="X840" s="193" t="s">
        <v>252</v>
      </c>
      <c r="Y840" s="200">
        <v>3.0</v>
      </c>
      <c r="Z840" s="202" t="s">
        <v>214</v>
      </c>
      <c r="AA840" s="202" t="s">
        <v>234</v>
      </c>
      <c r="AB840" s="221"/>
      <c r="AC840" s="203">
        <v>8000000.0</v>
      </c>
      <c r="AD840" s="204">
        <v>46321.0</v>
      </c>
      <c r="AE840" s="204">
        <v>46352.0</v>
      </c>
      <c r="AF840" s="205"/>
      <c r="AG840" s="219"/>
      <c r="AH840" s="219"/>
      <c r="AI840" s="219"/>
      <c r="AJ840" s="219"/>
      <c r="AK840" s="219"/>
      <c r="AL840" s="219"/>
      <c r="AM840" s="219"/>
      <c r="AN840" s="219"/>
      <c r="AO840" s="219"/>
    </row>
    <row r="841">
      <c r="A841" s="193">
        <v>24020.0</v>
      </c>
      <c r="B841" s="194" t="s">
        <v>203</v>
      </c>
      <c r="C841" s="193">
        <v>2026.0</v>
      </c>
      <c r="D841" s="199"/>
      <c r="E841" s="199"/>
      <c r="F841" s="199"/>
      <c r="G841" s="248"/>
      <c r="H841" s="199"/>
      <c r="I841" s="233"/>
      <c r="J841" s="199"/>
      <c r="K841" s="193" t="s">
        <v>206</v>
      </c>
      <c r="L841" s="232" t="s">
        <v>146</v>
      </c>
      <c r="M841" s="199"/>
      <c r="N841" s="193" t="s">
        <v>227</v>
      </c>
      <c r="O841" s="193" t="s">
        <v>206</v>
      </c>
      <c r="P841" s="193" t="s">
        <v>244</v>
      </c>
      <c r="Q841" s="199"/>
      <c r="R841" s="193" t="s">
        <v>208</v>
      </c>
      <c r="S841" s="193" t="s">
        <v>39</v>
      </c>
      <c r="T841" s="193" t="s">
        <v>390</v>
      </c>
      <c r="U841" s="193" t="s">
        <v>1412</v>
      </c>
      <c r="V841" s="193" t="s">
        <v>155</v>
      </c>
      <c r="W841" s="193" t="s">
        <v>203</v>
      </c>
      <c r="X841" s="193" t="s">
        <v>252</v>
      </c>
      <c r="Y841" s="200">
        <v>3.0</v>
      </c>
      <c r="Z841" s="202" t="s">
        <v>214</v>
      </c>
      <c r="AA841" s="202" t="s">
        <v>234</v>
      </c>
      <c r="AB841" s="221"/>
      <c r="AC841" s="203">
        <v>8000000.0</v>
      </c>
      <c r="AD841" s="204">
        <v>46352.0</v>
      </c>
      <c r="AE841" s="204">
        <v>46382.0</v>
      </c>
      <c r="AF841" s="205"/>
      <c r="AG841" s="219"/>
      <c r="AH841" s="219"/>
      <c r="AI841" s="219"/>
      <c r="AJ841" s="219"/>
      <c r="AK841" s="219"/>
      <c r="AL841" s="219"/>
      <c r="AM841" s="219"/>
      <c r="AN841" s="219"/>
      <c r="AO841" s="219"/>
    </row>
    <row r="842">
      <c r="A842" s="193">
        <v>24040.0</v>
      </c>
      <c r="B842" s="194" t="s">
        <v>203</v>
      </c>
      <c r="C842" s="193">
        <v>2026.0</v>
      </c>
      <c r="D842" s="195">
        <v>2048.0</v>
      </c>
      <c r="E842" s="199"/>
      <c r="F842" s="193" t="s">
        <v>204</v>
      </c>
      <c r="G842" s="230">
        <v>46192.0</v>
      </c>
      <c r="H842" s="193">
        <v>480.0</v>
      </c>
      <c r="I842" s="198">
        <v>46195.0</v>
      </c>
      <c r="J842" s="193" t="s">
        <v>595</v>
      </c>
      <c r="K842" s="193" t="s">
        <v>206</v>
      </c>
      <c r="L842" s="194" t="s">
        <v>144</v>
      </c>
      <c r="M842" s="199"/>
      <c r="N842" s="193" t="s">
        <v>227</v>
      </c>
      <c r="O842" s="193" t="s">
        <v>206</v>
      </c>
      <c r="P842" s="193" t="s">
        <v>244</v>
      </c>
      <c r="Q842" s="199"/>
      <c r="R842" s="193" t="s">
        <v>208</v>
      </c>
      <c r="S842" s="193" t="s">
        <v>39</v>
      </c>
      <c r="T842" s="193" t="s">
        <v>390</v>
      </c>
      <c r="U842" s="193" t="s">
        <v>1413</v>
      </c>
      <c r="V842" s="193" t="s">
        <v>155</v>
      </c>
      <c r="W842" s="193" t="s">
        <v>203</v>
      </c>
      <c r="X842" s="193" t="s">
        <v>252</v>
      </c>
      <c r="Y842" s="200">
        <v>3.0</v>
      </c>
      <c r="Z842" s="202" t="s">
        <v>214</v>
      </c>
      <c r="AA842" s="202" t="s">
        <v>234</v>
      </c>
      <c r="AB842" s="221"/>
      <c r="AC842" s="203">
        <v>8000000.0</v>
      </c>
      <c r="AD842" s="204">
        <v>46199.0</v>
      </c>
      <c r="AE842" s="204">
        <v>46321.0</v>
      </c>
      <c r="AF842" s="205"/>
      <c r="AG842" s="219"/>
      <c r="AH842" s="219"/>
      <c r="AI842" s="219"/>
      <c r="AJ842" s="219"/>
      <c r="AK842" s="219"/>
      <c r="AL842" s="219"/>
      <c r="AM842" s="219"/>
      <c r="AN842" s="219"/>
      <c r="AO842" s="219"/>
    </row>
    <row r="843">
      <c r="A843" s="193">
        <v>24060.0</v>
      </c>
      <c r="B843" s="194" t="s">
        <v>203</v>
      </c>
      <c r="C843" s="193">
        <v>2026.0</v>
      </c>
      <c r="D843" s="195">
        <v>2048.0</v>
      </c>
      <c r="E843" s="199"/>
      <c r="F843" s="208" t="s">
        <v>204</v>
      </c>
      <c r="G843" s="230">
        <v>46255.0</v>
      </c>
      <c r="H843" s="252">
        <v>12761.0</v>
      </c>
      <c r="I843" s="215">
        <v>46255.0</v>
      </c>
      <c r="J843" s="193" t="s">
        <v>595</v>
      </c>
      <c r="K843" s="193" t="s">
        <v>206</v>
      </c>
      <c r="L843" s="194" t="s">
        <v>144</v>
      </c>
      <c r="M843" s="199"/>
      <c r="N843" s="193" t="s">
        <v>227</v>
      </c>
      <c r="O843" s="193" t="s">
        <v>206</v>
      </c>
      <c r="P843" s="193" t="s">
        <v>244</v>
      </c>
      <c r="Q843" s="199"/>
      <c r="R843" s="193" t="s">
        <v>208</v>
      </c>
      <c r="S843" s="193" t="s">
        <v>39</v>
      </c>
      <c r="T843" s="193" t="s">
        <v>390</v>
      </c>
      <c r="U843" s="193" t="s">
        <v>1414</v>
      </c>
      <c r="V843" s="193" t="s">
        <v>155</v>
      </c>
      <c r="W843" s="193" t="s">
        <v>203</v>
      </c>
      <c r="X843" s="193" t="s">
        <v>252</v>
      </c>
      <c r="Y843" s="200">
        <v>3.0</v>
      </c>
      <c r="Z843" s="202" t="s">
        <v>214</v>
      </c>
      <c r="AA843" s="202" t="s">
        <v>234</v>
      </c>
      <c r="AB843" s="203">
        <v>1358934.57</v>
      </c>
      <c r="AC843" s="203">
        <v>7009928.1</v>
      </c>
      <c r="AD843" s="204">
        <v>46260.0</v>
      </c>
      <c r="AE843" s="204">
        <v>46291.0</v>
      </c>
      <c r="AF843" s="205"/>
      <c r="AG843" s="219"/>
      <c r="AH843" s="219"/>
      <c r="AI843" s="219"/>
      <c r="AJ843" s="219"/>
      <c r="AK843" s="219"/>
      <c r="AL843" s="219"/>
      <c r="AM843" s="219"/>
      <c r="AN843" s="219"/>
      <c r="AO843" s="219"/>
    </row>
    <row r="844">
      <c r="A844" s="193">
        <v>24061.0</v>
      </c>
      <c r="B844" s="194" t="s">
        <v>203</v>
      </c>
      <c r="C844" s="193">
        <v>2026.0</v>
      </c>
      <c r="D844" s="193" t="s">
        <v>730</v>
      </c>
      <c r="E844" s="248"/>
      <c r="F844" s="193" t="s">
        <v>204</v>
      </c>
      <c r="G844" s="230">
        <v>46241.0</v>
      </c>
      <c r="H844" s="193">
        <v>652.0</v>
      </c>
      <c r="I844" s="198">
        <v>46241.0</v>
      </c>
      <c r="J844" s="193" t="s">
        <v>1415</v>
      </c>
      <c r="K844" s="193" t="s">
        <v>206</v>
      </c>
      <c r="L844" s="194" t="s">
        <v>144</v>
      </c>
      <c r="M844" s="199"/>
      <c r="N844" s="193" t="s">
        <v>227</v>
      </c>
      <c r="O844" s="193" t="s">
        <v>206</v>
      </c>
      <c r="P844" s="193" t="s">
        <v>244</v>
      </c>
      <c r="Q844" s="199"/>
      <c r="R844" s="193" t="s">
        <v>733</v>
      </c>
      <c r="S844" s="193" t="s">
        <v>39</v>
      </c>
      <c r="T844" s="193" t="s">
        <v>390</v>
      </c>
      <c r="U844" s="193" t="s">
        <v>1414</v>
      </c>
      <c r="V844" s="193" t="s">
        <v>155</v>
      </c>
      <c r="W844" s="193" t="s">
        <v>203</v>
      </c>
      <c r="X844" s="193" t="s">
        <v>252</v>
      </c>
      <c r="Y844" s="200">
        <v>3.0</v>
      </c>
      <c r="Z844" s="202" t="s">
        <v>214</v>
      </c>
      <c r="AA844" s="202" t="s">
        <v>234</v>
      </c>
      <c r="AB844" s="221"/>
      <c r="AC844" s="203">
        <v>254072.91</v>
      </c>
      <c r="AD844" s="204">
        <v>46260.0</v>
      </c>
      <c r="AE844" s="204">
        <v>46291.0</v>
      </c>
      <c r="AF844" s="205"/>
      <c r="AG844" s="219"/>
      <c r="AH844" s="219"/>
      <c r="AI844" s="219"/>
      <c r="AJ844" s="219"/>
      <c r="AK844" s="219"/>
      <c r="AL844" s="219"/>
      <c r="AM844" s="219"/>
      <c r="AN844" s="219"/>
      <c r="AO844" s="219"/>
    </row>
    <row r="845">
      <c r="A845" s="193">
        <v>24080.0</v>
      </c>
      <c r="B845" s="194" t="s">
        <v>203</v>
      </c>
      <c r="C845" s="193">
        <v>2026.0</v>
      </c>
      <c r="D845" s="199"/>
      <c r="E845" s="248"/>
      <c r="F845" s="199"/>
      <c r="G845" s="248"/>
      <c r="H845" s="199"/>
      <c r="I845" s="233"/>
      <c r="J845" s="199"/>
      <c r="K845" s="193" t="s">
        <v>206</v>
      </c>
      <c r="L845" s="232" t="s">
        <v>146</v>
      </c>
      <c r="M845" s="199"/>
      <c r="N845" s="193" t="s">
        <v>227</v>
      </c>
      <c r="O845" s="193" t="s">
        <v>206</v>
      </c>
      <c r="P845" s="193" t="s">
        <v>244</v>
      </c>
      <c r="Q845" s="199"/>
      <c r="R845" s="193" t="s">
        <v>208</v>
      </c>
      <c r="S845" s="193" t="s">
        <v>39</v>
      </c>
      <c r="T845" s="193" t="s">
        <v>390</v>
      </c>
      <c r="U845" s="193" t="s">
        <v>1416</v>
      </c>
      <c r="V845" s="193" t="s">
        <v>155</v>
      </c>
      <c r="W845" s="193" t="s">
        <v>203</v>
      </c>
      <c r="X845" s="193" t="s">
        <v>252</v>
      </c>
      <c r="Y845" s="200">
        <v>3.0</v>
      </c>
      <c r="Z845" s="202" t="s">
        <v>214</v>
      </c>
      <c r="AA845" s="202" t="s">
        <v>234</v>
      </c>
      <c r="AB845" s="221"/>
      <c r="AC845" s="203">
        <v>8000000.0</v>
      </c>
      <c r="AD845" s="204">
        <v>46352.0</v>
      </c>
      <c r="AE845" s="204">
        <v>46382.0</v>
      </c>
      <c r="AF845" s="205"/>
      <c r="AG845" s="219"/>
      <c r="AH845" s="219"/>
      <c r="AI845" s="219"/>
      <c r="AJ845" s="219"/>
      <c r="AK845" s="219"/>
      <c r="AL845" s="219"/>
      <c r="AM845" s="219"/>
      <c r="AN845" s="219"/>
      <c r="AO845" s="219"/>
    </row>
    <row r="846">
      <c r="A846" s="193">
        <v>24100.0</v>
      </c>
      <c r="B846" s="232" t="s">
        <v>264</v>
      </c>
      <c r="C846" s="193">
        <v>2026.0</v>
      </c>
      <c r="D846" s="199"/>
      <c r="E846" s="248"/>
      <c r="F846" s="199"/>
      <c r="G846" s="248"/>
      <c r="H846" s="199"/>
      <c r="I846" s="233"/>
      <c r="J846" s="199"/>
      <c r="K846" s="193" t="s">
        <v>206</v>
      </c>
      <c r="L846" s="232" t="s">
        <v>146</v>
      </c>
      <c r="M846" s="199"/>
      <c r="N846" s="193" t="s">
        <v>337</v>
      </c>
      <c r="O846" s="193" t="s">
        <v>206</v>
      </c>
      <c r="P846" s="193" t="s">
        <v>206</v>
      </c>
      <c r="Q846" s="199"/>
      <c r="R846" s="193" t="s">
        <v>219</v>
      </c>
      <c r="S846" s="193" t="s">
        <v>44</v>
      </c>
      <c r="T846" s="193" t="s">
        <v>358</v>
      </c>
      <c r="U846" s="193" t="s">
        <v>364</v>
      </c>
      <c r="V846" s="193" t="s">
        <v>231</v>
      </c>
      <c r="W846" s="193" t="s">
        <v>212</v>
      </c>
      <c r="X846" s="193" t="s">
        <v>232</v>
      </c>
      <c r="Y846" s="200">
        <v>3.0</v>
      </c>
      <c r="Z846" s="202" t="s">
        <v>233</v>
      </c>
      <c r="AA846" s="202" t="s">
        <v>234</v>
      </c>
      <c r="AB846" s="221"/>
      <c r="AC846" s="203">
        <v>150000.0</v>
      </c>
      <c r="AD846" s="204">
        <v>46229.0</v>
      </c>
      <c r="AE846" s="204">
        <v>46291.0</v>
      </c>
      <c r="AF846" s="205"/>
      <c r="AG846" s="219"/>
      <c r="AH846" s="219"/>
      <c r="AI846" s="219"/>
      <c r="AJ846" s="219"/>
      <c r="AK846" s="219"/>
      <c r="AL846" s="219"/>
      <c r="AM846" s="219"/>
      <c r="AN846" s="219"/>
      <c r="AO846" s="219"/>
    </row>
    <row r="847">
      <c r="A847" s="193">
        <v>24120.0</v>
      </c>
      <c r="B847" s="232" t="s">
        <v>264</v>
      </c>
      <c r="C847" s="193">
        <v>2026.0</v>
      </c>
      <c r="D847" s="199"/>
      <c r="E847" s="199"/>
      <c r="F847" s="199"/>
      <c r="G847" s="248"/>
      <c r="H847" s="199"/>
      <c r="I847" s="233"/>
      <c r="J847" s="199"/>
      <c r="K847" s="193" t="s">
        <v>206</v>
      </c>
      <c r="L847" s="232" t="s">
        <v>146</v>
      </c>
      <c r="M847" s="199"/>
      <c r="N847" s="193" t="s">
        <v>227</v>
      </c>
      <c r="O847" s="193" t="s">
        <v>206</v>
      </c>
      <c r="P847" s="193" t="s">
        <v>206</v>
      </c>
      <c r="Q847" s="199"/>
      <c r="R847" s="193" t="s">
        <v>219</v>
      </c>
      <c r="S847" s="193" t="s">
        <v>44</v>
      </c>
      <c r="T847" s="193" t="s">
        <v>229</v>
      </c>
      <c r="U847" s="193" t="s">
        <v>364</v>
      </c>
      <c r="V847" s="193" t="s">
        <v>231</v>
      </c>
      <c r="W847" s="193" t="s">
        <v>212</v>
      </c>
      <c r="X847" s="193" t="s">
        <v>232</v>
      </c>
      <c r="Y847" s="200">
        <v>3.0</v>
      </c>
      <c r="Z847" s="202" t="s">
        <v>233</v>
      </c>
      <c r="AA847" s="202" t="s">
        <v>234</v>
      </c>
      <c r="AB847" s="221"/>
      <c r="AC847" s="203">
        <v>100000.0</v>
      </c>
      <c r="AD847" s="204">
        <v>46229.0</v>
      </c>
      <c r="AE847" s="204">
        <v>46291.0</v>
      </c>
      <c r="AF847" s="226" t="s">
        <v>379</v>
      </c>
      <c r="AG847" s="219"/>
      <c r="AH847" s="219"/>
      <c r="AI847" s="219"/>
      <c r="AJ847" s="219"/>
      <c r="AK847" s="219"/>
      <c r="AL847" s="219"/>
      <c r="AM847" s="219"/>
      <c r="AN847" s="219"/>
      <c r="AO847" s="219"/>
    </row>
    <row r="848">
      <c r="A848" s="193">
        <v>24140.0</v>
      </c>
      <c r="B848" s="232" t="s">
        <v>264</v>
      </c>
      <c r="C848" s="193">
        <v>2026.0</v>
      </c>
      <c r="D848" s="199"/>
      <c r="E848" s="199"/>
      <c r="F848" s="199"/>
      <c r="G848" s="248"/>
      <c r="H848" s="199"/>
      <c r="I848" s="233"/>
      <c r="J848" s="199"/>
      <c r="K848" s="193" t="s">
        <v>206</v>
      </c>
      <c r="L848" s="232" t="s">
        <v>146</v>
      </c>
      <c r="M848" s="199"/>
      <c r="N848" s="193" t="s">
        <v>227</v>
      </c>
      <c r="O848" s="193" t="s">
        <v>206</v>
      </c>
      <c r="P848" s="193" t="s">
        <v>206</v>
      </c>
      <c r="Q848" s="199"/>
      <c r="R848" s="193" t="s">
        <v>219</v>
      </c>
      <c r="S848" s="193" t="s">
        <v>44</v>
      </c>
      <c r="T848" s="193" t="s">
        <v>229</v>
      </c>
      <c r="U848" s="193" t="s">
        <v>1417</v>
      </c>
      <c r="V848" s="193" t="s">
        <v>231</v>
      </c>
      <c r="W848" s="193" t="s">
        <v>212</v>
      </c>
      <c r="X848" s="193" t="s">
        <v>232</v>
      </c>
      <c r="Y848" s="200">
        <v>3.0</v>
      </c>
      <c r="Z848" s="202" t="s">
        <v>233</v>
      </c>
      <c r="AA848" s="202" t="s">
        <v>234</v>
      </c>
      <c r="AB848" s="221"/>
      <c r="AC848" s="203">
        <v>250000.0</v>
      </c>
      <c r="AD848" s="204">
        <v>46229.0</v>
      </c>
      <c r="AE848" s="204">
        <v>46291.0</v>
      </c>
      <c r="AF848" s="205"/>
      <c r="AG848" s="219"/>
      <c r="AH848" s="219"/>
      <c r="AI848" s="219"/>
      <c r="AJ848" s="219"/>
      <c r="AK848" s="219"/>
      <c r="AL848" s="219"/>
      <c r="AM848" s="219"/>
      <c r="AN848" s="219"/>
      <c r="AO848" s="219"/>
    </row>
    <row r="849">
      <c r="A849" s="193">
        <v>24160.0</v>
      </c>
      <c r="B849" s="232" t="s">
        <v>264</v>
      </c>
      <c r="C849" s="193">
        <v>2026.0</v>
      </c>
      <c r="D849" s="199"/>
      <c r="E849" s="199"/>
      <c r="F849" s="199"/>
      <c r="G849" s="248"/>
      <c r="H849" s="199"/>
      <c r="I849" s="199"/>
      <c r="J849" s="199"/>
      <c r="K849" s="193" t="s">
        <v>206</v>
      </c>
      <c r="L849" s="232" t="s">
        <v>146</v>
      </c>
      <c r="M849" s="199"/>
      <c r="N849" s="193" t="s">
        <v>227</v>
      </c>
      <c r="O849" s="193" t="s">
        <v>206</v>
      </c>
      <c r="P849" s="193" t="s">
        <v>206</v>
      </c>
      <c r="Q849" s="199"/>
      <c r="R849" s="193" t="s">
        <v>219</v>
      </c>
      <c r="S849" s="193" t="s">
        <v>44</v>
      </c>
      <c r="T849" s="193" t="s">
        <v>229</v>
      </c>
      <c r="U849" s="193" t="s">
        <v>1418</v>
      </c>
      <c r="V849" s="193" t="s">
        <v>50</v>
      </c>
      <c r="W849" s="193" t="s">
        <v>212</v>
      </c>
      <c r="X849" s="193" t="s">
        <v>232</v>
      </c>
      <c r="Y849" s="200">
        <v>4.0</v>
      </c>
      <c r="Z849" s="202" t="s">
        <v>531</v>
      </c>
      <c r="AA849" s="202" t="s">
        <v>234</v>
      </c>
      <c r="AB849" s="221"/>
      <c r="AC849" s="203">
        <v>1000000.0</v>
      </c>
      <c r="AD849" s="204">
        <v>46229.0</v>
      </c>
      <c r="AE849" s="204">
        <v>46291.0</v>
      </c>
      <c r="AF849" s="205"/>
      <c r="AG849" s="219"/>
      <c r="AH849" s="219"/>
      <c r="AI849" s="219"/>
      <c r="AJ849" s="219"/>
      <c r="AK849" s="219"/>
      <c r="AL849" s="219"/>
      <c r="AM849" s="219"/>
      <c r="AN849" s="219"/>
      <c r="AO849" s="219"/>
    </row>
    <row r="850">
      <c r="A850" s="193">
        <v>24180.0</v>
      </c>
      <c r="B850" s="194" t="s">
        <v>203</v>
      </c>
      <c r="C850" s="193">
        <v>2026.0</v>
      </c>
      <c r="D850" s="195">
        <v>2048.0</v>
      </c>
      <c r="E850" s="193">
        <v>79.0</v>
      </c>
      <c r="F850" s="199"/>
      <c r="G850" s="248"/>
      <c r="H850" s="199"/>
      <c r="I850" s="233"/>
      <c r="J850" s="199"/>
      <c r="K850" s="193" t="s">
        <v>206</v>
      </c>
      <c r="L850" s="194" t="s">
        <v>144</v>
      </c>
      <c r="M850" s="199"/>
      <c r="N850" s="193" t="s">
        <v>337</v>
      </c>
      <c r="O850" s="193" t="s">
        <v>206</v>
      </c>
      <c r="P850" s="193" t="s">
        <v>206</v>
      </c>
      <c r="Q850" s="199"/>
      <c r="R850" s="193" t="s">
        <v>219</v>
      </c>
      <c r="S850" s="193" t="s">
        <v>45</v>
      </c>
      <c r="T850" s="193" t="s">
        <v>358</v>
      </c>
      <c r="U850" s="193" t="s">
        <v>364</v>
      </c>
      <c r="V850" s="193" t="s">
        <v>231</v>
      </c>
      <c r="W850" s="193" t="s">
        <v>212</v>
      </c>
      <c r="X850" s="193" t="s">
        <v>232</v>
      </c>
      <c r="Y850" s="200">
        <v>3.0</v>
      </c>
      <c r="Z850" s="202" t="s">
        <v>233</v>
      </c>
      <c r="AA850" s="202" t="s">
        <v>234</v>
      </c>
      <c r="AB850" s="221"/>
      <c r="AC850" s="203">
        <v>100000.0</v>
      </c>
      <c r="AD850" s="204">
        <v>46229.0</v>
      </c>
      <c r="AE850" s="204">
        <v>46291.0</v>
      </c>
      <c r="AF850" s="205"/>
      <c r="AG850" s="219"/>
      <c r="AH850" s="219"/>
      <c r="AI850" s="219"/>
      <c r="AJ850" s="219"/>
      <c r="AK850" s="219"/>
      <c r="AL850" s="219"/>
      <c r="AM850" s="219"/>
      <c r="AN850" s="219"/>
      <c r="AO850" s="219"/>
    </row>
    <row r="851">
      <c r="A851" s="193">
        <v>24200.0</v>
      </c>
      <c r="B851" s="232" t="s">
        <v>264</v>
      </c>
      <c r="C851" s="193">
        <v>2026.0</v>
      </c>
      <c r="D851" s="199"/>
      <c r="E851" s="199"/>
      <c r="F851" s="199"/>
      <c r="G851" s="248"/>
      <c r="H851" s="199"/>
      <c r="I851" s="233"/>
      <c r="J851" s="199"/>
      <c r="K851" s="193" t="s">
        <v>206</v>
      </c>
      <c r="L851" s="232" t="s">
        <v>146</v>
      </c>
      <c r="M851" s="199"/>
      <c r="N851" s="193" t="s">
        <v>337</v>
      </c>
      <c r="O851" s="193" t="s">
        <v>206</v>
      </c>
      <c r="P851" s="193" t="s">
        <v>206</v>
      </c>
      <c r="Q851" s="199"/>
      <c r="R851" s="193" t="s">
        <v>269</v>
      </c>
      <c r="S851" s="193" t="s">
        <v>49</v>
      </c>
      <c r="T851" s="193" t="s">
        <v>358</v>
      </c>
      <c r="U851" s="193" t="s">
        <v>364</v>
      </c>
      <c r="V851" s="193" t="s">
        <v>231</v>
      </c>
      <c r="W851" s="193" t="s">
        <v>212</v>
      </c>
      <c r="X851" s="193" t="s">
        <v>232</v>
      </c>
      <c r="Y851" s="200">
        <v>3.0</v>
      </c>
      <c r="Z851" s="202" t="s">
        <v>233</v>
      </c>
      <c r="AA851" s="202" t="s">
        <v>234</v>
      </c>
      <c r="AB851" s="221"/>
      <c r="AC851" s="203">
        <v>30000.0</v>
      </c>
      <c r="AD851" s="204">
        <v>46229.0</v>
      </c>
      <c r="AE851" s="247">
        <v>46291.0</v>
      </c>
      <c r="AF851" s="205"/>
      <c r="AG851" s="219"/>
      <c r="AH851" s="219"/>
      <c r="AI851" s="219"/>
      <c r="AJ851" s="219"/>
      <c r="AK851" s="219"/>
      <c r="AL851" s="219"/>
      <c r="AM851" s="219"/>
      <c r="AN851" s="219"/>
      <c r="AO851" s="219"/>
    </row>
    <row r="852">
      <c r="A852" s="193">
        <v>24220.0</v>
      </c>
      <c r="B852" s="232" t="s">
        <v>264</v>
      </c>
      <c r="C852" s="193">
        <v>2026.0</v>
      </c>
      <c r="D852" s="199"/>
      <c r="E852" s="199"/>
      <c r="F852" s="199"/>
      <c r="G852" s="248"/>
      <c r="H852" s="199"/>
      <c r="I852" s="233"/>
      <c r="J852" s="199"/>
      <c r="K852" s="193" t="s">
        <v>206</v>
      </c>
      <c r="L852" s="232" t="s">
        <v>146</v>
      </c>
      <c r="M852" s="199"/>
      <c r="N852" s="193" t="s">
        <v>227</v>
      </c>
      <c r="O852" s="193" t="s">
        <v>206</v>
      </c>
      <c r="P852" s="193" t="s">
        <v>206</v>
      </c>
      <c r="Q852" s="199"/>
      <c r="R852" s="193" t="s">
        <v>279</v>
      </c>
      <c r="S852" s="193" t="s">
        <v>50</v>
      </c>
      <c r="T852" s="193" t="s">
        <v>229</v>
      </c>
      <c r="U852" s="193" t="s">
        <v>1419</v>
      </c>
      <c r="V852" s="193" t="s">
        <v>50</v>
      </c>
      <c r="W852" s="193" t="s">
        <v>264</v>
      </c>
      <c r="X852" s="193" t="s">
        <v>232</v>
      </c>
      <c r="Y852" s="200">
        <v>3.0</v>
      </c>
      <c r="Z852" s="202" t="s">
        <v>233</v>
      </c>
      <c r="AA852" s="202" t="s">
        <v>234</v>
      </c>
      <c r="AB852" s="221"/>
      <c r="AC852" s="203">
        <v>56160.0</v>
      </c>
      <c r="AD852" s="204">
        <v>46229.0</v>
      </c>
      <c r="AE852" s="204">
        <v>46291.0</v>
      </c>
      <c r="AF852" s="205"/>
      <c r="AG852" s="219"/>
      <c r="AH852" s="219"/>
      <c r="AI852" s="219"/>
      <c r="AJ852" s="219"/>
      <c r="AK852" s="219"/>
      <c r="AL852" s="219"/>
      <c r="AM852" s="219"/>
      <c r="AN852" s="219"/>
      <c r="AO852" s="219"/>
    </row>
    <row r="853">
      <c r="A853" s="193">
        <v>24240.0</v>
      </c>
      <c r="B853" s="232" t="s">
        <v>264</v>
      </c>
      <c r="C853" s="193">
        <v>2026.0</v>
      </c>
      <c r="D853" s="199"/>
      <c r="E853" s="199"/>
      <c r="F853" s="193" t="s">
        <v>272</v>
      </c>
      <c r="G853" s="248"/>
      <c r="H853" s="199"/>
      <c r="I853" s="233"/>
      <c r="J853" s="199"/>
      <c r="K853" s="193" t="s">
        <v>206</v>
      </c>
      <c r="L853" s="232" t="s">
        <v>146</v>
      </c>
      <c r="M853" s="199"/>
      <c r="N853" s="193" t="s">
        <v>207</v>
      </c>
      <c r="O853" s="193" t="s">
        <v>206</v>
      </c>
      <c r="P853" s="193" t="s">
        <v>244</v>
      </c>
      <c r="Q853" s="199"/>
      <c r="R853" s="193" t="s">
        <v>219</v>
      </c>
      <c r="S853" s="193" t="s">
        <v>43</v>
      </c>
      <c r="T853" s="193" t="s">
        <v>512</v>
      </c>
      <c r="U853" s="193" t="s">
        <v>1420</v>
      </c>
      <c r="V853" s="193" t="s">
        <v>155</v>
      </c>
      <c r="W853" s="193" t="s">
        <v>203</v>
      </c>
      <c r="X853" s="193" t="s">
        <v>252</v>
      </c>
      <c r="Y853" s="200">
        <v>3.0</v>
      </c>
      <c r="Z853" s="202" t="s">
        <v>214</v>
      </c>
      <c r="AA853" s="202" t="s">
        <v>215</v>
      </c>
      <c r="AB853" s="203" t="s">
        <v>275</v>
      </c>
      <c r="AC853" s="203" t="s">
        <v>275</v>
      </c>
      <c r="AD853" s="204">
        <v>46321.0</v>
      </c>
      <c r="AE853" s="204">
        <v>46321.0</v>
      </c>
      <c r="AF853" s="226" t="s">
        <v>793</v>
      </c>
      <c r="AG853" s="219"/>
      <c r="AH853" s="219"/>
      <c r="AI853" s="219"/>
      <c r="AJ853" s="219"/>
      <c r="AK853" s="219"/>
      <c r="AL853" s="219"/>
      <c r="AM853" s="219"/>
      <c r="AN853" s="219"/>
      <c r="AO853" s="219"/>
    </row>
    <row r="854">
      <c r="A854" s="193">
        <v>24260.0</v>
      </c>
      <c r="B854" s="232" t="s">
        <v>264</v>
      </c>
      <c r="C854" s="193">
        <v>2026.0</v>
      </c>
      <c r="D854" s="199"/>
      <c r="E854" s="199"/>
      <c r="F854" s="199"/>
      <c r="G854" s="248"/>
      <c r="H854" s="199"/>
      <c r="I854" s="233"/>
      <c r="J854" s="199"/>
      <c r="K854" s="193" t="s">
        <v>206</v>
      </c>
      <c r="L854" s="232" t="s">
        <v>146</v>
      </c>
      <c r="M854" s="199"/>
      <c r="N854" s="193" t="s">
        <v>207</v>
      </c>
      <c r="O854" s="193" t="s">
        <v>206</v>
      </c>
      <c r="P854" s="193" t="s">
        <v>244</v>
      </c>
      <c r="Q854" s="199"/>
      <c r="R854" s="193" t="s">
        <v>219</v>
      </c>
      <c r="S854" s="193" t="s">
        <v>43</v>
      </c>
      <c r="T854" s="193" t="s">
        <v>512</v>
      </c>
      <c r="U854" s="193" t="s">
        <v>1421</v>
      </c>
      <c r="V854" s="193" t="s">
        <v>155</v>
      </c>
      <c r="W854" s="193" t="s">
        <v>203</v>
      </c>
      <c r="X854" s="193" t="s">
        <v>252</v>
      </c>
      <c r="Y854" s="200">
        <v>3.0</v>
      </c>
      <c r="Z854" s="202" t="s">
        <v>214</v>
      </c>
      <c r="AA854" s="202" t="s">
        <v>215</v>
      </c>
      <c r="AB854" s="203">
        <v>3800000.0</v>
      </c>
      <c r="AC854" s="203">
        <v>3800000.0</v>
      </c>
      <c r="AD854" s="204">
        <v>46352.0</v>
      </c>
      <c r="AE854" s="204">
        <v>46080.0</v>
      </c>
      <c r="AF854" s="205"/>
      <c r="AG854" s="219"/>
      <c r="AH854" s="219"/>
      <c r="AI854" s="219"/>
      <c r="AJ854" s="219"/>
      <c r="AK854" s="219"/>
      <c r="AL854" s="219"/>
      <c r="AM854" s="219"/>
      <c r="AN854" s="219"/>
      <c r="AO854" s="219"/>
    </row>
    <row r="855">
      <c r="A855" s="193">
        <v>24280.0</v>
      </c>
      <c r="B855" s="232" t="s">
        <v>264</v>
      </c>
      <c r="C855" s="193">
        <v>2026.0</v>
      </c>
      <c r="D855" s="199"/>
      <c r="E855" s="199"/>
      <c r="F855" s="199"/>
      <c r="G855" s="248"/>
      <c r="H855" s="199"/>
      <c r="I855" s="233"/>
      <c r="J855" s="199"/>
      <c r="K855" s="193" t="s">
        <v>206</v>
      </c>
      <c r="L855" s="232" t="s">
        <v>146</v>
      </c>
      <c r="M855" s="199"/>
      <c r="N855" s="193" t="s">
        <v>207</v>
      </c>
      <c r="O855" s="193" t="s">
        <v>206</v>
      </c>
      <c r="P855" s="193" t="s">
        <v>244</v>
      </c>
      <c r="Q855" s="199"/>
      <c r="R855" s="193" t="s">
        <v>219</v>
      </c>
      <c r="S855" s="193" t="s">
        <v>43</v>
      </c>
      <c r="T855" s="193" t="s">
        <v>512</v>
      </c>
      <c r="U855" s="193" t="s">
        <v>1422</v>
      </c>
      <c r="V855" s="193" t="s">
        <v>155</v>
      </c>
      <c r="W855" s="193" t="s">
        <v>203</v>
      </c>
      <c r="X855" s="193" t="s">
        <v>252</v>
      </c>
      <c r="Y855" s="200">
        <v>3.0</v>
      </c>
      <c r="Z855" s="202" t="s">
        <v>214</v>
      </c>
      <c r="AA855" s="202" t="s">
        <v>215</v>
      </c>
      <c r="AB855" s="203">
        <v>3800000.0</v>
      </c>
      <c r="AC855" s="203">
        <v>3800000.0</v>
      </c>
      <c r="AD855" s="276">
        <v>46352.0</v>
      </c>
      <c r="AE855" s="204">
        <v>46080.0</v>
      </c>
      <c r="AF855" s="205"/>
      <c r="AG855" s="219"/>
      <c r="AH855" s="219"/>
      <c r="AI855" s="219"/>
      <c r="AJ855" s="219"/>
      <c r="AK855" s="219"/>
      <c r="AL855" s="219"/>
      <c r="AM855" s="219"/>
      <c r="AN855" s="219"/>
      <c r="AO855" s="219"/>
    </row>
    <row r="856">
      <c r="A856" s="193">
        <v>24300.0</v>
      </c>
      <c r="B856" s="232" t="s">
        <v>264</v>
      </c>
      <c r="C856" s="193">
        <v>2026.0</v>
      </c>
      <c r="D856" s="199"/>
      <c r="E856" s="199"/>
      <c r="F856" s="199"/>
      <c r="G856" s="248"/>
      <c r="H856" s="199"/>
      <c r="I856" s="233"/>
      <c r="J856" s="199"/>
      <c r="K856" s="193" t="s">
        <v>206</v>
      </c>
      <c r="L856" s="232" t="s">
        <v>146</v>
      </c>
      <c r="M856" s="199"/>
      <c r="N856" s="193" t="s">
        <v>207</v>
      </c>
      <c r="O856" s="193" t="s">
        <v>206</v>
      </c>
      <c r="P856" s="193" t="s">
        <v>244</v>
      </c>
      <c r="Q856" s="199"/>
      <c r="R856" s="193" t="s">
        <v>219</v>
      </c>
      <c r="S856" s="193" t="s">
        <v>43</v>
      </c>
      <c r="T856" s="193" t="s">
        <v>512</v>
      </c>
      <c r="U856" s="193" t="s">
        <v>1423</v>
      </c>
      <c r="V856" s="193" t="s">
        <v>155</v>
      </c>
      <c r="W856" s="193" t="s">
        <v>203</v>
      </c>
      <c r="X856" s="193" t="s">
        <v>252</v>
      </c>
      <c r="Y856" s="200">
        <v>3.0</v>
      </c>
      <c r="Z856" s="202" t="s">
        <v>214</v>
      </c>
      <c r="AA856" s="202" t="s">
        <v>215</v>
      </c>
      <c r="AB856" s="203">
        <v>3800000.0</v>
      </c>
      <c r="AC856" s="203">
        <v>3800000.0</v>
      </c>
      <c r="AD856" s="204">
        <v>46382.0</v>
      </c>
      <c r="AE856" s="204">
        <v>46108.0</v>
      </c>
      <c r="AF856" s="205"/>
      <c r="AG856" s="370"/>
      <c r="AH856" s="370"/>
      <c r="AI856" s="370"/>
      <c r="AJ856" s="370"/>
      <c r="AK856" s="370"/>
      <c r="AL856" s="370"/>
      <c r="AM856" s="370"/>
      <c r="AN856" s="370"/>
      <c r="AO856" s="370"/>
    </row>
    <row r="857">
      <c r="A857" s="193">
        <v>24320.0</v>
      </c>
      <c r="B857" s="232" t="s">
        <v>264</v>
      </c>
      <c r="C857" s="193">
        <v>2026.0</v>
      </c>
      <c r="D857" s="199"/>
      <c r="E857" s="199"/>
      <c r="F857" s="199"/>
      <c r="G857" s="248"/>
      <c r="H857" s="199"/>
      <c r="I857" s="233"/>
      <c r="J857" s="199"/>
      <c r="K857" s="193" t="s">
        <v>206</v>
      </c>
      <c r="L857" s="232" t="s">
        <v>146</v>
      </c>
      <c r="M857" s="199"/>
      <c r="N857" s="193" t="s">
        <v>207</v>
      </c>
      <c r="O857" s="193" t="s">
        <v>206</v>
      </c>
      <c r="P857" s="193" t="s">
        <v>244</v>
      </c>
      <c r="Q857" s="199"/>
      <c r="R857" s="193" t="s">
        <v>219</v>
      </c>
      <c r="S857" s="193" t="s">
        <v>43</v>
      </c>
      <c r="T857" s="193" t="s">
        <v>512</v>
      </c>
      <c r="U857" s="193" t="s">
        <v>1424</v>
      </c>
      <c r="V857" s="193" t="s">
        <v>155</v>
      </c>
      <c r="W857" s="193" t="s">
        <v>203</v>
      </c>
      <c r="X857" s="193" t="s">
        <v>252</v>
      </c>
      <c r="Y857" s="200">
        <v>3.0</v>
      </c>
      <c r="Z857" s="202" t="s">
        <v>214</v>
      </c>
      <c r="AA857" s="202" t="s">
        <v>215</v>
      </c>
      <c r="AB857" s="203">
        <v>3800000.0</v>
      </c>
      <c r="AC857" s="203">
        <v>3800000.0</v>
      </c>
      <c r="AD857" s="204">
        <v>46382.0</v>
      </c>
      <c r="AE857" s="204">
        <v>46108.0</v>
      </c>
      <c r="AF857" s="205"/>
      <c r="AG857" s="370"/>
      <c r="AH857" s="370"/>
      <c r="AI857" s="370"/>
      <c r="AJ857" s="370"/>
      <c r="AK857" s="370"/>
      <c r="AL857" s="370"/>
      <c r="AM857" s="370"/>
      <c r="AN857" s="370"/>
      <c r="AO857" s="370"/>
    </row>
    <row r="858">
      <c r="A858" s="193">
        <v>24340.0</v>
      </c>
      <c r="B858" s="232" t="s">
        <v>264</v>
      </c>
      <c r="C858" s="193">
        <v>2026.0</v>
      </c>
      <c r="D858" s="199"/>
      <c r="E858" s="248"/>
      <c r="F858" s="199"/>
      <c r="G858" s="248"/>
      <c r="H858" s="199"/>
      <c r="I858" s="233"/>
      <c r="J858" s="199"/>
      <c r="K858" s="193" t="s">
        <v>206</v>
      </c>
      <c r="L858" s="232" t="s">
        <v>146</v>
      </c>
      <c r="M858" s="199"/>
      <c r="N858" s="193" t="s">
        <v>207</v>
      </c>
      <c r="O858" s="193" t="s">
        <v>206</v>
      </c>
      <c r="P858" s="193" t="s">
        <v>244</v>
      </c>
      <c r="Q858" s="199"/>
      <c r="R858" s="193" t="s">
        <v>219</v>
      </c>
      <c r="S858" s="193" t="s">
        <v>43</v>
      </c>
      <c r="T858" s="193" t="s">
        <v>1425</v>
      </c>
      <c r="U858" s="193" t="s">
        <v>1426</v>
      </c>
      <c r="V858" s="193" t="s">
        <v>155</v>
      </c>
      <c r="W858" s="193" t="s">
        <v>203</v>
      </c>
      <c r="X858" s="193" t="s">
        <v>252</v>
      </c>
      <c r="Y858" s="200">
        <v>3.0</v>
      </c>
      <c r="Z858" s="202" t="s">
        <v>233</v>
      </c>
      <c r="AA858" s="202" t="s">
        <v>215</v>
      </c>
      <c r="AB858" s="281">
        <v>4600000.0</v>
      </c>
      <c r="AC858" s="281">
        <v>4600000.0</v>
      </c>
      <c r="AD858" s="204">
        <v>46382.0</v>
      </c>
      <c r="AE858" s="204">
        <v>46139.0</v>
      </c>
      <c r="AF858" s="205"/>
      <c r="AG858" s="370"/>
      <c r="AH858" s="370"/>
      <c r="AI858" s="370"/>
      <c r="AJ858" s="370"/>
      <c r="AK858" s="370"/>
      <c r="AL858" s="370"/>
      <c r="AM858" s="370"/>
      <c r="AN858" s="370"/>
      <c r="AO858" s="370"/>
    </row>
    <row r="859">
      <c r="A859" s="193">
        <v>24360.0</v>
      </c>
      <c r="B859" s="232" t="s">
        <v>264</v>
      </c>
      <c r="C859" s="193">
        <v>2026.0</v>
      </c>
      <c r="D859" s="199"/>
      <c r="E859" s="248"/>
      <c r="F859" s="199"/>
      <c r="G859" s="248"/>
      <c r="H859" s="199"/>
      <c r="I859" s="233"/>
      <c r="J859" s="199"/>
      <c r="K859" s="193" t="s">
        <v>206</v>
      </c>
      <c r="L859" s="232" t="s">
        <v>146</v>
      </c>
      <c r="M859" s="199"/>
      <c r="N859" s="193" t="s">
        <v>207</v>
      </c>
      <c r="O859" s="193" t="s">
        <v>206</v>
      </c>
      <c r="P859" s="193" t="s">
        <v>244</v>
      </c>
      <c r="Q859" s="199"/>
      <c r="R859" s="193" t="s">
        <v>219</v>
      </c>
      <c r="S859" s="193" t="s">
        <v>43</v>
      </c>
      <c r="T859" s="193" t="s">
        <v>1425</v>
      </c>
      <c r="U859" s="193" t="s">
        <v>1426</v>
      </c>
      <c r="V859" s="193" t="s">
        <v>155</v>
      </c>
      <c r="W859" s="193" t="s">
        <v>203</v>
      </c>
      <c r="X859" s="193" t="s">
        <v>252</v>
      </c>
      <c r="Y859" s="200">
        <v>3.0</v>
      </c>
      <c r="Z859" s="202" t="s">
        <v>233</v>
      </c>
      <c r="AA859" s="202" t="s">
        <v>215</v>
      </c>
      <c r="AB859" s="281">
        <v>4600000.0</v>
      </c>
      <c r="AC859" s="281">
        <v>4600000.0</v>
      </c>
      <c r="AD859" s="204">
        <v>46382.0</v>
      </c>
      <c r="AE859" s="204">
        <v>46139.0</v>
      </c>
      <c r="AF859" s="205"/>
      <c r="AG859" s="370"/>
      <c r="AH859" s="370"/>
      <c r="AI859" s="370"/>
      <c r="AJ859" s="370"/>
      <c r="AK859" s="370"/>
      <c r="AL859" s="370"/>
      <c r="AM859" s="370"/>
      <c r="AN859" s="370"/>
      <c r="AO859" s="370"/>
    </row>
    <row r="860">
      <c r="A860" s="193">
        <v>24380.0</v>
      </c>
      <c r="B860" s="232" t="s">
        <v>264</v>
      </c>
      <c r="C860" s="193">
        <v>2026.0</v>
      </c>
      <c r="D860" s="199"/>
      <c r="E860" s="199"/>
      <c r="F860" s="199"/>
      <c r="G860" s="248"/>
      <c r="H860" s="199"/>
      <c r="I860" s="233"/>
      <c r="J860" s="199"/>
      <c r="K860" s="193" t="s">
        <v>206</v>
      </c>
      <c r="L860" s="232" t="s">
        <v>146</v>
      </c>
      <c r="M860" s="199"/>
      <c r="N860" s="193" t="s">
        <v>227</v>
      </c>
      <c r="O860" s="193" t="s">
        <v>206</v>
      </c>
      <c r="P860" s="193" t="s">
        <v>244</v>
      </c>
      <c r="Q860" s="199"/>
      <c r="R860" s="193" t="s">
        <v>219</v>
      </c>
      <c r="S860" s="193" t="s">
        <v>45</v>
      </c>
      <c r="T860" s="193" t="s">
        <v>245</v>
      </c>
      <c r="U860" s="193" t="s">
        <v>1427</v>
      </c>
      <c r="V860" s="193" t="s">
        <v>155</v>
      </c>
      <c r="W860" s="193" t="s">
        <v>203</v>
      </c>
      <c r="X860" s="193" t="s">
        <v>232</v>
      </c>
      <c r="Y860" s="200">
        <v>3.0</v>
      </c>
      <c r="Z860" s="202" t="s">
        <v>214</v>
      </c>
      <c r="AA860" s="202" t="s">
        <v>234</v>
      </c>
      <c r="AB860" s="221"/>
      <c r="AC860" s="203">
        <v>80000.0</v>
      </c>
      <c r="AD860" s="204">
        <v>46260.0</v>
      </c>
      <c r="AE860" s="204">
        <v>46260.0</v>
      </c>
      <c r="AF860" s="205"/>
      <c r="AG860" s="370"/>
      <c r="AH860" s="370"/>
      <c r="AI860" s="370"/>
      <c r="AJ860" s="370"/>
      <c r="AK860" s="370"/>
      <c r="AL860" s="370"/>
      <c r="AM860" s="370"/>
      <c r="AN860" s="370"/>
      <c r="AO860" s="370"/>
    </row>
    <row r="861">
      <c r="A861" s="193">
        <v>24400.0</v>
      </c>
      <c r="B861" s="232" t="s">
        <v>264</v>
      </c>
      <c r="C861" s="193">
        <v>2026.0</v>
      </c>
      <c r="D861" s="199"/>
      <c r="E861" s="248"/>
      <c r="F861" s="199"/>
      <c r="G861" s="248"/>
      <c r="H861" s="199"/>
      <c r="I861" s="233"/>
      <c r="J861" s="199"/>
      <c r="K861" s="193" t="s">
        <v>206</v>
      </c>
      <c r="L861" s="232" t="s">
        <v>146</v>
      </c>
      <c r="M861" s="199"/>
      <c r="N861" s="193" t="s">
        <v>227</v>
      </c>
      <c r="O861" s="193" t="s">
        <v>206</v>
      </c>
      <c r="P861" s="193" t="s">
        <v>206</v>
      </c>
      <c r="Q861" s="199"/>
      <c r="R861" s="193" t="s">
        <v>279</v>
      </c>
      <c r="S861" s="193" t="s">
        <v>50</v>
      </c>
      <c r="T861" s="193" t="s">
        <v>347</v>
      </c>
      <c r="U861" s="193" t="s">
        <v>1428</v>
      </c>
      <c r="V861" s="193" t="s">
        <v>50</v>
      </c>
      <c r="W861" s="193" t="s">
        <v>264</v>
      </c>
      <c r="X861" s="193" t="s">
        <v>232</v>
      </c>
      <c r="Y861" s="200">
        <v>3.0</v>
      </c>
      <c r="Z861" s="202" t="s">
        <v>233</v>
      </c>
      <c r="AA861" s="202" t="s">
        <v>234</v>
      </c>
      <c r="AB861" s="221"/>
      <c r="AC861" s="203">
        <v>2471773.65</v>
      </c>
      <c r="AD861" s="204">
        <v>46260.0</v>
      </c>
      <c r="AE861" s="204">
        <v>46321.0</v>
      </c>
      <c r="AF861" s="205"/>
      <c r="AG861" s="370"/>
      <c r="AH861" s="370"/>
      <c r="AI861" s="370"/>
      <c r="AJ861" s="370"/>
      <c r="AK861" s="370"/>
      <c r="AL861" s="370"/>
      <c r="AM861" s="370"/>
      <c r="AN861" s="370"/>
      <c r="AO861" s="370"/>
    </row>
    <row r="862">
      <c r="A862" s="193">
        <v>24420.0</v>
      </c>
      <c r="B862" s="232" t="s">
        <v>264</v>
      </c>
      <c r="C862" s="193">
        <v>2026.0</v>
      </c>
      <c r="D862" s="199"/>
      <c r="E862" s="199"/>
      <c r="F862" s="199"/>
      <c r="G862" s="248"/>
      <c r="H862" s="199"/>
      <c r="I862" s="233"/>
      <c r="J862" s="199"/>
      <c r="K862" s="193" t="s">
        <v>206</v>
      </c>
      <c r="L862" s="232" t="s">
        <v>146</v>
      </c>
      <c r="M862" s="199"/>
      <c r="N862" s="193" t="s">
        <v>475</v>
      </c>
      <c r="O862" s="193" t="s">
        <v>206</v>
      </c>
      <c r="P862" s="193" t="s">
        <v>206</v>
      </c>
      <c r="Q862" s="207"/>
      <c r="R862" s="208" t="s">
        <v>279</v>
      </c>
      <c r="S862" s="193" t="s">
        <v>50</v>
      </c>
      <c r="T862" s="193" t="s">
        <v>560</v>
      </c>
      <c r="U862" s="193" t="s">
        <v>1429</v>
      </c>
      <c r="V862" s="193" t="s">
        <v>50</v>
      </c>
      <c r="W862" s="193" t="s">
        <v>264</v>
      </c>
      <c r="X862" s="193" t="s">
        <v>252</v>
      </c>
      <c r="Y862" s="200">
        <v>3.0</v>
      </c>
      <c r="Z862" s="202" t="s">
        <v>214</v>
      </c>
      <c r="AA862" s="202" t="s">
        <v>215</v>
      </c>
      <c r="AB862" s="203">
        <v>324000.0</v>
      </c>
      <c r="AC862" s="203">
        <v>324000.0</v>
      </c>
      <c r="AD862" s="204">
        <v>46260.0</v>
      </c>
      <c r="AE862" s="204">
        <v>46321.0</v>
      </c>
      <c r="AF862" s="205"/>
      <c r="AG862" s="370"/>
      <c r="AH862" s="370"/>
      <c r="AI862" s="370"/>
      <c r="AJ862" s="370"/>
      <c r="AK862" s="370"/>
      <c r="AL862" s="370"/>
      <c r="AM862" s="370"/>
      <c r="AN862" s="370"/>
      <c r="AO862" s="370"/>
    </row>
    <row r="863">
      <c r="A863" s="193">
        <v>24440.0</v>
      </c>
      <c r="B863" s="232" t="s">
        <v>264</v>
      </c>
      <c r="C863" s="193">
        <v>2026.0</v>
      </c>
      <c r="D863" s="199"/>
      <c r="E863" s="248"/>
      <c r="F863" s="199"/>
      <c r="G863" s="248"/>
      <c r="H863" s="199"/>
      <c r="I863" s="233"/>
      <c r="J863" s="199"/>
      <c r="K863" s="193" t="s">
        <v>206</v>
      </c>
      <c r="L863" s="232" t="s">
        <v>146</v>
      </c>
      <c r="M863" s="199"/>
      <c r="N863" s="193" t="s">
        <v>337</v>
      </c>
      <c r="O863" s="193" t="s">
        <v>206</v>
      </c>
      <c r="P863" s="193" t="s">
        <v>206</v>
      </c>
      <c r="Q863" s="207"/>
      <c r="R863" s="208" t="s">
        <v>228</v>
      </c>
      <c r="S863" s="193" t="s">
        <v>47</v>
      </c>
      <c r="T863" s="193" t="s">
        <v>358</v>
      </c>
      <c r="U863" s="193" t="s">
        <v>473</v>
      </c>
      <c r="V863" s="193" t="s">
        <v>231</v>
      </c>
      <c r="W863" s="193" t="s">
        <v>212</v>
      </c>
      <c r="X863" s="193" t="s">
        <v>232</v>
      </c>
      <c r="Y863" s="200">
        <v>3.0</v>
      </c>
      <c r="Z863" s="202" t="s">
        <v>233</v>
      </c>
      <c r="AA863" s="202" t="s">
        <v>234</v>
      </c>
      <c r="AB863" s="221"/>
      <c r="AC863" s="203">
        <v>300000.0</v>
      </c>
      <c r="AD863" s="204">
        <v>46291.0</v>
      </c>
      <c r="AE863" s="204">
        <v>46352.0</v>
      </c>
      <c r="AF863" s="205"/>
      <c r="AG863" s="370"/>
      <c r="AH863" s="370"/>
      <c r="AI863" s="370"/>
      <c r="AJ863" s="370"/>
      <c r="AK863" s="370"/>
      <c r="AL863" s="370"/>
      <c r="AM863" s="370"/>
      <c r="AN863" s="370"/>
      <c r="AO863" s="370"/>
    </row>
    <row r="864">
      <c r="A864" s="193">
        <v>24460.0</v>
      </c>
      <c r="B864" s="232" t="s">
        <v>264</v>
      </c>
      <c r="C864" s="193">
        <v>2026.0</v>
      </c>
      <c r="D864" s="199"/>
      <c r="E864" s="199"/>
      <c r="F864" s="199"/>
      <c r="G864" s="248"/>
      <c r="H864" s="199"/>
      <c r="I864" s="235"/>
      <c r="J864" s="199"/>
      <c r="K864" s="193" t="s">
        <v>206</v>
      </c>
      <c r="L864" s="232" t="s">
        <v>146</v>
      </c>
      <c r="M864" s="199"/>
      <c r="N864" s="193" t="s">
        <v>227</v>
      </c>
      <c r="O864" s="193" t="s">
        <v>206</v>
      </c>
      <c r="P864" s="193" t="s">
        <v>206</v>
      </c>
      <c r="Q864" s="207"/>
      <c r="R864" s="208" t="s">
        <v>228</v>
      </c>
      <c r="S864" s="193" t="s">
        <v>47</v>
      </c>
      <c r="T864" s="193" t="s">
        <v>229</v>
      </c>
      <c r="U864" s="193" t="s">
        <v>1430</v>
      </c>
      <c r="V864" s="193" t="s">
        <v>290</v>
      </c>
      <c r="W864" s="193" t="s">
        <v>212</v>
      </c>
      <c r="X864" s="193" t="s">
        <v>232</v>
      </c>
      <c r="Y864" s="200">
        <v>3.0</v>
      </c>
      <c r="Z864" s="202" t="s">
        <v>233</v>
      </c>
      <c r="AA864" s="202" t="s">
        <v>234</v>
      </c>
      <c r="AB864" s="221"/>
      <c r="AC864" s="203">
        <v>110000.0</v>
      </c>
      <c r="AD864" s="204">
        <v>46291.0</v>
      </c>
      <c r="AE864" s="204">
        <v>46352.0</v>
      </c>
      <c r="AF864" s="205"/>
      <c r="AG864" s="370"/>
      <c r="AH864" s="370"/>
      <c r="AI864" s="370"/>
      <c r="AJ864" s="370"/>
      <c r="AK864" s="370"/>
      <c r="AL864" s="370"/>
      <c r="AM864" s="370"/>
      <c r="AN864" s="370"/>
      <c r="AO864" s="370"/>
    </row>
    <row r="865">
      <c r="A865" s="193">
        <v>24480.0</v>
      </c>
      <c r="B865" s="232" t="s">
        <v>264</v>
      </c>
      <c r="C865" s="193">
        <v>2026.0</v>
      </c>
      <c r="D865" s="199"/>
      <c r="E865" s="199"/>
      <c r="F865" s="199"/>
      <c r="G865" s="248"/>
      <c r="H865" s="199"/>
      <c r="I865" s="233"/>
      <c r="J865" s="199"/>
      <c r="K865" s="193" t="s">
        <v>206</v>
      </c>
      <c r="L865" s="232" t="s">
        <v>146</v>
      </c>
      <c r="M865" s="199"/>
      <c r="N865" s="193" t="s">
        <v>227</v>
      </c>
      <c r="O865" s="193" t="s">
        <v>206</v>
      </c>
      <c r="P865" s="193" t="s">
        <v>206</v>
      </c>
      <c r="Q865" s="207"/>
      <c r="R865" s="208" t="s">
        <v>228</v>
      </c>
      <c r="S865" s="193" t="s">
        <v>47</v>
      </c>
      <c r="T865" s="193" t="s">
        <v>229</v>
      </c>
      <c r="U865" s="193" t="s">
        <v>1431</v>
      </c>
      <c r="V865" s="193" t="s">
        <v>50</v>
      </c>
      <c r="W865" s="193" t="s">
        <v>212</v>
      </c>
      <c r="X865" s="193" t="s">
        <v>232</v>
      </c>
      <c r="Y865" s="200">
        <v>4.0</v>
      </c>
      <c r="Z865" s="202" t="s">
        <v>531</v>
      </c>
      <c r="AA865" s="202" t="s">
        <v>234</v>
      </c>
      <c r="AB865" s="221"/>
      <c r="AC865" s="203">
        <v>20000.0</v>
      </c>
      <c r="AD865" s="204">
        <v>46291.0</v>
      </c>
      <c r="AE865" s="204">
        <v>46352.0</v>
      </c>
      <c r="AF865" s="226" t="s">
        <v>379</v>
      </c>
      <c r="AG865" s="370"/>
      <c r="AH865" s="370"/>
      <c r="AI865" s="370"/>
      <c r="AJ865" s="370"/>
      <c r="AK865" s="370"/>
      <c r="AL865" s="370"/>
      <c r="AM865" s="370"/>
      <c r="AN865" s="370"/>
      <c r="AO865" s="370"/>
    </row>
    <row r="866">
      <c r="A866" s="193">
        <v>24500.0</v>
      </c>
      <c r="B866" s="194" t="s">
        <v>203</v>
      </c>
      <c r="C866" s="193">
        <v>2026.0</v>
      </c>
      <c r="D866" s="195">
        <v>2048.0</v>
      </c>
      <c r="E866" s="193">
        <v>109.0</v>
      </c>
      <c r="F866" s="199"/>
      <c r="G866" s="248"/>
      <c r="H866" s="199"/>
      <c r="I866" s="235"/>
      <c r="J866" s="199"/>
      <c r="K866" s="193" t="s">
        <v>206</v>
      </c>
      <c r="L866" s="194" t="s">
        <v>144</v>
      </c>
      <c r="M866" s="199"/>
      <c r="N866" s="193" t="s">
        <v>207</v>
      </c>
      <c r="O866" s="193" t="s">
        <v>206</v>
      </c>
      <c r="P866" s="193" t="s">
        <v>244</v>
      </c>
      <c r="Q866" s="199"/>
      <c r="R866" s="193" t="s">
        <v>228</v>
      </c>
      <c r="S866" s="193" t="s">
        <v>46</v>
      </c>
      <c r="T866" s="193" t="s">
        <v>377</v>
      </c>
      <c r="U866" s="193" t="s">
        <v>1432</v>
      </c>
      <c r="V866" s="193" t="s">
        <v>155</v>
      </c>
      <c r="W866" s="193" t="s">
        <v>203</v>
      </c>
      <c r="X866" s="193" t="s">
        <v>252</v>
      </c>
      <c r="Y866" s="200">
        <v>3.0</v>
      </c>
      <c r="Z866" s="202" t="s">
        <v>233</v>
      </c>
      <c r="AA866" s="202" t="s">
        <v>215</v>
      </c>
      <c r="AB866" s="203">
        <v>750000.0</v>
      </c>
      <c r="AC866" s="203">
        <v>750000.0</v>
      </c>
      <c r="AD866" s="249">
        <v>46321.0</v>
      </c>
      <c r="AE866" s="251">
        <v>46382.0</v>
      </c>
      <c r="AF866" s="205"/>
      <c r="AG866" s="370"/>
      <c r="AH866" s="370"/>
      <c r="AI866" s="370"/>
      <c r="AJ866" s="370"/>
      <c r="AK866" s="370"/>
      <c r="AL866" s="370"/>
      <c r="AM866" s="370"/>
      <c r="AN866" s="370"/>
      <c r="AO866" s="370"/>
    </row>
    <row r="867">
      <c r="A867" s="193">
        <v>24520.0</v>
      </c>
      <c r="B867" s="194" t="s">
        <v>203</v>
      </c>
      <c r="C867" s="193">
        <v>2026.0</v>
      </c>
      <c r="D867" s="195">
        <v>2048.0</v>
      </c>
      <c r="E867" s="193">
        <v>110.0</v>
      </c>
      <c r="F867" s="199"/>
      <c r="G867" s="248"/>
      <c r="H867" s="199"/>
      <c r="I867" s="233"/>
      <c r="J867" s="199"/>
      <c r="K867" s="193" t="s">
        <v>206</v>
      </c>
      <c r="L867" s="194" t="s">
        <v>144</v>
      </c>
      <c r="M867" s="199"/>
      <c r="N867" s="193" t="s">
        <v>207</v>
      </c>
      <c r="O867" s="193" t="s">
        <v>206</v>
      </c>
      <c r="P867" s="193" t="s">
        <v>244</v>
      </c>
      <c r="Q867" s="207"/>
      <c r="R867" s="208" t="s">
        <v>228</v>
      </c>
      <c r="S867" s="193" t="s">
        <v>46</v>
      </c>
      <c r="T867" s="193" t="s">
        <v>377</v>
      </c>
      <c r="U867" s="193" t="s">
        <v>1433</v>
      </c>
      <c r="V867" s="193" t="s">
        <v>155</v>
      </c>
      <c r="W867" s="193" t="s">
        <v>203</v>
      </c>
      <c r="X867" s="193" t="s">
        <v>252</v>
      </c>
      <c r="Y867" s="200">
        <v>3.0</v>
      </c>
      <c r="Z867" s="202" t="s">
        <v>233</v>
      </c>
      <c r="AA867" s="202" t="s">
        <v>215</v>
      </c>
      <c r="AB867" s="203">
        <v>750000.0</v>
      </c>
      <c r="AC867" s="203">
        <v>750000.0</v>
      </c>
      <c r="AD867" s="249">
        <v>46321.0</v>
      </c>
      <c r="AE867" s="204">
        <v>46382.0</v>
      </c>
      <c r="AF867" s="205"/>
      <c r="AG867" s="370"/>
      <c r="AH867" s="370"/>
      <c r="AI867" s="370"/>
      <c r="AJ867" s="370"/>
      <c r="AK867" s="370"/>
      <c r="AL867" s="370"/>
      <c r="AM867" s="370"/>
      <c r="AN867" s="370"/>
      <c r="AO867" s="370"/>
    </row>
    <row r="868">
      <c r="A868" s="193">
        <v>24540.0</v>
      </c>
      <c r="B868" s="232" t="s">
        <v>264</v>
      </c>
      <c r="C868" s="193">
        <v>2026.0</v>
      </c>
      <c r="D868" s="199"/>
      <c r="E868" s="199"/>
      <c r="F868" s="193" t="s">
        <v>272</v>
      </c>
      <c r="G868" s="248"/>
      <c r="H868" s="199"/>
      <c r="I868" s="235"/>
      <c r="J868" s="199"/>
      <c r="K868" s="193" t="s">
        <v>206</v>
      </c>
      <c r="L868" s="234" t="s">
        <v>145</v>
      </c>
      <c r="M868" s="199"/>
      <c r="N868" s="193" t="s">
        <v>207</v>
      </c>
      <c r="O868" s="193" t="s">
        <v>206</v>
      </c>
      <c r="P868" s="193" t="s">
        <v>244</v>
      </c>
      <c r="Q868" s="207"/>
      <c r="R868" s="208" t="s">
        <v>208</v>
      </c>
      <c r="S868" s="193" t="s">
        <v>39</v>
      </c>
      <c r="T868" s="193" t="s">
        <v>250</v>
      </c>
      <c r="U868" s="193" t="s">
        <v>1434</v>
      </c>
      <c r="V868" s="193" t="s">
        <v>155</v>
      </c>
      <c r="W868" s="193" t="s">
        <v>203</v>
      </c>
      <c r="X868" s="193" t="s">
        <v>252</v>
      </c>
      <c r="Y868" s="200">
        <v>3.0</v>
      </c>
      <c r="Z868" s="202" t="s">
        <v>214</v>
      </c>
      <c r="AA868" s="202" t="s">
        <v>215</v>
      </c>
      <c r="AB868" s="203" t="s">
        <v>275</v>
      </c>
      <c r="AC868" s="203" t="s">
        <v>275</v>
      </c>
      <c r="AD868" s="204">
        <v>46352.0</v>
      </c>
      <c r="AE868" s="204">
        <v>46382.0</v>
      </c>
      <c r="AF868" s="226" t="s">
        <v>816</v>
      </c>
      <c r="AG868" s="370"/>
      <c r="AH868" s="370"/>
      <c r="AI868" s="370"/>
      <c r="AJ868" s="370"/>
      <c r="AK868" s="370"/>
      <c r="AL868" s="370"/>
      <c r="AM868" s="370"/>
      <c r="AN868" s="370"/>
      <c r="AO868" s="370"/>
    </row>
    <row r="869">
      <c r="A869" s="193">
        <v>24560.0</v>
      </c>
      <c r="B869" s="232" t="s">
        <v>264</v>
      </c>
      <c r="C869" s="193">
        <v>2026.0</v>
      </c>
      <c r="D869" s="199"/>
      <c r="E869" s="248"/>
      <c r="F869" s="193" t="s">
        <v>272</v>
      </c>
      <c r="G869" s="248"/>
      <c r="H869" s="199"/>
      <c r="I869" s="235"/>
      <c r="J869" s="199"/>
      <c r="K869" s="193" t="s">
        <v>206</v>
      </c>
      <c r="L869" s="234" t="s">
        <v>145</v>
      </c>
      <c r="M869" s="199"/>
      <c r="N869" s="193" t="s">
        <v>207</v>
      </c>
      <c r="O869" s="193" t="s">
        <v>206</v>
      </c>
      <c r="P869" s="193" t="s">
        <v>244</v>
      </c>
      <c r="Q869" s="199"/>
      <c r="R869" s="193" t="s">
        <v>208</v>
      </c>
      <c r="S869" s="193" t="s">
        <v>39</v>
      </c>
      <c r="T869" s="193" t="s">
        <v>250</v>
      </c>
      <c r="U869" s="193" t="s">
        <v>1435</v>
      </c>
      <c r="V869" s="193" t="s">
        <v>155</v>
      </c>
      <c r="W869" s="193" t="s">
        <v>203</v>
      </c>
      <c r="X869" s="193" t="s">
        <v>252</v>
      </c>
      <c r="Y869" s="200">
        <v>3.0</v>
      </c>
      <c r="Z869" s="202" t="s">
        <v>214</v>
      </c>
      <c r="AA869" s="202" t="s">
        <v>215</v>
      </c>
      <c r="AB869" s="203" t="s">
        <v>275</v>
      </c>
      <c r="AC869" s="203" t="s">
        <v>275</v>
      </c>
      <c r="AD869" s="204">
        <v>46382.0</v>
      </c>
      <c r="AE869" s="204">
        <v>46049.0</v>
      </c>
      <c r="AF869" s="226" t="s">
        <v>816</v>
      </c>
      <c r="AG869" s="370"/>
      <c r="AH869" s="370"/>
      <c r="AI869" s="370"/>
      <c r="AJ869" s="370"/>
      <c r="AK869" s="370"/>
      <c r="AL869" s="370"/>
      <c r="AM869" s="370"/>
      <c r="AN869" s="370"/>
      <c r="AO869" s="370"/>
    </row>
    <row r="870">
      <c r="A870" s="193">
        <v>24580.0</v>
      </c>
      <c r="B870" s="232" t="s">
        <v>264</v>
      </c>
      <c r="C870" s="193">
        <v>2026.0</v>
      </c>
      <c r="D870" s="199"/>
      <c r="E870" s="199"/>
      <c r="F870" s="199"/>
      <c r="G870" s="248"/>
      <c r="H870" s="199"/>
      <c r="I870" s="235"/>
      <c r="J870" s="199"/>
      <c r="K870" s="193" t="s">
        <v>206</v>
      </c>
      <c r="L870" s="232" t="s">
        <v>146</v>
      </c>
      <c r="M870" s="199"/>
      <c r="N870" s="193" t="s">
        <v>337</v>
      </c>
      <c r="O870" s="193" t="s">
        <v>206</v>
      </c>
      <c r="P870" s="193" t="s">
        <v>206</v>
      </c>
      <c r="Q870" s="207"/>
      <c r="R870" s="208" t="s">
        <v>219</v>
      </c>
      <c r="S870" s="193" t="s">
        <v>43</v>
      </c>
      <c r="T870" s="193" t="s">
        <v>358</v>
      </c>
      <c r="U870" s="193" t="s">
        <v>473</v>
      </c>
      <c r="V870" s="193" t="s">
        <v>231</v>
      </c>
      <c r="W870" s="193" t="s">
        <v>212</v>
      </c>
      <c r="X870" s="193" t="s">
        <v>232</v>
      </c>
      <c r="Y870" s="200">
        <v>3.0</v>
      </c>
      <c r="Z870" s="202" t="s">
        <v>233</v>
      </c>
      <c r="AA870" s="202" t="s">
        <v>234</v>
      </c>
      <c r="AB870" s="221"/>
      <c r="AC870" s="203">
        <v>750000.0</v>
      </c>
      <c r="AD870" s="204">
        <v>46291.0</v>
      </c>
      <c r="AE870" s="204">
        <v>46352.0</v>
      </c>
      <c r="AF870" s="205"/>
      <c r="AG870" s="370"/>
      <c r="AH870" s="370"/>
      <c r="AI870" s="370"/>
      <c r="AJ870" s="370"/>
      <c r="AK870" s="370"/>
      <c r="AL870" s="370"/>
      <c r="AM870" s="370"/>
      <c r="AN870" s="370"/>
      <c r="AO870" s="370"/>
    </row>
    <row r="871">
      <c r="A871" s="193">
        <v>24600.0</v>
      </c>
      <c r="B871" s="232" t="s">
        <v>264</v>
      </c>
      <c r="C871" s="193">
        <v>2026.0</v>
      </c>
      <c r="D871" s="199"/>
      <c r="E871" s="199"/>
      <c r="F871" s="199"/>
      <c r="G871" s="248"/>
      <c r="H871" s="199"/>
      <c r="I871" s="235"/>
      <c r="J871" s="199"/>
      <c r="K871" s="193" t="s">
        <v>206</v>
      </c>
      <c r="L871" s="232" t="s">
        <v>146</v>
      </c>
      <c r="M871" s="199"/>
      <c r="N871" s="193" t="s">
        <v>337</v>
      </c>
      <c r="O871" s="193" t="s">
        <v>206</v>
      </c>
      <c r="P871" s="193" t="s">
        <v>206</v>
      </c>
      <c r="Q871" s="207"/>
      <c r="R871" s="208" t="s">
        <v>219</v>
      </c>
      <c r="S871" s="193" t="s">
        <v>44</v>
      </c>
      <c r="T871" s="193" t="s">
        <v>358</v>
      </c>
      <c r="U871" s="193" t="s">
        <v>473</v>
      </c>
      <c r="V871" s="193" t="s">
        <v>231</v>
      </c>
      <c r="W871" s="193" t="s">
        <v>212</v>
      </c>
      <c r="X871" s="193" t="s">
        <v>232</v>
      </c>
      <c r="Y871" s="200">
        <v>3.0</v>
      </c>
      <c r="Z871" s="202" t="s">
        <v>233</v>
      </c>
      <c r="AA871" s="202" t="s">
        <v>234</v>
      </c>
      <c r="AB871" s="221"/>
      <c r="AC871" s="203">
        <v>150000.0</v>
      </c>
      <c r="AD871" s="204">
        <v>46291.0</v>
      </c>
      <c r="AE871" s="204">
        <v>46352.0</v>
      </c>
      <c r="AF871" s="226" t="s">
        <v>379</v>
      </c>
      <c r="AG871" s="370"/>
      <c r="AH871" s="370"/>
      <c r="AI871" s="370"/>
      <c r="AJ871" s="370"/>
      <c r="AK871" s="370"/>
      <c r="AL871" s="370"/>
      <c r="AM871" s="370"/>
      <c r="AN871" s="370"/>
      <c r="AO871" s="370"/>
    </row>
    <row r="872">
      <c r="A872" s="193">
        <v>24620.0</v>
      </c>
      <c r="B872" s="232" t="s">
        <v>264</v>
      </c>
      <c r="C872" s="193">
        <v>2026.0</v>
      </c>
      <c r="D872" s="199"/>
      <c r="E872" s="248"/>
      <c r="F872" s="199"/>
      <c r="G872" s="248"/>
      <c r="H872" s="199"/>
      <c r="I872" s="233"/>
      <c r="J872" s="199"/>
      <c r="K872" s="193" t="s">
        <v>206</v>
      </c>
      <c r="L872" s="232" t="s">
        <v>146</v>
      </c>
      <c r="M872" s="199"/>
      <c r="N872" s="193" t="s">
        <v>227</v>
      </c>
      <c r="O872" s="193" t="s">
        <v>206</v>
      </c>
      <c r="P872" s="193" t="s">
        <v>206</v>
      </c>
      <c r="Q872" s="207"/>
      <c r="R872" s="208" t="s">
        <v>219</v>
      </c>
      <c r="S872" s="193" t="s">
        <v>44</v>
      </c>
      <c r="T872" s="193" t="s">
        <v>229</v>
      </c>
      <c r="U872" s="193" t="s">
        <v>473</v>
      </c>
      <c r="V872" s="193" t="s">
        <v>231</v>
      </c>
      <c r="W872" s="193" t="s">
        <v>212</v>
      </c>
      <c r="X872" s="193" t="s">
        <v>232</v>
      </c>
      <c r="Y872" s="200">
        <v>3.0</v>
      </c>
      <c r="Z872" s="202" t="s">
        <v>233</v>
      </c>
      <c r="AA872" s="202" t="s">
        <v>234</v>
      </c>
      <c r="AB872" s="221"/>
      <c r="AC872" s="203">
        <v>100000.0</v>
      </c>
      <c r="AD872" s="204">
        <v>46291.0</v>
      </c>
      <c r="AE872" s="204">
        <v>46352.0</v>
      </c>
      <c r="AF872" s="205"/>
      <c r="AG872" s="370"/>
      <c r="AH872" s="370"/>
      <c r="AI872" s="370"/>
      <c r="AJ872" s="370"/>
      <c r="AK872" s="370"/>
      <c r="AL872" s="370"/>
      <c r="AM872" s="370"/>
      <c r="AN872" s="370"/>
      <c r="AO872" s="370"/>
    </row>
    <row r="873">
      <c r="A873" s="193">
        <v>24640.0</v>
      </c>
      <c r="B873" s="232" t="s">
        <v>264</v>
      </c>
      <c r="C873" s="193">
        <v>2026.0</v>
      </c>
      <c r="D873" s="199"/>
      <c r="E873" s="248"/>
      <c r="F873" s="199"/>
      <c r="G873" s="248"/>
      <c r="H873" s="199"/>
      <c r="I873" s="233"/>
      <c r="J873" s="199"/>
      <c r="K873" s="193" t="s">
        <v>206</v>
      </c>
      <c r="L873" s="232" t="s">
        <v>146</v>
      </c>
      <c r="M873" s="199"/>
      <c r="N873" s="193" t="s">
        <v>227</v>
      </c>
      <c r="O873" s="193" t="s">
        <v>206</v>
      </c>
      <c r="P873" s="193" t="s">
        <v>206</v>
      </c>
      <c r="Q873" s="199"/>
      <c r="R873" s="193" t="s">
        <v>219</v>
      </c>
      <c r="S873" s="193" t="s">
        <v>44</v>
      </c>
      <c r="T873" s="193" t="s">
        <v>229</v>
      </c>
      <c r="U873" s="193" t="s">
        <v>1436</v>
      </c>
      <c r="V873" s="193" t="s">
        <v>231</v>
      </c>
      <c r="W873" s="193" t="s">
        <v>212</v>
      </c>
      <c r="X873" s="193" t="s">
        <v>232</v>
      </c>
      <c r="Y873" s="200">
        <v>3.0</v>
      </c>
      <c r="Z873" s="202" t="s">
        <v>233</v>
      </c>
      <c r="AA873" s="202" t="s">
        <v>234</v>
      </c>
      <c r="AB873" s="221"/>
      <c r="AC873" s="203">
        <v>250000.0</v>
      </c>
      <c r="AD873" s="204">
        <v>46291.0</v>
      </c>
      <c r="AE873" s="204">
        <v>46352.0</v>
      </c>
      <c r="AF873" s="205"/>
      <c r="AG873" s="370"/>
      <c r="AH873" s="370"/>
      <c r="AI873" s="370"/>
      <c r="AJ873" s="370"/>
      <c r="AK873" s="370"/>
      <c r="AL873" s="370"/>
      <c r="AM873" s="370"/>
      <c r="AN873" s="370"/>
      <c r="AO873" s="370"/>
    </row>
    <row r="874">
      <c r="A874" s="193">
        <v>24660.0</v>
      </c>
      <c r="B874" s="232" t="s">
        <v>264</v>
      </c>
      <c r="C874" s="193">
        <v>2026.0</v>
      </c>
      <c r="D874" s="199"/>
      <c r="E874" s="248"/>
      <c r="F874" s="199"/>
      <c r="G874" s="248"/>
      <c r="H874" s="199"/>
      <c r="I874" s="235"/>
      <c r="J874" s="199"/>
      <c r="K874" s="193" t="s">
        <v>206</v>
      </c>
      <c r="L874" s="232" t="s">
        <v>146</v>
      </c>
      <c r="M874" s="199"/>
      <c r="N874" s="193" t="s">
        <v>227</v>
      </c>
      <c r="O874" s="193" t="s">
        <v>206</v>
      </c>
      <c r="P874" s="193" t="s">
        <v>206</v>
      </c>
      <c r="Q874" s="199"/>
      <c r="R874" s="193" t="s">
        <v>219</v>
      </c>
      <c r="S874" s="193" t="s">
        <v>45</v>
      </c>
      <c r="T874" s="193" t="s">
        <v>229</v>
      </c>
      <c r="U874" s="193" t="s">
        <v>1437</v>
      </c>
      <c r="V874" s="193" t="s">
        <v>231</v>
      </c>
      <c r="W874" s="193" t="s">
        <v>212</v>
      </c>
      <c r="X874" s="193" t="s">
        <v>232</v>
      </c>
      <c r="Y874" s="200">
        <v>3.0</v>
      </c>
      <c r="Z874" s="202" t="s">
        <v>233</v>
      </c>
      <c r="AA874" s="202" t="s">
        <v>234</v>
      </c>
      <c r="AB874" s="221"/>
      <c r="AC874" s="203">
        <v>835000.0</v>
      </c>
      <c r="AD874" s="204">
        <v>46291.0</v>
      </c>
      <c r="AE874" s="204">
        <v>46352.0</v>
      </c>
      <c r="AF874" s="205"/>
      <c r="AG874" s="370"/>
      <c r="AH874" s="370"/>
      <c r="AI874" s="370"/>
      <c r="AJ874" s="370"/>
      <c r="AK874" s="370"/>
      <c r="AL874" s="370"/>
      <c r="AM874" s="370"/>
      <c r="AN874" s="370"/>
      <c r="AO874" s="370"/>
    </row>
    <row r="875">
      <c r="A875" s="193">
        <v>24661.0</v>
      </c>
      <c r="B875" s="232" t="s">
        <v>264</v>
      </c>
      <c r="C875" s="193">
        <v>2026.0</v>
      </c>
      <c r="D875" s="199"/>
      <c r="E875" s="248"/>
      <c r="F875" s="199"/>
      <c r="G875" s="248"/>
      <c r="H875" s="199"/>
      <c r="I875" s="233"/>
      <c r="J875" s="199"/>
      <c r="K875" s="193" t="s">
        <v>206</v>
      </c>
      <c r="L875" s="232" t="s">
        <v>146</v>
      </c>
      <c r="M875" s="199"/>
      <c r="N875" s="193" t="s">
        <v>227</v>
      </c>
      <c r="O875" s="193" t="s">
        <v>206</v>
      </c>
      <c r="P875" s="193" t="s">
        <v>206</v>
      </c>
      <c r="Q875" s="207"/>
      <c r="R875" s="208" t="s">
        <v>219</v>
      </c>
      <c r="S875" s="193" t="s">
        <v>45</v>
      </c>
      <c r="T875" s="193" t="s">
        <v>229</v>
      </c>
      <c r="U875" s="193" t="s">
        <v>1437</v>
      </c>
      <c r="V875" s="193" t="s">
        <v>231</v>
      </c>
      <c r="W875" s="193" t="s">
        <v>212</v>
      </c>
      <c r="X875" s="193" t="s">
        <v>232</v>
      </c>
      <c r="Y875" s="200">
        <v>3.0</v>
      </c>
      <c r="Z875" s="202" t="s">
        <v>233</v>
      </c>
      <c r="AA875" s="202" t="s">
        <v>234</v>
      </c>
      <c r="AB875" s="221"/>
      <c r="AC875" s="203">
        <v>165000.0</v>
      </c>
      <c r="AD875" s="204">
        <v>46168.0</v>
      </c>
      <c r="AE875" s="204">
        <v>46229.0</v>
      </c>
      <c r="AF875" s="226" t="s">
        <v>1438</v>
      </c>
      <c r="AG875" s="370"/>
      <c r="AH875" s="370"/>
      <c r="AI875" s="370"/>
      <c r="AJ875" s="370"/>
      <c r="AK875" s="370"/>
      <c r="AL875" s="370"/>
      <c r="AM875" s="370"/>
      <c r="AN875" s="370"/>
      <c r="AO875" s="370"/>
    </row>
    <row r="876">
      <c r="A876" s="193">
        <v>24680.0</v>
      </c>
      <c r="B876" s="232" t="s">
        <v>264</v>
      </c>
      <c r="C876" s="193">
        <v>2026.0</v>
      </c>
      <c r="D876" s="199"/>
      <c r="E876" s="248"/>
      <c r="F876" s="199"/>
      <c r="G876" s="248"/>
      <c r="H876" s="199"/>
      <c r="I876" s="235"/>
      <c r="J876" s="199"/>
      <c r="K876" s="193" t="s">
        <v>206</v>
      </c>
      <c r="L876" s="232" t="s">
        <v>146</v>
      </c>
      <c r="M876" s="199"/>
      <c r="N876" s="193" t="s">
        <v>227</v>
      </c>
      <c r="O876" s="193" t="s">
        <v>206</v>
      </c>
      <c r="P876" s="193" t="s">
        <v>206</v>
      </c>
      <c r="Q876" s="207"/>
      <c r="R876" s="208" t="s">
        <v>219</v>
      </c>
      <c r="S876" s="193" t="s">
        <v>45</v>
      </c>
      <c r="T876" s="193" t="s">
        <v>229</v>
      </c>
      <c r="U876" s="193" t="s">
        <v>1439</v>
      </c>
      <c r="V876" s="193" t="s">
        <v>231</v>
      </c>
      <c r="W876" s="193" t="s">
        <v>212</v>
      </c>
      <c r="X876" s="193" t="s">
        <v>232</v>
      </c>
      <c r="Y876" s="200">
        <v>3.0</v>
      </c>
      <c r="Z876" s="202" t="s">
        <v>233</v>
      </c>
      <c r="AA876" s="202" t="s">
        <v>234</v>
      </c>
      <c r="AB876" s="221"/>
      <c r="AC876" s="203">
        <v>1000000.0</v>
      </c>
      <c r="AD876" s="204">
        <v>46291.0</v>
      </c>
      <c r="AE876" s="204">
        <v>46352.0</v>
      </c>
      <c r="AF876" s="205"/>
      <c r="AG876" s="370"/>
      <c r="AH876" s="370"/>
      <c r="AI876" s="370"/>
      <c r="AJ876" s="370"/>
      <c r="AK876" s="370"/>
      <c r="AL876" s="370"/>
      <c r="AM876" s="370"/>
      <c r="AN876" s="370"/>
      <c r="AO876" s="370"/>
    </row>
    <row r="877">
      <c r="A877" s="193">
        <v>24700.0</v>
      </c>
      <c r="B877" s="232" t="s">
        <v>264</v>
      </c>
      <c r="C877" s="193">
        <v>2026.0</v>
      </c>
      <c r="D877" s="199"/>
      <c r="E877" s="199"/>
      <c r="F877" s="199"/>
      <c r="G877" s="248"/>
      <c r="H877" s="199"/>
      <c r="I877" s="199"/>
      <c r="J877" s="199"/>
      <c r="K877" s="193" t="s">
        <v>206</v>
      </c>
      <c r="L877" s="232" t="s">
        <v>146</v>
      </c>
      <c r="M877" s="199"/>
      <c r="N877" s="193" t="s">
        <v>227</v>
      </c>
      <c r="O877" s="193" t="s">
        <v>206</v>
      </c>
      <c r="P877" s="193" t="s">
        <v>206</v>
      </c>
      <c r="Q877" s="199"/>
      <c r="R877" s="193" t="s">
        <v>219</v>
      </c>
      <c r="S877" s="193" t="s">
        <v>45</v>
      </c>
      <c r="T877" s="193" t="s">
        <v>229</v>
      </c>
      <c r="U877" s="193" t="s">
        <v>1440</v>
      </c>
      <c r="V877" s="193" t="s">
        <v>231</v>
      </c>
      <c r="W877" s="193" t="s">
        <v>212</v>
      </c>
      <c r="X877" s="193" t="s">
        <v>232</v>
      </c>
      <c r="Y877" s="200">
        <v>3.0</v>
      </c>
      <c r="Z877" s="202" t="s">
        <v>233</v>
      </c>
      <c r="AA877" s="202" t="s">
        <v>234</v>
      </c>
      <c r="AB877" s="221"/>
      <c r="AC877" s="203">
        <v>1000000.0</v>
      </c>
      <c r="AD877" s="204">
        <v>46291.0</v>
      </c>
      <c r="AE877" s="204">
        <v>46352.0</v>
      </c>
      <c r="AF877" s="205"/>
      <c r="AG877" s="370"/>
      <c r="AH877" s="370"/>
      <c r="AI877" s="370"/>
      <c r="AJ877" s="370"/>
      <c r="AK877" s="370"/>
      <c r="AL877" s="370"/>
      <c r="AM877" s="370"/>
      <c r="AN877" s="370"/>
      <c r="AO877" s="370"/>
    </row>
    <row r="878">
      <c r="A878" s="193">
        <v>24720.0</v>
      </c>
      <c r="B878" s="232" t="s">
        <v>264</v>
      </c>
      <c r="C878" s="193">
        <v>2026.0</v>
      </c>
      <c r="D878" s="199"/>
      <c r="E878" s="199"/>
      <c r="F878" s="199"/>
      <c r="G878" s="248"/>
      <c r="H878" s="199"/>
      <c r="I878" s="233"/>
      <c r="J878" s="199"/>
      <c r="K878" s="193" t="s">
        <v>206</v>
      </c>
      <c r="L878" s="232" t="s">
        <v>146</v>
      </c>
      <c r="M878" s="199"/>
      <c r="N878" s="193" t="s">
        <v>337</v>
      </c>
      <c r="O878" s="193" t="s">
        <v>206</v>
      </c>
      <c r="P878" s="193" t="s">
        <v>206</v>
      </c>
      <c r="Q878" s="207"/>
      <c r="R878" s="208" t="s">
        <v>219</v>
      </c>
      <c r="S878" s="193" t="s">
        <v>45</v>
      </c>
      <c r="T878" s="193" t="s">
        <v>358</v>
      </c>
      <c r="U878" s="193" t="s">
        <v>473</v>
      </c>
      <c r="V878" s="193" t="s">
        <v>231</v>
      </c>
      <c r="W878" s="193" t="s">
        <v>212</v>
      </c>
      <c r="X878" s="193" t="s">
        <v>232</v>
      </c>
      <c r="Y878" s="200">
        <v>3.0</v>
      </c>
      <c r="Z878" s="202" t="s">
        <v>233</v>
      </c>
      <c r="AA878" s="202" t="s">
        <v>234</v>
      </c>
      <c r="AB878" s="221"/>
      <c r="AC878" s="203">
        <v>100000.0</v>
      </c>
      <c r="AD878" s="204">
        <v>46291.0</v>
      </c>
      <c r="AE878" s="204">
        <v>46352.0</v>
      </c>
      <c r="AF878" s="205"/>
      <c r="AG878" s="370"/>
      <c r="AH878" s="370"/>
      <c r="AI878" s="370"/>
      <c r="AJ878" s="370"/>
      <c r="AK878" s="370"/>
      <c r="AL878" s="370"/>
      <c r="AM878" s="370"/>
      <c r="AN878" s="370"/>
      <c r="AO878" s="370"/>
    </row>
    <row r="879">
      <c r="A879" s="193">
        <v>24740.0</v>
      </c>
      <c r="B879" s="232" t="s">
        <v>264</v>
      </c>
      <c r="C879" s="193">
        <v>2026.0</v>
      </c>
      <c r="D879" s="199"/>
      <c r="E879" s="199"/>
      <c r="F879" s="199"/>
      <c r="G879" s="248"/>
      <c r="H879" s="199"/>
      <c r="I879" s="235"/>
      <c r="J879" s="199"/>
      <c r="K879" s="193" t="s">
        <v>206</v>
      </c>
      <c r="L879" s="232" t="s">
        <v>146</v>
      </c>
      <c r="M879" s="199"/>
      <c r="N879" s="193" t="s">
        <v>207</v>
      </c>
      <c r="O879" s="193" t="s">
        <v>206</v>
      </c>
      <c r="P879" s="193" t="s">
        <v>206</v>
      </c>
      <c r="Q879" s="199"/>
      <c r="R879" s="193" t="s">
        <v>269</v>
      </c>
      <c r="S879" s="193" t="s">
        <v>49</v>
      </c>
      <c r="T879" s="193" t="s">
        <v>1386</v>
      </c>
      <c r="U879" s="193" t="s">
        <v>1441</v>
      </c>
      <c r="V879" s="193" t="s">
        <v>155</v>
      </c>
      <c r="W879" s="193" t="s">
        <v>203</v>
      </c>
      <c r="X879" s="193" t="s">
        <v>252</v>
      </c>
      <c r="Y879" s="200">
        <v>3.0</v>
      </c>
      <c r="Z879" s="202" t="s">
        <v>214</v>
      </c>
      <c r="AA879" s="202" t="s">
        <v>215</v>
      </c>
      <c r="AB879" s="203">
        <v>7480376.0</v>
      </c>
      <c r="AC879" s="203">
        <v>7480376.0</v>
      </c>
      <c r="AD879" s="204">
        <v>46291.0</v>
      </c>
      <c r="AE879" s="204">
        <v>46352.0</v>
      </c>
      <c r="AF879" s="226" t="s">
        <v>1442</v>
      </c>
      <c r="AG879" s="370"/>
      <c r="AH879" s="370"/>
      <c r="AI879" s="370"/>
      <c r="AJ879" s="370"/>
      <c r="AK879" s="370"/>
      <c r="AL879" s="370"/>
      <c r="AM879" s="370"/>
      <c r="AN879" s="370"/>
      <c r="AO879" s="370"/>
    </row>
    <row r="880">
      <c r="A880" s="193">
        <v>24760.0</v>
      </c>
      <c r="B880" s="232" t="s">
        <v>264</v>
      </c>
      <c r="C880" s="193">
        <v>2026.0</v>
      </c>
      <c r="D880" s="199"/>
      <c r="E880" s="199"/>
      <c r="F880" s="199"/>
      <c r="G880" s="248"/>
      <c r="H880" s="199"/>
      <c r="I880" s="233"/>
      <c r="J880" s="199"/>
      <c r="K880" s="193" t="s">
        <v>206</v>
      </c>
      <c r="L880" s="232" t="s">
        <v>146</v>
      </c>
      <c r="M880" s="199"/>
      <c r="N880" s="193" t="s">
        <v>227</v>
      </c>
      <c r="O880" s="193" t="s">
        <v>206</v>
      </c>
      <c r="P880" s="193" t="s">
        <v>206</v>
      </c>
      <c r="Q880" s="199"/>
      <c r="R880" s="193" t="s">
        <v>269</v>
      </c>
      <c r="S880" s="193" t="s">
        <v>49</v>
      </c>
      <c r="T880" s="193" t="s">
        <v>229</v>
      </c>
      <c r="U880" s="193" t="s">
        <v>581</v>
      </c>
      <c r="V880" s="193" t="s">
        <v>231</v>
      </c>
      <c r="W880" s="193" t="s">
        <v>212</v>
      </c>
      <c r="X880" s="193" t="s">
        <v>232</v>
      </c>
      <c r="Y880" s="200">
        <v>3.0</v>
      </c>
      <c r="Z880" s="202" t="s">
        <v>233</v>
      </c>
      <c r="AA880" s="202" t="s">
        <v>234</v>
      </c>
      <c r="AB880" s="221"/>
      <c r="AC880" s="203">
        <v>250000.0</v>
      </c>
      <c r="AD880" s="204">
        <v>46291.0</v>
      </c>
      <c r="AE880" s="204">
        <v>46352.0</v>
      </c>
      <c r="AF880" s="226" t="s">
        <v>379</v>
      </c>
      <c r="AG880" s="370"/>
      <c r="AH880" s="370"/>
      <c r="AI880" s="370"/>
      <c r="AJ880" s="370"/>
      <c r="AK880" s="370"/>
      <c r="AL880" s="370"/>
      <c r="AM880" s="370"/>
      <c r="AN880" s="370"/>
      <c r="AO880" s="370"/>
    </row>
    <row r="881">
      <c r="A881" s="193">
        <v>24780.0</v>
      </c>
      <c r="B881" s="232" t="s">
        <v>264</v>
      </c>
      <c r="C881" s="193">
        <v>2026.0</v>
      </c>
      <c r="D881" s="199"/>
      <c r="E881" s="199"/>
      <c r="F881" s="199"/>
      <c r="G881" s="248"/>
      <c r="H881" s="199"/>
      <c r="I881" s="199"/>
      <c r="J881" s="199"/>
      <c r="K881" s="193" t="s">
        <v>206</v>
      </c>
      <c r="L881" s="232" t="s">
        <v>146</v>
      </c>
      <c r="M881" s="199"/>
      <c r="N881" s="193" t="s">
        <v>227</v>
      </c>
      <c r="O881" s="193" t="s">
        <v>206</v>
      </c>
      <c r="P881" s="193" t="s">
        <v>206</v>
      </c>
      <c r="Q881" s="199"/>
      <c r="R881" s="193" t="s">
        <v>269</v>
      </c>
      <c r="S881" s="193" t="s">
        <v>49</v>
      </c>
      <c r="T881" s="193" t="s">
        <v>229</v>
      </c>
      <c r="U881" s="193" t="s">
        <v>473</v>
      </c>
      <c r="V881" s="193" t="s">
        <v>231</v>
      </c>
      <c r="W881" s="193" t="s">
        <v>212</v>
      </c>
      <c r="X881" s="193" t="s">
        <v>232</v>
      </c>
      <c r="Y881" s="200">
        <v>3.0</v>
      </c>
      <c r="Z881" s="202" t="s">
        <v>233</v>
      </c>
      <c r="AA881" s="202" t="s">
        <v>234</v>
      </c>
      <c r="AB881" s="221"/>
      <c r="AC881" s="203">
        <v>250000.0</v>
      </c>
      <c r="AD881" s="204">
        <v>46291.0</v>
      </c>
      <c r="AE881" s="204">
        <v>46352.0</v>
      </c>
      <c r="AF881" s="205"/>
      <c r="AG881" s="370"/>
      <c r="AH881" s="370"/>
      <c r="AI881" s="370"/>
      <c r="AJ881" s="370"/>
      <c r="AK881" s="370"/>
      <c r="AL881" s="370"/>
      <c r="AM881" s="370"/>
      <c r="AN881" s="370"/>
      <c r="AO881" s="370"/>
    </row>
    <row r="882">
      <c r="A882" s="193">
        <v>24800.0</v>
      </c>
      <c r="B882" s="232" t="s">
        <v>264</v>
      </c>
      <c r="C882" s="193">
        <v>2026.0</v>
      </c>
      <c r="D882" s="199"/>
      <c r="E882" s="199"/>
      <c r="F882" s="199"/>
      <c r="G882" s="248"/>
      <c r="H882" s="199"/>
      <c r="I882" s="233"/>
      <c r="J882" s="199"/>
      <c r="K882" s="193" t="s">
        <v>206</v>
      </c>
      <c r="L882" s="232" t="s">
        <v>146</v>
      </c>
      <c r="M882" s="199"/>
      <c r="N882" s="193" t="s">
        <v>337</v>
      </c>
      <c r="O882" s="193" t="s">
        <v>206</v>
      </c>
      <c r="P882" s="193" t="s">
        <v>206</v>
      </c>
      <c r="Q882" s="199"/>
      <c r="R882" s="193" t="s">
        <v>269</v>
      </c>
      <c r="S882" s="193" t="s">
        <v>49</v>
      </c>
      <c r="T882" s="193" t="s">
        <v>358</v>
      </c>
      <c r="U882" s="193" t="s">
        <v>473</v>
      </c>
      <c r="V882" s="193" t="s">
        <v>231</v>
      </c>
      <c r="W882" s="193" t="s">
        <v>212</v>
      </c>
      <c r="X882" s="193" t="s">
        <v>232</v>
      </c>
      <c r="Y882" s="200">
        <v>3.0</v>
      </c>
      <c r="Z882" s="202" t="s">
        <v>233</v>
      </c>
      <c r="AA882" s="202" t="s">
        <v>234</v>
      </c>
      <c r="AB882" s="221"/>
      <c r="AC882" s="203">
        <v>30000.0</v>
      </c>
      <c r="AD882" s="204">
        <v>46291.0</v>
      </c>
      <c r="AE882" s="204">
        <v>46352.0</v>
      </c>
      <c r="AF882" s="205"/>
      <c r="AG882" s="370"/>
      <c r="AH882" s="370"/>
      <c r="AI882" s="370"/>
      <c r="AJ882" s="370"/>
      <c r="AK882" s="370"/>
      <c r="AL882" s="370"/>
      <c r="AM882" s="370"/>
      <c r="AN882" s="370"/>
      <c r="AO882" s="370"/>
    </row>
    <row r="883">
      <c r="A883" s="193">
        <v>24820.0</v>
      </c>
      <c r="B883" s="232" t="s">
        <v>264</v>
      </c>
      <c r="C883" s="193">
        <v>2026.0</v>
      </c>
      <c r="D883" s="199"/>
      <c r="E883" s="199"/>
      <c r="F883" s="193" t="s">
        <v>265</v>
      </c>
      <c r="G883" s="248"/>
      <c r="H883" s="199"/>
      <c r="I883" s="233"/>
      <c r="J883" s="199"/>
      <c r="K883" s="193" t="s">
        <v>206</v>
      </c>
      <c r="L883" s="234" t="s">
        <v>145</v>
      </c>
      <c r="M883" s="199"/>
      <c r="N883" s="193" t="s">
        <v>227</v>
      </c>
      <c r="O883" s="193" t="s">
        <v>206</v>
      </c>
      <c r="P883" s="193" t="s">
        <v>206</v>
      </c>
      <c r="Q883" s="199"/>
      <c r="R883" s="193" t="s">
        <v>228</v>
      </c>
      <c r="S883" s="193" t="s">
        <v>48</v>
      </c>
      <c r="T883" s="193" t="s">
        <v>229</v>
      </c>
      <c r="U883" s="193" t="s">
        <v>1437</v>
      </c>
      <c r="V883" s="193" t="s">
        <v>231</v>
      </c>
      <c r="W883" s="193" t="s">
        <v>212</v>
      </c>
      <c r="X883" s="193" t="s">
        <v>232</v>
      </c>
      <c r="Y883" s="200">
        <v>3.0</v>
      </c>
      <c r="Z883" s="202" t="s">
        <v>233</v>
      </c>
      <c r="AA883" s="202" t="s">
        <v>234</v>
      </c>
      <c r="AB883" s="221"/>
      <c r="AC883" s="203">
        <v>50000.0</v>
      </c>
      <c r="AD883" s="204">
        <v>46291.0</v>
      </c>
      <c r="AE883" s="204">
        <v>46352.0</v>
      </c>
      <c r="AF883" s="205"/>
      <c r="AG883" s="370"/>
      <c r="AH883" s="370"/>
      <c r="AI883" s="370"/>
      <c r="AJ883" s="370"/>
      <c r="AK883" s="370"/>
      <c r="AL883" s="370"/>
      <c r="AM883" s="370"/>
      <c r="AN883" s="370"/>
      <c r="AO883" s="370"/>
    </row>
    <row r="884">
      <c r="A884" s="193">
        <v>24840.0</v>
      </c>
      <c r="B884" s="232" t="s">
        <v>264</v>
      </c>
      <c r="C884" s="193">
        <v>2026.0</v>
      </c>
      <c r="D884" s="199"/>
      <c r="E884" s="199"/>
      <c r="F884" s="199"/>
      <c r="G884" s="248"/>
      <c r="H884" s="199"/>
      <c r="I884" s="233"/>
      <c r="J884" s="199"/>
      <c r="K884" s="193" t="s">
        <v>206</v>
      </c>
      <c r="L884" s="232" t="s">
        <v>146</v>
      </c>
      <c r="M884" s="199"/>
      <c r="N884" s="193" t="s">
        <v>227</v>
      </c>
      <c r="O884" s="193" t="s">
        <v>206</v>
      </c>
      <c r="P884" s="193" t="s">
        <v>206</v>
      </c>
      <c r="Q884" s="199"/>
      <c r="R884" s="193" t="s">
        <v>228</v>
      </c>
      <c r="S884" s="193" t="s">
        <v>48</v>
      </c>
      <c r="T884" s="193" t="s">
        <v>229</v>
      </c>
      <c r="U884" s="193" t="s">
        <v>1439</v>
      </c>
      <c r="V884" s="193" t="s">
        <v>231</v>
      </c>
      <c r="W884" s="193" t="s">
        <v>212</v>
      </c>
      <c r="X884" s="193" t="s">
        <v>232</v>
      </c>
      <c r="Y884" s="200">
        <v>3.0</v>
      </c>
      <c r="Z884" s="202" t="s">
        <v>233</v>
      </c>
      <c r="AA884" s="202" t="s">
        <v>234</v>
      </c>
      <c r="AB884" s="221"/>
      <c r="AC884" s="203">
        <v>130000.0</v>
      </c>
      <c r="AD884" s="276">
        <v>46291.0</v>
      </c>
      <c r="AE884" s="204">
        <v>46352.0</v>
      </c>
      <c r="AF884" s="205"/>
      <c r="AG884" s="370"/>
      <c r="AH884" s="370"/>
      <c r="AI884" s="370"/>
      <c r="AJ884" s="370"/>
      <c r="AK884" s="370"/>
      <c r="AL884" s="370"/>
      <c r="AM884" s="370"/>
      <c r="AN884" s="370"/>
      <c r="AO884" s="370"/>
    </row>
    <row r="885">
      <c r="A885" s="193">
        <v>24860.0</v>
      </c>
      <c r="B885" s="232" t="s">
        <v>264</v>
      </c>
      <c r="C885" s="193">
        <v>2026.0</v>
      </c>
      <c r="D885" s="199"/>
      <c r="E885" s="199"/>
      <c r="F885" s="199"/>
      <c r="G885" s="248"/>
      <c r="H885" s="199"/>
      <c r="I885" s="233"/>
      <c r="J885" s="199"/>
      <c r="K885" s="193" t="s">
        <v>206</v>
      </c>
      <c r="L885" s="232" t="s">
        <v>146</v>
      </c>
      <c r="M885" s="199"/>
      <c r="N885" s="193" t="s">
        <v>227</v>
      </c>
      <c r="O885" s="193" t="s">
        <v>206</v>
      </c>
      <c r="P885" s="193" t="s">
        <v>206</v>
      </c>
      <c r="Q885" s="199"/>
      <c r="R885" s="193" t="s">
        <v>228</v>
      </c>
      <c r="S885" s="193" t="s">
        <v>48</v>
      </c>
      <c r="T885" s="193" t="s">
        <v>229</v>
      </c>
      <c r="U885" s="193" t="s">
        <v>1440</v>
      </c>
      <c r="V885" s="193" t="s">
        <v>231</v>
      </c>
      <c r="W885" s="193" t="s">
        <v>212</v>
      </c>
      <c r="X885" s="193" t="s">
        <v>232</v>
      </c>
      <c r="Y885" s="200">
        <v>3.0</v>
      </c>
      <c r="Z885" s="202" t="s">
        <v>233</v>
      </c>
      <c r="AA885" s="202" t="s">
        <v>234</v>
      </c>
      <c r="AB885" s="221"/>
      <c r="AC885" s="203">
        <v>130000.0</v>
      </c>
      <c r="AD885" s="204">
        <v>46291.0</v>
      </c>
      <c r="AE885" s="204">
        <v>46352.0</v>
      </c>
      <c r="AF885" s="205"/>
      <c r="AG885" s="370"/>
      <c r="AH885" s="370"/>
      <c r="AI885" s="370"/>
      <c r="AJ885" s="370"/>
      <c r="AK885" s="370"/>
      <c r="AL885" s="370"/>
      <c r="AM885" s="370"/>
      <c r="AN885" s="370"/>
      <c r="AO885" s="370"/>
    </row>
    <row r="886">
      <c r="A886" s="193">
        <v>24880.0</v>
      </c>
      <c r="B886" s="232" t="s">
        <v>264</v>
      </c>
      <c r="C886" s="193">
        <v>2026.0</v>
      </c>
      <c r="D886" s="199"/>
      <c r="E886" s="199"/>
      <c r="F886" s="199"/>
      <c r="G886" s="248"/>
      <c r="H886" s="199"/>
      <c r="I886" s="233"/>
      <c r="J886" s="199"/>
      <c r="K886" s="193" t="s">
        <v>206</v>
      </c>
      <c r="L886" s="232" t="s">
        <v>146</v>
      </c>
      <c r="M886" s="199"/>
      <c r="N886" s="193" t="s">
        <v>227</v>
      </c>
      <c r="O886" s="193" t="s">
        <v>206</v>
      </c>
      <c r="P886" s="193" t="s">
        <v>206</v>
      </c>
      <c r="Q886" s="199"/>
      <c r="R886" s="193" t="s">
        <v>279</v>
      </c>
      <c r="S886" s="193" t="s">
        <v>50</v>
      </c>
      <c r="T886" s="193" t="s">
        <v>229</v>
      </c>
      <c r="U886" s="193" t="s">
        <v>473</v>
      </c>
      <c r="V886" s="193" t="s">
        <v>50</v>
      </c>
      <c r="W886" s="193" t="s">
        <v>264</v>
      </c>
      <c r="X886" s="193" t="s">
        <v>232</v>
      </c>
      <c r="Y886" s="200">
        <v>3.0</v>
      </c>
      <c r="Z886" s="202" t="s">
        <v>233</v>
      </c>
      <c r="AA886" s="202" t="s">
        <v>234</v>
      </c>
      <c r="AB886" s="221"/>
      <c r="AC886" s="203">
        <v>68000.0</v>
      </c>
      <c r="AD886" s="204">
        <v>46291.0</v>
      </c>
      <c r="AE886" s="204">
        <v>46352.0</v>
      </c>
      <c r="AF886" s="205"/>
      <c r="AG886" s="370"/>
      <c r="AH886" s="370"/>
      <c r="AI886" s="370"/>
      <c r="AJ886" s="370"/>
      <c r="AK886" s="370"/>
      <c r="AL886" s="370"/>
      <c r="AM886" s="370"/>
      <c r="AN886" s="370"/>
      <c r="AO886" s="370"/>
    </row>
    <row r="887">
      <c r="A887" s="193">
        <v>24900.0</v>
      </c>
      <c r="B887" s="232" t="s">
        <v>264</v>
      </c>
      <c r="C887" s="193">
        <v>2026.0</v>
      </c>
      <c r="D887" s="199"/>
      <c r="E887" s="199"/>
      <c r="F887" s="199"/>
      <c r="G887" s="248"/>
      <c r="H887" s="199"/>
      <c r="I887" s="233"/>
      <c r="J887" s="199"/>
      <c r="K887" s="193" t="s">
        <v>206</v>
      </c>
      <c r="L887" s="232" t="s">
        <v>146</v>
      </c>
      <c r="M887" s="199"/>
      <c r="N887" s="193" t="s">
        <v>227</v>
      </c>
      <c r="O887" s="193" t="s">
        <v>206</v>
      </c>
      <c r="P887" s="193" t="s">
        <v>206</v>
      </c>
      <c r="Q887" s="199"/>
      <c r="R887" s="193" t="s">
        <v>279</v>
      </c>
      <c r="S887" s="193" t="s">
        <v>50</v>
      </c>
      <c r="T887" s="193" t="s">
        <v>229</v>
      </c>
      <c r="U887" s="193" t="s">
        <v>473</v>
      </c>
      <c r="V887" s="193" t="s">
        <v>50</v>
      </c>
      <c r="W887" s="193" t="s">
        <v>264</v>
      </c>
      <c r="X887" s="193" t="s">
        <v>232</v>
      </c>
      <c r="Y887" s="200">
        <v>3.0</v>
      </c>
      <c r="Z887" s="202" t="s">
        <v>233</v>
      </c>
      <c r="AA887" s="202" t="s">
        <v>234</v>
      </c>
      <c r="AB887" s="221"/>
      <c r="AC887" s="203">
        <v>497000.0</v>
      </c>
      <c r="AD887" s="204">
        <v>46291.0</v>
      </c>
      <c r="AE887" s="204">
        <v>46352.0</v>
      </c>
      <c r="AF887" s="205"/>
      <c r="AG887" s="370"/>
      <c r="AH887" s="370"/>
      <c r="AI887" s="370"/>
      <c r="AJ887" s="370"/>
      <c r="AK887" s="370"/>
      <c r="AL887" s="370"/>
      <c r="AM887" s="370"/>
      <c r="AN887" s="370"/>
      <c r="AO887" s="370"/>
    </row>
    <row r="888">
      <c r="A888" s="193">
        <v>24920.0</v>
      </c>
      <c r="B888" s="232" t="s">
        <v>264</v>
      </c>
      <c r="C888" s="193">
        <v>2026.0</v>
      </c>
      <c r="D888" s="199"/>
      <c r="E888" s="199"/>
      <c r="F888" s="199"/>
      <c r="G888" s="248"/>
      <c r="H888" s="199"/>
      <c r="I888" s="233"/>
      <c r="J888" s="199"/>
      <c r="K888" s="193" t="s">
        <v>206</v>
      </c>
      <c r="L888" s="232" t="s">
        <v>146</v>
      </c>
      <c r="M888" s="199"/>
      <c r="N888" s="193" t="s">
        <v>227</v>
      </c>
      <c r="O888" s="193" t="s">
        <v>206</v>
      </c>
      <c r="P888" s="193" t="s">
        <v>206</v>
      </c>
      <c r="Q888" s="199"/>
      <c r="R888" s="193" t="s">
        <v>279</v>
      </c>
      <c r="S888" s="193" t="s">
        <v>50</v>
      </c>
      <c r="T888" s="193" t="s">
        <v>229</v>
      </c>
      <c r="U888" s="193" t="s">
        <v>473</v>
      </c>
      <c r="V888" s="193" t="s">
        <v>50</v>
      </c>
      <c r="W888" s="193" t="s">
        <v>264</v>
      </c>
      <c r="X888" s="193" t="s">
        <v>232</v>
      </c>
      <c r="Y888" s="200">
        <v>3.0</v>
      </c>
      <c r="Z888" s="202" t="s">
        <v>233</v>
      </c>
      <c r="AA888" s="202" t="s">
        <v>234</v>
      </c>
      <c r="AB888" s="221"/>
      <c r="AC888" s="203">
        <v>280000.0</v>
      </c>
      <c r="AD888" s="204">
        <v>46291.0</v>
      </c>
      <c r="AE888" s="204">
        <v>46352.0</v>
      </c>
      <c r="AF888" s="205"/>
      <c r="AG888" s="370"/>
      <c r="AH888" s="370"/>
      <c r="AI888" s="370"/>
      <c r="AJ888" s="370"/>
      <c r="AK888" s="370"/>
      <c r="AL888" s="370"/>
      <c r="AM888" s="370"/>
      <c r="AN888" s="370"/>
      <c r="AO888" s="370"/>
    </row>
    <row r="889">
      <c r="A889" s="193">
        <v>24940.0</v>
      </c>
      <c r="B889" s="232" t="s">
        <v>264</v>
      </c>
      <c r="C889" s="193">
        <v>2026.0</v>
      </c>
      <c r="D889" s="199"/>
      <c r="E889" s="199"/>
      <c r="F889" s="199"/>
      <c r="G889" s="248"/>
      <c r="H889" s="199"/>
      <c r="I889" s="233"/>
      <c r="J889" s="199"/>
      <c r="K889" s="193" t="s">
        <v>206</v>
      </c>
      <c r="L889" s="232" t="s">
        <v>146</v>
      </c>
      <c r="M889" s="199"/>
      <c r="N889" s="193" t="s">
        <v>227</v>
      </c>
      <c r="O889" s="193" t="s">
        <v>206</v>
      </c>
      <c r="P889" s="193" t="s">
        <v>206</v>
      </c>
      <c r="Q889" s="207"/>
      <c r="R889" s="208" t="s">
        <v>279</v>
      </c>
      <c r="S889" s="193" t="s">
        <v>50</v>
      </c>
      <c r="T889" s="193" t="s">
        <v>229</v>
      </c>
      <c r="U889" s="193" t="s">
        <v>473</v>
      </c>
      <c r="V889" s="193" t="s">
        <v>50</v>
      </c>
      <c r="W889" s="193" t="s">
        <v>264</v>
      </c>
      <c r="X889" s="193" t="s">
        <v>232</v>
      </c>
      <c r="Y889" s="200">
        <v>3.0</v>
      </c>
      <c r="Z889" s="202" t="s">
        <v>233</v>
      </c>
      <c r="AA889" s="202" t="s">
        <v>234</v>
      </c>
      <c r="AB889" s="221"/>
      <c r="AC889" s="203">
        <v>250000.0</v>
      </c>
      <c r="AD889" s="204">
        <v>46291.0</v>
      </c>
      <c r="AE889" s="204">
        <v>46352.0</v>
      </c>
      <c r="AF889" s="205"/>
      <c r="AG889" s="370"/>
      <c r="AH889" s="370"/>
      <c r="AI889" s="370"/>
      <c r="AJ889" s="370"/>
      <c r="AK889" s="370"/>
      <c r="AL889" s="370"/>
      <c r="AM889" s="370"/>
      <c r="AN889" s="370"/>
      <c r="AO889" s="370"/>
    </row>
    <row r="890">
      <c r="A890" s="193">
        <v>24960.0</v>
      </c>
      <c r="B890" s="232" t="s">
        <v>264</v>
      </c>
      <c r="C890" s="193">
        <v>2026.0</v>
      </c>
      <c r="D890" s="199"/>
      <c r="E890" s="199"/>
      <c r="F890" s="199"/>
      <c r="G890" s="248"/>
      <c r="H890" s="199"/>
      <c r="I890" s="233"/>
      <c r="J890" s="199"/>
      <c r="K890" s="193" t="s">
        <v>206</v>
      </c>
      <c r="L890" s="232" t="s">
        <v>146</v>
      </c>
      <c r="M890" s="199"/>
      <c r="N890" s="193" t="s">
        <v>207</v>
      </c>
      <c r="O890" s="193" t="s">
        <v>206</v>
      </c>
      <c r="P890" s="193" t="s">
        <v>206</v>
      </c>
      <c r="Q890" s="199"/>
      <c r="R890" s="193" t="s">
        <v>219</v>
      </c>
      <c r="S890" s="193" t="s">
        <v>44</v>
      </c>
      <c r="T890" s="193" t="s">
        <v>220</v>
      </c>
      <c r="U890" s="193" t="s">
        <v>1443</v>
      </c>
      <c r="V890" s="193" t="s">
        <v>290</v>
      </c>
      <c r="W890" s="193" t="s">
        <v>212</v>
      </c>
      <c r="X890" s="193" t="s">
        <v>252</v>
      </c>
      <c r="Y890" s="200">
        <v>3.0</v>
      </c>
      <c r="Z890" s="202" t="s">
        <v>214</v>
      </c>
      <c r="AA890" s="202" t="s">
        <v>215</v>
      </c>
      <c r="AB890" s="203">
        <v>504000.0</v>
      </c>
      <c r="AC890" s="203">
        <v>504000.0</v>
      </c>
      <c r="AD890" s="204">
        <v>46291.0</v>
      </c>
      <c r="AE890" s="204">
        <v>46352.0</v>
      </c>
      <c r="AF890" s="205"/>
      <c r="AG890" s="370"/>
      <c r="AH890" s="370"/>
      <c r="AI890" s="370"/>
      <c r="AJ890" s="370"/>
      <c r="AK890" s="370"/>
      <c r="AL890" s="370"/>
      <c r="AM890" s="370"/>
      <c r="AN890" s="370"/>
      <c r="AO890" s="370"/>
    </row>
    <row r="891">
      <c r="A891" s="193">
        <v>24980.0</v>
      </c>
      <c r="B891" s="232" t="s">
        <v>264</v>
      </c>
      <c r="C891" s="193">
        <v>2026.0</v>
      </c>
      <c r="D891" s="199"/>
      <c r="E891" s="199"/>
      <c r="F891" s="199"/>
      <c r="G891" s="248"/>
      <c r="H891" s="199"/>
      <c r="I891" s="233"/>
      <c r="J891" s="199"/>
      <c r="K891" s="193" t="s">
        <v>206</v>
      </c>
      <c r="L891" s="232" t="s">
        <v>146</v>
      </c>
      <c r="M891" s="199"/>
      <c r="N891" s="193" t="s">
        <v>207</v>
      </c>
      <c r="O891" s="193" t="s">
        <v>206</v>
      </c>
      <c r="P891" s="193" t="s">
        <v>206</v>
      </c>
      <c r="Q891" s="199"/>
      <c r="R891" s="193" t="s">
        <v>279</v>
      </c>
      <c r="S891" s="193" t="s">
        <v>50</v>
      </c>
      <c r="T891" s="193" t="s">
        <v>479</v>
      </c>
      <c r="U891" s="193" t="s">
        <v>1444</v>
      </c>
      <c r="V891" s="193" t="s">
        <v>50</v>
      </c>
      <c r="W891" s="193" t="s">
        <v>264</v>
      </c>
      <c r="X891" s="193" t="s">
        <v>252</v>
      </c>
      <c r="Y891" s="200">
        <v>3.0</v>
      </c>
      <c r="Z891" s="202" t="s">
        <v>233</v>
      </c>
      <c r="AA891" s="202" t="s">
        <v>215</v>
      </c>
      <c r="AB891" s="203">
        <v>135000.0</v>
      </c>
      <c r="AC891" s="203">
        <v>135000.0</v>
      </c>
      <c r="AD891" s="204">
        <v>46291.0</v>
      </c>
      <c r="AE891" s="204">
        <v>46352.0</v>
      </c>
      <c r="AF891" s="205"/>
      <c r="AG891" s="370"/>
      <c r="AH891" s="370"/>
      <c r="AI891" s="370"/>
      <c r="AJ891" s="370"/>
      <c r="AK891" s="370"/>
      <c r="AL891" s="370"/>
      <c r="AM891" s="370"/>
      <c r="AN891" s="370"/>
      <c r="AO891" s="370"/>
    </row>
    <row r="892">
      <c r="A892" s="193">
        <v>25000.0</v>
      </c>
      <c r="B892" s="232" t="s">
        <v>264</v>
      </c>
      <c r="C892" s="193">
        <v>2026.0</v>
      </c>
      <c r="D892" s="199"/>
      <c r="E892" s="199"/>
      <c r="F892" s="199"/>
      <c r="G892" s="248"/>
      <c r="H892" s="199"/>
      <c r="I892" s="233"/>
      <c r="J892" s="199"/>
      <c r="K892" s="193" t="s">
        <v>206</v>
      </c>
      <c r="L892" s="232" t="s">
        <v>146</v>
      </c>
      <c r="M892" s="199"/>
      <c r="N892" s="193" t="s">
        <v>207</v>
      </c>
      <c r="O892" s="193" t="s">
        <v>206</v>
      </c>
      <c r="P892" s="193" t="s">
        <v>206</v>
      </c>
      <c r="Q892" s="199"/>
      <c r="R892" s="193" t="s">
        <v>279</v>
      </c>
      <c r="S892" s="193" t="s">
        <v>50</v>
      </c>
      <c r="T892" s="193" t="s">
        <v>479</v>
      </c>
      <c r="U892" s="193" t="s">
        <v>1444</v>
      </c>
      <c r="V892" s="193" t="s">
        <v>50</v>
      </c>
      <c r="W892" s="193" t="s">
        <v>264</v>
      </c>
      <c r="X892" s="193" t="s">
        <v>252</v>
      </c>
      <c r="Y892" s="200">
        <v>3.0</v>
      </c>
      <c r="Z892" s="202" t="s">
        <v>233</v>
      </c>
      <c r="AA892" s="202" t="s">
        <v>215</v>
      </c>
      <c r="AB892" s="203">
        <v>135000.0</v>
      </c>
      <c r="AC892" s="203">
        <v>135000.0</v>
      </c>
      <c r="AD892" s="204">
        <v>46291.0</v>
      </c>
      <c r="AE892" s="204">
        <v>46352.0</v>
      </c>
      <c r="AF892" s="205"/>
      <c r="AG892" s="370"/>
      <c r="AH892" s="370"/>
      <c r="AI892" s="370"/>
      <c r="AJ892" s="370"/>
      <c r="AK892" s="370"/>
      <c r="AL892" s="370"/>
      <c r="AM892" s="370"/>
      <c r="AN892" s="370"/>
      <c r="AO892" s="370"/>
    </row>
    <row r="893">
      <c r="A893" s="193">
        <v>25020.0</v>
      </c>
      <c r="B893" s="232" t="s">
        <v>264</v>
      </c>
      <c r="C893" s="193">
        <v>2026.0</v>
      </c>
      <c r="D893" s="199"/>
      <c r="E893" s="199"/>
      <c r="F893" s="199"/>
      <c r="G893" s="248"/>
      <c r="H893" s="199"/>
      <c r="I893" s="233"/>
      <c r="J893" s="199"/>
      <c r="K893" s="193" t="s">
        <v>206</v>
      </c>
      <c r="L893" s="232" t="s">
        <v>146</v>
      </c>
      <c r="M893" s="199"/>
      <c r="N893" s="193" t="s">
        <v>207</v>
      </c>
      <c r="O893" s="193" t="s">
        <v>206</v>
      </c>
      <c r="P893" s="193" t="s">
        <v>206</v>
      </c>
      <c r="Q893" s="199"/>
      <c r="R893" s="193" t="s">
        <v>279</v>
      </c>
      <c r="S893" s="193" t="s">
        <v>50</v>
      </c>
      <c r="T893" s="193" t="s">
        <v>479</v>
      </c>
      <c r="U893" s="193" t="s">
        <v>1444</v>
      </c>
      <c r="V893" s="193" t="s">
        <v>50</v>
      </c>
      <c r="W893" s="193" t="s">
        <v>264</v>
      </c>
      <c r="X893" s="193" t="s">
        <v>252</v>
      </c>
      <c r="Y893" s="200">
        <v>3.0</v>
      </c>
      <c r="Z893" s="202" t="s">
        <v>233</v>
      </c>
      <c r="AA893" s="202" t="s">
        <v>215</v>
      </c>
      <c r="AB893" s="203">
        <v>621000.0</v>
      </c>
      <c r="AC893" s="203">
        <v>621000.0</v>
      </c>
      <c r="AD893" s="204">
        <v>46291.0</v>
      </c>
      <c r="AE893" s="204">
        <v>46352.0</v>
      </c>
      <c r="AF893" s="205"/>
      <c r="AG893" s="370"/>
      <c r="AH893" s="370"/>
      <c r="AI893" s="370"/>
      <c r="AJ893" s="370"/>
      <c r="AK893" s="370"/>
      <c r="AL893" s="370"/>
      <c r="AM893" s="370"/>
      <c r="AN893" s="370"/>
      <c r="AO893" s="370"/>
    </row>
    <row r="894">
      <c r="A894" s="193">
        <v>25040.0</v>
      </c>
      <c r="B894" s="232" t="s">
        <v>264</v>
      </c>
      <c r="C894" s="193">
        <v>2026.0</v>
      </c>
      <c r="D894" s="199"/>
      <c r="E894" s="199"/>
      <c r="F894" s="207"/>
      <c r="G894" s="248"/>
      <c r="H894" s="199"/>
      <c r="I894" s="233"/>
      <c r="J894" s="199"/>
      <c r="K894" s="193" t="s">
        <v>206</v>
      </c>
      <c r="L894" s="232" t="s">
        <v>146</v>
      </c>
      <c r="M894" s="199"/>
      <c r="N894" s="193" t="s">
        <v>207</v>
      </c>
      <c r="O894" s="193" t="s">
        <v>206</v>
      </c>
      <c r="P894" s="193" t="s">
        <v>206</v>
      </c>
      <c r="Q894" s="199"/>
      <c r="R894" s="193" t="s">
        <v>279</v>
      </c>
      <c r="S894" s="193" t="s">
        <v>50</v>
      </c>
      <c r="T894" s="193" t="s">
        <v>479</v>
      </c>
      <c r="U894" s="193" t="s">
        <v>1444</v>
      </c>
      <c r="V894" s="193" t="s">
        <v>50</v>
      </c>
      <c r="W894" s="193" t="s">
        <v>264</v>
      </c>
      <c r="X894" s="193" t="s">
        <v>252</v>
      </c>
      <c r="Y894" s="200">
        <v>3.0</v>
      </c>
      <c r="Z894" s="202" t="s">
        <v>233</v>
      </c>
      <c r="AA894" s="202" t="s">
        <v>215</v>
      </c>
      <c r="AB894" s="203">
        <v>430000.0</v>
      </c>
      <c r="AC894" s="203">
        <v>430000.0</v>
      </c>
      <c r="AD894" s="204">
        <v>46291.0</v>
      </c>
      <c r="AE894" s="204">
        <v>46352.0</v>
      </c>
      <c r="AF894" s="205"/>
      <c r="AG894" s="370"/>
      <c r="AH894" s="370"/>
      <c r="AI894" s="370"/>
      <c r="AJ894" s="370"/>
      <c r="AK894" s="370"/>
      <c r="AL894" s="370"/>
      <c r="AM894" s="370"/>
      <c r="AN894" s="370"/>
      <c r="AO894" s="370"/>
    </row>
    <row r="895">
      <c r="A895" s="193">
        <v>25060.0</v>
      </c>
      <c r="B895" s="232" t="s">
        <v>264</v>
      </c>
      <c r="C895" s="193">
        <v>2026.0</v>
      </c>
      <c r="D895" s="199"/>
      <c r="E895" s="196"/>
      <c r="F895" s="199"/>
      <c r="G895" s="266"/>
      <c r="H895" s="199"/>
      <c r="I895" s="233"/>
      <c r="J895" s="199"/>
      <c r="K895" s="193" t="s">
        <v>206</v>
      </c>
      <c r="L895" s="232" t="s">
        <v>146</v>
      </c>
      <c r="M895" s="199"/>
      <c r="N895" s="193" t="s">
        <v>207</v>
      </c>
      <c r="O895" s="193" t="s">
        <v>206</v>
      </c>
      <c r="P895" s="193" t="s">
        <v>206</v>
      </c>
      <c r="Q895" s="199"/>
      <c r="R895" s="193" t="s">
        <v>279</v>
      </c>
      <c r="S895" s="193" t="s">
        <v>50</v>
      </c>
      <c r="T895" s="193" t="s">
        <v>479</v>
      </c>
      <c r="U895" s="193" t="s">
        <v>1444</v>
      </c>
      <c r="V895" s="193" t="s">
        <v>50</v>
      </c>
      <c r="W895" s="193" t="s">
        <v>264</v>
      </c>
      <c r="X895" s="193" t="s">
        <v>252</v>
      </c>
      <c r="Y895" s="200">
        <v>3.0</v>
      </c>
      <c r="Z895" s="202" t="s">
        <v>233</v>
      </c>
      <c r="AA895" s="202" t="s">
        <v>215</v>
      </c>
      <c r="AB895" s="203">
        <v>378000.0</v>
      </c>
      <c r="AC895" s="203">
        <v>378000.0</v>
      </c>
      <c r="AD895" s="204">
        <v>46291.0</v>
      </c>
      <c r="AE895" s="204">
        <v>46352.0</v>
      </c>
      <c r="AF895" s="205"/>
      <c r="AG895" s="370"/>
      <c r="AH895" s="370"/>
      <c r="AI895" s="370"/>
      <c r="AJ895" s="370"/>
      <c r="AK895" s="370"/>
      <c r="AL895" s="370"/>
      <c r="AM895" s="370"/>
      <c r="AN895" s="370"/>
      <c r="AO895" s="370"/>
    </row>
    <row r="896">
      <c r="A896" s="193">
        <v>25080.0</v>
      </c>
      <c r="B896" s="194" t="s">
        <v>203</v>
      </c>
      <c r="C896" s="193">
        <v>2026.0</v>
      </c>
      <c r="D896" s="195">
        <v>2048.0</v>
      </c>
      <c r="E896" s="193">
        <v>102.0</v>
      </c>
      <c r="F896" s="208" t="s">
        <v>293</v>
      </c>
      <c r="G896" s="248"/>
      <c r="H896" s="199"/>
      <c r="I896" s="233"/>
      <c r="J896" s="199"/>
      <c r="K896" s="243" t="s">
        <v>206</v>
      </c>
      <c r="L896" s="194" t="s">
        <v>144</v>
      </c>
      <c r="M896" s="199"/>
      <c r="N896" s="193" t="s">
        <v>207</v>
      </c>
      <c r="O896" s="193" t="s">
        <v>206</v>
      </c>
      <c r="P896" s="193" t="s">
        <v>244</v>
      </c>
      <c r="Q896" s="199"/>
      <c r="R896" s="193" t="s">
        <v>208</v>
      </c>
      <c r="S896" s="193" t="s">
        <v>39</v>
      </c>
      <c r="T896" s="193" t="s">
        <v>250</v>
      </c>
      <c r="U896" s="193" t="s">
        <v>1445</v>
      </c>
      <c r="V896" s="193" t="s">
        <v>155</v>
      </c>
      <c r="W896" s="193" t="s">
        <v>203</v>
      </c>
      <c r="X896" s="193" t="s">
        <v>252</v>
      </c>
      <c r="Y896" s="200">
        <v>3.0</v>
      </c>
      <c r="Z896" s="202" t="s">
        <v>214</v>
      </c>
      <c r="AA896" s="202" t="s">
        <v>215</v>
      </c>
      <c r="AB896" s="203">
        <v>2500000.0</v>
      </c>
      <c r="AC896" s="203">
        <v>2500000.0</v>
      </c>
      <c r="AD896" s="249">
        <v>46321.0</v>
      </c>
      <c r="AE896" s="204">
        <v>46321.0</v>
      </c>
      <c r="AF896" s="205"/>
      <c r="AG896" s="370"/>
      <c r="AH896" s="370"/>
      <c r="AI896" s="370"/>
      <c r="AJ896" s="370"/>
      <c r="AK896" s="370"/>
      <c r="AL896" s="370"/>
      <c r="AM896" s="370"/>
      <c r="AN896" s="370"/>
      <c r="AO896" s="370"/>
    </row>
    <row r="897">
      <c r="A897" s="193">
        <v>25100.0</v>
      </c>
      <c r="B897" s="194" t="s">
        <v>203</v>
      </c>
      <c r="C897" s="193">
        <v>2026.0</v>
      </c>
      <c r="D897" s="195">
        <v>2048.0</v>
      </c>
      <c r="E897" s="199"/>
      <c r="F897" s="193" t="s">
        <v>204</v>
      </c>
      <c r="G897" s="230">
        <v>46255.0</v>
      </c>
      <c r="H897" s="252">
        <v>12727.0</v>
      </c>
      <c r="I897" s="198">
        <v>46255.0</v>
      </c>
      <c r="J897" s="193" t="s">
        <v>759</v>
      </c>
      <c r="K897" s="193" t="s">
        <v>206</v>
      </c>
      <c r="L897" s="194" t="s">
        <v>144</v>
      </c>
      <c r="M897" s="199"/>
      <c r="N897" s="193" t="s">
        <v>207</v>
      </c>
      <c r="O897" s="193" t="s">
        <v>206</v>
      </c>
      <c r="P897" s="193" t="s">
        <v>244</v>
      </c>
      <c r="Q897" s="199"/>
      <c r="R897" s="193" t="s">
        <v>219</v>
      </c>
      <c r="S897" s="193" t="s">
        <v>43</v>
      </c>
      <c r="T897" s="193" t="s">
        <v>377</v>
      </c>
      <c r="U897" s="193" t="s">
        <v>1446</v>
      </c>
      <c r="V897" s="193" t="s">
        <v>155</v>
      </c>
      <c r="W897" s="193" t="s">
        <v>203</v>
      </c>
      <c r="X897" s="193" t="s">
        <v>252</v>
      </c>
      <c r="Y897" s="200">
        <v>3.0</v>
      </c>
      <c r="Z897" s="202" t="s">
        <v>233</v>
      </c>
      <c r="AA897" s="202" t="s">
        <v>215</v>
      </c>
      <c r="AB897" s="203">
        <v>861045.71</v>
      </c>
      <c r="AC897" s="203">
        <v>861045.71</v>
      </c>
      <c r="AD897" s="204">
        <v>46260.0</v>
      </c>
      <c r="AE897" s="204">
        <v>46291.0</v>
      </c>
      <c r="AF897" s="226" t="s">
        <v>1447</v>
      </c>
      <c r="AG897" s="370"/>
      <c r="AH897" s="370"/>
      <c r="AI897" s="370"/>
      <c r="AJ897" s="370"/>
      <c r="AK897" s="370"/>
      <c r="AL897" s="370"/>
      <c r="AM897" s="370"/>
      <c r="AN897" s="370"/>
      <c r="AO897" s="370"/>
    </row>
    <row r="898">
      <c r="A898" s="193">
        <v>25120.0</v>
      </c>
      <c r="B898" s="232" t="s">
        <v>264</v>
      </c>
      <c r="C898" s="193">
        <v>2026.0</v>
      </c>
      <c r="D898" s="199"/>
      <c r="E898" s="199"/>
      <c r="F898" s="199"/>
      <c r="G898" s="248"/>
      <c r="H898" s="199"/>
      <c r="I898" s="235"/>
      <c r="J898" s="199"/>
      <c r="K898" s="193" t="s">
        <v>206</v>
      </c>
      <c r="L898" s="232" t="s">
        <v>146</v>
      </c>
      <c r="M898" s="199"/>
      <c r="N898" s="193" t="s">
        <v>337</v>
      </c>
      <c r="O898" s="193" t="s">
        <v>206</v>
      </c>
      <c r="P898" s="193" t="s">
        <v>244</v>
      </c>
      <c r="Q898" s="199"/>
      <c r="R898" s="193" t="s">
        <v>219</v>
      </c>
      <c r="S898" s="193" t="s">
        <v>43</v>
      </c>
      <c r="T898" s="193" t="s">
        <v>229</v>
      </c>
      <c r="U898" s="193" t="s">
        <v>1448</v>
      </c>
      <c r="V898" s="193" t="s">
        <v>155</v>
      </c>
      <c r="W898" s="193" t="s">
        <v>203</v>
      </c>
      <c r="X898" s="193" t="s">
        <v>232</v>
      </c>
      <c r="Y898" s="200">
        <v>3.0</v>
      </c>
      <c r="Z898" s="202" t="s">
        <v>233</v>
      </c>
      <c r="AA898" s="202" t="s">
        <v>234</v>
      </c>
      <c r="AB898" s="221"/>
      <c r="AC898" s="203">
        <v>600000.0</v>
      </c>
      <c r="AD898" s="204">
        <v>46321.0</v>
      </c>
      <c r="AE898" s="204">
        <v>46321.0</v>
      </c>
      <c r="AF898" s="226" t="s">
        <v>379</v>
      </c>
      <c r="AG898" s="370"/>
      <c r="AH898" s="370"/>
      <c r="AI898" s="370"/>
      <c r="AJ898" s="370"/>
      <c r="AK898" s="370"/>
      <c r="AL898" s="370"/>
      <c r="AM898" s="370"/>
      <c r="AN898" s="370"/>
      <c r="AO898" s="370"/>
    </row>
    <row r="899">
      <c r="A899" s="193">
        <v>25140.0</v>
      </c>
      <c r="B899" s="232" t="s">
        <v>264</v>
      </c>
      <c r="C899" s="193">
        <v>2026.0</v>
      </c>
      <c r="D899" s="199"/>
      <c r="E899" s="199"/>
      <c r="F899" s="199"/>
      <c r="G899" s="248"/>
      <c r="H899" s="199"/>
      <c r="I899" s="233"/>
      <c r="J899" s="199"/>
      <c r="K899" s="193" t="s">
        <v>206</v>
      </c>
      <c r="L899" s="232" t="s">
        <v>146</v>
      </c>
      <c r="M899" s="199"/>
      <c r="N899" s="193" t="s">
        <v>475</v>
      </c>
      <c r="O899" s="193" t="s">
        <v>206</v>
      </c>
      <c r="P899" s="193" t="s">
        <v>206</v>
      </c>
      <c r="Q899" s="199"/>
      <c r="R899" s="193" t="s">
        <v>279</v>
      </c>
      <c r="S899" s="193" t="s">
        <v>50</v>
      </c>
      <c r="T899" s="193" t="s">
        <v>536</v>
      </c>
      <c r="U899" s="193" t="s">
        <v>671</v>
      </c>
      <c r="V899" s="193" t="s">
        <v>50</v>
      </c>
      <c r="W899" s="193" t="s">
        <v>264</v>
      </c>
      <c r="X899" s="193" t="s">
        <v>232</v>
      </c>
      <c r="Y899" s="200">
        <v>3.0</v>
      </c>
      <c r="Z899" s="202" t="s">
        <v>233</v>
      </c>
      <c r="AA899" s="202" t="s">
        <v>215</v>
      </c>
      <c r="AB899" s="203">
        <v>54000.0</v>
      </c>
      <c r="AC899" s="203">
        <v>54000.0</v>
      </c>
      <c r="AD899" s="204">
        <v>46321.0</v>
      </c>
      <c r="AE899" s="204">
        <v>46382.0</v>
      </c>
      <c r="AF899" s="205"/>
      <c r="AG899" s="370"/>
      <c r="AH899" s="370"/>
      <c r="AI899" s="370"/>
      <c r="AJ899" s="370"/>
      <c r="AK899" s="370"/>
      <c r="AL899" s="370"/>
      <c r="AM899" s="370"/>
      <c r="AN899" s="370"/>
      <c r="AO899" s="370"/>
    </row>
    <row r="900">
      <c r="A900" s="193">
        <v>25160.0</v>
      </c>
      <c r="B900" s="232" t="s">
        <v>264</v>
      </c>
      <c r="C900" s="193">
        <v>2026.0</v>
      </c>
      <c r="D900" s="199"/>
      <c r="E900" s="199"/>
      <c r="F900" s="199"/>
      <c r="G900" s="248"/>
      <c r="H900" s="199"/>
      <c r="I900" s="233"/>
      <c r="J900" s="199"/>
      <c r="K900" s="193" t="s">
        <v>206</v>
      </c>
      <c r="L900" s="232" t="s">
        <v>146</v>
      </c>
      <c r="M900" s="199"/>
      <c r="N900" s="193" t="s">
        <v>475</v>
      </c>
      <c r="O900" s="193" t="s">
        <v>206</v>
      </c>
      <c r="P900" s="193" t="s">
        <v>206</v>
      </c>
      <c r="Q900" s="207"/>
      <c r="R900" s="208" t="s">
        <v>279</v>
      </c>
      <c r="S900" s="193" t="s">
        <v>50</v>
      </c>
      <c r="T900" s="193" t="s">
        <v>1449</v>
      </c>
      <c r="U900" s="193" t="s">
        <v>668</v>
      </c>
      <c r="V900" s="193" t="s">
        <v>50</v>
      </c>
      <c r="W900" s="193" t="s">
        <v>264</v>
      </c>
      <c r="X900" s="193" t="s">
        <v>232</v>
      </c>
      <c r="Y900" s="200">
        <v>4.0</v>
      </c>
      <c r="Z900" s="202" t="s">
        <v>531</v>
      </c>
      <c r="AA900" s="202" t="s">
        <v>215</v>
      </c>
      <c r="AB900" s="203">
        <v>4059.97</v>
      </c>
      <c r="AC900" s="203">
        <v>4059.97</v>
      </c>
      <c r="AD900" s="204">
        <v>46321.0</v>
      </c>
      <c r="AE900" s="204">
        <v>46382.0</v>
      </c>
      <c r="AF900" s="205"/>
      <c r="AG900" s="370"/>
      <c r="AH900" s="370"/>
      <c r="AI900" s="370"/>
      <c r="AJ900" s="370"/>
      <c r="AK900" s="370"/>
      <c r="AL900" s="370"/>
      <c r="AM900" s="370"/>
      <c r="AN900" s="370"/>
      <c r="AO900" s="370"/>
    </row>
    <row r="901">
      <c r="A901" s="193">
        <v>25180.0</v>
      </c>
      <c r="B901" s="194" t="s">
        <v>203</v>
      </c>
      <c r="C901" s="193">
        <v>2026.0</v>
      </c>
      <c r="D901" s="195">
        <v>2048.0</v>
      </c>
      <c r="E901" s="193">
        <v>133.0</v>
      </c>
      <c r="F901" s="199"/>
      <c r="G901" s="248"/>
      <c r="H901" s="199"/>
      <c r="I901" s="233"/>
      <c r="J901" s="199"/>
      <c r="K901" s="193" t="s">
        <v>206</v>
      </c>
      <c r="L901" s="194" t="s">
        <v>144</v>
      </c>
      <c r="M901" s="199"/>
      <c r="N901" s="193" t="s">
        <v>207</v>
      </c>
      <c r="O901" s="193" t="s">
        <v>206</v>
      </c>
      <c r="P901" s="193" t="s">
        <v>244</v>
      </c>
      <c r="Q901" s="207"/>
      <c r="R901" s="208" t="s">
        <v>219</v>
      </c>
      <c r="S901" s="193" t="s">
        <v>45</v>
      </c>
      <c r="T901" s="193" t="s">
        <v>540</v>
      </c>
      <c r="U901" s="193" t="s">
        <v>1450</v>
      </c>
      <c r="V901" s="193" t="s">
        <v>155</v>
      </c>
      <c r="W901" s="193" t="s">
        <v>203</v>
      </c>
      <c r="X901" s="193" t="s">
        <v>252</v>
      </c>
      <c r="Y901" s="200">
        <v>3.0</v>
      </c>
      <c r="Z901" s="202" t="s">
        <v>233</v>
      </c>
      <c r="AA901" s="202" t="s">
        <v>215</v>
      </c>
      <c r="AB901" s="203">
        <v>1000000.0</v>
      </c>
      <c r="AC901" s="203">
        <v>1000000.0</v>
      </c>
      <c r="AD901" s="204">
        <v>46321.0</v>
      </c>
      <c r="AE901" s="204">
        <v>46382.0</v>
      </c>
      <c r="AF901" s="205"/>
      <c r="AG901" s="370"/>
      <c r="AH901" s="370"/>
      <c r="AI901" s="370"/>
      <c r="AJ901" s="370"/>
      <c r="AK901" s="370"/>
      <c r="AL901" s="370"/>
      <c r="AM901" s="370"/>
      <c r="AN901" s="370"/>
      <c r="AO901" s="370"/>
    </row>
    <row r="902">
      <c r="A902" s="193">
        <v>25200.0</v>
      </c>
      <c r="B902" s="232" t="s">
        <v>264</v>
      </c>
      <c r="C902" s="193">
        <v>2026.0</v>
      </c>
      <c r="D902" s="199"/>
      <c r="E902" s="199"/>
      <c r="F902" s="199"/>
      <c r="G902" s="248"/>
      <c r="H902" s="199"/>
      <c r="I902" s="235"/>
      <c r="J902" s="199"/>
      <c r="K902" s="193" t="s">
        <v>206</v>
      </c>
      <c r="L902" s="232" t="s">
        <v>146</v>
      </c>
      <c r="M902" s="199"/>
      <c r="N902" s="193" t="s">
        <v>337</v>
      </c>
      <c r="O902" s="193" t="s">
        <v>206</v>
      </c>
      <c r="P902" s="193" t="s">
        <v>206</v>
      </c>
      <c r="Q902" s="207"/>
      <c r="R902" s="208" t="s">
        <v>279</v>
      </c>
      <c r="S902" s="193" t="s">
        <v>50</v>
      </c>
      <c r="T902" s="193" t="s">
        <v>358</v>
      </c>
      <c r="U902" s="193" t="s">
        <v>551</v>
      </c>
      <c r="V902" s="193" t="s">
        <v>50</v>
      </c>
      <c r="W902" s="193" t="s">
        <v>264</v>
      </c>
      <c r="X902" s="193" t="s">
        <v>232</v>
      </c>
      <c r="Y902" s="200">
        <v>3.0</v>
      </c>
      <c r="Z902" s="202" t="s">
        <v>233</v>
      </c>
      <c r="AA902" s="202" t="s">
        <v>234</v>
      </c>
      <c r="AB902" s="221"/>
      <c r="AC902" s="203">
        <v>500000.0</v>
      </c>
      <c r="AD902" s="204">
        <v>46321.0</v>
      </c>
      <c r="AE902" s="204">
        <v>46382.0</v>
      </c>
      <c r="AF902" s="205"/>
      <c r="AG902" s="370"/>
      <c r="AH902" s="370"/>
      <c r="AI902" s="370"/>
      <c r="AJ902" s="370"/>
      <c r="AK902" s="370"/>
      <c r="AL902" s="370"/>
      <c r="AM902" s="370"/>
      <c r="AN902" s="370"/>
      <c r="AO902" s="370"/>
    </row>
    <row r="903">
      <c r="A903" s="193">
        <v>25220.0</v>
      </c>
      <c r="B903" s="232" t="s">
        <v>264</v>
      </c>
      <c r="C903" s="193">
        <v>2026.0</v>
      </c>
      <c r="D903" s="199"/>
      <c r="E903" s="199"/>
      <c r="F903" s="199"/>
      <c r="G903" s="248"/>
      <c r="H903" s="199"/>
      <c r="I903" s="235"/>
      <c r="J903" s="199"/>
      <c r="K903" s="193" t="s">
        <v>206</v>
      </c>
      <c r="L903" s="232" t="s">
        <v>146</v>
      </c>
      <c r="M903" s="199"/>
      <c r="N903" s="193" t="s">
        <v>207</v>
      </c>
      <c r="O903" s="193" t="s">
        <v>206</v>
      </c>
      <c r="P903" s="193" t="s">
        <v>206</v>
      </c>
      <c r="Q903" s="207"/>
      <c r="R903" s="208" t="s">
        <v>228</v>
      </c>
      <c r="S903" s="193" t="s">
        <v>46</v>
      </c>
      <c r="T903" s="193" t="s">
        <v>287</v>
      </c>
      <c r="U903" s="193" t="s">
        <v>1452</v>
      </c>
      <c r="V903" s="193" t="s">
        <v>231</v>
      </c>
      <c r="W903" s="193" t="s">
        <v>212</v>
      </c>
      <c r="X903" s="193" t="s">
        <v>252</v>
      </c>
      <c r="Y903" s="200">
        <v>3.0</v>
      </c>
      <c r="Z903" s="202" t="s">
        <v>233</v>
      </c>
      <c r="AA903" s="202" t="s">
        <v>215</v>
      </c>
      <c r="AB903" s="203">
        <v>1130000.0</v>
      </c>
      <c r="AC903" s="203">
        <v>1130000.0</v>
      </c>
      <c r="AD903" s="204">
        <v>46321.0</v>
      </c>
      <c r="AE903" s="204">
        <v>46382.0</v>
      </c>
      <c r="AF903" s="205"/>
      <c r="AG903" s="370"/>
      <c r="AH903" s="370"/>
      <c r="AI903" s="370"/>
      <c r="AJ903" s="370"/>
      <c r="AK903" s="370"/>
      <c r="AL903" s="370"/>
      <c r="AM903" s="370"/>
      <c r="AN903" s="370"/>
      <c r="AO903" s="370"/>
    </row>
    <row r="904">
      <c r="A904" s="193">
        <v>25240.0</v>
      </c>
      <c r="B904" s="232" t="s">
        <v>264</v>
      </c>
      <c r="C904" s="193">
        <v>2026.0</v>
      </c>
      <c r="D904" s="199"/>
      <c r="E904" s="199"/>
      <c r="F904" s="199"/>
      <c r="G904" s="248"/>
      <c r="H904" s="199"/>
      <c r="I904" s="233"/>
      <c r="J904" s="199"/>
      <c r="K904" s="193" t="s">
        <v>206</v>
      </c>
      <c r="L904" s="232" t="s">
        <v>146</v>
      </c>
      <c r="M904" s="199"/>
      <c r="N904" s="193" t="s">
        <v>207</v>
      </c>
      <c r="O904" s="193" t="s">
        <v>206</v>
      </c>
      <c r="P904" s="193" t="s">
        <v>206</v>
      </c>
      <c r="Q904" s="207"/>
      <c r="R904" s="208" t="s">
        <v>228</v>
      </c>
      <c r="S904" s="193" t="s">
        <v>46</v>
      </c>
      <c r="T904" s="193" t="s">
        <v>287</v>
      </c>
      <c r="U904" s="193" t="s">
        <v>1453</v>
      </c>
      <c r="V904" s="193" t="s">
        <v>231</v>
      </c>
      <c r="W904" s="193" t="s">
        <v>212</v>
      </c>
      <c r="X904" s="193" t="s">
        <v>252</v>
      </c>
      <c r="Y904" s="200">
        <v>3.0</v>
      </c>
      <c r="Z904" s="202" t="s">
        <v>233</v>
      </c>
      <c r="AA904" s="202" t="s">
        <v>215</v>
      </c>
      <c r="AB904" s="203">
        <v>1130000.0</v>
      </c>
      <c r="AC904" s="203">
        <v>1130000.0</v>
      </c>
      <c r="AD904" s="204">
        <v>46321.0</v>
      </c>
      <c r="AE904" s="204">
        <v>46382.0</v>
      </c>
      <c r="AF904" s="205"/>
      <c r="AG904" s="370"/>
      <c r="AH904" s="370"/>
      <c r="AI904" s="370"/>
      <c r="AJ904" s="370"/>
      <c r="AK904" s="370"/>
      <c r="AL904" s="370"/>
      <c r="AM904" s="370"/>
      <c r="AN904" s="370"/>
      <c r="AO904" s="370"/>
    </row>
    <row r="905">
      <c r="A905" s="193">
        <v>25260.0</v>
      </c>
      <c r="B905" s="232" t="s">
        <v>264</v>
      </c>
      <c r="C905" s="193">
        <v>2026.0</v>
      </c>
      <c r="D905" s="199"/>
      <c r="E905" s="199"/>
      <c r="F905" s="199"/>
      <c r="G905" s="248"/>
      <c r="H905" s="199"/>
      <c r="I905" s="233"/>
      <c r="J905" s="199"/>
      <c r="K905" s="193" t="s">
        <v>206</v>
      </c>
      <c r="L905" s="232" t="s">
        <v>146</v>
      </c>
      <c r="M905" s="199"/>
      <c r="N905" s="193" t="s">
        <v>207</v>
      </c>
      <c r="O905" s="193" t="s">
        <v>206</v>
      </c>
      <c r="P905" s="193" t="s">
        <v>206</v>
      </c>
      <c r="Q905" s="207"/>
      <c r="R905" s="208" t="s">
        <v>228</v>
      </c>
      <c r="S905" s="193" t="s">
        <v>46</v>
      </c>
      <c r="T905" s="193" t="s">
        <v>287</v>
      </c>
      <c r="U905" s="193" t="s">
        <v>1454</v>
      </c>
      <c r="V905" s="193" t="s">
        <v>231</v>
      </c>
      <c r="W905" s="193" t="s">
        <v>212</v>
      </c>
      <c r="X905" s="193" t="s">
        <v>252</v>
      </c>
      <c r="Y905" s="200">
        <v>3.0</v>
      </c>
      <c r="Z905" s="202" t="s">
        <v>233</v>
      </c>
      <c r="AA905" s="202" t="s">
        <v>215</v>
      </c>
      <c r="AB905" s="203">
        <v>1130000.0</v>
      </c>
      <c r="AC905" s="203">
        <v>1130000.0</v>
      </c>
      <c r="AD905" s="204">
        <v>46321.0</v>
      </c>
      <c r="AE905" s="204">
        <v>46382.0</v>
      </c>
      <c r="AF905" s="205"/>
      <c r="AG905" s="370"/>
      <c r="AH905" s="370"/>
      <c r="AI905" s="370"/>
      <c r="AJ905" s="370"/>
      <c r="AK905" s="370"/>
      <c r="AL905" s="370"/>
      <c r="AM905" s="370"/>
      <c r="AN905" s="370"/>
      <c r="AO905" s="370"/>
    </row>
    <row r="906">
      <c r="A906" s="193">
        <v>25280.0</v>
      </c>
      <c r="B906" s="232" t="s">
        <v>264</v>
      </c>
      <c r="C906" s="193">
        <v>2026.0</v>
      </c>
      <c r="D906" s="199"/>
      <c r="E906" s="199"/>
      <c r="F906" s="199"/>
      <c r="G906" s="248"/>
      <c r="H906" s="199"/>
      <c r="I906" s="233"/>
      <c r="J906" s="199"/>
      <c r="K906" s="193" t="s">
        <v>206</v>
      </c>
      <c r="L906" s="232" t="s">
        <v>146</v>
      </c>
      <c r="M906" s="199"/>
      <c r="N906" s="193" t="s">
        <v>207</v>
      </c>
      <c r="O906" s="193" t="s">
        <v>206</v>
      </c>
      <c r="P906" s="193" t="s">
        <v>206</v>
      </c>
      <c r="Q906" s="199"/>
      <c r="R906" s="193" t="s">
        <v>228</v>
      </c>
      <c r="S906" s="193" t="s">
        <v>46</v>
      </c>
      <c r="T906" s="193" t="s">
        <v>287</v>
      </c>
      <c r="U906" s="193" t="s">
        <v>1455</v>
      </c>
      <c r="V906" s="193" t="s">
        <v>231</v>
      </c>
      <c r="W906" s="193" t="s">
        <v>212</v>
      </c>
      <c r="X906" s="193" t="s">
        <v>252</v>
      </c>
      <c r="Y906" s="200">
        <v>3.0</v>
      </c>
      <c r="Z906" s="202" t="s">
        <v>233</v>
      </c>
      <c r="AA906" s="202" t="s">
        <v>215</v>
      </c>
      <c r="AB906" s="203">
        <v>1130000.0</v>
      </c>
      <c r="AC906" s="203">
        <v>1130000.0</v>
      </c>
      <c r="AD906" s="204">
        <v>46321.0</v>
      </c>
      <c r="AE906" s="204">
        <v>46382.0</v>
      </c>
      <c r="AF906" s="205"/>
      <c r="AG906" s="370"/>
      <c r="AH906" s="370"/>
      <c r="AI906" s="370"/>
      <c r="AJ906" s="370"/>
      <c r="AK906" s="370"/>
      <c r="AL906" s="370"/>
      <c r="AM906" s="370"/>
      <c r="AN906" s="370"/>
      <c r="AO906" s="370"/>
    </row>
    <row r="907">
      <c r="A907" s="193">
        <v>25300.0</v>
      </c>
      <c r="B907" s="232" t="s">
        <v>264</v>
      </c>
      <c r="C907" s="193">
        <v>2026.0</v>
      </c>
      <c r="D907" s="199"/>
      <c r="E907" s="199"/>
      <c r="F907" s="207"/>
      <c r="G907" s="248"/>
      <c r="H907" s="199"/>
      <c r="I907" s="233"/>
      <c r="J907" s="199"/>
      <c r="K907" s="193" t="s">
        <v>206</v>
      </c>
      <c r="L907" s="232" t="s">
        <v>146</v>
      </c>
      <c r="M907" s="199"/>
      <c r="N907" s="193" t="s">
        <v>207</v>
      </c>
      <c r="O907" s="193" t="s">
        <v>206</v>
      </c>
      <c r="P907" s="193" t="s">
        <v>206</v>
      </c>
      <c r="Q907" s="199"/>
      <c r="R907" s="193" t="s">
        <v>208</v>
      </c>
      <c r="S907" s="193" t="s">
        <v>39</v>
      </c>
      <c r="T907" s="193" t="s">
        <v>209</v>
      </c>
      <c r="U907" s="193" t="s">
        <v>1456</v>
      </c>
      <c r="V907" s="193" t="s">
        <v>290</v>
      </c>
      <c r="W907" s="193" t="s">
        <v>212</v>
      </c>
      <c r="X907" s="193" t="s">
        <v>252</v>
      </c>
      <c r="Y907" s="200">
        <v>3.0</v>
      </c>
      <c r="Z907" s="202" t="s">
        <v>214</v>
      </c>
      <c r="AA907" s="202" t="s">
        <v>215</v>
      </c>
      <c r="AB907" s="203">
        <v>5945588.05</v>
      </c>
      <c r="AC907" s="203">
        <v>5945588.05</v>
      </c>
      <c r="AD907" s="204">
        <v>46321.0</v>
      </c>
      <c r="AE907" s="204">
        <v>46382.0</v>
      </c>
      <c r="AF907" s="226" t="s">
        <v>1457</v>
      </c>
      <c r="AG907" s="370"/>
      <c r="AH907" s="370"/>
      <c r="AI907" s="370"/>
      <c r="AJ907" s="370"/>
      <c r="AK907" s="370"/>
      <c r="AL907" s="370"/>
      <c r="AM907" s="370"/>
      <c r="AN907" s="370"/>
      <c r="AO907" s="370"/>
    </row>
    <row r="908">
      <c r="A908" s="193">
        <v>25320.0</v>
      </c>
      <c r="B908" s="232" t="s">
        <v>264</v>
      </c>
      <c r="C908" s="193">
        <v>2026.0</v>
      </c>
      <c r="D908" s="199"/>
      <c r="E908" s="199"/>
      <c r="F908" s="199"/>
      <c r="G908" s="248"/>
      <c r="H908" s="199"/>
      <c r="I908" s="233"/>
      <c r="J908" s="199"/>
      <c r="K908" s="193" t="s">
        <v>206</v>
      </c>
      <c r="L908" s="232" t="s">
        <v>146</v>
      </c>
      <c r="M908" s="199"/>
      <c r="N908" s="193" t="s">
        <v>207</v>
      </c>
      <c r="O908" s="193" t="s">
        <v>206</v>
      </c>
      <c r="P908" s="193" t="s">
        <v>206</v>
      </c>
      <c r="Q908" s="199"/>
      <c r="R908" s="193" t="s">
        <v>208</v>
      </c>
      <c r="S908" s="193" t="s">
        <v>39</v>
      </c>
      <c r="T908" s="193" t="s">
        <v>209</v>
      </c>
      <c r="U908" s="193" t="s">
        <v>1458</v>
      </c>
      <c r="V908" s="193" t="s">
        <v>290</v>
      </c>
      <c r="W908" s="193" t="s">
        <v>212</v>
      </c>
      <c r="X908" s="193" t="s">
        <v>252</v>
      </c>
      <c r="Y908" s="200">
        <v>3.0</v>
      </c>
      <c r="Z908" s="202" t="s">
        <v>214</v>
      </c>
      <c r="AA908" s="202" t="s">
        <v>215</v>
      </c>
      <c r="AB908" s="203">
        <v>1.601E7</v>
      </c>
      <c r="AC908" s="203">
        <v>1.601E7</v>
      </c>
      <c r="AD908" s="204">
        <v>46321.0</v>
      </c>
      <c r="AE908" s="204">
        <v>46382.0</v>
      </c>
      <c r="AF908" s="226" t="s">
        <v>1459</v>
      </c>
      <c r="AG908" s="370"/>
      <c r="AH908" s="370"/>
      <c r="AI908" s="370"/>
      <c r="AJ908" s="370"/>
      <c r="AK908" s="370"/>
      <c r="AL908" s="370"/>
      <c r="AM908" s="370"/>
      <c r="AN908" s="370"/>
      <c r="AO908" s="370"/>
    </row>
    <row r="909">
      <c r="A909" s="193">
        <v>25340.0</v>
      </c>
      <c r="B909" s="194" t="s">
        <v>203</v>
      </c>
      <c r="C909" s="193">
        <v>2026.0</v>
      </c>
      <c r="D909" s="195">
        <v>2048.0</v>
      </c>
      <c r="E909" s="193">
        <v>75.0</v>
      </c>
      <c r="F909" s="193" t="s">
        <v>293</v>
      </c>
      <c r="G909" s="248"/>
      <c r="H909" s="199"/>
      <c r="I909" s="233"/>
      <c r="J909" s="199"/>
      <c r="K909" s="243" t="s">
        <v>206</v>
      </c>
      <c r="L909" s="194" t="s">
        <v>144</v>
      </c>
      <c r="M909" s="199"/>
      <c r="N909" s="193" t="s">
        <v>207</v>
      </c>
      <c r="O909" s="193" t="s">
        <v>206</v>
      </c>
      <c r="P909" s="193" t="s">
        <v>206</v>
      </c>
      <c r="Q909" s="199"/>
      <c r="R909" s="193" t="s">
        <v>208</v>
      </c>
      <c r="S909" s="193" t="s">
        <v>39</v>
      </c>
      <c r="T909" s="193" t="s">
        <v>209</v>
      </c>
      <c r="U909" s="193" t="s">
        <v>854</v>
      </c>
      <c r="V909" s="193" t="s">
        <v>290</v>
      </c>
      <c r="W909" s="193" t="s">
        <v>212</v>
      </c>
      <c r="X909" s="193" t="s">
        <v>252</v>
      </c>
      <c r="Y909" s="200">
        <v>3.0</v>
      </c>
      <c r="Z909" s="202" t="s">
        <v>233</v>
      </c>
      <c r="AA909" s="202" t="s">
        <v>215</v>
      </c>
      <c r="AB909" s="203">
        <v>1000000.0</v>
      </c>
      <c r="AC909" s="203">
        <v>1000000.0</v>
      </c>
      <c r="AD909" s="204">
        <v>46321.0</v>
      </c>
      <c r="AE909" s="204">
        <v>46382.0</v>
      </c>
      <c r="AF909" s="226" t="s">
        <v>1460</v>
      </c>
      <c r="AG909" s="370"/>
      <c r="AH909" s="370"/>
      <c r="AI909" s="370"/>
      <c r="AJ909" s="370"/>
      <c r="AK909" s="370"/>
      <c r="AL909" s="370"/>
      <c r="AM909" s="370"/>
      <c r="AN909" s="370"/>
      <c r="AO909" s="370"/>
    </row>
    <row r="910">
      <c r="A910" s="193">
        <v>25360.0</v>
      </c>
      <c r="B910" s="232" t="s">
        <v>264</v>
      </c>
      <c r="C910" s="193">
        <v>2026.0</v>
      </c>
      <c r="D910" s="199"/>
      <c r="E910" s="199"/>
      <c r="F910" s="371"/>
      <c r="G910" s="248"/>
      <c r="H910" s="199"/>
      <c r="I910" s="233"/>
      <c r="J910" s="199"/>
      <c r="K910" s="193" t="s">
        <v>206</v>
      </c>
      <c r="L910" s="232" t="s">
        <v>146</v>
      </c>
      <c r="M910" s="199"/>
      <c r="N910" s="193" t="s">
        <v>207</v>
      </c>
      <c r="O910" s="193" t="s">
        <v>206</v>
      </c>
      <c r="P910" s="193" t="s">
        <v>206</v>
      </c>
      <c r="Q910" s="199"/>
      <c r="R910" s="193" t="s">
        <v>219</v>
      </c>
      <c r="S910" s="193" t="s">
        <v>43</v>
      </c>
      <c r="T910" s="193" t="s">
        <v>302</v>
      </c>
      <c r="U910" s="193" t="s">
        <v>1461</v>
      </c>
      <c r="V910" s="193" t="s">
        <v>231</v>
      </c>
      <c r="W910" s="193" t="s">
        <v>212</v>
      </c>
      <c r="X910" s="193" t="s">
        <v>252</v>
      </c>
      <c r="Y910" s="200">
        <v>3.0</v>
      </c>
      <c r="Z910" s="202" t="s">
        <v>233</v>
      </c>
      <c r="AA910" s="202" t="s">
        <v>215</v>
      </c>
      <c r="AB910" s="203">
        <v>1360000.0</v>
      </c>
      <c r="AC910" s="203">
        <v>1360000.0</v>
      </c>
      <c r="AD910" s="204">
        <v>46321.0</v>
      </c>
      <c r="AE910" s="204">
        <v>46382.0</v>
      </c>
      <c r="AF910" s="226" t="s">
        <v>461</v>
      </c>
      <c r="AG910" s="370"/>
      <c r="AH910" s="370"/>
      <c r="AI910" s="370"/>
      <c r="AJ910" s="370"/>
      <c r="AK910" s="370"/>
      <c r="AL910" s="370"/>
      <c r="AM910" s="370"/>
      <c r="AN910" s="370"/>
      <c r="AO910" s="370"/>
    </row>
    <row r="911">
      <c r="A911" s="193">
        <v>25380.0</v>
      </c>
      <c r="B911" s="232" t="s">
        <v>264</v>
      </c>
      <c r="C911" s="193">
        <v>2026.0</v>
      </c>
      <c r="D911" s="199"/>
      <c r="E911" s="199"/>
      <c r="F911" s="199"/>
      <c r="G911" s="248"/>
      <c r="H911" s="199"/>
      <c r="I911" s="233"/>
      <c r="J911" s="199"/>
      <c r="K911" s="193" t="s">
        <v>206</v>
      </c>
      <c r="L911" s="232" t="s">
        <v>146</v>
      </c>
      <c r="M911" s="199"/>
      <c r="N911" s="193" t="s">
        <v>207</v>
      </c>
      <c r="O911" s="193" t="s">
        <v>206</v>
      </c>
      <c r="P911" s="193" t="s">
        <v>206</v>
      </c>
      <c r="Q911" s="199"/>
      <c r="R911" s="193" t="s">
        <v>219</v>
      </c>
      <c r="S911" s="193" t="s">
        <v>43</v>
      </c>
      <c r="T911" s="193" t="s">
        <v>302</v>
      </c>
      <c r="U911" s="193" t="s">
        <v>1462</v>
      </c>
      <c r="V911" s="193" t="s">
        <v>231</v>
      </c>
      <c r="W911" s="193" t="s">
        <v>212</v>
      </c>
      <c r="X911" s="193" t="s">
        <v>252</v>
      </c>
      <c r="Y911" s="200">
        <v>3.0</v>
      </c>
      <c r="Z911" s="202" t="s">
        <v>233</v>
      </c>
      <c r="AA911" s="202" t="s">
        <v>215</v>
      </c>
      <c r="AB911" s="203">
        <v>1360000.0</v>
      </c>
      <c r="AC911" s="203">
        <v>1360000.0</v>
      </c>
      <c r="AD911" s="204">
        <v>46321.0</v>
      </c>
      <c r="AE911" s="204">
        <v>46382.0</v>
      </c>
      <c r="AF911" s="205"/>
      <c r="AG911" s="370"/>
      <c r="AH911" s="370"/>
      <c r="AI911" s="370"/>
      <c r="AJ911" s="370"/>
      <c r="AK911" s="370"/>
      <c r="AL911" s="370"/>
      <c r="AM911" s="370"/>
      <c r="AN911" s="370"/>
      <c r="AO911" s="370"/>
    </row>
    <row r="912">
      <c r="A912" s="193">
        <v>25400.0</v>
      </c>
      <c r="B912" s="232" t="s">
        <v>264</v>
      </c>
      <c r="C912" s="193">
        <v>2026.0</v>
      </c>
      <c r="D912" s="199"/>
      <c r="E912" s="199"/>
      <c r="F912" s="199"/>
      <c r="G912" s="248"/>
      <c r="H912" s="199"/>
      <c r="I912" s="233"/>
      <c r="J912" s="199"/>
      <c r="K912" s="193" t="s">
        <v>206</v>
      </c>
      <c r="L912" s="232" t="s">
        <v>146</v>
      </c>
      <c r="M912" s="199"/>
      <c r="N912" s="193" t="s">
        <v>207</v>
      </c>
      <c r="O912" s="193" t="s">
        <v>206</v>
      </c>
      <c r="P912" s="193" t="s">
        <v>206</v>
      </c>
      <c r="Q912" s="199"/>
      <c r="R912" s="193" t="s">
        <v>219</v>
      </c>
      <c r="S912" s="193" t="s">
        <v>43</v>
      </c>
      <c r="T912" s="193" t="s">
        <v>1392</v>
      </c>
      <c r="U912" s="193" t="s">
        <v>1463</v>
      </c>
      <c r="V912" s="193" t="s">
        <v>290</v>
      </c>
      <c r="W912" s="193" t="s">
        <v>212</v>
      </c>
      <c r="X912" s="193" t="s">
        <v>252</v>
      </c>
      <c r="Y912" s="200">
        <v>3.0</v>
      </c>
      <c r="Z912" s="202" t="s">
        <v>214</v>
      </c>
      <c r="AA912" s="202" t="s">
        <v>215</v>
      </c>
      <c r="AB912" s="203">
        <v>750000.0</v>
      </c>
      <c r="AC912" s="203">
        <v>750000.0</v>
      </c>
      <c r="AD912" s="204">
        <v>46321.0</v>
      </c>
      <c r="AE912" s="204">
        <v>46382.0</v>
      </c>
      <c r="AF912" s="205"/>
      <c r="AG912" s="370"/>
      <c r="AH912" s="370"/>
      <c r="AI912" s="370"/>
      <c r="AJ912" s="370"/>
      <c r="AK912" s="370"/>
      <c r="AL912" s="370"/>
      <c r="AM912" s="370"/>
      <c r="AN912" s="370"/>
      <c r="AO912" s="370"/>
    </row>
    <row r="913">
      <c r="A913" s="193">
        <v>25420.0</v>
      </c>
      <c r="B913" s="232" t="s">
        <v>264</v>
      </c>
      <c r="C913" s="193">
        <v>2026.0</v>
      </c>
      <c r="D913" s="199"/>
      <c r="E913" s="199"/>
      <c r="F913" s="199"/>
      <c r="G913" s="248"/>
      <c r="H913" s="199"/>
      <c r="I913" s="233"/>
      <c r="J913" s="199"/>
      <c r="K913" s="193" t="s">
        <v>206</v>
      </c>
      <c r="L913" s="232" t="s">
        <v>146</v>
      </c>
      <c r="M913" s="199"/>
      <c r="N913" s="193" t="s">
        <v>475</v>
      </c>
      <c r="O913" s="193" t="s">
        <v>206</v>
      </c>
      <c r="P913" s="193" t="s">
        <v>206</v>
      </c>
      <c r="Q913" s="199"/>
      <c r="R913" s="193" t="s">
        <v>279</v>
      </c>
      <c r="S913" s="193" t="s">
        <v>50</v>
      </c>
      <c r="T913" s="193" t="s">
        <v>560</v>
      </c>
      <c r="U913" s="193" t="s">
        <v>1464</v>
      </c>
      <c r="V913" s="193" t="s">
        <v>50</v>
      </c>
      <c r="W913" s="193" t="s">
        <v>264</v>
      </c>
      <c r="X913" s="193" t="s">
        <v>252</v>
      </c>
      <c r="Y913" s="200">
        <v>3.0</v>
      </c>
      <c r="Z913" s="202" t="s">
        <v>214</v>
      </c>
      <c r="AA913" s="202" t="s">
        <v>215</v>
      </c>
      <c r="AB913" s="203">
        <v>324000.0</v>
      </c>
      <c r="AC913" s="203">
        <v>324000.0</v>
      </c>
      <c r="AD913" s="204">
        <v>46321.0</v>
      </c>
      <c r="AE913" s="204">
        <v>46382.0</v>
      </c>
      <c r="AF913" s="205"/>
      <c r="AG913" s="370"/>
      <c r="AH913" s="370"/>
      <c r="AI913" s="370"/>
      <c r="AJ913" s="370"/>
      <c r="AK913" s="370"/>
      <c r="AL913" s="370"/>
      <c r="AM913" s="370"/>
      <c r="AN913" s="370"/>
      <c r="AO913" s="370"/>
    </row>
    <row r="914">
      <c r="A914" s="193">
        <v>25440.0</v>
      </c>
      <c r="B914" s="232" t="s">
        <v>264</v>
      </c>
      <c r="C914" s="193">
        <v>2026.0</v>
      </c>
      <c r="D914" s="199"/>
      <c r="E914" s="199"/>
      <c r="F914" s="199"/>
      <c r="G914" s="248"/>
      <c r="H914" s="199"/>
      <c r="I914" s="233"/>
      <c r="J914" s="199"/>
      <c r="K914" s="193" t="s">
        <v>206</v>
      </c>
      <c r="L914" s="232" t="s">
        <v>146</v>
      </c>
      <c r="M914" s="199"/>
      <c r="N914" s="193" t="s">
        <v>207</v>
      </c>
      <c r="O914" s="193" t="s">
        <v>206</v>
      </c>
      <c r="P914" s="193" t="s">
        <v>206</v>
      </c>
      <c r="Q914" s="199"/>
      <c r="R914" s="193" t="s">
        <v>219</v>
      </c>
      <c r="S914" s="193" t="s">
        <v>44</v>
      </c>
      <c r="T914" s="193" t="s">
        <v>220</v>
      </c>
      <c r="U914" s="193" t="s">
        <v>1465</v>
      </c>
      <c r="V914" s="193" t="s">
        <v>290</v>
      </c>
      <c r="W914" s="193" t="s">
        <v>212</v>
      </c>
      <c r="X914" s="193" t="s">
        <v>252</v>
      </c>
      <c r="Y914" s="200">
        <v>3.0</v>
      </c>
      <c r="Z914" s="202" t="s">
        <v>214</v>
      </c>
      <c r="AA914" s="202" t="s">
        <v>215</v>
      </c>
      <c r="AB914" s="203">
        <v>252000.0</v>
      </c>
      <c r="AC914" s="203">
        <v>252000.0</v>
      </c>
      <c r="AD914" s="204">
        <v>46321.0</v>
      </c>
      <c r="AE914" s="204">
        <v>46382.0</v>
      </c>
      <c r="AF914" s="205"/>
      <c r="AG914" s="370"/>
      <c r="AH914" s="370"/>
      <c r="AI914" s="370"/>
      <c r="AJ914" s="370"/>
      <c r="AK914" s="370"/>
      <c r="AL914" s="370"/>
      <c r="AM914" s="370"/>
      <c r="AN914" s="370"/>
      <c r="AO914" s="370"/>
    </row>
    <row r="915">
      <c r="A915" s="193">
        <v>25460.0</v>
      </c>
      <c r="B915" s="232" t="s">
        <v>264</v>
      </c>
      <c r="C915" s="193">
        <v>2026.0</v>
      </c>
      <c r="D915" s="199"/>
      <c r="E915" s="199"/>
      <c r="F915" s="199"/>
      <c r="G915" s="248"/>
      <c r="H915" s="199"/>
      <c r="I915" s="233"/>
      <c r="J915" s="199"/>
      <c r="K915" s="193" t="s">
        <v>206</v>
      </c>
      <c r="L915" s="232" t="s">
        <v>146</v>
      </c>
      <c r="M915" s="199"/>
      <c r="N915" s="193" t="s">
        <v>207</v>
      </c>
      <c r="O915" s="193" t="s">
        <v>206</v>
      </c>
      <c r="P915" s="193" t="s">
        <v>206</v>
      </c>
      <c r="Q915" s="199"/>
      <c r="R915" s="193" t="s">
        <v>219</v>
      </c>
      <c r="S915" s="193" t="s">
        <v>44</v>
      </c>
      <c r="T915" s="193" t="s">
        <v>220</v>
      </c>
      <c r="U915" s="193" t="s">
        <v>1463</v>
      </c>
      <c r="V915" s="193" t="s">
        <v>290</v>
      </c>
      <c r="W915" s="193" t="s">
        <v>212</v>
      </c>
      <c r="X915" s="193" t="s">
        <v>252</v>
      </c>
      <c r="Y915" s="200">
        <v>3.0</v>
      </c>
      <c r="Z915" s="202" t="s">
        <v>214</v>
      </c>
      <c r="AA915" s="202" t="s">
        <v>215</v>
      </c>
      <c r="AB915" s="203">
        <v>750000.0</v>
      </c>
      <c r="AC915" s="203">
        <v>750000.0</v>
      </c>
      <c r="AD915" s="204">
        <v>46321.0</v>
      </c>
      <c r="AE915" s="204">
        <v>46382.0</v>
      </c>
      <c r="AF915" s="205"/>
      <c r="AG915" s="370"/>
      <c r="AH915" s="370"/>
      <c r="AI915" s="370"/>
      <c r="AJ915" s="370"/>
      <c r="AK915" s="370"/>
      <c r="AL915" s="370"/>
      <c r="AM915" s="370"/>
      <c r="AN915" s="370"/>
      <c r="AO915" s="370"/>
    </row>
    <row r="916">
      <c r="A916" s="193">
        <v>25480.0</v>
      </c>
      <c r="B916" s="232" t="s">
        <v>264</v>
      </c>
      <c r="C916" s="193">
        <v>2026.0</v>
      </c>
      <c r="D916" s="199"/>
      <c r="E916" s="199"/>
      <c r="F916" s="199"/>
      <c r="G916" s="248"/>
      <c r="H916" s="199"/>
      <c r="I916" s="233"/>
      <c r="J916" s="199"/>
      <c r="K916" s="193" t="s">
        <v>206</v>
      </c>
      <c r="L916" s="232" t="s">
        <v>146</v>
      </c>
      <c r="M916" s="199"/>
      <c r="N916" s="193" t="s">
        <v>207</v>
      </c>
      <c r="O916" s="193" t="s">
        <v>206</v>
      </c>
      <c r="P916" s="193" t="s">
        <v>206</v>
      </c>
      <c r="Q916" s="199"/>
      <c r="R916" s="193" t="s">
        <v>219</v>
      </c>
      <c r="S916" s="193" t="s">
        <v>44</v>
      </c>
      <c r="T916" s="193" t="s">
        <v>1467</v>
      </c>
      <c r="U916" s="193" t="s">
        <v>1468</v>
      </c>
      <c r="V916" s="193" t="s">
        <v>290</v>
      </c>
      <c r="W916" s="193" t="s">
        <v>212</v>
      </c>
      <c r="X916" s="193" t="s">
        <v>252</v>
      </c>
      <c r="Y916" s="200">
        <v>3.0</v>
      </c>
      <c r="Z916" s="202" t="s">
        <v>214</v>
      </c>
      <c r="AA916" s="202" t="s">
        <v>215</v>
      </c>
      <c r="AB916" s="203">
        <v>1.571E7</v>
      </c>
      <c r="AC916" s="203">
        <v>1.571E7</v>
      </c>
      <c r="AD916" s="204">
        <v>46321.0</v>
      </c>
      <c r="AE916" s="204">
        <v>46382.0</v>
      </c>
      <c r="AF916" s="205"/>
      <c r="AG916" s="370"/>
      <c r="AH916" s="370"/>
      <c r="AI916" s="370"/>
      <c r="AJ916" s="370"/>
      <c r="AK916" s="370"/>
      <c r="AL916" s="370"/>
      <c r="AM916" s="370"/>
      <c r="AN916" s="370"/>
      <c r="AO916" s="370"/>
    </row>
    <row r="917">
      <c r="A917" s="193">
        <v>25500.0</v>
      </c>
      <c r="B917" s="232" t="s">
        <v>264</v>
      </c>
      <c r="C917" s="193">
        <v>2026.0</v>
      </c>
      <c r="D917" s="199"/>
      <c r="E917" s="199"/>
      <c r="F917" s="199"/>
      <c r="G917" s="248"/>
      <c r="H917" s="199"/>
      <c r="I917" s="233"/>
      <c r="J917" s="199"/>
      <c r="K917" s="193" t="s">
        <v>206</v>
      </c>
      <c r="L917" s="232" t="s">
        <v>146</v>
      </c>
      <c r="M917" s="199"/>
      <c r="N917" s="193" t="s">
        <v>207</v>
      </c>
      <c r="O917" s="193" t="s">
        <v>206</v>
      </c>
      <c r="P917" s="193" t="s">
        <v>206</v>
      </c>
      <c r="Q917" s="199"/>
      <c r="R917" s="193" t="s">
        <v>219</v>
      </c>
      <c r="S917" s="193" t="s">
        <v>44</v>
      </c>
      <c r="T917" s="193" t="s">
        <v>220</v>
      </c>
      <c r="U917" s="193" t="s">
        <v>1469</v>
      </c>
      <c r="V917" s="193" t="s">
        <v>290</v>
      </c>
      <c r="W917" s="193" t="s">
        <v>212</v>
      </c>
      <c r="X917" s="193" t="s">
        <v>252</v>
      </c>
      <c r="Y917" s="200">
        <v>3.0</v>
      </c>
      <c r="Z917" s="202" t="s">
        <v>214</v>
      </c>
      <c r="AA917" s="202" t="s">
        <v>215</v>
      </c>
      <c r="AB917" s="203">
        <v>216000.0</v>
      </c>
      <c r="AC917" s="203">
        <v>216000.0</v>
      </c>
      <c r="AD917" s="204">
        <v>46321.0</v>
      </c>
      <c r="AE917" s="204">
        <v>46382.0</v>
      </c>
      <c r="AF917" s="205"/>
      <c r="AG917" s="370"/>
      <c r="AH917" s="370"/>
      <c r="AI917" s="370"/>
      <c r="AJ917" s="370"/>
      <c r="AK917" s="370"/>
      <c r="AL917" s="370"/>
      <c r="AM917" s="370"/>
      <c r="AN917" s="370"/>
      <c r="AO917" s="370"/>
    </row>
    <row r="918">
      <c r="A918" s="193">
        <v>25520.0</v>
      </c>
      <c r="B918" s="232" t="s">
        <v>264</v>
      </c>
      <c r="C918" s="193">
        <v>2026.0</v>
      </c>
      <c r="D918" s="199"/>
      <c r="E918" s="199"/>
      <c r="F918" s="199"/>
      <c r="G918" s="248"/>
      <c r="H918" s="199"/>
      <c r="I918" s="233"/>
      <c r="J918" s="199"/>
      <c r="K918" s="193" t="s">
        <v>206</v>
      </c>
      <c r="L918" s="232" t="s">
        <v>146</v>
      </c>
      <c r="M918" s="199"/>
      <c r="N918" s="193" t="s">
        <v>207</v>
      </c>
      <c r="O918" s="193" t="s">
        <v>206</v>
      </c>
      <c r="P918" s="193" t="s">
        <v>244</v>
      </c>
      <c r="Q918" s="207"/>
      <c r="R918" s="208" t="s">
        <v>219</v>
      </c>
      <c r="S918" s="193" t="s">
        <v>43</v>
      </c>
      <c r="T918" s="193" t="s">
        <v>1470</v>
      </c>
      <c r="U918" s="193" t="s">
        <v>1471</v>
      </c>
      <c r="V918" s="193" t="s">
        <v>155</v>
      </c>
      <c r="W918" s="193" t="s">
        <v>203</v>
      </c>
      <c r="X918" s="193" t="s">
        <v>252</v>
      </c>
      <c r="Y918" s="200">
        <v>3.0</v>
      </c>
      <c r="Z918" s="202" t="s">
        <v>233</v>
      </c>
      <c r="AA918" s="202" t="s">
        <v>215</v>
      </c>
      <c r="AB918" s="203">
        <v>1000000.0</v>
      </c>
      <c r="AC918" s="203">
        <v>1000000.0</v>
      </c>
      <c r="AD918" s="204">
        <v>46291.0</v>
      </c>
      <c r="AE918" s="204">
        <v>46321.0</v>
      </c>
      <c r="AF918" s="205"/>
      <c r="AG918" s="370"/>
      <c r="AH918" s="370"/>
      <c r="AI918" s="370"/>
      <c r="AJ918" s="370"/>
      <c r="AK918" s="370"/>
      <c r="AL918" s="370"/>
      <c r="AM918" s="370"/>
      <c r="AN918" s="370"/>
      <c r="AO918" s="370"/>
    </row>
    <row r="919">
      <c r="A919" s="193">
        <v>25540.0</v>
      </c>
      <c r="B919" s="232" t="s">
        <v>264</v>
      </c>
      <c r="C919" s="193">
        <v>2026.0</v>
      </c>
      <c r="D919" s="199"/>
      <c r="E919" s="199"/>
      <c r="F919" s="199"/>
      <c r="G919" s="248"/>
      <c r="H919" s="199"/>
      <c r="I919" s="233"/>
      <c r="J919" s="199"/>
      <c r="K919" s="193" t="s">
        <v>206</v>
      </c>
      <c r="L919" s="232" t="s">
        <v>146</v>
      </c>
      <c r="M919" s="199"/>
      <c r="N919" s="193" t="s">
        <v>207</v>
      </c>
      <c r="O919" s="193" t="s">
        <v>206</v>
      </c>
      <c r="P919" s="193" t="s">
        <v>206</v>
      </c>
      <c r="Q919" s="207"/>
      <c r="R919" s="208" t="s">
        <v>219</v>
      </c>
      <c r="S919" s="193" t="s">
        <v>43</v>
      </c>
      <c r="T919" s="193" t="s">
        <v>464</v>
      </c>
      <c r="U919" s="193" t="s">
        <v>1472</v>
      </c>
      <c r="V919" s="193" t="s">
        <v>382</v>
      </c>
      <c r="W919" s="193" t="s">
        <v>212</v>
      </c>
      <c r="X919" s="193" t="s">
        <v>252</v>
      </c>
      <c r="Y919" s="200">
        <v>3.0</v>
      </c>
      <c r="Z919" s="202" t="s">
        <v>214</v>
      </c>
      <c r="AA919" s="202" t="s">
        <v>215</v>
      </c>
      <c r="AB919" s="203">
        <v>1000000.0</v>
      </c>
      <c r="AC919" s="203">
        <v>1000000.0</v>
      </c>
      <c r="AD919" s="204">
        <v>46352.0</v>
      </c>
      <c r="AE919" s="204">
        <v>46382.0</v>
      </c>
      <c r="AF919" s="205"/>
      <c r="AG919" s="370"/>
      <c r="AH919" s="370"/>
      <c r="AI919" s="370"/>
      <c r="AJ919" s="370"/>
      <c r="AK919" s="370"/>
      <c r="AL919" s="370"/>
      <c r="AM919" s="370"/>
      <c r="AN919" s="370"/>
      <c r="AO919" s="370"/>
    </row>
    <row r="920">
      <c r="A920" s="193">
        <v>25560.0</v>
      </c>
      <c r="B920" s="232" t="s">
        <v>264</v>
      </c>
      <c r="C920" s="193">
        <v>2026.0</v>
      </c>
      <c r="D920" s="199"/>
      <c r="E920" s="199"/>
      <c r="F920" s="199"/>
      <c r="G920" s="248"/>
      <c r="H920" s="199"/>
      <c r="I920" s="248"/>
      <c r="J920" s="199"/>
      <c r="K920" s="193" t="s">
        <v>206</v>
      </c>
      <c r="L920" s="232" t="s">
        <v>146</v>
      </c>
      <c r="M920" s="199"/>
      <c r="N920" s="193" t="s">
        <v>207</v>
      </c>
      <c r="O920" s="193" t="s">
        <v>206</v>
      </c>
      <c r="P920" s="193" t="s">
        <v>206</v>
      </c>
      <c r="Q920" s="207"/>
      <c r="R920" s="208" t="s">
        <v>219</v>
      </c>
      <c r="S920" s="193" t="s">
        <v>43</v>
      </c>
      <c r="T920" s="193" t="s">
        <v>464</v>
      </c>
      <c r="U920" s="193" t="s">
        <v>1473</v>
      </c>
      <c r="V920" s="193" t="s">
        <v>382</v>
      </c>
      <c r="W920" s="193" t="s">
        <v>212</v>
      </c>
      <c r="X920" s="193" t="s">
        <v>252</v>
      </c>
      <c r="Y920" s="200">
        <v>3.0</v>
      </c>
      <c r="Z920" s="202" t="s">
        <v>214</v>
      </c>
      <c r="AA920" s="202" t="s">
        <v>215</v>
      </c>
      <c r="AB920" s="203">
        <v>1000000.0</v>
      </c>
      <c r="AC920" s="203">
        <v>1000000.0</v>
      </c>
      <c r="AD920" s="204">
        <v>46352.0</v>
      </c>
      <c r="AE920" s="204">
        <v>46382.0</v>
      </c>
      <c r="AF920" s="205"/>
      <c r="AG920" s="370"/>
      <c r="AH920" s="370"/>
      <c r="AI920" s="370"/>
      <c r="AJ920" s="370"/>
      <c r="AK920" s="370"/>
      <c r="AL920" s="370"/>
      <c r="AM920" s="370"/>
      <c r="AN920" s="370"/>
      <c r="AO920" s="370"/>
    </row>
    <row r="921">
      <c r="A921" s="193">
        <v>25580.0</v>
      </c>
      <c r="B921" s="232" t="s">
        <v>264</v>
      </c>
      <c r="C921" s="193">
        <v>2026.0</v>
      </c>
      <c r="D921" s="199"/>
      <c r="E921" s="199"/>
      <c r="F921" s="199"/>
      <c r="G921" s="248"/>
      <c r="H921" s="199"/>
      <c r="I921" s="248"/>
      <c r="J921" s="199"/>
      <c r="K921" s="193" t="s">
        <v>206</v>
      </c>
      <c r="L921" s="232" t="s">
        <v>146</v>
      </c>
      <c r="M921" s="199"/>
      <c r="N921" s="193" t="s">
        <v>207</v>
      </c>
      <c r="O921" s="193" t="s">
        <v>206</v>
      </c>
      <c r="P921" s="193" t="s">
        <v>206</v>
      </c>
      <c r="Q921" s="207"/>
      <c r="R921" s="208" t="s">
        <v>219</v>
      </c>
      <c r="S921" s="193" t="s">
        <v>43</v>
      </c>
      <c r="T921" s="193" t="s">
        <v>464</v>
      </c>
      <c r="U921" s="193" t="s">
        <v>1474</v>
      </c>
      <c r="V921" s="193" t="s">
        <v>382</v>
      </c>
      <c r="W921" s="193" t="s">
        <v>212</v>
      </c>
      <c r="X921" s="193" t="s">
        <v>252</v>
      </c>
      <c r="Y921" s="200">
        <v>3.0</v>
      </c>
      <c r="Z921" s="202" t="s">
        <v>214</v>
      </c>
      <c r="AA921" s="202" t="s">
        <v>215</v>
      </c>
      <c r="AB921" s="203">
        <v>1000000.0</v>
      </c>
      <c r="AC921" s="203">
        <v>1000000.0</v>
      </c>
      <c r="AD921" s="204">
        <v>46352.0</v>
      </c>
      <c r="AE921" s="204">
        <v>46382.0</v>
      </c>
      <c r="AF921" s="205"/>
      <c r="AG921" s="370"/>
      <c r="AH921" s="370"/>
      <c r="AI921" s="370"/>
      <c r="AJ921" s="370"/>
      <c r="AK921" s="370"/>
      <c r="AL921" s="370"/>
      <c r="AM921" s="370"/>
      <c r="AN921" s="370"/>
      <c r="AO921" s="370"/>
    </row>
    <row r="922">
      <c r="A922" s="193">
        <v>25600.0</v>
      </c>
      <c r="B922" s="232" t="s">
        <v>264</v>
      </c>
      <c r="C922" s="193">
        <v>2026.0</v>
      </c>
      <c r="D922" s="199"/>
      <c r="E922" s="199"/>
      <c r="F922" s="199"/>
      <c r="G922" s="248"/>
      <c r="H922" s="199"/>
      <c r="I922" s="248"/>
      <c r="J922" s="199"/>
      <c r="K922" s="193" t="s">
        <v>206</v>
      </c>
      <c r="L922" s="232" t="s">
        <v>146</v>
      </c>
      <c r="M922" s="199"/>
      <c r="N922" s="193" t="s">
        <v>207</v>
      </c>
      <c r="O922" s="193" t="s">
        <v>206</v>
      </c>
      <c r="P922" s="193" t="s">
        <v>206</v>
      </c>
      <c r="Q922" s="207"/>
      <c r="R922" s="208" t="s">
        <v>219</v>
      </c>
      <c r="S922" s="193" t="s">
        <v>44</v>
      </c>
      <c r="T922" s="193" t="s">
        <v>220</v>
      </c>
      <c r="U922" s="193" t="s">
        <v>1475</v>
      </c>
      <c r="V922" s="193" t="s">
        <v>290</v>
      </c>
      <c r="W922" s="193" t="s">
        <v>212</v>
      </c>
      <c r="X922" s="193" t="s">
        <v>252</v>
      </c>
      <c r="Y922" s="200">
        <v>3.0</v>
      </c>
      <c r="Z922" s="202" t="s">
        <v>214</v>
      </c>
      <c r="AA922" s="202" t="s">
        <v>215</v>
      </c>
      <c r="AB922" s="203">
        <v>72000.0</v>
      </c>
      <c r="AC922" s="203">
        <v>72000.0</v>
      </c>
      <c r="AD922" s="204">
        <v>46352.0</v>
      </c>
      <c r="AE922" s="204">
        <v>46049.0</v>
      </c>
      <c r="AF922" s="205"/>
      <c r="AG922" s="370"/>
      <c r="AH922" s="370"/>
      <c r="AI922" s="370"/>
      <c r="AJ922" s="370"/>
      <c r="AK922" s="370"/>
      <c r="AL922" s="370"/>
      <c r="AM922" s="370"/>
      <c r="AN922" s="370"/>
      <c r="AO922" s="370"/>
    </row>
    <row r="923">
      <c r="A923" s="193">
        <v>25620.0</v>
      </c>
      <c r="B923" s="232" t="s">
        <v>264</v>
      </c>
      <c r="C923" s="193">
        <v>2026.0</v>
      </c>
      <c r="D923" s="199"/>
      <c r="E923" s="199"/>
      <c r="F923" s="199"/>
      <c r="G923" s="248"/>
      <c r="H923" s="199"/>
      <c r="I923" s="233"/>
      <c r="J923" s="199"/>
      <c r="K923" s="193" t="s">
        <v>206</v>
      </c>
      <c r="L923" s="232" t="s">
        <v>146</v>
      </c>
      <c r="M923" s="199"/>
      <c r="N923" s="193" t="s">
        <v>207</v>
      </c>
      <c r="O923" s="193" t="s">
        <v>206</v>
      </c>
      <c r="P923" s="193" t="s">
        <v>206</v>
      </c>
      <c r="Q923" s="207"/>
      <c r="R923" s="208" t="s">
        <v>219</v>
      </c>
      <c r="S923" s="193" t="s">
        <v>44</v>
      </c>
      <c r="T923" s="193" t="s">
        <v>220</v>
      </c>
      <c r="U923" s="193" t="s">
        <v>1443</v>
      </c>
      <c r="V923" s="193" t="s">
        <v>290</v>
      </c>
      <c r="W923" s="193" t="s">
        <v>212</v>
      </c>
      <c r="X923" s="193" t="s">
        <v>252</v>
      </c>
      <c r="Y923" s="200">
        <v>3.0</v>
      </c>
      <c r="Z923" s="202" t="s">
        <v>214</v>
      </c>
      <c r="AA923" s="202" t="s">
        <v>215</v>
      </c>
      <c r="AB923" s="203">
        <v>504000.0</v>
      </c>
      <c r="AC923" s="203">
        <v>504000.0</v>
      </c>
      <c r="AD923" s="204">
        <v>46352.0</v>
      </c>
      <c r="AE923" s="204">
        <v>46049.0</v>
      </c>
      <c r="AF923" s="205"/>
      <c r="AG923" s="370"/>
      <c r="AH923" s="370"/>
      <c r="AI923" s="370"/>
      <c r="AJ923" s="370"/>
      <c r="AK923" s="370"/>
      <c r="AL923" s="370"/>
      <c r="AM923" s="370"/>
      <c r="AN923" s="370"/>
      <c r="AO923" s="370"/>
    </row>
    <row r="924">
      <c r="A924" s="193">
        <v>25640.0</v>
      </c>
      <c r="B924" s="232" t="s">
        <v>264</v>
      </c>
      <c r="C924" s="193">
        <v>2026.0</v>
      </c>
      <c r="D924" s="199"/>
      <c r="E924" s="199"/>
      <c r="F924" s="199"/>
      <c r="G924" s="248"/>
      <c r="H924" s="199"/>
      <c r="I924" s="248"/>
      <c r="J924" s="199"/>
      <c r="K924" s="193" t="s">
        <v>206</v>
      </c>
      <c r="L924" s="232" t="s">
        <v>146</v>
      </c>
      <c r="M924" s="199"/>
      <c r="N924" s="193" t="s">
        <v>475</v>
      </c>
      <c r="O924" s="193" t="s">
        <v>206</v>
      </c>
      <c r="P924" s="193" t="s">
        <v>206</v>
      </c>
      <c r="Q924" s="207"/>
      <c r="R924" s="208" t="s">
        <v>279</v>
      </c>
      <c r="S924" s="193" t="s">
        <v>50</v>
      </c>
      <c r="T924" s="193" t="s">
        <v>560</v>
      </c>
      <c r="U924" s="193" t="s">
        <v>1476</v>
      </c>
      <c r="V924" s="193" t="s">
        <v>50</v>
      </c>
      <c r="W924" s="193" t="s">
        <v>264</v>
      </c>
      <c r="X924" s="193" t="s">
        <v>252</v>
      </c>
      <c r="Y924" s="200">
        <v>3.0</v>
      </c>
      <c r="Z924" s="202" t="s">
        <v>214</v>
      </c>
      <c r="AA924" s="202" t="s">
        <v>215</v>
      </c>
      <c r="AB924" s="203">
        <v>324000.0</v>
      </c>
      <c r="AC924" s="203">
        <v>324000.0</v>
      </c>
      <c r="AD924" s="204">
        <v>46382.0</v>
      </c>
      <c r="AE924" s="204">
        <v>46080.0</v>
      </c>
      <c r="AF924" s="205"/>
      <c r="AG924" s="370"/>
      <c r="AH924" s="370"/>
      <c r="AI924" s="370"/>
      <c r="AJ924" s="370"/>
      <c r="AK924" s="370"/>
      <c r="AL924" s="370"/>
      <c r="AM924" s="370"/>
      <c r="AN924" s="370"/>
      <c r="AO924" s="370"/>
    </row>
    <row r="925">
      <c r="A925" s="193">
        <v>25660.0</v>
      </c>
      <c r="B925" s="232" t="s">
        <v>264</v>
      </c>
      <c r="C925" s="193">
        <v>2026.0</v>
      </c>
      <c r="D925" s="199"/>
      <c r="E925" s="196"/>
      <c r="F925" s="199"/>
      <c r="G925" s="266"/>
      <c r="H925" s="199"/>
      <c r="I925" s="248"/>
      <c r="J925" s="199"/>
      <c r="K925" s="193" t="s">
        <v>206</v>
      </c>
      <c r="L925" s="232" t="s">
        <v>146</v>
      </c>
      <c r="M925" s="199"/>
      <c r="N925" s="193" t="s">
        <v>475</v>
      </c>
      <c r="O925" s="193" t="s">
        <v>206</v>
      </c>
      <c r="P925" s="193" t="s">
        <v>206</v>
      </c>
      <c r="Q925" s="199"/>
      <c r="R925" s="193" t="s">
        <v>279</v>
      </c>
      <c r="S925" s="193" t="s">
        <v>50</v>
      </c>
      <c r="T925" s="193" t="s">
        <v>476</v>
      </c>
      <c r="U925" s="193" t="s">
        <v>1477</v>
      </c>
      <c r="V925" s="193" t="s">
        <v>50</v>
      </c>
      <c r="W925" s="193" t="s">
        <v>264</v>
      </c>
      <c r="X925" s="193" t="s">
        <v>252</v>
      </c>
      <c r="Y925" s="200">
        <v>3.0</v>
      </c>
      <c r="Z925" s="202" t="s">
        <v>214</v>
      </c>
      <c r="AA925" s="202" t="s">
        <v>215</v>
      </c>
      <c r="AB925" s="203">
        <v>21600.0</v>
      </c>
      <c r="AC925" s="203">
        <v>21600.0</v>
      </c>
      <c r="AD925" s="204">
        <v>46382.0</v>
      </c>
      <c r="AE925" s="204">
        <v>46080.0</v>
      </c>
      <c r="AF925" s="205"/>
      <c r="AG925" s="370"/>
      <c r="AH925" s="370"/>
      <c r="AI925" s="370"/>
      <c r="AJ925" s="370"/>
      <c r="AK925" s="370"/>
      <c r="AL925" s="370"/>
      <c r="AM925" s="370"/>
      <c r="AN925" s="370"/>
      <c r="AO925" s="370"/>
    </row>
    <row r="926">
      <c r="A926" s="193">
        <v>25680.0</v>
      </c>
      <c r="B926" s="232" t="s">
        <v>264</v>
      </c>
      <c r="C926" s="193">
        <v>2026.0</v>
      </c>
      <c r="D926" s="199"/>
      <c r="E926" s="248"/>
      <c r="F926" s="199"/>
      <c r="G926" s="248"/>
      <c r="H926" s="199"/>
      <c r="I926" s="248"/>
      <c r="J926" s="199"/>
      <c r="K926" s="193" t="s">
        <v>206</v>
      </c>
      <c r="L926" s="232" t="s">
        <v>146</v>
      </c>
      <c r="M926" s="199"/>
      <c r="N926" s="193" t="s">
        <v>475</v>
      </c>
      <c r="O926" s="193" t="s">
        <v>206</v>
      </c>
      <c r="P926" s="193" t="s">
        <v>206</v>
      </c>
      <c r="Q926" s="207"/>
      <c r="R926" s="208" t="s">
        <v>279</v>
      </c>
      <c r="S926" s="193" t="s">
        <v>50</v>
      </c>
      <c r="T926" s="193" t="s">
        <v>476</v>
      </c>
      <c r="U926" s="193" t="s">
        <v>1477</v>
      </c>
      <c r="V926" s="193" t="s">
        <v>50</v>
      </c>
      <c r="W926" s="193" t="s">
        <v>264</v>
      </c>
      <c r="X926" s="193" t="s">
        <v>252</v>
      </c>
      <c r="Y926" s="200">
        <v>3.0</v>
      </c>
      <c r="Z926" s="202" t="s">
        <v>214</v>
      </c>
      <c r="AA926" s="202" t="s">
        <v>215</v>
      </c>
      <c r="AB926" s="203">
        <v>70000.0</v>
      </c>
      <c r="AC926" s="203">
        <v>70000.0</v>
      </c>
      <c r="AD926" s="204">
        <v>46382.0</v>
      </c>
      <c r="AE926" s="204">
        <v>46080.0</v>
      </c>
      <c r="AF926" s="205"/>
      <c r="AG926" s="370"/>
      <c r="AH926" s="370"/>
      <c r="AI926" s="370"/>
      <c r="AJ926" s="370"/>
      <c r="AK926" s="370"/>
      <c r="AL926" s="370"/>
      <c r="AM926" s="370"/>
      <c r="AN926" s="370"/>
      <c r="AO926" s="370"/>
    </row>
    <row r="927">
      <c r="A927" s="193">
        <v>25700.0</v>
      </c>
      <c r="B927" s="232" t="s">
        <v>264</v>
      </c>
      <c r="C927" s="193">
        <v>2026.0</v>
      </c>
      <c r="D927" s="199"/>
      <c r="E927" s="248"/>
      <c r="F927" s="199"/>
      <c r="G927" s="248"/>
      <c r="H927" s="199"/>
      <c r="I927" s="248"/>
      <c r="J927" s="199"/>
      <c r="K927" s="193" t="s">
        <v>206</v>
      </c>
      <c r="L927" s="232" t="s">
        <v>146</v>
      </c>
      <c r="M927" s="199"/>
      <c r="N927" s="193" t="s">
        <v>475</v>
      </c>
      <c r="O927" s="193" t="s">
        <v>206</v>
      </c>
      <c r="P927" s="193" t="s">
        <v>206</v>
      </c>
      <c r="Q927" s="207"/>
      <c r="R927" s="208" t="s">
        <v>279</v>
      </c>
      <c r="S927" s="193" t="s">
        <v>50</v>
      </c>
      <c r="T927" s="193" t="s">
        <v>476</v>
      </c>
      <c r="U927" s="193" t="s">
        <v>1477</v>
      </c>
      <c r="V927" s="193" t="s">
        <v>50</v>
      </c>
      <c r="W927" s="193" t="s">
        <v>264</v>
      </c>
      <c r="X927" s="193" t="s">
        <v>252</v>
      </c>
      <c r="Y927" s="200">
        <v>3.0</v>
      </c>
      <c r="Z927" s="202" t="s">
        <v>214</v>
      </c>
      <c r="AA927" s="202" t="s">
        <v>215</v>
      </c>
      <c r="AB927" s="203">
        <v>10800.0</v>
      </c>
      <c r="AC927" s="203">
        <v>10800.0</v>
      </c>
      <c r="AD927" s="204">
        <v>46382.0</v>
      </c>
      <c r="AE927" s="204">
        <v>46080.0</v>
      </c>
      <c r="AF927" s="205"/>
      <c r="AG927" s="370"/>
      <c r="AH927" s="370"/>
      <c r="AI927" s="370"/>
      <c r="AJ927" s="370"/>
      <c r="AK927" s="370"/>
      <c r="AL927" s="370"/>
      <c r="AM927" s="370"/>
      <c r="AN927" s="370"/>
      <c r="AO927" s="370"/>
    </row>
    <row r="928">
      <c r="A928" s="193">
        <v>25720.0</v>
      </c>
      <c r="B928" s="232" t="s">
        <v>264</v>
      </c>
      <c r="C928" s="193">
        <v>2026.0</v>
      </c>
      <c r="D928" s="199"/>
      <c r="E928" s="248"/>
      <c r="F928" s="199"/>
      <c r="G928" s="233"/>
      <c r="H928" s="199"/>
      <c r="I928" s="233"/>
      <c r="J928" s="199"/>
      <c r="K928" s="193" t="s">
        <v>206</v>
      </c>
      <c r="L928" s="232" t="s">
        <v>146</v>
      </c>
      <c r="M928" s="199"/>
      <c r="N928" s="193" t="s">
        <v>475</v>
      </c>
      <c r="O928" s="193" t="s">
        <v>206</v>
      </c>
      <c r="P928" s="193" t="s">
        <v>206</v>
      </c>
      <c r="Q928" s="207"/>
      <c r="R928" s="208" t="s">
        <v>279</v>
      </c>
      <c r="S928" s="193" t="s">
        <v>50</v>
      </c>
      <c r="T928" s="193" t="s">
        <v>476</v>
      </c>
      <c r="U928" s="193" t="s">
        <v>1477</v>
      </c>
      <c r="V928" s="193" t="s">
        <v>50</v>
      </c>
      <c r="W928" s="193" t="s">
        <v>264</v>
      </c>
      <c r="X928" s="193" t="s">
        <v>252</v>
      </c>
      <c r="Y928" s="200">
        <v>3.0</v>
      </c>
      <c r="Z928" s="202" t="s">
        <v>214</v>
      </c>
      <c r="AA928" s="202" t="s">
        <v>215</v>
      </c>
      <c r="AB928" s="203">
        <v>25000.0</v>
      </c>
      <c r="AC928" s="203">
        <v>25000.0</v>
      </c>
      <c r="AD928" s="204">
        <v>46382.0</v>
      </c>
      <c r="AE928" s="204">
        <v>46080.0</v>
      </c>
      <c r="AF928" s="205"/>
      <c r="AG928" s="370"/>
      <c r="AH928" s="370"/>
      <c r="AI928" s="370"/>
      <c r="AJ928" s="370"/>
      <c r="AK928" s="370"/>
      <c r="AL928" s="370"/>
      <c r="AM928" s="370"/>
      <c r="AN928" s="370"/>
      <c r="AO928" s="370"/>
    </row>
    <row r="929">
      <c r="A929" s="193">
        <v>25740.0</v>
      </c>
      <c r="B929" s="232" t="s">
        <v>264</v>
      </c>
      <c r="C929" s="193">
        <v>2026.0</v>
      </c>
      <c r="D929" s="199"/>
      <c r="E929" s="248"/>
      <c r="F929" s="199"/>
      <c r="G929" s="248"/>
      <c r="H929" s="199"/>
      <c r="I929" s="233"/>
      <c r="J929" s="199"/>
      <c r="K929" s="193" t="s">
        <v>206</v>
      </c>
      <c r="L929" s="232" t="s">
        <v>146</v>
      </c>
      <c r="M929" s="199"/>
      <c r="N929" s="193" t="s">
        <v>475</v>
      </c>
      <c r="O929" s="193" t="s">
        <v>206</v>
      </c>
      <c r="P929" s="193" t="s">
        <v>206</v>
      </c>
      <c r="Q929" s="207"/>
      <c r="R929" s="208" t="s">
        <v>279</v>
      </c>
      <c r="S929" s="193" t="s">
        <v>50</v>
      </c>
      <c r="T929" s="193" t="s">
        <v>476</v>
      </c>
      <c r="U929" s="193" t="s">
        <v>1477</v>
      </c>
      <c r="V929" s="193" t="s">
        <v>50</v>
      </c>
      <c r="W929" s="193" t="s">
        <v>264</v>
      </c>
      <c r="X929" s="193" t="s">
        <v>252</v>
      </c>
      <c r="Y929" s="200">
        <v>3.0</v>
      </c>
      <c r="Z929" s="202" t="s">
        <v>214</v>
      </c>
      <c r="AA929" s="202" t="s">
        <v>215</v>
      </c>
      <c r="AB929" s="281">
        <v>21600.0</v>
      </c>
      <c r="AC929" s="203">
        <v>21600.0</v>
      </c>
      <c r="AD929" s="204">
        <v>46382.0</v>
      </c>
      <c r="AE929" s="204">
        <v>46080.0</v>
      </c>
      <c r="AF929" s="205"/>
      <c r="AG929" s="370"/>
      <c r="AH929" s="370"/>
      <c r="AI929" s="370"/>
      <c r="AJ929" s="370"/>
      <c r="AK929" s="370"/>
      <c r="AL929" s="370"/>
      <c r="AM929" s="370"/>
      <c r="AN929" s="370"/>
      <c r="AO929" s="370"/>
    </row>
    <row r="930">
      <c r="A930" s="193">
        <v>25760.0</v>
      </c>
      <c r="B930" s="194" t="s">
        <v>203</v>
      </c>
      <c r="C930" s="193">
        <v>2025.0</v>
      </c>
      <c r="D930" s="193" t="s">
        <v>939</v>
      </c>
      <c r="E930" s="248"/>
      <c r="F930" s="193" t="s">
        <v>718</v>
      </c>
      <c r="G930" s="248"/>
      <c r="H930" s="199"/>
      <c r="I930" s="233"/>
      <c r="J930" s="199"/>
      <c r="K930" s="193" t="s">
        <v>206</v>
      </c>
      <c r="L930" s="193" t="s">
        <v>939</v>
      </c>
      <c r="M930" s="199"/>
      <c r="N930" s="193" t="s">
        <v>207</v>
      </c>
      <c r="O930" s="193" t="s">
        <v>206</v>
      </c>
      <c r="P930" s="193" t="s">
        <v>206</v>
      </c>
      <c r="Q930" s="207"/>
      <c r="R930" s="208" t="s">
        <v>208</v>
      </c>
      <c r="S930" s="193" t="s">
        <v>39</v>
      </c>
      <c r="T930" s="193" t="s">
        <v>294</v>
      </c>
      <c r="U930" s="193" t="s">
        <v>1478</v>
      </c>
      <c r="V930" s="193" t="s">
        <v>296</v>
      </c>
      <c r="W930" s="193" t="s">
        <v>212</v>
      </c>
      <c r="X930" s="193" t="s">
        <v>223</v>
      </c>
      <c r="Y930" s="200">
        <v>3.0</v>
      </c>
      <c r="Z930" s="202" t="s">
        <v>214</v>
      </c>
      <c r="AA930" s="202" t="s">
        <v>215</v>
      </c>
      <c r="AB930" s="203">
        <v>1057110.0</v>
      </c>
      <c r="AC930" s="203">
        <v>1057110.0</v>
      </c>
      <c r="AD930" s="204">
        <v>46381.0</v>
      </c>
      <c r="AE930" s="204">
        <v>46107.0</v>
      </c>
      <c r="AF930" s="205"/>
      <c r="AG930" s="370"/>
      <c r="AH930" s="370"/>
      <c r="AI930" s="370"/>
      <c r="AJ930" s="370"/>
      <c r="AK930" s="370"/>
      <c r="AL930" s="370"/>
      <c r="AM930" s="370"/>
      <c r="AN930" s="370"/>
      <c r="AO930" s="370"/>
    </row>
    <row r="931">
      <c r="A931" s="193">
        <v>25780.0</v>
      </c>
      <c r="B931" s="194" t="s">
        <v>203</v>
      </c>
      <c r="C931" s="193">
        <v>2025.0</v>
      </c>
      <c r="D931" s="193" t="s">
        <v>939</v>
      </c>
      <c r="E931" s="248"/>
      <c r="F931" s="193" t="s">
        <v>718</v>
      </c>
      <c r="G931" s="248"/>
      <c r="H931" s="199"/>
      <c r="I931" s="233"/>
      <c r="J931" s="199"/>
      <c r="K931" s="193" t="s">
        <v>206</v>
      </c>
      <c r="L931" s="193" t="s">
        <v>939</v>
      </c>
      <c r="M931" s="199"/>
      <c r="N931" s="193" t="s">
        <v>227</v>
      </c>
      <c r="O931" s="193" t="s">
        <v>206</v>
      </c>
      <c r="P931" s="193" t="s">
        <v>244</v>
      </c>
      <c r="Q931" s="207"/>
      <c r="R931" s="208" t="s">
        <v>208</v>
      </c>
      <c r="S931" s="193" t="s">
        <v>39</v>
      </c>
      <c r="T931" s="193" t="s">
        <v>390</v>
      </c>
      <c r="U931" s="193" t="s">
        <v>1479</v>
      </c>
      <c r="V931" s="193" t="s">
        <v>155</v>
      </c>
      <c r="W931" s="193" t="s">
        <v>203</v>
      </c>
      <c r="X931" s="193" t="s">
        <v>252</v>
      </c>
      <c r="Y931" s="200">
        <v>3.0</v>
      </c>
      <c r="Z931" s="202" t="s">
        <v>214</v>
      </c>
      <c r="AA931" s="202" t="s">
        <v>234</v>
      </c>
      <c r="AB931" s="221"/>
      <c r="AC931" s="203">
        <v>8000000.0</v>
      </c>
      <c r="AD931" s="204">
        <v>46381.0</v>
      </c>
      <c r="AE931" s="204">
        <v>46079.0</v>
      </c>
      <c r="AF931" s="205"/>
      <c r="AG931" s="370"/>
      <c r="AH931" s="370"/>
      <c r="AI931" s="370"/>
      <c r="AJ931" s="370"/>
      <c r="AK931" s="370"/>
      <c r="AL931" s="370"/>
      <c r="AM931" s="370"/>
      <c r="AN931" s="370"/>
      <c r="AO931" s="370"/>
    </row>
    <row r="932">
      <c r="A932" s="193">
        <v>25800.0</v>
      </c>
      <c r="B932" s="194" t="s">
        <v>203</v>
      </c>
      <c r="C932" s="193">
        <v>2025.0</v>
      </c>
      <c r="D932" s="193" t="s">
        <v>939</v>
      </c>
      <c r="E932" s="248"/>
      <c r="F932" s="193" t="s">
        <v>718</v>
      </c>
      <c r="G932" s="248"/>
      <c r="H932" s="199"/>
      <c r="I932" s="233"/>
      <c r="J932" s="199"/>
      <c r="K932" s="193" t="s">
        <v>206</v>
      </c>
      <c r="L932" s="193" t="s">
        <v>939</v>
      </c>
      <c r="M932" s="199"/>
      <c r="N932" s="193" t="s">
        <v>227</v>
      </c>
      <c r="O932" s="193" t="s">
        <v>206</v>
      </c>
      <c r="P932" s="193" t="s">
        <v>244</v>
      </c>
      <c r="Q932" s="207"/>
      <c r="R932" s="208" t="s">
        <v>208</v>
      </c>
      <c r="S932" s="193" t="s">
        <v>39</v>
      </c>
      <c r="T932" s="193" t="s">
        <v>390</v>
      </c>
      <c r="U932" s="193" t="s">
        <v>1480</v>
      </c>
      <c r="V932" s="193" t="s">
        <v>155</v>
      </c>
      <c r="W932" s="193" t="s">
        <v>203</v>
      </c>
      <c r="X932" s="193" t="s">
        <v>252</v>
      </c>
      <c r="Y932" s="200">
        <v>3.0</v>
      </c>
      <c r="Z932" s="202" t="s">
        <v>214</v>
      </c>
      <c r="AA932" s="202" t="s">
        <v>234</v>
      </c>
      <c r="AB932" s="221"/>
      <c r="AC932" s="203">
        <v>8000000.0</v>
      </c>
      <c r="AD932" s="276">
        <v>46381.0</v>
      </c>
      <c r="AE932" s="204">
        <v>46079.0</v>
      </c>
      <c r="AF932" s="205"/>
      <c r="AG932" s="370"/>
      <c r="AH932" s="370"/>
      <c r="AI932" s="370"/>
      <c r="AJ932" s="370"/>
      <c r="AK932" s="370"/>
      <c r="AL932" s="370"/>
      <c r="AM932" s="370"/>
      <c r="AN932" s="370"/>
      <c r="AO932" s="370"/>
    </row>
    <row r="933">
      <c r="A933" s="193">
        <v>25820.0</v>
      </c>
      <c r="B933" s="194" t="s">
        <v>203</v>
      </c>
      <c r="C933" s="193">
        <v>2025.0</v>
      </c>
      <c r="D933" s="193" t="s">
        <v>939</v>
      </c>
      <c r="E933" s="248"/>
      <c r="F933" s="193" t="s">
        <v>718</v>
      </c>
      <c r="G933" s="248"/>
      <c r="H933" s="199"/>
      <c r="I933" s="233"/>
      <c r="J933" s="199"/>
      <c r="K933" s="193" t="s">
        <v>206</v>
      </c>
      <c r="L933" s="193" t="s">
        <v>939</v>
      </c>
      <c r="M933" s="199"/>
      <c r="N933" s="193" t="s">
        <v>227</v>
      </c>
      <c r="O933" s="193" t="s">
        <v>206</v>
      </c>
      <c r="P933" s="193" t="s">
        <v>244</v>
      </c>
      <c r="Q933" s="207"/>
      <c r="R933" s="208" t="s">
        <v>208</v>
      </c>
      <c r="S933" s="193" t="s">
        <v>39</v>
      </c>
      <c r="T933" s="193" t="s">
        <v>390</v>
      </c>
      <c r="U933" s="193" t="s">
        <v>1481</v>
      </c>
      <c r="V933" s="193" t="s">
        <v>155</v>
      </c>
      <c r="W933" s="193" t="s">
        <v>203</v>
      </c>
      <c r="X933" s="193" t="s">
        <v>252</v>
      </c>
      <c r="Y933" s="200">
        <v>3.0</v>
      </c>
      <c r="Z933" s="202" t="s">
        <v>214</v>
      </c>
      <c r="AA933" s="202" t="s">
        <v>234</v>
      </c>
      <c r="AB933" s="221"/>
      <c r="AC933" s="203">
        <v>8000000.0</v>
      </c>
      <c r="AD933" s="204">
        <v>46381.0</v>
      </c>
      <c r="AE933" s="204">
        <v>46107.0</v>
      </c>
      <c r="AF933" s="205"/>
      <c r="AG933" s="370"/>
      <c r="AH933" s="370"/>
      <c r="AI933" s="370"/>
      <c r="AJ933" s="370"/>
      <c r="AK933" s="370"/>
      <c r="AL933" s="370"/>
      <c r="AM933" s="370"/>
      <c r="AN933" s="370"/>
      <c r="AO933" s="370"/>
    </row>
    <row r="934">
      <c r="A934" s="193">
        <v>25840.0</v>
      </c>
      <c r="B934" s="194" t="s">
        <v>203</v>
      </c>
      <c r="C934" s="193">
        <v>2025.0</v>
      </c>
      <c r="D934" s="193" t="s">
        <v>939</v>
      </c>
      <c r="E934" s="248"/>
      <c r="F934" s="193" t="s">
        <v>718</v>
      </c>
      <c r="G934" s="248"/>
      <c r="H934" s="199"/>
      <c r="I934" s="233"/>
      <c r="J934" s="199"/>
      <c r="K934" s="193" t="s">
        <v>206</v>
      </c>
      <c r="L934" s="193" t="s">
        <v>939</v>
      </c>
      <c r="M934" s="199"/>
      <c r="N934" s="193" t="s">
        <v>207</v>
      </c>
      <c r="O934" s="193" t="s">
        <v>206</v>
      </c>
      <c r="P934" s="193" t="s">
        <v>244</v>
      </c>
      <c r="Q934" s="199"/>
      <c r="R934" s="193" t="s">
        <v>208</v>
      </c>
      <c r="S934" s="193" t="s">
        <v>39</v>
      </c>
      <c r="T934" s="193" t="s">
        <v>250</v>
      </c>
      <c r="U934" s="193" t="s">
        <v>1482</v>
      </c>
      <c r="V934" s="193" t="s">
        <v>155</v>
      </c>
      <c r="W934" s="193" t="s">
        <v>203</v>
      </c>
      <c r="X934" s="193" t="s">
        <v>252</v>
      </c>
      <c r="Y934" s="200">
        <v>3.0</v>
      </c>
      <c r="Z934" s="202" t="s">
        <v>214</v>
      </c>
      <c r="AA934" s="202" t="s">
        <v>215</v>
      </c>
      <c r="AB934" s="203">
        <v>1800000.0</v>
      </c>
      <c r="AC934" s="203">
        <v>1800000.0</v>
      </c>
      <c r="AD934" s="204">
        <v>46381.0</v>
      </c>
      <c r="AE934" s="204">
        <v>46229.0</v>
      </c>
      <c r="AF934" s="205"/>
      <c r="AG934" s="370"/>
      <c r="AH934" s="370"/>
      <c r="AI934" s="370"/>
      <c r="AJ934" s="370"/>
      <c r="AK934" s="370"/>
      <c r="AL934" s="370"/>
      <c r="AM934" s="370"/>
      <c r="AN934" s="370"/>
      <c r="AO934" s="370"/>
    </row>
    <row r="935">
      <c r="A935" s="193">
        <v>25860.0</v>
      </c>
      <c r="B935" s="194" t="s">
        <v>203</v>
      </c>
      <c r="C935" s="193">
        <v>2025.0</v>
      </c>
      <c r="D935" s="193" t="s">
        <v>939</v>
      </c>
      <c r="E935" s="248"/>
      <c r="F935" s="193" t="s">
        <v>718</v>
      </c>
      <c r="G935" s="248"/>
      <c r="H935" s="199"/>
      <c r="I935" s="233"/>
      <c r="J935" s="199"/>
      <c r="K935" s="193" t="s">
        <v>206</v>
      </c>
      <c r="L935" s="193" t="s">
        <v>939</v>
      </c>
      <c r="M935" s="199"/>
      <c r="N935" s="193" t="s">
        <v>207</v>
      </c>
      <c r="O935" s="193" t="s">
        <v>206</v>
      </c>
      <c r="P935" s="193" t="s">
        <v>206</v>
      </c>
      <c r="Q935" s="207"/>
      <c r="R935" s="208" t="s">
        <v>208</v>
      </c>
      <c r="S935" s="193" t="s">
        <v>39</v>
      </c>
      <c r="T935" s="193" t="s">
        <v>209</v>
      </c>
      <c r="U935" s="193" t="s">
        <v>1478</v>
      </c>
      <c r="V935" s="193" t="s">
        <v>211</v>
      </c>
      <c r="W935" s="193" t="s">
        <v>212</v>
      </c>
      <c r="X935" s="193" t="s">
        <v>223</v>
      </c>
      <c r="Y935" s="200">
        <v>3.0</v>
      </c>
      <c r="Z935" s="202" t="s">
        <v>214</v>
      </c>
      <c r="AA935" s="202" t="s">
        <v>215</v>
      </c>
      <c r="AB935" s="203">
        <v>2229061.4</v>
      </c>
      <c r="AC935" s="203">
        <v>2229061.4</v>
      </c>
      <c r="AD935" s="204">
        <v>46381.0</v>
      </c>
      <c r="AE935" s="204">
        <v>46107.0</v>
      </c>
      <c r="AF935" s="205"/>
      <c r="AG935" s="370"/>
      <c r="AH935" s="370"/>
      <c r="AI935" s="370"/>
      <c r="AJ935" s="370"/>
      <c r="AK935" s="370"/>
      <c r="AL935" s="370"/>
      <c r="AM935" s="370"/>
      <c r="AN935" s="370"/>
      <c r="AO935" s="370"/>
    </row>
    <row r="936">
      <c r="A936" s="193">
        <v>25880.0</v>
      </c>
      <c r="B936" s="194" t="s">
        <v>203</v>
      </c>
      <c r="C936" s="193">
        <v>2025.0</v>
      </c>
      <c r="D936" s="193" t="s">
        <v>939</v>
      </c>
      <c r="E936" s="199"/>
      <c r="F936" s="193" t="s">
        <v>718</v>
      </c>
      <c r="G936" s="248"/>
      <c r="H936" s="199"/>
      <c r="I936" s="233"/>
      <c r="J936" s="199"/>
      <c r="K936" s="193" t="s">
        <v>206</v>
      </c>
      <c r="L936" s="193" t="s">
        <v>939</v>
      </c>
      <c r="M936" s="199"/>
      <c r="N936" s="193" t="s">
        <v>207</v>
      </c>
      <c r="O936" s="193" t="s">
        <v>206</v>
      </c>
      <c r="P936" s="193" t="s">
        <v>206</v>
      </c>
      <c r="Q936" s="207"/>
      <c r="R936" s="208" t="s">
        <v>219</v>
      </c>
      <c r="S936" s="193" t="s">
        <v>43</v>
      </c>
      <c r="T936" s="222" t="s">
        <v>299</v>
      </c>
      <c r="U936" s="193" t="s">
        <v>1483</v>
      </c>
      <c r="V936" s="193" t="s">
        <v>296</v>
      </c>
      <c r="W936" s="193" t="s">
        <v>212</v>
      </c>
      <c r="X936" s="193" t="s">
        <v>223</v>
      </c>
      <c r="Y936" s="200">
        <v>3.0</v>
      </c>
      <c r="Z936" s="202" t="s">
        <v>214</v>
      </c>
      <c r="AA936" s="202" t="s">
        <v>215</v>
      </c>
      <c r="AB936" s="203">
        <v>602869.11</v>
      </c>
      <c r="AC936" s="203">
        <v>602869.11</v>
      </c>
      <c r="AD936" s="204">
        <v>46381.0</v>
      </c>
      <c r="AE936" s="204">
        <v>46107.0</v>
      </c>
      <c r="AF936" s="205"/>
      <c r="AG936" s="370"/>
      <c r="AH936" s="370"/>
      <c r="AI936" s="370"/>
      <c r="AJ936" s="370"/>
      <c r="AK936" s="370"/>
      <c r="AL936" s="370"/>
      <c r="AM936" s="370"/>
      <c r="AN936" s="370"/>
      <c r="AO936" s="370"/>
    </row>
    <row r="937">
      <c r="A937" s="193">
        <v>25900.0</v>
      </c>
      <c r="B937" s="194" t="s">
        <v>203</v>
      </c>
      <c r="C937" s="193">
        <v>2025.0</v>
      </c>
      <c r="D937" s="193" t="s">
        <v>939</v>
      </c>
      <c r="E937" s="248"/>
      <c r="F937" s="193" t="s">
        <v>718</v>
      </c>
      <c r="G937" s="233"/>
      <c r="H937" s="199"/>
      <c r="I937" s="233"/>
      <c r="J937" s="199"/>
      <c r="K937" s="193" t="s">
        <v>206</v>
      </c>
      <c r="L937" s="193" t="s">
        <v>939</v>
      </c>
      <c r="M937" s="199"/>
      <c r="N937" s="193" t="s">
        <v>207</v>
      </c>
      <c r="O937" s="193" t="s">
        <v>206</v>
      </c>
      <c r="P937" s="193" t="s">
        <v>206</v>
      </c>
      <c r="Q937" s="199"/>
      <c r="R937" s="193" t="s">
        <v>219</v>
      </c>
      <c r="S937" s="193" t="s">
        <v>45</v>
      </c>
      <c r="T937" s="373" t="s">
        <v>494</v>
      </c>
      <c r="U937" s="193" t="s">
        <v>1478</v>
      </c>
      <c r="V937" s="193" t="s">
        <v>211</v>
      </c>
      <c r="W937" s="193" t="s">
        <v>212</v>
      </c>
      <c r="X937" s="193" t="s">
        <v>223</v>
      </c>
      <c r="Y937" s="200">
        <v>3.0</v>
      </c>
      <c r="Z937" s="202" t="s">
        <v>214</v>
      </c>
      <c r="AA937" s="202" t="s">
        <v>215</v>
      </c>
      <c r="AB937" s="203">
        <v>1704503.0</v>
      </c>
      <c r="AC937" s="203">
        <v>1704503.0</v>
      </c>
      <c r="AD937" s="204">
        <v>46381.0</v>
      </c>
      <c r="AE937" s="204">
        <v>46107.0</v>
      </c>
      <c r="AF937" s="205"/>
      <c r="AG937" s="370"/>
      <c r="AH937" s="370"/>
      <c r="AI937" s="370"/>
      <c r="AJ937" s="370"/>
      <c r="AK937" s="370"/>
      <c r="AL937" s="370"/>
      <c r="AM937" s="370"/>
      <c r="AN937" s="370"/>
      <c r="AO937" s="370"/>
    </row>
    <row r="938">
      <c r="A938" s="193">
        <v>25920.0</v>
      </c>
      <c r="B938" s="194" t="s">
        <v>203</v>
      </c>
      <c r="C938" s="193">
        <v>2025.0</v>
      </c>
      <c r="D938" s="193" t="s">
        <v>939</v>
      </c>
      <c r="E938" s="199"/>
      <c r="F938" s="193" t="s">
        <v>718</v>
      </c>
      <c r="G938" s="248"/>
      <c r="H938" s="199"/>
      <c r="I938" s="233"/>
      <c r="J938" s="199"/>
      <c r="K938" s="193" t="s">
        <v>206</v>
      </c>
      <c r="L938" s="193" t="s">
        <v>939</v>
      </c>
      <c r="M938" s="199"/>
      <c r="N938" s="193" t="s">
        <v>207</v>
      </c>
      <c r="O938" s="193" t="s">
        <v>206</v>
      </c>
      <c r="P938" s="193" t="s">
        <v>206</v>
      </c>
      <c r="Q938" s="207"/>
      <c r="R938" s="208" t="s">
        <v>219</v>
      </c>
      <c r="S938" s="224" t="s">
        <v>45</v>
      </c>
      <c r="T938" s="193" t="s">
        <v>494</v>
      </c>
      <c r="U938" s="208" t="s">
        <v>308</v>
      </c>
      <c r="V938" s="193" t="s">
        <v>211</v>
      </c>
      <c r="W938" s="193" t="s">
        <v>212</v>
      </c>
      <c r="X938" s="193" t="s">
        <v>223</v>
      </c>
      <c r="Y938" s="200">
        <v>3.0</v>
      </c>
      <c r="Z938" s="202" t="s">
        <v>214</v>
      </c>
      <c r="AA938" s="202" t="s">
        <v>215</v>
      </c>
      <c r="AB938" s="203">
        <v>1638125.5</v>
      </c>
      <c r="AC938" s="203">
        <v>1638125.5</v>
      </c>
      <c r="AD938" s="276">
        <v>46381.0</v>
      </c>
      <c r="AE938" s="204">
        <v>46138.0</v>
      </c>
      <c r="AF938" s="205"/>
      <c r="AG938" s="370"/>
      <c r="AH938" s="370"/>
      <c r="AI938" s="370"/>
      <c r="AJ938" s="370"/>
      <c r="AK938" s="370"/>
      <c r="AL938" s="370"/>
      <c r="AM938" s="370"/>
      <c r="AN938" s="370"/>
      <c r="AO938" s="370"/>
    </row>
    <row r="939">
      <c r="A939" s="193">
        <v>25940.0</v>
      </c>
      <c r="B939" s="194" t="s">
        <v>203</v>
      </c>
      <c r="C939" s="193">
        <v>2025.0</v>
      </c>
      <c r="D939" s="193" t="s">
        <v>939</v>
      </c>
      <c r="E939" s="199"/>
      <c r="F939" s="193" t="s">
        <v>718</v>
      </c>
      <c r="G939" s="248"/>
      <c r="H939" s="199"/>
      <c r="I939" s="233"/>
      <c r="J939" s="199"/>
      <c r="K939" s="193" t="s">
        <v>206</v>
      </c>
      <c r="L939" s="193" t="s">
        <v>939</v>
      </c>
      <c r="M939" s="199"/>
      <c r="N939" s="193" t="s">
        <v>207</v>
      </c>
      <c r="O939" s="193" t="s">
        <v>206</v>
      </c>
      <c r="P939" s="193" t="s">
        <v>244</v>
      </c>
      <c r="Q939" s="207"/>
      <c r="R939" s="208" t="s">
        <v>219</v>
      </c>
      <c r="S939" s="224" t="s">
        <v>45</v>
      </c>
      <c r="T939" s="193" t="s">
        <v>437</v>
      </c>
      <c r="U939" s="208" t="s">
        <v>1484</v>
      </c>
      <c r="V939" s="193" t="s">
        <v>155</v>
      </c>
      <c r="W939" s="193" t="s">
        <v>203</v>
      </c>
      <c r="X939" s="193" t="s">
        <v>252</v>
      </c>
      <c r="Y939" s="200">
        <v>3.0</v>
      </c>
      <c r="Z939" s="202" t="s">
        <v>214</v>
      </c>
      <c r="AA939" s="202" t="s">
        <v>215</v>
      </c>
      <c r="AB939" s="203">
        <v>3800000.0</v>
      </c>
      <c r="AC939" s="203">
        <v>3800000.0</v>
      </c>
      <c r="AD939" s="204">
        <v>46381.0</v>
      </c>
      <c r="AE939" s="204">
        <v>46260.0</v>
      </c>
      <c r="AF939" s="268"/>
      <c r="AG939" s="370"/>
      <c r="AH939" s="370"/>
      <c r="AI939" s="370"/>
      <c r="AJ939" s="370"/>
      <c r="AK939" s="370"/>
      <c r="AL939" s="370"/>
      <c r="AM939" s="370"/>
      <c r="AN939" s="370"/>
      <c r="AO939" s="370"/>
    </row>
    <row r="940">
      <c r="A940" s="193">
        <v>25960.0</v>
      </c>
      <c r="B940" s="194" t="s">
        <v>203</v>
      </c>
      <c r="C940" s="193">
        <v>2025.0</v>
      </c>
      <c r="D940" s="193" t="s">
        <v>939</v>
      </c>
      <c r="E940" s="199"/>
      <c r="F940" s="193" t="s">
        <v>718</v>
      </c>
      <c r="G940" s="248"/>
      <c r="H940" s="199"/>
      <c r="I940" s="233"/>
      <c r="J940" s="199"/>
      <c r="K940" s="193" t="s">
        <v>206</v>
      </c>
      <c r="L940" s="193" t="s">
        <v>939</v>
      </c>
      <c r="M940" s="199"/>
      <c r="N940" s="193" t="s">
        <v>207</v>
      </c>
      <c r="O940" s="193" t="s">
        <v>206</v>
      </c>
      <c r="P940" s="193" t="s">
        <v>244</v>
      </c>
      <c r="Q940" s="207"/>
      <c r="R940" s="208" t="s">
        <v>219</v>
      </c>
      <c r="S940" s="193" t="s">
        <v>45</v>
      </c>
      <c r="T940" s="224" t="s">
        <v>437</v>
      </c>
      <c r="U940" s="193" t="s">
        <v>1485</v>
      </c>
      <c r="V940" s="193" t="s">
        <v>155</v>
      </c>
      <c r="W940" s="193" t="s">
        <v>203</v>
      </c>
      <c r="X940" s="193" t="s">
        <v>252</v>
      </c>
      <c r="Y940" s="200">
        <v>3.0</v>
      </c>
      <c r="Z940" s="202" t="s">
        <v>214</v>
      </c>
      <c r="AA940" s="202" t="s">
        <v>215</v>
      </c>
      <c r="AB940" s="203">
        <v>3800000.0</v>
      </c>
      <c r="AC940" s="203">
        <v>3800000.0</v>
      </c>
      <c r="AD940" s="204">
        <v>46381.0</v>
      </c>
      <c r="AE940" s="204">
        <v>46260.0</v>
      </c>
      <c r="AF940" s="268"/>
      <c r="AG940" s="370"/>
      <c r="AH940" s="370"/>
      <c r="AI940" s="370"/>
      <c r="AJ940" s="370"/>
      <c r="AK940" s="370"/>
      <c r="AL940" s="370"/>
      <c r="AM940" s="370"/>
      <c r="AN940" s="370"/>
      <c r="AO940" s="370"/>
    </row>
    <row r="941">
      <c r="A941" s="193">
        <v>25980.0</v>
      </c>
      <c r="B941" s="194" t="s">
        <v>203</v>
      </c>
      <c r="C941" s="193">
        <v>2025.0</v>
      </c>
      <c r="D941" s="193" t="s">
        <v>939</v>
      </c>
      <c r="E941" s="199"/>
      <c r="F941" s="193" t="s">
        <v>718</v>
      </c>
      <c r="G941" s="248"/>
      <c r="H941" s="199"/>
      <c r="I941" s="233"/>
      <c r="J941" s="199"/>
      <c r="K941" s="193" t="s">
        <v>206</v>
      </c>
      <c r="L941" s="193" t="s">
        <v>939</v>
      </c>
      <c r="M941" s="199"/>
      <c r="N941" s="193" t="s">
        <v>207</v>
      </c>
      <c r="O941" s="193" t="s">
        <v>206</v>
      </c>
      <c r="P941" s="193" t="s">
        <v>206</v>
      </c>
      <c r="Q941" s="207"/>
      <c r="R941" s="208" t="s">
        <v>269</v>
      </c>
      <c r="S941" s="193" t="s">
        <v>49</v>
      </c>
      <c r="T941" s="208" t="s">
        <v>356</v>
      </c>
      <c r="U941" s="193" t="s">
        <v>1486</v>
      </c>
      <c r="V941" s="193" t="s">
        <v>211</v>
      </c>
      <c r="W941" s="193" t="s">
        <v>212</v>
      </c>
      <c r="X941" s="193" t="s">
        <v>223</v>
      </c>
      <c r="Y941" s="200">
        <v>3.0</v>
      </c>
      <c r="Z941" s="202" t="s">
        <v>214</v>
      </c>
      <c r="AA941" s="202" t="s">
        <v>215</v>
      </c>
      <c r="AB941" s="203">
        <v>1892821.0</v>
      </c>
      <c r="AC941" s="203">
        <v>1892821.0</v>
      </c>
      <c r="AD941" s="204">
        <v>46381.0</v>
      </c>
      <c r="AE941" s="204">
        <v>46107.0</v>
      </c>
      <c r="AF941" s="205"/>
      <c r="AG941" s="370"/>
      <c r="AH941" s="370"/>
      <c r="AI941" s="370"/>
      <c r="AJ941" s="370"/>
      <c r="AK941" s="370"/>
      <c r="AL941" s="370"/>
      <c r="AM941" s="370"/>
      <c r="AN941" s="370"/>
      <c r="AO941" s="370"/>
    </row>
    <row r="942">
      <c r="A942" s="193">
        <v>26000.0</v>
      </c>
      <c r="B942" s="194" t="s">
        <v>203</v>
      </c>
      <c r="C942" s="193">
        <v>2025.0</v>
      </c>
      <c r="D942" s="193" t="s">
        <v>939</v>
      </c>
      <c r="E942" s="248"/>
      <c r="F942" s="193" t="s">
        <v>718</v>
      </c>
      <c r="G942" s="248"/>
      <c r="H942" s="199"/>
      <c r="I942" s="233"/>
      <c r="J942" s="199"/>
      <c r="K942" s="193" t="s">
        <v>206</v>
      </c>
      <c r="L942" s="193" t="s">
        <v>939</v>
      </c>
      <c r="M942" s="199"/>
      <c r="N942" s="193" t="s">
        <v>207</v>
      </c>
      <c r="O942" s="193" t="s">
        <v>206</v>
      </c>
      <c r="P942" s="193" t="s">
        <v>206</v>
      </c>
      <c r="Q942" s="207"/>
      <c r="R942" s="208" t="s">
        <v>269</v>
      </c>
      <c r="S942" s="193" t="s">
        <v>49</v>
      </c>
      <c r="T942" s="227" t="s">
        <v>356</v>
      </c>
      <c r="U942" s="193" t="s">
        <v>1487</v>
      </c>
      <c r="V942" s="193" t="s">
        <v>211</v>
      </c>
      <c r="W942" s="193" t="s">
        <v>212</v>
      </c>
      <c r="X942" s="193" t="s">
        <v>223</v>
      </c>
      <c r="Y942" s="200">
        <v>3.0</v>
      </c>
      <c r="Z942" s="202" t="s">
        <v>214</v>
      </c>
      <c r="AA942" s="202" t="s">
        <v>215</v>
      </c>
      <c r="AB942" s="203">
        <v>1482179.0</v>
      </c>
      <c r="AC942" s="203">
        <v>1482179.0</v>
      </c>
      <c r="AD942" s="276">
        <v>46381.0</v>
      </c>
      <c r="AE942" s="204">
        <v>46138.0</v>
      </c>
      <c r="AF942" s="268"/>
      <c r="AG942" s="370"/>
      <c r="AH942" s="370"/>
      <c r="AI942" s="370"/>
      <c r="AJ942" s="370"/>
      <c r="AK942" s="370"/>
      <c r="AL942" s="370"/>
      <c r="AM942" s="370"/>
      <c r="AN942" s="370"/>
      <c r="AO942" s="370"/>
    </row>
    <row r="943">
      <c r="A943" s="193">
        <v>26020.0</v>
      </c>
      <c r="B943" s="194" t="s">
        <v>203</v>
      </c>
      <c r="C943" s="193">
        <v>2025.0</v>
      </c>
      <c r="D943" s="193" t="s">
        <v>939</v>
      </c>
      <c r="E943" s="199"/>
      <c r="F943" s="193" t="s">
        <v>718</v>
      </c>
      <c r="G943" s="248"/>
      <c r="H943" s="199"/>
      <c r="I943" s="233"/>
      <c r="J943" s="199"/>
      <c r="K943" s="193" t="s">
        <v>206</v>
      </c>
      <c r="L943" s="193" t="s">
        <v>939</v>
      </c>
      <c r="M943" s="199"/>
      <c r="N943" s="193" t="s">
        <v>207</v>
      </c>
      <c r="O943" s="193" t="s">
        <v>206</v>
      </c>
      <c r="P943" s="193" t="s">
        <v>244</v>
      </c>
      <c r="Q943" s="207"/>
      <c r="R943" s="208" t="s">
        <v>228</v>
      </c>
      <c r="S943" s="193" t="s">
        <v>46</v>
      </c>
      <c r="T943" s="227" t="s">
        <v>437</v>
      </c>
      <c r="U943" s="193" t="s">
        <v>1488</v>
      </c>
      <c r="V943" s="193" t="s">
        <v>155</v>
      </c>
      <c r="W943" s="193" t="s">
        <v>203</v>
      </c>
      <c r="X943" s="193" t="s">
        <v>252</v>
      </c>
      <c r="Y943" s="200">
        <v>3.0</v>
      </c>
      <c r="Z943" s="202" t="s">
        <v>214</v>
      </c>
      <c r="AA943" s="202" t="s">
        <v>215</v>
      </c>
      <c r="AB943" s="203">
        <v>4800000.0</v>
      </c>
      <c r="AC943" s="203">
        <v>4800000.0</v>
      </c>
      <c r="AD943" s="276">
        <v>46137.0</v>
      </c>
      <c r="AE943" s="204">
        <v>46168.0</v>
      </c>
      <c r="AF943" s="268"/>
      <c r="AG943" s="370"/>
      <c r="AH943" s="370"/>
      <c r="AI943" s="370"/>
      <c r="AJ943" s="370"/>
      <c r="AK943" s="370"/>
      <c r="AL943" s="370"/>
      <c r="AM943" s="370"/>
      <c r="AN943" s="370"/>
      <c r="AO943" s="370"/>
    </row>
    <row r="944">
      <c r="A944" s="193">
        <v>62900.0</v>
      </c>
      <c r="B944" s="194" t="s">
        <v>203</v>
      </c>
      <c r="C944" s="193">
        <v>2026.0</v>
      </c>
      <c r="D944" s="195">
        <v>2048.0</v>
      </c>
      <c r="E944" s="248"/>
      <c r="F944" s="193" t="s">
        <v>272</v>
      </c>
      <c r="G944" s="248"/>
      <c r="H944" s="199"/>
      <c r="I944" s="237"/>
      <c r="J944" s="199"/>
      <c r="K944" s="193" t="s">
        <v>206</v>
      </c>
      <c r="L944" s="194" t="s">
        <v>144</v>
      </c>
      <c r="M944" s="199"/>
      <c r="N944" s="193" t="s">
        <v>207</v>
      </c>
      <c r="O944" s="193" t="s">
        <v>206</v>
      </c>
      <c r="P944" s="193" t="s">
        <v>206</v>
      </c>
      <c r="Q944" s="199"/>
      <c r="R944" s="193" t="s">
        <v>219</v>
      </c>
      <c r="S944" s="193" t="s">
        <v>44</v>
      </c>
      <c r="T944" s="375" t="s">
        <v>220</v>
      </c>
      <c r="U944" s="193" t="s">
        <v>1489</v>
      </c>
      <c r="V944" s="193" t="s">
        <v>211</v>
      </c>
      <c r="W944" s="193" t="s">
        <v>212</v>
      </c>
      <c r="X944" s="193" t="s">
        <v>223</v>
      </c>
      <c r="Y944" s="200">
        <v>3.0</v>
      </c>
      <c r="Z944" s="202" t="s">
        <v>214</v>
      </c>
      <c r="AA944" s="202" t="s">
        <v>215</v>
      </c>
      <c r="AB944" s="203" t="s">
        <v>275</v>
      </c>
      <c r="AC944" s="203" t="s">
        <v>275</v>
      </c>
      <c r="AD944" s="204">
        <v>46291.0</v>
      </c>
      <c r="AE944" s="204">
        <v>46352.0</v>
      </c>
      <c r="AF944" s="226" t="s">
        <v>1490</v>
      </c>
      <c r="AG944" s="370"/>
      <c r="AH944" s="201"/>
      <c r="AI944" s="201"/>
      <c r="AJ944" s="370"/>
      <c r="AK944" s="370"/>
      <c r="AL944" s="370"/>
      <c r="AM944" s="370"/>
      <c r="AN944" s="370"/>
      <c r="AO944" s="370"/>
    </row>
    <row r="945">
      <c r="A945" s="193">
        <v>62920.0</v>
      </c>
      <c r="B945" s="232" t="s">
        <v>264</v>
      </c>
      <c r="C945" s="193">
        <v>2026.0</v>
      </c>
      <c r="D945" s="199"/>
      <c r="E945" s="248"/>
      <c r="F945" s="199"/>
      <c r="G945" s="248"/>
      <c r="H945" s="199"/>
      <c r="I945" s="233"/>
      <c r="J945" s="199"/>
      <c r="K945" s="193" t="s">
        <v>206</v>
      </c>
      <c r="L945" s="234" t="s">
        <v>145</v>
      </c>
      <c r="M945" s="199"/>
      <c r="N945" s="193" t="s">
        <v>207</v>
      </c>
      <c r="O945" s="193" t="s">
        <v>206</v>
      </c>
      <c r="P945" s="193" t="s">
        <v>206</v>
      </c>
      <c r="Q945" s="199"/>
      <c r="R945" s="193" t="s">
        <v>219</v>
      </c>
      <c r="S945" s="193" t="s">
        <v>44</v>
      </c>
      <c r="T945" s="375" t="s">
        <v>220</v>
      </c>
      <c r="U945" s="193" t="s">
        <v>1491</v>
      </c>
      <c r="V945" s="193" t="s">
        <v>211</v>
      </c>
      <c r="W945" s="193" t="s">
        <v>212</v>
      </c>
      <c r="X945" s="193" t="s">
        <v>223</v>
      </c>
      <c r="Y945" s="200">
        <v>3.0</v>
      </c>
      <c r="Z945" s="202" t="s">
        <v>214</v>
      </c>
      <c r="AA945" s="202" t="s">
        <v>215</v>
      </c>
      <c r="AB945" s="203">
        <v>2572500.0</v>
      </c>
      <c r="AC945" s="203">
        <v>2572500.0</v>
      </c>
      <c r="AD945" s="204">
        <v>46321.0</v>
      </c>
      <c r="AE945" s="204">
        <v>46382.0</v>
      </c>
      <c r="AF945" s="226" t="s">
        <v>1492</v>
      </c>
      <c r="AG945" s="370"/>
      <c r="AH945" s="201"/>
      <c r="AI945" s="201"/>
      <c r="AJ945" s="370"/>
      <c r="AK945" s="370"/>
      <c r="AL945" s="370"/>
      <c r="AM945" s="370"/>
      <c r="AN945" s="370"/>
      <c r="AO945" s="370"/>
    </row>
    <row r="946">
      <c r="A946" s="193">
        <v>63000.0</v>
      </c>
      <c r="B946" s="232" t="s">
        <v>264</v>
      </c>
      <c r="C946" s="193">
        <v>2026.0</v>
      </c>
      <c r="D946" s="199"/>
      <c r="E946" s="248"/>
      <c r="F946" s="199"/>
      <c r="G946" s="248"/>
      <c r="H946" s="199"/>
      <c r="I946" s="233"/>
      <c r="J946" s="199"/>
      <c r="K946" s="193" t="s">
        <v>206</v>
      </c>
      <c r="L946" s="232" t="s">
        <v>146</v>
      </c>
      <c r="M946" s="199"/>
      <c r="N946" s="193" t="s">
        <v>227</v>
      </c>
      <c r="O946" s="193" t="s">
        <v>206</v>
      </c>
      <c r="P946" s="193" t="s">
        <v>244</v>
      </c>
      <c r="Q946" s="199"/>
      <c r="R946" s="193" t="s">
        <v>228</v>
      </c>
      <c r="S946" s="193" t="s">
        <v>46</v>
      </c>
      <c r="T946" s="375" t="s">
        <v>583</v>
      </c>
      <c r="U946" s="193" t="s">
        <v>1493</v>
      </c>
      <c r="V946" s="193" t="s">
        <v>155</v>
      </c>
      <c r="W946" s="193" t="s">
        <v>203</v>
      </c>
      <c r="X946" s="193" t="s">
        <v>252</v>
      </c>
      <c r="Y946" s="200">
        <v>3.0</v>
      </c>
      <c r="Z946" s="202" t="s">
        <v>214</v>
      </c>
      <c r="AA946" s="202" t="s">
        <v>234</v>
      </c>
      <c r="AB946" s="203">
        <v>4800000.0</v>
      </c>
      <c r="AC946" s="203">
        <v>4800000.0</v>
      </c>
      <c r="AD946" s="204">
        <v>46260.0</v>
      </c>
      <c r="AE946" s="204">
        <v>46291.0</v>
      </c>
      <c r="AF946" s="205"/>
      <c r="AG946" s="370"/>
      <c r="AH946" s="201"/>
      <c r="AI946" s="201"/>
      <c r="AJ946" s="370"/>
      <c r="AK946" s="370"/>
      <c r="AL946" s="370"/>
      <c r="AM946" s="370"/>
      <c r="AN946" s="370"/>
      <c r="AO946" s="370"/>
    </row>
    <row r="947">
      <c r="A947" s="193">
        <v>63020.0</v>
      </c>
      <c r="B947" s="232" t="s">
        <v>264</v>
      </c>
      <c r="C947" s="193">
        <v>2026.0</v>
      </c>
      <c r="D947" s="199"/>
      <c r="E947" s="248"/>
      <c r="F947" s="199"/>
      <c r="G947" s="248"/>
      <c r="H947" s="199"/>
      <c r="I947" s="233"/>
      <c r="J947" s="199"/>
      <c r="K947" s="193" t="s">
        <v>206</v>
      </c>
      <c r="L947" s="232" t="s">
        <v>146</v>
      </c>
      <c r="M947" s="199"/>
      <c r="N947" s="193" t="s">
        <v>227</v>
      </c>
      <c r="O947" s="193" t="s">
        <v>206</v>
      </c>
      <c r="P947" s="193" t="s">
        <v>244</v>
      </c>
      <c r="Q947" s="199"/>
      <c r="R947" s="193" t="s">
        <v>228</v>
      </c>
      <c r="S947" s="193" t="s">
        <v>46</v>
      </c>
      <c r="T947" s="375" t="s">
        <v>583</v>
      </c>
      <c r="U947" s="193" t="s">
        <v>1493</v>
      </c>
      <c r="V947" s="193" t="s">
        <v>155</v>
      </c>
      <c r="W947" s="193" t="s">
        <v>203</v>
      </c>
      <c r="X947" s="193" t="s">
        <v>252</v>
      </c>
      <c r="Y947" s="200">
        <v>3.0</v>
      </c>
      <c r="Z947" s="202" t="s">
        <v>214</v>
      </c>
      <c r="AA947" s="202" t="s">
        <v>234</v>
      </c>
      <c r="AB947" s="203">
        <v>4800000.0</v>
      </c>
      <c r="AC947" s="203">
        <v>4800000.0</v>
      </c>
      <c r="AD947" s="204">
        <v>46291.0</v>
      </c>
      <c r="AE947" s="204">
        <v>46321.0</v>
      </c>
      <c r="AF947" s="205"/>
      <c r="AG947" s="370"/>
      <c r="AH947" s="201"/>
      <c r="AI947" s="201"/>
      <c r="AJ947" s="370"/>
      <c r="AK947" s="370"/>
      <c r="AL947" s="370"/>
      <c r="AM947" s="370"/>
      <c r="AN947" s="370"/>
      <c r="AO947" s="370"/>
    </row>
    <row r="948">
      <c r="A948" s="193">
        <v>63040.0</v>
      </c>
      <c r="B948" s="232" t="s">
        <v>264</v>
      </c>
      <c r="C948" s="193">
        <v>2026.0</v>
      </c>
      <c r="D948" s="199"/>
      <c r="E948" s="248"/>
      <c r="F948" s="199"/>
      <c r="G948" s="248"/>
      <c r="H948" s="199"/>
      <c r="I948" s="233"/>
      <c r="J948" s="199"/>
      <c r="K948" s="193" t="s">
        <v>206</v>
      </c>
      <c r="L948" s="232" t="s">
        <v>146</v>
      </c>
      <c r="M948" s="199"/>
      <c r="N948" s="193" t="s">
        <v>227</v>
      </c>
      <c r="O948" s="193" t="s">
        <v>206</v>
      </c>
      <c r="P948" s="193" t="s">
        <v>244</v>
      </c>
      <c r="Q948" s="199"/>
      <c r="R948" s="193" t="s">
        <v>228</v>
      </c>
      <c r="S948" s="193" t="s">
        <v>46</v>
      </c>
      <c r="T948" s="375" t="s">
        <v>583</v>
      </c>
      <c r="U948" s="193" t="s">
        <v>1493</v>
      </c>
      <c r="V948" s="193" t="s">
        <v>155</v>
      </c>
      <c r="W948" s="193" t="s">
        <v>203</v>
      </c>
      <c r="X948" s="193" t="s">
        <v>252</v>
      </c>
      <c r="Y948" s="200">
        <v>3.0</v>
      </c>
      <c r="Z948" s="202" t="s">
        <v>214</v>
      </c>
      <c r="AA948" s="202" t="s">
        <v>234</v>
      </c>
      <c r="AB948" s="203">
        <v>4800000.0</v>
      </c>
      <c r="AC948" s="203">
        <v>4800000.0</v>
      </c>
      <c r="AD948" s="204">
        <v>46321.0</v>
      </c>
      <c r="AE948" s="204">
        <v>46352.0</v>
      </c>
      <c r="AF948" s="226" t="s">
        <v>1494</v>
      </c>
      <c r="AG948" s="370"/>
      <c r="AH948" s="201"/>
      <c r="AI948" s="201"/>
      <c r="AJ948" s="370"/>
      <c r="AK948" s="370"/>
      <c r="AL948" s="370"/>
      <c r="AM948" s="370"/>
      <c r="AN948" s="370"/>
      <c r="AO948" s="370"/>
    </row>
    <row r="949">
      <c r="A949" s="193">
        <v>63060.0</v>
      </c>
      <c r="B949" s="232" t="s">
        <v>264</v>
      </c>
      <c r="C949" s="193">
        <v>2026.0</v>
      </c>
      <c r="D949" s="199"/>
      <c r="E949" s="248"/>
      <c r="F949" s="199"/>
      <c r="G949" s="248"/>
      <c r="H949" s="199"/>
      <c r="I949" s="233"/>
      <c r="J949" s="199"/>
      <c r="K949" s="193" t="s">
        <v>206</v>
      </c>
      <c r="L949" s="232" t="s">
        <v>146</v>
      </c>
      <c r="M949" s="199"/>
      <c r="N949" s="193" t="s">
        <v>227</v>
      </c>
      <c r="O949" s="193" t="s">
        <v>206</v>
      </c>
      <c r="P949" s="193" t="s">
        <v>244</v>
      </c>
      <c r="Q949" s="199"/>
      <c r="R949" s="193" t="s">
        <v>228</v>
      </c>
      <c r="S949" s="193" t="s">
        <v>46</v>
      </c>
      <c r="T949" s="375" t="s">
        <v>583</v>
      </c>
      <c r="U949" s="193" t="s">
        <v>1493</v>
      </c>
      <c r="V949" s="193" t="s">
        <v>155</v>
      </c>
      <c r="W949" s="193" t="s">
        <v>203</v>
      </c>
      <c r="X949" s="193" t="s">
        <v>252</v>
      </c>
      <c r="Y949" s="200">
        <v>3.0</v>
      </c>
      <c r="Z949" s="202" t="s">
        <v>214</v>
      </c>
      <c r="AA949" s="202" t="s">
        <v>234</v>
      </c>
      <c r="AB949" s="203">
        <v>4800000.0</v>
      </c>
      <c r="AC949" s="203">
        <v>4800000.0</v>
      </c>
      <c r="AD949" s="204">
        <v>46352.0</v>
      </c>
      <c r="AE949" s="204">
        <v>46382.0</v>
      </c>
      <c r="AF949" s="226" t="s">
        <v>1494</v>
      </c>
      <c r="AG949" s="370"/>
      <c r="AH949" s="201"/>
      <c r="AI949" s="201"/>
      <c r="AJ949" s="370"/>
      <c r="AK949" s="370"/>
      <c r="AL949" s="370"/>
      <c r="AM949" s="370"/>
      <c r="AN949" s="370"/>
      <c r="AO949" s="370"/>
    </row>
    <row r="950">
      <c r="A950" s="193">
        <v>63080.0</v>
      </c>
      <c r="B950" s="232" t="s">
        <v>264</v>
      </c>
      <c r="C950" s="193">
        <v>2026.0</v>
      </c>
      <c r="D950" s="199"/>
      <c r="E950" s="248"/>
      <c r="F950" s="199"/>
      <c r="G950" s="248"/>
      <c r="H950" s="199"/>
      <c r="I950" s="233"/>
      <c r="J950" s="199"/>
      <c r="K950" s="193" t="s">
        <v>206</v>
      </c>
      <c r="L950" s="232" t="s">
        <v>146</v>
      </c>
      <c r="M950" s="199"/>
      <c r="N950" s="193" t="s">
        <v>227</v>
      </c>
      <c r="O950" s="193" t="s">
        <v>206</v>
      </c>
      <c r="P950" s="193" t="s">
        <v>244</v>
      </c>
      <c r="Q950" s="199"/>
      <c r="R950" s="193" t="s">
        <v>228</v>
      </c>
      <c r="S950" s="193" t="s">
        <v>46</v>
      </c>
      <c r="T950" s="375" t="s">
        <v>583</v>
      </c>
      <c r="U950" s="193" t="s">
        <v>1495</v>
      </c>
      <c r="V950" s="193" t="s">
        <v>155</v>
      </c>
      <c r="W950" s="193" t="s">
        <v>203</v>
      </c>
      <c r="X950" s="193" t="s">
        <v>252</v>
      </c>
      <c r="Y950" s="200">
        <v>3.0</v>
      </c>
      <c r="Z950" s="202" t="s">
        <v>214</v>
      </c>
      <c r="AA950" s="202" t="s">
        <v>234</v>
      </c>
      <c r="AB950" s="203">
        <v>4800000.0</v>
      </c>
      <c r="AC950" s="203">
        <v>4800000.0</v>
      </c>
      <c r="AD950" s="204">
        <v>46291.0</v>
      </c>
      <c r="AE950" s="204">
        <v>46321.0</v>
      </c>
      <c r="AF950" s="226" t="s">
        <v>1494</v>
      </c>
      <c r="AG950" s="370"/>
      <c r="AH950" s="201"/>
      <c r="AI950" s="201"/>
      <c r="AJ950" s="370"/>
      <c r="AK950" s="370"/>
      <c r="AL950" s="370"/>
      <c r="AM950" s="370"/>
      <c r="AN950" s="370"/>
      <c r="AO950" s="370"/>
    </row>
    <row r="951">
      <c r="A951" s="193">
        <v>63100.0</v>
      </c>
      <c r="B951" s="194" t="s">
        <v>203</v>
      </c>
      <c r="C951" s="193">
        <v>2025.0</v>
      </c>
      <c r="D951" s="193" t="s">
        <v>939</v>
      </c>
      <c r="E951" s="248"/>
      <c r="F951" s="193" t="s">
        <v>718</v>
      </c>
      <c r="G951" s="248"/>
      <c r="H951" s="199"/>
      <c r="I951" s="233"/>
      <c r="J951" s="199"/>
      <c r="K951" s="193" t="s">
        <v>206</v>
      </c>
      <c r="L951" s="193" t="s">
        <v>939</v>
      </c>
      <c r="M951" s="199"/>
      <c r="N951" s="193" t="s">
        <v>207</v>
      </c>
      <c r="O951" s="193" t="s">
        <v>206</v>
      </c>
      <c r="P951" s="193" t="s">
        <v>244</v>
      </c>
      <c r="Q951" s="199"/>
      <c r="R951" s="193" t="s">
        <v>228</v>
      </c>
      <c r="S951" s="193" t="s">
        <v>46</v>
      </c>
      <c r="T951" s="193" t="s">
        <v>437</v>
      </c>
      <c r="U951" s="193" t="s">
        <v>1493</v>
      </c>
      <c r="V951" s="193" t="s">
        <v>155</v>
      </c>
      <c r="W951" s="193" t="s">
        <v>203</v>
      </c>
      <c r="X951" s="193" t="s">
        <v>252</v>
      </c>
      <c r="Y951" s="200">
        <v>3.0</v>
      </c>
      <c r="Z951" s="202" t="s">
        <v>214</v>
      </c>
      <c r="AA951" s="202" t="s">
        <v>215</v>
      </c>
      <c r="AB951" s="203">
        <v>4800000.0</v>
      </c>
      <c r="AC951" s="203">
        <v>4800000.0</v>
      </c>
      <c r="AD951" s="204">
        <v>46229.0</v>
      </c>
      <c r="AE951" s="204">
        <v>46260.0</v>
      </c>
      <c r="AF951" s="205"/>
      <c r="AG951" s="370"/>
      <c r="AH951" s="370"/>
      <c r="AI951" s="370"/>
      <c r="AJ951" s="370"/>
      <c r="AK951" s="370"/>
      <c r="AL951" s="370"/>
      <c r="AM951" s="370"/>
      <c r="AN951" s="370"/>
      <c r="AO951" s="370"/>
    </row>
    <row r="952">
      <c r="A952" s="193">
        <v>63120.0</v>
      </c>
      <c r="B952" s="232" t="s">
        <v>264</v>
      </c>
      <c r="C952" s="193">
        <v>2026.0</v>
      </c>
      <c r="D952" s="199"/>
      <c r="E952" s="248"/>
      <c r="F952" s="199"/>
      <c r="G952" s="248"/>
      <c r="H952" s="199"/>
      <c r="I952" s="233"/>
      <c r="J952" s="199"/>
      <c r="K952" s="193" t="s">
        <v>206</v>
      </c>
      <c r="L952" s="232" t="s">
        <v>146</v>
      </c>
      <c r="M952" s="199"/>
      <c r="N952" s="193" t="s">
        <v>207</v>
      </c>
      <c r="O952" s="193" t="s">
        <v>206</v>
      </c>
      <c r="P952" s="193" t="s">
        <v>244</v>
      </c>
      <c r="Q952" s="199"/>
      <c r="R952" s="193" t="s">
        <v>219</v>
      </c>
      <c r="S952" s="193" t="s">
        <v>45</v>
      </c>
      <c r="T952" s="193" t="s">
        <v>512</v>
      </c>
      <c r="U952" s="193" t="s">
        <v>1496</v>
      </c>
      <c r="V952" s="193" t="s">
        <v>155</v>
      </c>
      <c r="W952" s="193" t="s">
        <v>203</v>
      </c>
      <c r="X952" s="193" t="s">
        <v>252</v>
      </c>
      <c r="Y952" s="200">
        <v>3.0</v>
      </c>
      <c r="Z952" s="202" t="s">
        <v>214</v>
      </c>
      <c r="AA952" s="202" t="s">
        <v>215</v>
      </c>
      <c r="AB952" s="203">
        <v>3800000.0</v>
      </c>
      <c r="AC952" s="203">
        <v>3800000.0</v>
      </c>
      <c r="AD952" s="204">
        <v>46382.0</v>
      </c>
      <c r="AE952" s="204">
        <v>46108.0</v>
      </c>
      <c r="AF952" s="205"/>
      <c r="AG952" s="370"/>
      <c r="AH952" s="370"/>
      <c r="AI952" s="370"/>
      <c r="AJ952" s="370"/>
      <c r="AK952" s="370"/>
      <c r="AL952" s="370"/>
      <c r="AM952" s="370"/>
      <c r="AN952" s="370"/>
      <c r="AO952" s="370"/>
    </row>
    <row r="953">
      <c r="A953" s="193">
        <v>63140.0</v>
      </c>
      <c r="B953" s="194" t="s">
        <v>203</v>
      </c>
      <c r="C953" s="193">
        <v>2026.0</v>
      </c>
      <c r="D953" s="199"/>
      <c r="E953" s="248"/>
      <c r="F953" s="199"/>
      <c r="G953" s="376"/>
      <c r="H953" s="199"/>
      <c r="I953" s="233"/>
      <c r="J953" s="199"/>
      <c r="K953" s="193" t="s">
        <v>206</v>
      </c>
      <c r="L953" s="232" t="s">
        <v>146</v>
      </c>
      <c r="M953" s="199"/>
      <c r="N953" s="193" t="s">
        <v>227</v>
      </c>
      <c r="O953" s="193" t="s">
        <v>244</v>
      </c>
      <c r="P953" s="193" t="s">
        <v>244</v>
      </c>
      <c r="Q953" s="199"/>
      <c r="R953" s="193" t="s">
        <v>219</v>
      </c>
      <c r="S953" s="193" t="s">
        <v>45</v>
      </c>
      <c r="T953" s="377" t="s">
        <v>1497</v>
      </c>
      <c r="U953" s="193" t="s">
        <v>1498</v>
      </c>
      <c r="V953" s="193" t="s">
        <v>155</v>
      </c>
      <c r="W953" s="193" t="s">
        <v>203</v>
      </c>
      <c r="X953" s="193" t="s">
        <v>252</v>
      </c>
      <c r="Y953" s="200">
        <v>3.0</v>
      </c>
      <c r="Z953" s="202" t="s">
        <v>233</v>
      </c>
      <c r="AA953" s="202" t="s">
        <v>234</v>
      </c>
      <c r="AB953" s="203">
        <v>771000.0</v>
      </c>
      <c r="AC953" s="203">
        <v>4394700.0</v>
      </c>
      <c r="AD953" s="204">
        <v>46382.0</v>
      </c>
      <c r="AE953" s="204">
        <v>46108.0</v>
      </c>
      <c r="AF953" s="205"/>
      <c r="AG953" s="370"/>
      <c r="AH953" s="201"/>
      <c r="AI953" s="201"/>
      <c r="AJ953" s="370"/>
      <c r="AK953" s="370"/>
      <c r="AL953" s="370"/>
      <c r="AM953" s="370"/>
      <c r="AN953" s="370"/>
      <c r="AO953" s="370"/>
    </row>
    <row r="954">
      <c r="A954" s="193">
        <v>63200.0</v>
      </c>
      <c r="B954" s="194" t="s">
        <v>203</v>
      </c>
      <c r="C954" s="193">
        <v>2025.0</v>
      </c>
      <c r="D954" s="193" t="s">
        <v>939</v>
      </c>
      <c r="E954" s="248"/>
      <c r="F954" s="208" t="s">
        <v>718</v>
      </c>
      <c r="G954" s="248"/>
      <c r="H954" s="199"/>
      <c r="I954" s="233"/>
      <c r="J954" s="199"/>
      <c r="K954" s="193" t="s">
        <v>206</v>
      </c>
      <c r="L954" s="193" t="s">
        <v>939</v>
      </c>
      <c r="M954" s="199"/>
      <c r="N954" s="193" t="s">
        <v>227</v>
      </c>
      <c r="O954" s="193" t="s">
        <v>206</v>
      </c>
      <c r="P954" s="193" t="s">
        <v>244</v>
      </c>
      <c r="Q954" s="199"/>
      <c r="R954" s="193" t="s">
        <v>208</v>
      </c>
      <c r="S954" s="193" t="s">
        <v>39</v>
      </c>
      <c r="T954" s="375" t="s">
        <v>390</v>
      </c>
      <c r="U954" s="193" t="s">
        <v>1499</v>
      </c>
      <c r="V954" s="193" t="s">
        <v>155</v>
      </c>
      <c r="W954" s="193" t="s">
        <v>203</v>
      </c>
      <c r="X954" s="193" t="s">
        <v>252</v>
      </c>
      <c r="Y954" s="200">
        <v>3.0</v>
      </c>
      <c r="Z954" s="202" t="s">
        <v>214</v>
      </c>
      <c r="AA954" s="202" t="s">
        <v>234</v>
      </c>
      <c r="AB954" s="221"/>
      <c r="AC954" s="203">
        <v>8000000.0</v>
      </c>
      <c r="AD954" s="204">
        <v>46381.0</v>
      </c>
      <c r="AE954" s="204">
        <v>46107.0</v>
      </c>
      <c r="AF954" s="205"/>
      <c r="AG954" s="370"/>
      <c r="AH954" s="370"/>
      <c r="AI954" s="370"/>
      <c r="AJ954" s="370"/>
      <c r="AK954" s="370"/>
      <c r="AL954" s="370"/>
      <c r="AM954" s="370"/>
      <c r="AN954" s="370"/>
      <c r="AO954" s="370"/>
    </row>
    <row r="955">
      <c r="A955" s="193">
        <v>63220.0</v>
      </c>
      <c r="B955" s="194" t="s">
        <v>203</v>
      </c>
      <c r="C955" s="193">
        <v>2025.0</v>
      </c>
      <c r="D955" s="193" t="s">
        <v>939</v>
      </c>
      <c r="E955" s="199"/>
      <c r="F955" s="193" t="s">
        <v>718</v>
      </c>
      <c r="G955" s="248"/>
      <c r="H955" s="199"/>
      <c r="I955" s="233"/>
      <c r="J955" s="199"/>
      <c r="K955" s="193" t="s">
        <v>206</v>
      </c>
      <c r="L955" s="193" t="s">
        <v>939</v>
      </c>
      <c r="M955" s="199"/>
      <c r="N955" s="193" t="s">
        <v>227</v>
      </c>
      <c r="O955" s="193" t="s">
        <v>206</v>
      </c>
      <c r="P955" s="193" t="s">
        <v>244</v>
      </c>
      <c r="Q955" s="199"/>
      <c r="R955" s="193" t="s">
        <v>208</v>
      </c>
      <c r="S955" s="193" t="s">
        <v>39</v>
      </c>
      <c r="T955" s="375" t="s">
        <v>390</v>
      </c>
      <c r="U955" s="193" t="s">
        <v>1500</v>
      </c>
      <c r="V955" s="193" t="s">
        <v>155</v>
      </c>
      <c r="W955" s="193" t="s">
        <v>203</v>
      </c>
      <c r="X955" s="193" t="s">
        <v>252</v>
      </c>
      <c r="Y955" s="200">
        <v>3.0</v>
      </c>
      <c r="Z955" s="202" t="s">
        <v>214</v>
      </c>
      <c r="AA955" s="202" t="s">
        <v>234</v>
      </c>
      <c r="AB955" s="221"/>
      <c r="AC955" s="203">
        <v>8000000.0</v>
      </c>
      <c r="AD955" s="204">
        <v>46381.0</v>
      </c>
      <c r="AE955" s="204">
        <v>46138.0</v>
      </c>
      <c r="AF955" s="205"/>
      <c r="AG955" s="370"/>
      <c r="AH955" s="370"/>
      <c r="AI955" s="370"/>
      <c r="AJ955" s="370"/>
      <c r="AK955" s="370"/>
      <c r="AL955" s="370"/>
      <c r="AM955" s="370"/>
      <c r="AN955" s="370"/>
      <c r="AO955" s="370"/>
    </row>
    <row r="956">
      <c r="A956" s="193">
        <v>63240.0</v>
      </c>
      <c r="B956" s="194" t="s">
        <v>203</v>
      </c>
      <c r="C956" s="193">
        <v>2026.0</v>
      </c>
      <c r="D956" s="199"/>
      <c r="E956" s="199"/>
      <c r="F956" s="199"/>
      <c r="G956" s="248"/>
      <c r="H956" s="199"/>
      <c r="I956" s="233"/>
      <c r="J956" s="199"/>
      <c r="K956" s="193" t="s">
        <v>206</v>
      </c>
      <c r="L956" s="232" t="s">
        <v>146</v>
      </c>
      <c r="M956" s="199"/>
      <c r="N956" s="193" t="s">
        <v>227</v>
      </c>
      <c r="O956" s="193" t="s">
        <v>206</v>
      </c>
      <c r="P956" s="193" t="s">
        <v>244</v>
      </c>
      <c r="Q956" s="199"/>
      <c r="R956" s="193" t="s">
        <v>208</v>
      </c>
      <c r="S956" s="193" t="s">
        <v>39</v>
      </c>
      <c r="T956" s="375" t="s">
        <v>390</v>
      </c>
      <c r="U956" s="193" t="s">
        <v>1501</v>
      </c>
      <c r="V956" s="193" t="s">
        <v>155</v>
      </c>
      <c r="W956" s="193" t="s">
        <v>203</v>
      </c>
      <c r="X956" s="193" t="s">
        <v>252</v>
      </c>
      <c r="Y956" s="200">
        <v>3.0</v>
      </c>
      <c r="Z956" s="202" t="s">
        <v>214</v>
      </c>
      <c r="AA956" s="202" t="s">
        <v>234</v>
      </c>
      <c r="AB956" s="221"/>
      <c r="AC956" s="203">
        <v>8000000.0</v>
      </c>
      <c r="AD956" s="204">
        <v>46382.0</v>
      </c>
      <c r="AE956" s="204">
        <v>46049.0</v>
      </c>
      <c r="AF956" s="205"/>
      <c r="AG956" s="370"/>
      <c r="AH956" s="370"/>
      <c r="AI956" s="370"/>
      <c r="AJ956" s="370"/>
      <c r="AK956" s="370"/>
      <c r="AL956" s="370"/>
      <c r="AM956" s="370"/>
      <c r="AN956" s="370"/>
      <c r="AO956" s="370"/>
    </row>
    <row r="957">
      <c r="A957" s="193">
        <v>63260.0</v>
      </c>
      <c r="B957" s="194" t="s">
        <v>203</v>
      </c>
      <c r="C957" s="193">
        <v>2026.0</v>
      </c>
      <c r="D957" s="199"/>
      <c r="E957" s="248"/>
      <c r="F957" s="199"/>
      <c r="G957" s="248"/>
      <c r="H957" s="199"/>
      <c r="I957" s="233"/>
      <c r="J957" s="199"/>
      <c r="K957" s="193" t="s">
        <v>206</v>
      </c>
      <c r="L957" s="232" t="s">
        <v>146</v>
      </c>
      <c r="M957" s="199"/>
      <c r="N957" s="193" t="s">
        <v>227</v>
      </c>
      <c r="O957" s="193" t="s">
        <v>206</v>
      </c>
      <c r="P957" s="193" t="s">
        <v>244</v>
      </c>
      <c r="Q957" s="199"/>
      <c r="R957" s="193" t="s">
        <v>208</v>
      </c>
      <c r="S957" s="193" t="s">
        <v>39</v>
      </c>
      <c r="T957" s="375" t="s">
        <v>390</v>
      </c>
      <c r="U957" s="193" t="s">
        <v>1502</v>
      </c>
      <c r="V957" s="193" t="s">
        <v>155</v>
      </c>
      <c r="W957" s="193" t="s">
        <v>203</v>
      </c>
      <c r="X957" s="193" t="s">
        <v>252</v>
      </c>
      <c r="Y957" s="200">
        <v>3.0</v>
      </c>
      <c r="Z957" s="202" t="s">
        <v>214</v>
      </c>
      <c r="AA957" s="202" t="s">
        <v>234</v>
      </c>
      <c r="AB957" s="221"/>
      <c r="AC957" s="203">
        <v>8000000.0</v>
      </c>
      <c r="AD957" s="204">
        <v>46382.0</v>
      </c>
      <c r="AE957" s="204">
        <v>46049.0</v>
      </c>
      <c r="AF957" s="205"/>
      <c r="AG957" s="370"/>
      <c r="AH957" s="370"/>
      <c r="AI957" s="370"/>
      <c r="AJ957" s="370"/>
      <c r="AK957" s="370"/>
      <c r="AL957" s="370"/>
      <c r="AM957" s="370"/>
      <c r="AN957" s="370"/>
      <c r="AO957" s="370"/>
    </row>
    <row r="958">
      <c r="A958" s="193">
        <v>63300.0</v>
      </c>
      <c r="B958" s="194" t="s">
        <v>203</v>
      </c>
      <c r="C958" s="193">
        <v>2026.0</v>
      </c>
      <c r="D958" s="195">
        <v>2048.0</v>
      </c>
      <c r="E958" s="199"/>
      <c r="F958" s="193" t="s">
        <v>204</v>
      </c>
      <c r="G958" s="230">
        <v>46258.0</v>
      </c>
      <c r="H958" s="252">
        <v>12817.0</v>
      </c>
      <c r="I958" s="198">
        <v>46258.0</v>
      </c>
      <c r="J958" s="193" t="s">
        <v>404</v>
      </c>
      <c r="K958" s="193" t="s">
        <v>206</v>
      </c>
      <c r="L958" s="194" t="s">
        <v>144</v>
      </c>
      <c r="M958" s="199"/>
      <c r="N958" s="193" t="s">
        <v>207</v>
      </c>
      <c r="O958" s="193" t="s">
        <v>206</v>
      </c>
      <c r="P958" s="193" t="s">
        <v>244</v>
      </c>
      <c r="Q958" s="199"/>
      <c r="R958" s="193" t="s">
        <v>208</v>
      </c>
      <c r="S958" s="193" t="s">
        <v>39</v>
      </c>
      <c r="T958" s="375" t="s">
        <v>250</v>
      </c>
      <c r="U958" s="193" t="s">
        <v>1503</v>
      </c>
      <c r="V958" s="193" t="s">
        <v>155</v>
      </c>
      <c r="W958" s="193" t="s">
        <v>203</v>
      </c>
      <c r="X958" s="193" t="s">
        <v>252</v>
      </c>
      <c r="Y958" s="200">
        <v>3.0</v>
      </c>
      <c r="Z958" s="202" t="s">
        <v>214</v>
      </c>
      <c r="AA958" s="202" t="s">
        <v>215</v>
      </c>
      <c r="AB958" s="203">
        <v>2500000.0</v>
      </c>
      <c r="AC958" s="203">
        <v>2500000.0</v>
      </c>
      <c r="AD958" s="249">
        <v>46321.0</v>
      </c>
      <c r="AE958" s="204">
        <v>46382.0</v>
      </c>
      <c r="AF958" s="226" t="s">
        <v>1504</v>
      </c>
      <c r="AG958" s="370"/>
      <c r="AH958" s="370"/>
      <c r="AI958" s="370"/>
      <c r="AJ958" s="370"/>
      <c r="AK958" s="370"/>
      <c r="AL958" s="370"/>
      <c r="AM958" s="370"/>
      <c r="AN958" s="370"/>
      <c r="AO958" s="370"/>
    </row>
    <row r="959">
      <c r="A959" s="193">
        <v>63301.0</v>
      </c>
      <c r="B959" s="232" t="s">
        <v>264</v>
      </c>
      <c r="C959" s="193">
        <v>2026.0</v>
      </c>
      <c r="D959" s="199"/>
      <c r="E959" s="199"/>
      <c r="F959" s="193" t="s">
        <v>272</v>
      </c>
      <c r="G959" s="248"/>
      <c r="H959" s="199"/>
      <c r="I959" s="233"/>
      <c r="J959" s="199"/>
      <c r="K959" s="193" t="s">
        <v>206</v>
      </c>
      <c r="L959" s="234" t="s">
        <v>145</v>
      </c>
      <c r="M959" s="199"/>
      <c r="N959" s="193" t="s">
        <v>207</v>
      </c>
      <c r="O959" s="193" t="s">
        <v>206</v>
      </c>
      <c r="P959" s="193" t="s">
        <v>244</v>
      </c>
      <c r="Q959" s="199"/>
      <c r="R959" s="193" t="s">
        <v>208</v>
      </c>
      <c r="S959" s="193" t="s">
        <v>39</v>
      </c>
      <c r="T959" s="375" t="s">
        <v>250</v>
      </c>
      <c r="U959" s="193" t="s">
        <v>1503</v>
      </c>
      <c r="V959" s="193" t="s">
        <v>155</v>
      </c>
      <c r="W959" s="193" t="s">
        <v>203</v>
      </c>
      <c r="X959" s="193" t="s">
        <v>252</v>
      </c>
      <c r="Y959" s="200">
        <v>3.0</v>
      </c>
      <c r="Z959" s="202" t="s">
        <v>214</v>
      </c>
      <c r="AA959" s="202" t="s">
        <v>215</v>
      </c>
      <c r="AB959" s="203" t="s">
        <v>275</v>
      </c>
      <c r="AC959" s="203" t="s">
        <v>275</v>
      </c>
      <c r="AD959" s="204">
        <v>46352.0</v>
      </c>
      <c r="AE959" s="204">
        <v>46382.0</v>
      </c>
      <c r="AF959" s="226" t="s">
        <v>1505</v>
      </c>
      <c r="AG959" s="370"/>
      <c r="AH959" s="370"/>
      <c r="AI959" s="370"/>
      <c r="AJ959" s="370"/>
      <c r="AK959" s="370"/>
      <c r="AL959" s="370"/>
      <c r="AM959" s="370"/>
      <c r="AN959" s="370"/>
      <c r="AO959" s="370"/>
    </row>
    <row r="960">
      <c r="A960" s="193">
        <v>63320.0</v>
      </c>
      <c r="B960" s="194" t="s">
        <v>203</v>
      </c>
      <c r="C960" s="193">
        <v>2026.0</v>
      </c>
      <c r="D960" s="195">
        <v>2048.0</v>
      </c>
      <c r="E960" s="199"/>
      <c r="F960" s="193" t="s">
        <v>204</v>
      </c>
      <c r="G960" s="230">
        <v>46099.0</v>
      </c>
      <c r="H960" s="193">
        <v>191.0</v>
      </c>
      <c r="I960" s="198">
        <v>46099.0</v>
      </c>
      <c r="J960" s="193" t="s">
        <v>1506</v>
      </c>
      <c r="K960" s="193" t="s">
        <v>206</v>
      </c>
      <c r="L960" s="194" t="s">
        <v>144</v>
      </c>
      <c r="M960" s="199"/>
      <c r="N960" s="193" t="s">
        <v>207</v>
      </c>
      <c r="O960" s="193" t="s">
        <v>244</v>
      </c>
      <c r="P960" s="193" t="s">
        <v>244</v>
      </c>
      <c r="Q960" s="199"/>
      <c r="R960" s="193" t="s">
        <v>208</v>
      </c>
      <c r="S960" s="193" t="s">
        <v>39</v>
      </c>
      <c r="T960" s="378" t="s">
        <v>377</v>
      </c>
      <c r="U960" s="193" t="s">
        <v>1507</v>
      </c>
      <c r="V960" s="193" t="s">
        <v>155</v>
      </c>
      <c r="W960" s="193" t="s">
        <v>203</v>
      </c>
      <c r="X960" s="193" t="s">
        <v>252</v>
      </c>
      <c r="Y960" s="200">
        <v>3.0</v>
      </c>
      <c r="Z960" s="202" t="s">
        <v>233</v>
      </c>
      <c r="AA960" s="202" t="s">
        <v>215</v>
      </c>
      <c r="AB960" s="203">
        <v>260000.0</v>
      </c>
      <c r="AC960" s="203">
        <v>260000.0</v>
      </c>
      <c r="AD960" s="204">
        <v>46107.0</v>
      </c>
      <c r="AE960" s="204">
        <v>46138.0</v>
      </c>
      <c r="AF960" s="379" t="s">
        <v>1508</v>
      </c>
      <c r="AG960" s="370"/>
      <c r="AH960" s="370"/>
      <c r="AI960" s="370"/>
      <c r="AJ960" s="370"/>
      <c r="AK960" s="370"/>
      <c r="AL960" s="370"/>
      <c r="AM960" s="370"/>
      <c r="AN960" s="370"/>
      <c r="AO960" s="370"/>
    </row>
    <row r="961">
      <c r="A961" s="193">
        <v>63340.0</v>
      </c>
      <c r="B961" s="194" t="s">
        <v>203</v>
      </c>
      <c r="C961" s="193">
        <v>2026.0</v>
      </c>
      <c r="D961" s="195">
        <v>2048.0</v>
      </c>
      <c r="E961" s="199"/>
      <c r="F961" s="193" t="s">
        <v>204</v>
      </c>
      <c r="G961" s="230">
        <v>46099.0</v>
      </c>
      <c r="H961" s="193">
        <v>188.0</v>
      </c>
      <c r="I961" s="198">
        <v>46099.0</v>
      </c>
      <c r="J961" s="193" t="s">
        <v>515</v>
      </c>
      <c r="K961" s="193" t="s">
        <v>206</v>
      </c>
      <c r="L961" s="194" t="s">
        <v>144</v>
      </c>
      <c r="M961" s="199"/>
      <c r="N961" s="193" t="s">
        <v>207</v>
      </c>
      <c r="O961" s="193" t="s">
        <v>206</v>
      </c>
      <c r="P961" s="193" t="s">
        <v>244</v>
      </c>
      <c r="Q961" s="199"/>
      <c r="R961" s="193" t="s">
        <v>219</v>
      </c>
      <c r="S961" s="193" t="s">
        <v>43</v>
      </c>
      <c r="T961" s="378" t="s">
        <v>377</v>
      </c>
      <c r="U961" s="193" t="s">
        <v>1509</v>
      </c>
      <c r="V961" s="193" t="s">
        <v>155</v>
      </c>
      <c r="W961" s="193" t="s">
        <v>203</v>
      </c>
      <c r="X961" s="193" t="s">
        <v>252</v>
      </c>
      <c r="Y961" s="200">
        <v>3.0</v>
      </c>
      <c r="Z961" s="202" t="s">
        <v>233</v>
      </c>
      <c r="AA961" s="202" t="s">
        <v>215</v>
      </c>
      <c r="AB961" s="203">
        <v>260000.0</v>
      </c>
      <c r="AC961" s="203">
        <v>260000.0</v>
      </c>
      <c r="AD961" s="204">
        <v>46107.0</v>
      </c>
      <c r="AE961" s="204">
        <v>46138.0</v>
      </c>
      <c r="AF961" s="205"/>
      <c r="AG961" s="370"/>
      <c r="AH961" s="370"/>
      <c r="AI961" s="370"/>
      <c r="AJ961" s="370"/>
      <c r="AK961" s="370"/>
      <c r="AL961" s="370"/>
      <c r="AM961" s="370"/>
      <c r="AN961" s="370"/>
      <c r="AO961" s="370"/>
    </row>
    <row r="962">
      <c r="A962" s="193">
        <v>63360.0</v>
      </c>
      <c r="B962" s="194" t="s">
        <v>203</v>
      </c>
      <c r="C962" s="193">
        <v>2026.0</v>
      </c>
      <c r="D962" s="195">
        <v>2048.0</v>
      </c>
      <c r="E962" s="199"/>
      <c r="F962" s="193" t="s">
        <v>204</v>
      </c>
      <c r="G962" s="230">
        <v>46099.0</v>
      </c>
      <c r="H962" s="193">
        <v>188.0</v>
      </c>
      <c r="I962" s="198">
        <v>46099.0</v>
      </c>
      <c r="J962" s="193" t="s">
        <v>515</v>
      </c>
      <c r="K962" s="193" t="s">
        <v>206</v>
      </c>
      <c r="L962" s="194" t="s">
        <v>144</v>
      </c>
      <c r="M962" s="199"/>
      <c r="N962" s="193" t="s">
        <v>207</v>
      </c>
      <c r="O962" s="193" t="s">
        <v>206</v>
      </c>
      <c r="P962" s="193" t="s">
        <v>244</v>
      </c>
      <c r="Q962" s="199"/>
      <c r="R962" s="193" t="s">
        <v>219</v>
      </c>
      <c r="S962" s="193" t="s">
        <v>43</v>
      </c>
      <c r="T962" s="378" t="s">
        <v>377</v>
      </c>
      <c r="U962" s="193" t="s">
        <v>1510</v>
      </c>
      <c r="V962" s="193" t="s">
        <v>155</v>
      </c>
      <c r="W962" s="193" t="s">
        <v>203</v>
      </c>
      <c r="X962" s="193" t="s">
        <v>252</v>
      </c>
      <c r="Y962" s="200">
        <v>3.0</v>
      </c>
      <c r="Z962" s="202" t="s">
        <v>233</v>
      </c>
      <c r="AA962" s="202" t="s">
        <v>215</v>
      </c>
      <c r="AB962" s="203">
        <v>260000.0</v>
      </c>
      <c r="AC962" s="203">
        <v>260000.0</v>
      </c>
      <c r="AD962" s="204">
        <v>46107.0</v>
      </c>
      <c r="AE962" s="204">
        <v>46138.0</v>
      </c>
      <c r="AF962" s="205"/>
      <c r="AG962" s="370"/>
      <c r="AH962" s="370"/>
      <c r="AI962" s="370"/>
      <c r="AJ962" s="370"/>
      <c r="AK962" s="370"/>
      <c r="AL962" s="370"/>
      <c r="AM962" s="370"/>
      <c r="AN962" s="370"/>
      <c r="AO962" s="370"/>
    </row>
    <row r="963">
      <c r="A963" s="193">
        <v>63380.0</v>
      </c>
      <c r="B963" s="194" t="s">
        <v>203</v>
      </c>
      <c r="C963" s="193">
        <v>2026.0</v>
      </c>
      <c r="D963" s="195">
        <v>2048.0</v>
      </c>
      <c r="E963" s="199"/>
      <c r="F963" s="193" t="s">
        <v>204</v>
      </c>
      <c r="G963" s="230">
        <v>46099.0</v>
      </c>
      <c r="H963" s="193">
        <v>188.0</v>
      </c>
      <c r="I963" s="198">
        <v>46099.0</v>
      </c>
      <c r="J963" s="193" t="s">
        <v>515</v>
      </c>
      <c r="K963" s="193" t="s">
        <v>206</v>
      </c>
      <c r="L963" s="194" t="s">
        <v>144</v>
      </c>
      <c r="M963" s="199"/>
      <c r="N963" s="193" t="s">
        <v>207</v>
      </c>
      <c r="O963" s="193" t="s">
        <v>206</v>
      </c>
      <c r="P963" s="193" t="s">
        <v>244</v>
      </c>
      <c r="Q963" s="199"/>
      <c r="R963" s="193" t="s">
        <v>219</v>
      </c>
      <c r="S963" s="193" t="s">
        <v>43</v>
      </c>
      <c r="T963" s="378" t="s">
        <v>377</v>
      </c>
      <c r="U963" s="193" t="s">
        <v>1511</v>
      </c>
      <c r="V963" s="193" t="s">
        <v>155</v>
      </c>
      <c r="W963" s="193" t="s">
        <v>203</v>
      </c>
      <c r="X963" s="193" t="s">
        <v>252</v>
      </c>
      <c r="Y963" s="200">
        <v>3.0</v>
      </c>
      <c r="Z963" s="202" t="s">
        <v>233</v>
      </c>
      <c r="AA963" s="202" t="s">
        <v>215</v>
      </c>
      <c r="AB963" s="203">
        <v>260000.0</v>
      </c>
      <c r="AC963" s="203">
        <v>260000.0</v>
      </c>
      <c r="AD963" s="204">
        <v>46107.0</v>
      </c>
      <c r="AE963" s="273">
        <v>46138.0</v>
      </c>
      <c r="AF963" s="267"/>
      <c r="AG963" s="370"/>
      <c r="AH963" s="370"/>
      <c r="AI963" s="370"/>
      <c r="AJ963" s="370"/>
      <c r="AK963" s="370"/>
      <c r="AL963" s="370"/>
      <c r="AM963" s="370"/>
      <c r="AN963" s="370"/>
      <c r="AO963" s="370"/>
    </row>
    <row r="964">
      <c r="A964" s="193">
        <v>63400.0</v>
      </c>
      <c r="B964" s="194" t="s">
        <v>203</v>
      </c>
      <c r="C964" s="193">
        <v>2026.0</v>
      </c>
      <c r="D964" s="195">
        <v>2048.0</v>
      </c>
      <c r="E964" s="199"/>
      <c r="F964" s="193" t="s">
        <v>204</v>
      </c>
      <c r="G964" s="230">
        <v>46099.0</v>
      </c>
      <c r="H964" s="193">
        <v>188.0</v>
      </c>
      <c r="I964" s="198">
        <v>46099.0</v>
      </c>
      <c r="J964" s="193" t="s">
        <v>515</v>
      </c>
      <c r="K964" s="193" t="s">
        <v>206</v>
      </c>
      <c r="L964" s="194" t="s">
        <v>144</v>
      </c>
      <c r="M964" s="199"/>
      <c r="N964" s="193" t="s">
        <v>207</v>
      </c>
      <c r="O964" s="193" t="s">
        <v>206</v>
      </c>
      <c r="P964" s="193" t="s">
        <v>244</v>
      </c>
      <c r="Q964" s="199"/>
      <c r="R964" s="193" t="s">
        <v>219</v>
      </c>
      <c r="S964" s="193" t="s">
        <v>43</v>
      </c>
      <c r="T964" s="380" t="s">
        <v>377</v>
      </c>
      <c r="U964" s="193" t="s">
        <v>1512</v>
      </c>
      <c r="V964" s="193" t="s">
        <v>155</v>
      </c>
      <c r="W964" s="193" t="s">
        <v>203</v>
      </c>
      <c r="X964" s="193" t="s">
        <v>252</v>
      </c>
      <c r="Y964" s="200">
        <v>3.0</v>
      </c>
      <c r="Z964" s="202" t="s">
        <v>233</v>
      </c>
      <c r="AA964" s="202" t="s">
        <v>215</v>
      </c>
      <c r="AB964" s="203">
        <v>260000.0</v>
      </c>
      <c r="AC964" s="203">
        <v>260000.0</v>
      </c>
      <c r="AD964" s="204">
        <v>46107.0</v>
      </c>
      <c r="AE964" s="204">
        <v>46138.0</v>
      </c>
      <c r="AF964" s="205"/>
      <c r="AG964" s="370"/>
      <c r="AH964" s="370"/>
      <c r="AI964" s="370"/>
      <c r="AJ964" s="370"/>
      <c r="AK964" s="370"/>
      <c r="AL964" s="370"/>
      <c r="AM964" s="370"/>
      <c r="AN964" s="370"/>
      <c r="AO964" s="370"/>
    </row>
    <row r="965">
      <c r="A965" s="193">
        <v>63420.0</v>
      </c>
      <c r="B965" s="194" t="s">
        <v>203</v>
      </c>
      <c r="C965" s="193">
        <v>2026.0</v>
      </c>
      <c r="D965" s="195">
        <v>2048.0</v>
      </c>
      <c r="E965" s="199"/>
      <c r="F965" s="193" t="s">
        <v>204</v>
      </c>
      <c r="G965" s="230">
        <v>46099.0</v>
      </c>
      <c r="H965" s="193">
        <v>188.0</v>
      </c>
      <c r="I965" s="198">
        <v>46099.0</v>
      </c>
      <c r="J965" s="193" t="s">
        <v>515</v>
      </c>
      <c r="K965" s="193" t="s">
        <v>206</v>
      </c>
      <c r="L965" s="194" t="s">
        <v>144</v>
      </c>
      <c r="M965" s="199"/>
      <c r="N965" s="193" t="s">
        <v>207</v>
      </c>
      <c r="O965" s="193" t="s">
        <v>206</v>
      </c>
      <c r="P965" s="193" t="s">
        <v>244</v>
      </c>
      <c r="Q965" s="199"/>
      <c r="R965" s="193" t="s">
        <v>219</v>
      </c>
      <c r="S965" s="193" t="s">
        <v>43</v>
      </c>
      <c r="T965" s="381" t="s">
        <v>377</v>
      </c>
      <c r="U965" s="193" t="s">
        <v>1513</v>
      </c>
      <c r="V965" s="193" t="s">
        <v>155</v>
      </c>
      <c r="W965" s="193" t="s">
        <v>203</v>
      </c>
      <c r="X965" s="193" t="s">
        <v>252</v>
      </c>
      <c r="Y965" s="200">
        <v>3.0</v>
      </c>
      <c r="Z965" s="202" t="s">
        <v>233</v>
      </c>
      <c r="AA965" s="202" t="s">
        <v>215</v>
      </c>
      <c r="AB965" s="203">
        <v>260000.0</v>
      </c>
      <c r="AC965" s="203">
        <v>260000.0</v>
      </c>
      <c r="AD965" s="204">
        <v>46107.0</v>
      </c>
      <c r="AE965" s="204">
        <v>46138.0</v>
      </c>
      <c r="AF965" s="205"/>
      <c r="AG965" s="370"/>
      <c r="AH965" s="370"/>
      <c r="AI965" s="370"/>
      <c r="AJ965" s="370"/>
      <c r="AK965" s="370"/>
      <c r="AL965" s="370"/>
      <c r="AM965" s="370"/>
      <c r="AN965" s="370"/>
      <c r="AO965" s="370"/>
    </row>
    <row r="966">
      <c r="A966" s="193">
        <v>63440.0</v>
      </c>
      <c r="B966" s="194" t="s">
        <v>203</v>
      </c>
      <c r="C966" s="193">
        <v>2026.0</v>
      </c>
      <c r="D966" s="195">
        <v>2048.0</v>
      </c>
      <c r="E966" s="199"/>
      <c r="F966" s="193" t="s">
        <v>204</v>
      </c>
      <c r="G966" s="230">
        <v>46099.0</v>
      </c>
      <c r="H966" s="193">
        <v>188.0</v>
      </c>
      <c r="I966" s="198">
        <v>46099.0</v>
      </c>
      <c r="J966" s="193" t="s">
        <v>515</v>
      </c>
      <c r="K966" s="193" t="s">
        <v>206</v>
      </c>
      <c r="L966" s="194" t="s">
        <v>144</v>
      </c>
      <c r="M966" s="199"/>
      <c r="N966" s="193" t="s">
        <v>207</v>
      </c>
      <c r="O966" s="193" t="s">
        <v>206</v>
      </c>
      <c r="P966" s="193" t="s">
        <v>244</v>
      </c>
      <c r="Q966" s="199"/>
      <c r="R966" s="193" t="s">
        <v>219</v>
      </c>
      <c r="S966" s="193" t="s">
        <v>43</v>
      </c>
      <c r="T966" s="378" t="s">
        <v>377</v>
      </c>
      <c r="U966" s="193" t="s">
        <v>1514</v>
      </c>
      <c r="V966" s="193" t="s">
        <v>155</v>
      </c>
      <c r="W966" s="193" t="s">
        <v>203</v>
      </c>
      <c r="X966" s="193" t="s">
        <v>252</v>
      </c>
      <c r="Y966" s="200">
        <v>3.0</v>
      </c>
      <c r="Z966" s="202" t="s">
        <v>233</v>
      </c>
      <c r="AA966" s="202" t="s">
        <v>215</v>
      </c>
      <c r="AB966" s="203">
        <v>260000.0</v>
      </c>
      <c r="AC966" s="203">
        <v>260000.0</v>
      </c>
      <c r="AD966" s="204">
        <v>46107.0</v>
      </c>
      <c r="AE966" s="273">
        <v>46138.0</v>
      </c>
      <c r="AF966" s="267"/>
      <c r="AG966" s="370"/>
      <c r="AH966" s="370"/>
      <c r="AI966" s="370"/>
      <c r="AJ966" s="370"/>
      <c r="AK966" s="370"/>
      <c r="AL966" s="370"/>
      <c r="AM966" s="370"/>
      <c r="AN966" s="370"/>
      <c r="AO966" s="370"/>
    </row>
    <row r="967">
      <c r="A967" s="193">
        <v>63460.0</v>
      </c>
      <c r="B967" s="194" t="s">
        <v>203</v>
      </c>
      <c r="C967" s="193">
        <v>2026.0</v>
      </c>
      <c r="D967" s="195">
        <v>2048.0</v>
      </c>
      <c r="E967" s="199"/>
      <c r="F967" s="193" t="s">
        <v>204</v>
      </c>
      <c r="G967" s="230">
        <v>46099.0</v>
      </c>
      <c r="H967" s="193">
        <v>188.0</v>
      </c>
      <c r="I967" s="198">
        <v>46099.0</v>
      </c>
      <c r="J967" s="193" t="s">
        <v>515</v>
      </c>
      <c r="K967" s="193" t="s">
        <v>206</v>
      </c>
      <c r="L967" s="194" t="s">
        <v>144</v>
      </c>
      <c r="M967" s="382"/>
      <c r="N967" s="193" t="s">
        <v>207</v>
      </c>
      <c r="O967" s="193" t="s">
        <v>206</v>
      </c>
      <c r="P967" s="193" t="s">
        <v>244</v>
      </c>
      <c r="Q967" s="199"/>
      <c r="R967" s="193" t="s">
        <v>219</v>
      </c>
      <c r="S967" s="193" t="s">
        <v>43</v>
      </c>
      <c r="T967" s="378" t="s">
        <v>377</v>
      </c>
      <c r="U967" s="193" t="s">
        <v>1515</v>
      </c>
      <c r="V967" s="193" t="s">
        <v>155</v>
      </c>
      <c r="W967" s="193" t="s">
        <v>203</v>
      </c>
      <c r="X967" s="193" t="s">
        <v>252</v>
      </c>
      <c r="Y967" s="200">
        <v>3.0</v>
      </c>
      <c r="Z967" s="202" t="s">
        <v>233</v>
      </c>
      <c r="AA967" s="202" t="s">
        <v>215</v>
      </c>
      <c r="AB967" s="203">
        <v>260000.0</v>
      </c>
      <c r="AC967" s="203">
        <v>260000.0</v>
      </c>
      <c r="AD967" s="204">
        <v>46107.0</v>
      </c>
      <c r="AE967" s="273">
        <v>46138.0</v>
      </c>
      <c r="AF967" s="267"/>
      <c r="AG967" s="370"/>
      <c r="AH967" s="370"/>
      <c r="AI967" s="370"/>
      <c r="AJ967" s="370"/>
      <c r="AK967" s="370"/>
      <c r="AL967" s="370"/>
      <c r="AM967" s="370"/>
      <c r="AN967" s="370"/>
      <c r="AO967" s="370"/>
    </row>
    <row r="968">
      <c r="A968" s="193">
        <v>63480.0</v>
      </c>
      <c r="B968" s="232" t="s">
        <v>264</v>
      </c>
      <c r="C968" s="193">
        <v>2026.0</v>
      </c>
      <c r="D968" s="199"/>
      <c r="E968" s="199"/>
      <c r="F968" s="193" t="s">
        <v>265</v>
      </c>
      <c r="G968" s="248"/>
      <c r="H968" s="199"/>
      <c r="I968" s="233"/>
      <c r="J968" s="199"/>
      <c r="K968" s="193" t="s">
        <v>206</v>
      </c>
      <c r="L968" s="234" t="s">
        <v>145</v>
      </c>
      <c r="M968" s="199"/>
      <c r="N968" s="193" t="s">
        <v>207</v>
      </c>
      <c r="O968" s="193" t="s">
        <v>206</v>
      </c>
      <c r="P968" s="193" t="s">
        <v>244</v>
      </c>
      <c r="Q968" s="199"/>
      <c r="R968" s="193" t="s">
        <v>228</v>
      </c>
      <c r="S968" s="193" t="s">
        <v>46</v>
      </c>
      <c r="T968" s="380" t="s">
        <v>313</v>
      </c>
      <c r="U968" s="193" t="s">
        <v>1516</v>
      </c>
      <c r="V968" s="193" t="s">
        <v>155</v>
      </c>
      <c r="W968" s="193" t="s">
        <v>203</v>
      </c>
      <c r="X968" s="193" t="s">
        <v>252</v>
      </c>
      <c r="Y968" s="200">
        <v>3.0</v>
      </c>
      <c r="Z968" s="202" t="s">
        <v>233</v>
      </c>
      <c r="AA968" s="202" t="s">
        <v>215</v>
      </c>
      <c r="AB968" s="203">
        <v>750000.0</v>
      </c>
      <c r="AC968" s="203">
        <v>750000.0</v>
      </c>
      <c r="AD968" s="204">
        <v>46352.0</v>
      </c>
      <c r="AE968" s="204">
        <v>46382.0</v>
      </c>
      <c r="AF968" s="205"/>
      <c r="AG968" s="370"/>
      <c r="AH968" s="370"/>
      <c r="AI968" s="370"/>
      <c r="AJ968" s="370"/>
      <c r="AK968" s="370"/>
      <c r="AL968" s="370"/>
      <c r="AM968" s="370"/>
      <c r="AN968" s="370"/>
      <c r="AO968" s="370"/>
    </row>
    <row r="969">
      <c r="A969" s="193">
        <v>63500.0</v>
      </c>
      <c r="B969" s="232" t="s">
        <v>264</v>
      </c>
      <c r="C969" s="193">
        <v>2026.0</v>
      </c>
      <c r="D969" s="199"/>
      <c r="E969" s="199"/>
      <c r="F969" s="193" t="s">
        <v>265</v>
      </c>
      <c r="G969" s="248"/>
      <c r="H969" s="199"/>
      <c r="I969" s="233"/>
      <c r="J969" s="199"/>
      <c r="K969" s="193" t="s">
        <v>206</v>
      </c>
      <c r="L969" s="234" t="s">
        <v>145</v>
      </c>
      <c r="M969" s="199"/>
      <c r="N969" s="193" t="s">
        <v>207</v>
      </c>
      <c r="O969" s="193" t="s">
        <v>206</v>
      </c>
      <c r="P969" s="193" t="s">
        <v>244</v>
      </c>
      <c r="Q969" s="199"/>
      <c r="R969" s="193" t="s">
        <v>228</v>
      </c>
      <c r="S969" s="193" t="s">
        <v>46</v>
      </c>
      <c r="T969" s="380" t="s">
        <v>313</v>
      </c>
      <c r="U969" s="193" t="s">
        <v>1517</v>
      </c>
      <c r="V969" s="193" t="s">
        <v>155</v>
      </c>
      <c r="W969" s="193" t="s">
        <v>203</v>
      </c>
      <c r="X969" s="193" t="s">
        <v>252</v>
      </c>
      <c r="Y969" s="200">
        <v>3.0</v>
      </c>
      <c r="Z969" s="202" t="s">
        <v>233</v>
      </c>
      <c r="AA969" s="202" t="s">
        <v>215</v>
      </c>
      <c r="AB969" s="203">
        <v>750000.0</v>
      </c>
      <c r="AC969" s="203">
        <v>750000.0</v>
      </c>
      <c r="AD969" s="204">
        <v>46382.0</v>
      </c>
      <c r="AE969" s="204">
        <v>46049.0</v>
      </c>
      <c r="AF969" s="205"/>
      <c r="AG969" s="370"/>
      <c r="AH969" s="370"/>
      <c r="AI969" s="370"/>
      <c r="AJ969" s="370"/>
      <c r="AK969" s="370"/>
      <c r="AL969" s="370"/>
      <c r="AM969" s="370"/>
      <c r="AN969" s="370"/>
      <c r="AO969" s="370"/>
    </row>
    <row r="970">
      <c r="A970" s="193">
        <v>63520.0</v>
      </c>
      <c r="B970" s="232" t="s">
        <v>264</v>
      </c>
      <c r="C970" s="193">
        <v>2026.0</v>
      </c>
      <c r="D970" s="199"/>
      <c r="E970" s="199"/>
      <c r="F970" s="193" t="s">
        <v>265</v>
      </c>
      <c r="G970" s="248"/>
      <c r="H970" s="199"/>
      <c r="I970" s="233"/>
      <c r="J970" s="199"/>
      <c r="K970" s="193" t="s">
        <v>206</v>
      </c>
      <c r="L970" s="234" t="s">
        <v>145</v>
      </c>
      <c r="M970" s="199"/>
      <c r="N970" s="193" t="s">
        <v>207</v>
      </c>
      <c r="O970" s="193" t="s">
        <v>206</v>
      </c>
      <c r="P970" s="193" t="s">
        <v>244</v>
      </c>
      <c r="Q970" s="199"/>
      <c r="R970" s="193" t="s">
        <v>228</v>
      </c>
      <c r="S970" s="193" t="s">
        <v>46</v>
      </c>
      <c r="T970" s="381" t="s">
        <v>313</v>
      </c>
      <c r="U970" s="193" t="s">
        <v>1518</v>
      </c>
      <c r="V970" s="193" t="s">
        <v>155</v>
      </c>
      <c r="W970" s="193" t="s">
        <v>203</v>
      </c>
      <c r="X970" s="193" t="s">
        <v>252</v>
      </c>
      <c r="Y970" s="200">
        <v>3.0</v>
      </c>
      <c r="Z970" s="202" t="s">
        <v>233</v>
      </c>
      <c r="AA970" s="202" t="s">
        <v>215</v>
      </c>
      <c r="AB970" s="203">
        <v>750000.0</v>
      </c>
      <c r="AC970" s="203">
        <v>750000.0</v>
      </c>
      <c r="AD970" s="276">
        <v>46260.0</v>
      </c>
      <c r="AE970" s="273">
        <v>46291.0</v>
      </c>
      <c r="AF970" s="267"/>
      <c r="AG970" s="370"/>
      <c r="AH970" s="370"/>
      <c r="AI970" s="370"/>
      <c r="AJ970" s="370"/>
      <c r="AK970" s="370"/>
      <c r="AL970" s="370"/>
      <c r="AM970" s="370"/>
      <c r="AN970" s="370"/>
      <c r="AO970" s="370"/>
    </row>
    <row r="971">
      <c r="A971" s="193">
        <v>63920.0</v>
      </c>
      <c r="B971" s="232" t="s">
        <v>264</v>
      </c>
      <c r="C971" s="193">
        <v>2026.0</v>
      </c>
      <c r="D971" s="199"/>
      <c r="E971" s="199"/>
      <c r="F971" s="199"/>
      <c r="G971" s="248"/>
      <c r="H971" s="199"/>
      <c r="I971" s="233"/>
      <c r="J971" s="199"/>
      <c r="K971" s="193" t="s">
        <v>206</v>
      </c>
      <c r="L971" s="234" t="s">
        <v>145</v>
      </c>
      <c r="M971" s="199"/>
      <c r="N971" s="193" t="s">
        <v>207</v>
      </c>
      <c r="O971" s="193" t="s">
        <v>206</v>
      </c>
      <c r="P971" s="193" t="s">
        <v>206</v>
      </c>
      <c r="Q971" s="199"/>
      <c r="R971" s="193" t="s">
        <v>219</v>
      </c>
      <c r="S971" s="193" t="s">
        <v>44</v>
      </c>
      <c r="T971" s="375" t="s">
        <v>220</v>
      </c>
      <c r="U971" s="193" t="s">
        <v>1519</v>
      </c>
      <c r="V971" s="193" t="s">
        <v>211</v>
      </c>
      <c r="W971" s="193" t="s">
        <v>212</v>
      </c>
      <c r="X971" s="193" t="s">
        <v>223</v>
      </c>
      <c r="Y971" s="200">
        <v>3.0</v>
      </c>
      <c r="Z971" s="202" t="s">
        <v>214</v>
      </c>
      <c r="AA971" s="202" t="s">
        <v>215</v>
      </c>
      <c r="AB971" s="203">
        <v>2572500.0</v>
      </c>
      <c r="AC971" s="203">
        <v>2572500.0</v>
      </c>
      <c r="AD971" s="204">
        <v>46352.0</v>
      </c>
      <c r="AE971" s="204">
        <v>46049.0</v>
      </c>
      <c r="AF971" s="226" t="s">
        <v>1520</v>
      </c>
      <c r="AG971" s="370"/>
      <c r="AH971" s="370"/>
      <c r="AI971" s="370"/>
      <c r="AJ971" s="370"/>
      <c r="AK971" s="370"/>
      <c r="AL971" s="370"/>
      <c r="AM971" s="383"/>
      <c r="AN971" s="383"/>
      <c r="AO971" s="383"/>
    </row>
    <row r="972">
      <c r="A972" s="193">
        <v>63940.0</v>
      </c>
      <c r="B972" s="194" t="s">
        <v>203</v>
      </c>
      <c r="C972" s="193">
        <v>2026.0</v>
      </c>
      <c r="D972" s="195">
        <v>2048.0</v>
      </c>
      <c r="E972" s="193">
        <v>29.0</v>
      </c>
      <c r="F972" s="199"/>
      <c r="G972" s="248"/>
      <c r="H972" s="199"/>
      <c r="I972" s="233"/>
      <c r="J972" s="199"/>
      <c r="K972" s="193" t="s">
        <v>206</v>
      </c>
      <c r="L972" s="194" t="s">
        <v>144</v>
      </c>
      <c r="M972" s="199"/>
      <c r="N972" s="193" t="s">
        <v>207</v>
      </c>
      <c r="O972" s="193" t="s">
        <v>206</v>
      </c>
      <c r="P972" s="193" t="s">
        <v>206</v>
      </c>
      <c r="Q972" s="199"/>
      <c r="R972" s="193" t="s">
        <v>219</v>
      </c>
      <c r="S972" s="193" t="s">
        <v>45</v>
      </c>
      <c r="T972" s="375" t="s">
        <v>494</v>
      </c>
      <c r="U972" s="193" t="s">
        <v>1521</v>
      </c>
      <c r="V972" s="193" t="s">
        <v>211</v>
      </c>
      <c r="W972" s="193" t="s">
        <v>212</v>
      </c>
      <c r="X972" s="193" t="s">
        <v>223</v>
      </c>
      <c r="Y972" s="200">
        <v>3.0</v>
      </c>
      <c r="Z972" s="202" t="s">
        <v>214</v>
      </c>
      <c r="AA972" s="202" t="s">
        <v>215</v>
      </c>
      <c r="AB972" s="203">
        <v>528395.93</v>
      </c>
      <c r="AC972" s="203">
        <v>528395.93</v>
      </c>
      <c r="AD972" s="204">
        <v>46382.0</v>
      </c>
      <c r="AE972" s="204">
        <v>46080.0</v>
      </c>
      <c r="AF972" s="226" t="s">
        <v>1438</v>
      </c>
      <c r="AG972" s="370"/>
      <c r="AH972" s="370"/>
      <c r="AI972" s="370"/>
      <c r="AJ972" s="370"/>
      <c r="AK972" s="370"/>
      <c r="AL972" s="370"/>
      <c r="AM972" s="370"/>
      <c r="AN972" s="370"/>
      <c r="AO972" s="370"/>
    </row>
    <row r="973">
      <c r="A973" s="193">
        <v>63960.0</v>
      </c>
      <c r="B973" s="194" t="s">
        <v>203</v>
      </c>
      <c r="C973" s="193">
        <v>2026.0</v>
      </c>
      <c r="D973" s="195">
        <v>2048.0</v>
      </c>
      <c r="E973" s="193">
        <v>68.0</v>
      </c>
      <c r="F973" s="199"/>
      <c r="G973" s="248"/>
      <c r="H973" s="199"/>
      <c r="I973" s="233"/>
      <c r="J973" s="199"/>
      <c r="K973" s="193" t="s">
        <v>206</v>
      </c>
      <c r="L973" s="194" t="s">
        <v>144</v>
      </c>
      <c r="M973" s="199"/>
      <c r="N973" s="193" t="s">
        <v>207</v>
      </c>
      <c r="O973" s="193" t="s">
        <v>206</v>
      </c>
      <c r="P973" s="193" t="s">
        <v>244</v>
      </c>
      <c r="Q973" s="199"/>
      <c r="R973" s="193" t="s">
        <v>219</v>
      </c>
      <c r="S973" s="193" t="s">
        <v>45</v>
      </c>
      <c r="T973" s="375" t="s">
        <v>540</v>
      </c>
      <c r="U973" s="193" t="s">
        <v>1522</v>
      </c>
      <c r="V973" s="193" t="s">
        <v>155</v>
      </c>
      <c r="W973" s="193" t="s">
        <v>203</v>
      </c>
      <c r="X973" s="193" t="s">
        <v>252</v>
      </c>
      <c r="Y973" s="200">
        <v>3.0</v>
      </c>
      <c r="Z973" s="202" t="s">
        <v>233</v>
      </c>
      <c r="AA973" s="202" t="s">
        <v>215</v>
      </c>
      <c r="AB973" s="203">
        <v>1000000.0</v>
      </c>
      <c r="AC973" s="203">
        <v>1000000.0</v>
      </c>
      <c r="AD973" s="204">
        <v>46321.0</v>
      </c>
      <c r="AE973" s="204">
        <v>46382.0</v>
      </c>
      <c r="AF973" s="226" t="s">
        <v>1523</v>
      </c>
      <c r="AG973" s="370"/>
      <c r="AH973" s="370"/>
      <c r="AI973" s="370"/>
      <c r="AJ973" s="370"/>
      <c r="AK973" s="370"/>
      <c r="AL973" s="370"/>
      <c r="AM973" s="370"/>
      <c r="AN973" s="370"/>
      <c r="AO973" s="370"/>
    </row>
    <row r="974">
      <c r="A974" s="193">
        <v>64260.0</v>
      </c>
      <c r="B974" s="194" t="s">
        <v>203</v>
      </c>
      <c r="C974" s="193">
        <v>2025.0</v>
      </c>
      <c r="D974" s="199"/>
      <c r="E974" s="193">
        <v>45.0</v>
      </c>
      <c r="F974" s="199"/>
      <c r="G974" s="248"/>
      <c r="H974" s="199"/>
      <c r="I974" s="233"/>
      <c r="J974" s="199"/>
      <c r="K974" s="193" t="s">
        <v>206</v>
      </c>
      <c r="L974" s="232" t="s">
        <v>146</v>
      </c>
      <c r="M974" s="199"/>
      <c r="N974" s="193" t="s">
        <v>227</v>
      </c>
      <c r="O974" s="193" t="s">
        <v>206</v>
      </c>
      <c r="P974" s="193" t="s">
        <v>206</v>
      </c>
      <c r="Q974" s="199"/>
      <c r="R974" s="193" t="s">
        <v>279</v>
      </c>
      <c r="S974" s="193" t="s">
        <v>107</v>
      </c>
      <c r="T974" s="375" t="s">
        <v>1524</v>
      </c>
      <c r="U974" s="193" t="s">
        <v>1525</v>
      </c>
      <c r="V974" s="193" t="s">
        <v>50</v>
      </c>
      <c r="W974" s="193" t="s">
        <v>264</v>
      </c>
      <c r="X974" s="193" t="s">
        <v>232</v>
      </c>
      <c r="Y974" s="200">
        <v>3.0</v>
      </c>
      <c r="Z974" s="202" t="s">
        <v>233</v>
      </c>
      <c r="AA974" s="202" t="s">
        <v>234</v>
      </c>
      <c r="AB974" s="203">
        <v>421066.4</v>
      </c>
      <c r="AC974" s="385">
        <v>2400078.48</v>
      </c>
      <c r="AD974" s="204">
        <v>46291.0</v>
      </c>
      <c r="AE974" s="204">
        <v>46382.0</v>
      </c>
      <c r="AF974" s="226" t="s">
        <v>1526</v>
      </c>
      <c r="AG974" s="370"/>
      <c r="AH974" s="370"/>
      <c r="AI974" s="370"/>
      <c r="AJ974" s="370"/>
      <c r="AK974" s="370"/>
      <c r="AL974" s="370"/>
      <c r="AM974" s="370"/>
      <c r="AN974" s="370"/>
      <c r="AO974" s="370"/>
    </row>
    <row r="975">
      <c r="A975" s="193">
        <v>64340.0</v>
      </c>
      <c r="B975" s="194" t="s">
        <v>203</v>
      </c>
      <c r="C975" s="193">
        <v>2026.0</v>
      </c>
      <c r="D975" s="199"/>
      <c r="E975" s="199"/>
      <c r="F975" s="199"/>
      <c r="G975" s="248"/>
      <c r="H975" s="199"/>
      <c r="I975" s="233"/>
      <c r="J975" s="199"/>
      <c r="K975" s="193" t="s">
        <v>206</v>
      </c>
      <c r="L975" s="232" t="s">
        <v>146</v>
      </c>
      <c r="M975" s="199"/>
      <c r="N975" s="193" t="s">
        <v>227</v>
      </c>
      <c r="O975" s="193" t="s">
        <v>244</v>
      </c>
      <c r="P975" s="193" t="s">
        <v>244</v>
      </c>
      <c r="Q975" s="199"/>
      <c r="R975" s="193" t="s">
        <v>219</v>
      </c>
      <c r="S975" s="193" t="s">
        <v>45</v>
      </c>
      <c r="T975" s="375" t="s">
        <v>1497</v>
      </c>
      <c r="U975" s="193" t="s">
        <v>1498</v>
      </c>
      <c r="V975" s="193" t="s">
        <v>155</v>
      </c>
      <c r="W975" s="193" t="s">
        <v>203</v>
      </c>
      <c r="X975" s="193" t="s">
        <v>252</v>
      </c>
      <c r="Y975" s="200">
        <v>3.0</v>
      </c>
      <c r="Z975" s="202" t="s">
        <v>233</v>
      </c>
      <c r="AA975" s="202" t="s">
        <v>234</v>
      </c>
      <c r="AB975" s="203">
        <v>771000.0</v>
      </c>
      <c r="AC975" s="203">
        <v>4394700.0</v>
      </c>
      <c r="AD975" s="204">
        <v>46382.0</v>
      </c>
      <c r="AE975" s="204">
        <v>46108.0</v>
      </c>
      <c r="AF975" s="226" t="s">
        <v>1527</v>
      </c>
      <c r="AG975" s="370"/>
      <c r="AH975" s="370"/>
      <c r="AI975" s="370"/>
      <c r="AJ975" s="370"/>
      <c r="AK975" s="370"/>
      <c r="AL975" s="370"/>
      <c r="AM975" s="370"/>
      <c r="AN975" s="370"/>
      <c r="AO975" s="370"/>
    </row>
    <row r="976">
      <c r="A976" s="193">
        <v>64760.0</v>
      </c>
      <c r="B976" s="194" t="s">
        <v>203</v>
      </c>
      <c r="C976" s="193">
        <v>2025.0</v>
      </c>
      <c r="D976" s="193" t="s">
        <v>939</v>
      </c>
      <c r="E976" s="199"/>
      <c r="F976" s="193" t="s">
        <v>718</v>
      </c>
      <c r="G976" s="248"/>
      <c r="H976" s="207"/>
      <c r="I976" s="199"/>
      <c r="J976" s="199"/>
      <c r="K976" s="193" t="s">
        <v>206</v>
      </c>
      <c r="L976" s="193" t="s">
        <v>939</v>
      </c>
      <c r="M976" s="199"/>
      <c r="N976" s="193" t="s">
        <v>227</v>
      </c>
      <c r="O976" s="193" t="s">
        <v>244</v>
      </c>
      <c r="P976" s="193" t="s">
        <v>244</v>
      </c>
      <c r="Q976" s="199"/>
      <c r="R976" s="193" t="s">
        <v>219</v>
      </c>
      <c r="S976" s="193" t="s">
        <v>45</v>
      </c>
      <c r="T976" s="193" t="s">
        <v>1498</v>
      </c>
      <c r="U976" s="193" t="s">
        <v>1498</v>
      </c>
      <c r="V976" s="193" t="s">
        <v>155</v>
      </c>
      <c r="W976" s="193" t="s">
        <v>203</v>
      </c>
      <c r="X976" s="193" t="s">
        <v>252</v>
      </c>
      <c r="Y976" s="200">
        <v>3.0</v>
      </c>
      <c r="Z976" s="202" t="s">
        <v>233</v>
      </c>
      <c r="AA976" s="202" t="s">
        <v>234</v>
      </c>
      <c r="AB976" s="203">
        <v>580000.0</v>
      </c>
      <c r="AC976" s="203">
        <v>3306000.0</v>
      </c>
      <c r="AD976" s="203" t="s">
        <v>367</v>
      </c>
      <c r="AE976" s="193" t="s">
        <v>367</v>
      </c>
      <c r="AF976" s="226" t="s">
        <v>1528</v>
      </c>
      <c r="AG976" s="370"/>
      <c r="AH976" s="370"/>
      <c r="AI976" s="370"/>
      <c r="AJ976" s="370"/>
      <c r="AK976" s="370"/>
      <c r="AL976" s="370"/>
      <c r="AM976" s="370"/>
      <c r="AN976" s="370"/>
      <c r="AO976" s="370"/>
    </row>
    <row r="977">
      <c r="A977" s="193">
        <v>64780.0</v>
      </c>
      <c r="B977" s="194" t="s">
        <v>203</v>
      </c>
      <c r="C977" s="193">
        <v>2025.0</v>
      </c>
      <c r="D977" s="193" t="s">
        <v>939</v>
      </c>
      <c r="E977" s="199"/>
      <c r="F977" s="193" t="s">
        <v>718</v>
      </c>
      <c r="G977" s="248"/>
      <c r="H977" s="199"/>
      <c r="I977" s="199"/>
      <c r="J977" s="199"/>
      <c r="K977" s="193" t="s">
        <v>206</v>
      </c>
      <c r="L977" s="193" t="s">
        <v>939</v>
      </c>
      <c r="M977" s="199"/>
      <c r="N977" s="193" t="s">
        <v>227</v>
      </c>
      <c r="O977" s="193" t="s">
        <v>244</v>
      </c>
      <c r="P977" s="193" t="s">
        <v>244</v>
      </c>
      <c r="Q977" s="199"/>
      <c r="R977" s="193" t="s">
        <v>219</v>
      </c>
      <c r="S977" s="193" t="s">
        <v>45</v>
      </c>
      <c r="T977" s="193" t="s">
        <v>1498</v>
      </c>
      <c r="U977" s="193" t="s">
        <v>1498</v>
      </c>
      <c r="V977" s="193" t="s">
        <v>155</v>
      </c>
      <c r="W977" s="193" t="s">
        <v>203</v>
      </c>
      <c r="X977" s="193" t="s">
        <v>252</v>
      </c>
      <c r="Y977" s="200">
        <v>3.0</v>
      </c>
      <c r="Z977" s="202" t="s">
        <v>233</v>
      </c>
      <c r="AA977" s="202" t="s">
        <v>234</v>
      </c>
      <c r="AB977" s="203">
        <v>580000.0</v>
      </c>
      <c r="AC977" s="203">
        <v>3306000.0</v>
      </c>
      <c r="AD977" s="203" t="s">
        <v>367</v>
      </c>
      <c r="AE977" s="193" t="s">
        <v>367</v>
      </c>
      <c r="AF977" s="226" t="s">
        <v>1528</v>
      </c>
      <c r="AG977" s="370"/>
      <c r="AH977" s="370"/>
      <c r="AI977" s="370"/>
      <c r="AJ977" s="370"/>
      <c r="AK977" s="370"/>
      <c r="AL977" s="370"/>
      <c r="AM977" s="370"/>
      <c r="AN977" s="370"/>
      <c r="AO977" s="370"/>
    </row>
    <row r="978">
      <c r="A978" s="193">
        <v>64800.0</v>
      </c>
      <c r="B978" s="194" t="s">
        <v>203</v>
      </c>
      <c r="C978" s="193">
        <v>2026.0</v>
      </c>
      <c r="D978" s="195">
        <v>2048.0</v>
      </c>
      <c r="E978" s="199"/>
      <c r="F978" s="199"/>
      <c r="G978" s="248"/>
      <c r="H978" s="199"/>
      <c r="I978" s="233"/>
      <c r="J978" s="199"/>
      <c r="K978" s="193" t="s">
        <v>206</v>
      </c>
      <c r="L978" s="194" t="s">
        <v>144</v>
      </c>
      <c r="M978" s="199"/>
      <c r="N978" s="193" t="s">
        <v>207</v>
      </c>
      <c r="O978" s="193" t="s">
        <v>206</v>
      </c>
      <c r="P978" s="193" t="s">
        <v>244</v>
      </c>
      <c r="Q978" s="199"/>
      <c r="R978" s="193" t="s">
        <v>228</v>
      </c>
      <c r="S978" s="193" t="s">
        <v>46</v>
      </c>
      <c r="T978" s="386" t="s">
        <v>863</v>
      </c>
      <c r="U978" s="193" t="s">
        <v>864</v>
      </c>
      <c r="V978" s="193" t="s">
        <v>290</v>
      </c>
      <c r="W978" s="193" t="s">
        <v>264</v>
      </c>
      <c r="X978" s="193" t="s">
        <v>213</v>
      </c>
      <c r="Y978" s="200">
        <v>3.0</v>
      </c>
      <c r="Z978" s="202" t="s">
        <v>214</v>
      </c>
      <c r="AA978" s="202" t="s">
        <v>215</v>
      </c>
      <c r="AB978" s="203">
        <v>212577.0</v>
      </c>
      <c r="AC978" s="203">
        <v>212577.0</v>
      </c>
      <c r="AD978" s="204">
        <v>46260.0</v>
      </c>
      <c r="AE978" s="204">
        <v>46382.0</v>
      </c>
      <c r="AF978" s="205"/>
      <c r="AG978" s="370"/>
      <c r="AH978" s="370"/>
      <c r="AI978" s="370"/>
      <c r="AJ978" s="370"/>
      <c r="AK978" s="370"/>
      <c r="AL978" s="370"/>
      <c r="AM978" s="370"/>
      <c r="AN978" s="370"/>
      <c r="AO978" s="370"/>
    </row>
    <row r="979">
      <c r="A979" s="193">
        <v>64840.0</v>
      </c>
      <c r="B979" s="194" t="s">
        <v>203</v>
      </c>
      <c r="C979" s="193">
        <v>2026.0</v>
      </c>
      <c r="D979" s="195">
        <v>2048.0</v>
      </c>
      <c r="E979" s="193">
        <v>89.0</v>
      </c>
      <c r="F979" s="199"/>
      <c r="G979" s="248"/>
      <c r="H979" s="199"/>
      <c r="I979" s="233"/>
      <c r="J979" s="199"/>
      <c r="K979" s="193" t="s">
        <v>206</v>
      </c>
      <c r="L979" s="194" t="s">
        <v>144</v>
      </c>
      <c r="M979" s="199"/>
      <c r="N979" s="193" t="s">
        <v>227</v>
      </c>
      <c r="O979" s="193" t="s">
        <v>206</v>
      </c>
      <c r="P979" s="193" t="s">
        <v>244</v>
      </c>
      <c r="Q979" s="199"/>
      <c r="R979" s="193" t="s">
        <v>219</v>
      </c>
      <c r="S979" s="193" t="s">
        <v>45</v>
      </c>
      <c r="T979" s="193" t="s">
        <v>1529</v>
      </c>
      <c r="U979" s="193" t="s">
        <v>1530</v>
      </c>
      <c r="V979" s="193" t="s">
        <v>155</v>
      </c>
      <c r="W979" s="193" t="s">
        <v>203</v>
      </c>
      <c r="X979" s="193" t="s">
        <v>1531</v>
      </c>
      <c r="Y979" s="200">
        <v>3.0</v>
      </c>
      <c r="Z979" s="202" t="s">
        <v>233</v>
      </c>
      <c r="AA979" s="202" t="s">
        <v>234</v>
      </c>
      <c r="AB979" s="203">
        <v>82600.0</v>
      </c>
      <c r="AC979" s="203">
        <v>470820.0</v>
      </c>
      <c r="AD979" s="249">
        <v>46291.0</v>
      </c>
      <c r="AE979" s="251">
        <v>46321.0</v>
      </c>
      <c r="AF979" s="226" t="s">
        <v>1532</v>
      </c>
      <c r="AG979" s="370"/>
      <c r="AH979" s="370"/>
      <c r="AI979" s="370"/>
      <c r="AJ979" s="370"/>
      <c r="AK979" s="370"/>
      <c r="AL979" s="370"/>
      <c r="AM979" s="370"/>
      <c r="AN979" s="370"/>
      <c r="AO979" s="370"/>
    </row>
    <row r="980">
      <c r="A980" s="193">
        <v>64860.0</v>
      </c>
      <c r="B980" s="194" t="s">
        <v>203</v>
      </c>
      <c r="C980" s="193">
        <v>2026.0</v>
      </c>
      <c r="D980" s="195">
        <v>2048.0</v>
      </c>
      <c r="E980" s="199"/>
      <c r="F980" s="208" t="s">
        <v>204</v>
      </c>
      <c r="G980" s="230">
        <v>46265.0</v>
      </c>
      <c r="H980" s="193">
        <v>13250.0</v>
      </c>
      <c r="I980" s="198">
        <v>46265.0</v>
      </c>
      <c r="J980" s="193" t="s">
        <v>262</v>
      </c>
      <c r="K980" s="193" t="s">
        <v>206</v>
      </c>
      <c r="L980" s="194" t="s">
        <v>144</v>
      </c>
      <c r="M980" s="199"/>
      <c r="N980" s="193" t="s">
        <v>475</v>
      </c>
      <c r="O980" s="193" t="s">
        <v>206</v>
      </c>
      <c r="P980" s="193" t="s">
        <v>206</v>
      </c>
      <c r="Q980" s="199"/>
      <c r="R980" s="193" t="s">
        <v>279</v>
      </c>
      <c r="S980" s="193" t="s">
        <v>50</v>
      </c>
      <c r="T980" s="193" t="s">
        <v>1533</v>
      </c>
      <c r="U980" s="193" t="s">
        <v>1534</v>
      </c>
      <c r="V980" s="193" t="s">
        <v>524</v>
      </c>
      <c r="W980" s="193" t="s">
        <v>264</v>
      </c>
      <c r="X980" s="193" t="s">
        <v>252</v>
      </c>
      <c r="Y980" s="200">
        <v>3.0</v>
      </c>
      <c r="Z980" s="202" t="s">
        <v>214</v>
      </c>
      <c r="AA980" s="202" t="s">
        <v>215</v>
      </c>
      <c r="AB980" s="203">
        <v>157198.0</v>
      </c>
      <c r="AC980" s="203">
        <v>157198.0</v>
      </c>
      <c r="AD980" s="204">
        <v>46291.0</v>
      </c>
      <c r="AE980" s="204">
        <v>46352.0</v>
      </c>
      <c r="AF980" s="226" t="s">
        <v>1535</v>
      </c>
      <c r="AG980" s="370"/>
      <c r="AH980" s="370"/>
      <c r="AI980" s="370"/>
      <c r="AJ980" s="370"/>
      <c r="AK980" s="370"/>
      <c r="AL980" s="370"/>
      <c r="AM980" s="370"/>
      <c r="AN980" s="370"/>
      <c r="AO980" s="370"/>
    </row>
    <row r="981">
      <c r="A981" s="193">
        <v>64880.0</v>
      </c>
      <c r="B981" s="194" t="s">
        <v>203</v>
      </c>
      <c r="C981" s="193">
        <v>2026.0</v>
      </c>
      <c r="D981" s="195">
        <v>2048.0</v>
      </c>
      <c r="E981" s="193">
        <v>2.0</v>
      </c>
      <c r="F981" s="199"/>
      <c r="G981" s="248"/>
      <c r="H981" s="199"/>
      <c r="I981" s="199"/>
      <c r="J981" s="199"/>
      <c r="K981" s="193" t="s">
        <v>206</v>
      </c>
      <c r="L981" s="194" t="s">
        <v>144</v>
      </c>
      <c r="M981" s="199"/>
      <c r="N981" s="193" t="s">
        <v>475</v>
      </c>
      <c r="O981" s="193" t="s">
        <v>206</v>
      </c>
      <c r="P981" s="193" t="s">
        <v>206</v>
      </c>
      <c r="Q981" s="199"/>
      <c r="R981" s="193" t="s">
        <v>279</v>
      </c>
      <c r="S981" s="193" t="s">
        <v>50</v>
      </c>
      <c r="T981" s="193" t="s">
        <v>1533</v>
      </c>
      <c r="U981" s="193" t="s">
        <v>1534</v>
      </c>
      <c r="V981" s="193" t="s">
        <v>524</v>
      </c>
      <c r="W981" s="193" t="s">
        <v>264</v>
      </c>
      <c r="X981" s="193" t="s">
        <v>252</v>
      </c>
      <c r="Y981" s="200">
        <v>3.0</v>
      </c>
      <c r="Z981" s="202" t="s">
        <v>214</v>
      </c>
      <c r="AA981" s="202" t="s">
        <v>215</v>
      </c>
      <c r="AB981" s="203">
        <v>1510643.96</v>
      </c>
      <c r="AC981" s="203">
        <v>1510643.96</v>
      </c>
      <c r="AD981" s="204">
        <v>46291.0</v>
      </c>
      <c r="AE981" s="204">
        <v>46352.0</v>
      </c>
      <c r="AF981" s="226" t="s">
        <v>1535</v>
      </c>
      <c r="AG981" s="370"/>
      <c r="AH981" s="370"/>
      <c r="AI981" s="370"/>
      <c r="AJ981" s="370"/>
      <c r="AK981" s="370"/>
      <c r="AL981" s="370"/>
      <c r="AM981" s="370"/>
      <c r="AN981" s="370"/>
      <c r="AO981" s="370"/>
    </row>
    <row r="982">
      <c r="A982" s="193">
        <v>64900.0</v>
      </c>
      <c r="B982" s="194" t="s">
        <v>203</v>
      </c>
      <c r="C982" s="193">
        <v>2026.0</v>
      </c>
      <c r="D982" s="195">
        <v>2048.0</v>
      </c>
      <c r="E982" s="193">
        <v>28.0</v>
      </c>
      <c r="F982" s="199"/>
      <c r="G982" s="248"/>
      <c r="H982" s="199"/>
      <c r="I982" s="199"/>
      <c r="J982" s="199"/>
      <c r="K982" s="193" t="s">
        <v>206</v>
      </c>
      <c r="L982" s="194" t="s">
        <v>144</v>
      </c>
      <c r="M982" s="199"/>
      <c r="N982" s="193" t="s">
        <v>207</v>
      </c>
      <c r="O982" s="193" t="s">
        <v>227</v>
      </c>
      <c r="P982" s="193" t="s">
        <v>206</v>
      </c>
      <c r="Q982" s="199"/>
      <c r="R982" s="193" t="s">
        <v>279</v>
      </c>
      <c r="S982" s="193" t="s">
        <v>107</v>
      </c>
      <c r="T982" s="193" t="s">
        <v>283</v>
      </c>
      <c r="U982" s="193" t="s">
        <v>608</v>
      </c>
      <c r="V982" s="193" t="s">
        <v>231</v>
      </c>
      <c r="W982" s="193" t="s">
        <v>264</v>
      </c>
      <c r="X982" s="193" t="s">
        <v>232</v>
      </c>
      <c r="Y982" s="200">
        <v>3.0</v>
      </c>
      <c r="Z982" s="202" t="s">
        <v>233</v>
      </c>
      <c r="AA982" s="202" t="s">
        <v>215</v>
      </c>
      <c r="AB982" s="203">
        <v>720550.54</v>
      </c>
      <c r="AC982" s="203">
        <v>720550.54</v>
      </c>
      <c r="AD982" s="204">
        <v>46291.0</v>
      </c>
      <c r="AE982" s="204">
        <v>46382.0</v>
      </c>
      <c r="AF982" s="205"/>
      <c r="AG982" s="370"/>
      <c r="AH982" s="370"/>
      <c r="AI982" s="370"/>
      <c r="AJ982" s="370"/>
      <c r="AK982" s="370"/>
      <c r="AL982" s="370"/>
      <c r="AM982" s="370"/>
      <c r="AN982" s="370"/>
      <c r="AO982" s="370"/>
    </row>
    <row r="983">
      <c r="A983" s="193">
        <v>64920.0</v>
      </c>
      <c r="B983" s="194" t="s">
        <v>203</v>
      </c>
      <c r="C983" s="193">
        <v>2026.0</v>
      </c>
      <c r="D983" s="195">
        <v>2048.0</v>
      </c>
      <c r="E983" s="193">
        <v>30.0</v>
      </c>
      <c r="F983" s="193" t="s">
        <v>293</v>
      </c>
      <c r="G983" s="248"/>
      <c r="H983" s="199"/>
      <c r="I983" s="199"/>
      <c r="J983" s="199"/>
      <c r="K983" s="243" t="s">
        <v>206</v>
      </c>
      <c r="L983" s="194" t="s">
        <v>144</v>
      </c>
      <c r="M983" s="199"/>
      <c r="N983" s="193" t="s">
        <v>227</v>
      </c>
      <c r="O983" s="193" t="s">
        <v>206</v>
      </c>
      <c r="P983" s="193" t="s">
        <v>206</v>
      </c>
      <c r="Q983" s="199"/>
      <c r="R983" s="193" t="s">
        <v>208</v>
      </c>
      <c r="S983" s="193" t="s">
        <v>39</v>
      </c>
      <c r="T983" s="193" t="s">
        <v>229</v>
      </c>
      <c r="U983" s="193" t="s">
        <v>236</v>
      </c>
      <c r="V983" s="193" t="s">
        <v>231</v>
      </c>
      <c r="W983" s="193" t="s">
        <v>212</v>
      </c>
      <c r="X983" s="193" t="s">
        <v>232</v>
      </c>
      <c r="Y983" s="200">
        <v>3.0</v>
      </c>
      <c r="Z983" s="202" t="s">
        <v>214</v>
      </c>
      <c r="AA983" s="202" t="s">
        <v>234</v>
      </c>
      <c r="AB983" s="203">
        <v>2000.0</v>
      </c>
      <c r="AC983" s="203">
        <v>11400.0</v>
      </c>
      <c r="AD983" s="204">
        <v>46291.0</v>
      </c>
      <c r="AE983" s="204">
        <v>46382.0</v>
      </c>
      <c r="AF983" s="205"/>
      <c r="AG983" s="370"/>
      <c r="AH983" s="370"/>
      <c r="AI983" s="370"/>
      <c r="AJ983" s="370"/>
      <c r="AK983" s="370"/>
      <c r="AL983" s="370"/>
      <c r="AM983" s="370"/>
      <c r="AN983" s="370"/>
      <c r="AO983" s="370"/>
    </row>
    <row r="984">
      <c r="A984" s="193">
        <v>64940.0</v>
      </c>
      <c r="B984" s="194" t="s">
        <v>203</v>
      </c>
      <c r="C984" s="193">
        <v>2026.0</v>
      </c>
      <c r="D984" s="195">
        <v>2048.0</v>
      </c>
      <c r="E984" s="193">
        <v>31.0</v>
      </c>
      <c r="F984" s="199"/>
      <c r="G984" s="248"/>
      <c r="H984" s="199"/>
      <c r="I984" s="199"/>
      <c r="J984" s="199"/>
      <c r="K984" s="193" t="s">
        <v>206</v>
      </c>
      <c r="L984" s="194" t="s">
        <v>144</v>
      </c>
      <c r="M984" s="199"/>
      <c r="N984" s="193" t="s">
        <v>207</v>
      </c>
      <c r="O984" s="193" t="s">
        <v>206</v>
      </c>
      <c r="P984" s="193" t="s">
        <v>206</v>
      </c>
      <c r="Q984" s="199"/>
      <c r="R984" s="193" t="s">
        <v>228</v>
      </c>
      <c r="S984" s="193" t="s">
        <v>46</v>
      </c>
      <c r="T984" s="193" t="s">
        <v>464</v>
      </c>
      <c r="U984" s="193" t="s">
        <v>1536</v>
      </c>
      <c r="V984" s="193" t="s">
        <v>382</v>
      </c>
      <c r="W984" s="193" t="s">
        <v>212</v>
      </c>
      <c r="X984" s="193" t="s">
        <v>252</v>
      </c>
      <c r="Y984" s="200">
        <v>3.0</v>
      </c>
      <c r="Z984" s="202" t="s">
        <v>214</v>
      </c>
      <c r="AA984" s="202" t="s">
        <v>215</v>
      </c>
      <c r="AB984" s="221"/>
      <c r="AC984" s="203">
        <v>130000.0</v>
      </c>
      <c r="AD984" s="204">
        <v>46291.0</v>
      </c>
      <c r="AE984" s="204">
        <v>46382.0</v>
      </c>
      <c r="AF984" s="205"/>
      <c r="AG984" s="370"/>
      <c r="AH984" s="370"/>
      <c r="AI984" s="370"/>
      <c r="AJ984" s="370"/>
      <c r="AK984" s="370"/>
      <c r="AL984" s="370"/>
      <c r="AM984" s="370"/>
      <c r="AN984" s="370"/>
      <c r="AO984" s="370"/>
    </row>
    <row r="985">
      <c r="A985" s="193">
        <v>64960.0</v>
      </c>
      <c r="B985" s="194" t="s">
        <v>203</v>
      </c>
      <c r="C985" s="193">
        <v>2026.0</v>
      </c>
      <c r="D985" s="195">
        <v>2048.0</v>
      </c>
      <c r="E985" s="193">
        <v>32.0</v>
      </c>
      <c r="F985" s="199"/>
      <c r="G985" s="248"/>
      <c r="H985" s="199"/>
      <c r="I985" s="199"/>
      <c r="J985" s="199"/>
      <c r="K985" s="193" t="s">
        <v>206</v>
      </c>
      <c r="L985" s="194" t="s">
        <v>144</v>
      </c>
      <c r="M985" s="199"/>
      <c r="N985" s="193" t="s">
        <v>227</v>
      </c>
      <c r="O985" s="193" t="s">
        <v>206</v>
      </c>
      <c r="P985" s="193" t="s">
        <v>206</v>
      </c>
      <c r="Q985" s="199"/>
      <c r="R985" s="193" t="s">
        <v>900</v>
      </c>
      <c r="S985" s="193" t="s">
        <v>44</v>
      </c>
      <c r="T985" s="193" t="s">
        <v>229</v>
      </c>
      <c r="U985" s="193" t="s">
        <v>371</v>
      </c>
      <c r="V985" s="193" t="s">
        <v>231</v>
      </c>
      <c r="W985" s="193" t="s">
        <v>212</v>
      </c>
      <c r="X985" s="193" t="s">
        <v>232</v>
      </c>
      <c r="Y985" s="200">
        <v>3.0</v>
      </c>
      <c r="Z985" s="202" t="s">
        <v>233</v>
      </c>
      <c r="AA985" s="202" t="s">
        <v>234</v>
      </c>
      <c r="AB985" s="221"/>
      <c r="AC985" s="203">
        <v>1040000.0</v>
      </c>
      <c r="AD985" s="204">
        <v>46291.0</v>
      </c>
      <c r="AE985" s="204">
        <v>46382.0</v>
      </c>
      <c r="AF985" s="205"/>
      <c r="AG985" s="370"/>
      <c r="AH985" s="370"/>
      <c r="AI985" s="370"/>
      <c r="AJ985" s="370"/>
      <c r="AK985" s="370"/>
      <c r="AL985" s="370"/>
      <c r="AM985" s="370"/>
      <c r="AN985" s="370"/>
      <c r="AO985" s="370"/>
    </row>
    <row r="986">
      <c r="A986" s="193">
        <v>64980.0</v>
      </c>
      <c r="B986" s="194" t="s">
        <v>203</v>
      </c>
      <c r="C986" s="193">
        <v>2025.0</v>
      </c>
      <c r="D986" s="195">
        <v>2048.0</v>
      </c>
      <c r="E986" s="193">
        <v>33.0</v>
      </c>
      <c r="F986" s="199"/>
      <c r="G986" s="248"/>
      <c r="H986" s="199"/>
      <c r="I986" s="199"/>
      <c r="J986" s="199"/>
      <c r="K986" s="193" t="s">
        <v>206</v>
      </c>
      <c r="L986" s="194" t="s">
        <v>144</v>
      </c>
      <c r="M986" s="199"/>
      <c r="N986" s="193" t="s">
        <v>227</v>
      </c>
      <c r="O986" s="193" t="s">
        <v>206</v>
      </c>
      <c r="P986" s="193" t="s">
        <v>206</v>
      </c>
      <c r="Q986" s="199"/>
      <c r="R986" s="193" t="s">
        <v>279</v>
      </c>
      <c r="S986" s="193" t="s">
        <v>107</v>
      </c>
      <c r="T986" s="193" t="s">
        <v>283</v>
      </c>
      <c r="U986" s="193" t="s">
        <v>608</v>
      </c>
      <c r="V986" s="193" t="s">
        <v>50</v>
      </c>
      <c r="W986" s="193" t="s">
        <v>264</v>
      </c>
      <c r="X986" s="193" t="s">
        <v>232</v>
      </c>
      <c r="Y986" s="200">
        <v>3.0</v>
      </c>
      <c r="Z986" s="202" t="s">
        <v>233</v>
      </c>
      <c r="AA986" s="202" t="s">
        <v>234</v>
      </c>
      <c r="AB986" s="221"/>
      <c r="AC986" s="203">
        <v>328080.6</v>
      </c>
      <c r="AD986" s="204">
        <v>46291.0</v>
      </c>
      <c r="AE986" s="204">
        <v>46382.0</v>
      </c>
      <c r="AF986" s="205"/>
      <c r="AG986" s="370"/>
      <c r="AH986" s="370"/>
      <c r="AI986" s="370"/>
      <c r="AJ986" s="370"/>
      <c r="AK986" s="370"/>
      <c r="AL986" s="370"/>
      <c r="AM986" s="370"/>
      <c r="AN986" s="370"/>
      <c r="AO986" s="370"/>
    </row>
    <row r="987">
      <c r="A987" s="193">
        <v>65000.0</v>
      </c>
      <c r="B987" s="194" t="s">
        <v>203</v>
      </c>
      <c r="C987" s="193">
        <v>2026.0</v>
      </c>
      <c r="D987" s="195">
        <v>2048.0</v>
      </c>
      <c r="E987" s="193">
        <v>34.0</v>
      </c>
      <c r="F987" s="199"/>
      <c r="G987" s="248"/>
      <c r="H987" s="199"/>
      <c r="I987" s="199"/>
      <c r="J987" s="199"/>
      <c r="K987" s="193" t="s">
        <v>206</v>
      </c>
      <c r="L987" s="194" t="s">
        <v>144</v>
      </c>
      <c r="M987" s="199"/>
      <c r="N987" s="193" t="s">
        <v>227</v>
      </c>
      <c r="O987" s="193" t="s">
        <v>206</v>
      </c>
      <c r="P987" s="193" t="s">
        <v>206</v>
      </c>
      <c r="Q987" s="199"/>
      <c r="R987" s="193" t="s">
        <v>900</v>
      </c>
      <c r="S987" s="193" t="s">
        <v>44</v>
      </c>
      <c r="T987" s="193" t="s">
        <v>229</v>
      </c>
      <c r="U987" s="193" t="s">
        <v>371</v>
      </c>
      <c r="V987" s="193" t="s">
        <v>231</v>
      </c>
      <c r="W987" s="193" t="s">
        <v>212</v>
      </c>
      <c r="X987" s="193" t="s">
        <v>232</v>
      </c>
      <c r="Y987" s="200">
        <v>3.0</v>
      </c>
      <c r="Z987" s="202" t="s">
        <v>233</v>
      </c>
      <c r="AA987" s="202" t="s">
        <v>234</v>
      </c>
      <c r="AB987" s="221"/>
      <c r="AC987" s="203">
        <v>1040000.0</v>
      </c>
      <c r="AD987" s="204">
        <v>46291.0</v>
      </c>
      <c r="AE987" s="204">
        <v>46382.0</v>
      </c>
      <c r="AF987" s="205"/>
      <c r="AG987" s="370"/>
      <c r="AH987" s="370"/>
      <c r="AI987" s="370"/>
      <c r="AJ987" s="370"/>
      <c r="AK987" s="370"/>
      <c r="AL987" s="370"/>
      <c r="AM987" s="370"/>
      <c r="AN987" s="370"/>
      <c r="AO987" s="370"/>
    </row>
    <row r="988">
      <c r="A988" s="193">
        <v>65020.0</v>
      </c>
      <c r="B988" s="194" t="s">
        <v>203</v>
      </c>
      <c r="C988" s="193">
        <v>2026.0</v>
      </c>
      <c r="D988" s="195">
        <v>2048.0</v>
      </c>
      <c r="E988" s="193">
        <v>38.0</v>
      </c>
      <c r="F988" s="199"/>
      <c r="G988" s="248"/>
      <c r="H988" s="199"/>
      <c r="I988" s="199"/>
      <c r="J988" s="199"/>
      <c r="K988" s="193" t="s">
        <v>206</v>
      </c>
      <c r="L988" s="194" t="s">
        <v>144</v>
      </c>
      <c r="M988" s="199"/>
      <c r="N988" s="193" t="s">
        <v>227</v>
      </c>
      <c r="O988" s="193" t="s">
        <v>206</v>
      </c>
      <c r="P988" s="193" t="s">
        <v>206</v>
      </c>
      <c r="Q988" s="199"/>
      <c r="R988" s="193" t="s">
        <v>900</v>
      </c>
      <c r="S988" s="193" t="s">
        <v>44</v>
      </c>
      <c r="T988" s="193" t="s">
        <v>229</v>
      </c>
      <c r="U988" s="193" t="s">
        <v>371</v>
      </c>
      <c r="V988" s="193" t="s">
        <v>231</v>
      </c>
      <c r="W988" s="193" t="s">
        <v>212</v>
      </c>
      <c r="X988" s="193" t="s">
        <v>232</v>
      </c>
      <c r="Y988" s="200">
        <v>3.0</v>
      </c>
      <c r="Z988" s="202" t="s">
        <v>233</v>
      </c>
      <c r="AA988" s="202" t="s">
        <v>234</v>
      </c>
      <c r="AB988" s="221"/>
      <c r="AC988" s="203">
        <v>1040000.0</v>
      </c>
      <c r="AD988" s="204">
        <v>46291.0</v>
      </c>
      <c r="AE988" s="204">
        <v>46382.0</v>
      </c>
      <c r="AF988" s="205"/>
      <c r="AG988" s="370"/>
      <c r="AH988" s="370"/>
      <c r="AI988" s="370"/>
      <c r="AJ988" s="370"/>
      <c r="AK988" s="370"/>
      <c r="AL988" s="370"/>
      <c r="AM988" s="370"/>
      <c r="AN988" s="370"/>
      <c r="AO988" s="370"/>
    </row>
    <row r="989">
      <c r="A989" s="193">
        <v>65040.0</v>
      </c>
      <c r="B989" s="194" t="s">
        <v>203</v>
      </c>
      <c r="C989" s="193">
        <v>2026.0</v>
      </c>
      <c r="D989" s="195">
        <v>2048.0</v>
      </c>
      <c r="E989" s="193">
        <v>41.0</v>
      </c>
      <c r="F989" s="199"/>
      <c r="G989" s="248"/>
      <c r="H989" s="199"/>
      <c r="I989" s="199"/>
      <c r="J989" s="199"/>
      <c r="K989" s="193" t="s">
        <v>206</v>
      </c>
      <c r="L989" s="194" t="s">
        <v>144</v>
      </c>
      <c r="M989" s="199"/>
      <c r="N989" s="193" t="s">
        <v>227</v>
      </c>
      <c r="O989" s="193" t="s">
        <v>206</v>
      </c>
      <c r="P989" s="193" t="s">
        <v>206</v>
      </c>
      <c r="Q989" s="199"/>
      <c r="R989" s="193" t="s">
        <v>900</v>
      </c>
      <c r="S989" s="193" t="s">
        <v>44</v>
      </c>
      <c r="T989" s="193" t="s">
        <v>229</v>
      </c>
      <c r="U989" s="193" t="s">
        <v>371</v>
      </c>
      <c r="V989" s="193" t="s">
        <v>231</v>
      </c>
      <c r="W989" s="193" t="s">
        <v>212</v>
      </c>
      <c r="X989" s="193" t="s">
        <v>232</v>
      </c>
      <c r="Y989" s="200">
        <v>3.0</v>
      </c>
      <c r="Z989" s="202" t="s">
        <v>233</v>
      </c>
      <c r="AA989" s="202" t="s">
        <v>234</v>
      </c>
      <c r="AB989" s="221"/>
      <c r="AC989" s="203">
        <v>1040000.0</v>
      </c>
      <c r="AD989" s="204">
        <v>46291.0</v>
      </c>
      <c r="AE989" s="204">
        <v>46382.0</v>
      </c>
      <c r="AF989" s="205"/>
      <c r="AG989" s="370"/>
      <c r="AH989" s="370"/>
      <c r="AI989" s="370"/>
      <c r="AJ989" s="370"/>
      <c r="AK989" s="370"/>
      <c r="AL989" s="370"/>
      <c r="AM989" s="370"/>
      <c r="AN989" s="370"/>
      <c r="AO989" s="370"/>
    </row>
    <row r="990">
      <c r="A990" s="193">
        <v>65060.0</v>
      </c>
      <c r="B990" s="194" t="s">
        <v>203</v>
      </c>
      <c r="C990" s="193">
        <v>2026.0</v>
      </c>
      <c r="D990" s="195">
        <v>2048.0</v>
      </c>
      <c r="E990" s="193">
        <v>46.0</v>
      </c>
      <c r="F990" s="199"/>
      <c r="G990" s="248"/>
      <c r="H990" s="199"/>
      <c r="I990" s="199"/>
      <c r="J990" s="199"/>
      <c r="K990" s="193" t="s">
        <v>206</v>
      </c>
      <c r="L990" s="194" t="s">
        <v>144</v>
      </c>
      <c r="M990" s="199"/>
      <c r="N990" s="193" t="s">
        <v>227</v>
      </c>
      <c r="O990" s="193" t="s">
        <v>206</v>
      </c>
      <c r="P990" s="193" t="s">
        <v>206</v>
      </c>
      <c r="Q990" s="199"/>
      <c r="R990" s="193" t="s">
        <v>900</v>
      </c>
      <c r="S990" s="193" t="s">
        <v>44</v>
      </c>
      <c r="T990" s="193" t="s">
        <v>229</v>
      </c>
      <c r="U990" s="193" t="s">
        <v>371</v>
      </c>
      <c r="V990" s="193" t="s">
        <v>231</v>
      </c>
      <c r="W990" s="193" t="s">
        <v>212</v>
      </c>
      <c r="X990" s="193" t="s">
        <v>232</v>
      </c>
      <c r="Y990" s="200">
        <v>3.0</v>
      </c>
      <c r="Z990" s="202" t="s">
        <v>233</v>
      </c>
      <c r="AA990" s="202" t="s">
        <v>234</v>
      </c>
      <c r="AB990" s="221"/>
      <c r="AC990" s="203">
        <v>1040000.0</v>
      </c>
      <c r="AD990" s="204">
        <v>46291.0</v>
      </c>
      <c r="AE990" s="204">
        <v>46382.0</v>
      </c>
      <c r="AF990" s="205"/>
      <c r="AG990" s="370"/>
      <c r="AH990" s="370"/>
      <c r="AI990" s="370"/>
      <c r="AJ990" s="370"/>
      <c r="AK990" s="370"/>
      <c r="AL990" s="370"/>
      <c r="AM990" s="370"/>
      <c r="AN990" s="370"/>
      <c r="AO990" s="370"/>
    </row>
    <row r="991">
      <c r="A991" s="193">
        <v>65080.0</v>
      </c>
      <c r="B991" s="194" t="s">
        <v>203</v>
      </c>
      <c r="C991" s="193">
        <v>2026.0</v>
      </c>
      <c r="D991" s="195">
        <v>2048.0</v>
      </c>
      <c r="E991" s="193">
        <v>42.0</v>
      </c>
      <c r="F991" s="199"/>
      <c r="G991" s="248"/>
      <c r="H991" s="199"/>
      <c r="I991" s="199"/>
      <c r="J991" s="199"/>
      <c r="K991" s="193" t="s">
        <v>206</v>
      </c>
      <c r="L991" s="194" t="s">
        <v>144</v>
      </c>
      <c r="M991" s="199"/>
      <c r="N991" s="193" t="s">
        <v>227</v>
      </c>
      <c r="O991" s="193" t="s">
        <v>206</v>
      </c>
      <c r="P991" s="193" t="s">
        <v>206</v>
      </c>
      <c r="Q991" s="199"/>
      <c r="R991" s="193" t="s">
        <v>219</v>
      </c>
      <c r="S991" s="193" t="s">
        <v>43</v>
      </c>
      <c r="T991" s="193" t="s">
        <v>229</v>
      </c>
      <c r="U991" s="193" t="s">
        <v>371</v>
      </c>
      <c r="V991" s="193" t="s">
        <v>231</v>
      </c>
      <c r="W991" s="193" t="s">
        <v>212</v>
      </c>
      <c r="X991" s="193" t="s">
        <v>232</v>
      </c>
      <c r="Y991" s="200">
        <v>3.0</v>
      </c>
      <c r="Z991" s="202" t="s">
        <v>233</v>
      </c>
      <c r="AA991" s="202" t="s">
        <v>234</v>
      </c>
      <c r="AB991" s="203">
        <v>1000000.0</v>
      </c>
      <c r="AC991" s="203">
        <v>1000000.0</v>
      </c>
      <c r="AD991" s="204">
        <v>46291.0</v>
      </c>
      <c r="AE991" s="204">
        <v>46382.0</v>
      </c>
      <c r="AF991" s="205"/>
      <c r="AG991" s="370"/>
      <c r="AH991" s="370"/>
      <c r="AI991" s="370"/>
      <c r="AJ991" s="370"/>
      <c r="AK991" s="370"/>
      <c r="AL991" s="370"/>
      <c r="AM991" s="370"/>
      <c r="AN991" s="370"/>
      <c r="AO991" s="370"/>
    </row>
    <row r="992">
      <c r="A992" s="193">
        <v>66000.0</v>
      </c>
      <c r="B992" s="194" t="s">
        <v>203</v>
      </c>
      <c r="C992" s="193">
        <v>2026.0</v>
      </c>
      <c r="D992" s="195">
        <v>2048.0</v>
      </c>
      <c r="E992" s="193">
        <v>44.0</v>
      </c>
      <c r="F992" s="199"/>
      <c r="G992" s="248"/>
      <c r="H992" s="199"/>
      <c r="I992" s="199"/>
      <c r="J992" s="199"/>
      <c r="K992" s="193" t="s">
        <v>206</v>
      </c>
      <c r="L992" s="194" t="s">
        <v>144</v>
      </c>
      <c r="M992" s="199"/>
      <c r="N992" s="193" t="s">
        <v>227</v>
      </c>
      <c r="O992" s="193" t="s">
        <v>206</v>
      </c>
      <c r="P992" s="193" t="s">
        <v>206</v>
      </c>
      <c r="Q992" s="199"/>
      <c r="R992" s="193" t="s">
        <v>228</v>
      </c>
      <c r="S992" s="193" t="s">
        <v>47</v>
      </c>
      <c r="T992" s="193" t="s">
        <v>229</v>
      </c>
      <c r="U992" s="193" t="s">
        <v>371</v>
      </c>
      <c r="V992" s="193" t="s">
        <v>231</v>
      </c>
      <c r="W992" s="193" t="s">
        <v>212</v>
      </c>
      <c r="X992" s="193" t="s">
        <v>232</v>
      </c>
      <c r="Y992" s="200">
        <v>3.0</v>
      </c>
      <c r="Z992" s="202" t="s">
        <v>233</v>
      </c>
      <c r="AA992" s="202" t="s">
        <v>234</v>
      </c>
      <c r="AB992" s="221"/>
      <c r="AC992" s="203">
        <v>310000.0</v>
      </c>
      <c r="AD992" s="204">
        <v>46291.0</v>
      </c>
      <c r="AE992" s="204">
        <v>46382.0</v>
      </c>
      <c r="AF992" s="205"/>
      <c r="AG992" s="370"/>
      <c r="AH992" s="370"/>
      <c r="AI992" s="370"/>
      <c r="AJ992" s="370"/>
      <c r="AK992" s="370"/>
      <c r="AL992" s="370"/>
      <c r="AM992" s="370"/>
      <c r="AN992" s="370"/>
      <c r="AO992" s="370"/>
    </row>
    <row r="993">
      <c r="A993" s="193">
        <v>66020.0</v>
      </c>
      <c r="B993" s="194" t="s">
        <v>203</v>
      </c>
      <c r="C993" s="193">
        <v>2026.0</v>
      </c>
      <c r="D993" s="195">
        <v>2048.0</v>
      </c>
      <c r="E993" s="193">
        <v>48.0</v>
      </c>
      <c r="F993" s="199"/>
      <c r="G993" s="248"/>
      <c r="H993" s="199"/>
      <c r="I993" s="199"/>
      <c r="J993" s="199"/>
      <c r="K993" s="193" t="s">
        <v>206</v>
      </c>
      <c r="L993" s="194" t="s">
        <v>144</v>
      </c>
      <c r="M993" s="199"/>
      <c r="N993" s="193" t="s">
        <v>227</v>
      </c>
      <c r="O993" s="193" t="s">
        <v>206</v>
      </c>
      <c r="P993" s="193" t="s">
        <v>206</v>
      </c>
      <c r="Q993" s="199"/>
      <c r="R993" s="193" t="s">
        <v>228</v>
      </c>
      <c r="S993" s="193" t="s">
        <v>47</v>
      </c>
      <c r="T993" s="193" t="s">
        <v>229</v>
      </c>
      <c r="U993" s="193" t="s">
        <v>371</v>
      </c>
      <c r="V993" s="193" t="s">
        <v>231</v>
      </c>
      <c r="W993" s="193" t="s">
        <v>212</v>
      </c>
      <c r="X993" s="193" t="s">
        <v>232</v>
      </c>
      <c r="Y993" s="200">
        <v>3.0</v>
      </c>
      <c r="Z993" s="202" t="s">
        <v>233</v>
      </c>
      <c r="AA993" s="202" t="s">
        <v>234</v>
      </c>
      <c r="AB993" s="221"/>
      <c r="AC993" s="203">
        <v>310000.0</v>
      </c>
      <c r="AD993" s="204">
        <v>46291.0</v>
      </c>
      <c r="AE993" s="204">
        <v>46382.0</v>
      </c>
      <c r="AF993" s="205"/>
      <c r="AG993" s="370"/>
      <c r="AH993" s="370"/>
      <c r="AI993" s="370"/>
      <c r="AJ993" s="370"/>
      <c r="AK993" s="370"/>
      <c r="AL993" s="370"/>
      <c r="AM993" s="370"/>
      <c r="AN993" s="370"/>
      <c r="AO993" s="370"/>
    </row>
    <row r="994">
      <c r="A994" s="193">
        <v>66040.0</v>
      </c>
      <c r="B994" s="194" t="s">
        <v>203</v>
      </c>
      <c r="C994" s="193">
        <v>2026.0</v>
      </c>
      <c r="D994" s="195">
        <v>2048.0</v>
      </c>
      <c r="E994" s="193">
        <v>50.0</v>
      </c>
      <c r="F994" s="199"/>
      <c r="G994" s="248"/>
      <c r="H994" s="199"/>
      <c r="I994" s="199"/>
      <c r="J994" s="199"/>
      <c r="K994" s="193" t="s">
        <v>206</v>
      </c>
      <c r="L994" s="194" t="s">
        <v>144</v>
      </c>
      <c r="M994" s="199"/>
      <c r="N994" s="193" t="s">
        <v>227</v>
      </c>
      <c r="O994" s="193" t="s">
        <v>206</v>
      </c>
      <c r="P994" s="193" t="s">
        <v>206</v>
      </c>
      <c r="Q994" s="199"/>
      <c r="R994" s="193" t="s">
        <v>279</v>
      </c>
      <c r="S994" s="193" t="s">
        <v>107</v>
      </c>
      <c r="T994" s="193" t="s">
        <v>1537</v>
      </c>
      <c r="U994" s="193" t="s">
        <v>1538</v>
      </c>
      <c r="V994" s="193" t="s">
        <v>50</v>
      </c>
      <c r="W994" s="193" t="s">
        <v>264</v>
      </c>
      <c r="X994" s="193" t="s">
        <v>232</v>
      </c>
      <c r="Y994" s="200">
        <v>3.0</v>
      </c>
      <c r="Z994" s="202" t="s">
        <v>233</v>
      </c>
      <c r="AA994" s="202" t="s">
        <v>234</v>
      </c>
      <c r="AB994" s="221"/>
      <c r="AC994" s="203">
        <v>156154.05</v>
      </c>
      <c r="AD994" s="204">
        <v>46229.0</v>
      </c>
      <c r="AE994" s="204">
        <v>46291.0</v>
      </c>
      <c r="AF994" s="205"/>
      <c r="AG994" s="370"/>
      <c r="AH994" s="370"/>
      <c r="AI994" s="370"/>
      <c r="AJ994" s="370"/>
      <c r="AK994" s="370"/>
      <c r="AL994" s="370"/>
      <c r="AM994" s="370"/>
      <c r="AN994" s="370"/>
      <c r="AO994" s="370"/>
    </row>
    <row r="995">
      <c r="A995" s="193">
        <v>66060.0</v>
      </c>
      <c r="B995" s="194" t="s">
        <v>203</v>
      </c>
      <c r="C995" s="193">
        <v>2026.0</v>
      </c>
      <c r="D995" s="195">
        <v>2048.0</v>
      </c>
      <c r="E995" s="193">
        <v>51.0</v>
      </c>
      <c r="F995" s="199"/>
      <c r="G995" s="248"/>
      <c r="H995" s="199"/>
      <c r="I995" s="199"/>
      <c r="J995" s="199"/>
      <c r="K995" s="193" t="s">
        <v>206</v>
      </c>
      <c r="L995" s="194" t="s">
        <v>144</v>
      </c>
      <c r="M995" s="199"/>
      <c r="N995" s="193" t="s">
        <v>227</v>
      </c>
      <c r="O995" s="193" t="s">
        <v>206</v>
      </c>
      <c r="P995" s="193" t="s">
        <v>206</v>
      </c>
      <c r="Q995" s="199"/>
      <c r="R995" s="193" t="s">
        <v>228</v>
      </c>
      <c r="S995" s="193" t="s">
        <v>48</v>
      </c>
      <c r="T995" s="193" t="s">
        <v>229</v>
      </c>
      <c r="U995" s="193" t="s">
        <v>371</v>
      </c>
      <c r="V995" s="193" t="s">
        <v>231</v>
      </c>
      <c r="W995" s="193" t="s">
        <v>212</v>
      </c>
      <c r="X995" s="193" t="s">
        <v>232</v>
      </c>
      <c r="Y995" s="200">
        <v>3.0</v>
      </c>
      <c r="Z995" s="202" t="s">
        <v>233</v>
      </c>
      <c r="AA995" s="202" t="s">
        <v>234</v>
      </c>
      <c r="AB995" s="221"/>
      <c r="AC995" s="203">
        <v>20000.0</v>
      </c>
      <c r="AD995" s="204">
        <v>46291.0</v>
      </c>
      <c r="AE995" s="204">
        <v>46382.0</v>
      </c>
      <c r="AF995" s="205"/>
      <c r="AG995" s="370"/>
      <c r="AH995" s="370"/>
      <c r="AI995" s="370"/>
      <c r="AJ995" s="370"/>
      <c r="AK995" s="370"/>
      <c r="AL995" s="370"/>
      <c r="AM995" s="370"/>
      <c r="AN995" s="370"/>
      <c r="AO995" s="370"/>
    </row>
    <row r="996">
      <c r="A996" s="193">
        <v>66080.0</v>
      </c>
      <c r="B996" s="194" t="s">
        <v>203</v>
      </c>
      <c r="C996" s="193">
        <v>2026.0</v>
      </c>
      <c r="D996" s="195">
        <v>2048.0</v>
      </c>
      <c r="E996" s="193">
        <v>53.0</v>
      </c>
      <c r="F996" s="199"/>
      <c r="G996" s="248"/>
      <c r="H996" s="199"/>
      <c r="I996" s="199"/>
      <c r="J996" s="199"/>
      <c r="K996" s="193" t="s">
        <v>206</v>
      </c>
      <c r="L996" s="194" t="s">
        <v>144</v>
      </c>
      <c r="M996" s="199"/>
      <c r="N996" s="193" t="s">
        <v>227</v>
      </c>
      <c r="O996" s="193" t="s">
        <v>206</v>
      </c>
      <c r="P996" s="193" t="s">
        <v>206</v>
      </c>
      <c r="Q996" s="199"/>
      <c r="R996" s="193" t="s">
        <v>219</v>
      </c>
      <c r="S996" s="193" t="s">
        <v>43</v>
      </c>
      <c r="T996" s="193" t="s">
        <v>229</v>
      </c>
      <c r="U996" s="193" t="s">
        <v>371</v>
      </c>
      <c r="V996" s="193" t="s">
        <v>231</v>
      </c>
      <c r="W996" s="193" t="s">
        <v>212</v>
      </c>
      <c r="X996" s="193" t="s">
        <v>252</v>
      </c>
      <c r="Y996" s="200">
        <v>3.0</v>
      </c>
      <c r="Z996" s="202" t="s">
        <v>233</v>
      </c>
      <c r="AA996" s="202" t="s">
        <v>234</v>
      </c>
      <c r="AB996" s="221"/>
      <c r="AC996" s="203">
        <v>1000000.0</v>
      </c>
      <c r="AD996" s="204">
        <v>46321.0</v>
      </c>
      <c r="AE996" s="204">
        <v>46049.0</v>
      </c>
      <c r="AF996" s="205"/>
      <c r="AG996" s="370"/>
      <c r="AH996" s="370"/>
      <c r="AI996" s="370"/>
      <c r="AJ996" s="370"/>
      <c r="AK996" s="370"/>
      <c r="AL996" s="370"/>
      <c r="AM996" s="370"/>
      <c r="AN996" s="370"/>
      <c r="AO996" s="370"/>
    </row>
    <row r="997">
      <c r="A997" s="193">
        <v>67000.0</v>
      </c>
      <c r="B997" s="194" t="s">
        <v>203</v>
      </c>
      <c r="C997" s="193">
        <v>2026.0</v>
      </c>
      <c r="D997" s="195">
        <v>2048.0</v>
      </c>
      <c r="E997" s="193">
        <v>56.0</v>
      </c>
      <c r="F997" s="199"/>
      <c r="G997" s="248"/>
      <c r="H997" s="199"/>
      <c r="I997" s="199"/>
      <c r="J997" s="199"/>
      <c r="K997" s="193" t="s">
        <v>206</v>
      </c>
      <c r="L997" s="194" t="s">
        <v>144</v>
      </c>
      <c r="M997" s="199"/>
      <c r="N997" s="193" t="s">
        <v>227</v>
      </c>
      <c r="O997" s="193" t="s">
        <v>206</v>
      </c>
      <c r="P997" s="193" t="s">
        <v>206</v>
      </c>
      <c r="Q997" s="199"/>
      <c r="R997" s="193" t="s">
        <v>228</v>
      </c>
      <c r="S997" s="193" t="s">
        <v>47</v>
      </c>
      <c r="T997" s="193" t="s">
        <v>229</v>
      </c>
      <c r="U997" s="193" t="s">
        <v>371</v>
      </c>
      <c r="V997" s="193" t="s">
        <v>231</v>
      </c>
      <c r="W997" s="193" t="s">
        <v>212</v>
      </c>
      <c r="X997" s="193" t="s">
        <v>252</v>
      </c>
      <c r="Y997" s="200">
        <v>3.0</v>
      </c>
      <c r="Z997" s="202" t="s">
        <v>233</v>
      </c>
      <c r="AA997" s="202" t="s">
        <v>234</v>
      </c>
      <c r="AB997" s="221"/>
      <c r="AC997" s="203">
        <v>310000.0</v>
      </c>
      <c r="AD997" s="204">
        <v>46321.0</v>
      </c>
      <c r="AE997" s="204">
        <v>46382.0</v>
      </c>
      <c r="AF997" s="205"/>
      <c r="AG997" s="370"/>
      <c r="AH997" s="370"/>
      <c r="AI997" s="370"/>
      <c r="AJ997" s="370"/>
      <c r="AK997" s="370"/>
      <c r="AL997" s="370"/>
      <c r="AM997" s="370"/>
      <c r="AN997" s="370"/>
      <c r="AO997" s="370"/>
    </row>
    <row r="998">
      <c r="A998" s="193">
        <v>67020.0</v>
      </c>
      <c r="B998" s="194" t="s">
        <v>203</v>
      </c>
      <c r="C998" s="193">
        <v>2026.0</v>
      </c>
      <c r="D998" s="195">
        <v>2048.0</v>
      </c>
      <c r="E998" s="193">
        <v>59.0</v>
      </c>
      <c r="F998" s="199"/>
      <c r="G998" s="248"/>
      <c r="H998" s="199"/>
      <c r="I998" s="199"/>
      <c r="J998" s="199"/>
      <c r="K998" s="193" t="s">
        <v>206</v>
      </c>
      <c r="L998" s="194" t="s">
        <v>144</v>
      </c>
      <c r="M998" s="199"/>
      <c r="N998" s="193" t="s">
        <v>227</v>
      </c>
      <c r="O998" s="193" t="s">
        <v>206</v>
      </c>
      <c r="P998" s="193" t="s">
        <v>206</v>
      </c>
      <c r="Q998" s="199"/>
      <c r="R998" s="193" t="s">
        <v>219</v>
      </c>
      <c r="S998" s="193" t="s">
        <v>44</v>
      </c>
      <c r="T998" s="193" t="s">
        <v>229</v>
      </c>
      <c r="U998" s="193" t="s">
        <v>371</v>
      </c>
      <c r="V998" s="193" t="s">
        <v>231</v>
      </c>
      <c r="W998" s="193" t="s">
        <v>212</v>
      </c>
      <c r="X998" s="193" t="s">
        <v>232</v>
      </c>
      <c r="Y998" s="200">
        <v>3.0</v>
      </c>
      <c r="Z998" s="202" t="s">
        <v>233</v>
      </c>
      <c r="AA998" s="202" t="s">
        <v>234</v>
      </c>
      <c r="AB998" s="221"/>
      <c r="AC998" s="203">
        <v>332718.75</v>
      </c>
      <c r="AD998" s="204">
        <v>46291.0</v>
      </c>
      <c r="AE998" s="204">
        <v>46382.0</v>
      </c>
      <c r="AF998" s="205"/>
      <c r="AG998" s="370"/>
      <c r="AH998" s="370"/>
      <c r="AI998" s="370"/>
      <c r="AJ998" s="370"/>
      <c r="AK998" s="370"/>
      <c r="AL998" s="370"/>
      <c r="AM998" s="370"/>
      <c r="AN998" s="370"/>
      <c r="AO998" s="370"/>
    </row>
    <row r="999">
      <c r="A999" s="193">
        <v>67040.0</v>
      </c>
      <c r="B999" s="194" t="s">
        <v>203</v>
      </c>
      <c r="C999" s="193">
        <v>2026.0</v>
      </c>
      <c r="D999" s="195">
        <v>2048.0</v>
      </c>
      <c r="E999" s="193">
        <v>60.0</v>
      </c>
      <c r="F999" s="199"/>
      <c r="G999" s="248"/>
      <c r="H999" s="199"/>
      <c r="I999" s="199"/>
      <c r="J999" s="199"/>
      <c r="K999" s="193" t="s">
        <v>206</v>
      </c>
      <c r="L999" s="194" t="s">
        <v>144</v>
      </c>
      <c r="M999" s="199"/>
      <c r="N999" s="193" t="s">
        <v>227</v>
      </c>
      <c r="O999" s="193" t="s">
        <v>206</v>
      </c>
      <c r="P999" s="193" t="s">
        <v>206</v>
      </c>
      <c r="Q999" s="199"/>
      <c r="R999" s="193" t="s">
        <v>219</v>
      </c>
      <c r="S999" s="193" t="s">
        <v>44</v>
      </c>
      <c r="T999" s="193" t="s">
        <v>229</v>
      </c>
      <c r="U999" s="193" t="s">
        <v>371</v>
      </c>
      <c r="V999" s="193" t="s">
        <v>231</v>
      </c>
      <c r="W999" s="193" t="s">
        <v>212</v>
      </c>
      <c r="X999" s="193" t="s">
        <v>232</v>
      </c>
      <c r="Y999" s="200">
        <v>3.0</v>
      </c>
      <c r="Z999" s="202" t="s">
        <v>233</v>
      </c>
      <c r="AA999" s="202" t="s">
        <v>234</v>
      </c>
      <c r="AB999" s="221"/>
      <c r="AC999" s="203">
        <v>332718.75</v>
      </c>
      <c r="AD999" s="204">
        <v>46291.0</v>
      </c>
      <c r="AE999" s="204">
        <v>46382.0</v>
      </c>
      <c r="AF999" s="205"/>
      <c r="AG999" s="370"/>
      <c r="AH999" s="370"/>
      <c r="AI999" s="370"/>
      <c r="AJ999" s="370"/>
      <c r="AK999" s="370"/>
      <c r="AL999" s="370"/>
      <c r="AM999" s="370"/>
      <c r="AN999" s="370"/>
      <c r="AO999" s="370"/>
    </row>
    <row r="1000">
      <c r="A1000" s="193">
        <v>67060.0</v>
      </c>
      <c r="B1000" s="194" t="s">
        <v>203</v>
      </c>
      <c r="C1000" s="193">
        <v>2026.0</v>
      </c>
      <c r="D1000" s="195">
        <v>2048.0</v>
      </c>
      <c r="E1000" s="193">
        <v>61.0</v>
      </c>
      <c r="F1000" s="199"/>
      <c r="G1000" s="248"/>
      <c r="H1000" s="199"/>
      <c r="I1000" s="199"/>
      <c r="J1000" s="199"/>
      <c r="K1000" s="193" t="s">
        <v>206</v>
      </c>
      <c r="L1000" s="194" t="s">
        <v>144</v>
      </c>
      <c r="M1000" s="199"/>
      <c r="N1000" s="193" t="s">
        <v>227</v>
      </c>
      <c r="O1000" s="193" t="s">
        <v>206</v>
      </c>
      <c r="P1000" s="193" t="s">
        <v>206</v>
      </c>
      <c r="Q1000" s="199"/>
      <c r="R1000" s="193" t="s">
        <v>219</v>
      </c>
      <c r="S1000" s="193" t="s">
        <v>44</v>
      </c>
      <c r="T1000" s="193" t="s">
        <v>229</v>
      </c>
      <c r="U1000" s="193" t="s">
        <v>371</v>
      </c>
      <c r="V1000" s="193" t="s">
        <v>231</v>
      </c>
      <c r="W1000" s="193" t="s">
        <v>212</v>
      </c>
      <c r="X1000" s="193" t="s">
        <v>232</v>
      </c>
      <c r="Y1000" s="200">
        <v>3.0</v>
      </c>
      <c r="Z1000" s="202" t="s">
        <v>233</v>
      </c>
      <c r="AA1000" s="202" t="s">
        <v>234</v>
      </c>
      <c r="AB1000" s="221"/>
      <c r="AC1000" s="203">
        <v>595246.31</v>
      </c>
      <c r="AD1000" s="204">
        <v>46291.0</v>
      </c>
      <c r="AE1000" s="204">
        <v>46382.0</v>
      </c>
      <c r="AF1000" s="205"/>
      <c r="AG1000" s="370"/>
      <c r="AH1000" s="370"/>
      <c r="AI1000" s="370"/>
      <c r="AJ1000" s="370"/>
      <c r="AK1000" s="370"/>
      <c r="AL1000" s="370"/>
      <c r="AM1000" s="370"/>
      <c r="AN1000" s="370"/>
      <c r="AO1000" s="370"/>
    </row>
    <row r="1001">
      <c r="A1001" s="193">
        <v>67080.0</v>
      </c>
      <c r="B1001" s="194" t="s">
        <v>203</v>
      </c>
      <c r="C1001" s="193">
        <v>2026.0</v>
      </c>
      <c r="D1001" s="195">
        <v>2048.0</v>
      </c>
      <c r="E1001" s="193">
        <v>62.0</v>
      </c>
      <c r="F1001" s="199"/>
      <c r="G1001" s="248"/>
      <c r="H1001" s="199"/>
      <c r="I1001" s="199"/>
      <c r="J1001" s="199"/>
      <c r="K1001" s="193" t="s">
        <v>206</v>
      </c>
      <c r="L1001" s="194" t="s">
        <v>144</v>
      </c>
      <c r="M1001" s="199"/>
      <c r="N1001" s="193" t="s">
        <v>227</v>
      </c>
      <c r="O1001" s="193" t="s">
        <v>206</v>
      </c>
      <c r="P1001" s="193" t="s">
        <v>206</v>
      </c>
      <c r="Q1001" s="199"/>
      <c r="R1001" s="193" t="s">
        <v>219</v>
      </c>
      <c r="S1001" s="193" t="s">
        <v>44</v>
      </c>
      <c r="T1001" s="193" t="s">
        <v>229</v>
      </c>
      <c r="U1001" s="193" t="s">
        <v>371</v>
      </c>
      <c r="V1001" s="193" t="s">
        <v>231</v>
      </c>
      <c r="W1001" s="193" t="s">
        <v>212</v>
      </c>
      <c r="X1001" s="193" t="s">
        <v>232</v>
      </c>
      <c r="Y1001" s="200">
        <v>3.0</v>
      </c>
      <c r="Z1001" s="202" t="s">
        <v>233</v>
      </c>
      <c r="AA1001" s="202" t="s">
        <v>234</v>
      </c>
      <c r="AB1001" s="221"/>
      <c r="AC1001" s="203">
        <v>332718.75</v>
      </c>
      <c r="AD1001" s="204">
        <v>46291.0</v>
      </c>
      <c r="AE1001" s="204">
        <v>46382.0</v>
      </c>
      <c r="AF1001" s="205"/>
      <c r="AG1001" s="370"/>
      <c r="AH1001" s="370"/>
      <c r="AI1001" s="370"/>
      <c r="AJ1001" s="370"/>
      <c r="AK1001" s="370"/>
      <c r="AL1001" s="370"/>
      <c r="AM1001" s="370"/>
      <c r="AN1001" s="370"/>
      <c r="AO1001" s="370"/>
    </row>
    <row r="1002">
      <c r="A1002" s="193">
        <v>68000.0</v>
      </c>
      <c r="B1002" s="194" t="s">
        <v>203</v>
      </c>
      <c r="C1002" s="193">
        <v>2026.0</v>
      </c>
      <c r="D1002" s="195">
        <v>2048.0</v>
      </c>
      <c r="E1002" s="193">
        <v>63.0</v>
      </c>
      <c r="F1002" s="199"/>
      <c r="G1002" s="248"/>
      <c r="H1002" s="199"/>
      <c r="I1002" s="199"/>
      <c r="J1002" s="199"/>
      <c r="K1002" s="193" t="s">
        <v>206</v>
      </c>
      <c r="L1002" s="194" t="s">
        <v>144</v>
      </c>
      <c r="M1002" s="199"/>
      <c r="N1002" s="193" t="s">
        <v>227</v>
      </c>
      <c r="O1002" s="193" t="s">
        <v>206</v>
      </c>
      <c r="P1002" s="193" t="s">
        <v>206</v>
      </c>
      <c r="Q1002" s="199"/>
      <c r="R1002" s="193" t="s">
        <v>219</v>
      </c>
      <c r="S1002" s="193" t="s">
        <v>44</v>
      </c>
      <c r="T1002" s="193" t="s">
        <v>229</v>
      </c>
      <c r="U1002" s="193" t="s">
        <v>371</v>
      </c>
      <c r="V1002" s="193" t="s">
        <v>231</v>
      </c>
      <c r="W1002" s="193" t="s">
        <v>212</v>
      </c>
      <c r="X1002" s="193" t="s">
        <v>232</v>
      </c>
      <c r="Y1002" s="200">
        <v>3.0</v>
      </c>
      <c r="Z1002" s="202" t="s">
        <v>233</v>
      </c>
      <c r="AA1002" s="202" t="s">
        <v>234</v>
      </c>
      <c r="AB1002" s="221"/>
      <c r="AC1002" s="203">
        <v>332718.75</v>
      </c>
      <c r="AD1002" s="204">
        <v>46291.0</v>
      </c>
      <c r="AE1002" s="204">
        <v>46382.0</v>
      </c>
      <c r="AF1002" s="205"/>
      <c r="AG1002" s="370"/>
      <c r="AH1002" s="370"/>
      <c r="AI1002" s="370"/>
      <c r="AJ1002" s="370"/>
      <c r="AK1002" s="370"/>
      <c r="AL1002" s="370"/>
      <c r="AM1002" s="370"/>
      <c r="AN1002" s="370"/>
      <c r="AO1002" s="370"/>
    </row>
    <row r="1003">
      <c r="A1003" s="193">
        <v>68020.0</v>
      </c>
      <c r="B1003" s="194" t="s">
        <v>203</v>
      </c>
      <c r="C1003" s="193">
        <v>2026.0</v>
      </c>
      <c r="D1003" s="195">
        <v>2048.0</v>
      </c>
      <c r="E1003" s="193">
        <v>64.0</v>
      </c>
      <c r="F1003" s="207"/>
      <c r="G1003" s="248"/>
      <c r="H1003" s="199"/>
      <c r="I1003" s="199"/>
      <c r="J1003" s="199"/>
      <c r="K1003" s="193" t="s">
        <v>206</v>
      </c>
      <c r="L1003" s="194" t="s">
        <v>144</v>
      </c>
      <c r="M1003" s="199"/>
      <c r="N1003" s="193" t="s">
        <v>227</v>
      </c>
      <c r="O1003" s="193" t="s">
        <v>206</v>
      </c>
      <c r="P1003" s="193" t="s">
        <v>206</v>
      </c>
      <c r="Q1003" s="199"/>
      <c r="R1003" s="193" t="s">
        <v>219</v>
      </c>
      <c r="S1003" s="193" t="s">
        <v>44</v>
      </c>
      <c r="T1003" s="193" t="s">
        <v>229</v>
      </c>
      <c r="U1003" s="193" t="s">
        <v>371</v>
      </c>
      <c r="V1003" s="193" t="s">
        <v>231</v>
      </c>
      <c r="W1003" s="193" t="s">
        <v>212</v>
      </c>
      <c r="X1003" s="193" t="s">
        <v>232</v>
      </c>
      <c r="Y1003" s="200">
        <v>3.0</v>
      </c>
      <c r="Z1003" s="202" t="s">
        <v>233</v>
      </c>
      <c r="AA1003" s="202" t="s">
        <v>234</v>
      </c>
      <c r="AB1003" s="221"/>
      <c r="AC1003" s="203">
        <v>51450.0</v>
      </c>
      <c r="AD1003" s="276">
        <v>46291.0</v>
      </c>
      <c r="AE1003" s="204">
        <v>46382.0</v>
      </c>
      <c r="AF1003" s="205"/>
      <c r="AG1003" s="370"/>
      <c r="AH1003" s="370"/>
      <c r="AI1003" s="370"/>
      <c r="AJ1003" s="370"/>
      <c r="AK1003" s="370"/>
      <c r="AL1003" s="370"/>
      <c r="AM1003" s="370"/>
      <c r="AN1003" s="370"/>
      <c r="AO1003" s="370"/>
    </row>
    <row r="1004">
      <c r="A1004" s="193">
        <v>68040.0</v>
      </c>
      <c r="B1004" s="194" t="s">
        <v>203</v>
      </c>
      <c r="C1004" s="193">
        <v>2026.0</v>
      </c>
      <c r="D1004" s="195">
        <v>2048.0</v>
      </c>
      <c r="E1004" s="193">
        <v>65.0</v>
      </c>
      <c r="F1004" s="207"/>
      <c r="G1004" s="248"/>
      <c r="H1004" s="199"/>
      <c r="I1004" s="199"/>
      <c r="J1004" s="199"/>
      <c r="K1004" s="193" t="s">
        <v>206</v>
      </c>
      <c r="L1004" s="194" t="s">
        <v>144</v>
      </c>
      <c r="M1004" s="199"/>
      <c r="N1004" s="193" t="s">
        <v>227</v>
      </c>
      <c r="O1004" s="193" t="s">
        <v>206</v>
      </c>
      <c r="P1004" s="193" t="s">
        <v>206</v>
      </c>
      <c r="Q1004" s="199"/>
      <c r="R1004" s="193" t="s">
        <v>219</v>
      </c>
      <c r="S1004" s="193" t="s">
        <v>44</v>
      </c>
      <c r="T1004" s="377" t="s">
        <v>229</v>
      </c>
      <c r="U1004" s="193" t="s">
        <v>371</v>
      </c>
      <c r="V1004" s="193" t="s">
        <v>231</v>
      </c>
      <c r="W1004" s="193" t="s">
        <v>212</v>
      </c>
      <c r="X1004" s="193" t="s">
        <v>232</v>
      </c>
      <c r="Y1004" s="200">
        <v>3.0</v>
      </c>
      <c r="Z1004" s="202" t="s">
        <v>233</v>
      </c>
      <c r="AA1004" s="202" t="s">
        <v>234</v>
      </c>
      <c r="AB1004" s="221"/>
      <c r="AC1004" s="203">
        <v>1091079.68</v>
      </c>
      <c r="AD1004" s="276">
        <v>46291.0</v>
      </c>
      <c r="AE1004" s="204">
        <v>46382.0</v>
      </c>
      <c r="AF1004" s="226" t="s">
        <v>1539</v>
      </c>
      <c r="AG1004" s="370"/>
      <c r="AH1004" s="370"/>
      <c r="AI1004" s="370"/>
      <c r="AJ1004" s="370"/>
      <c r="AK1004" s="370"/>
      <c r="AL1004" s="370"/>
      <c r="AM1004" s="370"/>
      <c r="AN1004" s="370"/>
      <c r="AO1004" s="370"/>
    </row>
    <row r="1005">
      <c r="A1005" s="193">
        <v>68060.0</v>
      </c>
      <c r="B1005" s="194" t="s">
        <v>203</v>
      </c>
      <c r="C1005" s="193">
        <v>2026.0</v>
      </c>
      <c r="D1005" s="195">
        <v>2048.0</v>
      </c>
      <c r="E1005" s="193">
        <v>66.0</v>
      </c>
      <c r="F1005" s="199"/>
      <c r="G1005" s="248"/>
      <c r="H1005" s="199"/>
      <c r="I1005" s="199"/>
      <c r="J1005" s="199"/>
      <c r="K1005" s="193" t="s">
        <v>206</v>
      </c>
      <c r="L1005" s="194" t="s">
        <v>144</v>
      </c>
      <c r="M1005" s="199"/>
      <c r="N1005" s="193" t="s">
        <v>227</v>
      </c>
      <c r="O1005" s="193" t="s">
        <v>206</v>
      </c>
      <c r="P1005" s="193" t="s">
        <v>206</v>
      </c>
      <c r="Q1005" s="199"/>
      <c r="R1005" s="193" t="s">
        <v>219</v>
      </c>
      <c r="S1005" s="193" t="s">
        <v>44</v>
      </c>
      <c r="T1005" s="375" t="s">
        <v>229</v>
      </c>
      <c r="U1005" s="193" t="s">
        <v>371</v>
      </c>
      <c r="V1005" s="193" t="s">
        <v>231</v>
      </c>
      <c r="W1005" s="193" t="s">
        <v>212</v>
      </c>
      <c r="X1005" s="193" t="s">
        <v>232</v>
      </c>
      <c r="Y1005" s="200">
        <v>3.0</v>
      </c>
      <c r="Z1005" s="202" t="s">
        <v>233</v>
      </c>
      <c r="AA1005" s="202" t="s">
        <v>234</v>
      </c>
      <c r="AB1005" s="221"/>
      <c r="AC1005" s="203">
        <v>2572500.0</v>
      </c>
      <c r="AD1005" s="204">
        <v>46291.0</v>
      </c>
      <c r="AE1005" s="204">
        <v>46382.0</v>
      </c>
      <c r="AF1005" s="205"/>
      <c r="AG1005" s="370"/>
      <c r="AH1005" s="370"/>
      <c r="AI1005" s="370"/>
      <c r="AJ1005" s="370"/>
      <c r="AK1005" s="370"/>
      <c r="AL1005" s="370"/>
      <c r="AM1005" s="370"/>
      <c r="AN1005" s="370"/>
      <c r="AO1005" s="370"/>
    </row>
    <row r="1006">
      <c r="A1006" s="193">
        <v>68080.0</v>
      </c>
      <c r="B1006" s="194" t="s">
        <v>203</v>
      </c>
      <c r="C1006" s="193">
        <v>2026.0</v>
      </c>
      <c r="D1006" s="195">
        <v>2048.0</v>
      </c>
      <c r="E1006" s="193" t="s">
        <v>1540</v>
      </c>
      <c r="F1006" s="199"/>
      <c r="G1006" s="248"/>
      <c r="H1006" s="199"/>
      <c r="I1006" s="199"/>
      <c r="J1006" s="199"/>
      <c r="K1006" s="243" t="s">
        <v>206</v>
      </c>
      <c r="L1006" s="194" t="s">
        <v>144</v>
      </c>
      <c r="M1006" s="199"/>
      <c r="N1006" s="193" t="s">
        <v>621</v>
      </c>
      <c r="O1006" s="193" t="s">
        <v>206</v>
      </c>
      <c r="P1006" s="193" t="s">
        <v>206</v>
      </c>
      <c r="Q1006" s="199"/>
      <c r="R1006" s="193" t="s">
        <v>208</v>
      </c>
      <c r="S1006" s="193" t="s">
        <v>39</v>
      </c>
      <c r="T1006" s="193" t="s">
        <v>622</v>
      </c>
      <c r="U1006" s="193" t="s">
        <v>623</v>
      </c>
      <c r="V1006" s="193" t="s">
        <v>624</v>
      </c>
      <c r="W1006" s="193" t="s">
        <v>212</v>
      </c>
      <c r="X1006" s="193" t="s">
        <v>213</v>
      </c>
      <c r="Y1006" s="200">
        <v>3.0</v>
      </c>
      <c r="Z1006" s="202" t="s">
        <v>233</v>
      </c>
      <c r="AA1006" s="202" t="s">
        <v>625</v>
      </c>
      <c r="AB1006" s="221"/>
      <c r="AC1006" s="203">
        <v>1587815.74</v>
      </c>
      <c r="AD1006" s="204">
        <v>46382.0</v>
      </c>
      <c r="AE1006" s="204">
        <v>46080.0</v>
      </c>
      <c r="AF1006" s="226" t="s">
        <v>1541</v>
      </c>
      <c r="AG1006" s="370"/>
      <c r="AH1006" s="370"/>
      <c r="AI1006" s="370"/>
      <c r="AJ1006" s="370"/>
      <c r="AK1006" s="370"/>
      <c r="AL1006" s="370"/>
      <c r="AM1006" s="370"/>
      <c r="AN1006" s="370"/>
      <c r="AO1006" s="370"/>
    </row>
    <row r="1007">
      <c r="A1007" s="193">
        <v>68100.0</v>
      </c>
      <c r="B1007" s="194" t="s">
        <v>203</v>
      </c>
      <c r="C1007" s="193">
        <v>2026.0</v>
      </c>
      <c r="D1007" s="195">
        <v>2048.0</v>
      </c>
      <c r="E1007" s="193">
        <v>69.0</v>
      </c>
      <c r="F1007" s="193" t="s">
        <v>293</v>
      </c>
      <c r="G1007" s="248"/>
      <c r="H1007" s="387"/>
      <c r="I1007" s="233"/>
      <c r="J1007" s="199"/>
      <c r="K1007" s="243" t="s">
        <v>206</v>
      </c>
      <c r="L1007" s="194" t="s">
        <v>144</v>
      </c>
      <c r="M1007" s="199"/>
      <c r="N1007" s="193" t="s">
        <v>227</v>
      </c>
      <c r="O1007" s="193" t="s">
        <v>206</v>
      </c>
      <c r="P1007" s="193" t="s">
        <v>244</v>
      </c>
      <c r="Q1007" s="199"/>
      <c r="R1007" s="193" t="s">
        <v>208</v>
      </c>
      <c r="S1007" s="193" t="s">
        <v>39</v>
      </c>
      <c r="T1007" s="193" t="s">
        <v>390</v>
      </c>
      <c r="U1007" s="193" t="s">
        <v>1542</v>
      </c>
      <c r="V1007" s="193" t="s">
        <v>155</v>
      </c>
      <c r="W1007" s="193" t="s">
        <v>203</v>
      </c>
      <c r="X1007" s="193" t="s">
        <v>252</v>
      </c>
      <c r="Y1007" s="200">
        <v>3.0</v>
      </c>
      <c r="Z1007" s="202" t="s">
        <v>214</v>
      </c>
      <c r="AA1007" s="202" t="s">
        <v>234</v>
      </c>
      <c r="AB1007" s="203">
        <v>120000.0</v>
      </c>
      <c r="AC1007" s="203">
        <v>684000.0</v>
      </c>
      <c r="AD1007" s="204">
        <v>46291.0</v>
      </c>
      <c r="AE1007" s="204">
        <v>46382.0</v>
      </c>
      <c r="AF1007" s="205"/>
      <c r="AG1007" s="370"/>
      <c r="AH1007" s="370"/>
      <c r="AI1007" s="370"/>
      <c r="AJ1007" s="370"/>
      <c r="AK1007" s="370"/>
      <c r="AL1007" s="370"/>
      <c r="AM1007" s="370"/>
      <c r="AN1007" s="370"/>
      <c r="AO1007" s="370"/>
    </row>
    <row r="1008">
      <c r="A1008" s="193">
        <v>68120.0</v>
      </c>
      <c r="B1008" s="194" t="s">
        <v>203</v>
      </c>
      <c r="C1008" s="193">
        <v>2026.0</v>
      </c>
      <c r="D1008" s="195">
        <v>2048.0</v>
      </c>
      <c r="E1008" s="193">
        <v>67.0</v>
      </c>
      <c r="F1008" s="199"/>
      <c r="G1008" s="248"/>
      <c r="H1008" s="199"/>
      <c r="I1008" s="233"/>
      <c r="J1008" s="199"/>
      <c r="K1008" s="193" t="s">
        <v>206</v>
      </c>
      <c r="L1008" s="194" t="s">
        <v>144</v>
      </c>
      <c r="M1008" s="199"/>
      <c r="N1008" s="193" t="s">
        <v>207</v>
      </c>
      <c r="O1008" s="193" t="s">
        <v>206</v>
      </c>
      <c r="P1008" s="193" t="s">
        <v>244</v>
      </c>
      <c r="Q1008" s="199"/>
      <c r="R1008" s="193" t="s">
        <v>219</v>
      </c>
      <c r="S1008" s="193" t="s">
        <v>43</v>
      </c>
      <c r="T1008" s="193" t="s">
        <v>512</v>
      </c>
      <c r="U1008" s="193" t="s">
        <v>1543</v>
      </c>
      <c r="V1008" s="193" t="s">
        <v>155</v>
      </c>
      <c r="W1008" s="193" t="s">
        <v>203</v>
      </c>
      <c r="X1008" s="193" t="s">
        <v>252</v>
      </c>
      <c r="Y1008" s="200">
        <v>3.0</v>
      </c>
      <c r="Z1008" s="202" t="s">
        <v>233</v>
      </c>
      <c r="AA1008" s="202" t="s">
        <v>215</v>
      </c>
      <c r="AB1008" s="203">
        <v>1395309.06</v>
      </c>
      <c r="AC1008" s="203">
        <v>1395309.06</v>
      </c>
      <c r="AD1008" s="204">
        <v>46291.0</v>
      </c>
      <c r="AE1008" s="204">
        <v>46382.0</v>
      </c>
      <c r="AF1008" s="205"/>
      <c r="AG1008" s="370"/>
      <c r="AH1008" s="370"/>
      <c r="AI1008" s="370"/>
      <c r="AJ1008" s="370"/>
      <c r="AK1008" s="370"/>
      <c r="AL1008" s="370"/>
      <c r="AM1008" s="370"/>
      <c r="AN1008" s="370"/>
      <c r="AO1008" s="370"/>
    </row>
    <row r="1009">
      <c r="A1009" s="193">
        <v>68140.0</v>
      </c>
      <c r="B1009" s="194" t="s">
        <v>203</v>
      </c>
      <c r="C1009" s="193">
        <v>2026.0</v>
      </c>
      <c r="D1009" s="195">
        <v>2048.0</v>
      </c>
      <c r="E1009" s="193">
        <v>71.0</v>
      </c>
      <c r="F1009" s="199"/>
      <c r="G1009" s="248"/>
      <c r="H1009" s="199"/>
      <c r="I1009" s="233"/>
      <c r="J1009" s="199"/>
      <c r="K1009" s="193" t="s">
        <v>206</v>
      </c>
      <c r="L1009" s="194" t="s">
        <v>144</v>
      </c>
      <c r="M1009" s="199"/>
      <c r="N1009" s="193" t="s">
        <v>227</v>
      </c>
      <c r="O1009" s="193" t="s">
        <v>206</v>
      </c>
      <c r="P1009" s="193" t="s">
        <v>244</v>
      </c>
      <c r="Q1009" s="199"/>
      <c r="R1009" s="193" t="s">
        <v>219</v>
      </c>
      <c r="S1009" s="193" t="s">
        <v>43</v>
      </c>
      <c r="T1009" s="377" t="s">
        <v>1544</v>
      </c>
      <c r="U1009" s="193" t="s">
        <v>1542</v>
      </c>
      <c r="V1009" s="193" t="s">
        <v>155</v>
      </c>
      <c r="W1009" s="193" t="s">
        <v>203</v>
      </c>
      <c r="X1009" s="193" t="s">
        <v>252</v>
      </c>
      <c r="Y1009" s="200">
        <v>3.0</v>
      </c>
      <c r="Z1009" s="202" t="s">
        <v>214</v>
      </c>
      <c r="AA1009" s="202" t="s">
        <v>234</v>
      </c>
      <c r="AB1009" s="203">
        <v>100000.0</v>
      </c>
      <c r="AC1009" s="203">
        <v>570000.0</v>
      </c>
      <c r="AD1009" s="204">
        <v>46291.0</v>
      </c>
      <c r="AE1009" s="204">
        <v>46382.0</v>
      </c>
      <c r="AF1009" s="268"/>
      <c r="AG1009" s="370"/>
      <c r="AH1009" s="370"/>
      <c r="AI1009" s="370"/>
      <c r="AJ1009" s="370"/>
      <c r="AK1009" s="370"/>
      <c r="AL1009" s="370"/>
      <c r="AM1009" s="370"/>
      <c r="AN1009" s="370"/>
      <c r="AO1009" s="370"/>
    </row>
    <row r="1010">
      <c r="A1010" s="193">
        <v>68160.0</v>
      </c>
      <c r="B1010" s="194" t="s">
        <v>203</v>
      </c>
      <c r="C1010" s="193">
        <v>2026.0</v>
      </c>
      <c r="D1010" s="195">
        <v>2048.0</v>
      </c>
      <c r="E1010" s="193">
        <v>65.0</v>
      </c>
      <c r="F1010" s="199"/>
      <c r="G1010" s="248"/>
      <c r="H1010" s="199"/>
      <c r="I1010" s="199"/>
      <c r="J1010" s="199"/>
      <c r="K1010" s="193" t="s">
        <v>206</v>
      </c>
      <c r="L1010" s="194" t="s">
        <v>144</v>
      </c>
      <c r="M1010" s="199"/>
      <c r="N1010" s="193" t="s">
        <v>207</v>
      </c>
      <c r="O1010" s="193" t="s">
        <v>206</v>
      </c>
      <c r="P1010" s="193" t="s">
        <v>244</v>
      </c>
      <c r="Q1010" s="199"/>
      <c r="R1010" s="193" t="s">
        <v>219</v>
      </c>
      <c r="S1010" s="208" t="s">
        <v>45</v>
      </c>
      <c r="T1010" s="193" t="s">
        <v>512</v>
      </c>
      <c r="U1010" s="193" t="s">
        <v>1543</v>
      </c>
      <c r="V1010" s="193" t="s">
        <v>155</v>
      </c>
      <c r="W1010" s="193" t="s">
        <v>203</v>
      </c>
      <c r="X1010" s="193" t="s">
        <v>252</v>
      </c>
      <c r="Y1010" s="200">
        <v>3.0</v>
      </c>
      <c r="Z1010" s="202" t="s">
        <v>233</v>
      </c>
      <c r="AA1010" s="202" t="s">
        <v>215</v>
      </c>
      <c r="AB1010" s="203">
        <v>2297180.0</v>
      </c>
      <c r="AC1010" s="203">
        <v>2297180.0</v>
      </c>
      <c r="AD1010" s="204">
        <v>46291.0</v>
      </c>
      <c r="AE1010" s="286">
        <v>46382.0</v>
      </c>
      <c r="AF1010" s="205"/>
      <c r="AG1010" s="370"/>
      <c r="AH1010" s="370"/>
      <c r="AI1010" s="370"/>
      <c r="AJ1010" s="370"/>
      <c r="AK1010" s="370"/>
      <c r="AL1010" s="370"/>
      <c r="AM1010" s="370"/>
      <c r="AN1010" s="370"/>
      <c r="AO1010" s="370"/>
    </row>
    <row r="1011">
      <c r="A1011" s="193">
        <v>68180.0</v>
      </c>
      <c r="B1011" s="194" t="s">
        <v>203</v>
      </c>
      <c r="C1011" s="193">
        <v>2026.0</v>
      </c>
      <c r="D1011" s="195">
        <v>2048.0</v>
      </c>
      <c r="E1011" s="193">
        <v>66.0</v>
      </c>
      <c r="F1011" s="199"/>
      <c r="G1011" s="248"/>
      <c r="H1011" s="199"/>
      <c r="I1011" s="199"/>
      <c r="J1011" s="387"/>
      <c r="K1011" s="193" t="s">
        <v>206</v>
      </c>
      <c r="L1011" s="194" t="s">
        <v>144</v>
      </c>
      <c r="M1011" s="199"/>
      <c r="N1011" s="193" t="s">
        <v>227</v>
      </c>
      <c r="O1011" s="193" t="s">
        <v>206</v>
      </c>
      <c r="P1011" s="193" t="s">
        <v>244</v>
      </c>
      <c r="Q1011" s="199"/>
      <c r="R1011" s="193" t="s">
        <v>228</v>
      </c>
      <c r="S1011" s="193" t="s">
        <v>46</v>
      </c>
      <c r="T1011" s="193" t="s">
        <v>1544</v>
      </c>
      <c r="U1011" s="193" t="s">
        <v>1545</v>
      </c>
      <c r="V1011" s="193" t="s">
        <v>155</v>
      </c>
      <c r="W1011" s="193" t="s">
        <v>203</v>
      </c>
      <c r="X1011" s="193" t="s">
        <v>252</v>
      </c>
      <c r="Y1011" s="200">
        <v>3.0</v>
      </c>
      <c r="Z1011" s="202" t="s">
        <v>214</v>
      </c>
      <c r="AA1011" s="202" t="s">
        <v>234</v>
      </c>
      <c r="AB1011" s="203">
        <v>23684.21</v>
      </c>
      <c r="AC1011" s="203">
        <v>135000.0</v>
      </c>
      <c r="AD1011" s="204">
        <v>46291.0</v>
      </c>
      <c r="AE1011" s="204">
        <v>46382.0</v>
      </c>
      <c r="AF1011" s="388"/>
      <c r="AG1011" s="370"/>
      <c r="AH1011" s="370"/>
      <c r="AI1011" s="370"/>
      <c r="AJ1011" s="370"/>
      <c r="AK1011" s="370"/>
      <c r="AL1011" s="370"/>
      <c r="AM1011" s="370"/>
      <c r="AN1011" s="370"/>
      <c r="AO1011" s="370"/>
    </row>
    <row r="1012">
      <c r="A1012" s="193">
        <v>68320.0</v>
      </c>
      <c r="B1012" s="194" t="s">
        <v>203</v>
      </c>
      <c r="C1012" s="193">
        <v>2026.0</v>
      </c>
      <c r="D1012" s="195">
        <v>2048.0</v>
      </c>
      <c r="E1012" s="193" t="s">
        <v>1546</v>
      </c>
      <c r="F1012" s="199"/>
      <c r="G1012" s="248"/>
      <c r="H1012" s="199"/>
      <c r="I1012" s="199"/>
      <c r="J1012" s="199"/>
      <c r="K1012" s="193" t="s">
        <v>206</v>
      </c>
      <c r="L1012" s="232" t="s">
        <v>146</v>
      </c>
      <c r="M1012" s="199"/>
      <c r="N1012" s="193" t="s">
        <v>227</v>
      </c>
      <c r="O1012" s="193" t="s">
        <v>206</v>
      </c>
      <c r="P1012" s="193" t="s">
        <v>206</v>
      </c>
      <c r="Q1012" s="199"/>
      <c r="R1012" s="193" t="s">
        <v>279</v>
      </c>
      <c r="S1012" s="193" t="s">
        <v>50</v>
      </c>
      <c r="T1012" s="193" t="s">
        <v>1547</v>
      </c>
      <c r="U1012" s="193" t="s">
        <v>1548</v>
      </c>
      <c r="V1012" s="193" t="s">
        <v>50</v>
      </c>
      <c r="W1012" s="193" t="s">
        <v>264</v>
      </c>
      <c r="X1012" s="193" t="s">
        <v>232</v>
      </c>
      <c r="Y1012" s="200">
        <v>4.0</v>
      </c>
      <c r="Z1012" s="202" t="s">
        <v>531</v>
      </c>
      <c r="AA1012" s="202" t="s">
        <v>234</v>
      </c>
      <c r="AB1012" s="203">
        <v>174210.88</v>
      </c>
      <c r="AC1012" s="203">
        <v>993002.02</v>
      </c>
      <c r="AD1012" s="204">
        <v>46291.0</v>
      </c>
      <c r="AE1012" s="204">
        <v>46382.0</v>
      </c>
      <c r="AF1012" s="226" t="s">
        <v>1549</v>
      </c>
      <c r="AG1012" s="370"/>
      <c r="AH1012" s="370"/>
      <c r="AI1012" s="370"/>
      <c r="AJ1012" s="370"/>
      <c r="AK1012" s="370"/>
      <c r="AL1012" s="370"/>
      <c r="AM1012" s="370"/>
      <c r="AN1012" s="370"/>
      <c r="AO1012" s="370"/>
    </row>
    <row r="1013">
      <c r="A1013" s="193">
        <v>68340.0</v>
      </c>
      <c r="B1013" s="194" t="s">
        <v>203</v>
      </c>
      <c r="C1013" s="193">
        <v>2026.0</v>
      </c>
      <c r="D1013" s="195">
        <v>2048.0</v>
      </c>
      <c r="E1013" s="199"/>
      <c r="F1013" s="193" t="s">
        <v>204</v>
      </c>
      <c r="G1013" s="230">
        <v>46289.0</v>
      </c>
      <c r="H1013" s="193">
        <v>14901.0</v>
      </c>
      <c r="I1013" s="198">
        <v>46289.0</v>
      </c>
      <c r="J1013" s="193" t="s">
        <v>1550</v>
      </c>
      <c r="K1013" s="193" t="s">
        <v>206</v>
      </c>
      <c r="L1013" s="232" t="s">
        <v>146</v>
      </c>
      <c r="M1013" s="199"/>
      <c r="N1013" s="193" t="s">
        <v>475</v>
      </c>
      <c r="O1013" s="193" t="s">
        <v>206</v>
      </c>
      <c r="P1013" s="193" t="s">
        <v>206</v>
      </c>
      <c r="Q1013" s="199"/>
      <c r="R1013" s="193" t="s">
        <v>279</v>
      </c>
      <c r="S1013" s="193" t="s">
        <v>50</v>
      </c>
      <c r="T1013" s="193" t="s">
        <v>1551</v>
      </c>
      <c r="U1013" s="193" t="s">
        <v>1552</v>
      </c>
      <c r="V1013" s="193" t="s">
        <v>50</v>
      </c>
      <c r="W1013" s="193" t="s">
        <v>264</v>
      </c>
      <c r="X1013" s="193" t="s">
        <v>252</v>
      </c>
      <c r="Y1013" s="200">
        <v>4.0</v>
      </c>
      <c r="Z1013" s="202" t="s">
        <v>531</v>
      </c>
      <c r="AA1013" s="202" t="s">
        <v>215</v>
      </c>
      <c r="AB1013" s="203">
        <v>104525.68</v>
      </c>
      <c r="AC1013" s="203">
        <v>104525.68</v>
      </c>
      <c r="AD1013" s="204">
        <v>46291.0</v>
      </c>
      <c r="AE1013" s="204">
        <v>46382.0</v>
      </c>
      <c r="AF1013" s="389" t="s">
        <v>1553</v>
      </c>
      <c r="AG1013" s="370"/>
      <c r="AH1013" s="370"/>
      <c r="AI1013" s="370"/>
      <c r="AJ1013" s="370"/>
      <c r="AK1013" s="370"/>
      <c r="AL1013" s="370"/>
      <c r="AM1013" s="370"/>
      <c r="AN1013" s="370"/>
      <c r="AO1013" s="370"/>
    </row>
    <row r="1014">
      <c r="A1014" s="241">
        <v>68341.0</v>
      </c>
      <c r="B1014" s="390" t="s">
        <v>203</v>
      </c>
      <c r="C1014" s="208">
        <v>2026.0</v>
      </c>
      <c r="D1014" s="391">
        <v>2048.0</v>
      </c>
      <c r="E1014" s="266"/>
      <c r="F1014" s="208" t="s">
        <v>784</v>
      </c>
      <c r="G1014" s="246">
        <v>46290.0</v>
      </c>
      <c r="H1014" s="208">
        <v>15108.0</v>
      </c>
      <c r="I1014" s="197">
        <v>46290.0</v>
      </c>
      <c r="J1014" s="207"/>
      <c r="K1014" s="208" t="s">
        <v>206</v>
      </c>
      <c r="L1014" s="392" t="s">
        <v>146</v>
      </c>
      <c r="M1014" s="207"/>
      <c r="N1014" s="208" t="s">
        <v>475</v>
      </c>
      <c r="O1014" s="208" t="s">
        <v>206</v>
      </c>
      <c r="P1014" s="208" t="s">
        <v>206</v>
      </c>
      <c r="Q1014" s="207"/>
      <c r="R1014" s="208" t="s">
        <v>279</v>
      </c>
      <c r="S1014" s="208" t="s">
        <v>50</v>
      </c>
      <c r="T1014" s="375" t="s">
        <v>1551</v>
      </c>
      <c r="U1014" s="241" t="s">
        <v>1552</v>
      </c>
      <c r="V1014" s="208" t="s">
        <v>50</v>
      </c>
      <c r="W1014" s="208" t="s">
        <v>264</v>
      </c>
      <c r="X1014" s="208" t="s">
        <v>252</v>
      </c>
      <c r="Y1014" s="291">
        <v>4.0</v>
      </c>
      <c r="Z1014" s="280" t="s">
        <v>531</v>
      </c>
      <c r="AA1014" s="280" t="s">
        <v>215</v>
      </c>
      <c r="AB1014" s="282">
        <v>43493.84</v>
      </c>
      <c r="AC1014" s="282">
        <v>43493.84</v>
      </c>
      <c r="AD1014" s="247">
        <v>46291.0</v>
      </c>
      <c r="AE1014" s="247">
        <v>46382.0</v>
      </c>
      <c r="AF1014" s="393" t="s">
        <v>1554</v>
      </c>
      <c r="AG1014" s="370"/>
      <c r="AH1014" s="370"/>
      <c r="AI1014" s="370"/>
      <c r="AJ1014" s="370"/>
      <c r="AK1014" s="370"/>
      <c r="AL1014" s="370"/>
      <c r="AM1014" s="370"/>
      <c r="AN1014" s="370"/>
      <c r="AO1014" s="370"/>
    </row>
    <row r="1015">
      <c r="A1015" s="193">
        <v>91840.0</v>
      </c>
      <c r="B1015" s="232" t="s">
        <v>264</v>
      </c>
      <c r="C1015" s="193">
        <v>2026.0</v>
      </c>
      <c r="D1015" s="199"/>
      <c r="E1015" s="248"/>
      <c r="F1015" s="199"/>
      <c r="G1015" s="248"/>
      <c r="H1015" s="199"/>
      <c r="I1015" s="233"/>
      <c r="J1015" s="199"/>
      <c r="K1015" s="193" t="s">
        <v>206</v>
      </c>
      <c r="L1015" s="232" t="s">
        <v>146</v>
      </c>
      <c r="M1015" s="199"/>
      <c r="N1015" s="193" t="s">
        <v>207</v>
      </c>
      <c r="O1015" s="193" t="s">
        <v>206</v>
      </c>
      <c r="P1015" s="193" t="s">
        <v>244</v>
      </c>
      <c r="Q1015" s="207"/>
      <c r="R1015" s="208" t="s">
        <v>219</v>
      </c>
      <c r="S1015" s="193" t="s">
        <v>43</v>
      </c>
      <c r="T1015" s="386" t="s">
        <v>1425</v>
      </c>
      <c r="U1015" s="193" t="s">
        <v>1426</v>
      </c>
      <c r="V1015" s="193" t="s">
        <v>155</v>
      </c>
      <c r="W1015" s="193" t="s">
        <v>203</v>
      </c>
      <c r="X1015" s="193" t="s">
        <v>252</v>
      </c>
      <c r="Y1015" s="200">
        <v>3.0</v>
      </c>
      <c r="Z1015" s="202" t="s">
        <v>214</v>
      </c>
      <c r="AA1015" s="202" t="s">
        <v>215</v>
      </c>
      <c r="AB1015" s="203">
        <v>4600000.0</v>
      </c>
      <c r="AC1015" s="203">
        <v>4600000.0</v>
      </c>
      <c r="AD1015" s="204">
        <v>46382.0</v>
      </c>
      <c r="AE1015" s="204">
        <v>46382.0</v>
      </c>
      <c r="AF1015" s="226" t="s">
        <v>1555</v>
      </c>
      <c r="AG1015" s="370"/>
      <c r="AH1015" s="370"/>
      <c r="AI1015" s="370"/>
      <c r="AJ1015" s="370"/>
      <c r="AK1015" s="370"/>
      <c r="AL1015" s="370"/>
      <c r="AM1015" s="370"/>
      <c r="AN1015" s="370"/>
      <c r="AO1015" s="370"/>
    </row>
    <row r="1016">
      <c r="A1016" s="193">
        <v>91860.0</v>
      </c>
      <c r="B1016" s="232" t="s">
        <v>264</v>
      </c>
      <c r="C1016" s="193">
        <v>2026.0</v>
      </c>
      <c r="D1016" s="199"/>
      <c r="E1016" s="248"/>
      <c r="F1016" s="199"/>
      <c r="G1016" s="248"/>
      <c r="H1016" s="199"/>
      <c r="I1016" s="233"/>
      <c r="J1016" s="199"/>
      <c r="K1016" s="193" t="s">
        <v>206</v>
      </c>
      <c r="L1016" s="232" t="s">
        <v>146</v>
      </c>
      <c r="M1016" s="199"/>
      <c r="N1016" s="193" t="s">
        <v>207</v>
      </c>
      <c r="O1016" s="193" t="s">
        <v>206</v>
      </c>
      <c r="P1016" s="193" t="s">
        <v>244</v>
      </c>
      <c r="Q1016" s="199"/>
      <c r="R1016" s="193" t="s">
        <v>219</v>
      </c>
      <c r="S1016" s="193" t="s">
        <v>43</v>
      </c>
      <c r="T1016" s="386" t="s">
        <v>1425</v>
      </c>
      <c r="U1016" s="193" t="s">
        <v>1426</v>
      </c>
      <c r="V1016" s="193" t="s">
        <v>155</v>
      </c>
      <c r="W1016" s="193" t="s">
        <v>203</v>
      </c>
      <c r="X1016" s="193" t="s">
        <v>252</v>
      </c>
      <c r="Y1016" s="200">
        <v>3.0</v>
      </c>
      <c r="Z1016" s="202" t="s">
        <v>214</v>
      </c>
      <c r="AA1016" s="202" t="s">
        <v>215</v>
      </c>
      <c r="AB1016" s="203">
        <v>4600000.0</v>
      </c>
      <c r="AC1016" s="203">
        <v>4600000.0</v>
      </c>
      <c r="AD1016" s="204">
        <v>46382.0</v>
      </c>
      <c r="AE1016" s="204">
        <v>46382.0</v>
      </c>
      <c r="AF1016" s="394" t="s">
        <v>1555</v>
      </c>
      <c r="AG1016" s="370"/>
      <c r="AH1016" s="370"/>
      <c r="AI1016" s="370"/>
      <c r="AJ1016" s="370"/>
      <c r="AK1016" s="370"/>
      <c r="AL1016" s="370"/>
      <c r="AM1016" s="370"/>
      <c r="AN1016" s="370"/>
      <c r="AO1016" s="395"/>
    </row>
    <row r="1017">
      <c r="A1017" s="193">
        <v>100240.0</v>
      </c>
      <c r="B1017" s="194" t="s">
        <v>203</v>
      </c>
      <c r="C1017" s="193">
        <v>2026.0</v>
      </c>
      <c r="D1017" s="195">
        <v>2048.0</v>
      </c>
      <c r="E1017" s="248"/>
      <c r="F1017" s="193" t="s">
        <v>204</v>
      </c>
      <c r="G1017" s="230">
        <v>46255.0</v>
      </c>
      <c r="H1017" s="252">
        <v>12752.0</v>
      </c>
      <c r="I1017" s="198">
        <v>46255.0</v>
      </c>
      <c r="J1017" s="193" t="s">
        <v>1556</v>
      </c>
      <c r="K1017" s="193" t="s">
        <v>206</v>
      </c>
      <c r="L1017" s="194" t="s">
        <v>144</v>
      </c>
      <c r="M1017" s="199"/>
      <c r="N1017" s="193" t="s">
        <v>227</v>
      </c>
      <c r="O1017" s="193" t="s">
        <v>206</v>
      </c>
      <c r="P1017" s="193" t="s">
        <v>244</v>
      </c>
      <c r="Q1017" s="199"/>
      <c r="R1017" s="193" t="s">
        <v>219</v>
      </c>
      <c r="S1017" s="193" t="s">
        <v>43</v>
      </c>
      <c r="T1017" s="193" t="s">
        <v>320</v>
      </c>
      <c r="U1017" s="193" t="s">
        <v>1557</v>
      </c>
      <c r="V1017" s="193" t="s">
        <v>155</v>
      </c>
      <c r="W1017" s="193" t="s">
        <v>203</v>
      </c>
      <c r="X1017" s="193" t="s">
        <v>232</v>
      </c>
      <c r="Y1017" s="200">
        <v>3.0</v>
      </c>
      <c r="Z1017" s="202" t="s">
        <v>233</v>
      </c>
      <c r="AA1017" s="202" t="s">
        <v>234</v>
      </c>
      <c r="AB1017" s="203">
        <v>6328.95</v>
      </c>
      <c r="AC1017" s="203">
        <v>32527.64</v>
      </c>
      <c r="AD1017" s="204">
        <v>46321.0</v>
      </c>
      <c r="AE1017" s="204">
        <v>46108.0</v>
      </c>
      <c r="AF1017" s="394" t="s">
        <v>1558</v>
      </c>
      <c r="AG1017" s="370"/>
      <c r="AH1017" s="370"/>
      <c r="AI1017" s="370"/>
      <c r="AJ1017" s="370"/>
      <c r="AK1017" s="370"/>
      <c r="AL1017" s="370"/>
      <c r="AM1017" s="370"/>
      <c r="AN1017" s="370"/>
      <c r="AO1017" s="395"/>
    </row>
    <row r="1018">
      <c r="A1018" s="193">
        <v>100241.0</v>
      </c>
      <c r="B1018" s="194" t="s">
        <v>203</v>
      </c>
      <c r="C1018" s="193">
        <v>2026.0</v>
      </c>
      <c r="D1018" s="195">
        <v>2048.0</v>
      </c>
      <c r="E1018" s="248"/>
      <c r="F1018" s="193" t="s">
        <v>204</v>
      </c>
      <c r="G1018" s="230">
        <v>46255.0</v>
      </c>
      <c r="H1018" s="252">
        <v>12752.0</v>
      </c>
      <c r="I1018" s="198">
        <v>46255.0</v>
      </c>
      <c r="J1018" s="193" t="s">
        <v>1556</v>
      </c>
      <c r="K1018" s="193" t="s">
        <v>206</v>
      </c>
      <c r="L1018" s="194" t="s">
        <v>144</v>
      </c>
      <c r="M1018" s="199"/>
      <c r="N1018" s="193" t="s">
        <v>227</v>
      </c>
      <c r="O1018" s="193" t="s">
        <v>206</v>
      </c>
      <c r="P1018" s="193" t="s">
        <v>244</v>
      </c>
      <c r="Q1018" s="199"/>
      <c r="R1018" s="193" t="s">
        <v>219</v>
      </c>
      <c r="S1018" s="193" t="s">
        <v>43</v>
      </c>
      <c r="T1018" s="193" t="s">
        <v>320</v>
      </c>
      <c r="U1018" s="193" t="s">
        <v>324</v>
      </c>
      <c r="V1018" s="193" t="s">
        <v>155</v>
      </c>
      <c r="W1018" s="193" t="s">
        <v>203</v>
      </c>
      <c r="X1018" s="193" t="s">
        <v>232</v>
      </c>
      <c r="Y1018" s="200">
        <v>3.0</v>
      </c>
      <c r="Z1018" s="202" t="s">
        <v>233</v>
      </c>
      <c r="AA1018" s="202" t="s">
        <v>234</v>
      </c>
      <c r="AB1018" s="203">
        <v>34400.0</v>
      </c>
      <c r="AC1018" s="203">
        <v>176798.8</v>
      </c>
      <c r="AD1018" s="204">
        <v>46321.0</v>
      </c>
      <c r="AE1018" s="204">
        <v>46108.0</v>
      </c>
      <c r="AF1018" s="394" t="s">
        <v>1559</v>
      </c>
      <c r="AG1018" s="370"/>
      <c r="AH1018" s="370"/>
      <c r="AI1018" s="370"/>
      <c r="AJ1018" s="370"/>
      <c r="AK1018" s="370"/>
      <c r="AL1018" s="370"/>
      <c r="AM1018" s="370"/>
      <c r="AN1018" s="370"/>
      <c r="AO1018" s="395"/>
    </row>
    <row r="1019">
      <c r="A1019" s="193">
        <v>100620.0</v>
      </c>
      <c r="B1019" s="194" t="s">
        <v>203</v>
      </c>
      <c r="C1019" s="193">
        <v>2026.0</v>
      </c>
      <c r="D1019" s="195">
        <v>2048.0</v>
      </c>
      <c r="E1019" s="248"/>
      <c r="F1019" s="193" t="s">
        <v>204</v>
      </c>
      <c r="G1019" s="230">
        <v>46289.0</v>
      </c>
      <c r="H1019" s="193">
        <v>14943.0</v>
      </c>
      <c r="I1019" s="198">
        <v>46289.0</v>
      </c>
      <c r="J1019" s="252" t="s">
        <v>1560</v>
      </c>
      <c r="K1019" s="193" t="s">
        <v>206</v>
      </c>
      <c r="L1019" s="194" t="s">
        <v>144</v>
      </c>
      <c r="M1019" s="199"/>
      <c r="N1019" s="193" t="s">
        <v>227</v>
      </c>
      <c r="O1019" s="193" t="s">
        <v>206</v>
      </c>
      <c r="P1019" s="193" t="s">
        <v>244</v>
      </c>
      <c r="Q1019" s="199"/>
      <c r="R1019" s="193" t="s">
        <v>228</v>
      </c>
      <c r="S1019" s="193" t="s">
        <v>46</v>
      </c>
      <c r="T1019" s="396" t="s">
        <v>1561</v>
      </c>
      <c r="U1019" s="193" t="s">
        <v>872</v>
      </c>
      <c r="V1019" s="193" t="s">
        <v>155</v>
      </c>
      <c r="W1019" s="193" t="s">
        <v>203</v>
      </c>
      <c r="X1019" s="193" t="s">
        <v>252</v>
      </c>
      <c r="Y1019" s="200">
        <v>3.0</v>
      </c>
      <c r="Z1019" s="202" t="s">
        <v>214</v>
      </c>
      <c r="AA1019" s="202" t="s">
        <v>234</v>
      </c>
      <c r="AB1019" s="203">
        <v>48213.0</v>
      </c>
      <c r="AC1019" s="203">
        <v>248730.88</v>
      </c>
      <c r="AD1019" s="204">
        <v>46291.0</v>
      </c>
      <c r="AE1019" s="204">
        <v>46352.0</v>
      </c>
      <c r="AF1019" s="397" t="s">
        <v>1563</v>
      </c>
      <c r="AG1019" s="370"/>
      <c r="AH1019" s="370"/>
      <c r="AI1019" s="370"/>
      <c r="AJ1019" s="370"/>
      <c r="AK1019" s="370"/>
      <c r="AL1019" s="370"/>
      <c r="AM1019" s="370"/>
      <c r="AN1019" s="370"/>
      <c r="AO1019" s="395"/>
    </row>
    <row r="1020">
      <c r="A1020" s="193">
        <v>100640.0</v>
      </c>
      <c r="B1020" s="194" t="s">
        <v>203</v>
      </c>
      <c r="C1020" s="193">
        <v>2026.0</v>
      </c>
      <c r="D1020" s="195">
        <v>2048.0</v>
      </c>
      <c r="E1020" s="248"/>
      <c r="F1020" s="193" t="s">
        <v>204</v>
      </c>
      <c r="G1020" s="230">
        <v>46289.0</v>
      </c>
      <c r="H1020" s="193">
        <v>14959.0</v>
      </c>
      <c r="I1020" s="198">
        <v>46289.0</v>
      </c>
      <c r="J1020" s="252" t="s">
        <v>1564</v>
      </c>
      <c r="K1020" s="193" t="s">
        <v>206</v>
      </c>
      <c r="L1020" s="194" t="s">
        <v>144</v>
      </c>
      <c r="M1020" s="199"/>
      <c r="N1020" s="193" t="s">
        <v>227</v>
      </c>
      <c r="O1020" s="193" t="s">
        <v>206</v>
      </c>
      <c r="P1020" s="193" t="s">
        <v>244</v>
      </c>
      <c r="Q1020" s="199"/>
      <c r="R1020" s="193" t="s">
        <v>228</v>
      </c>
      <c r="S1020" s="193" t="s">
        <v>46</v>
      </c>
      <c r="T1020" s="193" t="s">
        <v>583</v>
      </c>
      <c r="U1020" s="193" t="s">
        <v>872</v>
      </c>
      <c r="V1020" s="193" t="s">
        <v>155</v>
      </c>
      <c r="W1020" s="193" t="s">
        <v>203</v>
      </c>
      <c r="X1020" s="193" t="s">
        <v>252</v>
      </c>
      <c r="Y1020" s="200">
        <v>3.0</v>
      </c>
      <c r="Z1020" s="202" t="s">
        <v>214</v>
      </c>
      <c r="AA1020" s="202" t="s">
        <v>234</v>
      </c>
      <c r="AB1020" s="203">
        <v>38325.03</v>
      </c>
      <c r="AC1020" s="203">
        <v>201014.79</v>
      </c>
      <c r="AD1020" s="204">
        <v>46291.0</v>
      </c>
      <c r="AE1020" s="204">
        <v>46352.0</v>
      </c>
      <c r="AF1020" s="397" t="s">
        <v>1563</v>
      </c>
      <c r="AG1020" s="370"/>
      <c r="AH1020" s="370"/>
      <c r="AI1020" s="370"/>
      <c r="AJ1020" s="370"/>
      <c r="AK1020" s="370"/>
      <c r="AL1020" s="370"/>
      <c r="AM1020" s="370"/>
      <c r="AN1020" s="370"/>
      <c r="AO1020" s="395"/>
    </row>
    <row r="1021">
      <c r="A1021" s="193">
        <v>100680.0</v>
      </c>
      <c r="B1021" s="194" t="s">
        <v>203</v>
      </c>
      <c r="C1021" s="193">
        <v>2026.0</v>
      </c>
      <c r="D1021" s="195">
        <v>2048.0</v>
      </c>
      <c r="E1021" s="248"/>
      <c r="F1021" s="193" t="s">
        <v>784</v>
      </c>
      <c r="G1021" s="230">
        <v>46290.0</v>
      </c>
      <c r="H1021" s="193">
        <v>15116.0</v>
      </c>
      <c r="I1021" s="198">
        <v>46290.0</v>
      </c>
      <c r="J1021" s="199"/>
      <c r="K1021" s="193" t="s">
        <v>206</v>
      </c>
      <c r="L1021" s="194" t="s">
        <v>144</v>
      </c>
      <c r="M1021" s="199"/>
      <c r="N1021" s="193" t="s">
        <v>227</v>
      </c>
      <c r="O1021" s="193" t="s">
        <v>206</v>
      </c>
      <c r="P1021" s="193" t="s">
        <v>206</v>
      </c>
      <c r="Q1021" s="199"/>
      <c r="R1021" s="193" t="s">
        <v>219</v>
      </c>
      <c r="S1021" s="193" t="s">
        <v>44</v>
      </c>
      <c r="T1021" s="377" t="s">
        <v>229</v>
      </c>
      <c r="U1021" s="193" t="s">
        <v>230</v>
      </c>
      <c r="V1021" s="199"/>
      <c r="W1021" s="199"/>
      <c r="X1021" s="199"/>
      <c r="Y1021" s="200">
        <v>3.0</v>
      </c>
      <c r="Z1021" s="202" t="s">
        <v>233</v>
      </c>
      <c r="AA1021" s="202" t="s">
        <v>234</v>
      </c>
      <c r="AB1021" s="221"/>
      <c r="AC1021" s="203">
        <v>1405022.04</v>
      </c>
      <c r="AD1021" s="221"/>
      <c r="AE1021" s="201"/>
      <c r="AF1021" s="394" t="s">
        <v>1565</v>
      </c>
      <c r="AG1021" s="370"/>
      <c r="AH1021" s="201"/>
      <c r="AI1021" s="201"/>
      <c r="AJ1021" s="370"/>
      <c r="AK1021" s="370"/>
      <c r="AL1021" s="370"/>
      <c r="AM1021" s="370"/>
      <c r="AN1021" s="370"/>
      <c r="AO1021" s="395"/>
    </row>
    <row r="1022">
      <c r="A1022" s="193">
        <v>100681.0</v>
      </c>
      <c r="B1022" s="194" t="s">
        <v>203</v>
      </c>
      <c r="C1022" s="193">
        <v>2026.0</v>
      </c>
      <c r="D1022" s="195">
        <v>2048.0</v>
      </c>
      <c r="E1022" s="248"/>
      <c r="F1022" s="193" t="s">
        <v>784</v>
      </c>
      <c r="G1022" s="230">
        <v>46290.0</v>
      </c>
      <c r="H1022" s="193">
        <v>15124.0</v>
      </c>
      <c r="I1022" s="198">
        <v>46290.0</v>
      </c>
      <c r="J1022" s="199"/>
      <c r="K1022" s="193" t="s">
        <v>206</v>
      </c>
      <c r="L1022" s="194" t="s">
        <v>144</v>
      </c>
      <c r="M1022" s="199"/>
      <c r="N1022" s="193" t="s">
        <v>227</v>
      </c>
      <c r="O1022" s="193" t="s">
        <v>206</v>
      </c>
      <c r="P1022" s="193" t="s">
        <v>206</v>
      </c>
      <c r="Q1022" s="199"/>
      <c r="R1022" s="193" t="s">
        <v>219</v>
      </c>
      <c r="S1022" s="193" t="s">
        <v>44</v>
      </c>
      <c r="T1022" s="375" t="s">
        <v>229</v>
      </c>
      <c r="U1022" s="193" t="s">
        <v>230</v>
      </c>
      <c r="V1022" s="199"/>
      <c r="W1022" s="199"/>
      <c r="X1022" s="199"/>
      <c r="Y1022" s="200">
        <v>3.0</v>
      </c>
      <c r="Z1022" s="202" t="s">
        <v>233</v>
      </c>
      <c r="AA1022" s="202" t="s">
        <v>234</v>
      </c>
      <c r="AB1022" s="221"/>
      <c r="AC1022" s="203">
        <v>572231.65</v>
      </c>
      <c r="AD1022" s="221"/>
      <c r="AE1022" s="201"/>
      <c r="AF1022" s="394" t="s">
        <v>1566</v>
      </c>
      <c r="AG1022" s="370"/>
      <c r="AH1022" s="201"/>
      <c r="AI1022" s="201"/>
      <c r="AJ1022" s="370"/>
      <c r="AK1022" s="370"/>
      <c r="AL1022" s="370"/>
      <c r="AM1022" s="370"/>
      <c r="AN1022" s="370"/>
      <c r="AO1022" s="395"/>
    </row>
    <row r="1023">
      <c r="A1023" s="398"/>
      <c r="B1023" s="398"/>
      <c r="C1023" s="398"/>
      <c r="D1023" s="398"/>
      <c r="E1023" s="399"/>
      <c r="F1023" s="400"/>
      <c r="G1023" s="399"/>
      <c r="H1023" s="400"/>
      <c r="I1023" s="400"/>
      <c r="J1023" s="400"/>
      <c r="K1023" s="400"/>
      <c r="L1023" s="400"/>
      <c r="M1023" s="400"/>
      <c r="N1023" s="400"/>
      <c r="O1023" s="400"/>
      <c r="P1023" s="400"/>
      <c r="Q1023" s="400"/>
      <c r="R1023" s="398"/>
      <c r="S1023" s="401"/>
      <c r="T1023" s="401"/>
      <c r="U1023" s="398"/>
      <c r="V1023" s="398"/>
      <c r="W1023" s="398"/>
      <c r="X1023" s="398"/>
      <c r="Y1023" s="402"/>
      <c r="Z1023" s="403"/>
      <c r="AA1023" s="404"/>
      <c r="AB1023" s="405"/>
      <c r="AC1023" s="405"/>
      <c r="AD1023" s="406"/>
      <c r="AE1023" s="395"/>
      <c r="AF1023" s="395"/>
      <c r="AG1023" s="395"/>
      <c r="AH1023" s="395"/>
      <c r="AI1023" s="395"/>
      <c r="AJ1023" s="395"/>
      <c r="AK1023" s="395"/>
      <c r="AL1023" s="395"/>
      <c r="AM1023" s="395"/>
      <c r="AN1023" s="395"/>
      <c r="AO1023" s="395"/>
    </row>
    <row r="1024">
      <c r="A1024" s="398"/>
      <c r="B1024" s="398"/>
      <c r="C1024" s="398"/>
      <c r="D1024" s="398"/>
      <c r="E1024" s="399"/>
      <c r="F1024" s="400"/>
      <c r="G1024" s="399"/>
      <c r="H1024" s="400"/>
      <c r="I1024" s="400"/>
      <c r="J1024" s="400"/>
      <c r="K1024" s="400"/>
      <c r="L1024" s="400"/>
      <c r="M1024" s="400"/>
      <c r="N1024" s="400"/>
      <c r="O1024" s="400"/>
      <c r="P1024" s="400"/>
      <c r="Q1024" s="400"/>
      <c r="R1024" s="398"/>
      <c r="S1024" s="401"/>
      <c r="T1024" s="401"/>
      <c r="U1024" s="398"/>
      <c r="V1024" s="398"/>
      <c r="W1024" s="398"/>
      <c r="X1024" s="398"/>
      <c r="Y1024" s="402"/>
      <c r="Z1024" s="403"/>
      <c r="AA1024" s="404"/>
      <c r="AB1024" s="405"/>
      <c r="AC1024" s="405"/>
      <c r="AD1024" s="406"/>
      <c r="AE1024" s="395"/>
      <c r="AF1024" s="395"/>
      <c r="AG1024" s="395"/>
      <c r="AH1024" s="395"/>
      <c r="AI1024" s="395"/>
      <c r="AJ1024" s="395"/>
      <c r="AK1024" s="395"/>
      <c r="AL1024" s="395"/>
      <c r="AM1024" s="395"/>
      <c r="AN1024" s="395"/>
      <c r="AO1024" s="395"/>
    </row>
    <row r="1025">
      <c r="A1025" s="398"/>
      <c r="B1025" s="398"/>
      <c r="C1025" s="398"/>
      <c r="D1025" s="398"/>
      <c r="E1025" s="399"/>
      <c r="F1025" s="400"/>
      <c r="G1025" s="399"/>
      <c r="H1025" s="400"/>
      <c r="I1025" s="400"/>
      <c r="J1025" s="400"/>
      <c r="K1025" s="400"/>
      <c r="L1025" s="400"/>
      <c r="M1025" s="400"/>
      <c r="N1025" s="400"/>
      <c r="O1025" s="400"/>
      <c r="P1025" s="400"/>
      <c r="Q1025" s="400"/>
      <c r="R1025" s="398"/>
      <c r="S1025" s="401"/>
      <c r="T1025" s="401"/>
      <c r="U1025" s="398"/>
      <c r="V1025" s="398"/>
      <c r="W1025" s="398"/>
      <c r="X1025" s="398"/>
      <c r="Y1025" s="402"/>
      <c r="Z1025" s="403"/>
      <c r="AA1025" s="404"/>
      <c r="AB1025" s="405"/>
      <c r="AC1025" s="405"/>
      <c r="AD1025" s="406"/>
      <c r="AE1025" s="395"/>
      <c r="AF1025" s="395"/>
      <c r="AG1025" s="395"/>
      <c r="AH1025" s="395"/>
      <c r="AI1025" s="395"/>
      <c r="AJ1025" s="395"/>
      <c r="AK1025" s="395"/>
      <c r="AL1025" s="395"/>
      <c r="AM1025" s="395"/>
      <c r="AN1025" s="395"/>
      <c r="AO1025" s="395"/>
    </row>
    <row r="1026">
      <c r="A1026" s="398"/>
      <c r="B1026" s="398"/>
      <c r="C1026" s="398"/>
      <c r="D1026" s="398"/>
      <c r="E1026" s="399"/>
      <c r="F1026" s="400"/>
      <c r="G1026" s="399"/>
      <c r="H1026" s="400"/>
      <c r="I1026" s="400"/>
      <c r="J1026" s="400"/>
      <c r="K1026" s="400"/>
      <c r="L1026" s="400"/>
      <c r="M1026" s="400"/>
      <c r="N1026" s="400"/>
      <c r="O1026" s="400"/>
      <c r="P1026" s="400"/>
      <c r="Q1026" s="400"/>
      <c r="R1026" s="398"/>
      <c r="S1026" s="401"/>
      <c r="T1026" s="401"/>
      <c r="U1026" s="398"/>
      <c r="V1026" s="398"/>
      <c r="W1026" s="398"/>
      <c r="X1026" s="398"/>
      <c r="Y1026" s="402"/>
      <c r="Z1026" s="403"/>
      <c r="AA1026" s="404"/>
      <c r="AB1026" s="405"/>
      <c r="AC1026" s="405"/>
      <c r="AD1026" s="406"/>
      <c r="AE1026" s="395"/>
      <c r="AF1026" s="395"/>
      <c r="AG1026" s="395"/>
      <c r="AH1026" s="395"/>
      <c r="AI1026" s="395"/>
      <c r="AJ1026" s="395"/>
      <c r="AK1026" s="395"/>
      <c r="AL1026" s="395"/>
      <c r="AM1026" s="395"/>
      <c r="AN1026" s="395"/>
      <c r="AO1026" s="395"/>
    </row>
    <row r="1027">
      <c r="A1027" s="398"/>
      <c r="B1027" s="398"/>
      <c r="C1027" s="398"/>
      <c r="D1027" s="398"/>
      <c r="E1027" s="399"/>
      <c r="F1027" s="400"/>
      <c r="G1027" s="399"/>
      <c r="H1027" s="400"/>
      <c r="I1027" s="400"/>
      <c r="J1027" s="400"/>
      <c r="K1027" s="400"/>
      <c r="L1027" s="400"/>
      <c r="M1027" s="400"/>
      <c r="N1027" s="400"/>
      <c r="O1027" s="400"/>
      <c r="P1027" s="400"/>
      <c r="Q1027" s="400"/>
      <c r="R1027" s="398"/>
      <c r="S1027" s="401"/>
      <c r="T1027" s="401"/>
      <c r="U1027" s="398"/>
      <c r="V1027" s="398"/>
      <c r="W1027" s="398"/>
      <c r="X1027" s="398"/>
      <c r="Y1027" s="402"/>
      <c r="Z1027" s="403"/>
      <c r="AA1027" s="404"/>
      <c r="AB1027" s="405"/>
      <c r="AC1027" s="405"/>
      <c r="AD1027" s="406"/>
      <c r="AE1027" s="395"/>
      <c r="AF1027" s="395"/>
      <c r="AG1027" s="395"/>
      <c r="AH1027" s="395"/>
      <c r="AI1027" s="395"/>
      <c r="AJ1027" s="395"/>
      <c r="AK1027" s="395"/>
      <c r="AL1027" s="395"/>
      <c r="AM1027" s="395"/>
      <c r="AN1027" s="395"/>
      <c r="AO1027" s="395"/>
    </row>
    <row r="1028">
      <c r="A1028" s="398"/>
      <c r="B1028" s="398"/>
      <c r="C1028" s="398"/>
      <c r="D1028" s="398"/>
      <c r="E1028" s="399"/>
      <c r="F1028" s="400"/>
      <c r="G1028" s="399"/>
      <c r="H1028" s="400"/>
      <c r="I1028" s="400"/>
      <c r="J1028" s="400"/>
      <c r="K1028" s="400"/>
      <c r="L1028" s="400"/>
      <c r="M1028" s="400"/>
      <c r="N1028" s="400"/>
      <c r="O1028" s="400"/>
      <c r="P1028" s="400"/>
      <c r="Q1028" s="400"/>
      <c r="R1028" s="398"/>
      <c r="S1028" s="401"/>
      <c r="T1028" s="401"/>
      <c r="U1028" s="398"/>
      <c r="V1028" s="398"/>
      <c r="W1028" s="398"/>
      <c r="X1028" s="398"/>
      <c r="Y1028" s="402"/>
      <c r="Z1028" s="403"/>
      <c r="AA1028" s="404"/>
      <c r="AB1028" s="405"/>
      <c r="AC1028" s="405"/>
      <c r="AD1028" s="406"/>
      <c r="AE1028" s="395"/>
      <c r="AF1028" s="395"/>
      <c r="AG1028" s="395"/>
      <c r="AH1028" s="395"/>
      <c r="AI1028" s="395"/>
      <c r="AJ1028" s="395"/>
      <c r="AK1028" s="395"/>
      <c r="AL1028" s="395"/>
      <c r="AM1028" s="395"/>
      <c r="AN1028" s="395"/>
      <c r="AO1028" s="395"/>
    </row>
    <row r="1029">
      <c r="A1029" s="398"/>
      <c r="B1029" s="398"/>
      <c r="C1029" s="398"/>
      <c r="D1029" s="398"/>
      <c r="E1029" s="399"/>
      <c r="F1029" s="400"/>
      <c r="G1029" s="399"/>
      <c r="H1029" s="400"/>
      <c r="I1029" s="400"/>
      <c r="J1029" s="400"/>
      <c r="K1029" s="400"/>
      <c r="L1029" s="400"/>
      <c r="M1029" s="400"/>
      <c r="N1029" s="400"/>
      <c r="O1029" s="400"/>
      <c r="P1029" s="400"/>
      <c r="Q1029" s="400"/>
      <c r="R1029" s="398"/>
      <c r="S1029" s="401"/>
      <c r="T1029" s="401"/>
      <c r="U1029" s="398"/>
      <c r="V1029" s="398"/>
      <c r="W1029" s="398"/>
      <c r="X1029" s="398"/>
      <c r="Y1029" s="402"/>
      <c r="Z1029" s="403"/>
      <c r="AA1029" s="404"/>
      <c r="AB1029" s="405"/>
      <c r="AC1029" s="405"/>
      <c r="AD1029" s="406"/>
      <c r="AE1029" s="395"/>
      <c r="AF1029" s="395"/>
      <c r="AG1029" s="395"/>
      <c r="AH1029" s="395"/>
      <c r="AI1029" s="395"/>
      <c r="AJ1029" s="395"/>
      <c r="AK1029" s="395"/>
      <c r="AL1029" s="395"/>
      <c r="AM1029" s="395"/>
      <c r="AN1029" s="395"/>
      <c r="AO1029" s="395"/>
    </row>
    <row r="1030">
      <c r="A1030" s="398"/>
      <c r="B1030" s="398"/>
      <c r="C1030" s="398"/>
      <c r="D1030" s="398"/>
      <c r="E1030" s="399"/>
      <c r="F1030" s="400"/>
      <c r="G1030" s="399"/>
      <c r="H1030" s="400"/>
      <c r="I1030" s="400"/>
      <c r="J1030" s="400"/>
      <c r="K1030" s="400"/>
      <c r="L1030" s="400"/>
      <c r="M1030" s="400"/>
      <c r="N1030" s="400"/>
      <c r="O1030" s="400"/>
      <c r="P1030" s="400"/>
      <c r="Q1030" s="400"/>
      <c r="R1030" s="398"/>
      <c r="S1030" s="401"/>
      <c r="T1030" s="401"/>
      <c r="U1030" s="398"/>
      <c r="V1030" s="398"/>
      <c r="W1030" s="398"/>
      <c r="X1030" s="398"/>
      <c r="Y1030" s="402"/>
      <c r="Z1030" s="403"/>
      <c r="AA1030" s="404"/>
      <c r="AB1030" s="405"/>
      <c r="AC1030" s="405"/>
      <c r="AD1030" s="406"/>
      <c r="AE1030" s="395"/>
      <c r="AF1030" s="395"/>
      <c r="AG1030" s="395"/>
      <c r="AH1030" s="395"/>
      <c r="AI1030" s="395"/>
      <c r="AJ1030" s="395"/>
      <c r="AK1030" s="395"/>
      <c r="AL1030" s="395"/>
      <c r="AM1030" s="395"/>
      <c r="AN1030" s="395"/>
      <c r="AO1030" s="395"/>
    </row>
    <row r="1031">
      <c r="A1031" s="398"/>
      <c r="B1031" s="398"/>
      <c r="C1031" s="398"/>
      <c r="D1031" s="398"/>
      <c r="E1031" s="399"/>
      <c r="F1031" s="400"/>
      <c r="G1031" s="399"/>
      <c r="H1031" s="400"/>
      <c r="I1031" s="400"/>
      <c r="J1031" s="400"/>
      <c r="K1031" s="400"/>
      <c r="L1031" s="400"/>
      <c r="M1031" s="400"/>
      <c r="N1031" s="400"/>
      <c r="O1031" s="400"/>
      <c r="P1031" s="400"/>
      <c r="Q1031" s="400"/>
      <c r="R1031" s="398"/>
      <c r="S1031" s="401"/>
      <c r="T1031" s="401"/>
      <c r="U1031" s="398"/>
      <c r="V1031" s="398"/>
      <c r="W1031" s="398"/>
      <c r="X1031" s="398"/>
      <c r="Y1031" s="402"/>
      <c r="Z1031" s="403"/>
      <c r="AA1031" s="404"/>
      <c r="AB1031" s="405"/>
      <c r="AC1031" s="405"/>
      <c r="AD1031" s="406"/>
      <c r="AE1031" s="395"/>
      <c r="AF1031" s="395"/>
      <c r="AG1031" s="395"/>
      <c r="AH1031" s="395"/>
      <c r="AI1031" s="395"/>
      <c r="AJ1031" s="395"/>
      <c r="AK1031" s="395"/>
      <c r="AL1031" s="395"/>
      <c r="AM1031" s="395"/>
      <c r="AN1031" s="395"/>
      <c r="AO1031" s="395"/>
    </row>
    <row r="1032">
      <c r="A1032" s="398"/>
      <c r="B1032" s="398"/>
      <c r="C1032" s="398"/>
      <c r="D1032" s="398"/>
      <c r="E1032" s="399"/>
      <c r="F1032" s="400"/>
      <c r="G1032" s="399"/>
      <c r="H1032" s="400"/>
      <c r="I1032" s="400"/>
      <c r="J1032" s="400"/>
      <c r="K1032" s="400"/>
      <c r="L1032" s="400"/>
      <c r="M1032" s="400"/>
      <c r="N1032" s="400"/>
      <c r="O1032" s="400"/>
      <c r="P1032" s="400"/>
      <c r="Q1032" s="400"/>
      <c r="R1032" s="398"/>
      <c r="S1032" s="401"/>
      <c r="T1032" s="401"/>
      <c r="U1032" s="398"/>
      <c r="V1032" s="398"/>
      <c r="W1032" s="398"/>
      <c r="X1032" s="398"/>
      <c r="Y1032" s="402"/>
      <c r="Z1032" s="403"/>
      <c r="AA1032" s="404"/>
      <c r="AB1032" s="405"/>
      <c r="AC1032" s="405"/>
      <c r="AD1032" s="406"/>
      <c r="AE1032" s="395"/>
      <c r="AF1032" s="395"/>
      <c r="AG1032" s="395"/>
      <c r="AH1032" s="395"/>
      <c r="AI1032" s="395"/>
      <c r="AJ1032" s="395"/>
      <c r="AK1032" s="395"/>
      <c r="AL1032" s="395"/>
      <c r="AM1032" s="395"/>
      <c r="AN1032" s="395"/>
      <c r="AO1032" s="395"/>
    </row>
    <row r="1033">
      <c r="A1033" s="398"/>
      <c r="B1033" s="398"/>
      <c r="C1033" s="398"/>
      <c r="D1033" s="398"/>
      <c r="E1033" s="399"/>
      <c r="F1033" s="400"/>
      <c r="G1033" s="399"/>
      <c r="H1033" s="400"/>
      <c r="I1033" s="400"/>
      <c r="J1033" s="400"/>
      <c r="K1033" s="400"/>
      <c r="L1033" s="400"/>
      <c r="M1033" s="400"/>
      <c r="N1033" s="400"/>
      <c r="O1033" s="400"/>
      <c r="P1033" s="400"/>
      <c r="Q1033" s="400"/>
      <c r="R1033" s="398"/>
      <c r="S1033" s="401"/>
      <c r="T1033" s="401"/>
      <c r="U1033" s="398"/>
      <c r="V1033" s="398"/>
      <c r="W1033" s="398"/>
      <c r="X1033" s="398"/>
      <c r="Y1033" s="402"/>
      <c r="Z1033" s="403"/>
      <c r="AA1033" s="404"/>
      <c r="AB1033" s="405"/>
      <c r="AC1033" s="405"/>
      <c r="AD1033" s="406"/>
      <c r="AE1033" s="395"/>
      <c r="AF1033" s="395"/>
      <c r="AG1033" s="395"/>
      <c r="AH1033" s="395"/>
      <c r="AI1033" s="395"/>
      <c r="AJ1033" s="395"/>
      <c r="AK1033" s="395"/>
      <c r="AL1033" s="395"/>
      <c r="AM1033" s="395"/>
      <c r="AN1033" s="395"/>
      <c r="AO1033" s="395"/>
    </row>
    <row r="1034">
      <c r="A1034" s="398"/>
      <c r="B1034" s="398"/>
      <c r="C1034" s="398"/>
      <c r="D1034" s="398"/>
      <c r="E1034" s="399"/>
      <c r="F1034" s="400"/>
      <c r="G1034" s="399"/>
      <c r="H1034" s="400"/>
      <c r="I1034" s="400"/>
      <c r="J1034" s="400"/>
      <c r="K1034" s="400"/>
      <c r="L1034" s="400"/>
      <c r="M1034" s="400"/>
      <c r="N1034" s="400"/>
      <c r="O1034" s="400"/>
      <c r="P1034" s="400"/>
      <c r="Q1034" s="400"/>
      <c r="R1034" s="398"/>
      <c r="S1034" s="401"/>
      <c r="T1034" s="401"/>
      <c r="U1034" s="398"/>
      <c r="V1034" s="398"/>
      <c r="W1034" s="398"/>
      <c r="X1034" s="398"/>
      <c r="Y1034" s="402"/>
      <c r="Z1034" s="403"/>
      <c r="AA1034" s="404"/>
      <c r="AB1034" s="405"/>
      <c r="AC1034" s="405"/>
      <c r="AD1034" s="406"/>
      <c r="AE1034" s="395"/>
      <c r="AF1034" s="395"/>
      <c r="AG1034" s="395"/>
      <c r="AH1034" s="395"/>
      <c r="AI1034" s="395"/>
      <c r="AJ1034" s="395"/>
      <c r="AK1034" s="395"/>
      <c r="AL1034" s="395"/>
      <c r="AM1034" s="395"/>
      <c r="AN1034" s="395"/>
      <c r="AO1034" s="395"/>
    </row>
    <row r="1035">
      <c r="A1035" s="398"/>
      <c r="B1035" s="398"/>
      <c r="C1035" s="398"/>
      <c r="D1035" s="398"/>
      <c r="E1035" s="399"/>
      <c r="F1035" s="400"/>
      <c r="G1035" s="399"/>
      <c r="H1035" s="400"/>
      <c r="I1035" s="400"/>
      <c r="J1035" s="400"/>
      <c r="K1035" s="400"/>
      <c r="L1035" s="400"/>
      <c r="M1035" s="400"/>
      <c r="N1035" s="400"/>
      <c r="O1035" s="400"/>
      <c r="P1035" s="400"/>
      <c r="Q1035" s="400"/>
      <c r="R1035" s="398"/>
      <c r="S1035" s="401"/>
      <c r="T1035" s="401"/>
      <c r="U1035" s="398"/>
      <c r="V1035" s="398"/>
      <c r="W1035" s="398"/>
      <c r="X1035" s="398"/>
      <c r="Y1035" s="402"/>
      <c r="Z1035" s="403"/>
      <c r="AA1035" s="404"/>
      <c r="AB1035" s="405"/>
      <c r="AC1035" s="405"/>
      <c r="AD1035" s="406"/>
      <c r="AE1035" s="395"/>
      <c r="AF1035" s="395"/>
      <c r="AG1035" s="395"/>
      <c r="AH1035" s="395"/>
      <c r="AI1035" s="395"/>
      <c r="AJ1035" s="395"/>
      <c r="AK1035" s="395"/>
      <c r="AL1035" s="395"/>
      <c r="AM1035" s="395"/>
      <c r="AN1035" s="395"/>
      <c r="AO1035" s="395"/>
    </row>
    <row r="1036">
      <c r="A1036" s="398"/>
      <c r="B1036" s="398"/>
      <c r="C1036" s="398"/>
      <c r="D1036" s="398"/>
      <c r="E1036" s="399"/>
      <c r="F1036" s="400"/>
      <c r="G1036" s="399"/>
      <c r="H1036" s="400"/>
      <c r="I1036" s="400"/>
      <c r="J1036" s="400"/>
      <c r="K1036" s="400"/>
      <c r="L1036" s="400"/>
      <c r="M1036" s="400"/>
      <c r="N1036" s="400"/>
      <c r="O1036" s="400"/>
      <c r="P1036" s="400"/>
      <c r="Q1036" s="400"/>
      <c r="R1036" s="398"/>
      <c r="S1036" s="401"/>
      <c r="T1036" s="401"/>
      <c r="U1036" s="398"/>
      <c r="V1036" s="398"/>
      <c r="W1036" s="398"/>
      <c r="X1036" s="398"/>
      <c r="Y1036" s="402"/>
      <c r="Z1036" s="403"/>
      <c r="AA1036" s="404"/>
      <c r="AB1036" s="405"/>
      <c r="AC1036" s="405"/>
      <c r="AD1036" s="406"/>
      <c r="AE1036" s="395"/>
      <c r="AF1036" s="395"/>
      <c r="AG1036" s="395"/>
      <c r="AH1036" s="395"/>
      <c r="AI1036" s="395"/>
      <c r="AJ1036" s="395"/>
      <c r="AK1036" s="395"/>
      <c r="AL1036" s="395"/>
      <c r="AM1036" s="395"/>
      <c r="AN1036" s="395"/>
      <c r="AO1036" s="395"/>
    </row>
    <row r="1037">
      <c r="A1037" s="398"/>
      <c r="B1037" s="398"/>
      <c r="C1037" s="398"/>
      <c r="D1037" s="398"/>
      <c r="E1037" s="399"/>
      <c r="F1037" s="400"/>
      <c r="G1037" s="399"/>
      <c r="H1037" s="400"/>
      <c r="I1037" s="400"/>
      <c r="J1037" s="400"/>
      <c r="K1037" s="400"/>
      <c r="L1037" s="400"/>
      <c r="M1037" s="400"/>
      <c r="N1037" s="400"/>
      <c r="O1037" s="400"/>
      <c r="P1037" s="400"/>
      <c r="Q1037" s="400"/>
      <c r="R1037" s="398"/>
      <c r="S1037" s="401"/>
      <c r="T1037" s="401"/>
      <c r="U1037" s="398"/>
      <c r="V1037" s="398"/>
      <c r="W1037" s="398"/>
      <c r="X1037" s="398"/>
      <c r="Y1037" s="402"/>
      <c r="Z1037" s="403"/>
      <c r="AA1037" s="404"/>
      <c r="AB1037" s="405"/>
      <c r="AC1037" s="405"/>
      <c r="AD1037" s="406"/>
      <c r="AE1037" s="395"/>
      <c r="AF1037" s="395"/>
      <c r="AG1037" s="395"/>
      <c r="AH1037" s="395"/>
      <c r="AI1037" s="395"/>
      <c r="AJ1037" s="395"/>
      <c r="AK1037" s="395"/>
      <c r="AL1037" s="395"/>
      <c r="AM1037" s="395"/>
      <c r="AN1037" s="395"/>
      <c r="AO1037" s="395"/>
    </row>
    <row r="1038">
      <c r="A1038" s="398"/>
      <c r="B1038" s="398"/>
      <c r="C1038" s="398"/>
      <c r="D1038" s="398"/>
      <c r="E1038" s="399"/>
      <c r="F1038" s="400"/>
      <c r="G1038" s="399"/>
      <c r="H1038" s="400"/>
      <c r="I1038" s="400"/>
      <c r="J1038" s="400"/>
      <c r="K1038" s="400"/>
      <c r="L1038" s="400"/>
      <c r="M1038" s="400"/>
      <c r="N1038" s="400"/>
      <c r="O1038" s="400"/>
      <c r="P1038" s="400"/>
      <c r="Q1038" s="400"/>
      <c r="R1038" s="398"/>
      <c r="S1038" s="401"/>
      <c r="T1038" s="401"/>
      <c r="U1038" s="398"/>
      <c r="V1038" s="398"/>
      <c r="W1038" s="398"/>
      <c r="X1038" s="398"/>
      <c r="Y1038" s="402"/>
      <c r="Z1038" s="403"/>
      <c r="AA1038" s="404"/>
      <c r="AB1038" s="405"/>
      <c r="AC1038" s="405"/>
      <c r="AD1038" s="406"/>
      <c r="AE1038" s="395"/>
      <c r="AF1038" s="395"/>
      <c r="AG1038" s="395"/>
      <c r="AH1038" s="395"/>
      <c r="AI1038" s="395"/>
      <c r="AJ1038" s="395"/>
      <c r="AK1038" s="395"/>
      <c r="AL1038" s="395"/>
      <c r="AM1038" s="395"/>
      <c r="AN1038" s="395"/>
      <c r="AO1038" s="395"/>
    </row>
    <row r="1039">
      <c r="A1039" s="398"/>
      <c r="B1039" s="398"/>
      <c r="C1039" s="398"/>
      <c r="D1039" s="398"/>
      <c r="E1039" s="399"/>
      <c r="F1039" s="400"/>
      <c r="G1039" s="399"/>
      <c r="H1039" s="400"/>
      <c r="I1039" s="400"/>
      <c r="J1039" s="400"/>
      <c r="K1039" s="400"/>
      <c r="L1039" s="400"/>
      <c r="M1039" s="400"/>
      <c r="N1039" s="400"/>
      <c r="O1039" s="400"/>
      <c r="P1039" s="400"/>
      <c r="Q1039" s="400"/>
      <c r="R1039" s="398"/>
      <c r="S1039" s="401"/>
      <c r="T1039" s="401"/>
      <c r="U1039" s="398"/>
      <c r="V1039" s="398"/>
      <c r="W1039" s="398"/>
      <c r="X1039" s="398"/>
      <c r="Y1039" s="402"/>
      <c r="Z1039" s="403"/>
      <c r="AA1039" s="404"/>
      <c r="AB1039" s="405"/>
      <c r="AC1039" s="405"/>
      <c r="AD1039" s="406"/>
      <c r="AE1039" s="395"/>
      <c r="AF1039" s="395"/>
      <c r="AG1039" s="395"/>
      <c r="AH1039" s="395"/>
      <c r="AI1039" s="395"/>
      <c r="AJ1039" s="395"/>
      <c r="AK1039" s="395"/>
      <c r="AL1039" s="395"/>
      <c r="AM1039" s="395"/>
      <c r="AN1039" s="395"/>
      <c r="AO1039" s="395"/>
    </row>
    <row r="1040">
      <c r="A1040" s="398"/>
      <c r="B1040" s="398"/>
      <c r="C1040" s="398"/>
      <c r="D1040" s="398"/>
      <c r="E1040" s="399"/>
      <c r="F1040" s="400"/>
      <c r="G1040" s="399"/>
      <c r="H1040" s="400"/>
      <c r="I1040" s="400"/>
      <c r="J1040" s="400"/>
      <c r="K1040" s="400"/>
      <c r="L1040" s="400"/>
      <c r="M1040" s="400"/>
      <c r="N1040" s="400"/>
      <c r="O1040" s="400"/>
      <c r="P1040" s="400"/>
      <c r="Q1040" s="400"/>
      <c r="R1040" s="398"/>
      <c r="S1040" s="401"/>
      <c r="T1040" s="401"/>
      <c r="U1040" s="398"/>
      <c r="V1040" s="398"/>
      <c r="W1040" s="398"/>
      <c r="X1040" s="398"/>
      <c r="Y1040" s="402"/>
      <c r="Z1040" s="403"/>
      <c r="AA1040" s="404"/>
      <c r="AB1040" s="405"/>
      <c r="AC1040" s="405"/>
      <c r="AD1040" s="406"/>
      <c r="AE1040" s="395"/>
      <c r="AF1040" s="395"/>
      <c r="AG1040" s="395"/>
      <c r="AH1040" s="395"/>
      <c r="AI1040" s="395"/>
      <c r="AJ1040" s="395"/>
      <c r="AK1040" s="395"/>
      <c r="AL1040" s="395"/>
      <c r="AM1040" s="395"/>
      <c r="AN1040" s="395"/>
      <c r="AO1040" s="395"/>
    </row>
    <row r="1041">
      <c r="A1041" s="398"/>
      <c r="B1041" s="398"/>
      <c r="C1041" s="398"/>
      <c r="D1041" s="398"/>
      <c r="E1041" s="399"/>
      <c r="F1041" s="400"/>
      <c r="G1041" s="399"/>
      <c r="H1041" s="400"/>
      <c r="I1041" s="400"/>
      <c r="J1041" s="400"/>
      <c r="K1041" s="400"/>
      <c r="L1041" s="400"/>
      <c r="M1041" s="400"/>
      <c r="N1041" s="400"/>
      <c r="O1041" s="400"/>
      <c r="P1041" s="400"/>
      <c r="Q1041" s="400"/>
      <c r="R1041" s="398"/>
      <c r="S1041" s="401"/>
      <c r="T1041" s="401"/>
      <c r="U1041" s="398"/>
      <c r="V1041" s="398"/>
      <c r="W1041" s="398"/>
      <c r="X1041" s="398"/>
      <c r="Y1041" s="402"/>
      <c r="Z1041" s="403"/>
      <c r="AA1041" s="404"/>
      <c r="AB1041" s="405"/>
      <c r="AC1041" s="405"/>
      <c r="AD1041" s="406"/>
      <c r="AE1041" s="395"/>
      <c r="AF1041" s="395"/>
      <c r="AG1041" s="395"/>
      <c r="AH1041" s="395"/>
      <c r="AI1041" s="395"/>
      <c r="AJ1041" s="395"/>
      <c r="AK1041" s="395"/>
      <c r="AL1041" s="395"/>
      <c r="AM1041" s="395"/>
      <c r="AN1041" s="395"/>
      <c r="AO1041" s="395"/>
    </row>
    <row r="1042">
      <c r="A1042" s="398"/>
      <c r="B1042" s="398"/>
      <c r="C1042" s="398"/>
      <c r="D1042" s="398"/>
      <c r="E1042" s="399"/>
      <c r="F1042" s="400"/>
      <c r="G1042" s="399"/>
      <c r="H1042" s="400"/>
      <c r="I1042" s="400"/>
      <c r="J1042" s="400"/>
      <c r="K1042" s="400"/>
      <c r="L1042" s="400"/>
      <c r="M1042" s="400"/>
      <c r="N1042" s="400"/>
      <c r="O1042" s="400"/>
      <c r="P1042" s="400"/>
      <c r="Q1042" s="400"/>
      <c r="R1042" s="398"/>
      <c r="S1042" s="401"/>
      <c r="T1042" s="401"/>
      <c r="U1042" s="398"/>
      <c r="V1042" s="398"/>
      <c r="W1042" s="398"/>
      <c r="X1042" s="398"/>
      <c r="Y1042" s="402"/>
      <c r="Z1042" s="403"/>
      <c r="AA1042" s="404"/>
      <c r="AB1042" s="405"/>
      <c r="AC1042" s="405"/>
      <c r="AD1042" s="406"/>
      <c r="AE1042" s="395"/>
      <c r="AF1042" s="395"/>
      <c r="AG1042" s="395"/>
      <c r="AH1042" s="395"/>
      <c r="AI1042" s="395"/>
      <c r="AJ1042" s="395"/>
      <c r="AK1042" s="395"/>
      <c r="AL1042" s="395"/>
      <c r="AM1042" s="395"/>
      <c r="AN1042" s="395"/>
      <c r="AO1042" s="395"/>
    </row>
    <row r="1043">
      <c r="A1043" s="398"/>
      <c r="B1043" s="398"/>
      <c r="C1043" s="398"/>
      <c r="D1043" s="398"/>
      <c r="E1043" s="399"/>
      <c r="F1043" s="400"/>
      <c r="G1043" s="399"/>
      <c r="H1043" s="400"/>
      <c r="I1043" s="400"/>
      <c r="J1043" s="400"/>
      <c r="K1043" s="400"/>
      <c r="L1043" s="400"/>
      <c r="M1043" s="400"/>
      <c r="N1043" s="400"/>
      <c r="O1043" s="400"/>
      <c r="P1043" s="400"/>
      <c r="Q1043" s="400"/>
      <c r="R1043" s="398"/>
      <c r="S1043" s="401"/>
      <c r="T1043" s="401"/>
      <c r="U1043" s="398"/>
      <c r="V1043" s="398"/>
      <c r="W1043" s="398"/>
      <c r="X1043" s="398"/>
      <c r="Y1043" s="402"/>
      <c r="Z1043" s="403"/>
      <c r="AA1043" s="404"/>
      <c r="AB1043" s="405"/>
      <c r="AC1043" s="405"/>
      <c r="AD1043" s="406"/>
      <c r="AE1043" s="395"/>
      <c r="AF1043" s="395"/>
      <c r="AG1043" s="395"/>
      <c r="AH1043" s="395"/>
      <c r="AI1043" s="395"/>
      <c r="AJ1043" s="395"/>
      <c r="AK1043" s="395"/>
      <c r="AL1043" s="395"/>
      <c r="AM1043" s="395"/>
      <c r="AN1043" s="395"/>
      <c r="AO1043" s="395"/>
    </row>
    <row r="1044">
      <c r="A1044" s="398"/>
      <c r="B1044" s="398"/>
      <c r="C1044" s="398"/>
      <c r="D1044" s="398"/>
      <c r="E1044" s="399"/>
      <c r="F1044" s="400"/>
      <c r="G1044" s="399"/>
      <c r="H1044" s="400"/>
      <c r="I1044" s="400"/>
      <c r="J1044" s="400"/>
      <c r="K1044" s="400"/>
      <c r="L1044" s="400"/>
      <c r="M1044" s="400"/>
      <c r="N1044" s="400"/>
      <c r="O1044" s="400"/>
      <c r="P1044" s="400"/>
      <c r="Q1044" s="400"/>
      <c r="R1044" s="398"/>
      <c r="S1044" s="401"/>
      <c r="T1044" s="401"/>
      <c r="U1044" s="398"/>
      <c r="V1044" s="398"/>
      <c r="W1044" s="398"/>
      <c r="X1044" s="398"/>
      <c r="Y1044" s="402"/>
      <c r="Z1044" s="403"/>
      <c r="AA1044" s="404"/>
      <c r="AB1044" s="405"/>
      <c r="AC1044" s="405"/>
      <c r="AD1044" s="406"/>
      <c r="AE1044" s="395"/>
      <c r="AF1044" s="395"/>
      <c r="AG1044" s="395"/>
      <c r="AH1044" s="395"/>
      <c r="AI1044" s="395"/>
      <c r="AJ1044" s="395"/>
      <c r="AK1044" s="395"/>
      <c r="AL1044" s="395"/>
      <c r="AM1044" s="395"/>
      <c r="AN1044" s="395"/>
      <c r="AO1044" s="395"/>
    </row>
    <row r="1045">
      <c r="A1045" s="398"/>
      <c r="B1045" s="398"/>
      <c r="C1045" s="398"/>
      <c r="D1045" s="398"/>
      <c r="E1045" s="399"/>
      <c r="F1045" s="400"/>
      <c r="G1045" s="399"/>
      <c r="H1045" s="400"/>
      <c r="I1045" s="400"/>
      <c r="J1045" s="400"/>
      <c r="K1045" s="400"/>
      <c r="L1045" s="400"/>
      <c r="M1045" s="400"/>
      <c r="N1045" s="400"/>
      <c r="O1045" s="400"/>
      <c r="P1045" s="400"/>
      <c r="Q1045" s="400"/>
      <c r="R1045" s="398"/>
      <c r="S1045" s="401"/>
      <c r="T1045" s="401"/>
      <c r="U1045" s="398"/>
      <c r="V1045" s="398"/>
      <c r="W1045" s="398"/>
      <c r="X1045" s="398"/>
      <c r="Y1045" s="402"/>
      <c r="Z1045" s="403"/>
      <c r="AA1045" s="404"/>
      <c r="AB1045" s="405"/>
      <c r="AC1045" s="405"/>
      <c r="AD1045" s="406"/>
      <c r="AE1045" s="395"/>
      <c r="AF1045" s="395"/>
      <c r="AG1045" s="395"/>
      <c r="AH1045" s="395"/>
      <c r="AI1045" s="395"/>
      <c r="AJ1045" s="395"/>
      <c r="AK1045" s="395"/>
      <c r="AL1045" s="395"/>
      <c r="AM1045" s="395"/>
      <c r="AN1045" s="395"/>
      <c r="AO1045" s="395"/>
    </row>
    <row r="1046">
      <c r="A1046" s="398"/>
      <c r="B1046" s="398"/>
      <c r="C1046" s="398"/>
      <c r="D1046" s="398"/>
      <c r="E1046" s="399"/>
      <c r="F1046" s="400"/>
      <c r="G1046" s="399"/>
      <c r="H1046" s="400"/>
      <c r="I1046" s="400"/>
      <c r="J1046" s="400"/>
      <c r="K1046" s="400"/>
      <c r="L1046" s="400"/>
      <c r="M1046" s="400"/>
      <c r="N1046" s="400"/>
      <c r="O1046" s="400"/>
      <c r="P1046" s="400"/>
      <c r="Q1046" s="400"/>
      <c r="R1046" s="398"/>
      <c r="S1046" s="401"/>
      <c r="T1046" s="401"/>
      <c r="U1046" s="398"/>
      <c r="V1046" s="398"/>
      <c r="W1046" s="398"/>
      <c r="X1046" s="398"/>
      <c r="Y1046" s="402"/>
      <c r="Z1046" s="403"/>
      <c r="AA1046" s="404"/>
      <c r="AB1046" s="405"/>
      <c r="AC1046" s="405"/>
      <c r="AD1046" s="406"/>
      <c r="AE1046" s="395"/>
      <c r="AF1046" s="395"/>
      <c r="AG1046" s="395"/>
      <c r="AH1046" s="395"/>
      <c r="AI1046" s="395"/>
      <c r="AJ1046" s="395"/>
      <c r="AK1046" s="395"/>
      <c r="AL1046" s="395"/>
      <c r="AM1046" s="395"/>
      <c r="AN1046" s="395"/>
      <c r="AO1046" s="395"/>
    </row>
    <row r="1047">
      <c r="A1047" s="398"/>
      <c r="B1047" s="398"/>
      <c r="C1047" s="398"/>
      <c r="D1047" s="398"/>
      <c r="E1047" s="399"/>
      <c r="F1047" s="400"/>
      <c r="G1047" s="399"/>
      <c r="H1047" s="400"/>
      <c r="I1047" s="400"/>
      <c r="J1047" s="400"/>
      <c r="K1047" s="400"/>
      <c r="L1047" s="400"/>
      <c r="M1047" s="400"/>
      <c r="N1047" s="400"/>
      <c r="O1047" s="400"/>
      <c r="P1047" s="400"/>
      <c r="Q1047" s="400"/>
      <c r="R1047" s="398"/>
      <c r="S1047" s="401"/>
      <c r="T1047" s="401"/>
      <c r="U1047" s="398"/>
      <c r="V1047" s="398"/>
      <c r="W1047" s="398"/>
      <c r="X1047" s="398"/>
      <c r="Y1047" s="402"/>
      <c r="Z1047" s="403"/>
      <c r="AA1047" s="404"/>
      <c r="AB1047" s="405"/>
      <c r="AC1047" s="405"/>
      <c r="AD1047" s="406"/>
      <c r="AE1047" s="395"/>
      <c r="AF1047" s="395"/>
      <c r="AG1047" s="395"/>
      <c r="AH1047" s="395"/>
      <c r="AI1047" s="395"/>
      <c r="AJ1047" s="395"/>
      <c r="AK1047" s="395"/>
      <c r="AL1047" s="395"/>
      <c r="AM1047" s="395"/>
      <c r="AN1047" s="395"/>
      <c r="AO1047" s="395"/>
    </row>
    <row r="1048">
      <c r="A1048" s="398"/>
      <c r="B1048" s="398"/>
      <c r="C1048" s="398"/>
      <c r="D1048" s="398"/>
      <c r="E1048" s="399"/>
      <c r="F1048" s="400"/>
      <c r="G1048" s="399"/>
      <c r="H1048" s="400"/>
      <c r="I1048" s="400"/>
      <c r="J1048" s="400"/>
      <c r="K1048" s="400"/>
      <c r="L1048" s="400"/>
      <c r="M1048" s="400"/>
      <c r="N1048" s="400"/>
      <c r="O1048" s="400"/>
      <c r="P1048" s="400"/>
      <c r="Q1048" s="400"/>
      <c r="R1048" s="398"/>
      <c r="S1048" s="401"/>
      <c r="T1048" s="401"/>
      <c r="U1048" s="398"/>
      <c r="V1048" s="398"/>
      <c r="W1048" s="398"/>
      <c r="X1048" s="398"/>
      <c r="Y1048" s="402"/>
      <c r="Z1048" s="403"/>
      <c r="AA1048" s="404"/>
      <c r="AB1048" s="405"/>
      <c r="AC1048" s="405"/>
      <c r="AD1048" s="406"/>
      <c r="AE1048" s="395"/>
      <c r="AF1048" s="395"/>
      <c r="AG1048" s="395"/>
      <c r="AH1048" s="395"/>
      <c r="AI1048" s="395"/>
      <c r="AJ1048" s="395"/>
      <c r="AK1048" s="395"/>
      <c r="AL1048" s="395"/>
      <c r="AM1048" s="395"/>
      <c r="AN1048" s="395"/>
      <c r="AO1048" s="395"/>
    </row>
    <row r="1049">
      <c r="A1049" s="398"/>
      <c r="B1049" s="398"/>
      <c r="C1049" s="398"/>
      <c r="D1049" s="398"/>
      <c r="E1049" s="399"/>
      <c r="F1049" s="400"/>
      <c r="G1049" s="399"/>
      <c r="H1049" s="400"/>
      <c r="I1049" s="400"/>
      <c r="J1049" s="400"/>
      <c r="K1049" s="400"/>
      <c r="L1049" s="400"/>
      <c r="M1049" s="400"/>
      <c r="N1049" s="400"/>
      <c r="O1049" s="400"/>
      <c r="P1049" s="400"/>
      <c r="Q1049" s="400"/>
      <c r="R1049" s="398"/>
      <c r="S1049" s="401"/>
      <c r="T1049" s="401"/>
      <c r="U1049" s="398"/>
      <c r="V1049" s="398"/>
      <c r="W1049" s="398"/>
      <c r="X1049" s="398"/>
      <c r="Y1049" s="402"/>
      <c r="Z1049" s="403"/>
      <c r="AA1049" s="404"/>
      <c r="AB1049" s="405"/>
      <c r="AC1049" s="405"/>
      <c r="AD1049" s="406"/>
      <c r="AE1049" s="395"/>
      <c r="AF1049" s="395"/>
      <c r="AG1049" s="395"/>
      <c r="AH1049" s="395"/>
      <c r="AI1049" s="395"/>
      <c r="AJ1049" s="395"/>
      <c r="AK1049" s="395"/>
      <c r="AL1049" s="395"/>
      <c r="AM1049" s="395"/>
      <c r="AN1049" s="395"/>
      <c r="AO1049" s="395"/>
    </row>
    <row r="1050">
      <c r="A1050" s="398"/>
      <c r="B1050" s="398"/>
      <c r="C1050" s="398"/>
      <c r="D1050" s="398"/>
      <c r="E1050" s="399"/>
      <c r="F1050" s="400"/>
      <c r="G1050" s="399"/>
      <c r="H1050" s="400"/>
      <c r="I1050" s="400"/>
      <c r="J1050" s="400"/>
      <c r="K1050" s="400"/>
      <c r="L1050" s="400"/>
      <c r="M1050" s="400"/>
      <c r="N1050" s="400"/>
      <c r="O1050" s="400"/>
      <c r="P1050" s="400"/>
      <c r="Q1050" s="400"/>
      <c r="R1050" s="398"/>
      <c r="S1050" s="401"/>
      <c r="T1050" s="401"/>
      <c r="U1050" s="398"/>
      <c r="V1050" s="398"/>
      <c r="W1050" s="398"/>
      <c r="X1050" s="398"/>
      <c r="Y1050" s="402"/>
      <c r="Z1050" s="403"/>
      <c r="AA1050" s="404"/>
      <c r="AB1050" s="405"/>
      <c r="AC1050" s="405"/>
      <c r="AD1050" s="406"/>
      <c r="AE1050" s="395"/>
      <c r="AF1050" s="395"/>
      <c r="AG1050" s="395"/>
      <c r="AH1050" s="395"/>
      <c r="AI1050" s="395"/>
      <c r="AJ1050" s="395"/>
      <c r="AK1050" s="395"/>
      <c r="AL1050" s="395"/>
      <c r="AM1050" s="395"/>
      <c r="AN1050" s="395"/>
      <c r="AO1050" s="395"/>
    </row>
    <row r="1051">
      <c r="A1051" s="398"/>
      <c r="B1051" s="398"/>
      <c r="C1051" s="398"/>
      <c r="D1051" s="398"/>
      <c r="E1051" s="399"/>
      <c r="F1051" s="400"/>
      <c r="G1051" s="399"/>
      <c r="H1051" s="400"/>
      <c r="I1051" s="400"/>
      <c r="J1051" s="400"/>
      <c r="K1051" s="400"/>
      <c r="L1051" s="400"/>
      <c r="M1051" s="400"/>
      <c r="N1051" s="400"/>
      <c r="O1051" s="400"/>
      <c r="P1051" s="400"/>
      <c r="Q1051" s="400"/>
      <c r="R1051" s="398"/>
      <c r="S1051" s="401"/>
      <c r="T1051" s="401"/>
      <c r="U1051" s="398"/>
      <c r="V1051" s="398"/>
      <c r="W1051" s="398"/>
      <c r="X1051" s="398"/>
      <c r="Y1051" s="402"/>
      <c r="Z1051" s="403"/>
      <c r="AA1051" s="404"/>
      <c r="AB1051" s="405"/>
      <c r="AC1051" s="405"/>
      <c r="AD1051" s="406"/>
      <c r="AE1051" s="395"/>
      <c r="AF1051" s="395"/>
      <c r="AG1051" s="395"/>
      <c r="AH1051" s="395"/>
      <c r="AI1051" s="395"/>
      <c r="AJ1051" s="395"/>
      <c r="AK1051" s="395"/>
      <c r="AL1051" s="395"/>
      <c r="AM1051" s="395"/>
      <c r="AN1051" s="395"/>
      <c r="AO1051" s="395"/>
    </row>
    <row r="1052">
      <c r="A1052" s="398"/>
      <c r="B1052" s="398"/>
      <c r="C1052" s="398"/>
      <c r="D1052" s="398"/>
      <c r="E1052" s="399"/>
      <c r="F1052" s="400"/>
      <c r="G1052" s="399"/>
      <c r="H1052" s="400"/>
      <c r="I1052" s="400"/>
      <c r="J1052" s="400"/>
      <c r="K1052" s="400"/>
      <c r="L1052" s="400"/>
      <c r="M1052" s="400"/>
      <c r="N1052" s="400"/>
      <c r="O1052" s="400"/>
      <c r="P1052" s="400"/>
      <c r="Q1052" s="400"/>
      <c r="R1052" s="398"/>
      <c r="S1052" s="401"/>
      <c r="T1052" s="401"/>
      <c r="U1052" s="398"/>
      <c r="V1052" s="398"/>
      <c r="W1052" s="398"/>
      <c r="X1052" s="398"/>
      <c r="Y1052" s="402"/>
      <c r="Z1052" s="403"/>
      <c r="AA1052" s="404"/>
      <c r="AB1052" s="405"/>
      <c r="AC1052" s="405"/>
      <c r="AD1052" s="406"/>
      <c r="AE1052" s="395"/>
      <c r="AF1052" s="395"/>
      <c r="AG1052" s="395"/>
      <c r="AH1052" s="395"/>
      <c r="AI1052" s="395"/>
      <c r="AJ1052" s="395"/>
      <c r="AK1052" s="395"/>
      <c r="AL1052" s="395"/>
      <c r="AM1052" s="395"/>
      <c r="AN1052" s="395"/>
      <c r="AO1052" s="395"/>
    </row>
    <row r="1053">
      <c r="A1053" s="398"/>
      <c r="B1053" s="398"/>
      <c r="C1053" s="398"/>
      <c r="D1053" s="398"/>
      <c r="E1053" s="399"/>
      <c r="F1053" s="400"/>
      <c r="G1053" s="399"/>
      <c r="H1053" s="400"/>
      <c r="I1053" s="400"/>
      <c r="J1053" s="400"/>
      <c r="K1053" s="400"/>
      <c r="L1053" s="400"/>
      <c r="M1053" s="400"/>
      <c r="N1053" s="400"/>
      <c r="O1053" s="400"/>
      <c r="P1053" s="400"/>
      <c r="Q1053" s="400"/>
      <c r="R1053" s="398"/>
      <c r="S1053" s="401"/>
      <c r="T1053" s="401"/>
      <c r="U1053" s="398"/>
      <c r="V1053" s="398"/>
      <c r="W1053" s="398"/>
      <c r="X1053" s="398"/>
      <c r="Y1053" s="402"/>
      <c r="Z1053" s="403"/>
      <c r="AA1053" s="404"/>
      <c r="AB1053" s="405"/>
      <c r="AC1053" s="405"/>
      <c r="AD1053" s="406"/>
      <c r="AE1053" s="395"/>
      <c r="AF1053" s="395"/>
      <c r="AG1053" s="395"/>
      <c r="AH1053" s="395"/>
      <c r="AI1053" s="395"/>
      <c r="AJ1053" s="395"/>
      <c r="AK1053" s="395"/>
      <c r="AL1053" s="395"/>
      <c r="AM1053" s="395"/>
      <c r="AN1053" s="395"/>
      <c r="AO1053" s="395"/>
    </row>
    <row r="1054">
      <c r="A1054" s="398"/>
      <c r="B1054" s="398"/>
      <c r="C1054" s="398"/>
      <c r="D1054" s="398"/>
      <c r="E1054" s="399"/>
      <c r="F1054" s="400"/>
      <c r="G1054" s="399"/>
      <c r="H1054" s="400"/>
      <c r="I1054" s="400"/>
      <c r="J1054" s="400"/>
      <c r="K1054" s="400"/>
      <c r="L1054" s="400"/>
      <c r="M1054" s="400"/>
      <c r="N1054" s="400"/>
      <c r="O1054" s="400"/>
      <c r="P1054" s="400"/>
      <c r="Q1054" s="400"/>
      <c r="R1054" s="398"/>
      <c r="S1054" s="401"/>
      <c r="T1054" s="401"/>
      <c r="U1054" s="398"/>
      <c r="V1054" s="398"/>
      <c r="W1054" s="398"/>
      <c r="X1054" s="398"/>
      <c r="Y1054" s="402"/>
      <c r="Z1054" s="403"/>
      <c r="AA1054" s="404"/>
      <c r="AB1054" s="405"/>
      <c r="AC1054" s="405"/>
      <c r="AD1054" s="406"/>
      <c r="AE1054" s="395"/>
      <c r="AF1054" s="395"/>
      <c r="AG1054" s="395"/>
      <c r="AH1054" s="395"/>
      <c r="AI1054" s="395"/>
      <c r="AJ1054" s="395"/>
      <c r="AK1054" s="395"/>
      <c r="AL1054" s="395"/>
      <c r="AM1054" s="395"/>
      <c r="AN1054" s="395"/>
      <c r="AO1054" s="395"/>
    </row>
    <row r="1055">
      <c r="A1055" s="398"/>
      <c r="B1055" s="398"/>
      <c r="C1055" s="398"/>
      <c r="D1055" s="398"/>
      <c r="E1055" s="399"/>
      <c r="F1055" s="400"/>
      <c r="G1055" s="399"/>
      <c r="H1055" s="400"/>
      <c r="I1055" s="400"/>
      <c r="J1055" s="400"/>
      <c r="K1055" s="400"/>
      <c r="L1055" s="400"/>
      <c r="M1055" s="400"/>
      <c r="N1055" s="400"/>
      <c r="O1055" s="400"/>
      <c r="P1055" s="400"/>
      <c r="Q1055" s="400"/>
      <c r="R1055" s="398"/>
      <c r="S1055" s="401"/>
      <c r="T1055" s="401"/>
      <c r="U1055" s="398"/>
      <c r="V1055" s="398"/>
      <c r="W1055" s="398"/>
      <c r="X1055" s="398"/>
      <c r="Y1055" s="402"/>
      <c r="Z1055" s="403"/>
      <c r="AA1055" s="404"/>
      <c r="AB1055" s="405"/>
      <c r="AC1055" s="405"/>
      <c r="AD1055" s="406"/>
      <c r="AE1055" s="395"/>
      <c r="AF1055" s="395"/>
      <c r="AG1055" s="395"/>
      <c r="AH1055" s="395"/>
      <c r="AI1055" s="395"/>
      <c r="AJ1055" s="395"/>
      <c r="AK1055" s="395"/>
      <c r="AL1055" s="395"/>
      <c r="AM1055" s="395"/>
      <c r="AN1055" s="395"/>
      <c r="AO1055" s="395"/>
    </row>
    <row r="1056">
      <c r="A1056" s="398"/>
      <c r="B1056" s="398"/>
      <c r="C1056" s="398"/>
      <c r="D1056" s="398"/>
      <c r="E1056" s="399"/>
      <c r="F1056" s="400"/>
      <c r="G1056" s="399"/>
      <c r="H1056" s="400"/>
      <c r="I1056" s="400"/>
      <c r="J1056" s="400"/>
      <c r="K1056" s="400"/>
      <c r="L1056" s="400"/>
      <c r="M1056" s="400"/>
      <c r="N1056" s="400"/>
      <c r="O1056" s="400"/>
      <c r="P1056" s="400"/>
      <c r="Q1056" s="400"/>
      <c r="R1056" s="398"/>
      <c r="S1056" s="401"/>
      <c r="T1056" s="401"/>
      <c r="U1056" s="398"/>
      <c r="V1056" s="398"/>
      <c r="W1056" s="398"/>
      <c r="X1056" s="398"/>
      <c r="Y1056" s="402"/>
      <c r="Z1056" s="403"/>
      <c r="AA1056" s="404"/>
      <c r="AB1056" s="405"/>
      <c r="AC1056" s="405"/>
      <c r="AD1056" s="406"/>
      <c r="AE1056" s="395"/>
      <c r="AF1056" s="395"/>
      <c r="AG1056" s="395"/>
      <c r="AH1056" s="395"/>
      <c r="AI1056" s="395"/>
      <c r="AJ1056" s="395"/>
      <c r="AK1056" s="395"/>
      <c r="AL1056" s="395"/>
      <c r="AM1056" s="395"/>
      <c r="AN1056" s="395"/>
      <c r="AO1056" s="395"/>
    </row>
    <row r="1057">
      <c r="A1057" s="398"/>
      <c r="B1057" s="398"/>
      <c r="C1057" s="398"/>
      <c r="D1057" s="398"/>
      <c r="E1057" s="399"/>
      <c r="F1057" s="400"/>
      <c r="G1057" s="399"/>
      <c r="H1057" s="400"/>
      <c r="I1057" s="400"/>
      <c r="J1057" s="400"/>
      <c r="K1057" s="400"/>
      <c r="L1057" s="400"/>
      <c r="M1057" s="400"/>
      <c r="N1057" s="400"/>
      <c r="O1057" s="400"/>
      <c r="P1057" s="400"/>
      <c r="Q1057" s="400"/>
      <c r="R1057" s="398"/>
      <c r="S1057" s="401"/>
      <c r="T1057" s="401"/>
      <c r="U1057" s="398"/>
      <c r="V1057" s="398"/>
      <c r="W1057" s="398"/>
      <c r="X1057" s="398"/>
      <c r="Y1057" s="402"/>
      <c r="Z1057" s="403"/>
      <c r="AA1057" s="404"/>
      <c r="AB1057" s="405"/>
      <c r="AC1057" s="405"/>
      <c r="AD1057" s="406"/>
      <c r="AE1057" s="395"/>
      <c r="AF1057" s="395"/>
      <c r="AG1057" s="395"/>
      <c r="AH1057" s="395"/>
      <c r="AI1057" s="395"/>
      <c r="AJ1057" s="395"/>
      <c r="AK1057" s="395"/>
      <c r="AL1057" s="395"/>
      <c r="AM1057" s="395"/>
      <c r="AN1057" s="395"/>
      <c r="AO1057" s="395"/>
    </row>
    <row r="1058">
      <c r="A1058" s="398"/>
      <c r="B1058" s="398"/>
      <c r="C1058" s="398"/>
      <c r="D1058" s="398"/>
      <c r="E1058" s="399"/>
      <c r="F1058" s="400"/>
      <c r="G1058" s="399"/>
      <c r="H1058" s="400"/>
      <c r="I1058" s="400"/>
      <c r="J1058" s="400"/>
      <c r="K1058" s="400"/>
      <c r="L1058" s="400"/>
      <c r="M1058" s="400"/>
      <c r="N1058" s="400"/>
      <c r="O1058" s="400"/>
      <c r="P1058" s="400"/>
      <c r="Q1058" s="400"/>
      <c r="R1058" s="398"/>
      <c r="S1058" s="401"/>
      <c r="T1058" s="401"/>
      <c r="U1058" s="398"/>
      <c r="V1058" s="398"/>
      <c r="W1058" s="398"/>
      <c r="X1058" s="398"/>
      <c r="Y1058" s="402"/>
      <c r="Z1058" s="403"/>
      <c r="AA1058" s="404"/>
      <c r="AB1058" s="405"/>
      <c r="AC1058" s="405"/>
      <c r="AD1058" s="406"/>
      <c r="AE1058" s="395"/>
      <c r="AF1058" s="395"/>
      <c r="AG1058" s="395"/>
      <c r="AH1058" s="395"/>
      <c r="AI1058" s="395"/>
      <c r="AJ1058" s="395"/>
      <c r="AK1058" s="395"/>
      <c r="AL1058" s="395"/>
      <c r="AM1058" s="395"/>
      <c r="AN1058" s="395"/>
      <c r="AO1058" s="395"/>
    </row>
    <row r="1059">
      <c r="A1059" s="398"/>
      <c r="B1059" s="398"/>
      <c r="C1059" s="398"/>
      <c r="D1059" s="398"/>
      <c r="E1059" s="399"/>
      <c r="F1059" s="400"/>
      <c r="G1059" s="399"/>
      <c r="H1059" s="400"/>
      <c r="I1059" s="400"/>
      <c r="J1059" s="400"/>
      <c r="K1059" s="400"/>
      <c r="L1059" s="400"/>
      <c r="M1059" s="400"/>
      <c r="N1059" s="400"/>
      <c r="O1059" s="400"/>
      <c r="P1059" s="400"/>
      <c r="Q1059" s="400"/>
      <c r="R1059" s="398"/>
      <c r="S1059" s="401"/>
      <c r="T1059" s="401"/>
      <c r="U1059" s="398"/>
      <c r="V1059" s="398"/>
      <c r="W1059" s="398"/>
      <c r="X1059" s="398"/>
      <c r="Y1059" s="402"/>
      <c r="Z1059" s="403"/>
      <c r="AA1059" s="404"/>
      <c r="AB1059" s="405"/>
      <c r="AC1059" s="405"/>
      <c r="AD1059" s="406"/>
      <c r="AE1059" s="395"/>
      <c r="AF1059" s="395"/>
      <c r="AG1059" s="395"/>
      <c r="AH1059" s="395"/>
      <c r="AI1059" s="395"/>
      <c r="AJ1059" s="395"/>
      <c r="AK1059" s="395"/>
      <c r="AL1059" s="395"/>
      <c r="AM1059" s="395"/>
      <c r="AN1059" s="395"/>
      <c r="AO1059" s="395"/>
    </row>
    <row r="1060">
      <c r="A1060" s="398"/>
      <c r="B1060" s="398"/>
      <c r="C1060" s="398"/>
      <c r="D1060" s="398"/>
      <c r="E1060" s="399"/>
      <c r="F1060" s="400"/>
      <c r="G1060" s="399"/>
      <c r="H1060" s="400"/>
      <c r="I1060" s="400"/>
      <c r="J1060" s="400"/>
      <c r="K1060" s="400"/>
      <c r="L1060" s="400"/>
      <c r="M1060" s="400"/>
      <c r="N1060" s="400"/>
      <c r="O1060" s="400"/>
      <c r="P1060" s="400"/>
      <c r="Q1060" s="400"/>
      <c r="R1060" s="398"/>
      <c r="S1060" s="401"/>
      <c r="T1060" s="401"/>
      <c r="U1060" s="398"/>
      <c r="V1060" s="398"/>
      <c r="W1060" s="398"/>
      <c r="X1060" s="398"/>
      <c r="Y1060" s="402"/>
      <c r="Z1060" s="403"/>
      <c r="AA1060" s="404"/>
      <c r="AB1060" s="405"/>
      <c r="AC1060" s="405"/>
      <c r="AD1060" s="406"/>
      <c r="AE1060" s="395"/>
      <c r="AF1060" s="395"/>
      <c r="AG1060" s="395"/>
      <c r="AH1060" s="395"/>
      <c r="AI1060" s="395"/>
      <c r="AJ1060" s="395"/>
      <c r="AK1060" s="395"/>
      <c r="AL1060" s="395"/>
      <c r="AM1060" s="395"/>
      <c r="AN1060" s="395"/>
      <c r="AO1060" s="395"/>
    </row>
    <row r="1061">
      <c r="A1061" s="398"/>
      <c r="B1061" s="398"/>
      <c r="C1061" s="398"/>
      <c r="D1061" s="398"/>
      <c r="E1061" s="399"/>
      <c r="F1061" s="400"/>
      <c r="G1061" s="399"/>
      <c r="H1061" s="400"/>
      <c r="I1061" s="400"/>
      <c r="J1061" s="400"/>
      <c r="K1061" s="400"/>
      <c r="L1061" s="400"/>
      <c r="M1061" s="400"/>
      <c r="N1061" s="400"/>
      <c r="O1061" s="400"/>
      <c r="P1061" s="400"/>
      <c r="Q1061" s="400"/>
      <c r="R1061" s="398"/>
      <c r="S1061" s="401"/>
      <c r="T1061" s="401"/>
      <c r="U1061" s="398"/>
      <c r="V1061" s="398"/>
      <c r="W1061" s="398"/>
      <c r="X1061" s="398"/>
      <c r="Y1061" s="402"/>
      <c r="Z1061" s="403"/>
      <c r="AA1061" s="404"/>
      <c r="AB1061" s="405"/>
      <c r="AC1061" s="405"/>
      <c r="AD1061" s="406"/>
      <c r="AE1061" s="395"/>
      <c r="AF1061" s="395"/>
      <c r="AG1061" s="395"/>
      <c r="AH1061" s="395"/>
      <c r="AI1061" s="395"/>
      <c r="AJ1061" s="395"/>
      <c r="AK1061" s="395"/>
      <c r="AL1061" s="395"/>
      <c r="AM1061" s="395"/>
      <c r="AN1061" s="395"/>
      <c r="AO1061" s="395"/>
    </row>
    <row r="1062">
      <c r="A1062" s="398"/>
      <c r="B1062" s="398"/>
      <c r="C1062" s="398"/>
      <c r="D1062" s="398"/>
      <c r="E1062" s="399"/>
      <c r="F1062" s="400"/>
      <c r="G1062" s="399"/>
      <c r="H1062" s="400"/>
      <c r="I1062" s="400"/>
      <c r="J1062" s="400"/>
      <c r="K1062" s="400"/>
      <c r="L1062" s="400"/>
      <c r="M1062" s="400"/>
      <c r="N1062" s="400"/>
      <c r="O1062" s="400"/>
      <c r="P1062" s="400"/>
      <c r="Q1062" s="400"/>
      <c r="R1062" s="398"/>
      <c r="S1062" s="401"/>
      <c r="T1062" s="401"/>
      <c r="U1062" s="398"/>
      <c r="V1062" s="398"/>
      <c r="W1062" s="398"/>
      <c r="X1062" s="398"/>
      <c r="Y1062" s="402"/>
      <c r="Z1062" s="403"/>
      <c r="AA1062" s="404"/>
      <c r="AB1062" s="405"/>
      <c r="AC1062" s="405"/>
      <c r="AD1062" s="406"/>
      <c r="AE1062" s="395"/>
      <c r="AF1062" s="395"/>
      <c r="AG1062" s="395"/>
      <c r="AH1062" s="395"/>
      <c r="AI1062" s="395"/>
      <c r="AJ1062" s="395"/>
      <c r="AK1062" s="395"/>
      <c r="AL1062" s="395"/>
      <c r="AM1062" s="395"/>
      <c r="AN1062" s="395"/>
      <c r="AO1062" s="395"/>
    </row>
    <row r="1063">
      <c r="A1063" s="398"/>
      <c r="B1063" s="398"/>
      <c r="C1063" s="398"/>
      <c r="D1063" s="398"/>
      <c r="E1063" s="399"/>
      <c r="F1063" s="400"/>
      <c r="G1063" s="399"/>
      <c r="H1063" s="400"/>
      <c r="I1063" s="400"/>
      <c r="J1063" s="400"/>
      <c r="K1063" s="400"/>
      <c r="L1063" s="400"/>
      <c r="M1063" s="400"/>
      <c r="N1063" s="400"/>
      <c r="O1063" s="400"/>
      <c r="P1063" s="400"/>
      <c r="Q1063" s="400"/>
      <c r="R1063" s="398"/>
      <c r="S1063" s="401"/>
      <c r="T1063" s="401"/>
      <c r="U1063" s="398"/>
      <c r="V1063" s="398"/>
      <c r="W1063" s="398"/>
      <c r="X1063" s="398"/>
      <c r="Y1063" s="402"/>
      <c r="Z1063" s="403"/>
      <c r="AA1063" s="404"/>
      <c r="AB1063" s="405"/>
      <c r="AC1063" s="405"/>
      <c r="AD1063" s="406"/>
      <c r="AE1063" s="395"/>
      <c r="AF1063" s="395"/>
      <c r="AG1063" s="395"/>
      <c r="AH1063" s="395"/>
      <c r="AI1063" s="395"/>
      <c r="AJ1063" s="395"/>
      <c r="AK1063" s="395"/>
      <c r="AL1063" s="395"/>
      <c r="AM1063" s="395"/>
      <c r="AN1063" s="395"/>
      <c r="AO1063" s="395"/>
    </row>
    <row r="1064">
      <c r="A1064" s="398"/>
      <c r="B1064" s="398"/>
      <c r="C1064" s="398"/>
      <c r="D1064" s="398"/>
      <c r="E1064" s="399"/>
      <c r="F1064" s="400"/>
      <c r="G1064" s="399"/>
      <c r="H1064" s="400"/>
      <c r="I1064" s="400"/>
      <c r="J1064" s="400"/>
      <c r="K1064" s="400"/>
      <c r="L1064" s="400"/>
      <c r="M1064" s="400"/>
      <c r="N1064" s="400"/>
      <c r="O1064" s="400"/>
      <c r="P1064" s="400"/>
      <c r="Q1064" s="400"/>
      <c r="R1064" s="398"/>
      <c r="S1064" s="401"/>
      <c r="T1064" s="401"/>
      <c r="U1064" s="398"/>
      <c r="V1064" s="398"/>
      <c r="W1064" s="398"/>
      <c r="X1064" s="398"/>
      <c r="Y1064" s="402"/>
      <c r="Z1064" s="403"/>
      <c r="AA1064" s="404"/>
      <c r="AB1064" s="405"/>
      <c r="AC1064" s="405"/>
      <c r="AD1064" s="406"/>
      <c r="AE1064" s="395"/>
      <c r="AF1064" s="395"/>
      <c r="AG1064" s="395"/>
      <c r="AH1064" s="395"/>
      <c r="AI1064" s="395"/>
      <c r="AJ1064" s="395"/>
      <c r="AK1064" s="395"/>
      <c r="AL1064" s="395"/>
      <c r="AM1064" s="395"/>
      <c r="AN1064" s="395"/>
      <c r="AO1064" s="395"/>
    </row>
    <row r="1065">
      <c r="A1065" s="398"/>
      <c r="B1065" s="398"/>
      <c r="C1065" s="398"/>
      <c r="D1065" s="398"/>
      <c r="E1065" s="399"/>
      <c r="F1065" s="400"/>
      <c r="G1065" s="399"/>
      <c r="H1065" s="400"/>
      <c r="I1065" s="400"/>
      <c r="J1065" s="400"/>
      <c r="K1065" s="400"/>
      <c r="L1065" s="400"/>
      <c r="M1065" s="400"/>
      <c r="N1065" s="400"/>
      <c r="O1065" s="400"/>
      <c r="P1065" s="400"/>
      <c r="Q1065" s="400"/>
      <c r="R1065" s="398"/>
      <c r="S1065" s="401"/>
      <c r="T1065" s="401"/>
      <c r="U1065" s="398"/>
      <c r="V1065" s="398"/>
      <c r="W1065" s="398"/>
      <c r="X1065" s="398"/>
      <c r="Y1065" s="402"/>
      <c r="Z1065" s="403"/>
      <c r="AA1065" s="404"/>
      <c r="AB1065" s="405"/>
      <c r="AC1065" s="405"/>
      <c r="AD1065" s="406"/>
      <c r="AE1065" s="395"/>
      <c r="AF1065" s="395"/>
      <c r="AG1065" s="395"/>
      <c r="AH1065" s="395"/>
      <c r="AI1065" s="395"/>
      <c r="AJ1065" s="395"/>
      <c r="AK1065" s="395"/>
      <c r="AL1065" s="395"/>
      <c r="AM1065" s="395"/>
      <c r="AN1065" s="395"/>
      <c r="AO1065" s="395"/>
    </row>
    <row r="1066">
      <c r="A1066" s="398"/>
      <c r="B1066" s="398"/>
      <c r="C1066" s="398"/>
      <c r="D1066" s="398"/>
      <c r="E1066" s="399"/>
      <c r="F1066" s="400"/>
      <c r="G1066" s="399"/>
      <c r="H1066" s="400"/>
      <c r="I1066" s="400"/>
      <c r="J1066" s="400"/>
      <c r="K1066" s="400"/>
      <c r="L1066" s="400"/>
      <c r="M1066" s="400"/>
      <c r="N1066" s="400"/>
      <c r="O1066" s="400"/>
      <c r="P1066" s="400"/>
      <c r="Q1066" s="400"/>
      <c r="R1066" s="398"/>
      <c r="S1066" s="401"/>
      <c r="T1066" s="401"/>
      <c r="U1066" s="398"/>
      <c r="V1066" s="398"/>
      <c r="W1066" s="398"/>
      <c r="X1066" s="398"/>
      <c r="Y1066" s="402"/>
      <c r="Z1066" s="403"/>
      <c r="AA1066" s="404"/>
      <c r="AB1066" s="405"/>
      <c r="AC1066" s="405"/>
      <c r="AD1066" s="406"/>
      <c r="AE1066" s="395"/>
      <c r="AF1066" s="395"/>
      <c r="AG1066" s="395"/>
      <c r="AH1066" s="395"/>
      <c r="AI1066" s="395"/>
      <c r="AJ1066" s="395"/>
      <c r="AK1066" s="395"/>
      <c r="AL1066" s="395"/>
      <c r="AM1066" s="395"/>
      <c r="AN1066" s="395"/>
      <c r="AO1066" s="395"/>
    </row>
    <row r="1067">
      <c r="A1067" s="398"/>
      <c r="B1067" s="398"/>
      <c r="C1067" s="398"/>
      <c r="D1067" s="398"/>
      <c r="E1067" s="399"/>
      <c r="F1067" s="400"/>
      <c r="G1067" s="399"/>
      <c r="H1067" s="400"/>
      <c r="I1067" s="400"/>
      <c r="J1067" s="400"/>
      <c r="K1067" s="400"/>
      <c r="L1067" s="400"/>
      <c r="M1067" s="400"/>
      <c r="N1067" s="400"/>
      <c r="O1067" s="400"/>
      <c r="P1067" s="400"/>
      <c r="Q1067" s="400"/>
      <c r="R1067" s="398"/>
      <c r="S1067" s="401"/>
      <c r="T1067" s="401"/>
      <c r="U1067" s="398"/>
      <c r="V1067" s="398"/>
      <c r="W1067" s="398"/>
      <c r="X1067" s="398"/>
      <c r="Y1067" s="402"/>
      <c r="Z1067" s="403"/>
      <c r="AA1067" s="404"/>
      <c r="AB1067" s="405"/>
      <c r="AC1067" s="405"/>
      <c r="AD1067" s="406"/>
      <c r="AE1067" s="395"/>
      <c r="AF1067" s="395"/>
      <c r="AG1067" s="395"/>
      <c r="AH1067" s="395"/>
      <c r="AI1067" s="395"/>
      <c r="AJ1067" s="395"/>
      <c r="AK1067" s="395"/>
      <c r="AL1067" s="395"/>
      <c r="AM1067" s="395"/>
      <c r="AN1067" s="395"/>
      <c r="AO1067" s="395"/>
    </row>
    <row r="1068">
      <c r="A1068" s="398"/>
      <c r="B1068" s="398"/>
      <c r="C1068" s="398"/>
      <c r="D1068" s="398"/>
      <c r="E1068" s="399"/>
      <c r="F1068" s="400"/>
      <c r="G1068" s="399"/>
      <c r="H1068" s="400"/>
      <c r="I1068" s="400"/>
      <c r="J1068" s="400"/>
      <c r="K1068" s="400"/>
      <c r="L1068" s="400"/>
      <c r="M1068" s="400"/>
      <c r="N1068" s="400"/>
      <c r="O1068" s="400"/>
      <c r="P1068" s="400"/>
      <c r="Q1068" s="400"/>
      <c r="R1068" s="398"/>
      <c r="S1068" s="401"/>
      <c r="T1068" s="401"/>
      <c r="U1068" s="398"/>
      <c r="V1068" s="398"/>
      <c r="W1068" s="398"/>
      <c r="X1068" s="398"/>
      <c r="Y1068" s="402"/>
      <c r="Z1068" s="403"/>
      <c r="AA1068" s="404"/>
      <c r="AB1068" s="405"/>
      <c r="AC1068" s="405"/>
      <c r="AD1068" s="406"/>
      <c r="AE1068" s="395"/>
      <c r="AF1068" s="395"/>
      <c r="AG1068" s="395"/>
      <c r="AH1068" s="395"/>
      <c r="AI1068" s="395"/>
      <c r="AJ1068" s="395"/>
      <c r="AK1068" s="395"/>
      <c r="AL1068" s="395"/>
      <c r="AM1068" s="395"/>
      <c r="AN1068" s="395"/>
      <c r="AO1068" s="395"/>
    </row>
    <row r="1069">
      <c r="A1069" s="398"/>
      <c r="B1069" s="398"/>
      <c r="C1069" s="398"/>
      <c r="D1069" s="398"/>
      <c r="E1069" s="399"/>
      <c r="F1069" s="400"/>
      <c r="G1069" s="399"/>
      <c r="H1069" s="400"/>
      <c r="I1069" s="400"/>
      <c r="J1069" s="400"/>
      <c r="K1069" s="400"/>
      <c r="L1069" s="400"/>
      <c r="M1069" s="400"/>
      <c r="N1069" s="400"/>
      <c r="O1069" s="400"/>
      <c r="P1069" s="400"/>
      <c r="Q1069" s="400"/>
      <c r="R1069" s="398"/>
      <c r="S1069" s="401"/>
      <c r="T1069" s="401"/>
      <c r="U1069" s="398"/>
      <c r="V1069" s="398"/>
      <c r="W1069" s="398"/>
      <c r="X1069" s="398"/>
      <c r="Y1069" s="402"/>
      <c r="Z1069" s="403"/>
      <c r="AA1069" s="404"/>
      <c r="AB1069" s="405"/>
      <c r="AC1069" s="405"/>
      <c r="AD1069" s="406"/>
      <c r="AE1069" s="395"/>
      <c r="AF1069" s="395"/>
      <c r="AG1069" s="395"/>
      <c r="AH1069" s="395"/>
      <c r="AI1069" s="395"/>
      <c r="AJ1069" s="395"/>
      <c r="AK1069" s="395"/>
      <c r="AL1069" s="395"/>
      <c r="AM1069" s="395"/>
      <c r="AN1069" s="395"/>
      <c r="AO1069" s="395"/>
    </row>
    <row r="1070">
      <c r="A1070" s="398"/>
      <c r="B1070" s="398"/>
      <c r="C1070" s="398"/>
      <c r="D1070" s="398"/>
      <c r="E1070" s="399"/>
      <c r="F1070" s="400"/>
      <c r="G1070" s="399"/>
      <c r="H1070" s="400"/>
      <c r="I1070" s="400"/>
      <c r="J1070" s="400"/>
      <c r="K1070" s="400"/>
      <c r="L1070" s="400"/>
      <c r="M1070" s="400"/>
      <c r="N1070" s="400"/>
      <c r="O1070" s="400"/>
      <c r="P1070" s="400"/>
      <c r="Q1070" s="400"/>
      <c r="R1070" s="398"/>
      <c r="S1070" s="401"/>
      <c r="T1070" s="401"/>
      <c r="U1070" s="398"/>
      <c r="V1070" s="398"/>
      <c r="W1070" s="398"/>
      <c r="X1070" s="398"/>
      <c r="Y1070" s="402"/>
      <c r="Z1070" s="403"/>
      <c r="AA1070" s="404"/>
      <c r="AB1070" s="405"/>
      <c r="AC1070" s="405"/>
      <c r="AD1070" s="406"/>
      <c r="AE1070" s="395"/>
      <c r="AF1070" s="395"/>
      <c r="AG1070" s="395"/>
      <c r="AH1070" s="395"/>
      <c r="AI1070" s="395"/>
      <c r="AJ1070" s="395"/>
      <c r="AK1070" s="395"/>
      <c r="AL1070" s="395"/>
      <c r="AM1070" s="395"/>
      <c r="AN1070" s="395"/>
      <c r="AO1070" s="395"/>
    </row>
    <row r="1071">
      <c r="A1071" s="398"/>
      <c r="B1071" s="398"/>
      <c r="C1071" s="398"/>
      <c r="D1071" s="398"/>
      <c r="E1071" s="399"/>
      <c r="F1071" s="400"/>
      <c r="G1071" s="399"/>
      <c r="H1071" s="400"/>
      <c r="I1071" s="400"/>
      <c r="J1071" s="400"/>
      <c r="K1071" s="400"/>
      <c r="L1071" s="400"/>
      <c r="M1071" s="400"/>
      <c r="N1071" s="400"/>
      <c r="O1071" s="400"/>
      <c r="P1071" s="400"/>
      <c r="Q1071" s="400"/>
      <c r="R1071" s="398"/>
      <c r="S1071" s="401"/>
      <c r="T1071" s="401"/>
      <c r="U1071" s="398"/>
      <c r="V1071" s="398"/>
      <c r="W1071" s="398"/>
      <c r="X1071" s="398"/>
      <c r="Y1071" s="402"/>
      <c r="Z1071" s="403"/>
      <c r="AA1071" s="404"/>
      <c r="AB1071" s="405"/>
      <c r="AC1071" s="405"/>
      <c r="AD1071" s="406"/>
      <c r="AE1071" s="395"/>
      <c r="AF1071" s="395"/>
      <c r="AG1071" s="395"/>
      <c r="AH1071" s="395"/>
      <c r="AI1071" s="395"/>
      <c r="AJ1071" s="395"/>
      <c r="AK1071" s="395"/>
      <c r="AL1071" s="395"/>
      <c r="AM1071" s="395"/>
      <c r="AN1071" s="395"/>
      <c r="AO1071" s="395"/>
    </row>
    <row r="1072">
      <c r="A1072" s="398"/>
      <c r="B1072" s="398"/>
      <c r="C1072" s="398"/>
      <c r="D1072" s="398"/>
      <c r="E1072" s="399"/>
      <c r="F1072" s="400"/>
      <c r="G1072" s="399"/>
      <c r="H1072" s="400"/>
      <c r="I1072" s="400"/>
      <c r="J1072" s="400"/>
      <c r="K1072" s="400"/>
      <c r="L1072" s="400"/>
      <c r="M1072" s="400"/>
      <c r="N1072" s="400"/>
      <c r="O1072" s="400"/>
      <c r="P1072" s="400"/>
      <c r="Q1072" s="400"/>
      <c r="R1072" s="398"/>
      <c r="S1072" s="401"/>
      <c r="T1072" s="401"/>
      <c r="U1072" s="398"/>
      <c r="V1072" s="398"/>
      <c r="W1072" s="398"/>
      <c r="X1072" s="398"/>
      <c r="Y1072" s="402"/>
      <c r="Z1072" s="403"/>
      <c r="AA1072" s="404"/>
      <c r="AB1072" s="405"/>
      <c r="AC1072" s="405"/>
      <c r="AD1072" s="406"/>
      <c r="AE1072" s="395"/>
      <c r="AF1072" s="395"/>
      <c r="AG1072" s="395"/>
      <c r="AH1072" s="395"/>
      <c r="AI1072" s="395"/>
      <c r="AJ1072" s="395"/>
      <c r="AK1072" s="395"/>
      <c r="AL1072" s="395"/>
      <c r="AM1072" s="395"/>
      <c r="AN1072" s="395"/>
      <c r="AO1072" s="395"/>
    </row>
    <row r="1073">
      <c r="A1073" s="398"/>
      <c r="B1073" s="398"/>
      <c r="C1073" s="398"/>
      <c r="D1073" s="398"/>
      <c r="E1073" s="399"/>
      <c r="F1073" s="400"/>
      <c r="G1073" s="399"/>
      <c r="H1073" s="400"/>
      <c r="I1073" s="400"/>
      <c r="J1073" s="400"/>
      <c r="K1073" s="400"/>
      <c r="L1073" s="400"/>
      <c r="M1073" s="400"/>
      <c r="N1073" s="400"/>
      <c r="O1073" s="400"/>
      <c r="P1073" s="400"/>
      <c r="Q1073" s="400"/>
      <c r="R1073" s="398"/>
      <c r="S1073" s="401"/>
      <c r="T1073" s="401"/>
      <c r="U1073" s="398"/>
      <c r="V1073" s="398"/>
      <c r="W1073" s="398"/>
      <c r="X1073" s="398"/>
      <c r="Y1073" s="402"/>
      <c r="Z1073" s="403"/>
      <c r="AA1073" s="404"/>
      <c r="AB1073" s="405"/>
      <c r="AC1073" s="405"/>
      <c r="AD1073" s="406"/>
      <c r="AE1073" s="395"/>
      <c r="AF1073" s="395"/>
      <c r="AG1073" s="395"/>
      <c r="AH1073" s="395"/>
      <c r="AI1073" s="395"/>
      <c r="AJ1073" s="395"/>
      <c r="AK1073" s="395"/>
      <c r="AL1073" s="395"/>
      <c r="AM1073" s="395"/>
      <c r="AN1073" s="395"/>
      <c r="AO1073" s="395"/>
    </row>
    <row r="1074">
      <c r="A1074" s="398"/>
      <c r="B1074" s="398"/>
      <c r="C1074" s="398"/>
      <c r="D1074" s="398"/>
      <c r="E1074" s="399"/>
      <c r="F1074" s="400"/>
      <c r="G1074" s="399"/>
      <c r="H1074" s="400"/>
      <c r="I1074" s="400"/>
      <c r="J1074" s="400"/>
      <c r="K1074" s="400"/>
      <c r="L1074" s="400"/>
      <c r="M1074" s="400"/>
      <c r="N1074" s="400"/>
      <c r="O1074" s="400"/>
      <c r="P1074" s="400"/>
      <c r="Q1074" s="400"/>
      <c r="R1074" s="398"/>
      <c r="S1074" s="401"/>
      <c r="T1074" s="401"/>
      <c r="U1074" s="398"/>
      <c r="V1074" s="398"/>
      <c r="W1074" s="398"/>
      <c r="X1074" s="398"/>
      <c r="Y1074" s="402"/>
      <c r="Z1074" s="403"/>
      <c r="AA1074" s="404"/>
      <c r="AB1074" s="405"/>
      <c r="AC1074" s="405"/>
      <c r="AD1074" s="406"/>
      <c r="AE1074" s="395"/>
      <c r="AF1074" s="395"/>
      <c r="AG1074" s="395"/>
      <c r="AH1074" s="395"/>
      <c r="AI1074" s="395"/>
      <c r="AJ1074" s="395"/>
      <c r="AK1074" s="395"/>
      <c r="AL1074" s="395"/>
      <c r="AM1074" s="395"/>
      <c r="AN1074" s="395"/>
      <c r="AO1074" s="395"/>
    </row>
    <row r="1075">
      <c r="A1075" s="398"/>
      <c r="B1075" s="398"/>
      <c r="C1075" s="398"/>
      <c r="D1075" s="398"/>
      <c r="E1075" s="399"/>
      <c r="F1075" s="400"/>
      <c r="G1075" s="399"/>
      <c r="H1075" s="400"/>
      <c r="I1075" s="400"/>
      <c r="J1075" s="400"/>
      <c r="K1075" s="400"/>
      <c r="L1075" s="400"/>
      <c r="M1075" s="400"/>
      <c r="N1075" s="400"/>
      <c r="O1075" s="400"/>
      <c r="P1075" s="400"/>
      <c r="Q1075" s="400"/>
      <c r="R1075" s="398"/>
      <c r="S1075" s="401"/>
      <c r="T1075" s="401"/>
      <c r="U1075" s="398"/>
      <c r="V1075" s="398"/>
      <c r="W1075" s="398"/>
      <c r="X1075" s="398"/>
      <c r="Y1075" s="402"/>
      <c r="Z1075" s="403"/>
      <c r="AA1075" s="404"/>
      <c r="AB1075" s="405"/>
      <c r="AC1075" s="405"/>
      <c r="AD1075" s="406"/>
      <c r="AE1075" s="395"/>
      <c r="AF1075" s="395"/>
      <c r="AG1075" s="395"/>
      <c r="AH1075" s="395"/>
      <c r="AI1075" s="395"/>
      <c r="AJ1075" s="395"/>
      <c r="AK1075" s="395"/>
      <c r="AL1075" s="395"/>
      <c r="AM1075" s="395"/>
      <c r="AN1075" s="395"/>
      <c r="AO1075" s="395"/>
    </row>
    <row r="1076">
      <c r="A1076" s="398"/>
      <c r="B1076" s="398"/>
      <c r="C1076" s="398"/>
      <c r="D1076" s="398"/>
      <c r="E1076" s="399"/>
      <c r="F1076" s="400"/>
      <c r="G1076" s="399"/>
      <c r="H1076" s="400"/>
      <c r="I1076" s="400"/>
      <c r="J1076" s="400"/>
      <c r="K1076" s="400"/>
      <c r="L1076" s="400"/>
      <c r="M1076" s="400"/>
      <c r="N1076" s="400"/>
      <c r="O1076" s="400"/>
      <c r="P1076" s="400"/>
      <c r="Q1076" s="400"/>
      <c r="R1076" s="398"/>
      <c r="S1076" s="401"/>
      <c r="T1076" s="401"/>
      <c r="U1076" s="398"/>
      <c r="V1076" s="398"/>
      <c r="W1076" s="398"/>
      <c r="X1076" s="398"/>
      <c r="Y1076" s="402"/>
      <c r="Z1076" s="403"/>
      <c r="AA1076" s="404"/>
      <c r="AB1076" s="405"/>
      <c r="AC1076" s="405"/>
      <c r="AD1076" s="406"/>
      <c r="AE1076" s="395"/>
      <c r="AF1076" s="395"/>
      <c r="AG1076" s="395"/>
      <c r="AH1076" s="395"/>
      <c r="AI1076" s="395"/>
      <c r="AJ1076" s="395"/>
      <c r="AK1076" s="395"/>
      <c r="AL1076" s="395"/>
      <c r="AM1076" s="395"/>
      <c r="AN1076" s="395"/>
      <c r="AO1076" s="395"/>
    </row>
    <row r="1077">
      <c r="A1077" s="398"/>
      <c r="B1077" s="398"/>
      <c r="C1077" s="398"/>
      <c r="D1077" s="398"/>
      <c r="E1077" s="399"/>
      <c r="F1077" s="400"/>
      <c r="G1077" s="399"/>
      <c r="H1077" s="400"/>
      <c r="I1077" s="400"/>
      <c r="J1077" s="400"/>
      <c r="K1077" s="400"/>
      <c r="L1077" s="400"/>
      <c r="M1077" s="400"/>
      <c r="N1077" s="400"/>
      <c r="O1077" s="400"/>
      <c r="P1077" s="400"/>
      <c r="Q1077" s="400"/>
      <c r="R1077" s="398"/>
      <c r="S1077" s="401"/>
      <c r="T1077" s="401"/>
      <c r="U1077" s="398"/>
      <c r="V1077" s="398"/>
      <c r="W1077" s="398"/>
      <c r="X1077" s="398"/>
      <c r="Y1077" s="402"/>
      <c r="Z1077" s="403"/>
      <c r="AA1077" s="404"/>
      <c r="AB1077" s="405"/>
      <c r="AC1077" s="405"/>
      <c r="AD1077" s="406"/>
      <c r="AE1077" s="395"/>
      <c r="AF1077" s="395"/>
      <c r="AG1077" s="395"/>
      <c r="AH1077" s="395"/>
      <c r="AI1077" s="395"/>
      <c r="AJ1077" s="395"/>
      <c r="AK1077" s="395"/>
      <c r="AL1077" s="395"/>
      <c r="AM1077" s="395"/>
      <c r="AN1077" s="395"/>
      <c r="AO1077" s="395"/>
    </row>
    <row r="1078">
      <c r="A1078" s="398"/>
      <c r="B1078" s="398"/>
      <c r="C1078" s="398"/>
      <c r="D1078" s="398"/>
      <c r="E1078" s="399"/>
      <c r="F1078" s="400"/>
      <c r="G1078" s="399"/>
      <c r="H1078" s="400"/>
      <c r="I1078" s="400"/>
      <c r="J1078" s="400"/>
      <c r="K1078" s="400"/>
      <c r="L1078" s="400"/>
      <c r="M1078" s="400"/>
      <c r="N1078" s="400"/>
      <c r="O1078" s="400"/>
      <c r="P1078" s="400"/>
      <c r="Q1078" s="400"/>
      <c r="R1078" s="398"/>
      <c r="S1078" s="401"/>
      <c r="T1078" s="401"/>
      <c r="U1078" s="398"/>
      <c r="V1078" s="398"/>
      <c r="W1078" s="398"/>
      <c r="X1078" s="398"/>
      <c r="Y1078" s="402"/>
      <c r="Z1078" s="403"/>
      <c r="AA1078" s="404"/>
      <c r="AB1078" s="405"/>
      <c r="AC1078" s="405"/>
      <c r="AD1078" s="406"/>
      <c r="AE1078" s="395"/>
      <c r="AF1078" s="395"/>
      <c r="AG1078" s="395"/>
      <c r="AH1078" s="395"/>
      <c r="AI1078" s="395"/>
      <c r="AJ1078" s="395"/>
      <c r="AK1078" s="395"/>
      <c r="AL1078" s="395"/>
      <c r="AM1078" s="395"/>
      <c r="AN1078" s="395"/>
      <c r="AO1078" s="395"/>
    </row>
    <row r="1079">
      <c r="A1079" s="398"/>
      <c r="B1079" s="398"/>
      <c r="C1079" s="398"/>
      <c r="D1079" s="398"/>
      <c r="E1079" s="399"/>
      <c r="F1079" s="400"/>
      <c r="G1079" s="399"/>
      <c r="H1079" s="400"/>
      <c r="I1079" s="400"/>
      <c r="J1079" s="400"/>
      <c r="K1079" s="400"/>
      <c r="L1079" s="400"/>
      <c r="M1079" s="400"/>
      <c r="N1079" s="400"/>
      <c r="O1079" s="400"/>
      <c r="P1079" s="400"/>
      <c r="Q1079" s="400"/>
      <c r="R1079" s="398"/>
      <c r="S1079" s="401"/>
      <c r="T1079" s="401"/>
      <c r="U1079" s="398"/>
      <c r="V1079" s="398"/>
      <c r="W1079" s="398"/>
      <c r="X1079" s="398"/>
      <c r="Y1079" s="402"/>
      <c r="Z1079" s="403"/>
      <c r="AA1079" s="404"/>
      <c r="AB1079" s="405"/>
      <c r="AC1079" s="405"/>
      <c r="AD1079" s="406"/>
      <c r="AE1079" s="395"/>
      <c r="AF1079" s="395"/>
      <c r="AG1079" s="395"/>
      <c r="AH1079" s="395"/>
      <c r="AI1079" s="395"/>
      <c r="AJ1079" s="395"/>
      <c r="AK1079" s="395"/>
      <c r="AL1079" s="395"/>
      <c r="AM1079" s="395"/>
      <c r="AN1079" s="395"/>
      <c r="AO1079" s="395"/>
    </row>
    <row r="1080">
      <c r="A1080" s="398"/>
      <c r="B1080" s="398"/>
      <c r="C1080" s="398"/>
      <c r="D1080" s="398"/>
      <c r="E1080" s="399"/>
      <c r="F1080" s="400"/>
      <c r="G1080" s="399"/>
      <c r="H1080" s="400"/>
      <c r="I1080" s="400"/>
      <c r="J1080" s="400"/>
      <c r="K1080" s="400"/>
      <c r="L1080" s="400"/>
      <c r="M1080" s="400"/>
      <c r="N1080" s="400"/>
      <c r="O1080" s="400"/>
      <c r="P1080" s="400"/>
      <c r="Q1080" s="400"/>
      <c r="R1080" s="398"/>
      <c r="S1080" s="401"/>
      <c r="T1080" s="401"/>
      <c r="U1080" s="398"/>
      <c r="V1080" s="398"/>
      <c r="W1080" s="398"/>
      <c r="X1080" s="398"/>
      <c r="Y1080" s="402"/>
      <c r="Z1080" s="403"/>
      <c r="AA1080" s="404"/>
      <c r="AB1080" s="405"/>
      <c r="AC1080" s="405"/>
      <c r="AD1080" s="406"/>
      <c r="AE1080" s="395"/>
      <c r="AF1080" s="395"/>
      <c r="AG1080" s="395"/>
      <c r="AH1080" s="395"/>
      <c r="AI1080" s="395"/>
      <c r="AJ1080" s="395"/>
      <c r="AK1080" s="395"/>
      <c r="AL1080" s="395"/>
      <c r="AM1080" s="395"/>
      <c r="AN1080" s="395"/>
      <c r="AO1080" s="395"/>
    </row>
    <row r="1081">
      <c r="A1081" s="398"/>
      <c r="B1081" s="398"/>
      <c r="C1081" s="398"/>
      <c r="D1081" s="398"/>
      <c r="E1081" s="399"/>
      <c r="F1081" s="400"/>
      <c r="G1081" s="399"/>
      <c r="H1081" s="400"/>
      <c r="I1081" s="400"/>
      <c r="J1081" s="400"/>
      <c r="K1081" s="400"/>
      <c r="L1081" s="400"/>
      <c r="M1081" s="400"/>
      <c r="N1081" s="400"/>
      <c r="O1081" s="400"/>
      <c r="P1081" s="400"/>
      <c r="Q1081" s="400"/>
      <c r="R1081" s="398"/>
      <c r="S1081" s="401"/>
      <c r="T1081" s="401"/>
      <c r="U1081" s="398"/>
      <c r="V1081" s="398"/>
      <c r="W1081" s="398"/>
      <c r="X1081" s="398"/>
      <c r="Y1081" s="402"/>
      <c r="Z1081" s="403"/>
      <c r="AA1081" s="404"/>
      <c r="AB1081" s="405"/>
      <c r="AC1081" s="405"/>
      <c r="AD1081" s="406"/>
      <c r="AE1081" s="395"/>
      <c r="AF1081" s="395"/>
      <c r="AG1081" s="395"/>
      <c r="AH1081" s="395"/>
      <c r="AI1081" s="395"/>
      <c r="AJ1081" s="395"/>
      <c r="AK1081" s="395"/>
      <c r="AL1081" s="395"/>
      <c r="AM1081" s="395"/>
      <c r="AN1081" s="395"/>
      <c r="AO1081" s="395"/>
    </row>
    <row r="1082">
      <c r="A1082" s="398"/>
      <c r="B1082" s="398"/>
      <c r="C1082" s="398"/>
      <c r="D1082" s="398"/>
      <c r="E1082" s="399"/>
      <c r="F1082" s="400"/>
      <c r="G1082" s="399"/>
      <c r="H1082" s="400"/>
      <c r="I1082" s="400"/>
      <c r="J1082" s="400"/>
      <c r="K1082" s="400"/>
      <c r="L1082" s="400"/>
      <c r="M1082" s="400"/>
      <c r="N1082" s="400"/>
      <c r="O1082" s="400"/>
      <c r="P1082" s="400"/>
      <c r="Q1082" s="400"/>
      <c r="R1082" s="398"/>
      <c r="S1082" s="401"/>
      <c r="T1082" s="401"/>
      <c r="U1082" s="398"/>
      <c r="V1082" s="398"/>
      <c r="W1082" s="398"/>
      <c r="X1082" s="398"/>
      <c r="Y1082" s="402"/>
      <c r="Z1082" s="403"/>
      <c r="AA1082" s="404"/>
      <c r="AB1082" s="405"/>
      <c r="AC1082" s="405"/>
      <c r="AD1082" s="406"/>
      <c r="AE1082" s="395"/>
      <c r="AF1082" s="395"/>
      <c r="AG1082" s="395"/>
      <c r="AH1082" s="395"/>
      <c r="AI1082" s="395"/>
      <c r="AJ1082" s="395"/>
      <c r="AK1082" s="395"/>
      <c r="AL1082" s="395"/>
      <c r="AM1082" s="395"/>
      <c r="AN1082" s="395"/>
      <c r="AO1082" s="395"/>
    </row>
    <row r="1083">
      <c r="A1083" s="398"/>
      <c r="B1083" s="398"/>
      <c r="C1083" s="398"/>
      <c r="D1083" s="398"/>
      <c r="E1083" s="399"/>
      <c r="F1083" s="400"/>
      <c r="G1083" s="399"/>
      <c r="H1083" s="400"/>
      <c r="I1083" s="400"/>
      <c r="J1083" s="400"/>
      <c r="K1083" s="400"/>
      <c r="L1083" s="400"/>
      <c r="M1083" s="400"/>
      <c r="N1083" s="400"/>
      <c r="O1083" s="400"/>
      <c r="P1083" s="400"/>
      <c r="Q1083" s="400"/>
      <c r="R1083" s="398"/>
      <c r="S1083" s="401"/>
      <c r="T1083" s="401"/>
      <c r="U1083" s="398"/>
      <c r="V1083" s="398"/>
      <c r="W1083" s="398"/>
      <c r="X1083" s="398"/>
      <c r="Y1083" s="402"/>
      <c r="Z1083" s="403"/>
      <c r="AA1083" s="404"/>
      <c r="AB1083" s="405"/>
      <c r="AC1083" s="405"/>
      <c r="AD1083" s="406"/>
      <c r="AE1083" s="395"/>
      <c r="AF1083" s="395"/>
      <c r="AG1083" s="395"/>
      <c r="AH1083" s="395"/>
      <c r="AI1083" s="395"/>
      <c r="AJ1083" s="395"/>
      <c r="AK1083" s="395"/>
      <c r="AL1083" s="395"/>
      <c r="AM1083" s="395"/>
      <c r="AN1083" s="395"/>
      <c r="AO1083" s="395"/>
    </row>
    <row r="1084">
      <c r="A1084" s="398"/>
      <c r="B1084" s="398"/>
      <c r="C1084" s="398"/>
      <c r="D1084" s="398"/>
      <c r="E1084" s="399"/>
      <c r="F1084" s="400"/>
      <c r="G1084" s="399"/>
      <c r="H1084" s="400"/>
      <c r="I1084" s="400"/>
      <c r="J1084" s="400"/>
      <c r="K1084" s="400"/>
      <c r="L1084" s="400"/>
      <c r="M1084" s="400"/>
      <c r="N1084" s="400"/>
      <c r="O1084" s="400"/>
      <c r="P1084" s="400"/>
      <c r="Q1084" s="400"/>
      <c r="R1084" s="398"/>
      <c r="S1084" s="401"/>
      <c r="T1084" s="401"/>
      <c r="U1084" s="398"/>
      <c r="V1084" s="398"/>
      <c r="W1084" s="398"/>
      <c r="X1084" s="398"/>
      <c r="Y1084" s="402"/>
      <c r="Z1084" s="403"/>
      <c r="AA1084" s="404"/>
      <c r="AB1084" s="405"/>
      <c r="AC1084" s="405"/>
      <c r="AD1084" s="406"/>
      <c r="AE1084" s="395"/>
      <c r="AF1084" s="395"/>
      <c r="AG1084" s="395"/>
      <c r="AH1084" s="395"/>
      <c r="AI1084" s="395"/>
      <c r="AJ1084" s="395"/>
      <c r="AK1084" s="395"/>
      <c r="AL1084" s="395"/>
      <c r="AM1084" s="395"/>
      <c r="AN1084" s="395"/>
      <c r="AO1084" s="395"/>
    </row>
    <row r="1085">
      <c r="A1085" s="398"/>
      <c r="B1085" s="398"/>
      <c r="C1085" s="398"/>
      <c r="D1085" s="398"/>
      <c r="E1085" s="399"/>
      <c r="F1085" s="400"/>
      <c r="G1085" s="399"/>
      <c r="H1085" s="400"/>
      <c r="I1085" s="400"/>
      <c r="J1085" s="400"/>
      <c r="K1085" s="400"/>
      <c r="L1085" s="400"/>
      <c r="M1085" s="400"/>
      <c r="N1085" s="400"/>
      <c r="O1085" s="400"/>
      <c r="P1085" s="400"/>
      <c r="Q1085" s="400"/>
      <c r="R1085" s="398"/>
      <c r="S1085" s="401"/>
      <c r="T1085" s="401"/>
      <c r="U1085" s="398"/>
      <c r="V1085" s="398"/>
      <c r="W1085" s="398"/>
      <c r="X1085" s="398"/>
      <c r="Y1085" s="402"/>
      <c r="Z1085" s="403"/>
      <c r="AA1085" s="404"/>
      <c r="AB1085" s="405"/>
      <c r="AC1085" s="405"/>
      <c r="AD1085" s="406"/>
      <c r="AE1085" s="395"/>
      <c r="AF1085" s="395"/>
      <c r="AG1085" s="395"/>
      <c r="AH1085" s="395"/>
      <c r="AI1085" s="395"/>
      <c r="AJ1085" s="395"/>
      <c r="AK1085" s="395"/>
      <c r="AL1085" s="395"/>
      <c r="AM1085" s="395"/>
      <c r="AN1085" s="395"/>
      <c r="AO1085" s="395"/>
    </row>
    <row r="1086">
      <c r="A1086" s="398"/>
      <c r="B1086" s="398"/>
      <c r="C1086" s="398"/>
      <c r="D1086" s="398"/>
      <c r="E1086" s="399"/>
      <c r="F1086" s="400"/>
      <c r="G1086" s="399"/>
      <c r="H1086" s="400"/>
      <c r="I1086" s="400"/>
      <c r="J1086" s="400"/>
      <c r="K1086" s="400"/>
      <c r="L1086" s="400"/>
      <c r="M1086" s="400"/>
      <c r="N1086" s="400"/>
      <c r="O1086" s="400"/>
      <c r="P1086" s="400"/>
      <c r="Q1086" s="400"/>
      <c r="R1086" s="398"/>
      <c r="S1086" s="401"/>
      <c r="T1086" s="401"/>
      <c r="U1086" s="398"/>
      <c r="V1086" s="398"/>
      <c r="W1086" s="398"/>
      <c r="X1086" s="398"/>
      <c r="Y1086" s="402"/>
      <c r="Z1086" s="403"/>
      <c r="AA1086" s="404"/>
      <c r="AB1086" s="405"/>
      <c r="AC1086" s="405"/>
      <c r="AD1086" s="406"/>
      <c r="AE1086" s="395"/>
      <c r="AF1086" s="395"/>
      <c r="AG1086" s="395"/>
      <c r="AH1086" s="395"/>
      <c r="AI1086" s="395"/>
      <c r="AJ1086" s="395"/>
      <c r="AK1086" s="395"/>
      <c r="AL1086" s="395"/>
      <c r="AM1086" s="395"/>
      <c r="AN1086" s="395"/>
      <c r="AO1086" s="395"/>
    </row>
    <row r="1087">
      <c r="A1087" s="398"/>
      <c r="B1087" s="398"/>
      <c r="C1087" s="398"/>
      <c r="D1087" s="398"/>
      <c r="E1087" s="399"/>
      <c r="F1087" s="400"/>
      <c r="G1087" s="399"/>
      <c r="H1087" s="400"/>
      <c r="I1087" s="400"/>
      <c r="J1087" s="400"/>
      <c r="K1087" s="400"/>
      <c r="L1087" s="400"/>
      <c r="M1087" s="400"/>
      <c r="N1087" s="400"/>
      <c r="O1087" s="400"/>
      <c r="P1087" s="400"/>
      <c r="Q1087" s="400"/>
      <c r="R1087" s="398"/>
      <c r="S1087" s="401"/>
      <c r="T1087" s="401"/>
      <c r="U1087" s="398"/>
      <c r="V1087" s="398"/>
      <c r="W1087" s="398"/>
      <c r="X1087" s="398"/>
      <c r="Y1087" s="402"/>
      <c r="Z1087" s="403"/>
      <c r="AA1087" s="404"/>
      <c r="AB1087" s="405"/>
      <c r="AC1087" s="405"/>
      <c r="AD1087" s="406"/>
      <c r="AE1087" s="395"/>
      <c r="AF1087" s="395"/>
      <c r="AG1087" s="395"/>
      <c r="AH1087" s="395"/>
      <c r="AI1087" s="395"/>
      <c r="AJ1087" s="395"/>
      <c r="AK1087" s="395"/>
      <c r="AL1087" s="395"/>
      <c r="AM1087" s="395"/>
      <c r="AN1087" s="395"/>
      <c r="AO1087" s="395"/>
    </row>
    <row r="1088">
      <c r="A1088" s="398"/>
      <c r="B1088" s="398"/>
      <c r="C1088" s="398"/>
      <c r="D1088" s="398"/>
      <c r="E1088" s="399"/>
      <c r="F1088" s="400"/>
      <c r="G1088" s="399"/>
      <c r="H1088" s="400"/>
      <c r="I1088" s="400"/>
      <c r="J1088" s="400"/>
      <c r="K1088" s="400"/>
      <c r="L1088" s="400"/>
      <c r="M1088" s="400"/>
      <c r="N1088" s="400"/>
      <c r="O1088" s="400"/>
      <c r="P1088" s="400"/>
      <c r="Q1088" s="400"/>
      <c r="R1088" s="398"/>
      <c r="S1088" s="401"/>
      <c r="T1088" s="401"/>
      <c r="U1088" s="398"/>
      <c r="V1088" s="398"/>
      <c r="W1088" s="398"/>
      <c r="X1088" s="398"/>
      <c r="Y1088" s="402"/>
      <c r="Z1088" s="403"/>
      <c r="AA1088" s="404"/>
      <c r="AB1088" s="405"/>
      <c r="AC1088" s="405"/>
      <c r="AD1088" s="406"/>
      <c r="AE1088" s="395"/>
      <c r="AF1088" s="395"/>
      <c r="AG1088" s="395"/>
      <c r="AH1088" s="395"/>
      <c r="AI1088" s="395"/>
      <c r="AJ1088" s="395"/>
      <c r="AK1088" s="395"/>
      <c r="AL1088" s="395"/>
      <c r="AM1088" s="395"/>
      <c r="AN1088" s="395"/>
      <c r="AO1088" s="395"/>
    </row>
    <row r="1089">
      <c r="A1089" s="398"/>
      <c r="B1089" s="398"/>
      <c r="C1089" s="398"/>
      <c r="D1089" s="398"/>
      <c r="E1089" s="399"/>
      <c r="F1089" s="400"/>
      <c r="G1089" s="399"/>
      <c r="H1089" s="400"/>
      <c r="I1089" s="400"/>
      <c r="J1089" s="400"/>
      <c r="K1089" s="400"/>
      <c r="L1089" s="400"/>
      <c r="M1089" s="400"/>
      <c r="N1089" s="400"/>
      <c r="O1089" s="400"/>
      <c r="P1089" s="400"/>
      <c r="Q1089" s="400"/>
      <c r="R1089" s="398"/>
      <c r="S1089" s="401"/>
      <c r="T1089" s="401"/>
      <c r="U1089" s="398"/>
      <c r="V1089" s="398"/>
      <c r="W1089" s="398"/>
      <c r="X1089" s="398"/>
      <c r="Y1089" s="402"/>
      <c r="Z1089" s="403"/>
      <c r="AA1089" s="404"/>
      <c r="AB1089" s="405"/>
      <c r="AC1089" s="405"/>
      <c r="AD1089" s="406"/>
      <c r="AE1089" s="395"/>
      <c r="AF1089" s="395"/>
      <c r="AG1089" s="395"/>
      <c r="AH1089" s="395"/>
      <c r="AI1089" s="395"/>
      <c r="AJ1089" s="395"/>
      <c r="AK1089" s="395"/>
      <c r="AL1089" s="395"/>
      <c r="AM1089" s="395"/>
      <c r="AN1089" s="395"/>
      <c r="AO1089" s="395"/>
    </row>
    <row r="1090">
      <c r="A1090" s="398"/>
      <c r="B1090" s="398"/>
      <c r="C1090" s="398"/>
      <c r="D1090" s="398"/>
      <c r="E1090" s="399"/>
      <c r="F1090" s="400"/>
      <c r="G1090" s="399"/>
      <c r="H1090" s="400"/>
      <c r="I1090" s="400"/>
      <c r="J1090" s="400"/>
      <c r="K1090" s="400"/>
      <c r="L1090" s="400"/>
      <c r="M1090" s="400"/>
      <c r="N1090" s="400"/>
      <c r="O1090" s="400"/>
      <c r="P1090" s="400"/>
      <c r="Q1090" s="400"/>
      <c r="R1090" s="398"/>
      <c r="S1090" s="401"/>
      <c r="T1090" s="401"/>
      <c r="U1090" s="398"/>
      <c r="V1090" s="398"/>
      <c r="W1090" s="398"/>
      <c r="X1090" s="398"/>
      <c r="Y1090" s="402"/>
      <c r="Z1090" s="403"/>
      <c r="AA1090" s="404"/>
      <c r="AB1090" s="405"/>
      <c r="AC1090" s="405"/>
      <c r="AD1090" s="406"/>
      <c r="AE1090" s="395"/>
      <c r="AF1090" s="395"/>
      <c r="AG1090" s="395"/>
      <c r="AH1090" s="395"/>
      <c r="AI1090" s="395"/>
      <c r="AJ1090" s="395"/>
      <c r="AK1090" s="395"/>
      <c r="AL1090" s="395"/>
      <c r="AM1090" s="395"/>
      <c r="AN1090" s="395"/>
      <c r="AO1090" s="395"/>
    </row>
    <row r="1091">
      <c r="A1091" s="398"/>
      <c r="B1091" s="398"/>
      <c r="C1091" s="398"/>
      <c r="D1091" s="398"/>
      <c r="E1091" s="399"/>
      <c r="F1091" s="400"/>
      <c r="G1091" s="399"/>
      <c r="H1091" s="400"/>
      <c r="I1091" s="400"/>
      <c r="J1091" s="400"/>
      <c r="K1091" s="400"/>
      <c r="L1091" s="400"/>
      <c r="M1091" s="400"/>
      <c r="N1091" s="400"/>
      <c r="O1091" s="400"/>
      <c r="P1091" s="400"/>
      <c r="Q1091" s="400"/>
      <c r="R1091" s="398"/>
      <c r="S1091" s="401"/>
      <c r="T1091" s="401"/>
      <c r="U1091" s="398"/>
      <c r="V1091" s="398"/>
      <c r="W1091" s="398"/>
      <c r="X1091" s="398"/>
      <c r="Y1091" s="402"/>
      <c r="Z1091" s="403"/>
      <c r="AA1091" s="404"/>
      <c r="AB1091" s="405"/>
      <c r="AC1091" s="405"/>
      <c r="AD1091" s="406"/>
      <c r="AE1091" s="395"/>
      <c r="AF1091" s="395"/>
      <c r="AG1091" s="395"/>
      <c r="AH1091" s="395"/>
      <c r="AI1091" s="395"/>
      <c r="AJ1091" s="395"/>
      <c r="AK1091" s="395"/>
      <c r="AL1091" s="395"/>
      <c r="AM1091" s="395"/>
      <c r="AN1091" s="395"/>
      <c r="AO1091" s="395"/>
    </row>
    <row r="1092">
      <c r="A1092" s="398"/>
      <c r="B1092" s="398"/>
      <c r="C1092" s="398"/>
      <c r="D1092" s="398"/>
      <c r="E1092" s="399"/>
      <c r="F1092" s="400"/>
      <c r="G1092" s="399"/>
      <c r="H1092" s="400"/>
      <c r="I1092" s="400"/>
      <c r="J1092" s="400"/>
      <c r="K1092" s="400"/>
      <c r="L1092" s="400"/>
      <c r="M1092" s="400"/>
      <c r="N1092" s="400"/>
      <c r="O1092" s="400"/>
      <c r="P1092" s="400"/>
      <c r="Q1092" s="400"/>
      <c r="R1092" s="398"/>
      <c r="S1092" s="401"/>
      <c r="T1092" s="401"/>
      <c r="U1092" s="398"/>
      <c r="V1092" s="398"/>
      <c r="W1092" s="398"/>
      <c r="X1092" s="398"/>
      <c r="Y1092" s="402"/>
      <c r="Z1092" s="403"/>
      <c r="AA1092" s="404"/>
      <c r="AB1092" s="405"/>
      <c r="AC1092" s="405"/>
      <c r="AD1092" s="406"/>
      <c r="AE1092" s="395"/>
      <c r="AF1092" s="395"/>
      <c r="AG1092" s="395"/>
      <c r="AH1092" s="395"/>
      <c r="AI1092" s="395"/>
      <c r="AJ1092" s="395"/>
      <c r="AK1092" s="395"/>
      <c r="AL1092" s="395"/>
      <c r="AM1092" s="395"/>
      <c r="AN1092" s="395"/>
      <c r="AO1092" s="395"/>
    </row>
    <row r="1093">
      <c r="A1093" s="398"/>
      <c r="B1093" s="398"/>
      <c r="C1093" s="398"/>
      <c r="D1093" s="398"/>
      <c r="E1093" s="399"/>
      <c r="F1093" s="400"/>
      <c r="G1093" s="399"/>
      <c r="H1093" s="400"/>
      <c r="I1093" s="400"/>
      <c r="J1093" s="400"/>
      <c r="K1093" s="400"/>
      <c r="L1093" s="400"/>
      <c r="M1093" s="400"/>
      <c r="N1093" s="400"/>
      <c r="O1093" s="400"/>
      <c r="P1093" s="400"/>
      <c r="Q1093" s="400"/>
      <c r="R1093" s="398"/>
      <c r="S1093" s="401"/>
      <c r="T1093" s="401"/>
      <c r="U1093" s="398"/>
      <c r="V1093" s="398"/>
      <c r="W1093" s="398"/>
      <c r="X1093" s="398"/>
      <c r="Y1093" s="402"/>
      <c r="Z1093" s="403"/>
      <c r="AA1093" s="404"/>
      <c r="AB1093" s="405"/>
      <c r="AC1093" s="405"/>
      <c r="AD1093" s="406"/>
      <c r="AE1093" s="395"/>
      <c r="AF1093" s="395"/>
      <c r="AG1093" s="395"/>
      <c r="AH1093" s="395"/>
      <c r="AI1093" s="395"/>
      <c r="AJ1093" s="395"/>
      <c r="AK1093" s="395"/>
      <c r="AL1093" s="395"/>
      <c r="AM1093" s="395"/>
      <c r="AN1093" s="395"/>
      <c r="AO1093" s="395"/>
    </row>
    <row r="1094">
      <c r="A1094" s="398"/>
      <c r="B1094" s="398"/>
      <c r="C1094" s="398"/>
      <c r="D1094" s="398"/>
      <c r="E1094" s="399"/>
      <c r="F1094" s="400"/>
      <c r="G1094" s="399"/>
      <c r="H1094" s="400"/>
      <c r="I1094" s="400"/>
      <c r="J1094" s="400"/>
      <c r="K1094" s="400"/>
      <c r="L1094" s="400"/>
      <c r="M1094" s="400"/>
      <c r="N1094" s="400"/>
      <c r="O1094" s="400"/>
      <c r="P1094" s="400"/>
      <c r="Q1094" s="400"/>
      <c r="R1094" s="398"/>
      <c r="S1094" s="401"/>
      <c r="T1094" s="401"/>
      <c r="U1094" s="398"/>
      <c r="V1094" s="398"/>
      <c r="W1094" s="398"/>
      <c r="X1094" s="398"/>
      <c r="Y1094" s="402"/>
      <c r="Z1094" s="403"/>
      <c r="AA1094" s="404"/>
      <c r="AB1094" s="405"/>
      <c r="AC1094" s="405"/>
      <c r="AD1094" s="406"/>
      <c r="AE1094" s="395"/>
      <c r="AF1094" s="395"/>
      <c r="AG1094" s="395"/>
      <c r="AH1094" s="395"/>
      <c r="AI1094" s="395"/>
      <c r="AJ1094" s="395"/>
      <c r="AK1094" s="395"/>
      <c r="AL1094" s="395"/>
      <c r="AM1094" s="395"/>
      <c r="AN1094" s="395"/>
      <c r="AO1094" s="395"/>
    </row>
    <row r="1095">
      <c r="A1095" s="398"/>
      <c r="B1095" s="398"/>
      <c r="C1095" s="398"/>
      <c r="D1095" s="398"/>
      <c r="E1095" s="399"/>
      <c r="F1095" s="400"/>
      <c r="G1095" s="399"/>
      <c r="H1095" s="400"/>
      <c r="I1095" s="400"/>
      <c r="J1095" s="400"/>
      <c r="K1095" s="400"/>
      <c r="L1095" s="400"/>
      <c r="M1095" s="400"/>
      <c r="N1095" s="400"/>
      <c r="O1095" s="400"/>
      <c r="P1095" s="400"/>
      <c r="Q1095" s="400"/>
      <c r="R1095" s="398"/>
      <c r="S1095" s="401"/>
      <c r="T1095" s="401"/>
      <c r="U1095" s="398"/>
      <c r="V1095" s="398"/>
      <c r="W1095" s="398"/>
      <c r="X1095" s="398"/>
      <c r="Y1095" s="402"/>
      <c r="Z1095" s="403"/>
      <c r="AA1095" s="404"/>
      <c r="AB1095" s="405"/>
      <c r="AC1095" s="405"/>
      <c r="AD1095" s="406"/>
      <c r="AE1095" s="395"/>
      <c r="AF1095" s="395"/>
      <c r="AG1095" s="395"/>
      <c r="AH1095" s="395"/>
      <c r="AI1095" s="395"/>
      <c r="AJ1095" s="395"/>
      <c r="AK1095" s="395"/>
      <c r="AL1095" s="395"/>
      <c r="AM1095" s="395"/>
      <c r="AN1095" s="395"/>
      <c r="AO1095" s="395"/>
    </row>
    <row r="1096">
      <c r="A1096" s="398"/>
      <c r="B1096" s="398"/>
      <c r="C1096" s="398"/>
      <c r="D1096" s="398"/>
      <c r="E1096" s="399"/>
      <c r="F1096" s="400"/>
      <c r="G1096" s="399"/>
      <c r="H1096" s="400"/>
      <c r="I1096" s="400"/>
      <c r="J1096" s="400"/>
      <c r="K1096" s="400"/>
      <c r="L1096" s="400"/>
      <c r="M1096" s="400"/>
      <c r="N1096" s="400"/>
      <c r="O1096" s="400"/>
      <c r="P1096" s="400"/>
      <c r="Q1096" s="400"/>
      <c r="R1096" s="398"/>
      <c r="S1096" s="401"/>
      <c r="T1096" s="401"/>
      <c r="U1096" s="398"/>
      <c r="V1096" s="398"/>
      <c r="W1096" s="398"/>
      <c r="X1096" s="398"/>
      <c r="Y1096" s="402"/>
      <c r="Z1096" s="403"/>
      <c r="AA1096" s="404"/>
      <c r="AB1096" s="405"/>
      <c r="AC1096" s="405"/>
      <c r="AD1096" s="406"/>
      <c r="AE1096" s="395"/>
      <c r="AF1096" s="395"/>
      <c r="AG1096" s="395"/>
      <c r="AH1096" s="395"/>
      <c r="AI1096" s="395"/>
      <c r="AJ1096" s="395"/>
      <c r="AK1096" s="395"/>
      <c r="AL1096" s="395"/>
      <c r="AM1096" s="395"/>
      <c r="AN1096" s="395"/>
      <c r="AO1096" s="395"/>
    </row>
    <row r="1097">
      <c r="A1097" s="398"/>
      <c r="B1097" s="398"/>
      <c r="C1097" s="398"/>
      <c r="D1097" s="398"/>
      <c r="E1097" s="399"/>
      <c r="F1097" s="400"/>
      <c r="G1097" s="399"/>
      <c r="H1097" s="400"/>
      <c r="I1097" s="400"/>
      <c r="J1097" s="400"/>
      <c r="K1097" s="400"/>
      <c r="L1097" s="400"/>
      <c r="M1097" s="400"/>
      <c r="N1097" s="400"/>
      <c r="O1097" s="400"/>
      <c r="P1097" s="400"/>
      <c r="Q1097" s="400"/>
      <c r="R1097" s="398"/>
      <c r="S1097" s="401"/>
      <c r="T1097" s="401"/>
      <c r="U1097" s="398"/>
      <c r="V1097" s="398"/>
      <c r="W1097" s="398"/>
      <c r="X1097" s="398"/>
      <c r="Y1097" s="402"/>
      <c r="Z1097" s="403"/>
      <c r="AA1097" s="404"/>
      <c r="AB1097" s="405"/>
      <c r="AC1097" s="405"/>
      <c r="AD1097" s="406"/>
      <c r="AE1097" s="395"/>
      <c r="AF1097" s="395"/>
      <c r="AG1097" s="395"/>
      <c r="AH1097" s="395"/>
      <c r="AI1097" s="395"/>
      <c r="AJ1097" s="395"/>
      <c r="AK1097" s="395"/>
      <c r="AL1097" s="395"/>
      <c r="AM1097" s="395"/>
      <c r="AN1097" s="395"/>
      <c r="AO1097" s="395"/>
    </row>
    <row r="1098">
      <c r="A1098" s="398"/>
      <c r="B1098" s="398"/>
      <c r="C1098" s="398"/>
      <c r="D1098" s="398"/>
      <c r="E1098" s="399"/>
      <c r="F1098" s="400"/>
      <c r="G1098" s="399"/>
      <c r="H1098" s="400"/>
      <c r="I1098" s="400"/>
      <c r="J1098" s="400"/>
      <c r="K1098" s="400"/>
      <c r="L1098" s="400"/>
      <c r="M1098" s="400"/>
      <c r="N1098" s="400"/>
      <c r="O1098" s="400"/>
      <c r="P1098" s="400"/>
      <c r="Q1098" s="400"/>
      <c r="R1098" s="398"/>
      <c r="S1098" s="401"/>
      <c r="T1098" s="401"/>
      <c r="U1098" s="398"/>
      <c r="V1098" s="398"/>
      <c r="W1098" s="398"/>
      <c r="X1098" s="398"/>
      <c r="Y1098" s="402"/>
      <c r="Z1098" s="403"/>
      <c r="AA1098" s="404"/>
      <c r="AB1098" s="405"/>
      <c r="AC1098" s="405"/>
      <c r="AD1098" s="406"/>
      <c r="AE1098" s="395"/>
      <c r="AF1098" s="395"/>
      <c r="AG1098" s="395"/>
      <c r="AH1098" s="395"/>
      <c r="AI1098" s="395"/>
      <c r="AJ1098" s="395"/>
      <c r="AK1098" s="395"/>
      <c r="AL1098" s="395"/>
      <c r="AM1098" s="395"/>
      <c r="AN1098" s="395"/>
      <c r="AO1098" s="395"/>
    </row>
    <row r="1099">
      <c r="A1099" s="398"/>
      <c r="B1099" s="398"/>
      <c r="C1099" s="398"/>
      <c r="D1099" s="398"/>
      <c r="E1099" s="399"/>
      <c r="F1099" s="400"/>
      <c r="G1099" s="399"/>
      <c r="H1099" s="400"/>
      <c r="I1099" s="400"/>
      <c r="J1099" s="400"/>
      <c r="K1099" s="400"/>
      <c r="L1099" s="400"/>
      <c r="M1099" s="400"/>
      <c r="N1099" s="400"/>
      <c r="O1099" s="400"/>
      <c r="P1099" s="400"/>
      <c r="Q1099" s="400"/>
      <c r="R1099" s="398"/>
      <c r="S1099" s="401"/>
      <c r="T1099" s="401"/>
      <c r="U1099" s="398"/>
      <c r="V1099" s="398"/>
      <c r="W1099" s="398"/>
      <c r="X1099" s="398"/>
      <c r="Y1099" s="402"/>
      <c r="Z1099" s="403"/>
      <c r="AA1099" s="404"/>
      <c r="AB1099" s="405"/>
      <c r="AC1099" s="405"/>
      <c r="AD1099" s="406"/>
      <c r="AE1099" s="395"/>
      <c r="AF1099" s="395"/>
      <c r="AG1099" s="395"/>
      <c r="AH1099" s="395"/>
      <c r="AI1099" s="395"/>
      <c r="AJ1099" s="395"/>
      <c r="AK1099" s="395"/>
      <c r="AL1099" s="395"/>
      <c r="AM1099" s="395"/>
      <c r="AN1099" s="395"/>
      <c r="AO1099" s="395"/>
    </row>
    <row r="1100">
      <c r="A1100" s="398"/>
      <c r="B1100" s="398"/>
      <c r="C1100" s="398"/>
      <c r="D1100" s="398"/>
      <c r="E1100" s="399"/>
      <c r="F1100" s="400"/>
      <c r="G1100" s="399"/>
      <c r="H1100" s="400"/>
      <c r="I1100" s="400"/>
      <c r="J1100" s="400"/>
      <c r="K1100" s="400"/>
      <c r="L1100" s="400"/>
      <c r="M1100" s="400"/>
      <c r="N1100" s="400"/>
      <c r="O1100" s="400"/>
      <c r="P1100" s="400"/>
      <c r="Q1100" s="400"/>
      <c r="R1100" s="398"/>
      <c r="S1100" s="401"/>
      <c r="T1100" s="401"/>
      <c r="U1100" s="398"/>
      <c r="V1100" s="398"/>
      <c r="W1100" s="398"/>
      <c r="X1100" s="398"/>
      <c r="Y1100" s="402"/>
      <c r="Z1100" s="403"/>
      <c r="AA1100" s="404"/>
      <c r="AB1100" s="405"/>
      <c r="AC1100" s="405"/>
      <c r="AD1100" s="406"/>
      <c r="AE1100" s="395"/>
      <c r="AF1100" s="395"/>
      <c r="AG1100" s="395"/>
      <c r="AH1100" s="395"/>
      <c r="AI1100" s="395"/>
      <c r="AJ1100" s="395"/>
      <c r="AK1100" s="395"/>
      <c r="AL1100" s="395"/>
      <c r="AM1100" s="395"/>
      <c r="AN1100" s="395"/>
      <c r="AO1100" s="395"/>
    </row>
    <row r="1101">
      <c r="A1101" s="398"/>
      <c r="B1101" s="398"/>
      <c r="C1101" s="398"/>
      <c r="D1101" s="398"/>
      <c r="E1101" s="399"/>
      <c r="F1101" s="400"/>
      <c r="G1101" s="399"/>
      <c r="H1101" s="400"/>
      <c r="I1101" s="400"/>
      <c r="J1101" s="400"/>
      <c r="K1101" s="400"/>
      <c r="L1101" s="400"/>
      <c r="M1101" s="400"/>
      <c r="N1101" s="400"/>
      <c r="O1101" s="400"/>
      <c r="P1101" s="400"/>
      <c r="Q1101" s="400"/>
      <c r="R1101" s="398"/>
      <c r="S1101" s="401"/>
      <c r="T1101" s="401"/>
      <c r="U1101" s="398"/>
      <c r="V1101" s="398"/>
      <c r="W1101" s="398"/>
      <c r="X1101" s="398"/>
      <c r="Y1101" s="402"/>
      <c r="Z1101" s="403"/>
      <c r="AA1101" s="404"/>
      <c r="AB1101" s="405"/>
      <c r="AC1101" s="405"/>
      <c r="AD1101" s="406"/>
      <c r="AE1101" s="395"/>
      <c r="AF1101" s="395"/>
      <c r="AG1101" s="395"/>
      <c r="AH1101" s="395"/>
      <c r="AI1101" s="395"/>
      <c r="AJ1101" s="395"/>
      <c r="AK1101" s="395"/>
      <c r="AL1101" s="395"/>
      <c r="AM1101" s="395"/>
      <c r="AN1101" s="395"/>
      <c r="AO1101" s="395"/>
    </row>
    <row r="1102">
      <c r="A1102" s="398"/>
      <c r="B1102" s="398"/>
      <c r="C1102" s="398"/>
      <c r="D1102" s="398"/>
      <c r="E1102" s="399"/>
      <c r="F1102" s="400"/>
      <c r="G1102" s="399"/>
      <c r="H1102" s="400"/>
      <c r="I1102" s="400"/>
      <c r="J1102" s="400"/>
      <c r="K1102" s="400"/>
      <c r="L1102" s="400"/>
      <c r="M1102" s="400"/>
      <c r="N1102" s="400"/>
      <c r="O1102" s="400"/>
      <c r="P1102" s="400"/>
      <c r="Q1102" s="400"/>
      <c r="R1102" s="398"/>
      <c r="S1102" s="401"/>
      <c r="T1102" s="401"/>
      <c r="U1102" s="398"/>
      <c r="V1102" s="398"/>
      <c r="W1102" s="398"/>
      <c r="X1102" s="398"/>
      <c r="Y1102" s="402"/>
      <c r="Z1102" s="403"/>
      <c r="AA1102" s="404"/>
      <c r="AB1102" s="405"/>
      <c r="AC1102" s="405"/>
      <c r="AD1102" s="406"/>
      <c r="AE1102" s="395"/>
      <c r="AF1102" s="395"/>
      <c r="AG1102" s="395"/>
      <c r="AH1102" s="395"/>
      <c r="AI1102" s="395"/>
      <c r="AJ1102" s="395"/>
      <c r="AK1102" s="395"/>
      <c r="AL1102" s="395"/>
      <c r="AM1102" s="395"/>
      <c r="AN1102" s="395"/>
      <c r="AO1102" s="395"/>
    </row>
    <row r="1103">
      <c r="A1103" s="398"/>
      <c r="B1103" s="398"/>
      <c r="C1103" s="398"/>
      <c r="D1103" s="398"/>
      <c r="E1103" s="399"/>
      <c r="F1103" s="400"/>
      <c r="G1103" s="399"/>
      <c r="H1103" s="400"/>
      <c r="I1103" s="400"/>
      <c r="J1103" s="400"/>
      <c r="K1103" s="400"/>
      <c r="L1103" s="400"/>
      <c r="M1103" s="400"/>
      <c r="N1103" s="400"/>
      <c r="O1103" s="400"/>
      <c r="P1103" s="400"/>
      <c r="Q1103" s="400"/>
      <c r="R1103" s="398"/>
      <c r="S1103" s="401"/>
      <c r="T1103" s="401"/>
      <c r="U1103" s="398"/>
      <c r="V1103" s="398"/>
      <c r="W1103" s="398"/>
      <c r="X1103" s="398"/>
      <c r="Y1103" s="402"/>
      <c r="Z1103" s="403"/>
      <c r="AA1103" s="404"/>
      <c r="AB1103" s="405"/>
      <c r="AC1103" s="405"/>
      <c r="AD1103" s="406"/>
      <c r="AE1103" s="395"/>
      <c r="AF1103" s="395"/>
      <c r="AG1103" s="395"/>
      <c r="AH1103" s="395"/>
      <c r="AI1103" s="395"/>
      <c r="AJ1103" s="395"/>
      <c r="AK1103" s="395"/>
      <c r="AL1103" s="395"/>
      <c r="AM1103" s="395"/>
      <c r="AN1103" s="395"/>
      <c r="AO1103" s="395"/>
    </row>
    <row r="1104">
      <c r="A1104" s="398"/>
      <c r="B1104" s="398"/>
      <c r="C1104" s="398"/>
      <c r="D1104" s="398"/>
      <c r="E1104" s="399"/>
      <c r="F1104" s="400"/>
      <c r="G1104" s="399"/>
      <c r="H1104" s="400"/>
      <c r="I1104" s="400"/>
      <c r="J1104" s="400"/>
      <c r="K1104" s="400"/>
      <c r="L1104" s="400"/>
      <c r="M1104" s="400"/>
      <c r="N1104" s="400"/>
      <c r="O1104" s="400"/>
      <c r="P1104" s="400"/>
      <c r="Q1104" s="400"/>
      <c r="R1104" s="398"/>
      <c r="S1104" s="401"/>
      <c r="T1104" s="401"/>
      <c r="U1104" s="398"/>
      <c r="V1104" s="398"/>
      <c r="W1104" s="398"/>
      <c r="X1104" s="398"/>
      <c r="Y1104" s="402"/>
      <c r="Z1104" s="403"/>
      <c r="AA1104" s="404"/>
      <c r="AB1104" s="405"/>
      <c r="AC1104" s="405"/>
      <c r="AD1104" s="406"/>
      <c r="AE1104" s="395"/>
      <c r="AF1104" s="395"/>
      <c r="AG1104" s="395"/>
      <c r="AH1104" s="395"/>
      <c r="AI1104" s="395"/>
      <c r="AJ1104" s="395"/>
      <c r="AK1104" s="395"/>
      <c r="AL1104" s="395"/>
      <c r="AM1104" s="395"/>
      <c r="AN1104" s="395"/>
      <c r="AO1104" s="395"/>
    </row>
    <row r="1105">
      <c r="A1105" s="398"/>
      <c r="B1105" s="398"/>
      <c r="C1105" s="398"/>
      <c r="D1105" s="398"/>
      <c r="E1105" s="399"/>
      <c r="F1105" s="400"/>
      <c r="G1105" s="399"/>
      <c r="H1105" s="400"/>
      <c r="I1105" s="400"/>
      <c r="J1105" s="400"/>
      <c r="K1105" s="400"/>
      <c r="L1105" s="400"/>
      <c r="M1105" s="400"/>
      <c r="N1105" s="400"/>
      <c r="O1105" s="400"/>
      <c r="P1105" s="400"/>
      <c r="Q1105" s="400"/>
      <c r="R1105" s="398"/>
      <c r="S1105" s="401"/>
      <c r="T1105" s="401"/>
      <c r="U1105" s="398"/>
      <c r="V1105" s="398"/>
      <c r="W1105" s="398"/>
      <c r="X1105" s="398"/>
      <c r="Y1105" s="402"/>
      <c r="Z1105" s="403"/>
      <c r="AA1105" s="404"/>
      <c r="AB1105" s="405"/>
      <c r="AC1105" s="405"/>
      <c r="AD1105" s="406"/>
      <c r="AE1105" s="395"/>
      <c r="AF1105" s="395"/>
      <c r="AG1105" s="395"/>
      <c r="AH1105" s="395"/>
      <c r="AI1105" s="395"/>
      <c r="AJ1105" s="395"/>
      <c r="AK1105" s="395"/>
      <c r="AL1105" s="395"/>
      <c r="AM1105" s="395"/>
      <c r="AN1105" s="395"/>
      <c r="AO1105" s="395"/>
    </row>
    <row r="1106">
      <c r="A1106" s="398"/>
      <c r="B1106" s="398"/>
      <c r="C1106" s="398"/>
      <c r="D1106" s="398"/>
      <c r="E1106" s="399"/>
      <c r="F1106" s="400"/>
      <c r="G1106" s="399"/>
      <c r="H1106" s="400"/>
      <c r="I1106" s="400"/>
      <c r="J1106" s="400"/>
      <c r="K1106" s="400"/>
      <c r="L1106" s="400"/>
      <c r="M1106" s="400"/>
      <c r="N1106" s="400"/>
      <c r="O1106" s="400"/>
      <c r="P1106" s="400"/>
      <c r="Q1106" s="400"/>
      <c r="R1106" s="398"/>
      <c r="S1106" s="401"/>
      <c r="T1106" s="401"/>
      <c r="U1106" s="398"/>
      <c r="V1106" s="398"/>
      <c r="W1106" s="398"/>
      <c r="X1106" s="398"/>
      <c r="Y1106" s="402"/>
      <c r="Z1106" s="403"/>
      <c r="AA1106" s="404"/>
      <c r="AB1106" s="405"/>
      <c r="AC1106" s="405"/>
      <c r="AD1106" s="406"/>
      <c r="AE1106" s="395"/>
      <c r="AF1106" s="395"/>
      <c r="AG1106" s="395"/>
      <c r="AH1106" s="395"/>
      <c r="AI1106" s="395"/>
      <c r="AJ1106" s="395"/>
      <c r="AK1106" s="395"/>
      <c r="AL1106" s="395"/>
      <c r="AM1106" s="395"/>
      <c r="AN1106" s="395"/>
      <c r="AO1106" s="395"/>
    </row>
    <row r="1107">
      <c r="A1107" s="398"/>
      <c r="B1107" s="398"/>
      <c r="C1107" s="398"/>
      <c r="D1107" s="398"/>
      <c r="E1107" s="399"/>
      <c r="F1107" s="400"/>
      <c r="G1107" s="399"/>
      <c r="H1107" s="400"/>
      <c r="I1107" s="400"/>
      <c r="J1107" s="400"/>
      <c r="K1107" s="400"/>
      <c r="L1107" s="400"/>
      <c r="M1107" s="400"/>
      <c r="N1107" s="400"/>
      <c r="O1107" s="400"/>
      <c r="P1107" s="400"/>
      <c r="Q1107" s="400"/>
      <c r="R1107" s="398"/>
      <c r="S1107" s="401"/>
      <c r="T1107" s="401"/>
      <c r="U1107" s="398"/>
      <c r="V1107" s="398"/>
      <c r="W1107" s="398"/>
      <c r="X1107" s="398"/>
      <c r="Y1107" s="402"/>
      <c r="Z1107" s="403"/>
      <c r="AA1107" s="404"/>
      <c r="AB1107" s="405"/>
      <c r="AC1107" s="405"/>
      <c r="AD1107" s="406"/>
      <c r="AE1107" s="395"/>
      <c r="AF1107" s="395"/>
      <c r="AG1107" s="395"/>
      <c r="AH1107" s="395"/>
      <c r="AI1107" s="395"/>
      <c r="AJ1107" s="395"/>
      <c r="AK1107" s="395"/>
      <c r="AL1107" s="395"/>
      <c r="AM1107" s="395"/>
      <c r="AN1107" s="395"/>
      <c r="AO1107" s="395"/>
    </row>
    <row r="1108">
      <c r="A1108" s="398"/>
      <c r="B1108" s="398"/>
      <c r="C1108" s="398"/>
      <c r="D1108" s="398"/>
      <c r="E1108" s="399"/>
      <c r="F1108" s="400"/>
      <c r="G1108" s="399"/>
      <c r="H1108" s="400"/>
      <c r="I1108" s="400"/>
      <c r="J1108" s="400"/>
      <c r="K1108" s="400"/>
      <c r="L1108" s="400"/>
      <c r="M1108" s="400"/>
      <c r="N1108" s="400"/>
      <c r="O1108" s="400"/>
      <c r="P1108" s="400"/>
      <c r="Q1108" s="400"/>
      <c r="R1108" s="398"/>
      <c r="S1108" s="401"/>
      <c r="T1108" s="401"/>
      <c r="U1108" s="398"/>
      <c r="V1108" s="398"/>
      <c r="W1108" s="398"/>
      <c r="X1108" s="398"/>
      <c r="Y1108" s="402"/>
      <c r="Z1108" s="403"/>
      <c r="AA1108" s="404"/>
      <c r="AB1108" s="405"/>
      <c r="AC1108" s="405"/>
      <c r="AD1108" s="406"/>
      <c r="AE1108" s="395"/>
      <c r="AF1108" s="395"/>
      <c r="AG1108" s="395"/>
      <c r="AH1108" s="395"/>
      <c r="AI1108" s="395"/>
      <c r="AJ1108" s="395"/>
      <c r="AK1108" s="395"/>
      <c r="AL1108" s="395"/>
      <c r="AM1108" s="395"/>
      <c r="AN1108" s="395"/>
      <c r="AO1108" s="395"/>
    </row>
    <row r="1109">
      <c r="A1109" s="398"/>
      <c r="B1109" s="398"/>
      <c r="C1109" s="398"/>
      <c r="D1109" s="398"/>
      <c r="E1109" s="399"/>
      <c r="F1109" s="400"/>
      <c r="G1109" s="399"/>
      <c r="H1109" s="400"/>
      <c r="I1109" s="400"/>
      <c r="J1109" s="400"/>
      <c r="K1109" s="400"/>
      <c r="L1109" s="400"/>
      <c r="M1109" s="400"/>
      <c r="N1109" s="400"/>
      <c r="O1109" s="400"/>
      <c r="P1109" s="400"/>
      <c r="Q1109" s="400"/>
      <c r="R1109" s="398"/>
      <c r="S1109" s="401"/>
      <c r="T1109" s="401"/>
      <c r="U1109" s="398"/>
      <c r="V1109" s="398"/>
      <c r="W1109" s="398"/>
      <c r="X1109" s="398"/>
      <c r="Y1109" s="402"/>
      <c r="Z1109" s="403"/>
      <c r="AA1109" s="404"/>
      <c r="AB1109" s="405"/>
      <c r="AC1109" s="405"/>
      <c r="AD1109" s="406"/>
      <c r="AE1109" s="395"/>
      <c r="AF1109" s="395"/>
      <c r="AG1109" s="395"/>
      <c r="AH1109" s="395"/>
      <c r="AI1109" s="395"/>
      <c r="AJ1109" s="395"/>
      <c r="AK1109" s="395"/>
      <c r="AL1109" s="395"/>
      <c r="AM1109" s="395"/>
      <c r="AN1109" s="395"/>
      <c r="AO1109" s="395"/>
    </row>
    <row r="1110">
      <c r="A1110" s="398"/>
      <c r="B1110" s="398"/>
      <c r="C1110" s="398"/>
      <c r="D1110" s="398"/>
      <c r="E1110" s="399"/>
      <c r="F1110" s="400"/>
      <c r="G1110" s="399"/>
      <c r="H1110" s="400"/>
      <c r="I1110" s="400"/>
      <c r="J1110" s="400"/>
      <c r="K1110" s="400"/>
      <c r="L1110" s="400"/>
      <c r="M1110" s="400"/>
      <c r="N1110" s="400"/>
      <c r="O1110" s="400"/>
      <c r="P1110" s="400"/>
      <c r="Q1110" s="400"/>
      <c r="R1110" s="398"/>
      <c r="S1110" s="401"/>
      <c r="T1110" s="401"/>
      <c r="U1110" s="398"/>
      <c r="V1110" s="398"/>
      <c r="W1110" s="398"/>
      <c r="X1110" s="398"/>
      <c r="Y1110" s="402"/>
      <c r="Z1110" s="403"/>
      <c r="AA1110" s="404"/>
      <c r="AB1110" s="405"/>
      <c r="AC1110" s="405"/>
      <c r="AD1110" s="406"/>
      <c r="AE1110" s="395"/>
      <c r="AF1110" s="395"/>
      <c r="AG1110" s="395"/>
      <c r="AH1110" s="395"/>
      <c r="AI1110" s="395"/>
      <c r="AJ1110" s="395"/>
      <c r="AK1110" s="395"/>
      <c r="AL1110" s="395"/>
      <c r="AM1110" s="395"/>
      <c r="AN1110" s="395"/>
      <c r="AO1110" s="395"/>
    </row>
    <row r="1111">
      <c r="A1111" s="398"/>
      <c r="B1111" s="398"/>
      <c r="C1111" s="398"/>
      <c r="D1111" s="398"/>
      <c r="E1111" s="399"/>
      <c r="F1111" s="400"/>
      <c r="G1111" s="399"/>
      <c r="H1111" s="400"/>
      <c r="I1111" s="400"/>
      <c r="J1111" s="400"/>
      <c r="K1111" s="400"/>
      <c r="L1111" s="400"/>
      <c r="M1111" s="400"/>
      <c r="N1111" s="400"/>
      <c r="O1111" s="400"/>
      <c r="P1111" s="400"/>
      <c r="Q1111" s="400"/>
      <c r="R1111" s="398"/>
      <c r="S1111" s="401"/>
      <c r="T1111" s="401"/>
      <c r="U1111" s="398"/>
      <c r="V1111" s="398"/>
      <c r="W1111" s="398"/>
      <c r="X1111" s="398"/>
      <c r="Y1111" s="402"/>
      <c r="Z1111" s="403"/>
      <c r="AA1111" s="404"/>
      <c r="AB1111" s="405"/>
      <c r="AC1111" s="405"/>
      <c r="AD1111" s="406"/>
      <c r="AE1111" s="395"/>
      <c r="AF1111" s="395"/>
      <c r="AG1111" s="395"/>
      <c r="AH1111" s="395"/>
      <c r="AI1111" s="395"/>
      <c r="AJ1111" s="395"/>
      <c r="AK1111" s="395"/>
      <c r="AL1111" s="395"/>
      <c r="AM1111" s="395"/>
      <c r="AN1111" s="395"/>
      <c r="AO1111" s="395"/>
    </row>
    <row r="1112">
      <c r="A1112" s="398"/>
      <c r="B1112" s="398"/>
      <c r="C1112" s="398"/>
      <c r="D1112" s="398"/>
      <c r="E1112" s="399"/>
      <c r="F1112" s="400"/>
      <c r="G1112" s="399"/>
      <c r="H1112" s="400"/>
      <c r="I1112" s="400"/>
      <c r="J1112" s="400"/>
      <c r="K1112" s="400"/>
      <c r="L1112" s="400"/>
      <c r="M1112" s="400"/>
      <c r="N1112" s="400"/>
      <c r="O1112" s="400"/>
      <c r="P1112" s="400"/>
      <c r="Q1112" s="400"/>
      <c r="R1112" s="398"/>
      <c r="S1112" s="401"/>
      <c r="T1112" s="401"/>
      <c r="U1112" s="398"/>
      <c r="V1112" s="398"/>
      <c r="W1112" s="398"/>
      <c r="X1112" s="398"/>
      <c r="Y1112" s="402"/>
      <c r="Z1112" s="403"/>
      <c r="AA1112" s="404"/>
      <c r="AB1112" s="405"/>
      <c r="AC1112" s="405"/>
      <c r="AD1112" s="406"/>
      <c r="AE1112" s="395"/>
      <c r="AF1112" s="395"/>
      <c r="AG1112" s="395"/>
      <c r="AH1112" s="395"/>
      <c r="AI1112" s="395"/>
      <c r="AJ1112" s="395"/>
      <c r="AK1112" s="395"/>
      <c r="AL1112" s="395"/>
      <c r="AM1112" s="395"/>
      <c r="AN1112" s="395"/>
      <c r="AO1112" s="395"/>
    </row>
    <row r="1113">
      <c r="A1113" s="398"/>
      <c r="B1113" s="398"/>
      <c r="C1113" s="398"/>
      <c r="D1113" s="398"/>
      <c r="E1113" s="399"/>
      <c r="F1113" s="400"/>
      <c r="G1113" s="399"/>
      <c r="H1113" s="400"/>
      <c r="I1113" s="400"/>
      <c r="J1113" s="400"/>
      <c r="K1113" s="400"/>
      <c r="L1113" s="400"/>
      <c r="M1113" s="400"/>
      <c r="N1113" s="400"/>
      <c r="O1113" s="400"/>
      <c r="P1113" s="400"/>
      <c r="Q1113" s="400"/>
      <c r="R1113" s="398"/>
      <c r="S1113" s="401"/>
      <c r="T1113" s="401"/>
      <c r="U1113" s="398"/>
      <c r="V1113" s="398"/>
      <c r="W1113" s="398"/>
      <c r="X1113" s="398"/>
      <c r="Y1113" s="402"/>
      <c r="Z1113" s="403"/>
      <c r="AA1113" s="404"/>
      <c r="AB1113" s="405"/>
      <c r="AC1113" s="405"/>
      <c r="AD1113" s="406"/>
      <c r="AE1113" s="395"/>
      <c r="AF1113" s="395"/>
      <c r="AG1113" s="395"/>
      <c r="AH1113" s="395"/>
      <c r="AI1113" s="395"/>
      <c r="AJ1113" s="395"/>
      <c r="AK1113" s="395"/>
      <c r="AL1113" s="395"/>
      <c r="AM1113" s="395"/>
      <c r="AN1113" s="395"/>
      <c r="AO1113" s="395"/>
    </row>
    <row r="1114">
      <c r="A1114" s="398"/>
      <c r="B1114" s="398"/>
      <c r="C1114" s="398"/>
      <c r="D1114" s="398"/>
      <c r="E1114" s="399"/>
      <c r="F1114" s="400"/>
      <c r="G1114" s="399"/>
      <c r="H1114" s="400"/>
      <c r="I1114" s="400"/>
      <c r="J1114" s="400"/>
      <c r="K1114" s="400"/>
      <c r="L1114" s="400"/>
      <c r="M1114" s="400"/>
      <c r="N1114" s="400"/>
      <c r="O1114" s="400"/>
      <c r="P1114" s="400"/>
      <c r="Q1114" s="400"/>
      <c r="R1114" s="398"/>
      <c r="S1114" s="401"/>
      <c r="T1114" s="401"/>
      <c r="U1114" s="398"/>
      <c r="V1114" s="398"/>
      <c r="W1114" s="398"/>
      <c r="X1114" s="398"/>
      <c r="Y1114" s="402"/>
      <c r="Z1114" s="403"/>
      <c r="AA1114" s="404"/>
      <c r="AB1114" s="405"/>
      <c r="AC1114" s="405"/>
      <c r="AD1114" s="406"/>
      <c r="AE1114" s="395"/>
      <c r="AF1114" s="395"/>
      <c r="AG1114" s="395"/>
      <c r="AH1114" s="395"/>
      <c r="AI1114" s="395"/>
      <c r="AJ1114" s="395"/>
      <c r="AK1114" s="395"/>
      <c r="AL1114" s="395"/>
      <c r="AM1114" s="395"/>
      <c r="AN1114" s="395"/>
      <c r="AO1114" s="395"/>
    </row>
    <row r="1115">
      <c r="A1115" s="398"/>
      <c r="B1115" s="398"/>
      <c r="C1115" s="398"/>
      <c r="D1115" s="398"/>
      <c r="E1115" s="399"/>
      <c r="F1115" s="400"/>
      <c r="G1115" s="399"/>
      <c r="H1115" s="400"/>
      <c r="I1115" s="400"/>
      <c r="J1115" s="400"/>
      <c r="K1115" s="400"/>
      <c r="L1115" s="400"/>
      <c r="M1115" s="400"/>
      <c r="N1115" s="400"/>
      <c r="O1115" s="400"/>
      <c r="P1115" s="400"/>
      <c r="Q1115" s="400"/>
      <c r="R1115" s="398"/>
      <c r="S1115" s="401"/>
      <c r="T1115" s="401"/>
      <c r="U1115" s="398"/>
      <c r="V1115" s="398"/>
      <c r="W1115" s="398"/>
      <c r="X1115" s="398"/>
      <c r="Y1115" s="402"/>
      <c r="Z1115" s="403"/>
      <c r="AA1115" s="404"/>
      <c r="AB1115" s="405"/>
      <c r="AC1115" s="405"/>
      <c r="AD1115" s="406"/>
      <c r="AE1115" s="395"/>
      <c r="AF1115" s="395"/>
      <c r="AG1115" s="395"/>
      <c r="AH1115" s="395"/>
      <c r="AI1115" s="395"/>
      <c r="AJ1115" s="395"/>
      <c r="AK1115" s="395"/>
      <c r="AL1115" s="395"/>
      <c r="AM1115" s="395"/>
      <c r="AN1115" s="395"/>
      <c r="AO1115" s="395"/>
    </row>
    <row r="1116">
      <c r="A1116" s="398"/>
      <c r="B1116" s="398"/>
      <c r="C1116" s="398"/>
      <c r="D1116" s="398"/>
      <c r="E1116" s="399"/>
      <c r="F1116" s="400"/>
      <c r="G1116" s="399"/>
      <c r="H1116" s="400"/>
      <c r="I1116" s="400"/>
      <c r="J1116" s="400"/>
      <c r="K1116" s="400"/>
      <c r="L1116" s="400"/>
      <c r="M1116" s="400"/>
      <c r="N1116" s="400"/>
      <c r="O1116" s="400"/>
      <c r="P1116" s="400"/>
      <c r="Q1116" s="400"/>
      <c r="R1116" s="398"/>
      <c r="S1116" s="401"/>
      <c r="T1116" s="401"/>
      <c r="U1116" s="398"/>
      <c r="V1116" s="398"/>
      <c r="W1116" s="398"/>
      <c r="X1116" s="398"/>
      <c r="Y1116" s="402"/>
      <c r="Z1116" s="403"/>
      <c r="AA1116" s="404"/>
      <c r="AB1116" s="405"/>
      <c r="AC1116" s="405"/>
      <c r="AD1116" s="406"/>
      <c r="AE1116" s="395"/>
      <c r="AF1116" s="395"/>
      <c r="AG1116" s="395"/>
      <c r="AH1116" s="395"/>
      <c r="AI1116" s="395"/>
      <c r="AJ1116" s="395"/>
      <c r="AK1116" s="395"/>
      <c r="AL1116" s="395"/>
      <c r="AM1116" s="395"/>
      <c r="AN1116" s="395"/>
      <c r="AO1116" s="395"/>
    </row>
    <row r="1117">
      <c r="A1117" s="398"/>
      <c r="B1117" s="398"/>
      <c r="C1117" s="398"/>
      <c r="D1117" s="398"/>
      <c r="E1117" s="399"/>
      <c r="F1117" s="400"/>
      <c r="G1117" s="399"/>
      <c r="H1117" s="400"/>
      <c r="I1117" s="400"/>
      <c r="J1117" s="400"/>
      <c r="K1117" s="400"/>
      <c r="L1117" s="400"/>
      <c r="M1117" s="400"/>
      <c r="N1117" s="400"/>
      <c r="O1117" s="400"/>
      <c r="P1117" s="400"/>
      <c r="Q1117" s="400"/>
      <c r="R1117" s="398"/>
      <c r="S1117" s="401"/>
      <c r="T1117" s="401"/>
      <c r="U1117" s="398"/>
      <c r="V1117" s="398"/>
      <c r="W1117" s="398"/>
      <c r="X1117" s="398"/>
      <c r="Y1117" s="402"/>
      <c r="Z1117" s="403"/>
      <c r="AA1117" s="404"/>
      <c r="AB1117" s="405"/>
      <c r="AC1117" s="405"/>
      <c r="AD1117" s="406"/>
      <c r="AE1117" s="395"/>
      <c r="AF1117" s="395"/>
      <c r="AG1117" s="395"/>
      <c r="AH1117" s="395"/>
      <c r="AI1117" s="395"/>
      <c r="AJ1117" s="395"/>
      <c r="AK1117" s="395"/>
      <c r="AL1117" s="395"/>
      <c r="AM1117" s="395"/>
      <c r="AN1117" s="395"/>
      <c r="AO1117" s="395"/>
    </row>
    <row r="1118">
      <c r="A1118" s="398"/>
      <c r="B1118" s="398"/>
      <c r="C1118" s="398"/>
      <c r="D1118" s="398"/>
      <c r="E1118" s="399"/>
      <c r="F1118" s="400"/>
      <c r="G1118" s="399"/>
      <c r="H1118" s="400"/>
      <c r="I1118" s="400"/>
      <c r="J1118" s="400"/>
      <c r="K1118" s="400"/>
      <c r="L1118" s="400"/>
      <c r="M1118" s="400"/>
      <c r="N1118" s="400"/>
      <c r="O1118" s="400"/>
      <c r="P1118" s="400"/>
      <c r="Q1118" s="400"/>
      <c r="R1118" s="398"/>
      <c r="S1118" s="401"/>
      <c r="T1118" s="401"/>
      <c r="U1118" s="398"/>
      <c r="V1118" s="398"/>
      <c r="W1118" s="398"/>
      <c r="X1118" s="398"/>
      <c r="Y1118" s="402"/>
      <c r="Z1118" s="403"/>
      <c r="AA1118" s="404"/>
      <c r="AB1118" s="405"/>
      <c r="AC1118" s="405"/>
      <c r="AD1118" s="406"/>
      <c r="AE1118" s="395"/>
      <c r="AF1118" s="395"/>
      <c r="AG1118" s="395"/>
      <c r="AH1118" s="395"/>
      <c r="AI1118" s="395"/>
      <c r="AJ1118" s="395"/>
      <c r="AK1118" s="395"/>
      <c r="AL1118" s="395"/>
      <c r="AM1118" s="395"/>
      <c r="AN1118" s="395"/>
      <c r="AO1118" s="395"/>
    </row>
    <row r="1119">
      <c r="A1119" s="398"/>
      <c r="B1119" s="398"/>
      <c r="C1119" s="398"/>
      <c r="D1119" s="398"/>
      <c r="E1119" s="399"/>
      <c r="F1119" s="400"/>
      <c r="G1119" s="399"/>
      <c r="H1119" s="400"/>
      <c r="I1119" s="400"/>
      <c r="J1119" s="400"/>
      <c r="K1119" s="400"/>
      <c r="L1119" s="400"/>
      <c r="M1119" s="400"/>
      <c r="N1119" s="400"/>
      <c r="O1119" s="400"/>
      <c r="P1119" s="400"/>
      <c r="Q1119" s="400"/>
      <c r="R1119" s="398"/>
      <c r="S1119" s="401"/>
      <c r="T1119" s="401"/>
      <c r="U1119" s="398"/>
      <c r="V1119" s="398"/>
      <c r="W1119" s="398"/>
      <c r="X1119" s="398"/>
      <c r="Y1119" s="402"/>
      <c r="Z1119" s="403"/>
      <c r="AA1119" s="404"/>
      <c r="AB1119" s="405"/>
      <c r="AC1119" s="405"/>
      <c r="AD1119" s="406"/>
      <c r="AE1119" s="395"/>
      <c r="AF1119" s="395"/>
      <c r="AG1119" s="395"/>
      <c r="AH1119" s="395"/>
      <c r="AI1119" s="395"/>
      <c r="AJ1119" s="395"/>
      <c r="AK1119" s="395"/>
      <c r="AL1119" s="395"/>
      <c r="AM1119" s="395"/>
      <c r="AN1119" s="395"/>
      <c r="AO1119" s="395"/>
    </row>
    <row r="1120">
      <c r="A1120" s="398"/>
      <c r="B1120" s="398"/>
      <c r="C1120" s="398"/>
      <c r="D1120" s="398"/>
      <c r="E1120" s="399"/>
      <c r="F1120" s="400"/>
      <c r="G1120" s="399"/>
      <c r="H1120" s="400"/>
      <c r="I1120" s="400"/>
      <c r="J1120" s="400"/>
      <c r="K1120" s="400"/>
      <c r="L1120" s="400"/>
      <c r="M1120" s="400"/>
      <c r="N1120" s="400"/>
      <c r="O1120" s="400"/>
      <c r="P1120" s="400"/>
      <c r="Q1120" s="400"/>
      <c r="R1120" s="398"/>
      <c r="S1120" s="401"/>
      <c r="T1120" s="401"/>
      <c r="U1120" s="398"/>
      <c r="V1120" s="398"/>
      <c r="W1120" s="398"/>
      <c r="X1120" s="398"/>
      <c r="Y1120" s="402"/>
      <c r="Z1120" s="403"/>
      <c r="AA1120" s="404"/>
      <c r="AB1120" s="405"/>
      <c r="AC1120" s="405"/>
      <c r="AD1120" s="406"/>
      <c r="AE1120" s="395"/>
      <c r="AF1120" s="395"/>
      <c r="AG1120" s="395"/>
      <c r="AH1120" s="395"/>
      <c r="AI1120" s="395"/>
      <c r="AJ1120" s="395"/>
      <c r="AK1120" s="395"/>
      <c r="AL1120" s="395"/>
      <c r="AM1120" s="395"/>
      <c r="AN1120" s="395"/>
      <c r="AO1120" s="395"/>
    </row>
    <row r="1121">
      <c r="A1121" s="398"/>
      <c r="B1121" s="398"/>
      <c r="C1121" s="398"/>
      <c r="D1121" s="398"/>
      <c r="E1121" s="399"/>
      <c r="F1121" s="400"/>
      <c r="G1121" s="399"/>
      <c r="H1121" s="400"/>
      <c r="I1121" s="400"/>
      <c r="J1121" s="400"/>
      <c r="K1121" s="400"/>
      <c r="L1121" s="400"/>
      <c r="M1121" s="400"/>
      <c r="N1121" s="400"/>
      <c r="O1121" s="400"/>
      <c r="P1121" s="400"/>
      <c r="Q1121" s="400"/>
      <c r="R1121" s="398"/>
      <c r="S1121" s="401"/>
      <c r="T1121" s="401"/>
      <c r="U1121" s="398"/>
      <c r="V1121" s="398"/>
      <c r="W1121" s="398"/>
      <c r="X1121" s="398"/>
      <c r="Y1121" s="402"/>
      <c r="Z1121" s="403"/>
      <c r="AA1121" s="404"/>
      <c r="AB1121" s="405"/>
      <c r="AC1121" s="405"/>
      <c r="AD1121" s="406"/>
      <c r="AE1121" s="395"/>
      <c r="AF1121" s="395"/>
      <c r="AG1121" s="395"/>
      <c r="AH1121" s="395"/>
      <c r="AI1121" s="395"/>
      <c r="AJ1121" s="395"/>
      <c r="AK1121" s="395"/>
      <c r="AL1121" s="395"/>
      <c r="AM1121" s="395"/>
      <c r="AN1121" s="395"/>
      <c r="AO1121" s="395"/>
    </row>
    <row r="1122">
      <c r="A1122" s="398"/>
      <c r="B1122" s="398"/>
      <c r="C1122" s="398"/>
      <c r="D1122" s="398"/>
      <c r="E1122" s="399"/>
      <c r="F1122" s="400"/>
      <c r="G1122" s="399"/>
      <c r="H1122" s="400"/>
      <c r="I1122" s="400"/>
      <c r="J1122" s="400"/>
      <c r="K1122" s="400"/>
      <c r="L1122" s="400"/>
      <c r="M1122" s="400"/>
      <c r="N1122" s="400"/>
      <c r="O1122" s="400"/>
      <c r="P1122" s="400"/>
      <c r="Q1122" s="400"/>
      <c r="R1122" s="398"/>
      <c r="S1122" s="401"/>
      <c r="T1122" s="401"/>
      <c r="U1122" s="398"/>
      <c r="V1122" s="398"/>
      <c r="W1122" s="398"/>
      <c r="X1122" s="398"/>
      <c r="Y1122" s="402"/>
      <c r="Z1122" s="403"/>
      <c r="AA1122" s="404"/>
      <c r="AB1122" s="405"/>
      <c r="AC1122" s="405"/>
      <c r="AD1122" s="406"/>
      <c r="AE1122" s="395"/>
      <c r="AF1122" s="395"/>
      <c r="AG1122" s="395"/>
      <c r="AH1122" s="395"/>
      <c r="AI1122" s="395"/>
      <c r="AJ1122" s="395"/>
      <c r="AK1122" s="395"/>
      <c r="AL1122" s="395"/>
      <c r="AM1122" s="395"/>
      <c r="AN1122" s="395"/>
      <c r="AO1122" s="395"/>
    </row>
    <row r="1123">
      <c r="A1123" s="398"/>
      <c r="B1123" s="398"/>
      <c r="C1123" s="398"/>
      <c r="D1123" s="398"/>
      <c r="E1123" s="399"/>
      <c r="F1123" s="400"/>
      <c r="G1123" s="399"/>
      <c r="H1123" s="400"/>
      <c r="I1123" s="400"/>
      <c r="J1123" s="400"/>
      <c r="K1123" s="400"/>
      <c r="L1123" s="400"/>
      <c r="M1123" s="400"/>
      <c r="N1123" s="400"/>
      <c r="O1123" s="400"/>
      <c r="P1123" s="400"/>
      <c r="Q1123" s="400"/>
      <c r="R1123" s="398"/>
      <c r="S1123" s="401"/>
      <c r="T1123" s="401"/>
      <c r="U1123" s="398"/>
      <c r="V1123" s="398"/>
      <c r="W1123" s="398"/>
      <c r="X1123" s="398"/>
      <c r="Y1123" s="402"/>
      <c r="Z1123" s="403"/>
      <c r="AA1123" s="404"/>
      <c r="AB1123" s="405"/>
      <c r="AC1123" s="405"/>
      <c r="AD1123" s="406"/>
      <c r="AE1123" s="395"/>
      <c r="AF1123" s="395"/>
      <c r="AG1123" s="395"/>
      <c r="AH1123" s="395"/>
      <c r="AI1123" s="395"/>
      <c r="AJ1123" s="395"/>
      <c r="AK1123" s="395"/>
      <c r="AL1123" s="395"/>
      <c r="AM1123" s="395"/>
      <c r="AN1123" s="395"/>
      <c r="AO1123" s="395"/>
    </row>
    <row r="1124">
      <c r="A1124" s="398"/>
      <c r="B1124" s="398"/>
      <c r="C1124" s="398"/>
      <c r="D1124" s="398"/>
      <c r="E1124" s="399"/>
      <c r="F1124" s="400"/>
      <c r="G1124" s="399"/>
      <c r="H1124" s="400"/>
      <c r="I1124" s="400"/>
      <c r="J1124" s="400"/>
      <c r="K1124" s="400"/>
      <c r="L1124" s="400"/>
      <c r="M1124" s="400"/>
      <c r="N1124" s="400"/>
      <c r="O1124" s="400"/>
      <c r="P1124" s="400"/>
      <c r="Q1124" s="400"/>
      <c r="R1124" s="398"/>
      <c r="S1124" s="401"/>
      <c r="T1124" s="401"/>
      <c r="U1124" s="398"/>
      <c r="V1124" s="398"/>
      <c r="W1124" s="398"/>
      <c r="X1124" s="398"/>
      <c r="Y1124" s="402"/>
      <c r="Z1124" s="403"/>
      <c r="AA1124" s="404"/>
      <c r="AB1124" s="405"/>
      <c r="AC1124" s="405"/>
      <c r="AD1124" s="406"/>
      <c r="AE1124" s="395"/>
      <c r="AF1124" s="395"/>
      <c r="AG1124" s="395"/>
      <c r="AH1124" s="395"/>
      <c r="AI1124" s="395"/>
      <c r="AJ1124" s="395"/>
      <c r="AK1124" s="395"/>
      <c r="AL1124" s="395"/>
      <c r="AM1124" s="395"/>
      <c r="AN1124" s="395"/>
      <c r="AO1124" s="395"/>
    </row>
    <row r="1125">
      <c r="A1125" s="398"/>
      <c r="B1125" s="398"/>
      <c r="C1125" s="398"/>
      <c r="D1125" s="398"/>
      <c r="E1125" s="399"/>
      <c r="F1125" s="400"/>
      <c r="G1125" s="399"/>
      <c r="H1125" s="400"/>
      <c r="I1125" s="400"/>
      <c r="J1125" s="400"/>
      <c r="K1125" s="400"/>
      <c r="L1125" s="400"/>
      <c r="M1125" s="400"/>
      <c r="N1125" s="400"/>
      <c r="O1125" s="400"/>
      <c r="P1125" s="400"/>
      <c r="Q1125" s="400"/>
      <c r="R1125" s="398"/>
      <c r="S1125" s="401"/>
      <c r="T1125" s="401"/>
      <c r="U1125" s="398"/>
      <c r="V1125" s="398"/>
      <c r="W1125" s="398"/>
      <c r="X1125" s="398"/>
      <c r="Y1125" s="402"/>
      <c r="Z1125" s="403"/>
      <c r="AA1125" s="404"/>
      <c r="AB1125" s="405"/>
      <c r="AC1125" s="405"/>
      <c r="AD1125" s="406"/>
      <c r="AE1125" s="395"/>
      <c r="AF1125" s="395"/>
      <c r="AG1125" s="395"/>
      <c r="AH1125" s="395"/>
      <c r="AI1125" s="395"/>
      <c r="AJ1125" s="395"/>
      <c r="AK1125" s="395"/>
      <c r="AL1125" s="395"/>
      <c r="AM1125" s="395"/>
      <c r="AN1125" s="395"/>
      <c r="AO1125" s="395"/>
    </row>
    <row r="1126">
      <c r="A1126" s="398"/>
      <c r="B1126" s="398"/>
      <c r="C1126" s="398"/>
      <c r="D1126" s="398"/>
      <c r="E1126" s="399"/>
      <c r="F1126" s="400"/>
      <c r="G1126" s="399"/>
      <c r="H1126" s="400"/>
      <c r="I1126" s="400"/>
      <c r="J1126" s="400"/>
      <c r="K1126" s="400"/>
      <c r="L1126" s="400"/>
      <c r="M1126" s="400"/>
      <c r="N1126" s="400"/>
      <c r="O1126" s="400"/>
      <c r="P1126" s="400"/>
      <c r="Q1126" s="400"/>
      <c r="R1126" s="398"/>
      <c r="S1126" s="401"/>
      <c r="T1126" s="401"/>
      <c r="U1126" s="398"/>
      <c r="V1126" s="398"/>
      <c r="W1126" s="398"/>
      <c r="X1126" s="398"/>
      <c r="Y1126" s="402"/>
      <c r="Z1126" s="403"/>
      <c r="AA1126" s="404"/>
      <c r="AB1126" s="405"/>
      <c r="AC1126" s="405"/>
      <c r="AD1126" s="406"/>
      <c r="AE1126" s="395"/>
      <c r="AF1126" s="395"/>
      <c r="AG1126" s="395"/>
      <c r="AH1126" s="395"/>
      <c r="AI1126" s="395"/>
      <c r="AJ1126" s="395"/>
      <c r="AK1126" s="395"/>
      <c r="AL1126" s="395"/>
      <c r="AM1126" s="395"/>
      <c r="AN1126" s="395"/>
      <c r="AO1126" s="395"/>
    </row>
    <row r="1127">
      <c r="A1127" s="398"/>
      <c r="B1127" s="398"/>
      <c r="C1127" s="398"/>
      <c r="D1127" s="398"/>
      <c r="E1127" s="399"/>
      <c r="F1127" s="400"/>
      <c r="G1127" s="399"/>
      <c r="H1127" s="400"/>
      <c r="I1127" s="400"/>
      <c r="J1127" s="400"/>
      <c r="K1127" s="400"/>
      <c r="L1127" s="400"/>
      <c r="M1127" s="400"/>
      <c r="N1127" s="400"/>
      <c r="O1127" s="400"/>
      <c r="P1127" s="400"/>
      <c r="Q1127" s="400"/>
      <c r="R1127" s="398"/>
      <c r="S1127" s="401"/>
      <c r="T1127" s="401"/>
      <c r="U1127" s="398"/>
      <c r="V1127" s="398"/>
      <c r="W1127" s="398"/>
      <c r="X1127" s="398"/>
      <c r="Y1127" s="402"/>
      <c r="Z1127" s="403"/>
      <c r="AA1127" s="404"/>
      <c r="AB1127" s="405"/>
      <c r="AC1127" s="405"/>
      <c r="AD1127" s="406"/>
      <c r="AE1127" s="395"/>
      <c r="AF1127" s="395"/>
      <c r="AG1127" s="395"/>
      <c r="AH1127" s="395"/>
      <c r="AI1127" s="395"/>
      <c r="AJ1127" s="395"/>
      <c r="AK1127" s="395"/>
      <c r="AL1127" s="395"/>
      <c r="AM1127" s="395"/>
      <c r="AN1127" s="395"/>
      <c r="AO1127" s="395"/>
    </row>
    <row r="1128">
      <c r="A1128" s="398"/>
      <c r="B1128" s="398"/>
      <c r="C1128" s="398"/>
      <c r="D1128" s="398"/>
      <c r="E1128" s="399"/>
      <c r="F1128" s="400"/>
      <c r="G1128" s="399"/>
      <c r="H1128" s="400"/>
      <c r="I1128" s="400"/>
      <c r="J1128" s="400"/>
      <c r="K1128" s="400"/>
      <c r="L1128" s="400"/>
      <c r="M1128" s="400"/>
      <c r="N1128" s="400"/>
      <c r="O1128" s="400"/>
      <c r="P1128" s="400"/>
      <c r="Q1128" s="400"/>
      <c r="R1128" s="398"/>
      <c r="S1128" s="401"/>
      <c r="T1128" s="401"/>
      <c r="U1128" s="398"/>
      <c r="V1128" s="398"/>
      <c r="W1128" s="398"/>
      <c r="X1128" s="398"/>
      <c r="Y1128" s="402"/>
      <c r="Z1128" s="403"/>
      <c r="AA1128" s="404"/>
      <c r="AB1128" s="405"/>
      <c r="AC1128" s="405"/>
      <c r="AD1128" s="406"/>
      <c r="AE1128" s="395"/>
      <c r="AF1128" s="395"/>
      <c r="AG1128" s="395"/>
      <c r="AH1128" s="395"/>
      <c r="AI1128" s="395"/>
      <c r="AJ1128" s="395"/>
      <c r="AK1128" s="395"/>
      <c r="AL1128" s="395"/>
      <c r="AM1128" s="395"/>
      <c r="AN1128" s="395"/>
      <c r="AO1128" s="395"/>
    </row>
    <row r="1129">
      <c r="A1129" s="398"/>
      <c r="B1129" s="398"/>
      <c r="C1129" s="398"/>
      <c r="D1129" s="398"/>
      <c r="E1129" s="399"/>
      <c r="F1129" s="400"/>
      <c r="G1129" s="399"/>
      <c r="H1129" s="400"/>
      <c r="I1129" s="400"/>
      <c r="J1129" s="400"/>
      <c r="K1129" s="400"/>
      <c r="L1129" s="400"/>
      <c r="M1129" s="400"/>
      <c r="N1129" s="400"/>
      <c r="O1129" s="400"/>
      <c r="P1129" s="400"/>
      <c r="Q1129" s="400"/>
      <c r="R1129" s="398"/>
      <c r="S1129" s="401"/>
      <c r="T1129" s="401"/>
      <c r="U1129" s="398"/>
      <c r="V1129" s="398"/>
      <c r="W1129" s="398"/>
      <c r="X1129" s="398"/>
      <c r="Y1129" s="402"/>
      <c r="Z1129" s="403"/>
      <c r="AA1129" s="404"/>
      <c r="AB1129" s="405"/>
      <c r="AC1129" s="405"/>
      <c r="AD1129" s="406"/>
      <c r="AE1129" s="395"/>
      <c r="AF1129" s="395"/>
      <c r="AG1129" s="395"/>
      <c r="AH1129" s="395"/>
      <c r="AI1129" s="395"/>
      <c r="AJ1129" s="395"/>
      <c r="AK1129" s="395"/>
      <c r="AL1129" s="395"/>
      <c r="AM1129" s="395"/>
      <c r="AN1129" s="395"/>
      <c r="AO1129" s="395"/>
    </row>
    <row r="1130">
      <c r="A1130" s="398"/>
      <c r="B1130" s="398"/>
      <c r="C1130" s="398"/>
      <c r="D1130" s="398"/>
      <c r="E1130" s="399"/>
      <c r="F1130" s="400"/>
      <c r="G1130" s="399"/>
      <c r="H1130" s="400"/>
      <c r="I1130" s="400"/>
      <c r="J1130" s="400"/>
      <c r="K1130" s="400"/>
      <c r="L1130" s="400"/>
      <c r="M1130" s="400"/>
      <c r="N1130" s="400"/>
      <c r="O1130" s="400"/>
      <c r="P1130" s="400"/>
      <c r="Q1130" s="400"/>
      <c r="R1130" s="398"/>
      <c r="S1130" s="401"/>
      <c r="T1130" s="401"/>
      <c r="U1130" s="398"/>
      <c r="V1130" s="398"/>
      <c r="W1130" s="398"/>
      <c r="X1130" s="398"/>
      <c r="Y1130" s="402"/>
      <c r="Z1130" s="403"/>
      <c r="AA1130" s="404"/>
      <c r="AB1130" s="405"/>
      <c r="AC1130" s="405"/>
      <c r="AD1130" s="406"/>
      <c r="AE1130" s="395"/>
      <c r="AF1130" s="395"/>
      <c r="AG1130" s="395"/>
      <c r="AH1130" s="395"/>
      <c r="AI1130" s="395"/>
      <c r="AJ1130" s="395"/>
      <c r="AK1130" s="395"/>
      <c r="AL1130" s="395"/>
      <c r="AM1130" s="395"/>
      <c r="AN1130" s="395"/>
      <c r="AO1130" s="395"/>
    </row>
    <row r="1131">
      <c r="A1131" s="398"/>
      <c r="B1131" s="398"/>
      <c r="C1131" s="398"/>
      <c r="D1131" s="398"/>
      <c r="E1131" s="399"/>
      <c r="F1131" s="400"/>
      <c r="G1131" s="399"/>
      <c r="H1131" s="400"/>
      <c r="I1131" s="400"/>
      <c r="J1131" s="400"/>
      <c r="K1131" s="400"/>
      <c r="L1131" s="400"/>
      <c r="M1131" s="400"/>
      <c r="N1131" s="400"/>
      <c r="O1131" s="400"/>
      <c r="P1131" s="400"/>
      <c r="Q1131" s="400"/>
      <c r="R1131" s="398"/>
      <c r="S1131" s="401"/>
      <c r="T1131" s="401"/>
      <c r="U1131" s="398"/>
      <c r="V1131" s="398"/>
      <c r="W1131" s="398"/>
      <c r="X1131" s="398"/>
      <c r="Y1131" s="402"/>
      <c r="Z1131" s="403"/>
      <c r="AA1131" s="404"/>
      <c r="AB1131" s="405"/>
      <c r="AC1131" s="405"/>
      <c r="AD1131" s="406"/>
      <c r="AE1131" s="395"/>
      <c r="AF1131" s="395"/>
      <c r="AG1131" s="395"/>
      <c r="AH1131" s="395"/>
      <c r="AI1131" s="395"/>
      <c r="AJ1131" s="395"/>
      <c r="AK1131" s="395"/>
      <c r="AL1131" s="395"/>
      <c r="AM1131" s="395"/>
      <c r="AN1131" s="395"/>
      <c r="AO1131" s="395"/>
    </row>
    <row r="1132">
      <c r="A1132" s="398"/>
      <c r="B1132" s="398"/>
      <c r="C1132" s="398"/>
      <c r="D1132" s="398"/>
      <c r="E1132" s="399"/>
      <c r="F1132" s="400"/>
      <c r="G1132" s="399"/>
      <c r="H1132" s="400"/>
      <c r="I1132" s="400"/>
      <c r="J1132" s="400"/>
      <c r="K1132" s="400"/>
      <c r="L1132" s="400"/>
      <c r="M1132" s="400"/>
      <c r="N1132" s="400"/>
      <c r="O1132" s="400"/>
      <c r="P1132" s="400"/>
      <c r="Q1132" s="400"/>
      <c r="R1132" s="398"/>
      <c r="S1132" s="401"/>
      <c r="T1132" s="401"/>
      <c r="U1132" s="398"/>
      <c r="V1132" s="398"/>
      <c r="W1132" s="398"/>
      <c r="X1132" s="398"/>
      <c r="Y1132" s="402"/>
      <c r="Z1132" s="403"/>
      <c r="AA1132" s="404"/>
      <c r="AB1132" s="405"/>
      <c r="AC1132" s="405"/>
      <c r="AD1132" s="406"/>
      <c r="AE1132" s="395"/>
      <c r="AF1132" s="395"/>
      <c r="AG1132" s="395"/>
      <c r="AH1132" s="395"/>
      <c r="AI1132" s="395"/>
      <c r="AJ1132" s="395"/>
      <c r="AK1132" s="395"/>
      <c r="AL1132" s="395"/>
      <c r="AM1132" s="395"/>
      <c r="AN1132" s="395"/>
      <c r="AO1132" s="395"/>
    </row>
    <row r="1133">
      <c r="A1133" s="398"/>
      <c r="B1133" s="398"/>
      <c r="C1133" s="398"/>
      <c r="D1133" s="398"/>
      <c r="E1133" s="399"/>
      <c r="F1133" s="400"/>
      <c r="G1133" s="399"/>
      <c r="H1133" s="400"/>
      <c r="I1133" s="400"/>
      <c r="J1133" s="400"/>
      <c r="K1133" s="400"/>
      <c r="L1133" s="400"/>
      <c r="M1133" s="400"/>
      <c r="N1133" s="400"/>
      <c r="O1133" s="400"/>
      <c r="P1133" s="400"/>
      <c r="Q1133" s="400"/>
      <c r="R1133" s="398"/>
      <c r="S1133" s="401"/>
      <c r="T1133" s="401"/>
      <c r="U1133" s="398"/>
      <c r="V1133" s="398"/>
      <c r="W1133" s="398"/>
      <c r="X1133" s="398"/>
      <c r="Y1133" s="402"/>
      <c r="Z1133" s="403"/>
      <c r="AA1133" s="404"/>
      <c r="AB1133" s="405"/>
      <c r="AC1133" s="405"/>
      <c r="AD1133" s="406"/>
      <c r="AE1133" s="395"/>
      <c r="AF1133" s="395"/>
      <c r="AG1133" s="395"/>
      <c r="AH1133" s="395"/>
      <c r="AI1133" s="395"/>
      <c r="AJ1133" s="395"/>
      <c r="AK1133" s="395"/>
      <c r="AL1133" s="395"/>
      <c r="AM1133" s="395"/>
      <c r="AN1133" s="395"/>
      <c r="AO1133" s="395"/>
    </row>
    <row r="1134">
      <c r="A1134" s="398"/>
      <c r="B1134" s="398"/>
      <c r="C1134" s="398"/>
      <c r="D1134" s="398"/>
      <c r="E1134" s="399"/>
      <c r="F1134" s="400"/>
      <c r="G1134" s="399"/>
      <c r="H1134" s="400"/>
      <c r="I1134" s="400"/>
      <c r="J1134" s="400"/>
      <c r="K1134" s="400"/>
      <c r="L1134" s="400"/>
      <c r="M1134" s="400"/>
      <c r="N1134" s="400"/>
      <c r="O1134" s="400"/>
      <c r="P1134" s="400"/>
      <c r="Q1134" s="400"/>
      <c r="R1134" s="398"/>
      <c r="S1134" s="401"/>
      <c r="T1134" s="401"/>
      <c r="U1134" s="398"/>
      <c r="V1134" s="398"/>
      <c r="W1134" s="398"/>
      <c r="X1134" s="398"/>
      <c r="Y1134" s="402"/>
      <c r="Z1134" s="403"/>
      <c r="AA1134" s="404"/>
      <c r="AB1134" s="405"/>
      <c r="AC1134" s="405"/>
      <c r="AD1134" s="406"/>
      <c r="AE1134" s="395"/>
      <c r="AF1134" s="395"/>
      <c r="AG1134" s="395"/>
      <c r="AH1134" s="395"/>
      <c r="AI1134" s="395"/>
      <c r="AJ1134" s="395"/>
      <c r="AK1134" s="395"/>
      <c r="AL1134" s="395"/>
      <c r="AM1134" s="395"/>
      <c r="AN1134" s="395"/>
      <c r="AO1134" s="395"/>
    </row>
    <row r="1135">
      <c r="A1135" s="398"/>
      <c r="B1135" s="398"/>
      <c r="C1135" s="398"/>
      <c r="D1135" s="398"/>
      <c r="E1135" s="399"/>
      <c r="F1135" s="400"/>
      <c r="G1135" s="399"/>
      <c r="H1135" s="400"/>
      <c r="I1135" s="400"/>
      <c r="J1135" s="400"/>
      <c r="K1135" s="400"/>
      <c r="L1135" s="400"/>
      <c r="M1135" s="400"/>
      <c r="N1135" s="400"/>
      <c r="O1135" s="400"/>
      <c r="P1135" s="400"/>
      <c r="Q1135" s="400"/>
      <c r="R1135" s="398"/>
      <c r="S1135" s="401"/>
      <c r="T1135" s="401"/>
      <c r="U1135" s="398"/>
      <c r="V1135" s="398"/>
      <c r="W1135" s="398"/>
      <c r="X1135" s="398"/>
      <c r="Y1135" s="402"/>
      <c r="Z1135" s="403"/>
      <c r="AA1135" s="404"/>
      <c r="AB1135" s="405"/>
      <c r="AC1135" s="405"/>
      <c r="AD1135" s="406"/>
      <c r="AE1135" s="395"/>
      <c r="AF1135" s="395"/>
      <c r="AG1135" s="395"/>
      <c r="AH1135" s="395"/>
      <c r="AI1135" s="395"/>
      <c r="AJ1135" s="395"/>
      <c r="AK1135" s="395"/>
      <c r="AL1135" s="395"/>
      <c r="AM1135" s="395"/>
      <c r="AN1135" s="395"/>
      <c r="AO1135" s="395"/>
    </row>
    <row r="1136">
      <c r="A1136" s="398"/>
      <c r="B1136" s="398"/>
      <c r="C1136" s="398"/>
      <c r="D1136" s="398"/>
      <c r="E1136" s="399"/>
      <c r="F1136" s="400"/>
      <c r="G1136" s="399"/>
      <c r="H1136" s="400"/>
      <c r="I1136" s="400"/>
      <c r="J1136" s="400"/>
      <c r="K1136" s="400"/>
      <c r="L1136" s="400"/>
      <c r="M1136" s="400"/>
      <c r="N1136" s="400"/>
      <c r="O1136" s="400"/>
      <c r="P1136" s="400"/>
      <c r="Q1136" s="400"/>
      <c r="R1136" s="398"/>
      <c r="S1136" s="401"/>
      <c r="T1136" s="401"/>
      <c r="U1136" s="398"/>
      <c r="V1136" s="398"/>
      <c r="W1136" s="398"/>
      <c r="X1136" s="398"/>
      <c r="Y1136" s="402"/>
      <c r="Z1136" s="403"/>
      <c r="AA1136" s="404"/>
      <c r="AB1136" s="405"/>
      <c r="AC1136" s="405"/>
      <c r="AD1136" s="406"/>
      <c r="AE1136" s="395"/>
      <c r="AF1136" s="395"/>
      <c r="AG1136" s="395"/>
      <c r="AH1136" s="395"/>
      <c r="AI1136" s="395"/>
      <c r="AJ1136" s="395"/>
      <c r="AK1136" s="395"/>
      <c r="AL1136" s="395"/>
      <c r="AM1136" s="395"/>
      <c r="AN1136" s="395"/>
      <c r="AO1136" s="395"/>
    </row>
    <row r="1137">
      <c r="A1137" s="398"/>
      <c r="B1137" s="398"/>
      <c r="C1137" s="398"/>
      <c r="D1137" s="398"/>
      <c r="E1137" s="399"/>
      <c r="F1137" s="400"/>
      <c r="G1137" s="399"/>
      <c r="H1137" s="400"/>
      <c r="I1137" s="400"/>
      <c r="J1137" s="400"/>
      <c r="K1137" s="400"/>
      <c r="L1137" s="400"/>
      <c r="M1137" s="400"/>
      <c r="N1137" s="400"/>
      <c r="O1137" s="400"/>
      <c r="P1137" s="400"/>
      <c r="Q1137" s="400"/>
      <c r="R1137" s="398"/>
      <c r="S1137" s="401"/>
      <c r="T1137" s="401"/>
      <c r="U1137" s="398"/>
      <c r="V1137" s="398"/>
      <c r="W1137" s="398"/>
      <c r="X1137" s="398"/>
      <c r="Y1137" s="402"/>
      <c r="Z1137" s="403"/>
      <c r="AA1137" s="404"/>
      <c r="AB1137" s="405"/>
      <c r="AC1137" s="405"/>
      <c r="AD1137" s="406"/>
      <c r="AE1137" s="395"/>
      <c r="AF1137" s="395"/>
      <c r="AG1137" s="395"/>
      <c r="AH1137" s="395"/>
      <c r="AI1137" s="395"/>
      <c r="AJ1137" s="395"/>
      <c r="AK1137" s="395"/>
      <c r="AL1137" s="395"/>
      <c r="AM1137" s="395"/>
      <c r="AN1137" s="395"/>
      <c r="AO1137" s="395"/>
    </row>
    <row r="1138">
      <c r="A1138" s="398"/>
      <c r="B1138" s="398"/>
      <c r="C1138" s="398"/>
      <c r="D1138" s="398"/>
      <c r="E1138" s="399"/>
      <c r="F1138" s="400"/>
      <c r="G1138" s="399"/>
      <c r="H1138" s="400"/>
      <c r="I1138" s="400"/>
      <c r="J1138" s="400"/>
      <c r="K1138" s="400"/>
      <c r="L1138" s="400"/>
      <c r="M1138" s="400"/>
      <c r="N1138" s="400"/>
      <c r="O1138" s="400"/>
      <c r="P1138" s="400"/>
      <c r="Q1138" s="400"/>
      <c r="R1138" s="398"/>
      <c r="S1138" s="401"/>
      <c r="T1138" s="401"/>
      <c r="U1138" s="398"/>
      <c r="V1138" s="398"/>
      <c r="W1138" s="398"/>
      <c r="X1138" s="398"/>
      <c r="Y1138" s="402"/>
      <c r="Z1138" s="403"/>
      <c r="AA1138" s="404"/>
      <c r="AB1138" s="405"/>
      <c r="AC1138" s="405"/>
      <c r="AD1138" s="406"/>
      <c r="AE1138" s="395"/>
      <c r="AF1138" s="395"/>
      <c r="AG1138" s="395"/>
      <c r="AH1138" s="395"/>
      <c r="AI1138" s="395"/>
      <c r="AJ1138" s="395"/>
      <c r="AK1138" s="395"/>
      <c r="AL1138" s="395"/>
      <c r="AM1138" s="395"/>
      <c r="AN1138" s="395"/>
      <c r="AO1138" s="395"/>
    </row>
    <row r="1139">
      <c r="A1139" s="398"/>
      <c r="B1139" s="398"/>
      <c r="C1139" s="398"/>
      <c r="D1139" s="398"/>
      <c r="E1139" s="399"/>
      <c r="F1139" s="400"/>
      <c r="G1139" s="399"/>
      <c r="H1139" s="400"/>
      <c r="I1139" s="400"/>
      <c r="J1139" s="400"/>
      <c r="K1139" s="400"/>
      <c r="L1139" s="400"/>
      <c r="M1139" s="400"/>
      <c r="N1139" s="400"/>
      <c r="O1139" s="400"/>
      <c r="P1139" s="400"/>
      <c r="Q1139" s="400"/>
      <c r="R1139" s="398"/>
      <c r="S1139" s="401"/>
      <c r="T1139" s="401"/>
      <c r="U1139" s="398"/>
      <c r="V1139" s="398"/>
      <c r="W1139" s="398"/>
      <c r="X1139" s="398"/>
      <c r="Y1139" s="402"/>
      <c r="Z1139" s="403"/>
      <c r="AA1139" s="404"/>
      <c r="AB1139" s="405"/>
      <c r="AC1139" s="405"/>
      <c r="AD1139" s="406"/>
      <c r="AE1139" s="395"/>
      <c r="AF1139" s="395"/>
      <c r="AG1139" s="395"/>
      <c r="AH1139" s="395"/>
      <c r="AI1139" s="395"/>
      <c r="AJ1139" s="395"/>
      <c r="AK1139" s="395"/>
      <c r="AL1139" s="395"/>
      <c r="AM1139" s="395"/>
      <c r="AN1139" s="395"/>
      <c r="AO1139" s="395"/>
    </row>
    <row r="1140">
      <c r="A1140" s="398"/>
      <c r="B1140" s="398"/>
      <c r="C1140" s="398"/>
      <c r="D1140" s="398"/>
      <c r="E1140" s="399"/>
      <c r="F1140" s="400"/>
      <c r="G1140" s="399"/>
      <c r="H1140" s="400"/>
      <c r="I1140" s="400"/>
      <c r="J1140" s="400"/>
      <c r="K1140" s="400"/>
      <c r="L1140" s="400"/>
      <c r="M1140" s="400"/>
      <c r="N1140" s="400"/>
      <c r="O1140" s="400"/>
      <c r="P1140" s="400"/>
      <c r="Q1140" s="400"/>
      <c r="R1140" s="398"/>
      <c r="S1140" s="401"/>
      <c r="T1140" s="401"/>
      <c r="U1140" s="398"/>
      <c r="V1140" s="398"/>
      <c r="W1140" s="398"/>
      <c r="X1140" s="398"/>
      <c r="Y1140" s="402"/>
      <c r="Z1140" s="403"/>
      <c r="AA1140" s="404"/>
      <c r="AB1140" s="405"/>
      <c r="AC1140" s="405"/>
      <c r="AD1140" s="406"/>
      <c r="AE1140" s="395"/>
      <c r="AF1140" s="395"/>
      <c r="AG1140" s="395"/>
      <c r="AH1140" s="395"/>
      <c r="AI1140" s="395"/>
      <c r="AJ1140" s="395"/>
      <c r="AK1140" s="395"/>
      <c r="AL1140" s="395"/>
      <c r="AM1140" s="395"/>
      <c r="AN1140" s="395"/>
      <c r="AO1140" s="395"/>
    </row>
    <row r="1141">
      <c r="A1141" s="398"/>
      <c r="B1141" s="398"/>
      <c r="C1141" s="398"/>
      <c r="D1141" s="398"/>
      <c r="E1141" s="399"/>
      <c r="F1141" s="400"/>
      <c r="G1141" s="399"/>
      <c r="H1141" s="400"/>
      <c r="I1141" s="400"/>
      <c r="J1141" s="400"/>
      <c r="K1141" s="400"/>
      <c r="L1141" s="400"/>
      <c r="M1141" s="400"/>
      <c r="N1141" s="400"/>
      <c r="O1141" s="400"/>
      <c r="P1141" s="400"/>
      <c r="Q1141" s="400"/>
      <c r="R1141" s="398"/>
      <c r="S1141" s="401"/>
      <c r="T1141" s="401"/>
      <c r="U1141" s="398"/>
      <c r="V1141" s="398"/>
      <c r="W1141" s="398"/>
      <c r="X1141" s="398"/>
      <c r="Y1141" s="402"/>
      <c r="Z1141" s="403"/>
      <c r="AA1141" s="404"/>
      <c r="AB1141" s="405"/>
      <c r="AC1141" s="405"/>
      <c r="AD1141" s="406"/>
      <c r="AE1141" s="395"/>
      <c r="AF1141" s="395"/>
      <c r="AG1141" s="395"/>
      <c r="AH1141" s="395"/>
      <c r="AI1141" s="395"/>
      <c r="AJ1141" s="395"/>
      <c r="AK1141" s="395"/>
      <c r="AL1141" s="395"/>
      <c r="AM1141" s="395"/>
      <c r="AN1141" s="395"/>
      <c r="AO1141" s="395"/>
    </row>
    <row r="1142">
      <c r="A1142" s="398"/>
      <c r="B1142" s="398"/>
      <c r="C1142" s="398"/>
      <c r="D1142" s="398"/>
      <c r="E1142" s="399"/>
      <c r="F1142" s="400"/>
      <c r="G1142" s="399"/>
      <c r="H1142" s="400"/>
      <c r="I1142" s="400"/>
      <c r="J1142" s="400"/>
      <c r="K1142" s="400"/>
      <c r="L1142" s="400"/>
      <c r="M1142" s="400"/>
      <c r="N1142" s="400"/>
      <c r="O1142" s="400"/>
      <c r="P1142" s="400"/>
      <c r="Q1142" s="400"/>
      <c r="R1142" s="398"/>
      <c r="S1142" s="401"/>
      <c r="T1142" s="401"/>
      <c r="U1142" s="398"/>
      <c r="V1142" s="398"/>
      <c r="W1142" s="398"/>
      <c r="X1142" s="398"/>
      <c r="Y1142" s="402"/>
      <c r="Z1142" s="403"/>
      <c r="AA1142" s="404"/>
      <c r="AB1142" s="405"/>
      <c r="AC1142" s="405"/>
      <c r="AD1142" s="406"/>
      <c r="AE1142" s="395"/>
      <c r="AF1142" s="395"/>
      <c r="AG1142" s="395"/>
      <c r="AH1142" s="395"/>
      <c r="AI1142" s="395"/>
      <c r="AJ1142" s="395"/>
      <c r="AK1142" s="395"/>
      <c r="AL1142" s="395"/>
      <c r="AM1142" s="395"/>
      <c r="AN1142" s="395"/>
      <c r="AO1142" s="395"/>
    </row>
    <row r="1143">
      <c r="A1143" s="398"/>
      <c r="B1143" s="398"/>
      <c r="C1143" s="398"/>
      <c r="D1143" s="398"/>
      <c r="E1143" s="399"/>
      <c r="F1143" s="400"/>
      <c r="G1143" s="399"/>
      <c r="H1143" s="400"/>
      <c r="I1143" s="400"/>
      <c r="J1143" s="400"/>
      <c r="K1143" s="400"/>
      <c r="L1143" s="400"/>
      <c r="M1143" s="400"/>
      <c r="N1143" s="400"/>
      <c r="O1143" s="400"/>
      <c r="P1143" s="400"/>
      <c r="Q1143" s="400"/>
      <c r="R1143" s="398"/>
      <c r="S1143" s="401"/>
      <c r="T1143" s="401"/>
      <c r="U1143" s="398"/>
      <c r="V1143" s="398"/>
      <c r="W1143" s="398"/>
      <c r="X1143" s="398"/>
      <c r="Y1143" s="402"/>
      <c r="Z1143" s="403"/>
      <c r="AA1143" s="404"/>
      <c r="AB1143" s="405"/>
      <c r="AC1143" s="405"/>
      <c r="AD1143" s="406"/>
      <c r="AE1143" s="395"/>
      <c r="AF1143" s="395"/>
      <c r="AG1143" s="395"/>
      <c r="AH1143" s="395"/>
      <c r="AI1143" s="395"/>
      <c r="AJ1143" s="395"/>
      <c r="AK1143" s="395"/>
      <c r="AL1143" s="395"/>
      <c r="AM1143" s="395"/>
      <c r="AN1143" s="395"/>
      <c r="AO1143" s="395"/>
    </row>
    <row r="1144">
      <c r="A1144" s="398"/>
      <c r="B1144" s="398"/>
      <c r="C1144" s="398"/>
      <c r="D1144" s="398"/>
      <c r="E1144" s="399"/>
      <c r="F1144" s="400"/>
      <c r="G1144" s="399"/>
      <c r="H1144" s="400"/>
      <c r="I1144" s="400"/>
      <c r="J1144" s="400"/>
      <c r="K1144" s="400"/>
      <c r="L1144" s="400"/>
      <c r="M1144" s="400"/>
      <c r="N1144" s="400"/>
      <c r="O1144" s="400"/>
      <c r="P1144" s="400"/>
      <c r="Q1144" s="400"/>
      <c r="R1144" s="398"/>
      <c r="S1144" s="401"/>
      <c r="T1144" s="401"/>
      <c r="U1144" s="398"/>
      <c r="V1144" s="398"/>
      <c r="W1144" s="398"/>
      <c r="X1144" s="398"/>
      <c r="Y1144" s="402"/>
      <c r="Z1144" s="403"/>
      <c r="AA1144" s="404"/>
      <c r="AB1144" s="405"/>
      <c r="AC1144" s="405"/>
      <c r="AD1144" s="406"/>
      <c r="AE1144" s="395"/>
      <c r="AF1144" s="395"/>
      <c r="AG1144" s="395"/>
      <c r="AH1144" s="395"/>
      <c r="AI1144" s="395"/>
      <c r="AJ1144" s="395"/>
      <c r="AK1144" s="395"/>
      <c r="AL1144" s="395"/>
      <c r="AM1144" s="395"/>
      <c r="AN1144" s="395"/>
      <c r="AO1144" s="395"/>
    </row>
    <row r="1145">
      <c r="A1145" s="398"/>
      <c r="B1145" s="398"/>
      <c r="C1145" s="398"/>
      <c r="D1145" s="398"/>
      <c r="E1145" s="399"/>
      <c r="F1145" s="400"/>
      <c r="G1145" s="399"/>
      <c r="H1145" s="400"/>
      <c r="I1145" s="400"/>
      <c r="J1145" s="400"/>
      <c r="K1145" s="400"/>
      <c r="L1145" s="400"/>
      <c r="M1145" s="400"/>
      <c r="N1145" s="400"/>
      <c r="O1145" s="400"/>
      <c r="P1145" s="400"/>
      <c r="Q1145" s="400"/>
      <c r="R1145" s="398"/>
      <c r="S1145" s="401"/>
      <c r="T1145" s="401"/>
      <c r="U1145" s="398"/>
      <c r="V1145" s="398"/>
      <c r="W1145" s="398"/>
      <c r="X1145" s="398"/>
      <c r="Y1145" s="402"/>
      <c r="Z1145" s="403"/>
      <c r="AA1145" s="404"/>
      <c r="AB1145" s="405"/>
      <c r="AC1145" s="405"/>
      <c r="AD1145" s="406"/>
      <c r="AE1145" s="395"/>
      <c r="AF1145" s="395"/>
      <c r="AG1145" s="395"/>
      <c r="AH1145" s="395"/>
      <c r="AI1145" s="395"/>
      <c r="AJ1145" s="395"/>
      <c r="AK1145" s="395"/>
      <c r="AL1145" s="395"/>
      <c r="AM1145" s="395"/>
      <c r="AN1145" s="395"/>
      <c r="AO1145" s="395"/>
    </row>
    <row r="1146">
      <c r="A1146" s="398"/>
      <c r="B1146" s="398"/>
      <c r="C1146" s="398"/>
      <c r="D1146" s="398"/>
      <c r="E1146" s="399"/>
      <c r="F1146" s="400"/>
      <c r="G1146" s="399"/>
      <c r="H1146" s="400"/>
      <c r="I1146" s="400"/>
      <c r="J1146" s="400"/>
      <c r="K1146" s="400"/>
      <c r="L1146" s="400"/>
      <c r="M1146" s="400"/>
      <c r="N1146" s="400"/>
      <c r="O1146" s="400"/>
      <c r="P1146" s="400"/>
      <c r="Q1146" s="400"/>
      <c r="R1146" s="398"/>
      <c r="S1146" s="401"/>
      <c r="T1146" s="401"/>
      <c r="U1146" s="398"/>
      <c r="V1146" s="398"/>
      <c r="W1146" s="398"/>
      <c r="X1146" s="398"/>
      <c r="Y1146" s="402"/>
      <c r="Z1146" s="403"/>
      <c r="AA1146" s="404"/>
      <c r="AB1146" s="405"/>
      <c r="AC1146" s="405"/>
      <c r="AD1146" s="406"/>
      <c r="AE1146" s="395"/>
      <c r="AF1146" s="395"/>
      <c r="AG1146" s="395"/>
      <c r="AH1146" s="395"/>
      <c r="AI1146" s="395"/>
      <c r="AJ1146" s="395"/>
      <c r="AK1146" s="395"/>
      <c r="AL1146" s="395"/>
      <c r="AM1146" s="395"/>
      <c r="AN1146" s="395"/>
      <c r="AO1146" s="395"/>
    </row>
    <row r="1147">
      <c r="A1147" s="398"/>
      <c r="B1147" s="398"/>
      <c r="C1147" s="398"/>
      <c r="D1147" s="398"/>
      <c r="E1147" s="399"/>
      <c r="F1147" s="400"/>
      <c r="G1147" s="399"/>
      <c r="H1147" s="400"/>
      <c r="I1147" s="400"/>
      <c r="J1147" s="400"/>
      <c r="K1147" s="400"/>
      <c r="L1147" s="400"/>
      <c r="M1147" s="400"/>
      <c r="N1147" s="400"/>
      <c r="O1147" s="400"/>
      <c r="P1147" s="400"/>
      <c r="Q1147" s="400"/>
      <c r="R1147" s="398"/>
      <c r="S1147" s="401"/>
      <c r="T1147" s="401"/>
      <c r="U1147" s="398"/>
      <c r="V1147" s="398"/>
      <c r="W1147" s="398"/>
      <c r="X1147" s="398"/>
      <c r="Y1147" s="402"/>
      <c r="Z1147" s="403"/>
      <c r="AA1147" s="404"/>
      <c r="AB1147" s="405"/>
      <c r="AC1147" s="405"/>
      <c r="AD1147" s="406"/>
      <c r="AE1147" s="395"/>
      <c r="AF1147" s="395"/>
      <c r="AG1147" s="395"/>
      <c r="AH1147" s="395"/>
      <c r="AI1147" s="395"/>
      <c r="AJ1147" s="395"/>
      <c r="AK1147" s="395"/>
      <c r="AL1147" s="395"/>
      <c r="AM1147" s="395"/>
      <c r="AN1147" s="395"/>
      <c r="AO1147" s="395"/>
    </row>
    <row r="1148">
      <c r="A1148" s="398"/>
      <c r="B1148" s="398"/>
      <c r="C1148" s="398"/>
      <c r="D1148" s="398"/>
      <c r="E1148" s="399"/>
      <c r="F1148" s="400"/>
      <c r="G1148" s="399"/>
      <c r="H1148" s="400"/>
      <c r="I1148" s="400"/>
      <c r="J1148" s="400"/>
      <c r="K1148" s="400"/>
      <c r="L1148" s="400"/>
      <c r="M1148" s="400"/>
      <c r="N1148" s="400"/>
      <c r="O1148" s="400"/>
      <c r="P1148" s="400"/>
      <c r="Q1148" s="400"/>
      <c r="R1148" s="398"/>
      <c r="S1148" s="401"/>
      <c r="T1148" s="401"/>
      <c r="U1148" s="398"/>
      <c r="V1148" s="398"/>
      <c r="W1148" s="398"/>
      <c r="X1148" s="398"/>
      <c r="Y1148" s="402"/>
      <c r="Z1148" s="403"/>
      <c r="AA1148" s="404"/>
      <c r="AB1148" s="405"/>
      <c r="AC1148" s="405"/>
      <c r="AD1148" s="406"/>
      <c r="AE1148" s="395"/>
      <c r="AF1148" s="395"/>
      <c r="AG1148" s="395"/>
      <c r="AH1148" s="395"/>
      <c r="AI1148" s="395"/>
      <c r="AJ1148" s="395"/>
      <c r="AK1148" s="395"/>
      <c r="AL1148" s="395"/>
      <c r="AM1148" s="395"/>
      <c r="AN1148" s="395"/>
      <c r="AO1148" s="395"/>
    </row>
    <row r="1149">
      <c r="A1149" s="398"/>
      <c r="B1149" s="398"/>
      <c r="C1149" s="398"/>
      <c r="D1149" s="398"/>
      <c r="E1149" s="399"/>
      <c r="F1149" s="400"/>
      <c r="G1149" s="399"/>
      <c r="H1149" s="400"/>
      <c r="I1149" s="400"/>
      <c r="J1149" s="400"/>
      <c r="K1149" s="400"/>
      <c r="L1149" s="400"/>
      <c r="M1149" s="400"/>
      <c r="N1149" s="400"/>
      <c r="O1149" s="400"/>
      <c r="P1149" s="400"/>
      <c r="Q1149" s="400"/>
      <c r="R1149" s="398"/>
      <c r="S1149" s="401"/>
      <c r="T1149" s="401"/>
      <c r="U1149" s="398"/>
      <c r="V1149" s="398"/>
      <c r="W1149" s="398"/>
      <c r="X1149" s="398"/>
      <c r="Y1149" s="402"/>
      <c r="Z1149" s="403"/>
      <c r="AA1149" s="404"/>
      <c r="AB1149" s="405"/>
      <c r="AC1149" s="405"/>
      <c r="AD1149" s="406"/>
      <c r="AE1149" s="395"/>
      <c r="AF1149" s="395"/>
      <c r="AG1149" s="395"/>
      <c r="AH1149" s="395"/>
      <c r="AI1149" s="395"/>
      <c r="AJ1149" s="395"/>
      <c r="AK1149" s="395"/>
      <c r="AL1149" s="395"/>
      <c r="AM1149" s="395"/>
      <c r="AN1149" s="395"/>
      <c r="AO1149" s="395"/>
    </row>
    <row r="1150">
      <c r="A1150" s="398"/>
      <c r="B1150" s="398"/>
      <c r="C1150" s="398"/>
      <c r="D1150" s="398"/>
      <c r="E1150" s="399"/>
      <c r="F1150" s="400"/>
      <c r="G1150" s="399"/>
      <c r="H1150" s="400"/>
      <c r="I1150" s="400"/>
      <c r="J1150" s="400"/>
      <c r="K1150" s="400"/>
      <c r="L1150" s="400"/>
      <c r="M1150" s="400"/>
      <c r="N1150" s="400"/>
      <c r="O1150" s="400"/>
      <c r="P1150" s="400"/>
      <c r="Q1150" s="400"/>
      <c r="R1150" s="398"/>
      <c r="S1150" s="401"/>
      <c r="T1150" s="401"/>
      <c r="U1150" s="398"/>
      <c r="V1150" s="398"/>
      <c r="W1150" s="398"/>
      <c r="X1150" s="398"/>
      <c r="Y1150" s="402"/>
      <c r="Z1150" s="403"/>
      <c r="AA1150" s="404"/>
      <c r="AB1150" s="405"/>
      <c r="AC1150" s="405"/>
      <c r="AD1150" s="406"/>
      <c r="AE1150" s="395"/>
      <c r="AF1150" s="395"/>
      <c r="AG1150" s="395"/>
      <c r="AH1150" s="395"/>
      <c r="AI1150" s="395"/>
      <c r="AJ1150" s="395"/>
      <c r="AK1150" s="395"/>
      <c r="AL1150" s="395"/>
      <c r="AM1150" s="395"/>
      <c r="AN1150" s="395"/>
      <c r="AO1150" s="395"/>
    </row>
    <row r="1151">
      <c r="A1151" s="398"/>
      <c r="B1151" s="398"/>
      <c r="C1151" s="398"/>
      <c r="D1151" s="398"/>
      <c r="E1151" s="399"/>
      <c r="F1151" s="400"/>
      <c r="G1151" s="399"/>
      <c r="H1151" s="400"/>
      <c r="I1151" s="400"/>
      <c r="J1151" s="400"/>
      <c r="K1151" s="400"/>
      <c r="L1151" s="400"/>
      <c r="M1151" s="400"/>
      <c r="N1151" s="400"/>
      <c r="O1151" s="400"/>
      <c r="P1151" s="400"/>
      <c r="Q1151" s="400"/>
      <c r="R1151" s="398"/>
      <c r="S1151" s="401"/>
      <c r="T1151" s="401"/>
      <c r="U1151" s="398"/>
      <c r="V1151" s="398"/>
      <c r="W1151" s="398"/>
      <c r="X1151" s="398"/>
      <c r="Y1151" s="402"/>
      <c r="Z1151" s="403"/>
      <c r="AA1151" s="404"/>
      <c r="AB1151" s="405"/>
      <c r="AC1151" s="405"/>
      <c r="AD1151" s="406"/>
      <c r="AE1151" s="395"/>
      <c r="AF1151" s="395"/>
      <c r="AG1151" s="395"/>
      <c r="AH1151" s="395"/>
      <c r="AI1151" s="395"/>
      <c r="AJ1151" s="395"/>
      <c r="AK1151" s="395"/>
      <c r="AL1151" s="395"/>
      <c r="AM1151" s="395"/>
      <c r="AN1151" s="395"/>
      <c r="AO1151" s="395"/>
    </row>
    <row r="1152">
      <c r="A1152" s="398"/>
      <c r="B1152" s="398"/>
      <c r="C1152" s="398"/>
      <c r="D1152" s="398"/>
      <c r="E1152" s="399"/>
      <c r="F1152" s="400"/>
      <c r="G1152" s="399"/>
      <c r="H1152" s="400"/>
      <c r="I1152" s="400"/>
      <c r="J1152" s="400"/>
      <c r="K1152" s="400"/>
      <c r="L1152" s="400"/>
      <c r="M1152" s="400"/>
      <c r="N1152" s="400"/>
      <c r="O1152" s="400"/>
      <c r="P1152" s="400"/>
      <c r="Q1152" s="400"/>
      <c r="R1152" s="398"/>
      <c r="S1152" s="401"/>
      <c r="T1152" s="401"/>
      <c r="U1152" s="398"/>
      <c r="V1152" s="398"/>
      <c r="W1152" s="398"/>
      <c r="X1152" s="398"/>
      <c r="Y1152" s="402"/>
      <c r="Z1152" s="403"/>
      <c r="AA1152" s="404"/>
      <c r="AB1152" s="405"/>
      <c r="AC1152" s="405"/>
      <c r="AD1152" s="406"/>
      <c r="AE1152" s="395"/>
      <c r="AF1152" s="395"/>
      <c r="AG1152" s="395"/>
      <c r="AH1152" s="395"/>
      <c r="AI1152" s="395"/>
      <c r="AJ1152" s="395"/>
      <c r="AK1152" s="395"/>
      <c r="AL1152" s="395"/>
      <c r="AM1152" s="395"/>
      <c r="AN1152" s="395"/>
      <c r="AO1152" s="395"/>
    </row>
    <row r="1153">
      <c r="A1153" s="398"/>
      <c r="B1153" s="398"/>
      <c r="C1153" s="398"/>
      <c r="D1153" s="398"/>
      <c r="E1153" s="399"/>
      <c r="F1153" s="400"/>
      <c r="G1153" s="399"/>
      <c r="H1153" s="400"/>
      <c r="I1153" s="400"/>
      <c r="J1153" s="400"/>
      <c r="K1153" s="400"/>
      <c r="L1153" s="400"/>
      <c r="M1153" s="400"/>
      <c r="N1153" s="400"/>
      <c r="O1153" s="400"/>
      <c r="P1153" s="400"/>
      <c r="Q1153" s="400"/>
      <c r="R1153" s="398"/>
      <c r="S1153" s="401"/>
      <c r="T1153" s="401"/>
      <c r="U1153" s="398"/>
      <c r="V1153" s="398"/>
      <c r="W1153" s="398"/>
      <c r="X1153" s="398"/>
      <c r="Y1153" s="402"/>
      <c r="Z1153" s="403"/>
      <c r="AA1153" s="404"/>
      <c r="AB1153" s="405"/>
      <c r="AC1153" s="405"/>
      <c r="AD1153" s="406"/>
      <c r="AE1153" s="395"/>
      <c r="AF1153" s="395"/>
      <c r="AG1153" s="395"/>
      <c r="AH1153" s="395"/>
      <c r="AI1153" s="395"/>
      <c r="AJ1153" s="395"/>
      <c r="AK1153" s="395"/>
      <c r="AL1153" s="395"/>
      <c r="AM1153" s="395"/>
      <c r="AN1153" s="395"/>
      <c r="AO1153" s="395"/>
    </row>
    <row r="1154">
      <c r="A1154" s="398"/>
      <c r="B1154" s="398"/>
      <c r="C1154" s="398"/>
      <c r="D1154" s="398"/>
      <c r="E1154" s="399"/>
      <c r="F1154" s="400"/>
      <c r="G1154" s="399"/>
      <c r="H1154" s="400"/>
      <c r="I1154" s="400"/>
      <c r="J1154" s="400"/>
      <c r="K1154" s="400"/>
      <c r="L1154" s="400"/>
      <c r="M1154" s="400"/>
      <c r="N1154" s="400"/>
      <c r="O1154" s="400"/>
      <c r="P1154" s="400"/>
      <c r="Q1154" s="400"/>
      <c r="R1154" s="398"/>
      <c r="S1154" s="401"/>
      <c r="T1154" s="401"/>
      <c r="U1154" s="398"/>
      <c r="V1154" s="398"/>
      <c r="W1154" s="398"/>
      <c r="X1154" s="398"/>
      <c r="Y1154" s="402"/>
      <c r="Z1154" s="403"/>
      <c r="AA1154" s="404"/>
      <c r="AB1154" s="405"/>
      <c r="AC1154" s="405"/>
      <c r="AD1154" s="406"/>
      <c r="AE1154" s="395"/>
      <c r="AF1154" s="395"/>
      <c r="AG1154" s="395"/>
      <c r="AH1154" s="395"/>
      <c r="AI1154" s="395"/>
      <c r="AJ1154" s="395"/>
      <c r="AK1154" s="395"/>
      <c r="AL1154" s="395"/>
      <c r="AM1154" s="395"/>
      <c r="AN1154" s="395"/>
      <c r="AO1154" s="395"/>
    </row>
    <row r="1155">
      <c r="A1155" s="398"/>
      <c r="B1155" s="398"/>
      <c r="C1155" s="398"/>
      <c r="D1155" s="398"/>
      <c r="E1155" s="399"/>
      <c r="F1155" s="400"/>
      <c r="G1155" s="399"/>
      <c r="H1155" s="400"/>
      <c r="I1155" s="400"/>
      <c r="J1155" s="400"/>
      <c r="K1155" s="400"/>
      <c r="L1155" s="400"/>
      <c r="M1155" s="400"/>
      <c r="N1155" s="400"/>
      <c r="O1155" s="400"/>
      <c r="P1155" s="400"/>
      <c r="Q1155" s="400"/>
      <c r="R1155" s="398"/>
      <c r="S1155" s="401"/>
      <c r="T1155" s="401"/>
      <c r="U1155" s="398"/>
      <c r="V1155" s="398"/>
      <c r="W1155" s="398"/>
      <c r="X1155" s="398"/>
      <c r="Y1155" s="402"/>
      <c r="Z1155" s="403"/>
      <c r="AA1155" s="404"/>
      <c r="AB1155" s="405"/>
      <c r="AC1155" s="405"/>
      <c r="AD1155" s="406"/>
      <c r="AE1155" s="395"/>
      <c r="AF1155" s="395"/>
      <c r="AG1155" s="395"/>
      <c r="AH1155" s="395"/>
      <c r="AI1155" s="395"/>
      <c r="AJ1155" s="395"/>
      <c r="AK1155" s="395"/>
      <c r="AL1155" s="395"/>
      <c r="AM1155" s="395"/>
      <c r="AN1155" s="395"/>
      <c r="AO1155" s="395"/>
    </row>
    <row r="1156">
      <c r="A1156" s="398"/>
      <c r="B1156" s="398"/>
      <c r="C1156" s="398"/>
      <c r="D1156" s="398"/>
      <c r="E1156" s="399"/>
      <c r="F1156" s="400"/>
      <c r="G1156" s="399"/>
      <c r="H1156" s="400"/>
      <c r="I1156" s="400"/>
      <c r="J1156" s="400"/>
      <c r="K1156" s="400"/>
      <c r="L1156" s="400"/>
      <c r="M1156" s="400"/>
      <c r="N1156" s="400"/>
      <c r="O1156" s="400"/>
      <c r="P1156" s="400"/>
      <c r="Q1156" s="400"/>
      <c r="R1156" s="398"/>
      <c r="S1156" s="401"/>
      <c r="T1156" s="401"/>
      <c r="U1156" s="398"/>
      <c r="V1156" s="398"/>
      <c r="W1156" s="398"/>
      <c r="X1156" s="398"/>
      <c r="Y1156" s="402"/>
      <c r="Z1156" s="403"/>
      <c r="AA1156" s="404"/>
      <c r="AB1156" s="405"/>
      <c r="AC1156" s="405"/>
      <c r="AD1156" s="406"/>
      <c r="AE1156" s="395"/>
      <c r="AF1156" s="395"/>
      <c r="AG1156" s="395"/>
      <c r="AH1156" s="395"/>
      <c r="AI1156" s="395"/>
      <c r="AJ1156" s="395"/>
      <c r="AK1156" s="395"/>
      <c r="AL1156" s="395"/>
      <c r="AM1156" s="395"/>
      <c r="AN1156" s="395"/>
      <c r="AO1156" s="395"/>
    </row>
    <row r="1157">
      <c r="A1157" s="398"/>
      <c r="B1157" s="398"/>
      <c r="C1157" s="398"/>
      <c r="D1157" s="398"/>
      <c r="E1157" s="399"/>
      <c r="F1157" s="400"/>
      <c r="G1157" s="399"/>
      <c r="H1157" s="400"/>
      <c r="I1157" s="400"/>
      <c r="J1157" s="400"/>
      <c r="K1157" s="400"/>
      <c r="L1157" s="400"/>
      <c r="M1157" s="400"/>
      <c r="N1157" s="400"/>
      <c r="O1157" s="400"/>
      <c r="P1157" s="400"/>
      <c r="Q1157" s="400"/>
      <c r="R1157" s="398"/>
      <c r="S1157" s="401"/>
      <c r="T1157" s="401"/>
      <c r="U1157" s="398"/>
      <c r="V1157" s="398"/>
      <c r="W1157" s="398"/>
      <c r="X1157" s="398"/>
      <c r="Y1157" s="402"/>
      <c r="Z1157" s="403"/>
      <c r="AA1157" s="404"/>
      <c r="AB1157" s="405"/>
      <c r="AC1157" s="405"/>
      <c r="AD1157" s="406"/>
      <c r="AE1157" s="395"/>
      <c r="AF1157" s="395"/>
      <c r="AG1157" s="395"/>
      <c r="AH1157" s="395"/>
      <c r="AI1157" s="395"/>
      <c r="AJ1157" s="395"/>
      <c r="AK1157" s="395"/>
      <c r="AL1157" s="395"/>
      <c r="AM1157" s="395"/>
      <c r="AN1157" s="395"/>
      <c r="AO1157" s="395"/>
    </row>
    <row r="1158">
      <c r="A1158" s="398"/>
      <c r="B1158" s="398"/>
      <c r="C1158" s="398"/>
      <c r="D1158" s="398"/>
      <c r="E1158" s="399"/>
      <c r="F1158" s="400"/>
      <c r="G1158" s="399"/>
      <c r="H1158" s="400"/>
      <c r="I1158" s="400"/>
      <c r="J1158" s="400"/>
      <c r="K1158" s="400"/>
      <c r="L1158" s="400"/>
      <c r="M1158" s="400"/>
      <c r="N1158" s="400"/>
      <c r="O1158" s="400"/>
      <c r="P1158" s="400"/>
      <c r="Q1158" s="400"/>
      <c r="R1158" s="398"/>
      <c r="S1158" s="401"/>
      <c r="T1158" s="401"/>
      <c r="U1158" s="398"/>
      <c r="V1158" s="398"/>
      <c r="W1158" s="398"/>
      <c r="X1158" s="398"/>
      <c r="Y1158" s="402"/>
      <c r="Z1158" s="403"/>
      <c r="AA1158" s="404"/>
      <c r="AB1158" s="405"/>
      <c r="AC1158" s="405"/>
      <c r="AD1158" s="406"/>
      <c r="AE1158" s="395"/>
      <c r="AF1158" s="395"/>
      <c r="AG1158" s="395"/>
      <c r="AH1158" s="395"/>
      <c r="AI1158" s="395"/>
      <c r="AJ1158" s="395"/>
      <c r="AK1158" s="395"/>
      <c r="AL1158" s="395"/>
      <c r="AM1158" s="395"/>
      <c r="AN1158" s="395"/>
      <c r="AO1158" s="395"/>
    </row>
    <row r="1159">
      <c r="A1159" s="398"/>
      <c r="B1159" s="398"/>
      <c r="C1159" s="398"/>
      <c r="D1159" s="398"/>
      <c r="E1159" s="399"/>
      <c r="F1159" s="400"/>
      <c r="G1159" s="399"/>
      <c r="H1159" s="400"/>
      <c r="I1159" s="400"/>
      <c r="J1159" s="400"/>
      <c r="K1159" s="400"/>
      <c r="L1159" s="400"/>
      <c r="M1159" s="400"/>
      <c r="N1159" s="400"/>
      <c r="O1159" s="400"/>
      <c r="P1159" s="400"/>
      <c r="Q1159" s="400"/>
      <c r="R1159" s="398"/>
      <c r="S1159" s="401"/>
      <c r="T1159" s="401"/>
      <c r="U1159" s="398"/>
      <c r="V1159" s="398"/>
      <c r="W1159" s="398"/>
      <c r="X1159" s="398"/>
      <c r="Y1159" s="402"/>
      <c r="Z1159" s="403"/>
      <c r="AA1159" s="404"/>
      <c r="AB1159" s="405"/>
      <c r="AC1159" s="405"/>
      <c r="AD1159" s="406"/>
      <c r="AE1159" s="395"/>
      <c r="AF1159" s="395"/>
      <c r="AG1159" s="395"/>
      <c r="AH1159" s="395"/>
      <c r="AI1159" s="395"/>
      <c r="AJ1159" s="395"/>
      <c r="AK1159" s="395"/>
      <c r="AL1159" s="395"/>
      <c r="AM1159" s="395"/>
      <c r="AN1159" s="395"/>
      <c r="AO1159" s="395"/>
    </row>
    <row r="1160">
      <c r="A1160" s="398"/>
      <c r="B1160" s="398"/>
      <c r="C1160" s="398"/>
      <c r="D1160" s="398"/>
      <c r="E1160" s="399"/>
      <c r="F1160" s="400"/>
      <c r="G1160" s="399"/>
      <c r="H1160" s="400"/>
      <c r="I1160" s="400"/>
      <c r="J1160" s="400"/>
      <c r="K1160" s="400"/>
      <c r="L1160" s="400"/>
      <c r="M1160" s="400"/>
      <c r="N1160" s="400"/>
      <c r="O1160" s="400"/>
      <c r="P1160" s="400"/>
      <c r="Q1160" s="400"/>
      <c r="R1160" s="398"/>
      <c r="S1160" s="401"/>
      <c r="T1160" s="401"/>
      <c r="U1160" s="398"/>
      <c r="V1160" s="398"/>
      <c r="W1160" s="398"/>
      <c r="X1160" s="398"/>
      <c r="Y1160" s="402"/>
      <c r="Z1160" s="403"/>
      <c r="AA1160" s="404"/>
      <c r="AB1160" s="405"/>
      <c r="AC1160" s="405"/>
      <c r="AD1160" s="406"/>
      <c r="AE1160" s="395"/>
      <c r="AF1160" s="395"/>
      <c r="AG1160" s="395"/>
      <c r="AH1160" s="395"/>
      <c r="AI1160" s="395"/>
      <c r="AJ1160" s="395"/>
      <c r="AK1160" s="395"/>
      <c r="AL1160" s="395"/>
      <c r="AM1160" s="395"/>
      <c r="AN1160" s="395"/>
      <c r="AO1160" s="395"/>
    </row>
    <row r="1161">
      <c r="A1161" s="398"/>
      <c r="B1161" s="398"/>
      <c r="C1161" s="398"/>
      <c r="D1161" s="398"/>
      <c r="E1161" s="399"/>
      <c r="F1161" s="400"/>
      <c r="G1161" s="399"/>
      <c r="H1161" s="400"/>
      <c r="I1161" s="400"/>
      <c r="J1161" s="400"/>
      <c r="K1161" s="400"/>
      <c r="L1161" s="400"/>
      <c r="M1161" s="400"/>
      <c r="N1161" s="400"/>
      <c r="O1161" s="400"/>
      <c r="P1161" s="400"/>
      <c r="Q1161" s="400"/>
      <c r="R1161" s="398"/>
      <c r="S1161" s="401"/>
      <c r="T1161" s="401"/>
      <c r="U1161" s="398"/>
      <c r="V1161" s="398"/>
      <c r="W1161" s="398"/>
      <c r="X1161" s="398"/>
      <c r="Y1161" s="402"/>
      <c r="Z1161" s="403"/>
      <c r="AA1161" s="404"/>
      <c r="AB1161" s="405"/>
      <c r="AC1161" s="405"/>
      <c r="AD1161" s="406"/>
      <c r="AE1161" s="395"/>
      <c r="AF1161" s="395"/>
      <c r="AG1161" s="395"/>
      <c r="AH1161" s="395"/>
      <c r="AI1161" s="395"/>
      <c r="AJ1161" s="395"/>
      <c r="AK1161" s="395"/>
      <c r="AL1161" s="395"/>
      <c r="AM1161" s="395"/>
      <c r="AN1161" s="395"/>
      <c r="AO1161" s="395"/>
    </row>
    <row r="1162">
      <c r="A1162" s="398"/>
      <c r="B1162" s="398"/>
      <c r="C1162" s="398"/>
      <c r="D1162" s="398"/>
      <c r="E1162" s="399"/>
      <c r="F1162" s="400"/>
      <c r="G1162" s="399"/>
      <c r="H1162" s="400"/>
      <c r="I1162" s="400"/>
      <c r="J1162" s="400"/>
      <c r="K1162" s="400"/>
      <c r="L1162" s="400"/>
      <c r="M1162" s="400"/>
      <c r="N1162" s="400"/>
      <c r="O1162" s="400"/>
      <c r="P1162" s="400"/>
      <c r="Q1162" s="400"/>
      <c r="R1162" s="398"/>
      <c r="S1162" s="401"/>
      <c r="T1162" s="401"/>
      <c r="U1162" s="398"/>
      <c r="V1162" s="398"/>
      <c r="W1162" s="398"/>
      <c r="X1162" s="398"/>
      <c r="Y1162" s="402"/>
      <c r="Z1162" s="403"/>
      <c r="AA1162" s="404"/>
      <c r="AB1162" s="405"/>
      <c r="AC1162" s="405"/>
      <c r="AD1162" s="406"/>
      <c r="AE1162" s="395"/>
      <c r="AF1162" s="395"/>
      <c r="AG1162" s="395"/>
      <c r="AH1162" s="395"/>
      <c r="AI1162" s="395"/>
      <c r="AJ1162" s="395"/>
      <c r="AK1162" s="395"/>
      <c r="AL1162" s="395"/>
      <c r="AM1162" s="395"/>
      <c r="AN1162" s="395"/>
      <c r="AO1162" s="395"/>
    </row>
    <row r="1163">
      <c r="A1163" s="398"/>
      <c r="B1163" s="398"/>
      <c r="C1163" s="398"/>
      <c r="D1163" s="398"/>
      <c r="E1163" s="399"/>
      <c r="F1163" s="400"/>
      <c r="G1163" s="399"/>
      <c r="H1163" s="400"/>
      <c r="I1163" s="400"/>
      <c r="J1163" s="400"/>
      <c r="K1163" s="400"/>
      <c r="L1163" s="400"/>
      <c r="M1163" s="400"/>
      <c r="N1163" s="400"/>
      <c r="O1163" s="400"/>
      <c r="P1163" s="400"/>
      <c r="Q1163" s="400"/>
      <c r="R1163" s="398"/>
      <c r="S1163" s="401"/>
      <c r="T1163" s="401"/>
      <c r="U1163" s="398"/>
      <c r="V1163" s="398"/>
      <c r="W1163" s="398"/>
      <c r="X1163" s="398"/>
      <c r="Y1163" s="402"/>
      <c r="Z1163" s="403"/>
      <c r="AA1163" s="404"/>
      <c r="AB1163" s="405"/>
      <c r="AC1163" s="405"/>
      <c r="AD1163" s="406"/>
      <c r="AE1163" s="395"/>
      <c r="AF1163" s="395"/>
      <c r="AG1163" s="395"/>
      <c r="AH1163" s="395"/>
      <c r="AI1163" s="395"/>
      <c r="AJ1163" s="395"/>
      <c r="AK1163" s="395"/>
      <c r="AL1163" s="395"/>
      <c r="AM1163" s="395"/>
      <c r="AN1163" s="395"/>
      <c r="AO1163" s="395"/>
    </row>
    <row r="1164">
      <c r="A1164" s="398"/>
      <c r="B1164" s="398"/>
      <c r="C1164" s="398"/>
      <c r="D1164" s="398"/>
      <c r="E1164" s="399"/>
      <c r="F1164" s="400"/>
      <c r="G1164" s="399"/>
      <c r="H1164" s="400"/>
      <c r="I1164" s="400"/>
      <c r="J1164" s="400"/>
      <c r="K1164" s="400"/>
      <c r="L1164" s="400"/>
      <c r="M1164" s="400"/>
      <c r="N1164" s="400"/>
      <c r="O1164" s="400"/>
      <c r="P1164" s="400"/>
      <c r="Q1164" s="400"/>
      <c r="R1164" s="398"/>
      <c r="S1164" s="401"/>
      <c r="T1164" s="401"/>
      <c r="U1164" s="398"/>
      <c r="V1164" s="398"/>
      <c r="W1164" s="398"/>
      <c r="X1164" s="398"/>
      <c r="Y1164" s="402"/>
      <c r="Z1164" s="403"/>
      <c r="AA1164" s="404"/>
      <c r="AB1164" s="405"/>
      <c r="AC1164" s="405"/>
      <c r="AD1164" s="406"/>
      <c r="AE1164" s="395"/>
      <c r="AF1164" s="395"/>
      <c r="AG1164" s="395"/>
      <c r="AH1164" s="395"/>
      <c r="AI1164" s="395"/>
      <c r="AJ1164" s="395"/>
      <c r="AK1164" s="395"/>
      <c r="AL1164" s="395"/>
      <c r="AM1164" s="395"/>
      <c r="AN1164" s="395"/>
      <c r="AO1164" s="395"/>
    </row>
    <row r="1165">
      <c r="A1165" s="398"/>
      <c r="B1165" s="398"/>
      <c r="C1165" s="398"/>
      <c r="D1165" s="398"/>
      <c r="E1165" s="399"/>
      <c r="F1165" s="400"/>
      <c r="G1165" s="399"/>
      <c r="H1165" s="400"/>
      <c r="I1165" s="400"/>
      <c r="J1165" s="400"/>
      <c r="K1165" s="400"/>
      <c r="L1165" s="400"/>
      <c r="M1165" s="400"/>
      <c r="N1165" s="400"/>
      <c r="O1165" s="400"/>
      <c r="P1165" s="400"/>
      <c r="Q1165" s="400"/>
      <c r="R1165" s="398"/>
      <c r="S1165" s="401"/>
      <c r="T1165" s="401"/>
      <c r="U1165" s="398"/>
      <c r="V1165" s="398"/>
      <c r="W1165" s="398"/>
      <c r="X1165" s="398"/>
      <c r="Y1165" s="402"/>
      <c r="Z1165" s="403"/>
      <c r="AA1165" s="404"/>
      <c r="AB1165" s="405"/>
      <c r="AC1165" s="405"/>
      <c r="AD1165" s="406"/>
      <c r="AE1165" s="395"/>
      <c r="AF1165" s="395"/>
      <c r="AG1165" s="395"/>
      <c r="AH1165" s="395"/>
      <c r="AI1165" s="395"/>
      <c r="AJ1165" s="395"/>
      <c r="AK1165" s="395"/>
      <c r="AL1165" s="395"/>
      <c r="AM1165" s="395"/>
      <c r="AN1165" s="395"/>
      <c r="AO1165" s="395"/>
    </row>
    <row r="1166">
      <c r="A1166" s="398"/>
      <c r="B1166" s="398"/>
      <c r="C1166" s="398"/>
      <c r="D1166" s="398"/>
      <c r="E1166" s="399"/>
      <c r="F1166" s="400"/>
      <c r="G1166" s="399"/>
      <c r="H1166" s="400"/>
      <c r="I1166" s="400"/>
      <c r="J1166" s="400"/>
      <c r="K1166" s="400"/>
      <c r="L1166" s="400"/>
      <c r="M1166" s="400"/>
      <c r="N1166" s="400"/>
      <c r="O1166" s="400"/>
      <c r="P1166" s="400"/>
      <c r="Q1166" s="400"/>
      <c r="R1166" s="398"/>
      <c r="S1166" s="401"/>
      <c r="T1166" s="401"/>
      <c r="U1166" s="398"/>
      <c r="V1166" s="398"/>
      <c r="W1166" s="398"/>
      <c r="X1166" s="398"/>
      <c r="Y1166" s="402"/>
      <c r="Z1166" s="403"/>
      <c r="AA1166" s="404"/>
      <c r="AB1166" s="405"/>
      <c r="AC1166" s="405"/>
      <c r="AD1166" s="406"/>
      <c r="AE1166" s="395"/>
      <c r="AF1166" s="395"/>
      <c r="AG1166" s="395"/>
      <c r="AH1166" s="395"/>
      <c r="AI1166" s="395"/>
      <c r="AJ1166" s="395"/>
      <c r="AK1166" s="395"/>
      <c r="AL1166" s="395"/>
      <c r="AM1166" s="395"/>
      <c r="AN1166" s="395"/>
      <c r="AO1166" s="395"/>
    </row>
    <row r="1167">
      <c r="A1167" s="398"/>
      <c r="B1167" s="398"/>
      <c r="C1167" s="398"/>
      <c r="D1167" s="398"/>
      <c r="E1167" s="399"/>
      <c r="F1167" s="400"/>
      <c r="G1167" s="399"/>
      <c r="H1167" s="400"/>
      <c r="I1167" s="400"/>
      <c r="J1167" s="400"/>
      <c r="K1167" s="400"/>
      <c r="L1167" s="400"/>
      <c r="M1167" s="400"/>
      <c r="N1167" s="400"/>
      <c r="O1167" s="400"/>
      <c r="P1167" s="400"/>
      <c r="Q1167" s="400"/>
      <c r="R1167" s="398"/>
      <c r="S1167" s="401"/>
      <c r="T1167" s="401"/>
      <c r="U1167" s="398"/>
      <c r="V1167" s="398"/>
      <c r="W1167" s="398"/>
      <c r="X1167" s="398"/>
      <c r="Y1167" s="402"/>
      <c r="Z1167" s="403"/>
      <c r="AA1167" s="404"/>
      <c r="AB1167" s="405"/>
      <c r="AC1167" s="405"/>
      <c r="AD1167" s="406"/>
      <c r="AE1167" s="395"/>
      <c r="AF1167" s="395"/>
      <c r="AG1167" s="395"/>
      <c r="AH1167" s="395"/>
      <c r="AI1167" s="395"/>
      <c r="AJ1167" s="395"/>
      <c r="AK1167" s="395"/>
      <c r="AL1167" s="395"/>
      <c r="AM1167" s="395"/>
      <c r="AN1167" s="395"/>
      <c r="AO1167" s="395"/>
    </row>
    <row r="1168">
      <c r="A1168" s="398"/>
      <c r="B1168" s="398"/>
      <c r="C1168" s="398"/>
      <c r="D1168" s="398"/>
      <c r="E1168" s="399"/>
      <c r="F1168" s="400"/>
      <c r="G1168" s="399"/>
      <c r="H1168" s="400"/>
      <c r="I1168" s="400"/>
      <c r="J1168" s="400"/>
      <c r="K1168" s="400"/>
      <c r="L1168" s="400"/>
      <c r="M1168" s="400"/>
      <c r="N1168" s="400"/>
      <c r="O1168" s="400"/>
      <c r="P1168" s="400"/>
      <c r="Q1168" s="400"/>
      <c r="R1168" s="398"/>
      <c r="S1168" s="401"/>
      <c r="T1168" s="401"/>
      <c r="U1168" s="398"/>
      <c r="V1168" s="398"/>
      <c r="W1168" s="398"/>
      <c r="X1168" s="398"/>
      <c r="Y1168" s="402"/>
      <c r="Z1168" s="403"/>
      <c r="AA1168" s="404"/>
      <c r="AB1168" s="405"/>
      <c r="AC1168" s="405"/>
      <c r="AD1168" s="406"/>
      <c r="AE1168" s="395"/>
      <c r="AF1168" s="395"/>
      <c r="AG1168" s="395"/>
      <c r="AH1168" s="395"/>
      <c r="AI1168" s="395"/>
      <c r="AJ1168" s="395"/>
      <c r="AK1168" s="395"/>
      <c r="AL1168" s="395"/>
      <c r="AM1168" s="395"/>
      <c r="AN1168" s="395"/>
      <c r="AO1168" s="395"/>
    </row>
    <row r="1169">
      <c r="A1169" s="398"/>
      <c r="B1169" s="398"/>
      <c r="C1169" s="398"/>
      <c r="D1169" s="398"/>
      <c r="E1169" s="399"/>
      <c r="F1169" s="400"/>
      <c r="G1169" s="399"/>
      <c r="H1169" s="400"/>
      <c r="I1169" s="400"/>
      <c r="J1169" s="400"/>
      <c r="K1169" s="400"/>
      <c r="L1169" s="400"/>
      <c r="M1169" s="400"/>
      <c r="N1169" s="400"/>
      <c r="O1169" s="400"/>
      <c r="P1169" s="400"/>
      <c r="Q1169" s="400"/>
      <c r="R1169" s="398"/>
      <c r="S1169" s="401"/>
      <c r="T1169" s="401"/>
      <c r="U1169" s="398"/>
      <c r="V1169" s="398"/>
      <c r="W1169" s="398"/>
      <c r="X1169" s="398"/>
      <c r="Y1169" s="402"/>
      <c r="Z1169" s="403"/>
      <c r="AA1169" s="404"/>
      <c r="AB1169" s="405"/>
      <c r="AC1169" s="405"/>
      <c r="AD1169" s="406"/>
      <c r="AE1169" s="395"/>
      <c r="AF1169" s="395"/>
      <c r="AG1169" s="395"/>
      <c r="AH1169" s="395"/>
      <c r="AI1169" s="395"/>
      <c r="AJ1169" s="395"/>
      <c r="AK1169" s="395"/>
      <c r="AL1169" s="395"/>
      <c r="AM1169" s="395"/>
      <c r="AN1169" s="395"/>
      <c r="AO1169" s="395"/>
    </row>
    <row r="1170">
      <c r="A1170" s="398"/>
      <c r="B1170" s="398"/>
      <c r="C1170" s="398"/>
      <c r="D1170" s="398"/>
      <c r="E1170" s="399"/>
      <c r="F1170" s="400"/>
      <c r="G1170" s="399"/>
      <c r="H1170" s="400"/>
      <c r="I1170" s="400"/>
      <c r="J1170" s="400"/>
      <c r="K1170" s="400"/>
      <c r="L1170" s="400"/>
      <c r="M1170" s="400"/>
      <c r="N1170" s="400"/>
      <c r="O1170" s="400"/>
      <c r="P1170" s="400"/>
      <c r="Q1170" s="400"/>
      <c r="R1170" s="398"/>
      <c r="S1170" s="401"/>
      <c r="T1170" s="401"/>
      <c r="U1170" s="398"/>
      <c r="V1170" s="398"/>
      <c r="W1170" s="398"/>
      <c r="X1170" s="398"/>
      <c r="Y1170" s="402"/>
      <c r="Z1170" s="403"/>
      <c r="AA1170" s="404"/>
      <c r="AB1170" s="405"/>
      <c r="AC1170" s="405"/>
      <c r="AD1170" s="406"/>
      <c r="AE1170" s="395"/>
      <c r="AF1170" s="395"/>
      <c r="AG1170" s="395"/>
      <c r="AH1170" s="395"/>
      <c r="AI1170" s="395"/>
      <c r="AJ1170" s="395"/>
      <c r="AK1170" s="395"/>
      <c r="AL1170" s="395"/>
      <c r="AM1170" s="395"/>
      <c r="AN1170" s="395"/>
      <c r="AO1170" s="395"/>
    </row>
    <row r="1171">
      <c r="A1171" s="398"/>
      <c r="B1171" s="398"/>
      <c r="C1171" s="398"/>
      <c r="D1171" s="398"/>
      <c r="E1171" s="399"/>
      <c r="F1171" s="400"/>
      <c r="G1171" s="399"/>
      <c r="H1171" s="400"/>
      <c r="I1171" s="400"/>
      <c r="J1171" s="400"/>
      <c r="K1171" s="400"/>
      <c r="L1171" s="400"/>
      <c r="M1171" s="400"/>
      <c r="N1171" s="400"/>
      <c r="O1171" s="400"/>
      <c r="P1171" s="400"/>
      <c r="Q1171" s="400"/>
      <c r="R1171" s="398"/>
      <c r="S1171" s="401"/>
      <c r="T1171" s="401"/>
      <c r="U1171" s="398"/>
      <c r="V1171" s="398"/>
      <c r="W1171" s="398"/>
      <c r="X1171" s="398"/>
      <c r="Y1171" s="402"/>
      <c r="Z1171" s="403"/>
      <c r="AA1171" s="404"/>
      <c r="AB1171" s="405"/>
      <c r="AC1171" s="405"/>
      <c r="AD1171" s="406"/>
      <c r="AE1171" s="395"/>
      <c r="AF1171" s="395"/>
      <c r="AG1171" s="395"/>
      <c r="AH1171" s="395"/>
      <c r="AI1171" s="395"/>
      <c r="AJ1171" s="395"/>
      <c r="AK1171" s="395"/>
      <c r="AL1171" s="395"/>
      <c r="AM1171" s="395"/>
      <c r="AN1171" s="395"/>
      <c r="AO1171" s="395"/>
    </row>
    <row r="1172">
      <c r="A1172" s="398"/>
      <c r="B1172" s="398"/>
      <c r="C1172" s="398"/>
      <c r="D1172" s="398"/>
      <c r="E1172" s="399"/>
      <c r="F1172" s="400"/>
      <c r="G1172" s="399"/>
      <c r="H1172" s="400"/>
      <c r="I1172" s="400"/>
      <c r="J1172" s="400"/>
      <c r="K1172" s="400"/>
      <c r="L1172" s="400"/>
      <c r="M1172" s="400"/>
      <c r="N1172" s="400"/>
      <c r="O1172" s="400"/>
      <c r="P1172" s="400"/>
      <c r="Q1172" s="400"/>
      <c r="R1172" s="398"/>
      <c r="S1172" s="401"/>
      <c r="T1172" s="401"/>
      <c r="U1172" s="398"/>
      <c r="V1172" s="398"/>
      <c r="W1172" s="398"/>
      <c r="X1172" s="398"/>
      <c r="Y1172" s="402"/>
      <c r="Z1172" s="403"/>
      <c r="AA1172" s="404"/>
      <c r="AB1172" s="405"/>
      <c r="AC1172" s="405"/>
      <c r="AD1172" s="406"/>
      <c r="AE1172" s="395"/>
      <c r="AF1172" s="395"/>
      <c r="AG1172" s="395"/>
      <c r="AH1172" s="395"/>
      <c r="AI1172" s="395"/>
      <c r="AJ1172" s="395"/>
      <c r="AK1172" s="395"/>
      <c r="AL1172" s="395"/>
      <c r="AM1172" s="395"/>
      <c r="AN1172" s="395"/>
      <c r="AO1172" s="395"/>
    </row>
    <row r="1173">
      <c r="A1173" s="398"/>
      <c r="B1173" s="398"/>
      <c r="C1173" s="398"/>
      <c r="D1173" s="398"/>
      <c r="E1173" s="399"/>
      <c r="F1173" s="400"/>
      <c r="G1173" s="399"/>
      <c r="H1173" s="400"/>
      <c r="I1173" s="400"/>
      <c r="J1173" s="400"/>
      <c r="K1173" s="400"/>
      <c r="L1173" s="400"/>
      <c r="M1173" s="400"/>
      <c r="N1173" s="400"/>
      <c r="O1173" s="400"/>
      <c r="P1173" s="400"/>
      <c r="Q1173" s="400"/>
      <c r="R1173" s="398"/>
      <c r="S1173" s="401"/>
      <c r="T1173" s="401"/>
      <c r="U1173" s="398"/>
      <c r="V1173" s="398"/>
      <c r="W1173" s="398"/>
      <c r="X1173" s="398"/>
      <c r="Y1173" s="402"/>
      <c r="Z1173" s="403"/>
      <c r="AA1173" s="404"/>
      <c r="AB1173" s="405"/>
      <c r="AC1173" s="405"/>
      <c r="AD1173" s="406"/>
      <c r="AE1173" s="395"/>
      <c r="AF1173" s="395"/>
      <c r="AG1173" s="395"/>
      <c r="AH1173" s="395"/>
      <c r="AI1173" s="395"/>
      <c r="AJ1173" s="395"/>
      <c r="AK1173" s="395"/>
      <c r="AL1173" s="395"/>
      <c r="AM1173" s="395"/>
      <c r="AN1173" s="395"/>
      <c r="AO1173" s="395"/>
    </row>
    <row r="1174">
      <c r="A1174" s="398"/>
      <c r="B1174" s="398"/>
      <c r="C1174" s="398"/>
      <c r="D1174" s="398"/>
      <c r="E1174" s="399"/>
      <c r="F1174" s="400"/>
      <c r="G1174" s="399"/>
      <c r="H1174" s="400"/>
      <c r="I1174" s="400"/>
      <c r="J1174" s="400"/>
      <c r="K1174" s="400"/>
      <c r="L1174" s="400"/>
      <c r="M1174" s="400"/>
      <c r="N1174" s="400"/>
      <c r="O1174" s="400"/>
      <c r="P1174" s="400"/>
      <c r="Q1174" s="400"/>
      <c r="R1174" s="398"/>
      <c r="S1174" s="401"/>
      <c r="T1174" s="401"/>
      <c r="U1174" s="398"/>
      <c r="V1174" s="398"/>
      <c r="W1174" s="398"/>
      <c r="X1174" s="398"/>
      <c r="Y1174" s="402"/>
      <c r="Z1174" s="403"/>
      <c r="AA1174" s="404"/>
      <c r="AB1174" s="405"/>
      <c r="AC1174" s="405"/>
      <c r="AD1174" s="406"/>
      <c r="AE1174" s="395"/>
      <c r="AF1174" s="395"/>
      <c r="AG1174" s="395"/>
      <c r="AH1174" s="395"/>
      <c r="AI1174" s="395"/>
      <c r="AJ1174" s="395"/>
      <c r="AK1174" s="395"/>
      <c r="AL1174" s="395"/>
      <c r="AM1174" s="395"/>
      <c r="AN1174" s="395"/>
      <c r="AO1174" s="395"/>
    </row>
    <row r="1175">
      <c r="A1175" s="398"/>
      <c r="B1175" s="398"/>
      <c r="C1175" s="398"/>
      <c r="D1175" s="398"/>
      <c r="E1175" s="399"/>
      <c r="F1175" s="400"/>
      <c r="G1175" s="399"/>
      <c r="H1175" s="400"/>
      <c r="I1175" s="400"/>
      <c r="J1175" s="400"/>
      <c r="K1175" s="400"/>
      <c r="L1175" s="400"/>
      <c r="M1175" s="400"/>
      <c r="N1175" s="400"/>
      <c r="O1175" s="400"/>
      <c r="P1175" s="400"/>
      <c r="Q1175" s="400"/>
      <c r="R1175" s="398"/>
      <c r="S1175" s="401"/>
      <c r="T1175" s="401"/>
      <c r="U1175" s="398"/>
      <c r="V1175" s="398"/>
      <c r="W1175" s="398"/>
      <c r="X1175" s="398"/>
      <c r="Y1175" s="402"/>
      <c r="Z1175" s="403"/>
      <c r="AA1175" s="404"/>
      <c r="AB1175" s="405"/>
      <c r="AC1175" s="405"/>
      <c r="AD1175" s="406"/>
      <c r="AE1175" s="395"/>
      <c r="AF1175" s="395"/>
      <c r="AG1175" s="395"/>
      <c r="AH1175" s="395"/>
      <c r="AI1175" s="395"/>
      <c r="AJ1175" s="395"/>
      <c r="AK1175" s="395"/>
      <c r="AL1175" s="395"/>
      <c r="AM1175" s="395"/>
      <c r="AN1175" s="395"/>
      <c r="AO1175" s="395"/>
    </row>
    <row r="1176">
      <c r="A1176" s="398"/>
      <c r="B1176" s="398"/>
      <c r="C1176" s="398"/>
      <c r="D1176" s="398"/>
      <c r="E1176" s="399"/>
      <c r="F1176" s="400"/>
      <c r="G1176" s="399"/>
      <c r="H1176" s="400"/>
      <c r="I1176" s="400"/>
      <c r="J1176" s="400"/>
      <c r="K1176" s="400"/>
      <c r="L1176" s="400"/>
      <c r="M1176" s="400"/>
      <c r="N1176" s="400"/>
      <c r="O1176" s="400"/>
      <c r="P1176" s="400"/>
      <c r="Q1176" s="400"/>
      <c r="R1176" s="398"/>
      <c r="S1176" s="401"/>
      <c r="T1176" s="401"/>
      <c r="U1176" s="398"/>
      <c r="V1176" s="398"/>
      <c r="W1176" s="398"/>
      <c r="X1176" s="398"/>
      <c r="Y1176" s="402"/>
      <c r="Z1176" s="403"/>
      <c r="AA1176" s="404"/>
      <c r="AB1176" s="405"/>
      <c r="AC1176" s="405"/>
      <c r="AD1176" s="406"/>
      <c r="AE1176" s="395"/>
      <c r="AF1176" s="395"/>
      <c r="AG1176" s="395"/>
      <c r="AH1176" s="395"/>
      <c r="AI1176" s="395"/>
      <c r="AJ1176" s="395"/>
      <c r="AK1176" s="395"/>
      <c r="AL1176" s="395"/>
      <c r="AM1176" s="395"/>
      <c r="AN1176" s="395"/>
      <c r="AO1176" s="395"/>
    </row>
    <row r="1177">
      <c r="A1177" s="398"/>
      <c r="B1177" s="398"/>
      <c r="C1177" s="398"/>
      <c r="D1177" s="398"/>
      <c r="E1177" s="399"/>
      <c r="F1177" s="400"/>
      <c r="G1177" s="399"/>
      <c r="H1177" s="400"/>
      <c r="I1177" s="400"/>
      <c r="J1177" s="400"/>
      <c r="K1177" s="400"/>
      <c r="L1177" s="400"/>
      <c r="M1177" s="400"/>
      <c r="N1177" s="400"/>
      <c r="O1177" s="400"/>
      <c r="P1177" s="400"/>
      <c r="Q1177" s="400"/>
      <c r="R1177" s="398"/>
      <c r="S1177" s="401"/>
      <c r="T1177" s="401"/>
      <c r="U1177" s="398"/>
      <c r="V1177" s="398"/>
      <c r="W1177" s="398"/>
      <c r="X1177" s="398"/>
      <c r="Y1177" s="402"/>
      <c r="Z1177" s="403"/>
      <c r="AA1177" s="404"/>
      <c r="AB1177" s="405"/>
      <c r="AC1177" s="405"/>
      <c r="AD1177" s="406"/>
      <c r="AE1177" s="395"/>
      <c r="AF1177" s="395"/>
      <c r="AG1177" s="395"/>
      <c r="AH1177" s="395"/>
      <c r="AI1177" s="395"/>
      <c r="AJ1177" s="395"/>
      <c r="AK1177" s="395"/>
      <c r="AL1177" s="395"/>
      <c r="AM1177" s="395"/>
      <c r="AN1177" s="395"/>
      <c r="AO1177" s="395"/>
    </row>
    <row r="1178">
      <c r="A1178" s="398"/>
      <c r="B1178" s="398"/>
      <c r="C1178" s="398"/>
      <c r="D1178" s="398"/>
      <c r="E1178" s="399"/>
      <c r="F1178" s="400"/>
      <c r="G1178" s="399"/>
      <c r="H1178" s="400"/>
      <c r="I1178" s="400"/>
      <c r="J1178" s="400"/>
      <c r="K1178" s="400"/>
      <c r="L1178" s="400"/>
      <c r="M1178" s="400"/>
      <c r="N1178" s="400"/>
      <c r="O1178" s="400"/>
      <c r="P1178" s="400"/>
      <c r="Q1178" s="400"/>
      <c r="R1178" s="398"/>
      <c r="S1178" s="401"/>
      <c r="T1178" s="401"/>
      <c r="U1178" s="398"/>
      <c r="V1178" s="398"/>
      <c r="W1178" s="398"/>
      <c r="X1178" s="398"/>
      <c r="Y1178" s="402"/>
      <c r="Z1178" s="403"/>
      <c r="AA1178" s="404"/>
      <c r="AB1178" s="405"/>
      <c r="AC1178" s="405"/>
      <c r="AD1178" s="406"/>
      <c r="AE1178" s="395"/>
      <c r="AF1178" s="395"/>
      <c r="AG1178" s="395"/>
      <c r="AH1178" s="395"/>
      <c r="AI1178" s="395"/>
      <c r="AJ1178" s="395"/>
      <c r="AK1178" s="395"/>
      <c r="AL1178" s="395"/>
      <c r="AM1178" s="395"/>
      <c r="AN1178" s="395"/>
      <c r="AO1178" s="395"/>
    </row>
    <row r="1179">
      <c r="A1179" s="398"/>
      <c r="B1179" s="398"/>
      <c r="C1179" s="398"/>
      <c r="D1179" s="398"/>
      <c r="E1179" s="399"/>
      <c r="F1179" s="400"/>
      <c r="G1179" s="399"/>
      <c r="H1179" s="400"/>
      <c r="I1179" s="400"/>
      <c r="J1179" s="400"/>
      <c r="K1179" s="400"/>
      <c r="L1179" s="400"/>
      <c r="M1179" s="400"/>
      <c r="N1179" s="400"/>
      <c r="O1179" s="400"/>
      <c r="P1179" s="400"/>
      <c r="Q1179" s="400"/>
      <c r="R1179" s="398"/>
      <c r="S1179" s="401"/>
      <c r="T1179" s="401"/>
      <c r="U1179" s="398"/>
      <c r="V1179" s="398"/>
      <c r="W1179" s="398"/>
      <c r="X1179" s="398"/>
      <c r="Y1179" s="402"/>
      <c r="Z1179" s="403"/>
      <c r="AA1179" s="404"/>
      <c r="AB1179" s="405"/>
      <c r="AC1179" s="405"/>
      <c r="AD1179" s="406"/>
      <c r="AE1179" s="395"/>
      <c r="AF1179" s="395"/>
      <c r="AG1179" s="395"/>
      <c r="AH1179" s="395"/>
      <c r="AI1179" s="395"/>
      <c r="AJ1179" s="395"/>
      <c r="AK1179" s="395"/>
      <c r="AL1179" s="395"/>
      <c r="AM1179" s="395"/>
      <c r="AN1179" s="395"/>
      <c r="AO1179" s="395"/>
    </row>
    <row r="1180">
      <c r="A1180" s="398"/>
      <c r="B1180" s="398"/>
      <c r="C1180" s="398"/>
      <c r="D1180" s="398"/>
      <c r="E1180" s="399"/>
      <c r="F1180" s="400"/>
      <c r="G1180" s="399"/>
      <c r="H1180" s="400"/>
      <c r="I1180" s="400"/>
      <c r="J1180" s="400"/>
      <c r="K1180" s="400"/>
      <c r="L1180" s="400"/>
      <c r="M1180" s="400"/>
      <c r="N1180" s="400"/>
      <c r="O1180" s="400"/>
      <c r="P1180" s="400"/>
      <c r="Q1180" s="400"/>
      <c r="R1180" s="398"/>
      <c r="S1180" s="401"/>
      <c r="T1180" s="401"/>
      <c r="U1180" s="398"/>
      <c r="V1180" s="398"/>
      <c r="W1180" s="398"/>
      <c r="X1180" s="398"/>
      <c r="Y1180" s="402"/>
      <c r="Z1180" s="403"/>
      <c r="AA1180" s="404"/>
      <c r="AB1180" s="405"/>
      <c r="AC1180" s="405"/>
      <c r="AD1180" s="406"/>
      <c r="AE1180" s="395"/>
      <c r="AF1180" s="395"/>
      <c r="AG1180" s="395"/>
      <c r="AH1180" s="395"/>
      <c r="AI1180" s="395"/>
      <c r="AJ1180" s="395"/>
      <c r="AK1180" s="395"/>
      <c r="AL1180" s="395"/>
      <c r="AM1180" s="395"/>
      <c r="AN1180" s="395"/>
      <c r="AO1180" s="395"/>
    </row>
    <row r="1181">
      <c r="A1181" s="398"/>
      <c r="B1181" s="398"/>
      <c r="C1181" s="398"/>
      <c r="D1181" s="398"/>
      <c r="E1181" s="399"/>
      <c r="F1181" s="400"/>
      <c r="G1181" s="399"/>
      <c r="H1181" s="400"/>
      <c r="I1181" s="400"/>
      <c r="J1181" s="400"/>
      <c r="K1181" s="400"/>
      <c r="L1181" s="400"/>
      <c r="M1181" s="400"/>
      <c r="N1181" s="400"/>
      <c r="O1181" s="400"/>
      <c r="P1181" s="400"/>
      <c r="Q1181" s="400"/>
      <c r="R1181" s="398"/>
      <c r="S1181" s="401"/>
      <c r="T1181" s="401"/>
      <c r="U1181" s="398"/>
      <c r="V1181" s="398"/>
      <c r="W1181" s="398"/>
      <c r="X1181" s="398"/>
      <c r="Y1181" s="402"/>
      <c r="Z1181" s="403"/>
      <c r="AA1181" s="404"/>
      <c r="AB1181" s="405"/>
      <c r="AC1181" s="405"/>
      <c r="AD1181" s="406"/>
      <c r="AE1181" s="395"/>
      <c r="AF1181" s="395"/>
      <c r="AG1181" s="395"/>
      <c r="AH1181" s="395"/>
      <c r="AI1181" s="395"/>
      <c r="AJ1181" s="395"/>
      <c r="AK1181" s="395"/>
      <c r="AL1181" s="395"/>
      <c r="AM1181" s="395"/>
      <c r="AN1181" s="395"/>
      <c r="AO1181" s="395"/>
    </row>
    <row r="1182">
      <c r="A1182" s="398"/>
      <c r="B1182" s="398"/>
      <c r="C1182" s="398"/>
      <c r="D1182" s="398"/>
      <c r="E1182" s="399"/>
      <c r="F1182" s="400"/>
      <c r="G1182" s="399"/>
      <c r="H1182" s="400"/>
      <c r="I1182" s="400"/>
      <c r="J1182" s="400"/>
      <c r="K1182" s="400"/>
      <c r="L1182" s="400"/>
      <c r="M1182" s="400"/>
      <c r="N1182" s="400"/>
      <c r="O1182" s="400"/>
      <c r="P1182" s="400"/>
      <c r="Q1182" s="400"/>
      <c r="R1182" s="398"/>
      <c r="S1182" s="401"/>
      <c r="T1182" s="401"/>
      <c r="U1182" s="398"/>
      <c r="V1182" s="398"/>
      <c r="W1182" s="398"/>
      <c r="X1182" s="398"/>
      <c r="Y1182" s="402"/>
      <c r="Z1182" s="403"/>
      <c r="AA1182" s="404"/>
      <c r="AB1182" s="405"/>
      <c r="AC1182" s="405"/>
      <c r="AD1182" s="406"/>
      <c r="AE1182" s="395"/>
      <c r="AF1182" s="395"/>
      <c r="AG1182" s="395"/>
      <c r="AH1182" s="395"/>
      <c r="AI1182" s="395"/>
      <c r="AJ1182" s="395"/>
      <c r="AK1182" s="395"/>
      <c r="AL1182" s="395"/>
      <c r="AM1182" s="395"/>
      <c r="AN1182" s="395"/>
      <c r="AO1182" s="395"/>
    </row>
    <row r="1183">
      <c r="A1183" s="398"/>
      <c r="B1183" s="398"/>
      <c r="C1183" s="398"/>
      <c r="D1183" s="398"/>
      <c r="E1183" s="399"/>
      <c r="F1183" s="400"/>
      <c r="G1183" s="399"/>
      <c r="H1183" s="400"/>
      <c r="I1183" s="400"/>
      <c r="J1183" s="400"/>
      <c r="K1183" s="400"/>
      <c r="L1183" s="400"/>
      <c r="M1183" s="400"/>
      <c r="N1183" s="400"/>
      <c r="O1183" s="400"/>
      <c r="P1183" s="400"/>
      <c r="Q1183" s="400"/>
      <c r="R1183" s="398"/>
      <c r="S1183" s="401"/>
      <c r="T1183" s="401"/>
      <c r="U1183" s="398"/>
      <c r="V1183" s="398"/>
      <c r="W1183" s="398"/>
      <c r="X1183" s="398"/>
      <c r="Y1183" s="402"/>
      <c r="Z1183" s="403"/>
      <c r="AA1183" s="404"/>
      <c r="AB1183" s="405"/>
      <c r="AC1183" s="405"/>
      <c r="AD1183" s="406"/>
      <c r="AE1183" s="395"/>
      <c r="AF1183" s="395"/>
      <c r="AG1183" s="395"/>
      <c r="AH1183" s="395"/>
      <c r="AI1183" s="395"/>
      <c r="AJ1183" s="395"/>
      <c r="AK1183" s="395"/>
      <c r="AL1183" s="395"/>
      <c r="AM1183" s="395"/>
      <c r="AN1183" s="395"/>
      <c r="AO1183" s="395"/>
    </row>
    <row r="1184">
      <c r="A1184" s="398"/>
      <c r="B1184" s="398"/>
      <c r="C1184" s="398"/>
      <c r="D1184" s="398"/>
      <c r="E1184" s="399"/>
      <c r="F1184" s="400"/>
      <c r="G1184" s="399"/>
      <c r="H1184" s="400"/>
      <c r="I1184" s="400"/>
      <c r="J1184" s="400"/>
      <c r="K1184" s="400"/>
      <c r="L1184" s="400"/>
      <c r="M1184" s="400"/>
      <c r="N1184" s="400"/>
      <c r="O1184" s="400"/>
      <c r="P1184" s="400"/>
      <c r="Q1184" s="400"/>
      <c r="R1184" s="398"/>
      <c r="S1184" s="401"/>
      <c r="T1184" s="401"/>
      <c r="U1184" s="398"/>
      <c r="V1184" s="398"/>
      <c r="W1184" s="398"/>
      <c r="X1184" s="398"/>
      <c r="Y1184" s="402"/>
      <c r="Z1184" s="403"/>
      <c r="AA1184" s="404"/>
      <c r="AB1184" s="405"/>
      <c r="AC1184" s="405"/>
      <c r="AD1184" s="406"/>
      <c r="AE1184" s="395"/>
      <c r="AF1184" s="395"/>
      <c r="AG1184" s="395"/>
      <c r="AH1184" s="395"/>
      <c r="AI1184" s="395"/>
      <c r="AJ1184" s="395"/>
      <c r="AK1184" s="395"/>
      <c r="AL1184" s="395"/>
      <c r="AM1184" s="395"/>
      <c r="AN1184" s="395"/>
      <c r="AO1184" s="395"/>
    </row>
    <row r="1185">
      <c r="A1185" s="398"/>
      <c r="B1185" s="398"/>
      <c r="C1185" s="398"/>
      <c r="D1185" s="398"/>
      <c r="E1185" s="399"/>
      <c r="F1185" s="400"/>
      <c r="G1185" s="399"/>
      <c r="H1185" s="400"/>
      <c r="I1185" s="400"/>
      <c r="J1185" s="400"/>
      <c r="K1185" s="400"/>
      <c r="L1185" s="400"/>
      <c r="M1185" s="400"/>
      <c r="N1185" s="400"/>
      <c r="O1185" s="400"/>
      <c r="P1185" s="400"/>
      <c r="Q1185" s="400"/>
      <c r="R1185" s="398"/>
      <c r="S1185" s="401"/>
      <c r="T1185" s="401"/>
      <c r="U1185" s="398"/>
      <c r="V1185" s="398"/>
      <c r="W1185" s="398"/>
      <c r="X1185" s="398"/>
      <c r="Y1185" s="402"/>
      <c r="Z1185" s="403"/>
      <c r="AA1185" s="404"/>
      <c r="AB1185" s="405"/>
      <c r="AC1185" s="405"/>
      <c r="AD1185" s="406"/>
      <c r="AE1185" s="395"/>
      <c r="AF1185" s="395"/>
      <c r="AG1185" s="395"/>
      <c r="AH1185" s="395"/>
      <c r="AI1185" s="395"/>
      <c r="AJ1185" s="395"/>
      <c r="AK1185" s="395"/>
      <c r="AL1185" s="395"/>
      <c r="AM1185" s="395"/>
      <c r="AN1185" s="395"/>
      <c r="AO1185" s="395"/>
    </row>
    <row r="1186">
      <c r="A1186" s="398"/>
      <c r="B1186" s="398"/>
      <c r="C1186" s="398"/>
      <c r="D1186" s="398"/>
      <c r="E1186" s="399"/>
      <c r="F1186" s="400"/>
      <c r="G1186" s="399"/>
      <c r="H1186" s="400"/>
      <c r="I1186" s="400"/>
      <c r="J1186" s="400"/>
      <c r="K1186" s="400"/>
      <c r="L1186" s="400"/>
      <c r="M1186" s="400"/>
      <c r="N1186" s="400"/>
      <c r="O1186" s="400"/>
      <c r="P1186" s="400"/>
      <c r="Q1186" s="400"/>
      <c r="R1186" s="398"/>
      <c r="S1186" s="401"/>
      <c r="T1186" s="401"/>
      <c r="U1186" s="398"/>
      <c r="V1186" s="398"/>
      <c r="W1186" s="398"/>
      <c r="X1186" s="398"/>
      <c r="Y1186" s="402"/>
      <c r="Z1186" s="403"/>
      <c r="AA1186" s="404"/>
      <c r="AB1186" s="405"/>
      <c r="AC1186" s="405"/>
      <c r="AD1186" s="406"/>
      <c r="AE1186" s="395"/>
      <c r="AF1186" s="395"/>
      <c r="AG1186" s="395"/>
      <c r="AH1186" s="395"/>
      <c r="AI1186" s="395"/>
      <c r="AJ1186" s="395"/>
      <c r="AK1186" s="395"/>
      <c r="AL1186" s="395"/>
      <c r="AM1186" s="395"/>
      <c r="AN1186" s="395"/>
      <c r="AO1186" s="395"/>
    </row>
    <row r="1187">
      <c r="A1187" s="398"/>
      <c r="B1187" s="398"/>
      <c r="C1187" s="398"/>
      <c r="D1187" s="398"/>
      <c r="E1187" s="399"/>
      <c r="F1187" s="400"/>
      <c r="G1187" s="399"/>
      <c r="H1187" s="400"/>
      <c r="I1187" s="400"/>
      <c r="J1187" s="400"/>
      <c r="K1187" s="400"/>
      <c r="L1187" s="400"/>
      <c r="M1187" s="400"/>
      <c r="N1187" s="400"/>
      <c r="O1187" s="400"/>
      <c r="P1187" s="400"/>
      <c r="Q1187" s="400"/>
      <c r="R1187" s="398"/>
      <c r="S1187" s="401"/>
      <c r="T1187" s="401"/>
      <c r="U1187" s="398"/>
      <c r="V1187" s="398"/>
      <c r="W1187" s="398"/>
      <c r="X1187" s="398"/>
      <c r="Y1187" s="402"/>
      <c r="Z1187" s="403"/>
      <c r="AA1187" s="404"/>
      <c r="AB1187" s="405"/>
      <c r="AC1187" s="405"/>
      <c r="AD1187" s="406"/>
      <c r="AE1187" s="395"/>
      <c r="AF1187" s="395"/>
      <c r="AG1187" s="395"/>
      <c r="AH1187" s="395"/>
      <c r="AI1187" s="395"/>
      <c r="AJ1187" s="395"/>
      <c r="AK1187" s="395"/>
      <c r="AL1187" s="395"/>
      <c r="AM1187" s="395"/>
      <c r="AN1187" s="395"/>
      <c r="AO1187" s="395"/>
    </row>
    <row r="1188">
      <c r="A1188" s="398"/>
      <c r="B1188" s="398"/>
      <c r="C1188" s="398"/>
      <c r="D1188" s="398"/>
      <c r="E1188" s="399"/>
      <c r="F1188" s="400"/>
      <c r="G1188" s="399"/>
      <c r="H1188" s="400"/>
      <c r="I1188" s="400"/>
      <c r="J1188" s="400"/>
      <c r="K1188" s="400"/>
      <c r="L1188" s="400"/>
      <c r="M1188" s="400"/>
      <c r="N1188" s="400"/>
      <c r="O1188" s="400"/>
      <c r="P1188" s="400"/>
      <c r="Q1188" s="400"/>
      <c r="R1188" s="398"/>
      <c r="S1188" s="401"/>
      <c r="T1188" s="401"/>
      <c r="U1188" s="398"/>
      <c r="V1188" s="398"/>
      <c r="W1188" s="398"/>
      <c r="X1188" s="398"/>
      <c r="Y1188" s="402"/>
      <c r="Z1188" s="403"/>
      <c r="AA1188" s="404"/>
      <c r="AB1188" s="405"/>
      <c r="AC1188" s="405"/>
      <c r="AD1188" s="406"/>
      <c r="AE1188" s="395"/>
      <c r="AF1188" s="395"/>
      <c r="AG1188" s="395"/>
      <c r="AH1188" s="395"/>
      <c r="AI1188" s="395"/>
      <c r="AJ1188" s="395"/>
      <c r="AK1188" s="395"/>
      <c r="AL1188" s="395"/>
      <c r="AM1188" s="395"/>
      <c r="AN1188" s="395"/>
      <c r="AO1188" s="395"/>
    </row>
    <row r="1189">
      <c r="A1189" s="398"/>
      <c r="B1189" s="398"/>
      <c r="C1189" s="398"/>
      <c r="D1189" s="398"/>
      <c r="E1189" s="399"/>
      <c r="F1189" s="400"/>
      <c r="G1189" s="399"/>
      <c r="H1189" s="400"/>
      <c r="I1189" s="400"/>
      <c r="J1189" s="400"/>
      <c r="K1189" s="400"/>
      <c r="L1189" s="400"/>
      <c r="M1189" s="400"/>
      <c r="N1189" s="400"/>
      <c r="O1189" s="400"/>
      <c r="P1189" s="400"/>
      <c r="Q1189" s="400"/>
      <c r="R1189" s="398"/>
      <c r="S1189" s="401"/>
      <c r="T1189" s="401"/>
      <c r="U1189" s="398"/>
      <c r="V1189" s="398"/>
      <c r="W1189" s="398"/>
      <c r="X1189" s="398"/>
      <c r="Y1189" s="402"/>
      <c r="Z1189" s="403"/>
      <c r="AA1189" s="404"/>
      <c r="AB1189" s="405"/>
      <c r="AC1189" s="405"/>
      <c r="AD1189" s="406"/>
      <c r="AE1189" s="395"/>
      <c r="AF1189" s="395"/>
      <c r="AG1189" s="395"/>
      <c r="AH1189" s="395"/>
      <c r="AI1189" s="395"/>
      <c r="AJ1189" s="395"/>
      <c r="AK1189" s="395"/>
      <c r="AL1189" s="395"/>
      <c r="AM1189" s="395"/>
      <c r="AN1189" s="395"/>
      <c r="AO1189" s="395"/>
    </row>
    <row r="1190">
      <c r="A1190" s="398"/>
      <c r="B1190" s="398"/>
      <c r="C1190" s="398"/>
      <c r="D1190" s="398"/>
      <c r="E1190" s="399"/>
      <c r="F1190" s="400"/>
      <c r="G1190" s="399"/>
      <c r="H1190" s="400"/>
      <c r="I1190" s="400"/>
      <c r="J1190" s="400"/>
      <c r="K1190" s="400"/>
      <c r="L1190" s="400"/>
      <c r="M1190" s="400"/>
      <c r="N1190" s="400"/>
      <c r="O1190" s="400"/>
      <c r="P1190" s="400"/>
      <c r="Q1190" s="400"/>
      <c r="R1190" s="398"/>
      <c r="S1190" s="401"/>
      <c r="T1190" s="401"/>
      <c r="U1190" s="398"/>
      <c r="V1190" s="398"/>
      <c r="W1190" s="398"/>
      <c r="X1190" s="398"/>
      <c r="Y1190" s="402"/>
      <c r="Z1190" s="403"/>
      <c r="AA1190" s="404"/>
      <c r="AB1190" s="405"/>
      <c r="AC1190" s="405"/>
      <c r="AD1190" s="406"/>
      <c r="AE1190" s="395"/>
      <c r="AF1190" s="395"/>
      <c r="AG1190" s="395"/>
      <c r="AH1190" s="395"/>
      <c r="AI1190" s="395"/>
      <c r="AJ1190" s="395"/>
      <c r="AK1190" s="395"/>
      <c r="AL1190" s="395"/>
      <c r="AM1190" s="395"/>
      <c r="AN1190" s="395"/>
      <c r="AO1190" s="395"/>
    </row>
    <row r="1191">
      <c r="A1191" s="398"/>
      <c r="B1191" s="398"/>
      <c r="C1191" s="398"/>
      <c r="D1191" s="398"/>
      <c r="E1191" s="399"/>
      <c r="F1191" s="400"/>
      <c r="G1191" s="399"/>
      <c r="H1191" s="400"/>
      <c r="I1191" s="400"/>
      <c r="J1191" s="400"/>
      <c r="K1191" s="400"/>
      <c r="L1191" s="400"/>
      <c r="M1191" s="400"/>
      <c r="N1191" s="400"/>
      <c r="O1191" s="400"/>
      <c r="P1191" s="400"/>
      <c r="Q1191" s="400"/>
      <c r="R1191" s="398"/>
      <c r="S1191" s="401"/>
      <c r="T1191" s="401"/>
      <c r="U1191" s="398"/>
      <c r="V1191" s="398"/>
      <c r="W1191" s="398"/>
      <c r="X1191" s="398"/>
      <c r="Y1191" s="402"/>
      <c r="Z1191" s="403"/>
      <c r="AA1191" s="404"/>
      <c r="AB1191" s="405"/>
      <c r="AC1191" s="405"/>
      <c r="AD1191" s="406"/>
      <c r="AE1191" s="395"/>
      <c r="AF1191" s="395"/>
      <c r="AG1191" s="395"/>
      <c r="AH1191" s="395"/>
      <c r="AI1191" s="395"/>
      <c r="AJ1191" s="395"/>
      <c r="AK1191" s="395"/>
      <c r="AL1191" s="395"/>
      <c r="AM1191" s="395"/>
      <c r="AN1191" s="395"/>
      <c r="AO1191" s="395"/>
    </row>
    <row r="1192">
      <c r="A1192" s="398"/>
      <c r="B1192" s="398"/>
      <c r="C1192" s="398"/>
      <c r="D1192" s="398"/>
      <c r="E1192" s="399"/>
      <c r="F1192" s="400"/>
      <c r="G1192" s="399"/>
      <c r="H1192" s="400"/>
      <c r="I1192" s="400"/>
      <c r="J1192" s="400"/>
      <c r="K1192" s="400"/>
      <c r="L1192" s="400"/>
      <c r="M1192" s="400"/>
      <c r="N1192" s="400"/>
      <c r="O1192" s="400"/>
      <c r="P1192" s="400"/>
      <c r="Q1192" s="400"/>
      <c r="R1192" s="398"/>
      <c r="S1192" s="401"/>
      <c r="T1192" s="401"/>
      <c r="U1192" s="398"/>
      <c r="V1192" s="398"/>
      <c r="W1192" s="398"/>
      <c r="X1192" s="398"/>
      <c r="Y1192" s="402"/>
      <c r="Z1192" s="403"/>
      <c r="AA1192" s="404"/>
      <c r="AB1192" s="405"/>
      <c r="AC1192" s="405"/>
      <c r="AD1192" s="406"/>
      <c r="AE1192" s="395"/>
      <c r="AF1192" s="395"/>
      <c r="AG1192" s="395"/>
      <c r="AH1192" s="395"/>
      <c r="AI1192" s="395"/>
      <c r="AJ1192" s="395"/>
      <c r="AK1192" s="395"/>
      <c r="AL1192" s="395"/>
      <c r="AM1192" s="395"/>
      <c r="AN1192" s="395"/>
      <c r="AO1192" s="395"/>
    </row>
    <row r="1193">
      <c r="A1193" s="398"/>
      <c r="B1193" s="398"/>
      <c r="C1193" s="398"/>
      <c r="D1193" s="398"/>
      <c r="E1193" s="399"/>
      <c r="F1193" s="400"/>
      <c r="G1193" s="399"/>
      <c r="H1193" s="400"/>
      <c r="I1193" s="400"/>
      <c r="J1193" s="400"/>
      <c r="K1193" s="400"/>
      <c r="L1193" s="400"/>
      <c r="M1193" s="400"/>
      <c r="N1193" s="400"/>
      <c r="O1193" s="400"/>
      <c r="P1193" s="400"/>
      <c r="Q1193" s="400"/>
      <c r="R1193" s="398"/>
      <c r="S1193" s="401"/>
      <c r="T1193" s="401"/>
      <c r="U1193" s="398"/>
      <c r="V1193" s="398"/>
      <c r="W1193" s="398"/>
      <c r="X1193" s="398"/>
      <c r="Y1193" s="402"/>
      <c r="Z1193" s="403"/>
      <c r="AA1193" s="404"/>
      <c r="AB1193" s="405"/>
      <c r="AC1193" s="405"/>
      <c r="AD1193" s="406"/>
      <c r="AE1193" s="395"/>
      <c r="AF1193" s="395"/>
      <c r="AG1193" s="395"/>
      <c r="AH1193" s="395"/>
      <c r="AI1193" s="395"/>
      <c r="AJ1193" s="395"/>
      <c r="AK1193" s="395"/>
      <c r="AL1193" s="395"/>
      <c r="AM1193" s="395"/>
      <c r="AN1193" s="395"/>
      <c r="AO1193" s="395"/>
    </row>
    <row r="1194">
      <c r="A1194" s="398"/>
      <c r="B1194" s="398"/>
      <c r="C1194" s="398"/>
      <c r="D1194" s="398"/>
      <c r="E1194" s="399"/>
      <c r="F1194" s="400"/>
      <c r="G1194" s="399"/>
      <c r="H1194" s="400"/>
      <c r="I1194" s="400"/>
      <c r="J1194" s="400"/>
      <c r="K1194" s="400"/>
      <c r="L1194" s="400"/>
      <c r="M1194" s="400"/>
      <c r="N1194" s="400"/>
      <c r="O1194" s="400"/>
      <c r="P1194" s="400"/>
      <c r="Q1194" s="400"/>
      <c r="R1194" s="398"/>
      <c r="S1194" s="401"/>
      <c r="T1194" s="401"/>
      <c r="U1194" s="398"/>
      <c r="V1194" s="398"/>
      <c r="W1194" s="398"/>
      <c r="X1194" s="398"/>
      <c r="Y1194" s="402"/>
      <c r="Z1194" s="403"/>
      <c r="AA1194" s="404"/>
      <c r="AB1194" s="405"/>
      <c r="AC1194" s="405"/>
      <c r="AD1194" s="406"/>
      <c r="AE1194" s="395"/>
      <c r="AF1194" s="395"/>
      <c r="AG1194" s="395"/>
      <c r="AH1194" s="395"/>
      <c r="AI1194" s="395"/>
      <c r="AJ1194" s="395"/>
      <c r="AK1194" s="395"/>
      <c r="AL1194" s="395"/>
      <c r="AM1194" s="395"/>
      <c r="AN1194" s="395"/>
      <c r="AO1194" s="395"/>
    </row>
    <row r="1195">
      <c r="A1195" s="398"/>
      <c r="B1195" s="398"/>
      <c r="C1195" s="398"/>
      <c r="D1195" s="398"/>
      <c r="E1195" s="399"/>
      <c r="F1195" s="400"/>
      <c r="G1195" s="399"/>
      <c r="H1195" s="400"/>
      <c r="I1195" s="400"/>
      <c r="J1195" s="400"/>
      <c r="K1195" s="400"/>
      <c r="L1195" s="400"/>
      <c r="M1195" s="400"/>
      <c r="N1195" s="400"/>
      <c r="O1195" s="400"/>
      <c r="P1195" s="400"/>
      <c r="Q1195" s="400"/>
      <c r="R1195" s="398"/>
      <c r="S1195" s="401"/>
      <c r="T1195" s="401"/>
      <c r="U1195" s="398"/>
      <c r="V1195" s="398"/>
      <c r="W1195" s="398"/>
      <c r="X1195" s="398"/>
      <c r="Y1195" s="402"/>
      <c r="Z1195" s="403"/>
      <c r="AA1195" s="404"/>
      <c r="AB1195" s="405"/>
      <c r="AC1195" s="405"/>
      <c r="AD1195" s="406"/>
      <c r="AE1195" s="395"/>
      <c r="AF1195" s="395"/>
      <c r="AG1195" s="395"/>
      <c r="AH1195" s="395"/>
      <c r="AI1195" s="395"/>
      <c r="AJ1195" s="395"/>
      <c r="AK1195" s="395"/>
      <c r="AL1195" s="395"/>
      <c r="AM1195" s="395"/>
      <c r="AN1195" s="395"/>
      <c r="AO1195" s="395"/>
    </row>
    <row r="1196">
      <c r="A1196" s="398"/>
      <c r="B1196" s="398"/>
      <c r="C1196" s="398"/>
      <c r="D1196" s="398"/>
      <c r="E1196" s="399"/>
      <c r="F1196" s="400"/>
      <c r="G1196" s="399"/>
      <c r="H1196" s="400"/>
      <c r="I1196" s="400"/>
      <c r="J1196" s="400"/>
      <c r="K1196" s="400"/>
      <c r="L1196" s="400"/>
      <c r="M1196" s="400"/>
      <c r="N1196" s="400"/>
      <c r="O1196" s="400"/>
      <c r="P1196" s="400"/>
      <c r="Q1196" s="400"/>
      <c r="R1196" s="398"/>
      <c r="S1196" s="401"/>
      <c r="T1196" s="401"/>
      <c r="U1196" s="398"/>
      <c r="V1196" s="398"/>
      <c r="W1196" s="398"/>
      <c r="X1196" s="398"/>
      <c r="Y1196" s="402"/>
      <c r="Z1196" s="403"/>
      <c r="AA1196" s="404"/>
      <c r="AB1196" s="405"/>
      <c r="AC1196" s="405"/>
      <c r="AD1196" s="406"/>
      <c r="AE1196" s="395"/>
      <c r="AF1196" s="395"/>
      <c r="AG1196" s="395"/>
      <c r="AH1196" s="395"/>
      <c r="AI1196" s="395"/>
      <c r="AJ1196" s="395"/>
      <c r="AK1196" s="395"/>
      <c r="AL1196" s="395"/>
      <c r="AM1196" s="395"/>
      <c r="AN1196" s="395"/>
      <c r="AO1196" s="395"/>
    </row>
    <row r="1197">
      <c r="A1197" s="398"/>
      <c r="B1197" s="398"/>
      <c r="C1197" s="398"/>
      <c r="D1197" s="398"/>
      <c r="E1197" s="399"/>
      <c r="F1197" s="400"/>
      <c r="G1197" s="399"/>
      <c r="H1197" s="400"/>
      <c r="I1197" s="400"/>
      <c r="J1197" s="400"/>
      <c r="K1197" s="400"/>
      <c r="L1197" s="400"/>
      <c r="M1197" s="400"/>
      <c r="N1197" s="400"/>
      <c r="O1197" s="400"/>
      <c r="P1197" s="400"/>
      <c r="Q1197" s="400"/>
      <c r="R1197" s="398"/>
      <c r="S1197" s="401"/>
      <c r="T1197" s="401"/>
      <c r="U1197" s="398"/>
      <c r="V1197" s="398"/>
      <c r="W1197" s="398"/>
      <c r="X1197" s="398"/>
      <c r="Y1197" s="402"/>
      <c r="Z1197" s="403"/>
      <c r="AA1197" s="404"/>
      <c r="AB1197" s="405"/>
      <c r="AC1197" s="405"/>
      <c r="AD1197" s="406"/>
      <c r="AE1197" s="395"/>
      <c r="AF1197" s="395"/>
      <c r="AG1197" s="395"/>
      <c r="AH1197" s="395"/>
      <c r="AI1197" s="395"/>
      <c r="AJ1197" s="395"/>
      <c r="AK1197" s="395"/>
      <c r="AL1197" s="395"/>
      <c r="AM1197" s="395"/>
      <c r="AN1197" s="395"/>
      <c r="AO1197" s="395"/>
    </row>
    <row r="1198">
      <c r="A1198" s="398"/>
      <c r="B1198" s="398"/>
      <c r="C1198" s="398"/>
      <c r="D1198" s="398"/>
      <c r="E1198" s="399"/>
      <c r="F1198" s="400"/>
      <c r="G1198" s="399"/>
      <c r="H1198" s="400"/>
      <c r="I1198" s="400"/>
      <c r="J1198" s="400"/>
      <c r="K1198" s="400"/>
      <c r="L1198" s="400"/>
      <c r="M1198" s="400"/>
      <c r="N1198" s="400"/>
      <c r="O1198" s="400"/>
      <c r="P1198" s="400"/>
      <c r="Q1198" s="400"/>
      <c r="R1198" s="398"/>
      <c r="S1198" s="401"/>
      <c r="T1198" s="401"/>
      <c r="U1198" s="398"/>
      <c r="V1198" s="398"/>
      <c r="W1198" s="398"/>
      <c r="X1198" s="398"/>
      <c r="Y1198" s="402"/>
      <c r="Z1198" s="403"/>
      <c r="AA1198" s="404"/>
      <c r="AB1198" s="405"/>
      <c r="AC1198" s="405"/>
      <c r="AD1198" s="406"/>
      <c r="AE1198" s="395"/>
      <c r="AF1198" s="395"/>
      <c r="AG1198" s="395"/>
      <c r="AH1198" s="395"/>
      <c r="AI1198" s="395"/>
      <c r="AJ1198" s="395"/>
      <c r="AK1198" s="395"/>
      <c r="AL1198" s="395"/>
      <c r="AM1198" s="395"/>
      <c r="AN1198" s="395"/>
      <c r="AO1198" s="395"/>
    </row>
    <row r="1199">
      <c r="A1199" s="398"/>
      <c r="B1199" s="398"/>
      <c r="C1199" s="398"/>
      <c r="D1199" s="398"/>
      <c r="E1199" s="399"/>
      <c r="F1199" s="400"/>
      <c r="G1199" s="399"/>
      <c r="H1199" s="400"/>
      <c r="I1199" s="400"/>
      <c r="J1199" s="400"/>
      <c r="K1199" s="400"/>
      <c r="L1199" s="400"/>
      <c r="M1199" s="400"/>
      <c r="N1199" s="400"/>
      <c r="O1199" s="400"/>
      <c r="P1199" s="400"/>
      <c r="Q1199" s="400"/>
      <c r="R1199" s="398"/>
      <c r="S1199" s="401"/>
      <c r="T1199" s="401"/>
      <c r="U1199" s="398"/>
      <c r="V1199" s="398"/>
      <c r="W1199" s="398"/>
      <c r="X1199" s="398"/>
      <c r="Y1199" s="402"/>
      <c r="Z1199" s="403"/>
      <c r="AA1199" s="404"/>
      <c r="AB1199" s="405"/>
      <c r="AC1199" s="405"/>
      <c r="AD1199" s="406"/>
      <c r="AE1199" s="395"/>
      <c r="AF1199" s="395"/>
      <c r="AG1199" s="395"/>
      <c r="AH1199" s="395"/>
      <c r="AI1199" s="395"/>
      <c r="AJ1199" s="395"/>
      <c r="AK1199" s="395"/>
      <c r="AL1199" s="395"/>
      <c r="AM1199" s="395"/>
      <c r="AN1199" s="395"/>
      <c r="AO1199" s="395"/>
    </row>
    <row r="1200">
      <c r="A1200" s="398"/>
      <c r="B1200" s="398"/>
      <c r="C1200" s="398"/>
      <c r="D1200" s="398"/>
      <c r="E1200" s="399"/>
      <c r="F1200" s="400"/>
      <c r="G1200" s="399"/>
      <c r="H1200" s="400"/>
      <c r="I1200" s="400"/>
      <c r="J1200" s="400"/>
      <c r="K1200" s="400"/>
      <c r="L1200" s="400"/>
      <c r="M1200" s="400"/>
      <c r="N1200" s="400"/>
      <c r="O1200" s="400"/>
      <c r="P1200" s="400"/>
      <c r="Q1200" s="400"/>
      <c r="R1200" s="398"/>
      <c r="S1200" s="401"/>
      <c r="T1200" s="401"/>
      <c r="U1200" s="398"/>
      <c r="V1200" s="398"/>
      <c r="W1200" s="398"/>
      <c r="X1200" s="398"/>
      <c r="Y1200" s="402"/>
      <c r="Z1200" s="403"/>
      <c r="AA1200" s="404"/>
      <c r="AB1200" s="405"/>
      <c r="AC1200" s="405"/>
      <c r="AD1200" s="406"/>
      <c r="AE1200" s="395"/>
      <c r="AF1200" s="395"/>
      <c r="AG1200" s="395"/>
      <c r="AH1200" s="395"/>
      <c r="AI1200" s="395"/>
      <c r="AJ1200" s="395"/>
      <c r="AK1200" s="395"/>
      <c r="AL1200" s="395"/>
      <c r="AM1200" s="395"/>
      <c r="AN1200" s="395"/>
      <c r="AO1200" s="395"/>
    </row>
    <row r="1201">
      <c r="A1201" s="398"/>
      <c r="B1201" s="398"/>
      <c r="C1201" s="398"/>
      <c r="D1201" s="398"/>
      <c r="E1201" s="399"/>
      <c r="F1201" s="400"/>
      <c r="G1201" s="399"/>
      <c r="H1201" s="400"/>
      <c r="I1201" s="400"/>
      <c r="J1201" s="400"/>
      <c r="K1201" s="400"/>
      <c r="L1201" s="400"/>
      <c r="M1201" s="400"/>
      <c r="N1201" s="400"/>
      <c r="O1201" s="400"/>
      <c r="P1201" s="400"/>
      <c r="Q1201" s="400"/>
      <c r="R1201" s="398"/>
      <c r="S1201" s="401"/>
      <c r="T1201" s="401"/>
      <c r="U1201" s="398"/>
      <c r="V1201" s="398"/>
      <c r="W1201" s="398"/>
      <c r="X1201" s="398"/>
      <c r="Y1201" s="402"/>
      <c r="Z1201" s="403"/>
      <c r="AA1201" s="404"/>
      <c r="AB1201" s="405"/>
      <c r="AC1201" s="405"/>
      <c r="AD1201" s="406"/>
      <c r="AE1201" s="395"/>
      <c r="AF1201" s="395"/>
      <c r="AG1201" s="395"/>
      <c r="AH1201" s="395"/>
      <c r="AI1201" s="395"/>
      <c r="AJ1201" s="395"/>
      <c r="AK1201" s="395"/>
      <c r="AL1201" s="395"/>
      <c r="AM1201" s="395"/>
      <c r="AN1201" s="395"/>
      <c r="AO1201" s="395"/>
    </row>
    <row r="1202">
      <c r="A1202" s="398"/>
      <c r="B1202" s="398"/>
      <c r="C1202" s="398"/>
      <c r="D1202" s="398"/>
      <c r="E1202" s="399"/>
      <c r="F1202" s="400"/>
      <c r="G1202" s="399"/>
      <c r="H1202" s="400"/>
      <c r="I1202" s="400"/>
      <c r="J1202" s="400"/>
      <c r="K1202" s="400"/>
      <c r="L1202" s="400"/>
      <c r="M1202" s="400"/>
      <c r="N1202" s="400"/>
      <c r="O1202" s="400"/>
      <c r="P1202" s="400"/>
      <c r="Q1202" s="400"/>
      <c r="R1202" s="398"/>
      <c r="S1202" s="401"/>
      <c r="T1202" s="401"/>
      <c r="U1202" s="398"/>
      <c r="V1202" s="398"/>
      <c r="W1202" s="398"/>
      <c r="X1202" s="398"/>
      <c r="Y1202" s="402"/>
      <c r="Z1202" s="403"/>
      <c r="AA1202" s="404"/>
      <c r="AB1202" s="405"/>
      <c r="AC1202" s="405"/>
      <c r="AD1202" s="406"/>
      <c r="AE1202" s="395"/>
      <c r="AF1202" s="395"/>
      <c r="AG1202" s="395"/>
      <c r="AH1202" s="395"/>
      <c r="AI1202" s="395"/>
      <c r="AJ1202" s="395"/>
      <c r="AK1202" s="395"/>
      <c r="AL1202" s="395"/>
      <c r="AM1202" s="395"/>
      <c r="AN1202" s="395"/>
      <c r="AO1202" s="395"/>
    </row>
    <row r="1203">
      <c r="A1203" s="398"/>
      <c r="B1203" s="398"/>
      <c r="C1203" s="398"/>
      <c r="D1203" s="398"/>
      <c r="E1203" s="399"/>
      <c r="F1203" s="400"/>
      <c r="G1203" s="399"/>
      <c r="H1203" s="400"/>
      <c r="I1203" s="400"/>
      <c r="J1203" s="400"/>
      <c r="K1203" s="400"/>
      <c r="L1203" s="400"/>
      <c r="M1203" s="400"/>
      <c r="N1203" s="400"/>
      <c r="O1203" s="400"/>
      <c r="P1203" s="400"/>
      <c r="Q1203" s="400"/>
      <c r="R1203" s="398"/>
      <c r="S1203" s="401"/>
      <c r="T1203" s="401"/>
      <c r="U1203" s="398"/>
      <c r="V1203" s="398"/>
      <c r="W1203" s="398"/>
      <c r="X1203" s="398"/>
      <c r="Y1203" s="402"/>
      <c r="Z1203" s="403"/>
      <c r="AA1203" s="404"/>
      <c r="AB1203" s="405"/>
      <c r="AC1203" s="405"/>
      <c r="AD1203" s="406"/>
      <c r="AE1203" s="395"/>
      <c r="AF1203" s="395"/>
      <c r="AG1203" s="395"/>
      <c r="AH1203" s="395"/>
      <c r="AI1203" s="395"/>
      <c r="AJ1203" s="395"/>
      <c r="AK1203" s="395"/>
      <c r="AL1203" s="395"/>
      <c r="AM1203" s="395"/>
      <c r="AN1203" s="395"/>
      <c r="AO1203" s="395"/>
    </row>
    <row r="1204">
      <c r="A1204" s="398"/>
      <c r="B1204" s="398"/>
      <c r="C1204" s="398"/>
      <c r="D1204" s="398"/>
      <c r="E1204" s="399"/>
      <c r="F1204" s="400"/>
      <c r="G1204" s="399"/>
      <c r="H1204" s="400"/>
      <c r="I1204" s="400"/>
      <c r="J1204" s="400"/>
      <c r="K1204" s="400"/>
      <c r="L1204" s="400"/>
      <c r="M1204" s="400"/>
      <c r="N1204" s="400"/>
      <c r="O1204" s="400"/>
      <c r="P1204" s="400"/>
      <c r="Q1204" s="400"/>
      <c r="R1204" s="398"/>
      <c r="S1204" s="401"/>
      <c r="T1204" s="401"/>
      <c r="U1204" s="398"/>
      <c r="V1204" s="398"/>
      <c r="W1204" s="398"/>
      <c r="X1204" s="398"/>
      <c r="Y1204" s="402"/>
      <c r="Z1204" s="403"/>
      <c r="AA1204" s="404"/>
      <c r="AB1204" s="405"/>
      <c r="AC1204" s="405"/>
      <c r="AD1204" s="406"/>
      <c r="AE1204" s="395"/>
      <c r="AF1204" s="395"/>
      <c r="AG1204" s="395"/>
      <c r="AH1204" s="395"/>
      <c r="AI1204" s="395"/>
      <c r="AJ1204" s="395"/>
      <c r="AK1204" s="395"/>
      <c r="AL1204" s="395"/>
      <c r="AM1204" s="395"/>
      <c r="AN1204" s="395"/>
      <c r="AO1204" s="395"/>
    </row>
    <row r="1205">
      <c r="A1205" s="398"/>
      <c r="B1205" s="398"/>
      <c r="C1205" s="398"/>
      <c r="D1205" s="398"/>
      <c r="E1205" s="399"/>
      <c r="F1205" s="400"/>
      <c r="G1205" s="399"/>
      <c r="H1205" s="400"/>
      <c r="I1205" s="400"/>
      <c r="J1205" s="400"/>
      <c r="K1205" s="400"/>
      <c r="L1205" s="400"/>
      <c r="M1205" s="400"/>
      <c r="N1205" s="400"/>
      <c r="O1205" s="400"/>
      <c r="P1205" s="400"/>
      <c r="Q1205" s="400"/>
      <c r="R1205" s="398"/>
      <c r="S1205" s="401"/>
      <c r="T1205" s="401"/>
      <c r="U1205" s="398"/>
      <c r="V1205" s="398"/>
      <c r="W1205" s="398"/>
      <c r="X1205" s="398"/>
      <c r="Y1205" s="402"/>
      <c r="Z1205" s="403"/>
      <c r="AA1205" s="404"/>
      <c r="AB1205" s="405"/>
      <c r="AC1205" s="405"/>
      <c r="AD1205" s="406"/>
      <c r="AE1205" s="395"/>
      <c r="AF1205" s="395"/>
      <c r="AG1205" s="395"/>
      <c r="AH1205" s="395"/>
      <c r="AI1205" s="395"/>
      <c r="AJ1205" s="395"/>
      <c r="AK1205" s="395"/>
      <c r="AL1205" s="395"/>
      <c r="AM1205" s="395"/>
      <c r="AN1205" s="395"/>
      <c r="AO1205" s="395"/>
    </row>
    <row r="1206">
      <c r="A1206" s="398"/>
      <c r="B1206" s="398"/>
      <c r="C1206" s="398"/>
      <c r="D1206" s="398"/>
      <c r="E1206" s="399"/>
      <c r="F1206" s="400"/>
      <c r="G1206" s="399"/>
      <c r="H1206" s="400"/>
      <c r="I1206" s="400"/>
      <c r="J1206" s="400"/>
      <c r="K1206" s="400"/>
      <c r="L1206" s="400"/>
      <c r="M1206" s="400"/>
      <c r="N1206" s="400"/>
      <c r="O1206" s="400"/>
      <c r="P1206" s="400"/>
      <c r="Q1206" s="400"/>
      <c r="R1206" s="398"/>
      <c r="S1206" s="401"/>
      <c r="T1206" s="401"/>
      <c r="U1206" s="398"/>
      <c r="V1206" s="398"/>
      <c r="W1206" s="398"/>
      <c r="X1206" s="398"/>
      <c r="Y1206" s="402"/>
      <c r="Z1206" s="403"/>
      <c r="AA1206" s="404"/>
      <c r="AB1206" s="405"/>
      <c r="AC1206" s="405"/>
      <c r="AD1206" s="406"/>
      <c r="AE1206" s="395"/>
      <c r="AF1206" s="395"/>
      <c r="AG1206" s="395"/>
      <c r="AH1206" s="395"/>
      <c r="AI1206" s="395"/>
      <c r="AJ1206" s="395"/>
      <c r="AK1206" s="395"/>
      <c r="AL1206" s="395"/>
      <c r="AM1206" s="395"/>
      <c r="AN1206" s="395"/>
      <c r="AO1206" s="395"/>
    </row>
    <row r="1207">
      <c r="A1207" s="398"/>
      <c r="B1207" s="398"/>
      <c r="C1207" s="398"/>
      <c r="D1207" s="398"/>
      <c r="E1207" s="399"/>
      <c r="F1207" s="400"/>
      <c r="G1207" s="399"/>
      <c r="H1207" s="400"/>
      <c r="I1207" s="400"/>
      <c r="J1207" s="400"/>
      <c r="K1207" s="400"/>
      <c r="L1207" s="400"/>
      <c r="M1207" s="400"/>
      <c r="N1207" s="400"/>
      <c r="O1207" s="400"/>
      <c r="P1207" s="400"/>
      <c r="Q1207" s="400"/>
      <c r="R1207" s="398"/>
      <c r="S1207" s="401"/>
      <c r="T1207" s="401"/>
      <c r="U1207" s="398"/>
      <c r="V1207" s="398"/>
      <c r="W1207" s="398"/>
      <c r="X1207" s="398"/>
      <c r="Y1207" s="402"/>
      <c r="Z1207" s="403"/>
      <c r="AA1207" s="404"/>
      <c r="AB1207" s="405"/>
      <c r="AC1207" s="405"/>
      <c r="AD1207" s="406"/>
      <c r="AE1207" s="395"/>
      <c r="AF1207" s="395"/>
      <c r="AG1207" s="395"/>
      <c r="AH1207" s="395"/>
      <c r="AI1207" s="395"/>
      <c r="AJ1207" s="395"/>
      <c r="AK1207" s="395"/>
      <c r="AL1207" s="395"/>
      <c r="AM1207" s="395"/>
      <c r="AN1207" s="395"/>
      <c r="AO1207" s="395"/>
    </row>
    <row r="1208">
      <c r="A1208" s="398"/>
      <c r="B1208" s="398"/>
      <c r="C1208" s="398"/>
      <c r="D1208" s="398"/>
      <c r="E1208" s="399"/>
      <c r="F1208" s="400"/>
      <c r="G1208" s="399"/>
      <c r="H1208" s="400"/>
      <c r="I1208" s="400"/>
      <c r="J1208" s="400"/>
      <c r="K1208" s="400"/>
      <c r="L1208" s="400"/>
      <c r="M1208" s="400"/>
      <c r="N1208" s="400"/>
      <c r="O1208" s="400"/>
      <c r="P1208" s="400"/>
      <c r="Q1208" s="400"/>
      <c r="R1208" s="398"/>
      <c r="S1208" s="401"/>
      <c r="T1208" s="401"/>
      <c r="U1208" s="398"/>
      <c r="V1208" s="398"/>
      <c r="W1208" s="398"/>
      <c r="X1208" s="398"/>
      <c r="Y1208" s="402"/>
      <c r="Z1208" s="403"/>
      <c r="AA1208" s="404"/>
      <c r="AB1208" s="405"/>
      <c r="AC1208" s="405"/>
      <c r="AD1208" s="406"/>
      <c r="AE1208" s="395"/>
      <c r="AF1208" s="395"/>
      <c r="AG1208" s="395"/>
      <c r="AH1208" s="395"/>
      <c r="AI1208" s="395"/>
      <c r="AJ1208" s="395"/>
      <c r="AK1208" s="395"/>
      <c r="AL1208" s="395"/>
      <c r="AM1208" s="395"/>
      <c r="AN1208" s="395"/>
      <c r="AO1208" s="395"/>
    </row>
    <row r="1209">
      <c r="A1209" s="398"/>
      <c r="B1209" s="398"/>
      <c r="C1209" s="398"/>
      <c r="D1209" s="398"/>
      <c r="E1209" s="399"/>
      <c r="F1209" s="400"/>
      <c r="G1209" s="399"/>
      <c r="H1209" s="400"/>
      <c r="I1209" s="400"/>
      <c r="J1209" s="400"/>
      <c r="K1209" s="400"/>
      <c r="L1209" s="400"/>
      <c r="M1209" s="400"/>
      <c r="N1209" s="400"/>
      <c r="O1209" s="400"/>
      <c r="P1209" s="400"/>
      <c r="Q1209" s="400"/>
      <c r="R1209" s="398"/>
      <c r="S1209" s="401"/>
      <c r="T1209" s="401"/>
      <c r="U1209" s="398"/>
      <c r="V1209" s="398"/>
      <c r="W1209" s="398"/>
      <c r="X1209" s="398"/>
      <c r="Y1209" s="402"/>
      <c r="Z1209" s="403"/>
      <c r="AA1209" s="404"/>
      <c r="AB1209" s="405"/>
      <c r="AC1209" s="405"/>
      <c r="AD1209" s="406"/>
      <c r="AE1209" s="395"/>
      <c r="AF1209" s="395"/>
      <c r="AG1209" s="395"/>
      <c r="AH1209" s="395"/>
      <c r="AI1209" s="395"/>
      <c r="AJ1209" s="395"/>
      <c r="AK1209" s="395"/>
      <c r="AL1209" s="395"/>
      <c r="AM1209" s="395"/>
      <c r="AN1209" s="395"/>
      <c r="AO1209" s="395"/>
    </row>
    <row r="1210">
      <c r="A1210" s="398"/>
      <c r="B1210" s="398"/>
      <c r="C1210" s="398"/>
      <c r="D1210" s="398"/>
      <c r="E1210" s="399"/>
      <c r="F1210" s="400"/>
      <c r="G1210" s="399"/>
      <c r="H1210" s="400"/>
      <c r="I1210" s="400"/>
      <c r="J1210" s="400"/>
      <c r="K1210" s="400"/>
      <c r="L1210" s="400"/>
      <c r="M1210" s="400"/>
      <c r="N1210" s="400"/>
      <c r="O1210" s="400"/>
      <c r="P1210" s="400"/>
      <c r="Q1210" s="400"/>
      <c r="R1210" s="398"/>
      <c r="S1210" s="401"/>
      <c r="T1210" s="401"/>
      <c r="U1210" s="398"/>
      <c r="V1210" s="398"/>
      <c r="W1210" s="398"/>
      <c r="X1210" s="398"/>
      <c r="Y1210" s="402"/>
      <c r="Z1210" s="403"/>
      <c r="AA1210" s="404"/>
      <c r="AB1210" s="405"/>
      <c r="AC1210" s="405"/>
      <c r="AD1210" s="406"/>
      <c r="AE1210" s="395"/>
      <c r="AF1210" s="395"/>
      <c r="AG1210" s="395"/>
      <c r="AH1210" s="395"/>
      <c r="AI1210" s="395"/>
      <c r="AJ1210" s="395"/>
      <c r="AK1210" s="395"/>
      <c r="AL1210" s="395"/>
      <c r="AM1210" s="395"/>
      <c r="AN1210" s="395"/>
      <c r="AO1210" s="395"/>
    </row>
    <row r="1211">
      <c r="A1211" s="398"/>
      <c r="B1211" s="398"/>
      <c r="C1211" s="398"/>
      <c r="D1211" s="398"/>
      <c r="E1211" s="399"/>
      <c r="F1211" s="400"/>
      <c r="G1211" s="399"/>
      <c r="H1211" s="400"/>
      <c r="I1211" s="400"/>
      <c r="J1211" s="400"/>
      <c r="K1211" s="400"/>
      <c r="L1211" s="400"/>
      <c r="M1211" s="400"/>
      <c r="N1211" s="400"/>
      <c r="O1211" s="400"/>
      <c r="P1211" s="400"/>
      <c r="Q1211" s="400"/>
      <c r="R1211" s="398"/>
      <c r="S1211" s="401"/>
      <c r="T1211" s="401"/>
      <c r="U1211" s="398"/>
      <c r="V1211" s="398"/>
      <c r="W1211" s="398"/>
      <c r="X1211" s="398"/>
      <c r="Y1211" s="402"/>
      <c r="Z1211" s="403"/>
      <c r="AA1211" s="404"/>
      <c r="AB1211" s="405"/>
      <c r="AC1211" s="405"/>
      <c r="AD1211" s="406"/>
      <c r="AE1211" s="395"/>
      <c r="AF1211" s="395"/>
      <c r="AG1211" s="395"/>
      <c r="AH1211" s="395"/>
      <c r="AI1211" s="395"/>
      <c r="AJ1211" s="395"/>
      <c r="AK1211" s="395"/>
      <c r="AL1211" s="395"/>
      <c r="AM1211" s="395"/>
      <c r="AN1211" s="395"/>
      <c r="AO1211" s="395"/>
    </row>
    <row r="1212">
      <c r="A1212" s="398"/>
      <c r="B1212" s="398"/>
      <c r="C1212" s="398"/>
      <c r="D1212" s="398"/>
      <c r="E1212" s="399"/>
      <c r="F1212" s="400"/>
      <c r="G1212" s="399"/>
      <c r="H1212" s="400"/>
      <c r="I1212" s="400"/>
      <c r="J1212" s="400"/>
      <c r="K1212" s="400"/>
      <c r="L1212" s="400"/>
      <c r="M1212" s="400"/>
      <c r="N1212" s="400"/>
      <c r="O1212" s="400"/>
      <c r="P1212" s="400"/>
      <c r="Q1212" s="400"/>
      <c r="R1212" s="398"/>
      <c r="S1212" s="401"/>
      <c r="T1212" s="401"/>
      <c r="U1212" s="398"/>
      <c r="V1212" s="398"/>
      <c r="W1212" s="398"/>
      <c r="X1212" s="398"/>
      <c r="Y1212" s="402"/>
      <c r="Z1212" s="403"/>
      <c r="AA1212" s="404"/>
      <c r="AB1212" s="405"/>
      <c r="AC1212" s="405"/>
      <c r="AD1212" s="406"/>
      <c r="AE1212" s="395"/>
      <c r="AF1212" s="395"/>
      <c r="AG1212" s="395"/>
      <c r="AH1212" s="395"/>
      <c r="AI1212" s="395"/>
      <c r="AJ1212" s="395"/>
      <c r="AK1212" s="395"/>
      <c r="AL1212" s="395"/>
      <c r="AM1212" s="395"/>
      <c r="AN1212" s="395"/>
      <c r="AO1212" s="395"/>
    </row>
    <row r="1213">
      <c r="A1213" s="398"/>
      <c r="B1213" s="398"/>
      <c r="C1213" s="398"/>
      <c r="D1213" s="398"/>
      <c r="E1213" s="399"/>
      <c r="F1213" s="400"/>
      <c r="G1213" s="399"/>
      <c r="H1213" s="400"/>
      <c r="I1213" s="400"/>
      <c r="J1213" s="400"/>
      <c r="K1213" s="400"/>
      <c r="L1213" s="400"/>
      <c r="M1213" s="400"/>
      <c r="N1213" s="400"/>
      <c r="O1213" s="400"/>
      <c r="P1213" s="400"/>
      <c r="Q1213" s="400"/>
      <c r="R1213" s="398"/>
      <c r="S1213" s="401"/>
      <c r="T1213" s="401"/>
      <c r="U1213" s="398"/>
      <c r="V1213" s="398"/>
      <c r="W1213" s="398"/>
      <c r="X1213" s="398"/>
      <c r="Y1213" s="402"/>
      <c r="Z1213" s="403"/>
      <c r="AA1213" s="404"/>
      <c r="AB1213" s="405"/>
      <c r="AC1213" s="405"/>
      <c r="AD1213" s="406"/>
      <c r="AE1213" s="395"/>
      <c r="AF1213" s="395"/>
      <c r="AG1213" s="395"/>
      <c r="AH1213" s="395"/>
      <c r="AI1213" s="395"/>
      <c r="AJ1213" s="395"/>
      <c r="AK1213" s="395"/>
      <c r="AL1213" s="395"/>
      <c r="AM1213" s="395"/>
      <c r="AN1213" s="395"/>
      <c r="AO1213" s="395"/>
    </row>
    <row r="1214">
      <c r="A1214" s="398"/>
      <c r="B1214" s="398"/>
      <c r="C1214" s="398"/>
      <c r="D1214" s="398"/>
      <c r="E1214" s="399"/>
      <c r="F1214" s="400"/>
      <c r="G1214" s="399"/>
      <c r="H1214" s="400"/>
      <c r="I1214" s="400"/>
      <c r="J1214" s="400"/>
      <c r="K1214" s="400"/>
      <c r="L1214" s="400"/>
      <c r="M1214" s="400"/>
      <c r="N1214" s="400"/>
      <c r="O1214" s="400"/>
      <c r="P1214" s="400"/>
      <c r="Q1214" s="400"/>
      <c r="R1214" s="398"/>
      <c r="S1214" s="401"/>
      <c r="T1214" s="401"/>
      <c r="U1214" s="398"/>
      <c r="V1214" s="398"/>
      <c r="W1214" s="398"/>
      <c r="X1214" s="398"/>
      <c r="Y1214" s="402"/>
      <c r="Z1214" s="403"/>
      <c r="AA1214" s="404"/>
      <c r="AB1214" s="405"/>
      <c r="AC1214" s="405"/>
      <c r="AD1214" s="406"/>
      <c r="AE1214" s="395"/>
      <c r="AF1214" s="395"/>
      <c r="AG1214" s="395"/>
      <c r="AH1214" s="395"/>
      <c r="AI1214" s="395"/>
      <c r="AJ1214" s="395"/>
      <c r="AK1214" s="395"/>
      <c r="AL1214" s="395"/>
      <c r="AM1214" s="395"/>
      <c r="AN1214" s="395"/>
      <c r="AO1214" s="395"/>
    </row>
    <row r="1215">
      <c r="A1215" s="398"/>
      <c r="B1215" s="398"/>
      <c r="C1215" s="398"/>
      <c r="D1215" s="398"/>
      <c r="E1215" s="399"/>
      <c r="F1215" s="400"/>
      <c r="G1215" s="399"/>
      <c r="H1215" s="400"/>
      <c r="I1215" s="400"/>
      <c r="J1215" s="400"/>
      <c r="K1215" s="400"/>
      <c r="L1215" s="400"/>
      <c r="M1215" s="400"/>
      <c r="N1215" s="400"/>
      <c r="O1215" s="400"/>
      <c r="P1215" s="400"/>
      <c r="Q1215" s="400"/>
      <c r="R1215" s="398"/>
      <c r="S1215" s="401"/>
      <c r="T1215" s="401"/>
      <c r="U1215" s="398"/>
      <c r="V1215" s="398"/>
      <c r="W1215" s="398"/>
      <c r="X1215" s="398"/>
      <c r="Y1215" s="402"/>
      <c r="Z1215" s="403"/>
      <c r="AA1215" s="404"/>
      <c r="AB1215" s="405"/>
      <c r="AC1215" s="405"/>
      <c r="AD1215" s="406"/>
      <c r="AE1215" s="395"/>
      <c r="AF1215" s="395"/>
      <c r="AG1215" s="395"/>
      <c r="AH1215" s="395"/>
      <c r="AI1215" s="395"/>
      <c r="AJ1215" s="395"/>
      <c r="AK1215" s="395"/>
      <c r="AL1215" s="395"/>
      <c r="AM1215" s="395"/>
      <c r="AN1215" s="395"/>
      <c r="AO1215" s="395"/>
    </row>
    <row r="1216">
      <c r="A1216" s="398"/>
      <c r="B1216" s="398"/>
      <c r="C1216" s="398"/>
      <c r="D1216" s="398"/>
      <c r="E1216" s="399"/>
      <c r="F1216" s="400"/>
      <c r="G1216" s="399"/>
      <c r="H1216" s="400"/>
      <c r="I1216" s="400"/>
      <c r="J1216" s="400"/>
      <c r="K1216" s="400"/>
      <c r="L1216" s="400"/>
      <c r="M1216" s="400"/>
      <c r="N1216" s="400"/>
      <c r="O1216" s="400"/>
      <c r="P1216" s="400"/>
      <c r="Q1216" s="400"/>
      <c r="R1216" s="398"/>
      <c r="S1216" s="401"/>
      <c r="T1216" s="401"/>
      <c r="U1216" s="398"/>
      <c r="V1216" s="398"/>
      <c r="W1216" s="398"/>
      <c r="X1216" s="398"/>
      <c r="Y1216" s="402"/>
      <c r="Z1216" s="403"/>
      <c r="AA1216" s="404"/>
      <c r="AB1216" s="405"/>
      <c r="AC1216" s="405"/>
      <c r="AD1216" s="406"/>
      <c r="AE1216" s="395"/>
      <c r="AF1216" s="395"/>
      <c r="AG1216" s="395"/>
      <c r="AH1216" s="395"/>
      <c r="AI1216" s="395"/>
      <c r="AJ1216" s="395"/>
      <c r="AK1216" s="395"/>
      <c r="AL1216" s="395"/>
      <c r="AM1216" s="395"/>
      <c r="AN1216" s="395"/>
      <c r="AO1216" s="395"/>
    </row>
    <row r="1217">
      <c r="A1217" s="398"/>
      <c r="B1217" s="398"/>
      <c r="C1217" s="398"/>
      <c r="D1217" s="398"/>
      <c r="E1217" s="399"/>
      <c r="F1217" s="400"/>
      <c r="G1217" s="399"/>
      <c r="H1217" s="400"/>
      <c r="I1217" s="400"/>
      <c r="J1217" s="400"/>
      <c r="K1217" s="400"/>
      <c r="L1217" s="400"/>
      <c r="M1217" s="400"/>
      <c r="N1217" s="400"/>
      <c r="O1217" s="400"/>
      <c r="P1217" s="400"/>
      <c r="Q1217" s="400"/>
      <c r="R1217" s="398"/>
      <c r="S1217" s="401"/>
      <c r="T1217" s="401"/>
      <c r="U1217" s="398"/>
      <c r="V1217" s="398"/>
      <c r="W1217" s="398"/>
      <c r="X1217" s="398"/>
      <c r="Y1217" s="402"/>
      <c r="Z1217" s="403"/>
      <c r="AA1217" s="404"/>
      <c r="AB1217" s="405"/>
      <c r="AC1217" s="405"/>
      <c r="AD1217" s="406"/>
      <c r="AE1217" s="395"/>
      <c r="AF1217" s="395"/>
      <c r="AG1217" s="395"/>
      <c r="AH1217" s="395"/>
      <c r="AI1217" s="395"/>
      <c r="AJ1217" s="395"/>
      <c r="AK1217" s="395"/>
      <c r="AL1217" s="395"/>
      <c r="AM1217" s="395"/>
      <c r="AN1217" s="395"/>
      <c r="AO1217" s="395"/>
    </row>
    <row r="1218">
      <c r="A1218" s="398"/>
      <c r="B1218" s="398"/>
      <c r="C1218" s="398"/>
      <c r="D1218" s="398"/>
      <c r="E1218" s="399"/>
      <c r="F1218" s="400"/>
      <c r="G1218" s="399"/>
      <c r="H1218" s="400"/>
      <c r="I1218" s="400"/>
      <c r="J1218" s="400"/>
      <c r="K1218" s="400"/>
      <c r="L1218" s="400"/>
      <c r="M1218" s="400"/>
      <c r="N1218" s="400"/>
      <c r="O1218" s="400"/>
      <c r="P1218" s="400"/>
      <c r="Q1218" s="400"/>
      <c r="R1218" s="398"/>
      <c r="S1218" s="401"/>
      <c r="T1218" s="401"/>
      <c r="U1218" s="398"/>
      <c r="V1218" s="398"/>
      <c r="W1218" s="398"/>
      <c r="X1218" s="398"/>
      <c r="Y1218" s="402"/>
      <c r="Z1218" s="403"/>
      <c r="AA1218" s="404"/>
      <c r="AB1218" s="405"/>
      <c r="AC1218" s="405"/>
      <c r="AD1218" s="406"/>
      <c r="AE1218" s="395"/>
      <c r="AF1218" s="395"/>
      <c r="AG1218" s="395"/>
      <c r="AH1218" s="395"/>
      <c r="AI1218" s="395"/>
      <c r="AJ1218" s="395"/>
      <c r="AK1218" s="395"/>
      <c r="AL1218" s="395"/>
      <c r="AM1218" s="395"/>
      <c r="AN1218" s="395"/>
      <c r="AO1218" s="395"/>
    </row>
    <row r="1219">
      <c r="A1219" s="398"/>
      <c r="B1219" s="398"/>
      <c r="C1219" s="398"/>
      <c r="D1219" s="398"/>
      <c r="E1219" s="399"/>
      <c r="F1219" s="400"/>
      <c r="G1219" s="399"/>
      <c r="H1219" s="400"/>
      <c r="I1219" s="400"/>
      <c r="J1219" s="400"/>
      <c r="K1219" s="400"/>
      <c r="L1219" s="400"/>
      <c r="M1219" s="400"/>
      <c r="N1219" s="400"/>
      <c r="O1219" s="400"/>
      <c r="P1219" s="400"/>
      <c r="Q1219" s="400"/>
      <c r="R1219" s="398"/>
      <c r="S1219" s="401"/>
      <c r="T1219" s="401"/>
      <c r="U1219" s="398"/>
      <c r="V1219" s="398"/>
      <c r="W1219" s="398"/>
      <c r="X1219" s="398"/>
      <c r="Y1219" s="402"/>
      <c r="Z1219" s="403"/>
      <c r="AA1219" s="404"/>
      <c r="AB1219" s="405"/>
      <c r="AC1219" s="405"/>
      <c r="AD1219" s="406"/>
      <c r="AE1219" s="395"/>
      <c r="AF1219" s="395"/>
      <c r="AG1219" s="395"/>
      <c r="AH1219" s="395"/>
      <c r="AI1219" s="395"/>
      <c r="AJ1219" s="395"/>
      <c r="AK1219" s="395"/>
      <c r="AL1219" s="395"/>
      <c r="AM1219" s="395"/>
      <c r="AN1219" s="395"/>
      <c r="AO1219" s="395"/>
    </row>
    <row r="1220">
      <c r="A1220" s="398"/>
      <c r="B1220" s="398"/>
      <c r="C1220" s="398"/>
      <c r="D1220" s="398"/>
      <c r="E1220" s="399"/>
      <c r="F1220" s="400"/>
      <c r="G1220" s="399"/>
      <c r="H1220" s="400"/>
      <c r="I1220" s="400"/>
      <c r="J1220" s="400"/>
      <c r="K1220" s="400"/>
      <c r="L1220" s="400"/>
      <c r="M1220" s="400"/>
      <c r="N1220" s="400"/>
      <c r="O1220" s="400"/>
      <c r="P1220" s="400"/>
      <c r="Q1220" s="400"/>
      <c r="R1220" s="398"/>
      <c r="S1220" s="401"/>
      <c r="T1220" s="401"/>
      <c r="U1220" s="398"/>
      <c r="V1220" s="398"/>
      <c r="W1220" s="398"/>
      <c r="X1220" s="398"/>
      <c r="Y1220" s="402"/>
      <c r="Z1220" s="403"/>
      <c r="AA1220" s="404"/>
      <c r="AB1220" s="405"/>
      <c r="AC1220" s="405"/>
      <c r="AD1220" s="406"/>
      <c r="AE1220" s="395"/>
      <c r="AF1220" s="395"/>
      <c r="AG1220" s="395"/>
      <c r="AH1220" s="395"/>
      <c r="AI1220" s="395"/>
      <c r="AJ1220" s="395"/>
      <c r="AK1220" s="395"/>
      <c r="AL1220" s="395"/>
      <c r="AM1220" s="395"/>
      <c r="AN1220" s="395"/>
      <c r="AO1220" s="395"/>
    </row>
    <row r="1221">
      <c r="A1221" s="398"/>
      <c r="B1221" s="398"/>
      <c r="C1221" s="398"/>
      <c r="D1221" s="398"/>
      <c r="E1221" s="399"/>
      <c r="F1221" s="400"/>
      <c r="G1221" s="399"/>
      <c r="H1221" s="400"/>
      <c r="I1221" s="400"/>
      <c r="J1221" s="400"/>
      <c r="K1221" s="400"/>
      <c r="L1221" s="400"/>
      <c r="M1221" s="400"/>
      <c r="N1221" s="400"/>
      <c r="O1221" s="400"/>
      <c r="P1221" s="400"/>
      <c r="Q1221" s="400"/>
      <c r="R1221" s="398"/>
      <c r="S1221" s="401"/>
      <c r="T1221" s="401"/>
      <c r="U1221" s="398"/>
      <c r="V1221" s="398"/>
      <c r="W1221" s="398"/>
      <c r="X1221" s="398"/>
      <c r="Y1221" s="402"/>
      <c r="Z1221" s="403"/>
      <c r="AA1221" s="404"/>
      <c r="AB1221" s="405"/>
      <c r="AC1221" s="405"/>
      <c r="AD1221" s="406"/>
      <c r="AE1221" s="395"/>
      <c r="AF1221" s="395"/>
      <c r="AG1221" s="395"/>
      <c r="AH1221" s="395"/>
      <c r="AI1221" s="395"/>
      <c r="AJ1221" s="395"/>
      <c r="AK1221" s="395"/>
      <c r="AL1221" s="395"/>
      <c r="AM1221" s="395"/>
      <c r="AN1221" s="395"/>
      <c r="AO1221" s="395"/>
    </row>
    <row r="1222">
      <c r="A1222" s="398"/>
      <c r="B1222" s="398"/>
      <c r="C1222" s="398"/>
      <c r="D1222" s="398"/>
      <c r="E1222" s="399"/>
      <c r="F1222" s="400"/>
      <c r="G1222" s="399"/>
      <c r="H1222" s="400"/>
      <c r="I1222" s="400"/>
      <c r="J1222" s="400"/>
      <c r="K1222" s="400"/>
      <c r="L1222" s="400"/>
      <c r="M1222" s="400"/>
      <c r="N1222" s="400"/>
      <c r="O1222" s="400"/>
      <c r="P1222" s="400"/>
      <c r="Q1222" s="400"/>
      <c r="R1222" s="398"/>
      <c r="S1222" s="401"/>
      <c r="T1222" s="401"/>
      <c r="U1222" s="398"/>
      <c r="V1222" s="398"/>
      <c r="W1222" s="398"/>
      <c r="X1222" s="398"/>
      <c r="Y1222" s="402"/>
      <c r="Z1222" s="403"/>
      <c r="AA1222" s="404"/>
      <c r="AB1222" s="405"/>
      <c r="AC1222" s="405"/>
      <c r="AD1222" s="406"/>
      <c r="AE1222" s="395"/>
      <c r="AF1222" s="395"/>
      <c r="AG1222" s="395"/>
      <c r="AH1222" s="395"/>
      <c r="AI1222" s="395"/>
      <c r="AJ1222" s="395"/>
      <c r="AK1222" s="395"/>
      <c r="AL1222" s="395"/>
      <c r="AM1222" s="395"/>
      <c r="AN1222" s="395"/>
      <c r="AO1222" s="395"/>
    </row>
    <row r="1223">
      <c r="A1223" s="398"/>
      <c r="B1223" s="398"/>
      <c r="C1223" s="398"/>
      <c r="D1223" s="398"/>
      <c r="E1223" s="399"/>
      <c r="F1223" s="400"/>
      <c r="G1223" s="399"/>
      <c r="H1223" s="400"/>
      <c r="I1223" s="400"/>
      <c r="J1223" s="400"/>
      <c r="K1223" s="400"/>
      <c r="L1223" s="400"/>
      <c r="M1223" s="400"/>
      <c r="N1223" s="400"/>
      <c r="O1223" s="400"/>
      <c r="P1223" s="400"/>
      <c r="Q1223" s="400"/>
      <c r="R1223" s="398"/>
      <c r="S1223" s="401"/>
      <c r="T1223" s="401"/>
      <c r="U1223" s="398"/>
      <c r="V1223" s="398"/>
      <c r="W1223" s="398"/>
      <c r="X1223" s="398"/>
      <c r="Y1223" s="402"/>
      <c r="Z1223" s="403"/>
      <c r="AA1223" s="404"/>
      <c r="AB1223" s="405"/>
      <c r="AC1223" s="405"/>
      <c r="AD1223" s="406"/>
      <c r="AE1223" s="395"/>
      <c r="AF1223" s="395"/>
      <c r="AG1223" s="395"/>
      <c r="AH1223" s="395"/>
      <c r="AI1223" s="395"/>
      <c r="AJ1223" s="395"/>
      <c r="AK1223" s="395"/>
      <c r="AL1223" s="395"/>
      <c r="AM1223" s="395"/>
      <c r="AN1223" s="395"/>
      <c r="AO1223" s="395"/>
    </row>
    <row r="1224">
      <c r="A1224" s="398"/>
      <c r="B1224" s="398"/>
      <c r="C1224" s="398"/>
      <c r="D1224" s="398"/>
      <c r="E1224" s="399"/>
      <c r="F1224" s="400"/>
      <c r="G1224" s="399"/>
      <c r="H1224" s="400"/>
      <c r="I1224" s="400"/>
      <c r="J1224" s="400"/>
      <c r="K1224" s="400"/>
      <c r="L1224" s="400"/>
      <c r="M1224" s="400"/>
      <c r="N1224" s="400"/>
      <c r="O1224" s="400"/>
      <c r="P1224" s="400"/>
      <c r="Q1224" s="400"/>
      <c r="R1224" s="398"/>
      <c r="S1224" s="401"/>
      <c r="T1224" s="401"/>
      <c r="U1224" s="398"/>
      <c r="V1224" s="398"/>
      <c r="W1224" s="398"/>
      <c r="X1224" s="398"/>
      <c r="Y1224" s="402"/>
      <c r="Z1224" s="403"/>
      <c r="AA1224" s="404"/>
      <c r="AB1224" s="405"/>
      <c r="AC1224" s="405"/>
      <c r="AD1224" s="406"/>
      <c r="AE1224" s="395"/>
      <c r="AF1224" s="395"/>
      <c r="AG1224" s="395"/>
      <c r="AH1224" s="395"/>
      <c r="AI1224" s="395"/>
      <c r="AJ1224" s="395"/>
      <c r="AK1224" s="395"/>
      <c r="AL1224" s="395"/>
      <c r="AM1224" s="395"/>
      <c r="AN1224" s="395"/>
      <c r="AO1224" s="395"/>
    </row>
    <row r="1225">
      <c r="A1225" s="398"/>
      <c r="B1225" s="398"/>
      <c r="C1225" s="398"/>
      <c r="D1225" s="398"/>
      <c r="E1225" s="399"/>
      <c r="F1225" s="400"/>
      <c r="G1225" s="399"/>
      <c r="H1225" s="400"/>
      <c r="I1225" s="400"/>
      <c r="J1225" s="400"/>
      <c r="K1225" s="400"/>
      <c r="L1225" s="400"/>
      <c r="M1225" s="400"/>
      <c r="N1225" s="400"/>
      <c r="O1225" s="400"/>
      <c r="P1225" s="400"/>
      <c r="Q1225" s="400"/>
      <c r="R1225" s="398"/>
      <c r="S1225" s="401"/>
      <c r="T1225" s="401"/>
      <c r="U1225" s="398"/>
      <c r="V1225" s="398"/>
      <c r="W1225" s="398"/>
      <c r="X1225" s="398"/>
      <c r="Y1225" s="402"/>
      <c r="Z1225" s="403"/>
      <c r="AA1225" s="404"/>
      <c r="AB1225" s="405"/>
      <c r="AC1225" s="405"/>
      <c r="AD1225" s="406"/>
      <c r="AE1225" s="395"/>
      <c r="AF1225" s="395"/>
      <c r="AG1225" s="395"/>
      <c r="AH1225" s="395"/>
      <c r="AI1225" s="395"/>
      <c r="AJ1225" s="395"/>
      <c r="AK1225" s="395"/>
      <c r="AL1225" s="395"/>
      <c r="AM1225" s="395"/>
      <c r="AN1225" s="395"/>
      <c r="AO1225" s="395"/>
    </row>
    <row r="1226">
      <c r="A1226" s="398"/>
      <c r="B1226" s="398"/>
      <c r="C1226" s="398"/>
      <c r="D1226" s="398"/>
      <c r="E1226" s="399"/>
      <c r="F1226" s="400"/>
      <c r="G1226" s="399"/>
      <c r="H1226" s="400"/>
      <c r="I1226" s="400"/>
      <c r="J1226" s="400"/>
      <c r="K1226" s="400"/>
      <c r="L1226" s="400"/>
      <c r="M1226" s="400"/>
      <c r="N1226" s="400"/>
      <c r="O1226" s="400"/>
      <c r="P1226" s="400"/>
      <c r="Q1226" s="400"/>
      <c r="R1226" s="398"/>
      <c r="S1226" s="401"/>
      <c r="T1226" s="401"/>
      <c r="U1226" s="398"/>
      <c r="V1226" s="398"/>
      <c r="W1226" s="398"/>
      <c r="X1226" s="398"/>
      <c r="Y1226" s="402"/>
      <c r="Z1226" s="403"/>
      <c r="AA1226" s="404"/>
      <c r="AB1226" s="405"/>
      <c r="AC1226" s="405"/>
      <c r="AD1226" s="406"/>
      <c r="AE1226" s="395"/>
      <c r="AF1226" s="395"/>
      <c r="AG1226" s="395"/>
      <c r="AH1226" s="395"/>
      <c r="AI1226" s="395"/>
      <c r="AJ1226" s="395"/>
      <c r="AK1226" s="395"/>
      <c r="AL1226" s="395"/>
      <c r="AM1226" s="395"/>
      <c r="AN1226" s="395"/>
      <c r="AO1226" s="395"/>
    </row>
    <row r="1227">
      <c r="A1227" s="398"/>
      <c r="B1227" s="398"/>
      <c r="C1227" s="398"/>
      <c r="D1227" s="398"/>
      <c r="E1227" s="399"/>
      <c r="F1227" s="400"/>
      <c r="G1227" s="399"/>
      <c r="H1227" s="400"/>
      <c r="I1227" s="400"/>
      <c r="J1227" s="400"/>
      <c r="K1227" s="400"/>
      <c r="L1227" s="400"/>
      <c r="M1227" s="400"/>
      <c r="N1227" s="400"/>
      <c r="O1227" s="400"/>
      <c r="P1227" s="400"/>
      <c r="Q1227" s="400"/>
      <c r="R1227" s="398"/>
      <c r="S1227" s="401"/>
      <c r="T1227" s="401"/>
      <c r="U1227" s="398"/>
      <c r="V1227" s="398"/>
      <c r="W1227" s="398"/>
      <c r="X1227" s="398"/>
      <c r="Y1227" s="402"/>
      <c r="Z1227" s="403"/>
      <c r="AA1227" s="404"/>
      <c r="AB1227" s="405"/>
      <c r="AC1227" s="405"/>
      <c r="AD1227" s="406"/>
      <c r="AE1227" s="395"/>
      <c r="AF1227" s="395"/>
      <c r="AG1227" s="395"/>
      <c r="AH1227" s="395"/>
      <c r="AI1227" s="395"/>
      <c r="AJ1227" s="395"/>
      <c r="AK1227" s="395"/>
      <c r="AL1227" s="395"/>
      <c r="AM1227" s="395"/>
      <c r="AN1227" s="395"/>
      <c r="AO1227" s="395"/>
    </row>
    <row r="1228">
      <c r="A1228" s="398"/>
      <c r="B1228" s="398"/>
      <c r="C1228" s="398"/>
      <c r="D1228" s="398"/>
      <c r="E1228" s="399"/>
      <c r="F1228" s="400"/>
      <c r="G1228" s="399"/>
      <c r="H1228" s="400"/>
      <c r="I1228" s="400"/>
      <c r="J1228" s="400"/>
      <c r="K1228" s="400"/>
      <c r="L1228" s="400"/>
      <c r="M1228" s="400"/>
      <c r="N1228" s="400"/>
      <c r="O1228" s="400"/>
      <c r="P1228" s="400"/>
      <c r="Q1228" s="400"/>
      <c r="R1228" s="398"/>
      <c r="S1228" s="401"/>
      <c r="T1228" s="401"/>
      <c r="U1228" s="398"/>
      <c r="V1228" s="398"/>
      <c r="W1228" s="398"/>
      <c r="X1228" s="398"/>
      <c r="Y1228" s="402"/>
      <c r="Z1228" s="403"/>
      <c r="AA1228" s="404"/>
      <c r="AB1228" s="405"/>
      <c r="AC1228" s="405"/>
      <c r="AD1228" s="406"/>
      <c r="AE1228" s="395"/>
      <c r="AF1228" s="395"/>
      <c r="AG1228" s="395"/>
      <c r="AH1228" s="395"/>
      <c r="AI1228" s="395"/>
      <c r="AJ1228" s="395"/>
      <c r="AK1228" s="395"/>
      <c r="AL1228" s="395"/>
      <c r="AM1228" s="395"/>
      <c r="AN1228" s="395"/>
      <c r="AO1228" s="395"/>
    </row>
    <row r="1229">
      <c r="A1229" s="398"/>
      <c r="B1229" s="398"/>
      <c r="C1229" s="398"/>
      <c r="D1229" s="398"/>
      <c r="E1229" s="399"/>
      <c r="F1229" s="400"/>
      <c r="G1229" s="399"/>
      <c r="H1229" s="400"/>
      <c r="I1229" s="400"/>
      <c r="J1229" s="400"/>
      <c r="K1229" s="400"/>
      <c r="L1229" s="400"/>
      <c r="M1229" s="400"/>
      <c r="N1229" s="400"/>
      <c r="O1229" s="400"/>
      <c r="P1229" s="400"/>
      <c r="Q1229" s="400"/>
      <c r="R1229" s="398"/>
      <c r="S1229" s="401"/>
      <c r="T1229" s="401"/>
      <c r="U1229" s="398"/>
      <c r="V1229" s="398"/>
      <c r="W1229" s="398"/>
      <c r="X1229" s="398"/>
      <c r="Y1229" s="402"/>
      <c r="Z1229" s="403"/>
      <c r="AA1229" s="404"/>
      <c r="AB1229" s="405"/>
      <c r="AC1229" s="405"/>
      <c r="AD1229" s="406"/>
      <c r="AE1229" s="395"/>
      <c r="AF1229" s="395"/>
      <c r="AG1229" s="395"/>
      <c r="AH1229" s="395"/>
      <c r="AI1229" s="395"/>
      <c r="AJ1229" s="395"/>
      <c r="AK1229" s="395"/>
      <c r="AL1229" s="395"/>
      <c r="AM1229" s="395"/>
      <c r="AN1229" s="395"/>
      <c r="AO1229" s="395"/>
    </row>
    <row r="1230">
      <c r="A1230" s="398"/>
      <c r="B1230" s="398"/>
      <c r="C1230" s="398"/>
      <c r="D1230" s="398"/>
      <c r="E1230" s="399"/>
      <c r="F1230" s="400"/>
      <c r="G1230" s="399"/>
      <c r="H1230" s="400"/>
      <c r="I1230" s="400"/>
      <c r="J1230" s="400"/>
      <c r="K1230" s="400"/>
      <c r="L1230" s="400"/>
      <c r="M1230" s="400"/>
      <c r="N1230" s="400"/>
      <c r="O1230" s="400"/>
      <c r="P1230" s="400"/>
      <c r="Q1230" s="400"/>
      <c r="R1230" s="398"/>
      <c r="S1230" s="401"/>
      <c r="T1230" s="401"/>
      <c r="U1230" s="398"/>
      <c r="V1230" s="398"/>
      <c r="W1230" s="398"/>
      <c r="X1230" s="398"/>
      <c r="Y1230" s="402"/>
      <c r="Z1230" s="403"/>
      <c r="AA1230" s="404"/>
      <c r="AB1230" s="405"/>
      <c r="AC1230" s="405"/>
      <c r="AD1230" s="406"/>
      <c r="AE1230" s="395"/>
      <c r="AF1230" s="395"/>
      <c r="AG1230" s="395"/>
      <c r="AH1230" s="395"/>
      <c r="AI1230" s="395"/>
      <c r="AJ1230" s="395"/>
      <c r="AK1230" s="395"/>
      <c r="AL1230" s="395"/>
      <c r="AM1230" s="395"/>
      <c r="AN1230" s="395"/>
      <c r="AO1230" s="395"/>
    </row>
    <row r="1231">
      <c r="A1231" s="398"/>
      <c r="B1231" s="398"/>
      <c r="C1231" s="398"/>
      <c r="D1231" s="398"/>
      <c r="E1231" s="399"/>
      <c r="F1231" s="400"/>
      <c r="G1231" s="399"/>
      <c r="H1231" s="400"/>
      <c r="I1231" s="400"/>
      <c r="J1231" s="400"/>
      <c r="K1231" s="400"/>
      <c r="L1231" s="400"/>
      <c r="M1231" s="400"/>
      <c r="N1231" s="400"/>
      <c r="O1231" s="400"/>
      <c r="P1231" s="400"/>
      <c r="Q1231" s="400"/>
      <c r="R1231" s="398"/>
      <c r="S1231" s="401"/>
      <c r="T1231" s="401"/>
      <c r="U1231" s="398"/>
      <c r="V1231" s="398"/>
      <c r="W1231" s="398"/>
      <c r="X1231" s="398"/>
      <c r="Y1231" s="402"/>
      <c r="Z1231" s="403"/>
      <c r="AA1231" s="404"/>
      <c r="AB1231" s="405"/>
      <c r="AC1231" s="405"/>
      <c r="AD1231" s="406"/>
      <c r="AE1231" s="395"/>
      <c r="AF1231" s="395"/>
      <c r="AG1231" s="395"/>
      <c r="AH1231" s="395"/>
      <c r="AI1231" s="395"/>
      <c r="AJ1231" s="395"/>
      <c r="AK1231" s="395"/>
      <c r="AL1231" s="395"/>
      <c r="AM1231" s="395"/>
      <c r="AN1231" s="395"/>
      <c r="AO1231" s="395"/>
    </row>
    <row r="1232">
      <c r="A1232" s="398"/>
      <c r="B1232" s="398"/>
      <c r="C1232" s="398"/>
      <c r="D1232" s="398"/>
      <c r="E1232" s="399"/>
      <c r="F1232" s="400"/>
      <c r="G1232" s="399"/>
      <c r="H1232" s="400"/>
      <c r="I1232" s="400"/>
      <c r="J1232" s="400"/>
      <c r="K1232" s="400"/>
      <c r="L1232" s="400"/>
      <c r="M1232" s="400"/>
      <c r="N1232" s="400"/>
      <c r="O1232" s="400"/>
      <c r="P1232" s="400"/>
      <c r="Q1232" s="400"/>
      <c r="R1232" s="398"/>
      <c r="S1232" s="401"/>
      <c r="T1232" s="401"/>
      <c r="U1232" s="398"/>
      <c r="V1232" s="398"/>
      <c r="W1232" s="398"/>
      <c r="X1232" s="398"/>
      <c r="Y1232" s="402"/>
      <c r="Z1232" s="403"/>
      <c r="AA1232" s="404"/>
      <c r="AB1232" s="405"/>
      <c r="AC1232" s="405"/>
      <c r="AD1232" s="406"/>
      <c r="AE1232" s="395"/>
      <c r="AF1232" s="395"/>
      <c r="AG1232" s="395"/>
      <c r="AH1232" s="395"/>
      <c r="AI1232" s="395"/>
      <c r="AJ1232" s="395"/>
      <c r="AK1232" s="395"/>
      <c r="AL1232" s="395"/>
      <c r="AM1232" s="395"/>
      <c r="AN1232" s="395"/>
      <c r="AO1232" s="395"/>
    </row>
    <row r="1233">
      <c r="A1233" s="398"/>
      <c r="B1233" s="398"/>
      <c r="C1233" s="398"/>
      <c r="D1233" s="398"/>
      <c r="E1233" s="399"/>
      <c r="F1233" s="400"/>
      <c r="G1233" s="399"/>
      <c r="H1233" s="400"/>
      <c r="I1233" s="400"/>
      <c r="J1233" s="400"/>
      <c r="K1233" s="400"/>
      <c r="L1233" s="400"/>
      <c r="M1233" s="400"/>
      <c r="N1233" s="400"/>
      <c r="O1233" s="400"/>
      <c r="P1233" s="400"/>
      <c r="Q1233" s="400"/>
      <c r="R1233" s="398"/>
      <c r="S1233" s="401"/>
      <c r="T1233" s="401"/>
      <c r="U1233" s="398"/>
      <c r="V1233" s="398"/>
      <c r="W1233" s="398"/>
      <c r="X1233" s="398"/>
      <c r="Y1233" s="402"/>
      <c r="Z1233" s="403"/>
      <c r="AA1233" s="404"/>
      <c r="AB1233" s="405"/>
      <c r="AC1233" s="405"/>
      <c r="AD1233" s="406"/>
      <c r="AE1233" s="395"/>
      <c r="AF1233" s="395"/>
      <c r="AG1233" s="395"/>
      <c r="AH1233" s="395"/>
      <c r="AI1233" s="395"/>
      <c r="AJ1233" s="395"/>
      <c r="AK1233" s="395"/>
      <c r="AL1233" s="395"/>
      <c r="AM1233" s="395"/>
      <c r="AN1233" s="395"/>
      <c r="AO1233" s="395"/>
    </row>
    <row r="1234">
      <c r="A1234" s="398"/>
      <c r="B1234" s="398"/>
      <c r="C1234" s="398"/>
      <c r="D1234" s="398"/>
      <c r="E1234" s="399"/>
      <c r="F1234" s="400"/>
      <c r="G1234" s="399"/>
      <c r="H1234" s="400"/>
      <c r="I1234" s="400"/>
      <c r="J1234" s="400"/>
      <c r="K1234" s="400"/>
      <c r="L1234" s="400"/>
      <c r="M1234" s="400"/>
      <c r="N1234" s="400"/>
      <c r="O1234" s="400"/>
      <c r="P1234" s="400"/>
      <c r="Q1234" s="400"/>
      <c r="R1234" s="398"/>
      <c r="S1234" s="401"/>
      <c r="T1234" s="401"/>
      <c r="U1234" s="398"/>
      <c r="V1234" s="398"/>
      <c r="W1234" s="398"/>
      <c r="X1234" s="398"/>
      <c r="Y1234" s="402"/>
      <c r="Z1234" s="403"/>
      <c r="AA1234" s="404"/>
      <c r="AB1234" s="405"/>
      <c r="AC1234" s="405"/>
      <c r="AD1234" s="406"/>
      <c r="AE1234" s="395"/>
      <c r="AF1234" s="395"/>
      <c r="AG1234" s="395"/>
      <c r="AH1234" s="395"/>
      <c r="AI1234" s="395"/>
      <c r="AJ1234" s="395"/>
      <c r="AK1234" s="395"/>
      <c r="AL1234" s="395"/>
      <c r="AM1234" s="395"/>
      <c r="AN1234" s="395"/>
      <c r="AO1234" s="395"/>
    </row>
    <row r="1235">
      <c r="A1235" s="398"/>
      <c r="B1235" s="398"/>
      <c r="C1235" s="398"/>
      <c r="D1235" s="398"/>
      <c r="E1235" s="399"/>
      <c r="F1235" s="400"/>
      <c r="G1235" s="399"/>
      <c r="H1235" s="400"/>
      <c r="I1235" s="400"/>
      <c r="J1235" s="400"/>
      <c r="K1235" s="400"/>
      <c r="L1235" s="400"/>
      <c r="M1235" s="400"/>
      <c r="N1235" s="400"/>
      <c r="O1235" s="400"/>
      <c r="P1235" s="400"/>
      <c r="Q1235" s="400"/>
      <c r="R1235" s="398"/>
      <c r="S1235" s="401"/>
      <c r="T1235" s="401"/>
      <c r="U1235" s="398"/>
      <c r="V1235" s="398"/>
      <c r="W1235" s="398"/>
      <c r="X1235" s="398"/>
      <c r="Y1235" s="402"/>
      <c r="Z1235" s="403"/>
      <c r="AA1235" s="404"/>
      <c r="AB1235" s="405"/>
      <c r="AC1235" s="405"/>
      <c r="AD1235" s="406"/>
      <c r="AE1235" s="395"/>
      <c r="AF1235" s="395"/>
      <c r="AG1235" s="395"/>
      <c r="AH1235" s="395"/>
      <c r="AI1235" s="395"/>
      <c r="AJ1235" s="395"/>
      <c r="AK1235" s="395"/>
      <c r="AL1235" s="395"/>
      <c r="AM1235" s="395"/>
      <c r="AN1235" s="395"/>
      <c r="AO1235" s="395"/>
    </row>
    <row r="1236">
      <c r="A1236" s="398"/>
      <c r="B1236" s="398"/>
      <c r="C1236" s="398"/>
      <c r="D1236" s="398"/>
      <c r="E1236" s="399"/>
      <c r="F1236" s="400"/>
      <c r="G1236" s="399"/>
      <c r="H1236" s="400"/>
      <c r="I1236" s="400"/>
      <c r="J1236" s="400"/>
      <c r="K1236" s="400"/>
      <c r="L1236" s="400"/>
      <c r="M1236" s="400"/>
      <c r="N1236" s="400"/>
      <c r="O1236" s="400"/>
      <c r="P1236" s="400"/>
      <c r="Q1236" s="400"/>
      <c r="R1236" s="398"/>
      <c r="S1236" s="401"/>
      <c r="T1236" s="401"/>
      <c r="U1236" s="398"/>
      <c r="V1236" s="398"/>
      <c r="W1236" s="398"/>
      <c r="X1236" s="398"/>
      <c r="Y1236" s="402"/>
      <c r="Z1236" s="403"/>
      <c r="AA1236" s="404"/>
      <c r="AB1236" s="405"/>
      <c r="AC1236" s="405"/>
      <c r="AD1236" s="406"/>
      <c r="AE1236" s="395"/>
      <c r="AF1236" s="395"/>
      <c r="AG1236" s="395"/>
      <c r="AH1236" s="395"/>
      <c r="AI1236" s="395"/>
      <c r="AJ1236" s="395"/>
      <c r="AK1236" s="395"/>
      <c r="AL1236" s="395"/>
      <c r="AM1236" s="395"/>
      <c r="AN1236" s="395"/>
      <c r="AO1236" s="395"/>
    </row>
    <row r="1237">
      <c r="A1237" s="398"/>
      <c r="B1237" s="398"/>
      <c r="C1237" s="398"/>
      <c r="D1237" s="398"/>
      <c r="E1237" s="399"/>
      <c r="F1237" s="400"/>
      <c r="G1237" s="399"/>
      <c r="H1237" s="400"/>
      <c r="I1237" s="400"/>
      <c r="J1237" s="400"/>
      <c r="K1237" s="400"/>
      <c r="L1237" s="400"/>
      <c r="M1237" s="400"/>
      <c r="N1237" s="400"/>
      <c r="O1237" s="400"/>
      <c r="P1237" s="400"/>
      <c r="Q1237" s="400"/>
      <c r="R1237" s="398"/>
      <c r="S1237" s="401"/>
      <c r="T1237" s="401"/>
      <c r="U1237" s="398"/>
      <c r="V1237" s="398"/>
      <c r="W1237" s="398"/>
      <c r="X1237" s="398"/>
      <c r="Y1237" s="402"/>
      <c r="Z1237" s="403"/>
      <c r="AA1237" s="404"/>
      <c r="AB1237" s="405"/>
      <c r="AC1237" s="405"/>
      <c r="AD1237" s="406"/>
      <c r="AE1237" s="395"/>
      <c r="AF1237" s="395"/>
      <c r="AG1237" s="395"/>
      <c r="AH1237" s="395"/>
      <c r="AI1237" s="395"/>
      <c r="AJ1237" s="395"/>
      <c r="AK1237" s="395"/>
      <c r="AL1237" s="395"/>
      <c r="AM1237" s="395"/>
      <c r="AN1237" s="395"/>
      <c r="AO1237" s="395"/>
    </row>
    <row r="1238">
      <c r="A1238" s="398"/>
      <c r="B1238" s="398"/>
      <c r="C1238" s="398"/>
      <c r="D1238" s="398"/>
      <c r="E1238" s="399"/>
      <c r="F1238" s="400"/>
      <c r="G1238" s="399"/>
      <c r="H1238" s="400"/>
      <c r="I1238" s="400"/>
      <c r="J1238" s="400"/>
      <c r="K1238" s="400"/>
      <c r="L1238" s="400"/>
      <c r="M1238" s="400"/>
      <c r="N1238" s="400"/>
      <c r="O1238" s="400"/>
      <c r="P1238" s="400"/>
      <c r="Q1238" s="400"/>
      <c r="R1238" s="398"/>
      <c r="S1238" s="401"/>
      <c r="T1238" s="401"/>
      <c r="U1238" s="398"/>
      <c r="V1238" s="398"/>
      <c r="W1238" s="398"/>
      <c r="X1238" s="398"/>
      <c r="Y1238" s="402"/>
      <c r="Z1238" s="403"/>
      <c r="AA1238" s="404"/>
      <c r="AB1238" s="405"/>
      <c r="AC1238" s="405"/>
      <c r="AD1238" s="406"/>
      <c r="AE1238" s="395"/>
      <c r="AF1238" s="395"/>
      <c r="AG1238" s="395"/>
      <c r="AH1238" s="395"/>
      <c r="AI1238" s="395"/>
      <c r="AJ1238" s="395"/>
      <c r="AK1238" s="395"/>
      <c r="AL1238" s="395"/>
      <c r="AM1238" s="395"/>
      <c r="AN1238" s="395"/>
      <c r="AO1238" s="395"/>
    </row>
    <row r="1239">
      <c r="A1239" s="398"/>
      <c r="B1239" s="398"/>
      <c r="C1239" s="398"/>
      <c r="D1239" s="398"/>
      <c r="E1239" s="399"/>
      <c r="F1239" s="400"/>
      <c r="G1239" s="399"/>
      <c r="H1239" s="400"/>
      <c r="I1239" s="400"/>
      <c r="J1239" s="400"/>
      <c r="K1239" s="400"/>
      <c r="L1239" s="400"/>
      <c r="M1239" s="400"/>
      <c r="N1239" s="400"/>
      <c r="O1239" s="400"/>
      <c r="P1239" s="400"/>
      <c r="Q1239" s="400"/>
      <c r="R1239" s="398"/>
      <c r="S1239" s="401"/>
      <c r="T1239" s="401"/>
      <c r="U1239" s="398"/>
      <c r="V1239" s="398"/>
      <c r="W1239" s="398"/>
      <c r="X1239" s="398"/>
      <c r="Y1239" s="402"/>
      <c r="Z1239" s="403"/>
      <c r="AA1239" s="404"/>
      <c r="AB1239" s="405"/>
      <c r="AC1239" s="405"/>
      <c r="AD1239" s="406"/>
      <c r="AE1239" s="395"/>
      <c r="AF1239" s="395"/>
      <c r="AG1239" s="395"/>
      <c r="AH1239" s="395"/>
      <c r="AI1239" s="395"/>
      <c r="AJ1239" s="395"/>
      <c r="AK1239" s="395"/>
      <c r="AL1239" s="395"/>
      <c r="AM1239" s="395"/>
      <c r="AN1239" s="395"/>
      <c r="AO1239" s="395"/>
    </row>
    <row r="1240">
      <c r="A1240" s="398"/>
      <c r="B1240" s="398"/>
      <c r="C1240" s="398"/>
      <c r="D1240" s="398"/>
      <c r="E1240" s="399"/>
      <c r="F1240" s="400"/>
      <c r="G1240" s="399"/>
      <c r="H1240" s="400"/>
      <c r="I1240" s="400"/>
      <c r="J1240" s="400"/>
      <c r="K1240" s="400"/>
      <c r="L1240" s="400"/>
      <c r="M1240" s="400"/>
      <c r="N1240" s="400"/>
      <c r="O1240" s="400"/>
      <c r="P1240" s="400"/>
      <c r="Q1240" s="400"/>
      <c r="R1240" s="398"/>
      <c r="S1240" s="401"/>
      <c r="T1240" s="401"/>
      <c r="U1240" s="398"/>
      <c r="V1240" s="398"/>
      <c r="W1240" s="398"/>
      <c r="X1240" s="398"/>
      <c r="Y1240" s="402"/>
      <c r="Z1240" s="403"/>
      <c r="AA1240" s="404"/>
      <c r="AB1240" s="405"/>
      <c r="AC1240" s="405"/>
      <c r="AD1240" s="406"/>
      <c r="AE1240" s="395"/>
      <c r="AF1240" s="395"/>
      <c r="AG1240" s="395"/>
      <c r="AH1240" s="395"/>
      <c r="AI1240" s="395"/>
      <c r="AJ1240" s="395"/>
      <c r="AK1240" s="395"/>
      <c r="AL1240" s="395"/>
      <c r="AM1240" s="395"/>
      <c r="AN1240" s="395"/>
      <c r="AO1240" s="395"/>
    </row>
    <row r="1241">
      <c r="A1241" s="398"/>
      <c r="B1241" s="398"/>
      <c r="C1241" s="398"/>
      <c r="D1241" s="398"/>
      <c r="E1241" s="399"/>
      <c r="F1241" s="400"/>
      <c r="G1241" s="399"/>
      <c r="H1241" s="400"/>
      <c r="I1241" s="400"/>
      <c r="J1241" s="400"/>
      <c r="K1241" s="400"/>
      <c r="L1241" s="400"/>
      <c r="M1241" s="400"/>
      <c r="N1241" s="400"/>
      <c r="O1241" s="400"/>
      <c r="P1241" s="400"/>
      <c r="Q1241" s="400"/>
      <c r="R1241" s="398"/>
      <c r="S1241" s="401"/>
      <c r="T1241" s="401"/>
      <c r="U1241" s="398"/>
      <c r="V1241" s="398"/>
      <c r="W1241" s="398"/>
      <c r="X1241" s="398"/>
      <c r="Y1241" s="402"/>
      <c r="Z1241" s="403"/>
      <c r="AA1241" s="404"/>
      <c r="AB1241" s="405"/>
      <c r="AC1241" s="405"/>
      <c r="AD1241" s="406"/>
      <c r="AE1241" s="395"/>
      <c r="AF1241" s="395"/>
      <c r="AG1241" s="395"/>
      <c r="AH1241" s="395"/>
      <c r="AI1241" s="395"/>
      <c r="AJ1241" s="395"/>
      <c r="AK1241" s="395"/>
      <c r="AL1241" s="395"/>
      <c r="AM1241" s="395"/>
      <c r="AN1241" s="395"/>
      <c r="AO1241" s="395"/>
    </row>
    <row r="1242">
      <c r="A1242" s="398"/>
      <c r="B1242" s="398"/>
      <c r="C1242" s="398"/>
      <c r="D1242" s="398"/>
      <c r="E1242" s="399"/>
      <c r="F1242" s="400"/>
      <c r="G1242" s="399"/>
      <c r="H1242" s="400"/>
      <c r="I1242" s="400"/>
      <c r="J1242" s="400"/>
      <c r="K1242" s="400"/>
      <c r="L1242" s="400"/>
      <c r="M1242" s="400"/>
      <c r="N1242" s="400"/>
      <c r="O1242" s="400"/>
      <c r="P1242" s="400"/>
      <c r="Q1242" s="400"/>
      <c r="R1242" s="398"/>
      <c r="S1242" s="401"/>
      <c r="T1242" s="401"/>
      <c r="U1242" s="398"/>
      <c r="V1242" s="398"/>
      <c r="W1242" s="398"/>
      <c r="X1242" s="398"/>
      <c r="Y1242" s="402"/>
      <c r="Z1242" s="403"/>
      <c r="AA1242" s="404"/>
      <c r="AB1242" s="405"/>
      <c r="AC1242" s="405"/>
      <c r="AD1242" s="406"/>
      <c r="AE1242" s="395"/>
      <c r="AF1242" s="395"/>
      <c r="AG1242" s="395"/>
      <c r="AH1242" s="395"/>
      <c r="AI1242" s="395"/>
      <c r="AJ1242" s="395"/>
      <c r="AK1242" s="395"/>
      <c r="AL1242" s="395"/>
      <c r="AM1242" s="395"/>
      <c r="AN1242" s="395"/>
      <c r="AO1242" s="395"/>
    </row>
    <row r="1243">
      <c r="A1243" s="398"/>
      <c r="B1243" s="398"/>
      <c r="C1243" s="398"/>
      <c r="D1243" s="398"/>
      <c r="E1243" s="399"/>
      <c r="F1243" s="400"/>
      <c r="G1243" s="399"/>
      <c r="H1243" s="400"/>
      <c r="I1243" s="400"/>
      <c r="J1243" s="400"/>
      <c r="K1243" s="400"/>
      <c r="L1243" s="400"/>
      <c r="M1243" s="400"/>
      <c r="N1243" s="400"/>
      <c r="O1243" s="400"/>
      <c r="P1243" s="400"/>
      <c r="Q1243" s="400"/>
      <c r="R1243" s="398"/>
      <c r="S1243" s="401"/>
      <c r="T1243" s="401"/>
      <c r="U1243" s="398"/>
      <c r="V1243" s="398"/>
      <c r="W1243" s="398"/>
      <c r="X1243" s="398"/>
      <c r="Y1243" s="402"/>
      <c r="Z1243" s="403"/>
      <c r="AA1243" s="404"/>
      <c r="AB1243" s="405"/>
      <c r="AC1243" s="405"/>
      <c r="AD1243" s="406"/>
      <c r="AE1243" s="395"/>
      <c r="AF1243" s="395"/>
      <c r="AG1243" s="395"/>
      <c r="AH1243" s="395"/>
      <c r="AI1243" s="395"/>
      <c r="AJ1243" s="395"/>
      <c r="AK1243" s="395"/>
      <c r="AL1243" s="395"/>
      <c r="AM1243" s="395"/>
      <c r="AN1243" s="395"/>
      <c r="AO1243" s="395"/>
    </row>
    <row r="1244">
      <c r="A1244" s="398"/>
      <c r="B1244" s="398"/>
      <c r="C1244" s="398"/>
      <c r="D1244" s="398"/>
      <c r="E1244" s="399"/>
      <c r="F1244" s="400"/>
      <c r="G1244" s="399"/>
      <c r="H1244" s="400"/>
      <c r="I1244" s="400"/>
      <c r="J1244" s="400"/>
      <c r="K1244" s="400"/>
      <c r="L1244" s="400"/>
      <c r="M1244" s="400"/>
      <c r="N1244" s="400"/>
      <c r="O1244" s="400"/>
      <c r="P1244" s="400"/>
      <c r="Q1244" s="400"/>
      <c r="R1244" s="398"/>
      <c r="S1244" s="401"/>
      <c r="T1244" s="401"/>
      <c r="U1244" s="398"/>
      <c r="V1244" s="398"/>
      <c r="W1244" s="398"/>
      <c r="X1244" s="398"/>
      <c r="Y1244" s="402"/>
      <c r="Z1244" s="403"/>
      <c r="AA1244" s="404"/>
      <c r="AB1244" s="405"/>
      <c r="AC1244" s="405"/>
      <c r="AD1244" s="406"/>
      <c r="AE1244" s="395"/>
      <c r="AF1244" s="395"/>
      <c r="AG1244" s="395"/>
      <c r="AH1244" s="395"/>
      <c r="AI1244" s="395"/>
      <c r="AJ1244" s="395"/>
      <c r="AK1244" s="395"/>
      <c r="AL1244" s="395"/>
      <c r="AM1244" s="395"/>
      <c r="AN1244" s="395"/>
      <c r="AO1244" s="395"/>
    </row>
    <row r="1245">
      <c r="A1245" s="398"/>
      <c r="B1245" s="398"/>
      <c r="C1245" s="398"/>
      <c r="D1245" s="398"/>
      <c r="E1245" s="399"/>
      <c r="F1245" s="400"/>
      <c r="G1245" s="399"/>
      <c r="H1245" s="400"/>
      <c r="I1245" s="400"/>
      <c r="J1245" s="400"/>
      <c r="K1245" s="400"/>
      <c r="L1245" s="400"/>
      <c r="M1245" s="400"/>
      <c r="N1245" s="400"/>
      <c r="O1245" s="400"/>
      <c r="P1245" s="400"/>
      <c r="Q1245" s="400"/>
      <c r="R1245" s="398"/>
      <c r="S1245" s="401"/>
      <c r="T1245" s="401"/>
      <c r="U1245" s="398"/>
      <c r="V1245" s="398"/>
      <c r="W1245" s="398"/>
      <c r="X1245" s="398"/>
      <c r="Y1245" s="402"/>
      <c r="Z1245" s="403"/>
      <c r="AA1245" s="404"/>
      <c r="AB1245" s="405"/>
      <c r="AC1245" s="405"/>
      <c r="AD1245" s="406"/>
      <c r="AE1245" s="395"/>
      <c r="AF1245" s="395"/>
      <c r="AG1245" s="395"/>
      <c r="AH1245" s="395"/>
      <c r="AI1245" s="395"/>
      <c r="AJ1245" s="395"/>
      <c r="AK1245" s="395"/>
      <c r="AL1245" s="395"/>
      <c r="AM1245" s="395"/>
      <c r="AN1245" s="395"/>
      <c r="AO1245" s="395"/>
    </row>
    <row r="1246">
      <c r="A1246" s="398"/>
      <c r="B1246" s="398"/>
      <c r="C1246" s="398"/>
      <c r="D1246" s="398"/>
      <c r="E1246" s="399"/>
      <c r="F1246" s="400"/>
      <c r="G1246" s="399"/>
      <c r="H1246" s="400"/>
      <c r="I1246" s="400"/>
      <c r="J1246" s="400"/>
      <c r="K1246" s="400"/>
      <c r="L1246" s="400"/>
      <c r="M1246" s="400"/>
      <c r="N1246" s="400"/>
      <c r="O1246" s="400"/>
      <c r="P1246" s="400"/>
      <c r="Q1246" s="400"/>
      <c r="R1246" s="398"/>
      <c r="S1246" s="401"/>
      <c r="T1246" s="401"/>
      <c r="U1246" s="398"/>
      <c r="V1246" s="398"/>
      <c r="W1246" s="398"/>
      <c r="X1246" s="398"/>
      <c r="Y1246" s="402"/>
      <c r="Z1246" s="403"/>
      <c r="AA1246" s="404"/>
      <c r="AB1246" s="405"/>
      <c r="AC1246" s="405"/>
      <c r="AD1246" s="406"/>
      <c r="AE1246" s="395"/>
      <c r="AF1246" s="395"/>
      <c r="AG1246" s="395"/>
      <c r="AH1246" s="395"/>
      <c r="AI1246" s="395"/>
      <c r="AJ1246" s="395"/>
      <c r="AK1246" s="395"/>
      <c r="AL1246" s="395"/>
      <c r="AM1246" s="395"/>
      <c r="AN1246" s="395"/>
      <c r="AO1246" s="395"/>
    </row>
    <row r="1247">
      <c r="A1247" s="398"/>
      <c r="B1247" s="398"/>
      <c r="C1247" s="398"/>
      <c r="D1247" s="398"/>
      <c r="E1247" s="399"/>
      <c r="F1247" s="400"/>
      <c r="G1247" s="399"/>
      <c r="H1247" s="400"/>
      <c r="I1247" s="400"/>
      <c r="J1247" s="400"/>
      <c r="K1247" s="400"/>
      <c r="L1247" s="400"/>
      <c r="M1247" s="400"/>
      <c r="N1247" s="400"/>
      <c r="O1247" s="400"/>
      <c r="P1247" s="400"/>
      <c r="Q1247" s="400"/>
      <c r="R1247" s="398"/>
      <c r="S1247" s="401"/>
      <c r="T1247" s="401"/>
      <c r="U1247" s="398"/>
      <c r="V1247" s="398"/>
      <c r="W1247" s="398"/>
      <c r="X1247" s="398"/>
      <c r="Y1247" s="402"/>
      <c r="Z1247" s="403"/>
      <c r="AA1247" s="404"/>
      <c r="AB1247" s="405"/>
      <c r="AC1247" s="405"/>
      <c r="AD1247" s="406"/>
      <c r="AE1247" s="395"/>
      <c r="AF1247" s="395"/>
      <c r="AG1247" s="395"/>
      <c r="AH1247" s="395"/>
      <c r="AI1247" s="395"/>
      <c r="AJ1247" s="395"/>
      <c r="AK1247" s="395"/>
      <c r="AL1247" s="395"/>
      <c r="AM1247" s="395"/>
      <c r="AN1247" s="395"/>
      <c r="AO1247" s="395"/>
    </row>
    <row r="1248">
      <c r="A1248" s="398"/>
      <c r="B1248" s="398"/>
      <c r="C1248" s="398"/>
      <c r="D1248" s="398"/>
      <c r="E1248" s="399"/>
      <c r="F1248" s="400"/>
      <c r="G1248" s="399"/>
      <c r="H1248" s="400"/>
      <c r="I1248" s="400"/>
      <c r="J1248" s="400"/>
      <c r="K1248" s="400"/>
      <c r="L1248" s="400"/>
      <c r="M1248" s="400"/>
      <c r="N1248" s="400"/>
      <c r="O1248" s="400"/>
      <c r="P1248" s="400"/>
      <c r="Q1248" s="400"/>
      <c r="R1248" s="398"/>
      <c r="S1248" s="401"/>
      <c r="T1248" s="401"/>
      <c r="U1248" s="398"/>
      <c r="V1248" s="398"/>
      <c r="W1248" s="398"/>
      <c r="X1248" s="398"/>
      <c r="Y1248" s="402"/>
      <c r="Z1248" s="403"/>
      <c r="AA1248" s="404"/>
      <c r="AB1248" s="405"/>
      <c r="AC1248" s="405"/>
      <c r="AD1248" s="406"/>
      <c r="AE1248" s="395"/>
      <c r="AF1248" s="395"/>
      <c r="AG1248" s="395"/>
      <c r="AH1248" s="395"/>
      <c r="AI1248" s="395"/>
      <c r="AJ1248" s="395"/>
      <c r="AK1248" s="395"/>
      <c r="AL1248" s="395"/>
      <c r="AM1248" s="395"/>
      <c r="AN1248" s="395"/>
      <c r="AO1248" s="395"/>
    </row>
    <row r="1249">
      <c r="A1249" s="398"/>
      <c r="B1249" s="398"/>
      <c r="C1249" s="398"/>
      <c r="D1249" s="398"/>
      <c r="E1249" s="399"/>
      <c r="F1249" s="400"/>
      <c r="G1249" s="399"/>
      <c r="H1249" s="400"/>
      <c r="I1249" s="400"/>
      <c r="J1249" s="400"/>
      <c r="K1249" s="400"/>
      <c r="L1249" s="400"/>
      <c r="M1249" s="400"/>
      <c r="N1249" s="400"/>
      <c r="O1249" s="400"/>
      <c r="P1249" s="400"/>
      <c r="Q1249" s="400"/>
      <c r="R1249" s="398"/>
      <c r="S1249" s="401"/>
      <c r="T1249" s="401"/>
      <c r="U1249" s="398"/>
      <c r="V1249" s="398"/>
      <c r="W1249" s="398"/>
      <c r="X1249" s="398"/>
      <c r="Y1249" s="402"/>
      <c r="Z1249" s="403"/>
      <c r="AA1249" s="404"/>
      <c r="AB1249" s="405"/>
      <c r="AC1249" s="405"/>
      <c r="AD1249" s="406"/>
      <c r="AE1249" s="395"/>
      <c r="AF1249" s="395"/>
      <c r="AG1249" s="395"/>
      <c r="AH1249" s="395"/>
      <c r="AI1249" s="395"/>
      <c r="AJ1249" s="395"/>
      <c r="AK1249" s="395"/>
      <c r="AL1249" s="395"/>
      <c r="AM1249" s="395"/>
      <c r="AN1249" s="395"/>
      <c r="AO1249" s="395"/>
    </row>
    <row r="1250">
      <c r="A1250" s="398"/>
      <c r="B1250" s="398"/>
      <c r="C1250" s="398"/>
      <c r="D1250" s="398"/>
      <c r="E1250" s="399"/>
      <c r="F1250" s="400"/>
      <c r="G1250" s="399"/>
      <c r="H1250" s="400"/>
      <c r="I1250" s="400"/>
      <c r="J1250" s="400"/>
      <c r="K1250" s="400"/>
      <c r="L1250" s="400"/>
      <c r="M1250" s="400"/>
      <c r="N1250" s="400"/>
      <c r="O1250" s="400"/>
      <c r="P1250" s="400"/>
      <c r="Q1250" s="400"/>
      <c r="R1250" s="398"/>
      <c r="S1250" s="401"/>
      <c r="T1250" s="401"/>
      <c r="U1250" s="398"/>
      <c r="V1250" s="398"/>
      <c r="W1250" s="398"/>
      <c r="X1250" s="398"/>
      <c r="Y1250" s="402"/>
      <c r="Z1250" s="403"/>
      <c r="AA1250" s="404"/>
      <c r="AB1250" s="405"/>
      <c r="AC1250" s="405"/>
      <c r="AD1250" s="406"/>
      <c r="AE1250" s="395"/>
      <c r="AF1250" s="395"/>
      <c r="AG1250" s="395"/>
      <c r="AH1250" s="395"/>
      <c r="AI1250" s="395"/>
      <c r="AJ1250" s="395"/>
      <c r="AK1250" s="395"/>
      <c r="AL1250" s="395"/>
      <c r="AM1250" s="395"/>
      <c r="AN1250" s="395"/>
      <c r="AO1250" s="395"/>
    </row>
    <row r="1251">
      <c r="A1251" s="398"/>
      <c r="B1251" s="398"/>
      <c r="C1251" s="398"/>
      <c r="D1251" s="398"/>
      <c r="E1251" s="399"/>
      <c r="F1251" s="400"/>
      <c r="G1251" s="399"/>
      <c r="H1251" s="400"/>
      <c r="I1251" s="400"/>
      <c r="J1251" s="400"/>
      <c r="K1251" s="400"/>
      <c r="L1251" s="400"/>
      <c r="M1251" s="400"/>
      <c r="N1251" s="400"/>
      <c r="O1251" s="400"/>
      <c r="P1251" s="400"/>
      <c r="Q1251" s="400"/>
      <c r="R1251" s="398"/>
      <c r="S1251" s="401"/>
      <c r="T1251" s="401"/>
      <c r="U1251" s="398"/>
      <c r="V1251" s="398"/>
      <c r="W1251" s="398"/>
      <c r="X1251" s="398"/>
      <c r="Y1251" s="402"/>
      <c r="Z1251" s="403"/>
      <c r="AA1251" s="404"/>
      <c r="AB1251" s="405"/>
      <c r="AC1251" s="405"/>
      <c r="AD1251" s="406"/>
      <c r="AE1251" s="395"/>
      <c r="AF1251" s="395"/>
      <c r="AG1251" s="395"/>
      <c r="AH1251" s="395"/>
      <c r="AI1251" s="395"/>
      <c r="AJ1251" s="395"/>
      <c r="AK1251" s="395"/>
      <c r="AL1251" s="395"/>
      <c r="AM1251" s="395"/>
      <c r="AN1251" s="395"/>
      <c r="AO1251" s="395"/>
    </row>
    <row r="1252">
      <c r="A1252" s="398"/>
      <c r="B1252" s="398"/>
      <c r="C1252" s="398"/>
      <c r="D1252" s="398"/>
      <c r="E1252" s="399"/>
      <c r="F1252" s="400"/>
      <c r="G1252" s="399"/>
      <c r="H1252" s="400"/>
      <c r="I1252" s="400"/>
      <c r="J1252" s="400"/>
      <c r="K1252" s="400"/>
      <c r="L1252" s="400"/>
      <c r="M1252" s="400"/>
      <c r="N1252" s="400"/>
      <c r="O1252" s="400"/>
      <c r="P1252" s="400"/>
      <c r="Q1252" s="400"/>
      <c r="R1252" s="398"/>
      <c r="S1252" s="401"/>
      <c r="T1252" s="401"/>
      <c r="U1252" s="398"/>
      <c r="V1252" s="398"/>
      <c r="W1252" s="398"/>
      <c r="X1252" s="398"/>
      <c r="Y1252" s="402"/>
      <c r="Z1252" s="403"/>
      <c r="AA1252" s="404"/>
      <c r="AB1252" s="405"/>
      <c r="AC1252" s="405"/>
      <c r="AD1252" s="406"/>
      <c r="AE1252" s="395"/>
      <c r="AF1252" s="395"/>
      <c r="AG1252" s="395"/>
      <c r="AH1252" s="395"/>
      <c r="AI1252" s="395"/>
      <c r="AJ1252" s="395"/>
      <c r="AK1252" s="395"/>
      <c r="AL1252" s="395"/>
      <c r="AM1252" s="395"/>
      <c r="AN1252" s="395"/>
      <c r="AO1252" s="395"/>
    </row>
    <row r="1253">
      <c r="A1253" s="398"/>
      <c r="B1253" s="398"/>
      <c r="C1253" s="398"/>
      <c r="D1253" s="398"/>
      <c r="E1253" s="399"/>
      <c r="F1253" s="400"/>
      <c r="G1253" s="399"/>
      <c r="H1253" s="400"/>
      <c r="I1253" s="400"/>
      <c r="J1253" s="400"/>
      <c r="K1253" s="400"/>
      <c r="L1253" s="400"/>
      <c r="M1253" s="400"/>
      <c r="N1253" s="400"/>
      <c r="O1253" s="400"/>
      <c r="P1253" s="400"/>
      <c r="Q1253" s="400"/>
      <c r="R1253" s="398"/>
      <c r="S1253" s="401"/>
      <c r="T1253" s="401"/>
      <c r="U1253" s="398"/>
      <c r="V1253" s="398"/>
      <c r="W1253" s="398"/>
      <c r="X1253" s="398"/>
      <c r="Y1253" s="402"/>
      <c r="Z1253" s="403"/>
      <c r="AA1253" s="404"/>
      <c r="AB1253" s="405"/>
      <c r="AC1253" s="405"/>
      <c r="AD1253" s="406"/>
      <c r="AE1253" s="395"/>
      <c r="AF1253" s="395"/>
      <c r="AG1253" s="395"/>
      <c r="AH1253" s="395"/>
      <c r="AI1253" s="395"/>
      <c r="AJ1253" s="395"/>
      <c r="AK1253" s="395"/>
      <c r="AL1253" s="395"/>
      <c r="AM1253" s="395"/>
      <c r="AN1253" s="395"/>
      <c r="AO1253" s="395"/>
    </row>
    <row r="1254">
      <c r="A1254" s="398"/>
      <c r="B1254" s="398"/>
      <c r="C1254" s="398"/>
      <c r="D1254" s="398"/>
      <c r="E1254" s="399"/>
      <c r="F1254" s="400"/>
      <c r="G1254" s="399"/>
      <c r="H1254" s="400"/>
      <c r="I1254" s="400"/>
      <c r="J1254" s="400"/>
      <c r="K1254" s="400"/>
      <c r="L1254" s="400"/>
      <c r="M1254" s="400"/>
      <c r="N1254" s="400"/>
      <c r="O1254" s="400"/>
      <c r="P1254" s="400"/>
      <c r="Q1254" s="400"/>
      <c r="R1254" s="398"/>
      <c r="S1254" s="401"/>
      <c r="T1254" s="401"/>
      <c r="U1254" s="398"/>
      <c r="V1254" s="398"/>
      <c r="W1254" s="398"/>
      <c r="X1254" s="398"/>
      <c r="Y1254" s="402"/>
      <c r="Z1254" s="403"/>
      <c r="AA1254" s="404"/>
      <c r="AB1254" s="405"/>
      <c r="AC1254" s="405"/>
      <c r="AD1254" s="406"/>
      <c r="AE1254" s="395"/>
      <c r="AF1254" s="395"/>
      <c r="AG1254" s="395"/>
      <c r="AH1254" s="395"/>
      <c r="AI1254" s="395"/>
      <c r="AJ1254" s="395"/>
      <c r="AK1254" s="395"/>
      <c r="AL1254" s="395"/>
      <c r="AM1254" s="395"/>
      <c r="AN1254" s="395"/>
      <c r="AO1254" s="395"/>
    </row>
    <row r="1255">
      <c r="A1255" s="398"/>
      <c r="B1255" s="398"/>
      <c r="C1255" s="398"/>
      <c r="D1255" s="398"/>
      <c r="E1255" s="399"/>
      <c r="F1255" s="400"/>
      <c r="G1255" s="399"/>
      <c r="H1255" s="400"/>
      <c r="I1255" s="400"/>
      <c r="J1255" s="400"/>
      <c r="K1255" s="400"/>
      <c r="L1255" s="400"/>
      <c r="M1255" s="400"/>
      <c r="N1255" s="400"/>
      <c r="O1255" s="400"/>
      <c r="P1255" s="400"/>
      <c r="Q1255" s="400"/>
      <c r="R1255" s="398"/>
      <c r="S1255" s="401"/>
      <c r="T1255" s="401"/>
      <c r="U1255" s="398"/>
      <c r="V1255" s="398"/>
      <c r="W1255" s="398"/>
      <c r="X1255" s="398"/>
      <c r="Y1255" s="402"/>
      <c r="Z1255" s="403"/>
      <c r="AA1255" s="404"/>
      <c r="AB1255" s="405"/>
      <c r="AC1255" s="405"/>
      <c r="AD1255" s="406"/>
      <c r="AE1255" s="395"/>
      <c r="AF1255" s="395"/>
      <c r="AG1255" s="395"/>
      <c r="AH1255" s="395"/>
      <c r="AI1255" s="395"/>
      <c r="AJ1255" s="395"/>
      <c r="AK1255" s="395"/>
      <c r="AL1255" s="395"/>
      <c r="AM1255" s="395"/>
      <c r="AN1255" s="395"/>
      <c r="AO1255" s="395"/>
    </row>
    <row r="1256">
      <c r="A1256" s="398"/>
      <c r="B1256" s="398"/>
      <c r="C1256" s="398"/>
      <c r="D1256" s="398"/>
      <c r="E1256" s="399"/>
      <c r="F1256" s="400"/>
      <c r="G1256" s="399"/>
      <c r="H1256" s="400"/>
      <c r="I1256" s="400"/>
      <c r="J1256" s="400"/>
      <c r="K1256" s="400"/>
      <c r="L1256" s="400"/>
      <c r="M1256" s="400"/>
      <c r="N1256" s="400"/>
      <c r="O1256" s="400"/>
      <c r="P1256" s="400"/>
      <c r="Q1256" s="400"/>
      <c r="R1256" s="398"/>
      <c r="S1256" s="401"/>
      <c r="T1256" s="401"/>
      <c r="U1256" s="398"/>
      <c r="V1256" s="398"/>
      <c r="W1256" s="398"/>
      <c r="X1256" s="398"/>
      <c r="Y1256" s="402"/>
      <c r="Z1256" s="403"/>
      <c r="AA1256" s="404"/>
      <c r="AB1256" s="405"/>
      <c r="AC1256" s="405"/>
      <c r="AD1256" s="406"/>
      <c r="AE1256" s="395"/>
      <c r="AF1256" s="395"/>
      <c r="AG1256" s="395"/>
      <c r="AH1256" s="395"/>
      <c r="AI1256" s="395"/>
      <c r="AJ1256" s="395"/>
      <c r="AK1256" s="395"/>
      <c r="AL1256" s="395"/>
      <c r="AM1256" s="395"/>
      <c r="AN1256" s="395"/>
      <c r="AO1256" s="395"/>
    </row>
    <row r="1257">
      <c r="A1257" s="398"/>
      <c r="B1257" s="398"/>
      <c r="C1257" s="398"/>
      <c r="D1257" s="398"/>
      <c r="E1257" s="399"/>
      <c r="F1257" s="400"/>
      <c r="G1257" s="399"/>
      <c r="H1257" s="400"/>
      <c r="I1257" s="400"/>
      <c r="J1257" s="400"/>
      <c r="K1257" s="400"/>
      <c r="L1257" s="400"/>
      <c r="M1257" s="400"/>
      <c r="N1257" s="400"/>
      <c r="O1257" s="400"/>
      <c r="P1257" s="400"/>
      <c r="Q1257" s="400"/>
      <c r="R1257" s="398"/>
      <c r="S1257" s="401"/>
      <c r="T1257" s="401"/>
      <c r="U1257" s="398"/>
      <c r="V1257" s="398"/>
      <c r="W1257" s="398"/>
      <c r="X1257" s="398"/>
      <c r="Y1257" s="402"/>
      <c r="Z1257" s="403"/>
      <c r="AA1257" s="404"/>
      <c r="AB1257" s="405"/>
      <c r="AC1257" s="405"/>
      <c r="AD1257" s="406"/>
      <c r="AE1257" s="395"/>
      <c r="AF1257" s="395"/>
      <c r="AG1257" s="395"/>
      <c r="AH1257" s="395"/>
      <c r="AI1257" s="395"/>
      <c r="AJ1257" s="395"/>
      <c r="AK1257" s="395"/>
      <c r="AL1257" s="395"/>
      <c r="AM1257" s="395"/>
      <c r="AN1257" s="395"/>
      <c r="AO1257" s="395"/>
    </row>
    <row r="1258">
      <c r="A1258" s="398"/>
      <c r="B1258" s="398"/>
      <c r="C1258" s="398"/>
      <c r="D1258" s="398"/>
      <c r="E1258" s="399"/>
      <c r="F1258" s="400"/>
      <c r="G1258" s="399"/>
      <c r="H1258" s="400"/>
      <c r="I1258" s="400"/>
      <c r="J1258" s="400"/>
      <c r="K1258" s="400"/>
      <c r="L1258" s="400"/>
      <c r="M1258" s="400"/>
      <c r="N1258" s="400"/>
      <c r="O1258" s="400"/>
      <c r="P1258" s="400"/>
      <c r="Q1258" s="400"/>
      <c r="R1258" s="398"/>
      <c r="S1258" s="401"/>
      <c r="T1258" s="401"/>
      <c r="U1258" s="398"/>
      <c r="V1258" s="398"/>
      <c r="W1258" s="398"/>
      <c r="X1258" s="398"/>
      <c r="Y1258" s="402"/>
      <c r="Z1258" s="403"/>
      <c r="AA1258" s="404"/>
      <c r="AB1258" s="405"/>
      <c r="AC1258" s="405"/>
      <c r="AD1258" s="406"/>
      <c r="AE1258" s="395"/>
      <c r="AF1258" s="395"/>
      <c r="AG1258" s="395"/>
      <c r="AH1258" s="395"/>
      <c r="AI1258" s="395"/>
      <c r="AJ1258" s="395"/>
      <c r="AK1258" s="395"/>
      <c r="AL1258" s="395"/>
      <c r="AM1258" s="395"/>
      <c r="AN1258" s="395"/>
      <c r="AO1258" s="395"/>
    </row>
    <row r="1259">
      <c r="A1259" s="398"/>
      <c r="B1259" s="398"/>
      <c r="C1259" s="398"/>
      <c r="D1259" s="398"/>
      <c r="E1259" s="399"/>
      <c r="F1259" s="400"/>
      <c r="G1259" s="399"/>
      <c r="H1259" s="400"/>
      <c r="I1259" s="400"/>
      <c r="J1259" s="400"/>
      <c r="K1259" s="400"/>
      <c r="L1259" s="400"/>
      <c r="M1259" s="400"/>
      <c r="N1259" s="400"/>
      <c r="O1259" s="400"/>
      <c r="P1259" s="400"/>
      <c r="Q1259" s="400"/>
      <c r="R1259" s="398"/>
      <c r="S1259" s="401"/>
      <c r="T1259" s="401"/>
      <c r="U1259" s="398"/>
      <c r="V1259" s="398"/>
      <c r="W1259" s="398"/>
      <c r="X1259" s="398"/>
      <c r="Y1259" s="402"/>
      <c r="Z1259" s="403"/>
      <c r="AA1259" s="404"/>
      <c r="AB1259" s="405"/>
      <c r="AC1259" s="405"/>
      <c r="AD1259" s="406"/>
      <c r="AE1259" s="395"/>
      <c r="AF1259" s="395"/>
      <c r="AG1259" s="395"/>
      <c r="AH1259" s="395"/>
      <c r="AI1259" s="395"/>
      <c r="AJ1259" s="395"/>
      <c r="AK1259" s="395"/>
      <c r="AL1259" s="395"/>
      <c r="AM1259" s="395"/>
      <c r="AN1259" s="395"/>
      <c r="AO1259" s="395"/>
    </row>
    <row r="1260">
      <c r="A1260" s="398"/>
      <c r="B1260" s="398"/>
      <c r="C1260" s="398"/>
      <c r="D1260" s="398"/>
      <c r="E1260" s="399"/>
      <c r="F1260" s="400"/>
      <c r="G1260" s="399"/>
      <c r="H1260" s="400"/>
      <c r="I1260" s="400"/>
      <c r="J1260" s="400"/>
      <c r="K1260" s="400"/>
      <c r="L1260" s="400"/>
      <c r="M1260" s="400"/>
      <c r="N1260" s="400"/>
      <c r="O1260" s="400"/>
      <c r="P1260" s="400"/>
      <c r="Q1260" s="400"/>
      <c r="R1260" s="398"/>
      <c r="S1260" s="401"/>
      <c r="T1260" s="401"/>
      <c r="U1260" s="398"/>
      <c r="V1260" s="398"/>
      <c r="W1260" s="398"/>
      <c r="X1260" s="398"/>
      <c r="Y1260" s="402"/>
      <c r="Z1260" s="403"/>
      <c r="AA1260" s="404"/>
      <c r="AB1260" s="405"/>
      <c r="AC1260" s="405"/>
      <c r="AD1260" s="406"/>
      <c r="AE1260" s="395"/>
      <c r="AF1260" s="395"/>
      <c r="AG1260" s="395"/>
      <c r="AH1260" s="395"/>
      <c r="AI1260" s="395"/>
      <c r="AJ1260" s="395"/>
      <c r="AK1260" s="395"/>
      <c r="AL1260" s="395"/>
      <c r="AM1260" s="395"/>
      <c r="AN1260" s="395"/>
      <c r="AO1260" s="395"/>
    </row>
    <row r="1261">
      <c r="A1261" s="398"/>
      <c r="B1261" s="398"/>
      <c r="C1261" s="398"/>
      <c r="D1261" s="398"/>
      <c r="E1261" s="399"/>
      <c r="F1261" s="400"/>
      <c r="G1261" s="399"/>
      <c r="H1261" s="400"/>
      <c r="I1261" s="400"/>
      <c r="J1261" s="400"/>
      <c r="K1261" s="400"/>
      <c r="L1261" s="400"/>
      <c r="M1261" s="400"/>
      <c r="N1261" s="400"/>
      <c r="O1261" s="400"/>
      <c r="P1261" s="400"/>
      <c r="Q1261" s="400"/>
      <c r="R1261" s="398"/>
      <c r="S1261" s="401"/>
      <c r="T1261" s="401"/>
      <c r="U1261" s="398"/>
      <c r="V1261" s="398"/>
      <c r="W1261" s="398"/>
      <c r="X1261" s="398"/>
      <c r="Y1261" s="402"/>
      <c r="Z1261" s="403"/>
      <c r="AA1261" s="404"/>
      <c r="AB1261" s="405"/>
      <c r="AC1261" s="405"/>
      <c r="AD1261" s="406"/>
      <c r="AE1261" s="395"/>
      <c r="AF1261" s="395"/>
      <c r="AG1261" s="395"/>
      <c r="AH1261" s="395"/>
      <c r="AI1261" s="395"/>
      <c r="AJ1261" s="395"/>
      <c r="AK1261" s="395"/>
      <c r="AL1261" s="395"/>
      <c r="AM1261" s="395"/>
      <c r="AN1261" s="395"/>
      <c r="AO1261" s="395"/>
    </row>
    <row r="1262">
      <c r="A1262" s="398"/>
      <c r="B1262" s="398"/>
      <c r="C1262" s="398"/>
      <c r="D1262" s="398"/>
      <c r="E1262" s="399"/>
      <c r="F1262" s="400"/>
      <c r="G1262" s="399"/>
      <c r="H1262" s="400"/>
      <c r="I1262" s="400"/>
      <c r="J1262" s="400"/>
      <c r="K1262" s="400"/>
      <c r="L1262" s="400"/>
      <c r="M1262" s="400"/>
      <c r="N1262" s="400"/>
      <c r="O1262" s="400"/>
      <c r="P1262" s="400"/>
      <c r="Q1262" s="400"/>
      <c r="R1262" s="398"/>
      <c r="S1262" s="401"/>
      <c r="T1262" s="401"/>
      <c r="U1262" s="398"/>
      <c r="V1262" s="398"/>
      <c r="W1262" s="398"/>
      <c r="X1262" s="398"/>
      <c r="Y1262" s="402"/>
      <c r="Z1262" s="403"/>
      <c r="AA1262" s="404"/>
      <c r="AB1262" s="405"/>
      <c r="AC1262" s="405"/>
      <c r="AD1262" s="406"/>
      <c r="AE1262" s="395"/>
      <c r="AF1262" s="395"/>
      <c r="AG1262" s="395"/>
      <c r="AH1262" s="395"/>
      <c r="AI1262" s="395"/>
      <c r="AJ1262" s="395"/>
      <c r="AK1262" s="395"/>
      <c r="AL1262" s="395"/>
      <c r="AM1262" s="395"/>
      <c r="AN1262" s="395"/>
      <c r="AO1262" s="395"/>
    </row>
    <row r="1263">
      <c r="A1263" s="398"/>
      <c r="B1263" s="398"/>
      <c r="C1263" s="398"/>
      <c r="D1263" s="398"/>
      <c r="E1263" s="399"/>
      <c r="F1263" s="400"/>
      <c r="G1263" s="399"/>
      <c r="H1263" s="400"/>
      <c r="I1263" s="400"/>
      <c r="J1263" s="400"/>
      <c r="K1263" s="400"/>
      <c r="L1263" s="400"/>
      <c r="M1263" s="400"/>
      <c r="N1263" s="400"/>
      <c r="O1263" s="400"/>
      <c r="P1263" s="400"/>
      <c r="Q1263" s="400"/>
      <c r="R1263" s="398"/>
      <c r="S1263" s="401"/>
      <c r="T1263" s="401"/>
      <c r="U1263" s="398"/>
      <c r="V1263" s="398"/>
      <c r="W1263" s="398"/>
      <c r="X1263" s="398"/>
      <c r="Y1263" s="402"/>
      <c r="Z1263" s="403"/>
      <c r="AA1263" s="404"/>
      <c r="AB1263" s="405"/>
      <c r="AC1263" s="405"/>
      <c r="AD1263" s="406"/>
      <c r="AE1263" s="395"/>
      <c r="AF1263" s="395"/>
      <c r="AG1263" s="395"/>
      <c r="AH1263" s="395"/>
      <c r="AI1263" s="395"/>
      <c r="AJ1263" s="395"/>
      <c r="AK1263" s="395"/>
      <c r="AL1263" s="395"/>
      <c r="AM1263" s="395"/>
      <c r="AN1263" s="395"/>
      <c r="AO1263" s="395"/>
    </row>
    <row r="1264">
      <c r="A1264" s="398"/>
      <c r="B1264" s="398"/>
      <c r="C1264" s="398"/>
      <c r="D1264" s="398"/>
      <c r="E1264" s="399"/>
      <c r="F1264" s="400"/>
      <c r="G1264" s="399"/>
      <c r="H1264" s="400"/>
      <c r="I1264" s="400"/>
      <c r="J1264" s="400"/>
      <c r="K1264" s="400"/>
      <c r="L1264" s="400"/>
      <c r="M1264" s="400"/>
      <c r="N1264" s="400"/>
      <c r="O1264" s="400"/>
      <c r="P1264" s="400"/>
      <c r="Q1264" s="400"/>
      <c r="R1264" s="398"/>
      <c r="S1264" s="401"/>
      <c r="T1264" s="401"/>
      <c r="U1264" s="398"/>
      <c r="V1264" s="398"/>
      <c r="W1264" s="398"/>
      <c r="X1264" s="398"/>
      <c r="Y1264" s="402"/>
      <c r="Z1264" s="403"/>
      <c r="AA1264" s="404"/>
      <c r="AB1264" s="405"/>
      <c r="AC1264" s="405"/>
      <c r="AD1264" s="406"/>
      <c r="AE1264" s="395"/>
      <c r="AF1264" s="395"/>
      <c r="AG1264" s="395"/>
      <c r="AH1264" s="395"/>
      <c r="AI1264" s="395"/>
      <c r="AJ1264" s="395"/>
      <c r="AK1264" s="395"/>
      <c r="AL1264" s="395"/>
      <c r="AM1264" s="395"/>
      <c r="AN1264" s="395"/>
      <c r="AO1264" s="395"/>
    </row>
    <row r="1265">
      <c r="A1265" s="398"/>
      <c r="B1265" s="398"/>
      <c r="C1265" s="398"/>
      <c r="D1265" s="398"/>
      <c r="E1265" s="399"/>
      <c r="F1265" s="400"/>
      <c r="G1265" s="399"/>
      <c r="H1265" s="400"/>
      <c r="I1265" s="400"/>
      <c r="J1265" s="400"/>
      <c r="K1265" s="400"/>
      <c r="L1265" s="400"/>
      <c r="M1265" s="400"/>
      <c r="N1265" s="400"/>
      <c r="O1265" s="400"/>
      <c r="P1265" s="400"/>
      <c r="Q1265" s="400"/>
      <c r="R1265" s="398"/>
      <c r="S1265" s="401"/>
      <c r="T1265" s="401"/>
      <c r="U1265" s="398"/>
      <c r="V1265" s="398"/>
      <c r="W1265" s="398"/>
      <c r="X1265" s="398"/>
      <c r="Y1265" s="402"/>
      <c r="Z1265" s="403"/>
      <c r="AA1265" s="404"/>
      <c r="AB1265" s="405"/>
      <c r="AC1265" s="405"/>
      <c r="AD1265" s="406"/>
      <c r="AE1265" s="395"/>
      <c r="AF1265" s="395"/>
      <c r="AG1265" s="395"/>
      <c r="AH1265" s="395"/>
      <c r="AI1265" s="395"/>
      <c r="AJ1265" s="395"/>
      <c r="AK1265" s="395"/>
      <c r="AL1265" s="395"/>
      <c r="AM1265" s="395"/>
      <c r="AN1265" s="395"/>
      <c r="AO1265" s="395"/>
    </row>
    <row r="1266">
      <c r="A1266" s="398"/>
      <c r="B1266" s="398"/>
      <c r="C1266" s="398"/>
      <c r="D1266" s="398"/>
      <c r="E1266" s="399"/>
      <c r="F1266" s="400"/>
      <c r="G1266" s="399"/>
      <c r="H1266" s="400"/>
      <c r="I1266" s="400"/>
      <c r="J1266" s="400"/>
      <c r="K1266" s="400"/>
      <c r="L1266" s="400"/>
      <c r="M1266" s="400"/>
      <c r="N1266" s="400"/>
      <c r="O1266" s="400"/>
      <c r="P1266" s="400"/>
      <c r="Q1266" s="400"/>
      <c r="R1266" s="398"/>
      <c r="S1266" s="401"/>
      <c r="T1266" s="401"/>
      <c r="U1266" s="398"/>
      <c r="V1266" s="398"/>
      <c r="W1266" s="398"/>
      <c r="X1266" s="398"/>
      <c r="Y1266" s="402"/>
      <c r="Z1266" s="403"/>
      <c r="AA1266" s="404"/>
      <c r="AB1266" s="405"/>
      <c r="AC1266" s="405"/>
      <c r="AD1266" s="406"/>
      <c r="AE1266" s="395"/>
      <c r="AF1266" s="395"/>
      <c r="AG1266" s="395"/>
      <c r="AH1266" s="395"/>
      <c r="AI1266" s="395"/>
      <c r="AJ1266" s="395"/>
      <c r="AK1266" s="395"/>
      <c r="AL1266" s="395"/>
      <c r="AM1266" s="395"/>
      <c r="AN1266" s="395"/>
      <c r="AO1266" s="395"/>
    </row>
    <row r="1267">
      <c r="A1267" s="398"/>
      <c r="B1267" s="398"/>
      <c r="C1267" s="398"/>
      <c r="D1267" s="398"/>
      <c r="E1267" s="399"/>
      <c r="F1267" s="400"/>
      <c r="G1267" s="399"/>
      <c r="H1267" s="400"/>
      <c r="I1267" s="400"/>
      <c r="J1267" s="400"/>
      <c r="K1267" s="400"/>
      <c r="L1267" s="400"/>
      <c r="M1267" s="400"/>
      <c r="N1267" s="400"/>
      <c r="O1267" s="400"/>
      <c r="P1267" s="400"/>
      <c r="Q1267" s="400"/>
      <c r="R1267" s="398"/>
      <c r="S1267" s="401"/>
      <c r="T1267" s="401"/>
      <c r="U1267" s="398"/>
      <c r="V1267" s="398"/>
      <c r="W1267" s="398"/>
      <c r="X1267" s="398"/>
      <c r="Y1267" s="402"/>
      <c r="Z1267" s="403"/>
      <c r="AA1267" s="404"/>
      <c r="AB1267" s="405"/>
      <c r="AC1267" s="405"/>
      <c r="AD1267" s="406"/>
      <c r="AE1267" s="395"/>
      <c r="AF1267" s="395"/>
      <c r="AG1267" s="395"/>
      <c r="AH1267" s="395"/>
      <c r="AI1267" s="395"/>
      <c r="AJ1267" s="395"/>
      <c r="AK1267" s="395"/>
      <c r="AL1267" s="395"/>
      <c r="AM1267" s="395"/>
      <c r="AN1267" s="395"/>
      <c r="AO1267" s="395"/>
    </row>
    <row r="1268">
      <c r="A1268" s="398"/>
      <c r="B1268" s="398"/>
      <c r="C1268" s="398"/>
      <c r="D1268" s="398"/>
      <c r="E1268" s="399"/>
      <c r="F1268" s="400"/>
      <c r="G1268" s="399"/>
      <c r="H1268" s="400"/>
      <c r="I1268" s="400"/>
      <c r="J1268" s="400"/>
      <c r="K1268" s="400"/>
      <c r="L1268" s="400"/>
      <c r="M1268" s="400"/>
      <c r="N1268" s="400"/>
      <c r="O1268" s="400"/>
      <c r="P1268" s="400"/>
      <c r="Q1268" s="400"/>
      <c r="R1268" s="398"/>
      <c r="S1268" s="401"/>
      <c r="T1268" s="401"/>
      <c r="U1268" s="398"/>
      <c r="V1268" s="398"/>
      <c r="W1268" s="398"/>
      <c r="X1268" s="398"/>
      <c r="Y1268" s="402"/>
      <c r="Z1268" s="403"/>
      <c r="AA1268" s="404"/>
      <c r="AB1268" s="405"/>
      <c r="AC1268" s="405"/>
      <c r="AD1268" s="406"/>
      <c r="AE1268" s="395"/>
      <c r="AF1268" s="395"/>
      <c r="AG1268" s="395"/>
      <c r="AH1268" s="395"/>
      <c r="AI1268" s="395"/>
      <c r="AJ1268" s="395"/>
      <c r="AK1268" s="395"/>
      <c r="AL1268" s="395"/>
      <c r="AM1268" s="395"/>
      <c r="AN1268" s="395"/>
      <c r="AO1268" s="395"/>
    </row>
    <row r="1269">
      <c r="A1269" s="398"/>
      <c r="B1269" s="398"/>
      <c r="C1269" s="398"/>
      <c r="D1269" s="398"/>
      <c r="E1269" s="399"/>
      <c r="F1269" s="400"/>
      <c r="G1269" s="399"/>
      <c r="H1269" s="400"/>
      <c r="I1269" s="400"/>
      <c r="J1269" s="400"/>
      <c r="K1269" s="400"/>
      <c r="L1269" s="400"/>
      <c r="M1269" s="400"/>
      <c r="N1269" s="400"/>
      <c r="O1269" s="400"/>
      <c r="P1269" s="400"/>
      <c r="Q1269" s="400"/>
      <c r="R1269" s="398"/>
      <c r="S1269" s="401"/>
      <c r="T1269" s="401"/>
      <c r="U1269" s="398"/>
      <c r="V1269" s="398"/>
      <c r="W1269" s="398"/>
      <c r="X1269" s="398"/>
      <c r="Y1269" s="402"/>
      <c r="Z1269" s="403"/>
      <c r="AA1269" s="404"/>
      <c r="AB1269" s="405"/>
      <c r="AC1269" s="405"/>
      <c r="AD1269" s="406"/>
      <c r="AE1269" s="395"/>
      <c r="AF1269" s="395"/>
      <c r="AG1269" s="395"/>
      <c r="AH1269" s="395"/>
      <c r="AI1269" s="395"/>
      <c r="AJ1269" s="395"/>
      <c r="AK1269" s="395"/>
      <c r="AL1269" s="395"/>
      <c r="AM1269" s="395"/>
      <c r="AN1269" s="395"/>
      <c r="AO1269" s="395"/>
    </row>
    <row r="1270">
      <c r="A1270" s="398"/>
      <c r="B1270" s="398"/>
      <c r="C1270" s="398"/>
      <c r="D1270" s="398"/>
      <c r="E1270" s="399"/>
      <c r="F1270" s="400"/>
      <c r="G1270" s="399"/>
      <c r="H1270" s="400"/>
      <c r="I1270" s="400"/>
      <c r="J1270" s="400"/>
      <c r="K1270" s="400"/>
      <c r="L1270" s="400"/>
      <c r="M1270" s="400"/>
      <c r="N1270" s="400"/>
      <c r="O1270" s="400"/>
      <c r="P1270" s="400"/>
      <c r="Q1270" s="400"/>
      <c r="R1270" s="398"/>
      <c r="S1270" s="401"/>
      <c r="T1270" s="401"/>
      <c r="U1270" s="398"/>
      <c r="V1270" s="398"/>
      <c r="W1270" s="398"/>
      <c r="X1270" s="398"/>
      <c r="Y1270" s="402"/>
      <c r="Z1270" s="403"/>
      <c r="AA1270" s="404"/>
      <c r="AB1270" s="405"/>
      <c r="AC1270" s="405"/>
      <c r="AD1270" s="406"/>
      <c r="AE1270" s="395"/>
      <c r="AF1270" s="395"/>
      <c r="AG1270" s="395"/>
      <c r="AH1270" s="395"/>
      <c r="AI1270" s="395"/>
      <c r="AJ1270" s="395"/>
      <c r="AK1270" s="395"/>
      <c r="AL1270" s="395"/>
      <c r="AM1270" s="395"/>
      <c r="AN1270" s="395"/>
      <c r="AO1270" s="395"/>
    </row>
    <row r="1271">
      <c r="A1271" s="398"/>
      <c r="B1271" s="398"/>
      <c r="C1271" s="398"/>
      <c r="D1271" s="398"/>
      <c r="E1271" s="399"/>
      <c r="F1271" s="400"/>
      <c r="G1271" s="399"/>
      <c r="H1271" s="400"/>
      <c r="I1271" s="400"/>
      <c r="J1271" s="400"/>
      <c r="K1271" s="400"/>
      <c r="L1271" s="400"/>
      <c r="M1271" s="400"/>
      <c r="N1271" s="400"/>
      <c r="O1271" s="400"/>
      <c r="P1271" s="400"/>
      <c r="Q1271" s="400"/>
      <c r="R1271" s="398"/>
      <c r="S1271" s="401"/>
      <c r="T1271" s="401"/>
      <c r="U1271" s="398"/>
      <c r="V1271" s="398"/>
      <c r="W1271" s="398"/>
      <c r="X1271" s="398"/>
      <c r="Y1271" s="402"/>
      <c r="Z1271" s="403"/>
      <c r="AA1271" s="404"/>
      <c r="AB1271" s="405"/>
      <c r="AC1271" s="405"/>
      <c r="AD1271" s="406"/>
      <c r="AE1271" s="395"/>
      <c r="AF1271" s="395"/>
      <c r="AG1271" s="395"/>
      <c r="AH1271" s="395"/>
      <c r="AI1271" s="395"/>
      <c r="AJ1271" s="395"/>
      <c r="AK1271" s="395"/>
      <c r="AL1271" s="395"/>
      <c r="AM1271" s="395"/>
      <c r="AN1271" s="395"/>
      <c r="AO1271" s="395"/>
    </row>
    <row r="1272">
      <c r="A1272" s="398"/>
      <c r="B1272" s="398"/>
      <c r="C1272" s="398"/>
      <c r="D1272" s="398"/>
      <c r="E1272" s="399"/>
      <c r="F1272" s="400"/>
      <c r="G1272" s="399"/>
      <c r="H1272" s="400"/>
      <c r="I1272" s="400"/>
      <c r="J1272" s="400"/>
      <c r="K1272" s="400"/>
      <c r="L1272" s="400"/>
      <c r="M1272" s="400"/>
      <c r="N1272" s="400"/>
      <c r="O1272" s="400"/>
      <c r="P1272" s="400"/>
      <c r="Q1272" s="400"/>
      <c r="R1272" s="398"/>
      <c r="S1272" s="401"/>
      <c r="T1272" s="401"/>
      <c r="U1272" s="398"/>
      <c r="V1272" s="398"/>
      <c r="W1272" s="398"/>
      <c r="X1272" s="398"/>
      <c r="Y1272" s="402"/>
      <c r="Z1272" s="403"/>
      <c r="AA1272" s="404"/>
      <c r="AB1272" s="405"/>
      <c r="AC1272" s="405"/>
      <c r="AD1272" s="406"/>
      <c r="AE1272" s="395"/>
      <c r="AF1272" s="395"/>
      <c r="AG1272" s="395"/>
      <c r="AH1272" s="395"/>
      <c r="AI1272" s="395"/>
      <c r="AJ1272" s="395"/>
      <c r="AK1272" s="395"/>
      <c r="AL1272" s="395"/>
      <c r="AM1272" s="395"/>
      <c r="AN1272" s="395"/>
      <c r="AO1272" s="395"/>
    </row>
    <row r="1273">
      <c r="A1273" s="398"/>
      <c r="B1273" s="398"/>
      <c r="C1273" s="398"/>
      <c r="D1273" s="398"/>
      <c r="E1273" s="399"/>
      <c r="F1273" s="400"/>
      <c r="G1273" s="399"/>
      <c r="H1273" s="400"/>
      <c r="I1273" s="400"/>
      <c r="J1273" s="400"/>
      <c r="K1273" s="400"/>
      <c r="L1273" s="400"/>
      <c r="M1273" s="400"/>
      <c r="N1273" s="400"/>
      <c r="O1273" s="400"/>
      <c r="P1273" s="400"/>
      <c r="Q1273" s="400"/>
      <c r="R1273" s="398"/>
      <c r="S1273" s="401"/>
      <c r="T1273" s="401"/>
      <c r="U1273" s="398"/>
      <c r="V1273" s="398"/>
      <c r="W1273" s="398"/>
      <c r="X1273" s="398"/>
      <c r="Y1273" s="402"/>
      <c r="Z1273" s="403"/>
      <c r="AA1273" s="404"/>
      <c r="AB1273" s="405"/>
      <c r="AC1273" s="405"/>
      <c r="AD1273" s="406"/>
      <c r="AE1273" s="395"/>
      <c r="AF1273" s="395"/>
      <c r="AG1273" s="395"/>
      <c r="AH1273" s="395"/>
      <c r="AI1273" s="395"/>
      <c r="AJ1273" s="395"/>
      <c r="AK1273" s="395"/>
      <c r="AL1273" s="395"/>
      <c r="AM1273" s="395"/>
      <c r="AN1273" s="395"/>
      <c r="AO1273" s="395"/>
    </row>
    <row r="1274">
      <c r="A1274" s="398"/>
      <c r="B1274" s="398"/>
      <c r="C1274" s="398"/>
      <c r="D1274" s="398"/>
      <c r="E1274" s="399"/>
      <c r="F1274" s="400"/>
      <c r="G1274" s="399"/>
      <c r="H1274" s="400"/>
      <c r="I1274" s="400"/>
      <c r="J1274" s="400"/>
      <c r="K1274" s="400"/>
      <c r="L1274" s="400"/>
      <c r="M1274" s="400"/>
      <c r="N1274" s="400"/>
      <c r="O1274" s="400"/>
      <c r="P1274" s="400"/>
      <c r="Q1274" s="400"/>
      <c r="R1274" s="398"/>
      <c r="S1274" s="401"/>
      <c r="T1274" s="401"/>
      <c r="U1274" s="398"/>
      <c r="V1274" s="398"/>
      <c r="W1274" s="398"/>
      <c r="X1274" s="398"/>
      <c r="Y1274" s="402"/>
      <c r="Z1274" s="403"/>
      <c r="AA1274" s="404"/>
      <c r="AB1274" s="405"/>
      <c r="AC1274" s="405"/>
      <c r="AD1274" s="406"/>
      <c r="AE1274" s="395"/>
      <c r="AF1274" s="395"/>
      <c r="AG1274" s="395"/>
      <c r="AH1274" s="395"/>
      <c r="AI1274" s="395"/>
      <c r="AJ1274" s="395"/>
      <c r="AK1274" s="395"/>
      <c r="AL1274" s="395"/>
      <c r="AM1274" s="395"/>
      <c r="AN1274" s="395"/>
      <c r="AO1274" s="395"/>
    </row>
    <row r="1275">
      <c r="A1275" s="398"/>
      <c r="B1275" s="398"/>
      <c r="C1275" s="398"/>
      <c r="D1275" s="398"/>
      <c r="E1275" s="399"/>
      <c r="F1275" s="400"/>
      <c r="G1275" s="399"/>
      <c r="H1275" s="400"/>
      <c r="I1275" s="400"/>
      <c r="J1275" s="400"/>
      <c r="K1275" s="400"/>
      <c r="L1275" s="400"/>
      <c r="M1275" s="400"/>
      <c r="N1275" s="400"/>
      <c r="O1275" s="400"/>
      <c r="P1275" s="400"/>
      <c r="Q1275" s="400"/>
      <c r="R1275" s="398"/>
      <c r="S1275" s="401"/>
      <c r="T1275" s="401"/>
      <c r="U1275" s="398"/>
      <c r="V1275" s="398"/>
      <c r="W1275" s="398"/>
      <c r="X1275" s="398"/>
      <c r="Y1275" s="402"/>
      <c r="Z1275" s="403"/>
      <c r="AA1275" s="404"/>
      <c r="AB1275" s="405"/>
      <c r="AC1275" s="405"/>
      <c r="AD1275" s="406"/>
      <c r="AE1275" s="395"/>
      <c r="AF1275" s="395"/>
      <c r="AG1275" s="395"/>
      <c r="AH1275" s="395"/>
      <c r="AI1275" s="395"/>
      <c r="AJ1275" s="395"/>
      <c r="AK1275" s="395"/>
      <c r="AL1275" s="395"/>
      <c r="AM1275" s="395"/>
      <c r="AN1275" s="395"/>
      <c r="AO1275" s="395"/>
    </row>
    <row r="1276">
      <c r="A1276" s="398"/>
      <c r="B1276" s="398"/>
      <c r="C1276" s="398"/>
      <c r="D1276" s="398"/>
      <c r="E1276" s="399"/>
      <c r="F1276" s="400"/>
      <c r="G1276" s="399"/>
      <c r="H1276" s="400"/>
      <c r="I1276" s="400"/>
      <c r="J1276" s="400"/>
      <c r="K1276" s="400"/>
      <c r="L1276" s="400"/>
      <c r="M1276" s="400"/>
      <c r="N1276" s="400"/>
      <c r="O1276" s="400"/>
      <c r="P1276" s="400"/>
      <c r="Q1276" s="400"/>
      <c r="R1276" s="398"/>
      <c r="S1276" s="401"/>
      <c r="T1276" s="401"/>
      <c r="U1276" s="398"/>
      <c r="V1276" s="398"/>
      <c r="W1276" s="398"/>
      <c r="X1276" s="398"/>
      <c r="Y1276" s="402"/>
      <c r="Z1276" s="403"/>
      <c r="AA1276" s="404"/>
      <c r="AB1276" s="405"/>
      <c r="AC1276" s="405"/>
      <c r="AD1276" s="406"/>
      <c r="AE1276" s="395"/>
      <c r="AF1276" s="395"/>
      <c r="AG1276" s="395"/>
      <c r="AH1276" s="395"/>
      <c r="AI1276" s="395"/>
      <c r="AJ1276" s="395"/>
      <c r="AK1276" s="395"/>
      <c r="AL1276" s="395"/>
      <c r="AM1276" s="395"/>
      <c r="AN1276" s="395"/>
      <c r="AO1276" s="395"/>
    </row>
    <row r="1277">
      <c r="A1277" s="398"/>
      <c r="B1277" s="398"/>
      <c r="C1277" s="398"/>
      <c r="D1277" s="398"/>
      <c r="E1277" s="399"/>
      <c r="F1277" s="400"/>
      <c r="G1277" s="399"/>
      <c r="H1277" s="400"/>
      <c r="I1277" s="400"/>
      <c r="J1277" s="400"/>
      <c r="K1277" s="400"/>
      <c r="L1277" s="400"/>
      <c r="M1277" s="400"/>
      <c r="N1277" s="400"/>
      <c r="O1277" s="400"/>
      <c r="P1277" s="400"/>
      <c r="Q1277" s="400"/>
      <c r="R1277" s="398"/>
      <c r="S1277" s="401"/>
      <c r="T1277" s="401"/>
      <c r="U1277" s="398"/>
      <c r="V1277" s="398"/>
      <c r="W1277" s="398"/>
      <c r="X1277" s="398"/>
      <c r="Y1277" s="402"/>
      <c r="Z1277" s="403"/>
      <c r="AA1277" s="404"/>
      <c r="AB1277" s="405"/>
      <c r="AC1277" s="405"/>
      <c r="AD1277" s="406"/>
      <c r="AE1277" s="395"/>
      <c r="AF1277" s="395"/>
      <c r="AG1277" s="395"/>
      <c r="AH1277" s="395"/>
      <c r="AI1277" s="395"/>
      <c r="AJ1277" s="395"/>
      <c r="AK1277" s="395"/>
      <c r="AL1277" s="395"/>
      <c r="AM1277" s="395"/>
      <c r="AN1277" s="395"/>
      <c r="AO1277" s="395"/>
    </row>
    <row r="1278">
      <c r="A1278" s="398"/>
      <c r="B1278" s="398"/>
      <c r="C1278" s="398"/>
      <c r="D1278" s="398"/>
      <c r="E1278" s="399"/>
      <c r="F1278" s="400"/>
      <c r="G1278" s="399"/>
      <c r="H1278" s="400"/>
      <c r="I1278" s="400"/>
      <c r="J1278" s="400"/>
      <c r="K1278" s="400"/>
      <c r="L1278" s="400"/>
      <c r="M1278" s="400"/>
      <c r="N1278" s="400"/>
      <c r="O1278" s="400"/>
      <c r="P1278" s="400"/>
      <c r="Q1278" s="400"/>
      <c r="R1278" s="398"/>
      <c r="S1278" s="401"/>
      <c r="T1278" s="401"/>
      <c r="U1278" s="398"/>
      <c r="V1278" s="398"/>
      <c r="W1278" s="398"/>
      <c r="X1278" s="398"/>
      <c r="Y1278" s="402"/>
      <c r="Z1278" s="403"/>
      <c r="AA1278" s="404"/>
      <c r="AB1278" s="405"/>
      <c r="AC1278" s="405"/>
      <c r="AD1278" s="406"/>
      <c r="AE1278" s="395"/>
      <c r="AF1278" s="395"/>
      <c r="AG1278" s="395"/>
      <c r="AH1278" s="395"/>
      <c r="AI1278" s="395"/>
      <c r="AJ1278" s="395"/>
      <c r="AK1278" s="395"/>
      <c r="AL1278" s="395"/>
      <c r="AM1278" s="395"/>
      <c r="AN1278" s="395"/>
      <c r="AO1278" s="395"/>
    </row>
    <row r="1279">
      <c r="A1279" s="398"/>
      <c r="B1279" s="398"/>
      <c r="C1279" s="398"/>
      <c r="D1279" s="398"/>
      <c r="E1279" s="399"/>
      <c r="F1279" s="400"/>
      <c r="G1279" s="399"/>
      <c r="H1279" s="400"/>
      <c r="I1279" s="400"/>
      <c r="J1279" s="400"/>
      <c r="K1279" s="400"/>
      <c r="L1279" s="400"/>
      <c r="M1279" s="400"/>
      <c r="N1279" s="400"/>
      <c r="O1279" s="400"/>
      <c r="P1279" s="400"/>
      <c r="Q1279" s="400"/>
      <c r="R1279" s="398"/>
      <c r="S1279" s="401"/>
      <c r="T1279" s="401"/>
      <c r="U1279" s="398"/>
      <c r="V1279" s="398"/>
      <c r="W1279" s="398"/>
      <c r="X1279" s="398"/>
      <c r="Y1279" s="402"/>
      <c r="Z1279" s="403"/>
      <c r="AA1279" s="404"/>
      <c r="AB1279" s="405"/>
      <c r="AC1279" s="405"/>
      <c r="AD1279" s="406"/>
      <c r="AE1279" s="395"/>
      <c r="AF1279" s="395"/>
      <c r="AG1279" s="395"/>
      <c r="AH1279" s="395"/>
      <c r="AI1279" s="395"/>
      <c r="AJ1279" s="395"/>
      <c r="AK1279" s="395"/>
      <c r="AL1279" s="395"/>
      <c r="AM1279" s="395"/>
      <c r="AN1279" s="395"/>
      <c r="AO1279" s="395"/>
    </row>
    <row r="1280">
      <c r="A1280" s="398"/>
      <c r="B1280" s="398"/>
      <c r="C1280" s="398"/>
      <c r="D1280" s="398"/>
      <c r="E1280" s="399"/>
      <c r="F1280" s="400"/>
      <c r="G1280" s="399"/>
      <c r="H1280" s="400"/>
      <c r="I1280" s="400"/>
      <c r="J1280" s="400"/>
      <c r="K1280" s="400"/>
      <c r="L1280" s="400"/>
      <c r="M1280" s="400"/>
      <c r="N1280" s="400"/>
      <c r="O1280" s="400"/>
      <c r="P1280" s="400"/>
      <c r="Q1280" s="400"/>
      <c r="R1280" s="398"/>
      <c r="S1280" s="401"/>
      <c r="T1280" s="401"/>
      <c r="U1280" s="398"/>
      <c r="V1280" s="398"/>
      <c r="W1280" s="398"/>
      <c r="X1280" s="398"/>
      <c r="Y1280" s="402"/>
      <c r="Z1280" s="403"/>
      <c r="AA1280" s="404"/>
      <c r="AB1280" s="405"/>
      <c r="AC1280" s="405"/>
      <c r="AD1280" s="406"/>
      <c r="AE1280" s="395"/>
      <c r="AF1280" s="395"/>
      <c r="AG1280" s="395"/>
      <c r="AH1280" s="395"/>
      <c r="AI1280" s="395"/>
      <c r="AJ1280" s="395"/>
      <c r="AK1280" s="395"/>
      <c r="AL1280" s="395"/>
      <c r="AM1280" s="395"/>
      <c r="AN1280" s="395"/>
      <c r="AO1280" s="395"/>
    </row>
    <row r="1281">
      <c r="A1281" s="398"/>
      <c r="B1281" s="398"/>
      <c r="C1281" s="398"/>
      <c r="D1281" s="398"/>
      <c r="E1281" s="399"/>
      <c r="F1281" s="400"/>
      <c r="G1281" s="399"/>
      <c r="H1281" s="400"/>
      <c r="I1281" s="400"/>
      <c r="J1281" s="400"/>
      <c r="K1281" s="400"/>
      <c r="L1281" s="400"/>
      <c r="M1281" s="400"/>
      <c r="N1281" s="400"/>
      <c r="O1281" s="400"/>
      <c r="P1281" s="400"/>
      <c r="Q1281" s="400"/>
      <c r="R1281" s="398"/>
      <c r="S1281" s="401"/>
      <c r="T1281" s="401"/>
      <c r="U1281" s="398"/>
      <c r="V1281" s="398"/>
      <c r="W1281" s="398"/>
      <c r="X1281" s="398"/>
      <c r="Y1281" s="402"/>
      <c r="Z1281" s="403"/>
      <c r="AA1281" s="404"/>
      <c r="AB1281" s="405"/>
      <c r="AC1281" s="405"/>
      <c r="AD1281" s="406"/>
      <c r="AE1281" s="395"/>
      <c r="AF1281" s="395"/>
      <c r="AG1281" s="395"/>
      <c r="AH1281" s="395"/>
      <c r="AI1281" s="395"/>
      <c r="AJ1281" s="395"/>
      <c r="AK1281" s="395"/>
      <c r="AL1281" s="395"/>
      <c r="AM1281" s="395"/>
      <c r="AN1281" s="395"/>
      <c r="AO1281" s="395"/>
    </row>
    <row r="1282">
      <c r="A1282" s="398"/>
      <c r="B1282" s="398"/>
      <c r="C1282" s="398"/>
      <c r="D1282" s="398"/>
      <c r="E1282" s="399"/>
      <c r="F1282" s="400"/>
      <c r="G1282" s="399"/>
      <c r="H1282" s="400"/>
      <c r="I1282" s="400"/>
      <c r="J1282" s="400"/>
      <c r="K1282" s="400"/>
      <c r="L1282" s="400"/>
      <c r="M1282" s="400"/>
      <c r="N1282" s="400"/>
      <c r="O1282" s="400"/>
      <c r="P1282" s="400"/>
      <c r="Q1282" s="400"/>
      <c r="R1282" s="398"/>
      <c r="S1282" s="401"/>
      <c r="T1282" s="401"/>
      <c r="U1282" s="398"/>
      <c r="V1282" s="398"/>
      <c r="W1282" s="398"/>
      <c r="X1282" s="398"/>
      <c r="Y1282" s="402"/>
      <c r="Z1282" s="403"/>
      <c r="AA1282" s="404"/>
      <c r="AB1282" s="405"/>
      <c r="AC1282" s="405"/>
      <c r="AD1282" s="406"/>
      <c r="AE1282" s="395"/>
      <c r="AF1282" s="395"/>
      <c r="AG1282" s="395"/>
      <c r="AH1282" s="395"/>
      <c r="AI1282" s="395"/>
      <c r="AJ1282" s="395"/>
      <c r="AK1282" s="395"/>
      <c r="AL1282" s="395"/>
      <c r="AM1282" s="395"/>
      <c r="AN1282" s="395"/>
      <c r="AO1282" s="395"/>
    </row>
    <row r="1283">
      <c r="A1283" s="398"/>
      <c r="B1283" s="398"/>
      <c r="C1283" s="398"/>
      <c r="D1283" s="398"/>
      <c r="E1283" s="399"/>
      <c r="F1283" s="400"/>
      <c r="G1283" s="399"/>
      <c r="H1283" s="400"/>
      <c r="I1283" s="400"/>
      <c r="J1283" s="400"/>
      <c r="K1283" s="400"/>
      <c r="L1283" s="400"/>
      <c r="M1283" s="400"/>
      <c r="N1283" s="400"/>
      <c r="O1283" s="400"/>
      <c r="P1283" s="400"/>
      <c r="Q1283" s="400"/>
      <c r="R1283" s="398"/>
      <c r="S1283" s="401"/>
      <c r="T1283" s="401"/>
      <c r="U1283" s="398"/>
      <c r="V1283" s="398"/>
      <c r="W1283" s="398"/>
      <c r="X1283" s="398"/>
      <c r="Y1283" s="402"/>
      <c r="Z1283" s="403"/>
      <c r="AA1283" s="404"/>
      <c r="AB1283" s="405"/>
      <c r="AC1283" s="405"/>
      <c r="AD1283" s="406"/>
      <c r="AE1283" s="395"/>
      <c r="AF1283" s="395"/>
      <c r="AG1283" s="395"/>
      <c r="AH1283" s="395"/>
      <c r="AI1283" s="395"/>
      <c r="AJ1283" s="395"/>
      <c r="AK1283" s="395"/>
      <c r="AL1283" s="395"/>
      <c r="AM1283" s="395"/>
      <c r="AN1283" s="395"/>
      <c r="AO1283" s="395"/>
    </row>
    <row r="1284">
      <c r="A1284" s="398"/>
      <c r="B1284" s="398"/>
      <c r="C1284" s="398"/>
      <c r="D1284" s="398"/>
      <c r="E1284" s="399"/>
      <c r="F1284" s="400"/>
      <c r="G1284" s="399"/>
      <c r="H1284" s="400"/>
      <c r="I1284" s="400"/>
      <c r="J1284" s="400"/>
      <c r="K1284" s="400"/>
      <c r="L1284" s="400"/>
      <c r="M1284" s="400"/>
      <c r="N1284" s="400"/>
      <c r="O1284" s="400"/>
      <c r="P1284" s="400"/>
      <c r="Q1284" s="400"/>
      <c r="R1284" s="398"/>
      <c r="S1284" s="401"/>
      <c r="T1284" s="401"/>
      <c r="U1284" s="398"/>
      <c r="V1284" s="398"/>
      <c r="W1284" s="398"/>
      <c r="X1284" s="398"/>
      <c r="Y1284" s="402"/>
      <c r="Z1284" s="403"/>
      <c r="AA1284" s="404"/>
      <c r="AB1284" s="405"/>
      <c r="AC1284" s="405"/>
      <c r="AD1284" s="406"/>
      <c r="AE1284" s="395"/>
      <c r="AF1284" s="395"/>
      <c r="AG1284" s="395"/>
      <c r="AH1284" s="395"/>
      <c r="AI1284" s="395"/>
      <c r="AJ1284" s="395"/>
      <c r="AK1284" s="395"/>
      <c r="AL1284" s="395"/>
      <c r="AM1284" s="395"/>
      <c r="AN1284" s="395"/>
      <c r="AO1284" s="395"/>
    </row>
    <row r="1285">
      <c r="A1285" s="398"/>
      <c r="B1285" s="398"/>
      <c r="C1285" s="398"/>
      <c r="D1285" s="398"/>
      <c r="E1285" s="399"/>
      <c r="F1285" s="400"/>
      <c r="G1285" s="399"/>
      <c r="H1285" s="400"/>
      <c r="I1285" s="400"/>
      <c r="J1285" s="400"/>
      <c r="K1285" s="400"/>
      <c r="L1285" s="400"/>
      <c r="M1285" s="400"/>
      <c r="N1285" s="400"/>
      <c r="O1285" s="400"/>
      <c r="P1285" s="400"/>
      <c r="Q1285" s="400"/>
      <c r="R1285" s="398"/>
      <c r="S1285" s="401"/>
      <c r="T1285" s="401"/>
      <c r="U1285" s="398"/>
      <c r="V1285" s="398"/>
      <c r="W1285" s="398"/>
      <c r="X1285" s="398"/>
      <c r="Y1285" s="402"/>
      <c r="Z1285" s="403"/>
      <c r="AA1285" s="404"/>
      <c r="AB1285" s="405"/>
      <c r="AC1285" s="405"/>
      <c r="AD1285" s="406"/>
      <c r="AE1285" s="395"/>
      <c r="AF1285" s="395"/>
      <c r="AG1285" s="395"/>
      <c r="AH1285" s="395"/>
      <c r="AI1285" s="395"/>
      <c r="AJ1285" s="395"/>
      <c r="AK1285" s="395"/>
      <c r="AL1285" s="395"/>
      <c r="AM1285" s="395"/>
      <c r="AN1285" s="395"/>
      <c r="AO1285" s="395"/>
    </row>
    <row r="1286">
      <c r="A1286" s="398"/>
      <c r="B1286" s="398"/>
      <c r="C1286" s="398"/>
      <c r="D1286" s="398"/>
      <c r="E1286" s="399"/>
      <c r="F1286" s="400"/>
      <c r="G1286" s="399"/>
      <c r="H1286" s="400"/>
      <c r="I1286" s="400"/>
      <c r="J1286" s="400"/>
      <c r="K1286" s="400"/>
      <c r="L1286" s="400"/>
      <c r="M1286" s="400"/>
      <c r="N1286" s="400"/>
      <c r="O1286" s="400"/>
      <c r="P1286" s="400"/>
      <c r="Q1286" s="400"/>
      <c r="R1286" s="398"/>
      <c r="S1286" s="401"/>
      <c r="T1286" s="401"/>
      <c r="U1286" s="398"/>
      <c r="V1286" s="398"/>
      <c r="W1286" s="398"/>
      <c r="X1286" s="398"/>
      <c r="Y1286" s="402"/>
      <c r="Z1286" s="403"/>
      <c r="AA1286" s="404"/>
      <c r="AB1286" s="405"/>
      <c r="AC1286" s="405"/>
      <c r="AD1286" s="406"/>
      <c r="AE1286" s="395"/>
      <c r="AF1286" s="395"/>
      <c r="AG1286" s="395"/>
      <c r="AH1286" s="395"/>
      <c r="AI1286" s="395"/>
      <c r="AJ1286" s="395"/>
      <c r="AK1286" s="395"/>
      <c r="AL1286" s="395"/>
      <c r="AM1286" s="395"/>
      <c r="AN1286" s="395"/>
      <c r="AO1286" s="395"/>
    </row>
    <row r="1287">
      <c r="A1287" s="398"/>
      <c r="B1287" s="398"/>
      <c r="C1287" s="398"/>
      <c r="D1287" s="398"/>
      <c r="E1287" s="399"/>
      <c r="F1287" s="400"/>
      <c r="G1287" s="399"/>
      <c r="H1287" s="400"/>
      <c r="I1287" s="400"/>
      <c r="J1287" s="400"/>
      <c r="K1287" s="400"/>
      <c r="L1287" s="400"/>
      <c r="M1287" s="400"/>
      <c r="N1287" s="400"/>
      <c r="O1287" s="400"/>
      <c r="P1287" s="400"/>
      <c r="Q1287" s="400"/>
      <c r="R1287" s="398"/>
      <c r="S1287" s="401"/>
      <c r="T1287" s="401"/>
      <c r="U1287" s="398"/>
      <c r="V1287" s="398"/>
      <c r="W1287" s="398"/>
      <c r="X1287" s="398"/>
      <c r="Y1287" s="402"/>
      <c r="Z1287" s="403"/>
      <c r="AA1287" s="404"/>
      <c r="AB1287" s="405"/>
      <c r="AC1287" s="405"/>
      <c r="AD1287" s="406"/>
      <c r="AE1287" s="395"/>
      <c r="AF1287" s="395"/>
      <c r="AG1287" s="395"/>
      <c r="AH1287" s="395"/>
      <c r="AI1287" s="395"/>
      <c r="AJ1287" s="395"/>
      <c r="AK1287" s="395"/>
      <c r="AL1287" s="395"/>
      <c r="AM1287" s="395"/>
      <c r="AN1287" s="395"/>
      <c r="AO1287" s="395"/>
    </row>
    <row r="1288">
      <c r="A1288" s="398"/>
      <c r="B1288" s="398"/>
      <c r="C1288" s="398"/>
      <c r="D1288" s="398"/>
      <c r="E1288" s="399"/>
      <c r="F1288" s="400"/>
      <c r="G1288" s="399"/>
      <c r="H1288" s="400"/>
      <c r="I1288" s="400"/>
      <c r="J1288" s="400"/>
      <c r="K1288" s="400"/>
      <c r="L1288" s="400"/>
      <c r="M1288" s="400"/>
      <c r="N1288" s="400"/>
      <c r="O1288" s="400"/>
      <c r="P1288" s="400"/>
      <c r="Q1288" s="400"/>
      <c r="R1288" s="398"/>
      <c r="S1288" s="401"/>
      <c r="T1288" s="401"/>
      <c r="U1288" s="398"/>
      <c r="V1288" s="398"/>
      <c r="W1288" s="398"/>
      <c r="X1288" s="398"/>
      <c r="Y1288" s="402"/>
      <c r="Z1288" s="403"/>
      <c r="AA1288" s="404"/>
      <c r="AB1288" s="405"/>
      <c r="AC1288" s="405"/>
      <c r="AD1288" s="406"/>
      <c r="AE1288" s="395"/>
      <c r="AF1288" s="395"/>
      <c r="AG1288" s="395"/>
      <c r="AH1288" s="395"/>
      <c r="AI1288" s="395"/>
      <c r="AJ1288" s="395"/>
      <c r="AK1288" s="395"/>
      <c r="AL1288" s="395"/>
      <c r="AM1288" s="395"/>
      <c r="AN1288" s="395"/>
      <c r="AO1288" s="395"/>
    </row>
    <row r="1289">
      <c r="A1289" s="398"/>
      <c r="B1289" s="398"/>
      <c r="C1289" s="398"/>
      <c r="D1289" s="398"/>
      <c r="E1289" s="399"/>
      <c r="F1289" s="400"/>
      <c r="G1289" s="399"/>
      <c r="H1289" s="400"/>
      <c r="I1289" s="400"/>
      <c r="J1289" s="400"/>
      <c r="K1289" s="400"/>
      <c r="L1289" s="400"/>
      <c r="M1289" s="400"/>
      <c r="N1289" s="400"/>
      <c r="O1289" s="400"/>
      <c r="P1289" s="400"/>
      <c r="Q1289" s="400"/>
      <c r="R1289" s="398"/>
      <c r="S1289" s="401"/>
      <c r="T1289" s="401"/>
      <c r="U1289" s="398"/>
      <c r="V1289" s="398"/>
      <c r="W1289" s="398"/>
      <c r="X1289" s="398"/>
      <c r="Y1289" s="402"/>
      <c r="Z1289" s="403"/>
      <c r="AA1289" s="404"/>
      <c r="AB1289" s="405"/>
      <c r="AC1289" s="405"/>
      <c r="AD1289" s="406"/>
      <c r="AE1289" s="395"/>
      <c r="AF1289" s="395"/>
      <c r="AG1289" s="395"/>
      <c r="AH1289" s="395"/>
      <c r="AI1289" s="395"/>
      <c r="AJ1289" s="395"/>
      <c r="AK1289" s="395"/>
      <c r="AL1289" s="395"/>
      <c r="AM1289" s="395"/>
      <c r="AN1289" s="395"/>
      <c r="AO1289" s="395"/>
    </row>
    <row r="1290">
      <c r="A1290" s="398"/>
      <c r="B1290" s="398"/>
      <c r="C1290" s="398"/>
      <c r="D1290" s="398"/>
      <c r="E1290" s="399"/>
      <c r="F1290" s="400"/>
      <c r="G1290" s="399"/>
      <c r="H1290" s="400"/>
      <c r="I1290" s="400"/>
      <c r="J1290" s="400"/>
      <c r="K1290" s="400"/>
      <c r="L1290" s="400"/>
      <c r="M1290" s="400"/>
      <c r="N1290" s="400"/>
      <c r="O1290" s="400"/>
      <c r="P1290" s="400"/>
      <c r="Q1290" s="400"/>
      <c r="R1290" s="398"/>
      <c r="S1290" s="401"/>
      <c r="T1290" s="401"/>
      <c r="U1290" s="398"/>
      <c r="V1290" s="398"/>
      <c r="W1290" s="398"/>
      <c r="X1290" s="398"/>
      <c r="Y1290" s="402"/>
      <c r="Z1290" s="403"/>
      <c r="AA1290" s="404"/>
      <c r="AB1290" s="405"/>
      <c r="AC1290" s="405"/>
      <c r="AD1290" s="406"/>
      <c r="AE1290" s="395"/>
      <c r="AF1290" s="395"/>
      <c r="AG1290" s="395"/>
      <c r="AH1290" s="395"/>
      <c r="AI1290" s="395"/>
      <c r="AJ1290" s="395"/>
      <c r="AK1290" s="395"/>
      <c r="AL1290" s="395"/>
      <c r="AM1290" s="395"/>
      <c r="AN1290" s="395"/>
      <c r="AO1290" s="395"/>
    </row>
    <row r="1291">
      <c r="A1291" s="398"/>
      <c r="B1291" s="398"/>
      <c r="C1291" s="398"/>
      <c r="D1291" s="398"/>
      <c r="E1291" s="399"/>
      <c r="F1291" s="400"/>
      <c r="G1291" s="399"/>
      <c r="H1291" s="400"/>
      <c r="I1291" s="400"/>
      <c r="J1291" s="400"/>
      <c r="K1291" s="400"/>
      <c r="L1291" s="400"/>
      <c r="M1291" s="400"/>
      <c r="N1291" s="400"/>
      <c r="O1291" s="400"/>
      <c r="P1291" s="400"/>
      <c r="Q1291" s="400"/>
      <c r="R1291" s="398"/>
      <c r="S1291" s="401"/>
      <c r="T1291" s="401"/>
      <c r="U1291" s="398"/>
      <c r="V1291" s="398"/>
      <c r="W1291" s="398"/>
      <c r="X1291" s="398"/>
      <c r="Y1291" s="402"/>
      <c r="Z1291" s="403"/>
      <c r="AA1291" s="404"/>
      <c r="AB1291" s="405"/>
      <c r="AC1291" s="405"/>
      <c r="AD1291" s="406"/>
      <c r="AE1291" s="395"/>
      <c r="AF1291" s="395"/>
      <c r="AG1291" s="395"/>
      <c r="AH1291" s="395"/>
      <c r="AI1291" s="395"/>
      <c r="AJ1291" s="395"/>
      <c r="AK1291" s="395"/>
      <c r="AL1291" s="395"/>
      <c r="AM1291" s="395"/>
      <c r="AN1291" s="395"/>
      <c r="AO1291" s="395"/>
    </row>
    <row r="1292">
      <c r="A1292" s="398"/>
      <c r="B1292" s="398"/>
      <c r="C1292" s="398"/>
      <c r="D1292" s="398"/>
      <c r="E1292" s="399"/>
      <c r="F1292" s="400"/>
      <c r="G1292" s="399"/>
      <c r="H1292" s="400"/>
      <c r="I1292" s="400"/>
      <c r="J1292" s="400"/>
      <c r="K1292" s="400"/>
      <c r="L1292" s="400"/>
      <c r="M1292" s="400"/>
      <c r="N1292" s="400"/>
      <c r="O1292" s="400"/>
      <c r="P1292" s="400"/>
      <c r="Q1292" s="400"/>
      <c r="R1292" s="398"/>
      <c r="S1292" s="401"/>
      <c r="T1292" s="401"/>
      <c r="U1292" s="398"/>
      <c r="V1292" s="398"/>
      <c r="W1292" s="398"/>
      <c r="X1292" s="398"/>
      <c r="Y1292" s="402"/>
      <c r="Z1292" s="403"/>
      <c r="AA1292" s="404"/>
      <c r="AB1292" s="405"/>
      <c r="AC1292" s="405"/>
      <c r="AD1292" s="406"/>
      <c r="AE1292" s="395"/>
      <c r="AF1292" s="395"/>
      <c r="AG1292" s="395"/>
      <c r="AH1292" s="395"/>
      <c r="AI1292" s="395"/>
      <c r="AJ1292" s="395"/>
      <c r="AK1292" s="395"/>
      <c r="AL1292" s="395"/>
      <c r="AM1292" s="395"/>
      <c r="AN1292" s="395"/>
      <c r="AO1292" s="395"/>
    </row>
    <row r="1293">
      <c r="A1293" s="398"/>
      <c r="B1293" s="398"/>
      <c r="C1293" s="398"/>
      <c r="D1293" s="398"/>
      <c r="E1293" s="399"/>
      <c r="F1293" s="400"/>
      <c r="G1293" s="399"/>
      <c r="H1293" s="400"/>
      <c r="I1293" s="400"/>
      <c r="J1293" s="400"/>
      <c r="K1293" s="400"/>
      <c r="L1293" s="400"/>
      <c r="M1293" s="400"/>
      <c r="N1293" s="400"/>
      <c r="O1293" s="400"/>
      <c r="P1293" s="400"/>
      <c r="Q1293" s="400"/>
      <c r="R1293" s="398"/>
      <c r="S1293" s="401"/>
      <c r="T1293" s="401"/>
      <c r="U1293" s="398"/>
      <c r="V1293" s="398"/>
      <c r="W1293" s="398"/>
      <c r="X1293" s="398"/>
      <c r="Y1293" s="402"/>
      <c r="Z1293" s="403"/>
      <c r="AA1293" s="404"/>
      <c r="AB1293" s="405"/>
      <c r="AC1293" s="405"/>
      <c r="AD1293" s="406"/>
      <c r="AE1293" s="395"/>
      <c r="AF1293" s="395"/>
      <c r="AG1293" s="395"/>
      <c r="AH1293" s="395"/>
      <c r="AI1293" s="395"/>
      <c r="AJ1293" s="395"/>
      <c r="AK1293" s="395"/>
      <c r="AL1293" s="395"/>
      <c r="AM1293" s="395"/>
      <c r="AN1293" s="395"/>
      <c r="AO1293" s="395"/>
    </row>
    <row r="1294">
      <c r="A1294" s="398"/>
      <c r="B1294" s="398"/>
      <c r="C1294" s="398"/>
      <c r="D1294" s="398"/>
      <c r="E1294" s="399"/>
      <c r="F1294" s="400"/>
      <c r="G1294" s="399"/>
      <c r="H1294" s="400"/>
      <c r="I1294" s="400"/>
      <c r="J1294" s="400"/>
      <c r="K1294" s="400"/>
      <c r="L1294" s="400"/>
      <c r="M1294" s="400"/>
      <c r="N1294" s="400"/>
      <c r="O1294" s="400"/>
      <c r="P1294" s="400"/>
      <c r="Q1294" s="400"/>
      <c r="R1294" s="398"/>
      <c r="S1294" s="401"/>
      <c r="T1294" s="401"/>
      <c r="U1294" s="398"/>
      <c r="V1294" s="398"/>
      <c r="W1294" s="398"/>
      <c r="X1294" s="398"/>
      <c r="Y1294" s="402"/>
      <c r="Z1294" s="403"/>
      <c r="AA1294" s="404"/>
      <c r="AB1294" s="405"/>
      <c r="AC1294" s="405"/>
      <c r="AD1294" s="406"/>
      <c r="AE1294" s="395"/>
      <c r="AF1294" s="395"/>
      <c r="AG1294" s="395"/>
      <c r="AH1294" s="395"/>
      <c r="AI1294" s="395"/>
      <c r="AJ1294" s="395"/>
      <c r="AK1294" s="395"/>
      <c r="AL1294" s="395"/>
      <c r="AM1294" s="395"/>
      <c r="AN1294" s="395"/>
      <c r="AO1294" s="395"/>
    </row>
    <row r="1295">
      <c r="A1295" s="398"/>
      <c r="B1295" s="398"/>
      <c r="C1295" s="398"/>
      <c r="D1295" s="398"/>
      <c r="E1295" s="399"/>
      <c r="F1295" s="400"/>
      <c r="G1295" s="399"/>
      <c r="H1295" s="400"/>
      <c r="I1295" s="400"/>
      <c r="J1295" s="400"/>
      <c r="K1295" s="400"/>
      <c r="L1295" s="400"/>
      <c r="M1295" s="400"/>
      <c r="N1295" s="400"/>
      <c r="O1295" s="400"/>
      <c r="P1295" s="400"/>
      <c r="Q1295" s="400"/>
      <c r="R1295" s="398"/>
      <c r="S1295" s="401"/>
      <c r="T1295" s="401"/>
      <c r="U1295" s="398"/>
      <c r="V1295" s="398"/>
      <c r="W1295" s="398"/>
      <c r="X1295" s="398"/>
      <c r="Y1295" s="402"/>
      <c r="Z1295" s="403"/>
      <c r="AA1295" s="404"/>
      <c r="AB1295" s="405"/>
      <c r="AC1295" s="405"/>
      <c r="AD1295" s="406"/>
      <c r="AE1295" s="395"/>
      <c r="AF1295" s="395"/>
      <c r="AG1295" s="395"/>
      <c r="AH1295" s="395"/>
      <c r="AI1295" s="395"/>
      <c r="AJ1295" s="395"/>
      <c r="AK1295" s="395"/>
      <c r="AL1295" s="395"/>
      <c r="AM1295" s="395"/>
      <c r="AN1295" s="395"/>
      <c r="AO1295" s="395"/>
    </row>
    <row r="1296">
      <c r="A1296" s="398"/>
      <c r="B1296" s="398"/>
      <c r="C1296" s="398"/>
      <c r="D1296" s="398"/>
      <c r="E1296" s="399"/>
      <c r="F1296" s="400"/>
      <c r="G1296" s="399"/>
      <c r="H1296" s="400"/>
      <c r="I1296" s="400"/>
      <c r="J1296" s="400"/>
      <c r="K1296" s="400"/>
      <c r="L1296" s="400"/>
      <c r="M1296" s="400"/>
      <c r="N1296" s="400"/>
      <c r="O1296" s="400"/>
      <c r="P1296" s="400"/>
      <c r="Q1296" s="400"/>
      <c r="R1296" s="398"/>
      <c r="S1296" s="401"/>
      <c r="T1296" s="401"/>
      <c r="U1296" s="398"/>
      <c r="V1296" s="398"/>
      <c r="W1296" s="398"/>
      <c r="X1296" s="398"/>
      <c r="Y1296" s="402"/>
      <c r="Z1296" s="403"/>
      <c r="AA1296" s="404"/>
      <c r="AB1296" s="405"/>
      <c r="AC1296" s="405"/>
      <c r="AD1296" s="406"/>
      <c r="AE1296" s="395"/>
      <c r="AF1296" s="395"/>
      <c r="AG1296" s="395"/>
      <c r="AH1296" s="395"/>
      <c r="AI1296" s="395"/>
      <c r="AJ1296" s="395"/>
      <c r="AK1296" s="395"/>
      <c r="AL1296" s="395"/>
      <c r="AM1296" s="395"/>
      <c r="AN1296" s="395"/>
      <c r="AO1296" s="395"/>
    </row>
    <row r="1297">
      <c r="A1297" s="398"/>
      <c r="B1297" s="398"/>
      <c r="C1297" s="398"/>
      <c r="D1297" s="398"/>
      <c r="E1297" s="399"/>
      <c r="F1297" s="400"/>
      <c r="G1297" s="399"/>
      <c r="H1297" s="400"/>
      <c r="I1297" s="400"/>
      <c r="J1297" s="400"/>
      <c r="K1297" s="400"/>
      <c r="L1297" s="400"/>
      <c r="M1297" s="400"/>
      <c r="N1297" s="400"/>
      <c r="O1297" s="400"/>
      <c r="P1297" s="400"/>
      <c r="Q1297" s="400"/>
      <c r="R1297" s="398"/>
      <c r="S1297" s="401"/>
      <c r="T1297" s="401"/>
      <c r="U1297" s="398"/>
      <c r="V1297" s="398"/>
      <c r="W1297" s="398"/>
      <c r="X1297" s="398"/>
      <c r="Y1297" s="402"/>
      <c r="Z1297" s="403"/>
      <c r="AA1297" s="404"/>
      <c r="AB1297" s="405"/>
      <c r="AC1297" s="405"/>
      <c r="AD1297" s="406"/>
      <c r="AE1297" s="395"/>
      <c r="AF1297" s="395"/>
      <c r="AG1297" s="395"/>
      <c r="AH1297" s="395"/>
      <c r="AI1297" s="395"/>
      <c r="AJ1297" s="395"/>
      <c r="AK1297" s="395"/>
      <c r="AL1297" s="395"/>
      <c r="AM1297" s="395"/>
      <c r="AN1297" s="395"/>
      <c r="AO1297" s="395"/>
    </row>
    <row r="1298">
      <c r="A1298" s="398"/>
      <c r="B1298" s="398"/>
      <c r="C1298" s="398"/>
      <c r="D1298" s="398"/>
      <c r="E1298" s="399"/>
      <c r="F1298" s="400"/>
      <c r="G1298" s="399"/>
      <c r="H1298" s="400"/>
      <c r="I1298" s="400"/>
      <c r="J1298" s="400"/>
      <c r="K1298" s="400"/>
      <c r="L1298" s="400"/>
      <c r="M1298" s="400"/>
      <c r="N1298" s="400"/>
      <c r="O1298" s="400"/>
      <c r="P1298" s="400"/>
      <c r="Q1298" s="400"/>
      <c r="R1298" s="398"/>
      <c r="S1298" s="401"/>
      <c r="T1298" s="401"/>
      <c r="U1298" s="398"/>
      <c r="V1298" s="398"/>
      <c r="W1298" s="398"/>
      <c r="X1298" s="398"/>
      <c r="Y1298" s="402"/>
      <c r="Z1298" s="403"/>
      <c r="AA1298" s="404"/>
      <c r="AB1298" s="405"/>
      <c r="AC1298" s="405"/>
      <c r="AD1298" s="406"/>
      <c r="AE1298" s="395"/>
      <c r="AF1298" s="395"/>
      <c r="AG1298" s="395"/>
      <c r="AH1298" s="395"/>
      <c r="AI1298" s="395"/>
      <c r="AJ1298" s="395"/>
      <c r="AK1298" s="395"/>
      <c r="AL1298" s="395"/>
      <c r="AM1298" s="395"/>
      <c r="AN1298" s="395"/>
      <c r="AO1298" s="395"/>
    </row>
    <row r="1299">
      <c r="A1299" s="398"/>
      <c r="B1299" s="398"/>
      <c r="C1299" s="398"/>
      <c r="D1299" s="398"/>
      <c r="E1299" s="399"/>
      <c r="F1299" s="400"/>
      <c r="G1299" s="399"/>
      <c r="H1299" s="400"/>
      <c r="I1299" s="400"/>
      <c r="J1299" s="400"/>
      <c r="K1299" s="400"/>
      <c r="L1299" s="400"/>
      <c r="M1299" s="400"/>
      <c r="N1299" s="400"/>
      <c r="O1299" s="400"/>
      <c r="P1299" s="400"/>
      <c r="Q1299" s="400"/>
      <c r="R1299" s="398"/>
      <c r="S1299" s="401"/>
      <c r="T1299" s="401"/>
      <c r="U1299" s="398"/>
      <c r="V1299" s="398"/>
      <c r="W1299" s="398"/>
      <c r="X1299" s="398"/>
      <c r="Y1299" s="402"/>
      <c r="Z1299" s="403"/>
      <c r="AA1299" s="404"/>
      <c r="AB1299" s="405"/>
      <c r="AC1299" s="405"/>
      <c r="AD1299" s="406"/>
      <c r="AE1299" s="395"/>
      <c r="AF1299" s="395"/>
      <c r="AG1299" s="395"/>
      <c r="AH1299" s="395"/>
      <c r="AI1299" s="395"/>
      <c r="AJ1299" s="395"/>
      <c r="AK1299" s="395"/>
      <c r="AL1299" s="395"/>
      <c r="AM1299" s="395"/>
      <c r="AN1299" s="395"/>
      <c r="AO1299" s="395"/>
    </row>
    <row r="1300">
      <c r="A1300" s="398"/>
      <c r="B1300" s="398"/>
      <c r="C1300" s="398"/>
      <c r="D1300" s="398"/>
      <c r="E1300" s="399"/>
      <c r="F1300" s="400"/>
      <c r="G1300" s="399"/>
      <c r="H1300" s="400"/>
      <c r="I1300" s="400"/>
      <c r="J1300" s="400"/>
      <c r="K1300" s="400"/>
      <c r="L1300" s="400"/>
      <c r="M1300" s="400"/>
      <c r="N1300" s="400"/>
      <c r="O1300" s="400"/>
      <c r="P1300" s="400"/>
      <c r="Q1300" s="400"/>
      <c r="R1300" s="398"/>
      <c r="S1300" s="401"/>
      <c r="T1300" s="401"/>
      <c r="U1300" s="398"/>
      <c r="V1300" s="398"/>
      <c r="W1300" s="398"/>
      <c r="X1300" s="398"/>
      <c r="Y1300" s="402"/>
      <c r="Z1300" s="403"/>
      <c r="AA1300" s="404"/>
      <c r="AB1300" s="405"/>
      <c r="AC1300" s="405"/>
      <c r="AD1300" s="406"/>
      <c r="AE1300" s="395"/>
      <c r="AF1300" s="395"/>
      <c r="AG1300" s="395"/>
      <c r="AH1300" s="395"/>
      <c r="AI1300" s="395"/>
      <c r="AJ1300" s="395"/>
      <c r="AK1300" s="395"/>
      <c r="AL1300" s="395"/>
      <c r="AM1300" s="395"/>
      <c r="AN1300" s="395"/>
      <c r="AO1300" s="395"/>
    </row>
    <row r="1301">
      <c r="A1301" s="398"/>
      <c r="B1301" s="398"/>
      <c r="C1301" s="398"/>
      <c r="D1301" s="398"/>
      <c r="E1301" s="399"/>
      <c r="F1301" s="400"/>
      <c r="G1301" s="399"/>
      <c r="H1301" s="400"/>
      <c r="I1301" s="400"/>
      <c r="J1301" s="400"/>
      <c r="K1301" s="400"/>
      <c r="L1301" s="400"/>
      <c r="M1301" s="400"/>
      <c r="N1301" s="400"/>
      <c r="O1301" s="400"/>
      <c r="P1301" s="400"/>
      <c r="Q1301" s="400"/>
      <c r="R1301" s="398"/>
      <c r="S1301" s="401"/>
      <c r="T1301" s="401"/>
      <c r="U1301" s="398"/>
      <c r="V1301" s="398"/>
      <c r="W1301" s="398"/>
      <c r="X1301" s="398"/>
      <c r="Y1301" s="402"/>
      <c r="Z1301" s="403"/>
      <c r="AA1301" s="404"/>
      <c r="AB1301" s="405"/>
      <c r="AC1301" s="405"/>
      <c r="AD1301" s="406"/>
      <c r="AE1301" s="395"/>
      <c r="AF1301" s="395"/>
      <c r="AG1301" s="395"/>
      <c r="AH1301" s="395"/>
      <c r="AI1301" s="395"/>
      <c r="AJ1301" s="395"/>
      <c r="AK1301" s="395"/>
      <c r="AL1301" s="395"/>
      <c r="AM1301" s="395"/>
      <c r="AN1301" s="395"/>
      <c r="AO1301" s="395"/>
    </row>
    <row r="1302">
      <c r="A1302" s="398"/>
      <c r="B1302" s="398"/>
      <c r="C1302" s="398"/>
      <c r="D1302" s="398"/>
      <c r="E1302" s="399"/>
      <c r="F1302" s="400"/>
      <c r="G1302" s="399"/>
      <c r="H1302" s="400"/>
      <c r="I1302" s="400"/>
      <c r="J1302" s="400"/>
      <c r="K1302" s="400"/>
      <c r="L1302" s="400"/>
      <c r="M1302" s="400"/>
      <c r="N1302" s="400"/>
      <c r="O1302" s="400"/>
      <c r="P1302" s="400"/>
      <c r="Q1302" s="400"/>
      <c r="R1302" s="398"/>
      <c r="S1302" s="401"/>
      <c r="T1302" s="401"/>
      <c r="U1302" s="398"/>
      <c r="V1302" s="398"/>
      <c r="W1302" s="398"/>
      <c r="X1302" s="398"/>
      <c r="Y1302" s="402"/>
      <c r="Z1302" s="403"/>
      <c r="AA1302" s="404"/>
      <c r="AB1302" s="405"/>
      <c r="AC1302" s="405"/>
      <c r="AD1302" s="406"/>
      <c r="AE1302" s="395"/>
      <c r="AF1302" s="395"/>
      <c r="AG1302" s="395"/>
      <c r="AH1302" s="395"/>
      <c r="AI1302" s="395"/>
      <c r="AJ1302" s="395"/>
      <c r="AK1302" s="395"/>
      <c r="AL1302" s="395"/>
      <c r="AM1302" s="395"/>
      <c r="AN1302" s="395"/>
      <c r="AO1302" s="395"/>
    </row>
    <row r="1303">
      <c r="A1303" s="398"/>
      <c r="B1303" s="398"/>
      <c r="C1303" s="398"/>
      <c r="D1303" s="398"/>
      <c r="E1303" s="399"/>
      <c r="F1303" s="400"/>
      <c r="G1303" s="399"/>
      <c r="H1303" s="400"/>
      <c r="I1303" s="400"/>
      <c r="J1303" s="400"/>
      <c r="K1303" s="400"/>
      <c r="L1303" s="400"/>
      <c r="M1303" s="400"/>
      <c r="N1303" s="400"/>
      <c r="O1303" s="400"/>
      <c r="P1303" s="400"/>
      <c r="Q1303" s="400"/>
      <c r="R1303" s="398"/>
      <c r="S1303" s="401"/>
      <c r="T1303" s="401"/>
      <c r="U1303" s="398"/>
      <c r="V1303" s="398"/>
      <c r="W1303" s="398"/>
      <c r="X1303" s="398"/>
      <c r="Y1303" s="402"/>
      <c r="Z1303" s="403"/>
      <c r="AA1303" s="404"/>
      <c r="AB1303" s="405"/>
      <c r="AC1303" s="405"/>
      <c r="AD1303" s="406"/>
      <c r="AE1303" s="395"/>
      <c r="AF1303" s="395"/>
      <c r="AG1303" s="395"/>
      <c r="AH1303" s="395"/>
      <c r="AI1303" s="395"/>
      <c r="AJ1303" s="395"/>
      <c r="AK1303" s="395"/>
      <c r="AL1303" s="395"/>
      <c r="AM1303" s="395"/>
      <c r="AN1303" s="395"/>
      <c r="AO1303" s="395"/>
    </row>
    <row r="1304">
      <c r="A1304" s="398"/>
      <c r="B1304" s="398"/>
      <c r="C1304" s="398"/>
      <c r="D1304" s="398"/>
      <c r="E1304" s="399"/>
      <c r="F1304" s="400"/>
      <c r="G1304" s="399"/>
      <c r="H1304" s="400"/>
      <c r="I1304" s="400"/>
      <c r="J1304" s="400"/>
      <c r="K1304" s="400"/>
      <c r="L1304" s="400"/>
      <c r="M1304" s="400"/>
      <c r="N1304" s="400"/>
      <c r="O1304" s="400"/>
      <c r="P1304" s="400"/>
      <c r="Q1304" s="400"/>
      <c r="R1304" s="398"/>
      <c r="S1304" s="401"/>
      <c r="T1304" s="401"/>
      <c r="U1304" s="398"/>
      <c r="V1304" s="398"/>
      <c r="W1304" s="398"/>
      <c r="X1304" s="398"/>
      <c r="Y1304" s="402"/>
      <c r="Z1304" s="403"/>
      <c r="AA1304" s="404"/>
      <c r="AB1304" s="405"/>
      <c r="AC1304" s="405"/>
      <c r="AD1304" s="406"/>
      <c r="AE1304" s="395"/>
      <c r="AF1304" s="395"/>
      <c r="AG1304" s="395"/>
      <c r="AH1304" s="395"/>
      <c r="AI1304" s="395"/>
      <c r="AJ1304" s="395"/>
      <c r="AK1304" s="395"/>
      <c r="AL1304" s="395"/>
      <c r="AM1304" s="395"/>
      <c r="AN1304" s="395"/>
      <c r="AO1304" s="395"/>
    </row>
    <row r="1305">
      <c r="A1305" s="398"/>
      <c r="B1305" s="398"/>
      <c r="C1305" s="398"/>
      <c r="D1305" s="398"/>
      <c r="E1305" s="399"/>
      <c r="F1305" s="400"/>
      <c r="G1305" s="399"/>
      <c r="H1305" s="400"/>
      <c r="I1305" s="400"/>
      <c r="J1305" s="400"/>
      <c r="K1305" s="400"/>
      <c r="L1305" s="400"/>
      <c r="M1305" s="400"/>
      <c r="N1305" s="400"/>
      <c r="O1305" s="400"/>
      <c r="P1305" s="400"/>
      <c r="Q1305" s="400"/>
      <c r="R1305" s="398"/>
      <c r="S1305" s="401"/>
      <c r="T1305" s="401"/>
      <c r="U1305" s="398"/>
      <c r="V1305" s="398"/>
      <c r="W1305" s="398"/>
      <c r="X1305" s="398"/>
      <c r="Y1305" s="402"/>
      <c r="Z1305" s="403"/>
      <c r="AA1305" s="404"/>
      <c r="AB1305" s="405"/>
      <c r="AC1305" s="405"/>
      <c r="AD1305" s="406"/>
      <c r="AE1305" s="395"/>
      <c r="AF1305" s="395"/>
      <c r="AG1305" s="395"/>
      <c r="AH1305" s="395"/>
      <c r="AI1305" s="395"/>
      <c r="AJ1305" s="395"/>
      <c r="AK1305" s="395"/>
      <c r="AL1305" s="395"/>
      <c r="AM1305" s="395"/>
      <c r="AN1305" s="395"/>
      <c r="AO1305" s="395"/>
    </row>
    <row r="1306">
      <c r="A1306" s="398"/>
      <c r="B1306" s="398"/>
      <c r="C1306" s="398"/>
      <c r="D1306" s="398"/>
      <c r="E1306" s="399"/>
      <c r="F1306" s="400"/>
      <c r="G1306" s="399"/>
      <c r="H1306" s="400"/>
      <c r="I1306" s="400"/>
      <c r="J1306" s="400"/>
      <c r="K1306" s="400"/>
      <c r="L1306" s="400"/>
      <c r="M1306" s="400"/>
      <c r="N1306" s="400"/>
      <c r="O1306" s="400"/>
      <c r="P1306" s="400"/>
      <c r="Q1306" s="400"/>
      <c r="R1306" s="398"/>
      <c r="S1306" s="401"/>
      <c r="T1306" s="401"/>
      <c r="U1306" s="398"/>
      <c r="V1306" s="398"/>
      <c r="W1306" s="398"/>
      <c r="X1306" s="398"/>
      <c r="Y1306" s="402"/>
      <c r="Z1306" s="403"/>
      <c r="AA1306" s="404"/>
      <c r="AB1306" s="405"/>
      <c r="AC1306" s="405"/>
      <c r="AD1306" s="406"/>
      <c r="AE1306" s="395"/>
      <c r="AF1306" s="395"/>
      <c r="AG1306" s="395"/>
      <c r="AH1306" s="395"/>
      <c r="AI1306" s="395"/>
      <c r="AJ1306" s="395"/>
      <c r="AK1306" s="395"/>
      <c r="AL1306" s="395"/>
      <c r="AM1306" s="395"/>
      <c r="AN1306" s="395"/>
      <c r="AO1306" s="395"/>
    </row>
    <row r="1307">
      <c r="A1307" s="398"/>
      <c r="B1307" s="398"/>
      <c r="C1307" s="398"/>
      <c r="D1307" s="398"/>
      <c r="E1307" s="399"/>
      <c r="F1307" s="400"/>
      <c r="G1307" s="399"/>
      <c r="H1307" s="400"/>
      <c r="I1307" s="400"/>
      <c r="J1307" s="400"/>
      <c r="K1307" s="400"/>
      <c r="L1307" s="400"/>
      <c r="M1307" s="400"/>
      <c r="N1307" s="400"/>
      <c r="O1307" s="400"/>
      <c r="P1307" s="400"/>
      <c r="Q1307" s="400"/>
      <c r="R1307" s="398"/>
      <c r="S1307" s="401"/>
      <c r="T1307" s="401"/>
      <c r="U1307" s="398"/>
      <c r="V1307" s="398"/>
      <c r="W1307" s="398"/>
      <c r="X1307" s="398"/>
      <c r="Y1307" s="402"/>
      <c r="Z1307" s="403"/>
      <c r="AA1307" s="404"/>
      <c r="AB1307" s="405"/>
      <c r="AC1307" s="405"/>
      <c r="AD1307" s="406"/>
      <c r="AE1307" s="395"/>
      <c r="AF1307" s="395"/>
      <c r="AG1307" s="395"/>
      <c r="AH1307" s="395"/>
      <c r="AI1307" s="395"/>
      <c r="AJ1307" s="395"/>
      <c r="AK1307" s="395"/>
      <c r="AL1307" s="395"/>
      <c r="AM1307" s="395"/>
      <c r="AN1307" s="395"/>
      <c r="AO1307" s="395"/>
    </row>
    <row r="1308">
      <c r="A1308" s="398"/>
      <c r="B1308" s="398"/>
      <c r="C1308" s="398"/>
      <c r="D1308" s="398"/>
      <c r="E1308" s="399"/>
      <c r="F1308" s="400"/>
      <c r="G1308" s="399"/>
      <c r="H1308" s="400"/>
      <c r="I1308" s="400"/>
      <c r="J1308" s="400"/>
      <c r="K1308" s="400"/>
      <c r="L1308" s="400"/>
      <c r="M1308" s="400"/>
      <c r="N1308" s="400"/>
      <c r="O1308" s="400"/>
      <c r="P1308" s="400"/>
      <c r="Q1308" s="400"/>
      <c r="R1308" s="398"/>
      <c r="S1308" s="401"/>
      <c r="T1308" s="401"/>
      <c r="U1308" s="398"/>
      <c r="V1308" s="398"/>
      <c r="W1308" s="398"/>
      <c r="X1308" s="398"/>
      <c r="Y1308" s="402"/>
      <c r="Z1308" s="403"/>
      <c r="AA1308" s="404"/>
      <c r="AB1308" s="405"/>
      <c r="AC1308" s="405"/>
      <c r="AD1308" s="406"/>
      <c r="AE1308" s="395"/>
      <c r="AF1308" s="395"/>
      <c r="AG1308" s="395"/>
      <c r="AH1308" s="395"/>
      <c r="AI1308" s="395"/>
      <c r="AJ1308" s="395"/>
      <c r="AK1308" s="395"/>
      <c r="AL1308" s="395"/>
      <c r="AM1308" s="395"/>
      <c r="AN1308" s="395"/>
      <c r="AO1308" s="395"/>
    </row>
    <row r="1309">
      <c r="A1309" s="398"/>
      <c r="B1309" s="398"/>
      <c r="C1309" s="398"/>
      <c r="D1309" s="398"/>
      <c r="E1309" s="399"/>
      <c r="F1309" s="400"/>
      <c r="G1309" s="399"/>
      <c r="H1309" s="400"/>
      <c r="I1309" s="400"/>
      <c r="J1309" s="400"/>
      <c r="K1309" s="400"/>
      <c r="L1309" s="400"/>
      <c r="M1309" s="400"/>
      <c r="N1309" s="400"/>
      <c r="O1309" s="400"/>
      <c r="P1309" s="400"/>
      <c r="Q1309" s="400"/>
      <c r="R1309" s="398"/>
      <c r="S1309" s="401"/>
      <c r="T1309" s="401"/>
      <c r="U1309" s="398"/>
      <c r="V1309" s="398"/>
      <c r="W1309" s="398"/>
      <c r="X1309" s="398"/>
      <c r="Y1309" s="402"/>
      <c r="Z1309" s="403"/>
      <c r="AA1309" s="404"/>
      <c r="AB1309" s="405"/>
      <c r="AC1309" s="405"/>
      <c r="AD1309" s="406"/>
      <c r="AE1309" s="395"/>
      <c r="AF1309" s="395"/>
      <c r="AG1309" s="395"/>
      <c r="AH1309" s="395"/>
      <c r="AI1309" s="395"/>
      <c r="AJ1309" s="395"/>
      <c r="AK1309" s="395"/>
      <c r="AL1309" s="395"/>
      <c r="AM1309" s="395"/>
      <c r="AN1309" s="395"/>
      <c r="AO1309" s="395"/>
    </row>
    <row r="1310">
      <c r="A1310" s="398"/>
      <c r="B1310" s="398"/>
      <c r="C1310" s="398"/>
      <c r="D1310" s="398"/>
      <c r="E1310" s="399"/>
      <c r="F1310" s="400"/>
      <c r="G1310" s="399"/>
      <c r="H1310" s="400"/>
      <c r="I1310" s="400"/>
      <c r="J1310" s="400"/>
      <c r="K1310" s="400"/>
      <c r="L1310" s="400"/>
      <c r="M1310" s="400"/>
      <c r="N1310" s="400"/>
      <c r="O1310" s="400"/>
      <c r="P1310" s="400"/>
      <c r="Q1310" s="400"/>
      <c r="R1310" s="398"/>
      <c r="S1310" s="401"/>
      <c r="T1310" s="401"/>
      <c r="U1310" s="398"/>
      <c r="V1310" s="398"/>
      <c r="W1310" s="398"/>
      <c r="X1310" s="398"/>
      <c r="Y1310" s="402"/>
      <c r="Z1310" s="403"/>
      <c r="AA1310" s="404"/>
      <c r="AB1310" s="405"/>
      <c r="AC1310" s="405"/>
      <c r="AD1310" s="406"/>
      <c r="AE1310" s="395"/>
      <c r="AF1310" s="395"/>
      <c r="AG1310" s="395"/>
      <c r="AH1310" s="395"/>
      <c r="AI1310" s="395"/>
      <c r="AJ1310" s="395"/>
      <c r="AK1310" s="395"/>
      <c r="AL1310" s="395"/>
      <c r="AM1310" s="395"/>
      <c r="AN1310" s="395"/>
      <c r="AO1310" s="395"/>
    </row>
    <row r="1311">
      <c r="A1311" s="398"/>
      <c r="B1311" s="398"/>
      <c r="C1311" s="398"/>
      <c r="D1311" s="398"/>
      <c r="E1311" s="399"/>
      <c r="F1311" s="400"/>
      <c r="G1311" s="399"/>
      <c r="H1311" s="400"/>
      <c r="I1311" s="400"/>
      <c r="J1311" s="400"/>
      <c r="K1311" s="400"/>
      <c r="L1311" s="400"/>
      <c r="M1311" s="400"/>
      <c r="N1311" s="400"/>
      <c r="O1311" s="400"/>
      <c r="P1311" s="400"/>
      <c r="Q1311" s="400"/>
      <c r="R1311" s="398"/>
      <c r="S1311" s="401"/>
      <c r="T1311" s="401"/>
      <c r="U1311" s="398"/>
      <c r="V1311" s="398"/>
      <c r="W1311" s="398"/>
      <c r="X1311" s="398"/>
      <c r="Y1311" s="402"/>
      <c r="Z1311" s="403"/>
      <c r="AA1311" s="404"/>
      <c r="AB1311" s="405"/>
      <c r="AC1311" s="405"/>
      <c r="AD1311" s="406"/>
      <c r="AE1311" s="395"/>
      <c r="AF1311" s="395"/>
      <c r="AG1311" s="395"/>
      <c r="AH1311" s="395"/>
      <c r="AI1311" s="395"/>
      <c r="AJ1311" s="395"/>
      <c r="AK1311" s="395"/>
      <c r="AL1311" s="395"/>
      <c r="AM1311" s="395"/>
      <c r="AN1311" s="395"/>
      <c r="AO1311" s="395"/>
    </row>
    <row r="1312">
      <c r="A1312" s="398"/>
      <c r="B1312" s="398"/>
      <c r="C1312" s="398"/>
      <c r="D1312" s="398"/>
      <c r="E1312" s="399"/>
      <c r="F1312" s="400"/>
      <c r="G1312" s="399"/>
      <c r="H1312" s="400"/>
      <c r="I1312" s="400"/>
      <c r="J1312" s="400"/>
      <c r="K1312" s="400"/>
      <c r="L1312" s="400"/>
      <c r="M1312" s="400"/>
      <c r="N1312" s="400"/>
      <c r="O1312" s="400"/>
      <c r="P1312" s="400"/>
      <c r="Q1312" s="400"/>
      <c r="R1312" s="398"/>
      <c r="S1312" s="401"/>
      <c r="T1312" s="401"/>
      <c r="U1312" s="398"/>
      <c r="V1312" s="398"/>
      <c r="W1312" s="398"/>
      <c r="X1312" s="398"/>
      <c r="Y1312" s="402"/>
      <c r="Z1312" s="403"/>
      <c r="AA1312" s="404"/>
      <c r="AB1312" s="405"/>
      <c r="AC1312" s="405"/>
      <c r="AD1312" s="406"/>
      <c r="AE1312" s="395"/>
      <c r="AF1312" s="395"/>
      <c r="AG1312" s="395"/>
      <c r="AH1312" s="395"/>
      <c r="AI1312" s="395"/>
      <c r="AJ1312" s="395"/>
      <c r="AK1312" s="395"/>
      <c r="AL1312" s="395"/>
      <c r="AM1312" s="395"/>
      <c r="AN1312" s="395"/>
      <c r="AO1312" s="395"/>
    </row>
    <row r="1313">
      <c r="A1313" s="398"/>
      <c r="B1313" s="398"/>
      <c r="C1313" s="398"/>
      <c r="D1313" s="398"/>
      <c r="E1313" s="399"/>
      <c r="F1313" s="400"/>
      <c r="G1313" s="399"/>
      <c r="H1313" s="400"/>
      <c r="I1313" s="400"/>
      <c r="J1313" s="400"/>
      <c r="K1313" s="400"/>
      <c r="L1313" s="400"/>
      <c r="M1313" s="400"/>
      <c r="N1313" s="400"/>
      <c r="O1313" s="400"/>
      <c r="P1313" s="400"/>
      <c r="Q1313" s="400"/>
      <c r="R1313" s="398"/>
      <c r="S1313" s="401"/>
      <c r="T1313" s="401"/>
      <c r="U1313" s="398"/>
      <c r="V1313" s="398"/>
      <c r="W1313" s="398"/>
      <c r="X1313" s="398"/>
      <c r="Y1313" s="402"/>
      <c r="Z1313" s="403"/>
      <c r="AA1313" s="404"/>
      <c r="AB1313" s="405"/>
      <c r="AC1313" s="405"/>
      <c r="AD1313" s="406"/>
      <c r="AE1313" s="395"/>
      <c r="AF1313" s="395"/>
      <c r="AG1313" s="395"/>
      <c r="AH1313" s="395"/>
      <c r="AI1313" s="395"/>
      <c r="AJ1313" s="395"/>
      <c r="AK1313" s="395"/>
      <c r="AL1313" s="395"/>
      <c r="AM1313" s="395"/>
      <c r="AN1313" s="395"/>
      <c r="AO1313" s="395"/>
    </row>
    <row r="1314">
      <c r="A1314" s="398"/>
      <c r="B1314" s="398"/>
      <c r="C1314" s="398"/>
      <c r="D1314" s="398"/>
      <c r="E1314" s="399"/>
      <c r="F1314" s="400"/>
      <c r="G1314" s="399"/>
      <c r="H1314" s="400"/>
      <c r="I1314" s="400"/>
      <c r="J1314" s="400"/>
      <c r="K1314" s="400"/>
      <c r="L1314" s="400"/>
      <c r="M1314" s="400"/>
      <c r="N1314" s="400"/>
      <c r="O1314" s="400"/>
      <c r="P1314" s="400"/>
      <c r="Q1314" s="400"/>
      <c r="R1314" s="398"/>
      <c r="S1314" s="401"/>
      <c r="T1314" s="401"/>
      <c r="U1314" s="398"/>
      <c r="V1314" s="398"/>
      <c r="W1314" s="398"/>
      <c r="X1314" s="398"/>
      <c r="Y1314" s="402"/>
      <c r="Z1314" s="403"/>
      <c r="AA1314" s="404"/>
      <c r="AB1314" s="405"/>
      <c r="AC1314" s="405"/>
      <c r="AD1314" s="406"/>
      <c r="AE1314" s="395"/>
      <c r="AF1314" s="395"/>
      <c r="AG1314" s="395"/>
      <c r="AH1314" s="395"/>
      <c r="AI1314" s="395"/>
      <c r="AJ1314" s="395"/>
      <c r="AK1314" s="395"/>
      <c r="AL1314" s="395"/>
      <c r="AM1314" s="395"/>
      <c r="AN1314" s="395"/>
      <c r="AO1314" s="395"/>
    </row>
    <row r="1315">
      <c r="A1315" s="398"/>
      <c r="B1315" s="398"/>
      <c r="C1315" s="398"/>
      <c r="D1315" s="398"/>
      <c r="E1315" s="399"/>
      <c r="F1315" s="400"/>
      <c r="G1315" s="399"/>
      <c r="H1315" s="400"/>
      <c r="I1315" s="400"/>
      <c r="J1315" s="400"/>
      <c r="K1315" s="400"/>
      <c r="L1315" s="400"/>
      <c r="M1315" s="400"/>
      <c r="N1315" s="400"/>
      <c r="O1315" s="400"/>
      <c r="P1315" s="400"/>
      <c r="Q1315" s="400"/>
      <c r="R1315" s="398"/>
      <c r="S1315" s="401"/>
      <c r="T1315" s="401"/>
      <c r="U1315" s="398"/>
      <c r="V1315" s="398"/>
      <c r="W1315" s="398"/>
      <c r="X1315" s="398"/>
      <c r="Y1315" s="402"/>
      <c r="Z1315" s="403"/>
      <c r="AA1315" s="404"/>
      <c r="AB1315" s="405"/>
      <c r="AC1315" s="405"/>
      <c r="AD1315" s="406"/>
      <c r="AE1315" s="395"/>
      <c r="AF1315" s="395"/>
      <c r="AG1315" s="395"/>
      <c r="AH1315" s="395"/>
      <c r="AI1315" s="395"/>
      <c r="AJ1315" s="395"/>
      <c r="AK1315" s="395"/>
      <c r="AL1315" s="395"/>
      <c r="AM1315" s="395"/>
      <c r="AN1315" s="395"/>
      <c r="AO1315" s="395"/>
    </row>
    <row r="1316">
      <c r="A1316" s="398"/>
      <c r="B1316" s="398"/>
      <c r="C1316" s="398"/>
      <c r="D1316" s="398"/>
      <c r="E1316" s="399"/>
      <c r="F1316" s="400"/>
      <c r="G1316" s="399"/>
      <c r="H1316" s="400"/>
      <c r="I1316" s="400"/>
      <c r="J1316" s="400"/>
      <c r="K1316" s="400"/>
      <c r="L1316" s="400"/>
      <c r="M1316" s="400"/>
      <c r="N1316" s="400"/>
      <c r="O1316" s="400"/>
      <c r="P1316" s="400"/>
      <c r="Q1316" s="400"/>
      <c r="R1316" s="398"/>
      <c r="S1316" s="401"/>
      <c r="T1316" s="401"/>
      <c r="U1316" s="398"/>
      <c r="V1316" s="398"/>
      <c r="W1316" s="398"/>
      <c r="X1316" s="398"/>
      <c r="Y1316" s="402"/>
      <c r="Z1316" s="403"/>
      <c r="AA1316" s="404"/>
      <c r="AB1316" s="405"/>
      <c r="AC1316" s="405"/>
      <c r="AD1316" s="406"/>
      <c r="AE1316" s="395"/>
      <c r="AF1316" s="395"/>
      <c r="AG1316" s="395"/>
      <c r="AH1316" s="395"/>
      <c r="AI1316" s="395"/>
      <c r="AJ1316" s="395"/>
      <c r="AK1316" s="395"/>
      <c r="AL1316" s="395"/>
      <c r="AM1316" s="395"/>
      <c r="AN1316" s="395"/>
      <c r="AO1316" s="395"/>
    </row>
    <row r="1317">
      <c r="A1317" s="398"/>
      <c r="B1317" s="398"/>
      <c r="C1317" s="398"/>
      <c r="D1317" s="398"/>
      <c r="E1317" s="399"/>
      <c r="F1317" s="400"/>
      <c r="G1317" s="399"/>
      <c r="H1317" s="400"/>
      <c r="I1317" s="400"/>
      <c r="J1317" s="400"/>
      <c r="K1317" s="400"/>
      <c r="L1317" s="400"/>
      <c r="M1317" s="400"/>
      <c r="N1317" s="400"/>
      <c r="O1317" s="400"/>
      <c r="P1317" s="400"/>
      <c r="Q1317" s="400"/>
      <c r="R1317" s="398"/>
      <c r="S1317" s="401"/>
      <c r="T1317" s="401"/>
      <c r="U1317" s="398"/>
      <c r="V1317" s="398"/>
      <c r="W1317" s="398"/>
      <c r="X1317" s="398"/>
      <c r="Y1317" s="402"/>
      <c r="Z1317" s="403"/>
      <c r="AA1317" s="404"/>
      <c r="AB1317" s="405"/>
      <c r="AC1317" s="405"/>
      <c r="AD1317" s="406"/>
      <c r="AE1317" s="395"/>
      <c r="AF1317" s="395"/>
      <c r="AG1317" s="395"/>
      <c r="AH1317" s="395"/>
      <c r="AI1317" s="395"/>
      <c r="AJ1317" s="395"/>
      <c r="AK1317" s="395"/>
      <c r="AL1317" s="395"/>
      <c r="AM1317" s="395"/>
      <c r="AN1317" s="395"/>
      <c r="AO1317" s="395"/>
    </row>
    <row r="1318">
      <c r="A1318" s="398"/>
      <c r="B1318" s="398"/>
      <c r="C1318" s="398"/>
      <c r="D1318" s="398"/>
      <c r="E1318" s="399"/>
      <c r="F1318" s="400"/>
      <c r="G1318" s="399"/>
      <c r="H1318" s="400"/>
      <c r="I1318" s="400"/>
      <c r="J1318" s="400"/>
      <c r="K1318" s="400"/>
      <c r="L1318" s="400"/>
      <c r="M1318" s="400"/>
      <c r="N1318" s="400"/>
      <c r="O1318" s="400"/>
      <c r="P1318" s="400"/>
      <c r="Q1318" s="400"/>
      <c r="R1318" s="398"/>
      <c r="S1318" s="401"/>
      <c r="T1318" s="401"/>
      <c r="U1318" s="398"/>
      <c r="V1318" s="398"/>
      <c r="W1318" s="398"/>
      <c r="X1318" s="398"/>
      <c r="Y1318" s="402"/>
      <c r="Z1318" s="403"/>
      <c r="AA1318" s="404"/>
      <c r="AB1318" s="405"/>
      <c r="AC1318" s="405"/>
      <c r="AD1318" s="406"/>
      <c r="AE1318" s="395"/>
      <c r="AF1318" s="395"/>
      <c r="AG1318" s="395"/>
      <c r="AH1318" s="395"/>
      <c r="AI1318" s="395"/>
      <c r="AJ1318" s="395"/>
      <c r="AK1318" s="395"/>
      <c r="AL1318" s="395"/>
      <c r="AM1318" s="395"/>
      <c r="AN1318" s="395"/>
      <c r="AO1318" s="395"/>
    </row>
    <row r="1319">
      <c r="A1319" s="398"/>
      <c r="B1319" s="398"/>
      <c r="C1319" s="398"/>
      <c r="D1319" s="398"/>
      <c r="E1319" s="399"/>
      <c r="F1319" s="400"/>
      <c r="G1319" s="399"/>
      <c r="H1319" s="400"/>
      <c r="I1319" s="400"/>
      <c r="J1319" s="400"/>
      <c r="K1319" s="400"/>
      <c r="L1319" s="400"/>
      <c r="M1319" s="400"/>
      <c r="N1319" s="400"/>
      <c r="O1319" s="400"/>
      <c r="P1319" s="400"/>
      <c r="Q1319" s="400"/>
      <c r="R1319" s="398"/>
      <c r="S1319" s="401"/>
      <c r="T1319" s="401"/>
      <c r="U1319" s="398"/>
      <c r="V1319" s="398"/>
      <c r="W1319" s="398"/>
      <c r="X1319" s="398"/>
      <c r="Y1319" s="402"/>
      <c r="Z1319" s="403"/>
      <c r="AA1319" s="404"/>
      <c r="AB1319" s="405"/>
      <c r="AC1319" s="405"/>
      <c r="AD1319" s="406"/>
      <c r="AE1319" s="395"/>
      <c r="AF1319" s="395"/>
      <c r="AG1319" s="395"/>
      <c r="AH1319" s="395"/>
      <c r="AI1319" s="395"/>
      <c r="AJ1319" s="395"/>
      <c r="AK1319" s="395"/>
      <c r="AL1319" s="395"/>
      <c r="AM1319" s="395"/>
      <c r="AN1319" s="395"/>
      <c r="AO1319" s="395"/>
    </row>
    <row r="1320">
      <c r="A1320" s="398"/>
      <c r="B1320" s="398"/>
      <c r="C1320" s="398"/>
      <c r="D1320" s="398"/>
      <c r="E1320" s="399"/>
      <c r="F1320" s="400"/>
      <c r="G1320" s="399"/>
      <c r="H1320" s="400"/>
      <c r="I1320" s="400"/>
      <c r="J1320" s="400"/>
      <c r="K1320" s="400"/>
      <c r="L1320" s="400"/>
      <c r="M1320" s="400"/>
      <c r="N1320" s="400"/>
      <c r="O1320" s="400"/>
      <c r="P1320" s="400"/>
      <c r="Q1320" s="400"/>
      <c r="R1320" s="398"/>
      <c r="S1320" s="401"/>
      <c r="T1320" s="401"/>
      <c r="U1320" s="398"/>
      <c r="V1320" s="398"/>
      <c r="W1320" s="398"/>
      <c r="X1320" s="398"/>
      <c r="Y1320" s="402"/>
      <c r="Z1320" s="403"/>
      <c r="AA1320" s="404"/>
      <c r="AB1320" s="405"/>
      <c r="AC1320" s="405"/>
      <c r="AD1320" s="406"/>
      <c r="AE1320" s="395"/>
      <c r="AF1320" s="395"/>
      <c r="AG1320" s="395"/>
      <c r="AH1320" s="395"/>
      <c r="AI1320" s="395"/>
      <c r="AJ1320" s="395"/>
      <c r="AK1320" s="395"/>
      <c r="AL1320" s="395"/>
      <c r="AM1320" s="395"/>
      <c r="AN1320" s="395"/>
      <c r="AO1320" s="395"/>
    </row>
    <row r="1321">
      <c r="A1321" s="398"/>
      <c r="B1321" s="398"/>
      <c r="C1321" s="398"/>
      <c r="D1321" s="398"/>
      <c r="E1321" s="399"/>
      <c r="F1321" s="400"/>
      <c r="G1321" s="399"/>
      <c r="H1321" s="400"/>
      <c r="I1321" s="400"/>
      <c r="J1321" s="400"/>
      <c r="K1321" s="400"/>
      <c r="L1321" s="400"/>
      <c r="M1321" s="400"/>
      <c r="N1321" s="400"/>
      <c r="O1321" s="400"/>
      <c r="P1321" s="400"/>
      <c r="Q1321" s="400"/>
      <c r="R1321" s="398"/>
      <c r="S1321" s="401"/>
      <c r="T1321" s="401"/>
      <c r="U1321" s="398"/>
      <c r="V1321" s="398"/>
      <c r="W1321" s="398"/>
      <c r="X1321" s="398"/>
      <c r="Y1321" s="402"/>
      <c r="Z1321" s="403"/>
      <c r="AA1321" s="404"/>
      <c r="AB1321" s="405"/>
      <c r="AC1321" s="405"/>
      <c r="AD1321" s="406"/>
      <c r="AE1321" s="395"/>
      <c r="AF1321" s="395"/>
      <c r="AG1321" s="395"/>
      <c r="AH1321" s="395"/>
      <c r="AI1321" s="395"/>
      <c r="AJ1321" s="395"/>
      <c r="AK1321" s="395"/>
      <c r="AL1321" s="395"/>
      <c r="AM1321" s="395"/>
      <c r="AN1321" s="395"/>
      <c r="AO1321" s="395"/>
    </row>
    <row r="1322">
      <c r="A1322" s="398"/>
      <c r="B1322" s="398"/>
      <c r="C1322" s="398"/>
      <c r="D1322" s="398"/>
      <c r="E1322" s="399"/>
      <c r="F1322" s="400"/>
      <c r="G1322" s="399"/>
      <c r="H1322" s="400"/>
      <c r="I1322" s="400"/>
      <c r="J1322" s="400"/>
      <c r="K1322" s="400"/>
      <c r="L1322" s="400"/>
      <c r="M1322" s="400"/>
      <c r="N1322" s="400"/>
      <c r="O1322" s="400"/>
      <c r="P1322" s="400"/>
      <c r="Q1322" s="400"/>
      <c r="R1322" s="398"/>
      <c r="S1322" s="401"/>
      <c r="T1322" s="401"/>
      <c r="U1322" s="398"/>
      <c r="V1322" s="398"/>
      <c r="W1322" s="398"/>
      <c r="X1322" s="398"/>
      <c r="Y1322" s="402"/>
      <c r="Z1322" s="403"/>
      <c r="AA1322" s="404"/>
      <c r="AB1322" s="405"/>
      <c r="AC1322" s="405"/>
      <c r="AD1322" s="406"/>
      <c r="AE1322" s="395"/>
      <c r="AF1322" s="395"/>
      <c r="AG1322" s="395"/>
      <c r="AH1322" s="395"/>
      <c r="AI1322" s="395"/>
      <c r="AJ1322" s="395"/>
      <c r="AK1322" s="395"/>
      <c r="AL1322" s="395"/>
      <c r="AM1322" s="395"/>
      <c r="AN1322" s="395"/>
      <c r="AO1322" s="395"/>
    </row>
    <row r="1323">
      <c r="A1323" s="398"/>
      <c r="B1323" s="398"/>
      <c r="C1323" s="398"/>
      <c r="D1323" s="398"/>
      <c r="E1323" s="399"/>
      <c r="F1323" s="400"/>
      <c r="G1323" s="399"/>
      <c r="H1323" s="400"/>
      <c r="I1323" s="400"/>
      <c r="J1323" s="400"/>
      <c r="K1323" s="400"/>
      <c r="L1323" s="400"/>
      <c r="M1323" s="400"/>
      <c r="N1323" s="400"/>
      <c r="O1323" s="400"/>
      <c r="P1323" s="400"/>
      <c r="Q1323" s="400"/>
      <c r="R1323" s="398"/>
      <c r="S1323" s="401"/>
      <c r="T1323" s="401"/>
      <c r="U1323" s="398"/>
      <c r="V1323" s="398"/>
      <c r="W1323" s="398"/>
      <c r="X1323" s="398"/>
      <c r="Y1323" s="402"/>
      <c r="Z1323" s="403"/>
      <c r="AA1323" s="404"/>
      <c r="AB1323" s="405"/>
      <c r="AC1323" s="405"/>
      <c r="AD1323" s="406"/>
      <c r="AE1323" s="395"/>
      <c r="AF1323" s="395"/>
      <c r="AG1323" s="395"/>
      <c r="AH1323" s="395"/>
      <c r="AI1323" s="395"/>
      <c r="AJ1323" s="395"/>
      <c r="AK1323" s="395"/>
      <c r="AL1323" s="395"/>
      <c r="AM1323" s="395"/>
      <c r="AN1323" s="395"/>
      <c r="AO1323" s="395"/>
    </row>
    <row r="1324">
      <c r="A1324" s="398"/>
      <c r="B1324" s="398"/>
      <c r="C1324" s="398"/>
      <c r="D1324" s="398"/>
      <c r="E1324" s="399"/>
      <c r="F1324" s="400"/>
      <c r="G1324" s="399"/>
      <c r="H1324" s="400"/>
      <c r="I1324" s="400"/>
      <c r="J1324" s="400"/>
      <c r="K1324" s="400"/>
      <c r="L1324" s="400"/>
      <c r="M1324" s="400"/>
      <c r="N1324" s="400"/>
      <c r="O1324" s="400"/>
      <c r="P1324" s="400"/>
      <c r="Q1324" s="400"/>
      <c r="R1324" s="398"/>
      <c r="S1324" s="401"/>
      <c r="T1324" s="401"/>
      <c r="U1324" s="398"/>
      <c r="V1324" s="398"/>
      <c r="W1324" s="398"/>
      <c r="X1324" s="398"/>
      <c r="Y1324" s="402"/>
      <c r="Z1324" s="403"/>
      <c r="AA1324" s="404"/>
      <c r="AB1324" s="405"/>
      <c r="AC1324" s="405"/>
      <c r="AD1324" s="406"/>
      <c r="AE1324" s="395"/>
      <c r="AF1324" s="395"/>
      <c r="AG1324" s="395"/>
      <c r="AH1324" s="395"/>
      <c r="AI1324" s="395"/>
      <c r="AJ1324" s="395"/>
      <c r="AK1324" s="395"/>
      <c r="AL1324" s="395"/>
      <c r="AM1324" s="395"/>
      <c r="AN1324" s="395"/>
      <c r="AO1324" s="395"/>
    </row>
    <row r="1325">
      <c r="A1325" s="398"/>
      <c r="B1325" s="398"/>
      <c r="C1325" s="398"/>
      <c r="D1325" s="398"/>
      <c r="E1325" s="399"/>
      <c r="F1325" s="400"/>
      <c r="G1325" s="399"/>
      <c r="H1325" s="400"/>
      <c r="I1325" s="400"/>
      <c r="J1325" s="400"/>
      <c r="K1325" s="400"/>
      <c r="L1325" s="400"/>
      <c r="M1325" s="400"/>
      <c r="N1325" s="400"/>
      <c r="O1325" s="400"/>
      <c r="P1325" s="400"/>
      <c r="Q1325" s="400"/>
      <c r="R1325" s="398"/>
      <c r="S1325" s="401"/>
      <c r="T1325" s="401"/>
      <c r="U1325" s="398"/>
      <c r="V1325" s="398"/>
      <c r="W1325" s="398"/>
      <c r="X1325" s="398"/>
      <c r="Y1325" s="402"/>
      <c r="Z1325" s="403"/>
      <c r="AA1325" s="404"/>
      <c r="AB1325" s="405"/>
      <c r="AC1325" s="405"/>
      <c r="AD1325" s="406"/>
      <c r="AE1325" s="395"/>
      <c r="AF1325" s="395"/>
      <c r="AG1325" s="395"/>
      <c r="AH1325" s="395"/>
      <c r="AI1325" s="395"/>
      <c r="AJ1325" s="395"/>
      <c r="AK1325" s="395"/>
      <c r="AL1325" s="395"/>
      <c r="AM1325" s="395"/>
      <c r="AN1325" s="395"/>
      <c r="AO1325" s="395"/>
    </row>
    <row r="1326">
      <c r="A1326" s="398"/>
      <c r="B1326" s="398"/>
      <c r="C1326" s="398"/>
      <c r="D1326" s="398"/>
      <c r="E1326" s="399"/>
      <c r="F1326" s="400"/>
      <c r="G1326" s="399"/>
      <c r="H1326" s="400"/>
      <c r="I1326" s="400"/>
      <c r="J1326" s="400"/>
      <c r="K1326" s="400"/>
      <c r="L1326" s="400"/>
      <c r="M1326" s="400"/>
      <c r="N1326" s="400"/>
      <c r="O1326" s="400"/>
      <c r="P1326" s="400"/>
      <c r="Q1326" s="400"/>
      <c r="R1326" s="398"/>
      <c r="S1326" s="401"/>
      <c r="T1326" s="401"/>
      <c r="U1326" s="398"/>
      <c r="V1326" s="398"/>
      <c r="W1326" s="398"/>
      <c r="X1326" s="398"/>
      <c r="Y1326" s="402"/>
      <c r="Z1326" s="403"/>
      <c r="AA1326" s="404"/>
      <c r="AB1326" s="405"/>
      <c r="AC1326" s="405"/>
      <c r="AD1326" s="406"/>
      <c r="AE1326" s="395"/>
      <c r="AF1326" s="395"/>
      <c r="AG1326" s="395"/>
      <c r="AH1326" s="395"/>
      <c r="AI1326" s="395"/>
      <c r="AJ1326" s="395"/>
      <c r="AK1326" s="395"/>
      <c r="AL1326" s="395"/>
      <c r="AM1326" s="395"/>
      <c r="AN1326" s="395"/>
      <c r="AO1326" s="395"/>
    </row>
    <row r="1327">
      <c r="A1327" s="398"/>
      <c r="B1327" s="398"/>
      <c r="C1327" s="398"/>
      <c r="D1327" s="398"/>
      <c r="E1327" s="399"/>
      <c r="F1327" s="400"/>
      <c r="G1327" s="399"/>
      <c r="H1327" s="400"/>
      <c r="I1327" s="400"/>
      <c r="J1327" s="400"/>
      <c r="K1327" s="400"/>
      <c r="L1327" s="400"/>
      <c r="M1327" s="400"/>
      <c r="N1327" s="400"/>
      <c r="O1327" s="400"/>
      <c r="P1327" s="400"/>
      <c r="Q1327" s="400"/>
      <c r="R1327" s="398"/>
      <c r="S1327" s="401"/>
      <c r="T1327" s="401"/>
      <c r="U1327" s="398"/>
      <c r="V1327" s="398"/>
      <c r="W1327" s="398"/>
      <c r="X1327" s="398"/>
      <c r="Y1327" s="402"/>
      <c r="Z1327" s="403"/>
      <c r="AA1327" s="404"/>
      <c r="AB1327" s="405"/>
      <c r="AC1327" s="405"/>
      <c r="AD1327" s="406"/>
      <c r="AE1327" s="395"/>
      <c r="AF1327" s="395"/>
      <c r="AG1327" s="395"/>
      <c r="AH1327" s="395"/>
      <c r="AI1327" s="395"/>
      <c r="AJ1327" s="395"/>
      <c r="AK1327" s="395"/>
      <c r="AL1327" s="395"/>
      <c r="AM1327" s="395"/>
      <c r="AN1327" s="395"/>
      <c r="AO1327" s="395"/>
    </row>
    <row r="1328">
      <c r="A1328" s="398"/>
      <c r="B1328" s="398"/>
      <c r="C1328" s="398"/>
      <c r="D1328" s="398"/>
      <c r="E1328" s="399"/>
      <c r="F1328" s="400"/>
      <c r="G1328" s="399"/>
      <c r="H1328" s="400"/>
      <c r="I1328" s="400"/>
      <c r="J1328" s="400"/>
      <c r="K1328" s="400"/>
      <c r="L1328" s="400"/>
      <c r="M1328" s="400"/>
      <c r="N1328" s="400"/>
      <c r="O1328" s="400"/>
      <c r="P1328" s="400"/>
      <c r="Q1328" s="400"/>
      <c r="R1328" s="398"/>
      <c r="S1328" s="401"/>
      <c r="T1328" s="401"/>
      <c r="U1328" s="398"/>
      <c r="V1328" s="398"/>
      <c r="W1328" s="398"/>
      <c r="X1328" s="398"/>
      <c r="Y1328" s="402"/>
      <c r="Z1328" s="403"/>
      <c r="AA1328" s="404"/>
      <c r="AB1328" s="405"/>
      <c r="AC1328" s="405"/>
      <c r="AD1328" s="406"/>
      <c r="AE1328" s="395"/>
      <c r="AF1328" s="395"/>
      <c r="AG1328" s="395"/>
      <c r="AH1328" s="395"/>
      <c r="AI1328" s="395"/>
      <c r="AJ1328" s="395"/>
      <c r="AK1328" s="395"/>
      <c r="AL1328" s="395"/>
      <c r="AM1328" s="395"/>
      <c r="AN1328" s="395"/>
      <c r="AO1328" s="395"/>
    </row>
    <row r="1329">
      <c r="A1329" s="398"/>
      <c r="B1329" s="398"/>
      <c r="C1329" s="398"/>
      <c r="D1329" s="398"/>
      <c r="E1329" s="399"/>
      <c r="F1329" s="400"/>
      <c r="G1329" s="399"/>
      <c r="H1329" s="400"/>
      <c r="I1329" s="400"/>
      <c r="J1329" s="400"/>
      <c r="K1329" s="400"/>
      <c r="L1329" s="400"/>
      <c r="M1329" s="400"/>
      <c r="N1329" s="400"/>
      <c r="O1329" s="400"/>
      <c r="P1329" s="400"/>
      <c r="Q1329" s="400"/>
      <c r="R1329" s="398"/>
      <c r="S1329" s="401"/>
      <c r="T1329" s="401"/>
      <c r="U1329" s="398"/>
      <c r="V1329" s="398"/>
      <c r="W1329" s="398"/>
      <c r="X1329" s="398"/>
      <c r="Y1329" s="402"/>
      <c r="Z1329" s="403"/>
      <c r="AA1329" s="404"/>
      <c r="AB1329" s="405"/>
      <c r="AC1329" s="405"/>
      <c r="AD1329" s="406"/>
      <c r="AE1329" s="395"/>
      <c r="AF1329" s="395"/>
      <c r="AG1329" s="395"/>
      <c r="AH1329" s="395"/>
      <c r="AI1329" s="395"/>
      <c r="AJ1329" s="395"/>
      <c r="AK1329" s="395"/>
      <c r="AL1329" s="395"/>
      <c r="AM1329" s="395"/>
      <c r="AN1329" s="395"/>
      <c r="AO1329" s="395"/>
    </row>
    <row r="1330">
      <c r="A1330" s="398"/>
      <c r="B1330" s="398"/>
      <c r="C1330" s="398"/>
      <c r="D1330" s="398"/>
      <c r="E1330" s="399"/>
      <c r="F1330" s="400"/>
      <c r="G1330" s="399"/>
      <c r="H1330" s="400"/>
      <c r="I1330" s="400"/>
      <c r="J1330" s="400"/>
      <c r="K1330" s="400"/>
      <c r="L1330" s="400"/>
      <c r="M1330" s="400"/>
      <c r="N1330" s="400"/>
      <c r="O1330" s="400"/>
      <c r="P1330" s="400"/>
      <c r="Q1330" s="400"/>
      <c r="R1330" s="398"/>
      <c r="S1330" s="401"/>
      <c r="T1330" s="401"/>
      <c r="U1330" s="398"/>
      <c r="V1330" s="398"/>
      <c r="W1330" s="398"/>
      <c r="X1330" s="398"/>
      <c r="Y1330" s="402"/>
      <c r="Z1330" s="403"/>
      <c r="AA1330" s="404"/>
      <c r="AB1330" s="405"/>
      <c r="AC1330" s="405"/>
      <c r="AD1330" s="406"/>
      <c r="AE1330" s="395"/>
      <c r="AF1330" s="395"/>
      <c r="AG1330" s="395"/>
      <c r="AH1330" s="395"/>
      <c r="AI1330" s="395"/>
      <c r="AJ1330" s="395"/>
      <c r="AK1330" s="395"/>
      <c r="AL1330" s="395"/>
      <c r="AM1330" s="395"/>
      <c r="AN1330" s="395"/>
      <c r="AO1330" s="395"/>
    </row>
    <row r="1331">
      <c r="A1331" s="398"/>
      <c r="B1331" s="398"/>
      <c r="C1331" s="398"/>
      <c r="D1331" s="398"/>
      <c r="E1331" s="399"/>
      <c r="F1331" s="400"/>
      <c r="G1331" s="399"/>
      <c r="H1331" s="400"/>
      <c r="I1331" s="400"/>
      <c r="J1331" s="400"/>
      <c r="K1331" s="400"/>
      <c r="L1331" s="400"/>
      <c r="M1331" s="400"/>
      <c r="N1331" s="400"/>
      <c r="O1331" s="400"/>
      <c r="P1331" s="400"/>
      <c r="Q1331" s="400"/>
      <c r="R1331" s="398"/>
      <c r="S1331" s="401"/>
      <c r="T1331" s="401"/>
      <c r="U1331" s="398"/>
      <c r="V1331" s="398"/>
      <c r="W1331" s="398"/>
      <c r="X1331" s="398"/>
      <c r="Y1331" s="402"/>
      <c r="Z1331" s="403"/>
      <c r="AA1331" s="404"/>
      <c r="AB1331" s="405"/>
      <c r="AC1331" s="405"/>
      <c r="AD1331" s="406"/>
      <c r="AE1331" s="395"/>
      <c r="AF1331" s="395"/>
      <c r="AG1331" s="395"/>
      <c r="AH1331" s="395"/>
      <c r="AI1331" s="395"/>
      <c r="AJ1331" s="395"/>
      <c r="AK1331" s="395"/>
      <c r="AL1331" s="395"/>
      <c r="AM1331" s="395"/>
      <c r="AN1331" s="395"/>
      <c r="AO1331" s="395"/>
    </row>
    <row r="1332">
      <c r="A1332" s="398"/>
      <c r="B1332" s="398"/>
      <c r="C1332" s="398"/>
      <c r="D1332" s="398"/>
      <c r="E1332" s="399"/>
      <c r="F1332" s="400"/>
      <c r="G1332" s="399"/>
      <c r="H1332" s="400"/>
      <c r="I1332" s="400"/>
      <c r="J1332" s="400"/>
      <c r="K1332" s="400"/>
      <c r="L1332" s="400"/>
      <c r="M1332" s="400"/>
      <c r="N1332" s="400"/>
      <c r="O1332" s="400"/>
      <c r="P1332" s="400"/>
      <c r="Q1332" s="400"/>
      <c r="R1332" s="398"/>
      <c r="S1332" s="401"/>
      <c r="T1332" s="401"/>
      <c r="U1332" s="398"/>
      <c r="V1332" s="398"/>
      <c r="W1332" s="398"/>
      <c r="X1332" s="398"/>
      <c r="Y1332" s="402"/>
      <c r="Z1332" s="403"/>
      <c r="AA1332" s="404"/>
      <c r="AB1332" s="405"/>
      <c r="AC1332" s="405"/>
      <c r="AD1332" s="406"/>
      <c r="AE1332" s="395"/>
      <c r="AF1332" s="395"/>
      <c r="AG1332" s="395"/>
      <c r="AH1332" s="395"/>
      <c r="AI1332" s="395"/>
      <c r="AJ1332" s="395"/>
      <c r="AK1332" s="395"/>
      <c r="AL1332" s="395"/>
      <c r="AM1332" s="395"/>
      <c r="AN1332" s="395"/>
      <c r="AO1332" s="395"/>
    </row>
    <row r="1333">
      <c r="A1333" s="398"/>
      <c r="B1333" s="398"/>
      <c r="C1333" s="398"/>
      <c r="D1333" s="398"/>
      <c r="E1333" s="399"/>
      <c r="F1333" s="400"/>
      <c r="G1333" s="399"/>
      <c r="H1333" s="400"/>
      <c r="I1333" s="400"/>
      <c r="J1333" s="400"/>
      <c r="K1333" s="400"/>
      <c r="L1333" s="400"/>
      <c r="M1333" s="400"/>
      <c r="N1333" s="400"/>
      <c r="O1333" s="400"/>
      <c r="P1333" s="400"/>
      <c r="Q1333" s="400"/>
      <c r="R1333" s="398"/>
      <c r="S1333" s="401"/>
      <c r="T1333" s="401"/>
      <c r="U1333" s="398"/>
      <c r="V1333" s="398"/>
      <c r="W1333" s="398"/>
      <c r="X1333" s="398"/>
      <c r="Y1333" s="402"/>
      <c r="Z1333" s="403"/>
      <c r="AA1333" s="404"/>
      <c r="AB1333" s="405"/>
      <c r="AC1333" s="405"/>
      <c r="AD1333" s="406"/>
      <c r="AE1333" s="395"/>
      <c r="AF1333" s="395"/>
      <c r="AG1333" s="395"/>
      <c r="AH1333" s="395"/>
      <c r="AI1333" s="395"/>
      <c r="AJ1333" s="395"/>
      <c r="AK1333" s="395"/>
      <c r="AL1333" s="395"/>
      <c r="AM1333" s="395"/>
      <c r="AN1333" s="395"/>
      <c r="AO1333" s="395"/>
    </row>
    <row r="1334">
      <c r="A1334" s="398"/>
      <c r="B1334" s="398"/>
      <c r="C1334" s="398"/>
      <c r="D1334" s="398"/>
      <c r="E1334" s="399"/>
      <c r="F1334" s="400"/>
      <c r="G1334" s="399"/>
      <c r="H1334" s="400"/>
      <c r="I1334" s="400"/>
      <c r="J1334" s="400"/>
      <c r="K1334" s="400"/>
      <c r="L1334" s="400"/>
      <c r="M1334" s="400"/>
      <c r="N1334" s="400"/>
      <c r="O1334" s="400"/>
      <c r="P1334" s="400"/>
      <c r="Q1334" s="400"/>
      <c r="R1334" s="398"/>
      <c r="S1334" s="401"/>
      <c r="T1334" s="401"/>
      <c r="U1334" s="398"/>
      <c r="V1334" s="398"/>
      <c r="W1334" s="398"/>
      <c r="X1334" s="398"/>
      <c r="Y1334" s="402"/>
      <c r="Z1334" s="403"/>
      <c r="AA1334" s="404"/>
      <c r="AB1334" s="405"/>
      <c r="AC1334" s="405"/>
      <c r="AD1334" s="406"/>
      <c r="AE1334" s="395"/>
      <c r="AF1334" s="395"/>
      <c r="AG1334" s="395"/>
      <c r="AH1334" s="395"/>
      <c r="AI1334" s="395"/>
      <c r="AJ1334" s="395"/>
      <c r="AK1334" s="395"/>
      <c r="AL1334" s="395"/>
      <c r="AM1334" s="395"/>
      <c r="AN1334" s="395"/>
      <c r="AO1334" s="395"/>
    </row>
    <row r="1335">
      <c r="A1335" s="398"/>
      <c r="B1335" s="398"/>
      <c r="C1335" s="398"/>
      <c r="D1335" s="398"/>
      <c r="E1335" s="399"/>
      <c r="F1335" s="400"/>
      <c r="G1335" s="399"/>
      <c r="H1335" s="400"/>
      <c r="I1335" s="400"/>
      <c r="J1335" s="400"/>
      <c r="K1335" s="400"/>
      <c r="L1335" s="400"/>
      <c r="M1335" s="400"/>
      <c r="N1335" s="400"/>
      <c r="O1335" s="400"/>
      <c r="P1335" s="400"/>
      <c r="Q1335" s="400"/>
      <c r="R1335" s="398"/>
      <c r="S1335" s="401"/>
      <c r="T1335" s="401"/>
      <c r="U1335" s="398"/>
      <c r="V1335" s="398"/>
      <c r="W1335" s="398"/>
      <c r="X1335" s="398"/>
      <c r="Y1335" s="402"/>
      <c r="Z1335" s="403"/>
      <c r="AA1335" s="404"/>
      <c r="AB1335" s="405"/>
      <c r="AC1335" s="405"/>
      <c r="AD1335" s="406"/>
      <c r="AE1335" s="395"/>
      <c r="AF1335" s="395"/>
      <c r="AG1335" s="395"/>
      <c r="AH1335" s="395"/>
      <c r="AI1335" s="395"/>
      <c r="AJ1335" s="395"/>
      <c r="AK1335" s="395"/>
      <c r="AL1335" s="395"/>
      <c r="AM1335" s="395"/>
      <c r="AN1335" s="395"/>
      <c r="AO1335" s="395"/>
    </row>
    <row r="1336">
      <c r="A1336" s="398"/>
      <c r="B1336" s="398"/>
      <c r="C1336" s="398"/>
      <c r="D1336" s="398"/>
      <c r="E1336" s="399"/>
      <c r="F1336" s="400"/>
      <c r="G1336" s="399"/>
      <c r="H1336" s="400"/>
      <c r="I1336" s="400"/>
      <c r="J1336" s="400"/>
      <c r="K1336" s="400"/>
      <c r="L1336" s="400"/>
      <c r="M1336" s="400"/>
      <c r="N1336" s="400"/>
      <c r="O1336" s="400"/>
      <c r="P1336" s="400"/>
      <c r="Q1336" s="400"/>
      <c r="R1336" s="398"/>
      <c r="S1336" s="401"/>
      <c r="T1336" s="401"/>
      <c r="U1336" s="398"/>
      <c r="V1336" s="398"/>
      <c r="W1336" s="398"/>
      <c r="X1336" s="398"/>
      <c r="Y1336" s="402"/>
      <c r="Z1336" s="403"/>
      <c r="AA1336" s="404"/>
      <c r="AB1336" s="405"/>
      <c r="AC1336" s="405"/>
      <c r="AD1336" s="406"/>
      <c r="AE1336" s="395"/>
      <c r="AF1336" s="395"/>
      <c r="AG1336" s="395"/>
      <c r="AH1336" s="395"/>
      <c r="AI1336" s="395"/>
      <c r="AJ1336" s="395"/>
      <c r="AK1336" s="395"/>
      <c r="AL1336" s="395"/>
      <c r="AM1336" s="395"/>
      <c r="AN1336" s="395"/>
      <c r="AO1336" s="395"/>
    </row>
    <row r="1337">
      <c r="A1337" s="398"/>
      <c r="B1337" s="398"/>
      <c r="C1337" s="398"/>
      <c r="D1337" s="398"/>
      <c r="E1337" s="399"/>
      <c r="F1337" s="400"/>
      <c r="G1337" s="399"/>
      <c r="H1337" s="400"/>
      <c r="I1337" s="400"/>
      <c r="J1337" s="400"/>
      <c r="K1337" s="400"/>
      <c r="L1337" s="400"/>
      <c r="M1337" s="400"/>
      <c r="N1337" s="400"/>
      <c r="O1337" s="400"/>
      <c r="P1337" s="400"/>
      <c r="Q1337" s="400"/>
      <c r="R1337" s="398"/>
      <c r="S1337" s="401"/>
      <c r="T1337" s="401"/>
      <c r="U1337" s="398"/>
      <c r="V1337" s="398"/>
      <c r="W1337" s="398"/>
      <c r="X1337" s="398"/>
      <c r="Y1337" s="402"/>
      <c r="Z1337" s="403"/>
      <c r="AA1337" s="404"/>
      <c r="AB1337" s="405"/>
      <c r="AC1337" s="405"/>
      <c r="AD1337" s="406"/>
      <c r="AE1337" s="395"/>
      <c r="AF1337" s="395"/>
      <c r="AG1337" s="395"/>
      <c r="AH1337" s="395"/>
      <c r="AI1337" s="395"/>
      <c r="AJ1337" s="395"/>
      <c r="AK1337" s="395"/>
      <c r="AL1337" s="395"/>
      <c r="AM1337" s="395"/>
      <c r="AN1337" s="395"/>
      <c r="AO1337" s="395"/>
    </row>
    <row r="1338">
      <c r="A1338" s="398"/>
      <c r="B1338" s="398"/>
      <c r="C1338" s="398"/>
      <c r="D1338" s="398"/>
      <c r="E1338" s="399"/>
      <c r="F1338" s="400"/>
      <c r="G1338" s="399"/>
      <c r="H1338" s="400"/>
      <c r="I1338" s="400"/>
      <c r="J1338" s="400"/>
      <c r="K1338" s="400"/>
      <c r="L1338" s="400"/>
      <c r="M1338" s="400"/>
      <c r="N1338" s="400"/>
      <c r="O1338" s="400"/>
      <c r="P1338" s="400"/>
      <c r="Q1338" s="400"/>
      <c r="R1338" s="398"/>
      <c r="S1338" s="401"/>
      <c r="T1338" s="401"/>
      <c r="U1338" s="398"/>
      <c r="V1338" s="398"/>
      <c r="W1338" s="398"/>
      <c r="X1338" s="398"/>
      <c r="Y1338" s="402"/>
      <c r="Z1338" s="403"/>
      <c r="AA1338" s="404"/>
      <c r="AB1338" s="405"/>
      <c r="AC1338" s="405"/>
      <c r="AD1338" s="406"/>
      <c r="AE1338" s="395"/>
      <c r="AF1338" s="395"/>
      <c r="AG1338" s="395"/>
      <c r="AH1338" s="395"/>
      <c r="AI1338" s="395"/>
      <c r="AJ1338" s="395"/>
      <c r="AK1338" s="395"/>
      <c r="AL1338" s="395"/>
      <c r="AM1338" s="395"/>
      <c r="AN1338" s="395"/>
      <c r="AO1338" s="395"/>
    </row>
    <row r="1339">
      <c r="A1339" s="398"/>
      <c r="B1339" s="398"/>
      <c r="C1339" s="398"/>
      <c r="D1339" s="398"/>
      <c r="E1339" s="399"/>
      <c r="F1339" s="400"/>
      <c r="G1339" s="399"/>
      <c r="H1339" s="400"/>
      <c r="I1339" s="400"/>
      <c r="J1339" s="400"/>
      <c r="K1339" s="400"/>
      <c r="L1339" s="400"/>
      <c r="M1339" s="400"/>
      <c r="N1339" s="400"/>
      <c r="O1339" s="400"/>
      <c r="P1339" s="400"/>
      <c r="Q1339" s="400"/>
      <c r="R1339" s="398"/>
      <c r="S1339" s="401"/>
      <c r="T1339" s="401"/>
      <c r="U1339" s="398"/>
      <c r="V1339" s="398"/>
      <c r="W1339" s="398"/>
      <c r="X1339" s="398"/>
      <c r="Y1339" s="402"/>
      <c r="Z1339" s="403"/>
      <c r="AA1339" s="404"/>
      <c r="AB1339" s="405"/>
      <c r="AC1339" s="405"/>
      <c r="AD1339" s="406"/>
      <c r="AE1339" s="395"/>
      <c r="AF1339" s="395"/>
      <c r="AG1339" s="395"/>
      <c r="AH1339" s="395"/>
      <c r="AI1339" s="395"/>
      <c r="AJ1339" s="395"/>
      <c r="AK1339" s="395"/>
      <c r="AL1339" s="395"/>
      <c r="AM1339" s="395"/>
      <c r="AN1339" s="395"/>
      <c r="AO1339" s="395"/>
    </row>
    <row r="1340">
      <c r="A1340" s="398"/>
      <c r="B1340" s="398"/>
      <c r="C1340" s="398"/>
      <c r="D1340" s="398"/>
      <c r="E1340" s="399"/>
      <c r="F1340" s="400"/>
      <c r="G1340" s="399"/>
      <c r="H1340" s="400"/>
      <c r="I1340" s="400"/>
      <c r="J1340" s="400"/>
      <c r="K1340" s="400"/>
      <c r="L1340" s="400"/>
      <c r="M1340" s="400"/>
      <c r="N1340" s="400"/>
      <c r="O1340" s="400"/>
      <c r="P1340" s="400"/>
      <c r="Q1340" s="400"/>
      <c r="R1340" s="398"/>
      <c r="S1340" s="401"/>
      <c r="T1340" s="401"/>
      <c r="U1340" s="398"/>
      <c r="V1340" s="398"/>
      <c r="W1340" s="398"/>
      <c r="X1340" s="398"/>
      <c r="Y1340" s="402"/>
      <c r="Z1340" s="403"/>
      <c r="AA1340" s="404"/>
      <c r="AB1340" s="405"/>
      <c r="AC1340" s="405"/>
      <c r="AD1340" s="406"/>
      <c r="AE1340" s="395"/>
      <c r="AF1340" s="395"/>
      <c r="AG1340" s="395"/>
      <c r="AH1340" s="395"/>
      <c r="AI1340" s="395"/>
      <c r="AJ1340" s="395"/>
      <c r="AK1340" s="395"/>
      <c r="AL1340" s="395"/>
      <c r="AM1340" s="395"/>
      <c r="AN1340" s="395"/>
      <c r="AO1340" s="395"/>
    </row>
    <row r="1341">
      <c r="A1341" s="398"/>
      <c r="B1341" s="398"/>
      <c r="C1341" s="398"/>
      <c r="D1341" s="398"/>
      <c r="E1341" s="399"/>
      <c r="F1341" s="400"/>
      <c r="G1341" s="399"/>
      <c r="H1341" s="400"/>
      <c r="I1341" s="400"/>
      <c r="J1341" s="400"/>
      <c r="K1341" s="400"/>
      <c r="L1341" s="400"/>
      <c r="M1341" s="400"/>
      <c r="N1341" s="400"/>
      <c r="O1341" s="400"/>
      <c r="P1341" s="400"/>
      <c r="Q1341" s="400"/>
      <c r="R1341" s="398"/>
      <c r="S1341" s="401"/>
      <c r="T1341" s="401"/>
      <c r="U1341" s="398"/>
      <c r="V1341" s="398"/>
      <c r="W1341" s="398"/>
      <c r="X1341" s="398"/>
      <c r="Y1341" s="402"/>
      <c r="Z1341" s="403"/>
      <c r="AA1341" s="404"/>
      <c r="AB1341" s="405"/>
      <c r="AC1341" s="405"/>
      <c r="AD1341" s="406"/>
      <c r="AE1341" s="395"/>
      <c r="AF1341" s="395"/>
      <c r="AG1341" s="395"/>
      <c r="AH1341" s="395"/>
      <c r="AI1341" s="395"/>
      <c r="AJ1341" s="395"/>
      <c r="AK1341" s="395"/>
      <c r="AL1341" s="395"/>
      <c r="AM1341" s="395"/>
      <c r="AN1341" s="395"/>
      <c r="AO1341" s="395"/>
    </row>
    <row r="1342">
      <c r="A1342" s="398"/>
      <c r="B1342" s="398"/>
      <c r="C1342" s="398"/>
      <c r="D1342" s="398"/>
      <c r="E1342" s="399"/>
      <c r="F1342" s="400"/>
      <c r="G1342" s="399"/>
      <c r="H1342" s="400"/>
      <c r="I1342" s="400"/>
      <c r="J1342" s="400"/>
      <c r="K1342" s="400"/>
      <c r="L1342" s="400"/>
      <c r="M1342" s="400"/>
      <c r="N1342" s="400"/>
      <c r="O1342" s="400"/>
      <c r="P1342" s="400"/>
      <c r="Q1342" s="400"/>
      <c r="R1342" s="398"/>
      <c r="S1342" s="401"/>
      <c r="T1342" s="401"/>
      <c r="U1342" s="398"/>
      <c r="V1342" s="398"/>
      <c r="W1342" s="398"/>
      <c r="X1342" s="398"/>
      <c r="Y1342" s="402"/>
      <c r="Z1342" s="403"/>
      <c r="AA1342" s="404"/>
      <c r="AB1342" s="405"/>
      <c r="AC1342" s="405"/>
      <c r="AD1342" s="406"/>
      <c r="AE1342" s="395"/>
      <c r="AF1342" s="395"/>
      <c r="AG1342" s="395"/>
      <c r="AH1342" s="395"/>
      <c r="AI1342" s="395"/>
      <c r="AJ1342" s="395"/>
      <c r="AK1342" s="395"/>
      <c r="AL1342" s="395"/>
      <c r="AM1342" s="395"/>
      <c r="AN1342" s="395"/>
      <c r="AO1342" s="395"/>
    </row>
    <row r="1343">
      <c r="A1343" s="398"/>
      <c r="B1343" s="398"/>
      <c r="C1343" s="398"/>
      <c r="D1343" s="398"/>
      <c r="E1343" s="399"/>
      <c r="F1343" s="400"/>
      <c r="G1343" s="399"/>
      <c r="H1343" s="400"/>
      <c r="I1343" s="400"/>
      <c r="J1343" s="400"/>
      <c r="K1343" s="400"/>
      <c r="L1343" s="400"/>
      <c r="M1343" s="400"/>
      <c r="N1343" s="400"/>
      <c r="O1343" s="400"/>
      <c r="P1343" s="400"/>
      <c r="Q1343" s="400"/>
      <c r="R1343" s="398"/>
      <c r="S1343" s="401"/>
      <c r="T1343" s="401"/>
      <c r="U1343" s="398"/>
      <c r="V1343" s="398"/>
      <c r="W1343" s="398"/>
      <c r="X1343" s="398"/>
      <c r="Y1343" s="402"/>
      <c r="Z1343" s="403"/>
      <c r="AA1343" s="404"/>
      <c r="AB1343" s="405"/>
      <c r="AC1343" s="405"/>
      <c r="AD1343" s="406"/>
      <c r="AE1343" s="395"/>
      <c r="AF1343" s="395"/>
      <c r="AG1343" s="395"/>
      <c r="AH1343" s="395"/>
      <c r="AI1343" s="395"/>
      <c r="AJ1343" s="395"/>
      <c r="AK1343" s="395"/>
      <c r="AL1343" s="395"/>
      <c r="AM1343" s="395"/>
      <c r="AN1343" s="395"/>
      <c r="AO1343" s="395"/>
    </row>
    <row r="1344">
      <c r="A1344" s="398"/>
      <c r="B1344" s="398"/>
      <c r="C1344" s="398"/>
      <c r="D1344" s="398"/>
      <c r="E1344" s="399"/>
      <c r="F1344" s="400"/>
      <c r="G1344" s="399"/>
      <c r="H1344" s="400"/>
      <c r="I1344" s="400"/>
      <c r="J1344" s="400"/>
      <c r="K1344" s="400"/>
      <c r="L1344" s="400"/>
      <c r="M1344" s="400"/>
      <c r="N1344" s="400"/>
      <c r="O1344" s="400"/>
      <c r="P1344" s="400"/>
      <c r="Q1344" s="400"/>
      <c r="R1344" s="398"/>
      <c r="S1344" s="401"/>
      <c r="T1344" s="401"/>
      <c r="U1344" s="398"/>
      <c r="V1344" s="398"/>
      <c r="W1344" s="398"/>
      <c r="X1344" s="398"/>
      <c r="Y1344" s="402"/>
      <c r="Z1344" s="403"/>
      <c r="AA1344" s="404"/>
      <c r="AB1344" s="405"/>
      <c r="AC1344" s="405"/>
      <c r="AD1344" s="406"/>
      <c r="AE1344" s="395"/>
      <c r="AF1344" s="395"/>
      <c r="AG1344" s="395"/>
      <c r="AH1344" s="395"/>
      <c r="AI1344" s="395"/>
      <c r="AJ1344" s="395"/>
      <c r="AK1344" s="395"/>
      <c r="AL1344" s="395"/>
      <c r="AM1344" s="395"/>
      <c r="AN1344" s="395"/>
      <c r="AO1344" s="395"/>
    </row>
    <row r="1345">
      <c r="A1345" s="398"/>
      <c r="B1345" s="398"/>
      <c r="C1345" s="398"/>
      <c r="D1345" s="398"/>
      <c r="E1345" s="399"/>
      <c r="F1345" s="400"/>
      <c r="G1345" s="399"/>
      <c r="H1345" s="400"/>
      <c r="I1345" s="400"/>
      <c r="J1345" s="400"/>
      <c r="K1345" s="400"/>
      <c r="L1345" s="400"/>
      <c r="M1345" s="400"/>
      <c r="N1345" s="400"/>
      <c r="O1345" s="400"/>
      <c r="P1345" s="400"/>
      <c r="Q1345" s="400"/>
      <c r="R1345" s="398"/>
      <c r="S1345" s="401"/>
      <c r="T1345" s="401"/>
      <c r="U1345" s="398"/>
      <c r="V1345" s="398"/>
      <c r="W1345" s="398"/>
      <c r="X1345" s="398"/>
      <c r="Y1345" s="402"/>
      <c r="Z1345" s="403"/>
      <c r="AA1345" s="404"/>
      <c r="AB1345" s="405"/>
      <c r="AC1345" s="405"/>
      <c r="AD1345" s="406"/>
      <c r="AE1345" s="395"/>
      <c r="AF1345" s="395"/>
      <c r="AG1345" s="395"/>
      <c r="AH1345" s="395"/>
      <c r="AI1345" s="395"/>
      <c r="AJ1345" s="395"/>
      <c r="AK1345" s="395"/>
      <c r="AL1345" s="395"/>
      <c r="AM1345" s="395"/>
      <c r="AN1345" s="395"/>
      <c r="AO1345" s="395"/>
    </row>
    <row r="1346">
      <c r="A1346" s="398"/>
      <c r="B1346" s="398"/>
      <c r="C1346" s="398"/>
      <c r="D1346" s="398"/>
      <c r="E1346" s="399"/>
      <c r="F1346" s="400"/>
      <c r="G1346" s="399"/>
      <c r="H1346" s="400"/>
      <c r="I1346" s="400"/>
      <c r="J1346" s="400"/>
      <c r="K1346" s="400"/>
      <c r="L1346" s="400"/>
      <c r="M1346" s="400"/>
      <c r="N1346" s="400"/>
      <c r="O1346" s="400"/>
      <c r="P1346" s="400"/>
      <c r="Q1346" s="400"/>
      <c r="R1346" s="398"/>
      <c r="S1346" s="401"/>
      <c r="T1346" s="401"/>
      <c r="U1346" s="398"/>
      <c r="V1346" s="398"/>
      <c r="W1346" s="398"/>
      <c r="X1346" s="398"/>
      <c r="Y1346" s="402"/>
      <c r="Z1346" s="403"/>
      <c r="AA1346" s="404"/>
      <c r="AB1346" s="405"/>
      <c r="AC1346" s="405"/>
      <c r="AD1346" s="406"/>
      <c r="AE1346" s="395"/>
      <c r="AF1346" s="395"/>
      <c r="AG1346" s="395"/>
      <c r="AH1346" s="395"/>
      <c r="AI1346" s="395"/>
      <c r="AJ1346" s="395"/>
      <c r="AK1346" s="395"/>
      <c r="AL1346" s="395"/>
      <c r="AM1346" s="395"/>
      <c r="AN1346" s="395"/>
      <c r="AO1346" s="395"/>
    </row>
    <row r="1347">
      <c r="A1347" s="398"/>
      <c r="B1347" s="398"/>
      <c r="C1347" s="398"/>
      <c r="D1347" s="398"/>
      <c r="E1347" s="399"/>
      <c r="F1347" s="400"/>
      <c r="G1347" s="399"/>
      <c r="H1347" s="400"/>
      <c r="I1347" s="400"/>
      <c r="J1347" s="400"/>
      <c r="K1347" s="400"/>
      <c r="L1347" s="400"/>
      <c r="M1347" s="400"/>
      <c r="N1347" s="400"/>
      <c r="O1347" s="400"/>
      <c r="P1347" s="400"/>
      <c r="Q1347" s="400"/>
      <c r="R1347" s="398"/>
      <c r="S1347" s="401"/>
      <c r="T1347" s="401"/>
      <c r="U1347" s="398"/>
      <c r="V1347" s="398"/>
      <c r="W1347" s="398"/>
      <c r="X1347" s="398"/>
      <c r="Y1347" s="402"/>
      <c r="Z1347" s="403"/>
      <c r="AA1347" s="404"/>
      <c r="AB1347" s="405"/>
      <c r="AC1347" s="405"/>
      <c r="AD1347" s="406"/>
      <c r="AE1347" s="395"/>
      <c r="AF1347" s="395"/>
      <c r="AG1347" s="395"/>
      <c r="AH1347" s="395"/>
      <c r="AI1347" s="395"/>
      <c r="AJ1347" s="395"/>
      <c r="AK1347" s="395"/>
      <c r="AL1347" s="395"/>
      <c r="AM1347" s="395"/>
      <c r="AN1347" s="395"/>
      <c r="AO1347" s="395"/>
    </row>
    <row r="1348">
      <c r="A1348" s="398"/>
      <c r="B1348" s="398"/>
      <c r="C1348" s="398"/>
      <c r="D1348" s="398"/>
      <c r="E1348" s="399"/>
      <c r="F1348" s="400"/>
      <c r="G1348" s="399"/>
      <c r="H1348" s="400"/>
      <c r="I1348" s="400"/>
      <c r="J1348" s="400"/>
      <c r="K1348" s="400"/>
      <c r="L1348" s="400"/>
      <c r="M1348" s="400"/>
      <c r="N1348" s="400"/>
      <c r="O1348" s="400"/>
      <c r="P1348" s="400"/>
      <c r="Q1348" s="400"/>
      <c r="R1348" s="398"/>
      <c r="S1348" s="401"/>
      <c r="T1348" s="401"/>
      <c r="U1348" s="398"/>
      <c r="V1348" s="398"/>
      <c r="W1348" s="398"/>
      <c r="X1348" s="398"/>
      <c r="Y1348" s="402"/>
      <c r="Z1348" s="403"/>
      <c r="AA1348" s="404"/>
      <c r="AB1348" s="405"/>
      <c r="AC1348" s="405"/>
      <c r="AD1348" s="406"/>
      <c r="AE1348" s="395"/>
      <c r="AF1348" s="395"/>
      <c r="AG1348" s="395"/>
      <c r="AH1348" s="395"/>
      <c r="AI1348" s="395"/>
      <c r="AJ1348" s="395"/>
      <c r="AK1348" s="395"/>
      <c r="AL1348" s="395"/>
      <c r="AM1348" s="395"/>
      <c r="AN1348" s="395"/>
      <c r="AO1348" s="395"/>
    </row>
    <row r="1349">
      <c r="A1349" s="398"/>
      <c r="B1349" s="398"/>
      <c r="C1349" s="398"/>
      <c r="D1349" s="398"/>
      <c r="E1349" s="399"/>
      <c r="F1349" s="400"/>
      <c r="G1349" s="399"/>
      <c r="H1349" s="400"/>
      <c r="I1349" s="400"/>
      <c r="J1349" s="400"/>
      <c r="K1349" s="400"/>
      <c r="L1349" s="400"/>
      <c r="M1349" s="400"/>
      <c r="N1349" s="400"/>
      <c r="O1349" s="400"/>
      <c r="P1349" s="400"/>
      <c r="Q1349" s="400"/>
      <c r="R1349" s="398"/>
      <c r="S1349" s="401"/>
      <c r="T1349" s="401"/>
      <c r="U1349" s="398"/>
      <c r="V1349" s="398"/>
      <c r="W1349" s="398"/>
      <c r="X1349" s="398"/>
      <c r="Y1349" s="402"/>
      <c r="Z1349" s="403"/>
      <c r="AA1349" s="404"/>
      <c r="AB1349" s="405"/>
      <c r="AC1349" s="405"/>
      <c r="AD1349" s="406"/>
      <c r="AE1349" s="395"/>
      <c r="AF1349" s="395"/>
      <c r="AG1349" s="395"/>
      <c r="AH1349" s="395"/>
      <c r="AI1349" s="395"/>
      <c r="AJ1349" s="395"/>
      <c r="AK1349" s="395"/>
      <c r="AL1349" s="395"/>
      <c r="AM1349" s="395"/>
      <c r="AN1349" s="395"/>
      <c r="AO1349" s="395"/>
    </row>
    <row r="1350">
      <c r="A1350" s="398"/>
      <c r="B1350" s="398"/>
      <c r="C1350" s="398"/>
      <c r="D1350" s="398"/>
      <c r="E1350" s="399"/>
      <c r="F1350" s="400"/>
      <c r="G1350" s="399"/>
      <c r="H1350" s="400"/>
      <c r="I1350" s="400"/>
      <c r="J1350" s="400"/>
      <c r="K1350" s="400"/>
      <c r="L1350" s="400"/>
      <c r="M1350" s="400"/>
      <c r="N1350" s="400"/>
      <c r="O1350" s="400"/>
      <c r="P1350" s="400"/>
      <c r="Q1350" s="400"/>
      <c r="R1350" s="398"/>
      <c r="S1350" s="401"/>
      <c r="T1350" s="401"/>
      <c r="U1350" s="398"/>
      <c r="V1350" s="398"/>
      <c r="W1350" s="398"/>
      <c r="X1350" s="398"/>
      <c r="Y1350" s="402"/>
      <c r="Z1350" s="403"/>
      <c r="AA1350" s="404"/>
      <c r="AB1350" s="405"/>
      <c r="AC1350" s="405"/>
      <c r="AD1350" s="406"/>
      <c r="AE1350" s="395"/>
      <c r="AF1350" s="395"/>
      <c r="AG1350" s="395"/>
      <c r="AH1350" s="395"/>
      <c r="AI1350" s="395"/>
      <c r="AJ1350" s="395"/>
      <c r="AK1350" s="395"/>
      <c r="AL1350" s="395"/>
      <c r="AM1350" s="395"/>
      <c r="AN1350" s="395"/>
      <c r="AO1350" s="395"/>
    </row>
    <row r="1351">
      <c r="A1351" s="398"/>
      <c r="B1351" s="398"/>
      <c r="C1351" s="398"/>
      <c r="D1351" s="398"/>
      <c r="E1351" s="399"/>
      <c r="F1351" s="400"/>
      <c r="G1351" s="399"/>
      <c r="H1351" s="400"/>
      <c r="I1351" s="400"/>
      <c r="J1351" s="400"/>
      <c r="K1351" s="400"/>
      <c r="L1351" s="400"/>
      <c r="M1351" s="400"/>
      <c r="N1351" s="400"/>
      <c r="O1351" s="400"/>
      <c r="P1351" s="400"/>
      <c r="Q1351" s="400"/>
      <c r="R1351" s="398"/>
      <c r="S1351" s="401"/>
      <c r="T1351" s="401"/>
      <c r="U1351" s="398"/>
      <c r="V1351" s="398"/>
      <c r="W1351" s="398"/>
      <c r="X1351" s="398"/>
      <c r="Y1351" s="402"/>
      <c r="Z1351" s="403"/>
      <c r="AA1351" s="404"/>
      <c r="AB1351" s="405"/>
      <c r="AC1351" s="405"/>
      <c r="AD1351" s="406"/>
      <c r="AE1351" s="395"/>
      <c r="AF1351" s="395"/>
      <c r="AG1351" s="395"/>
      <c r="AH1351" s="395"/>
      <c r="AI1351" s="395"/>
      <c r="AJ1351" s="395"/>
      <c r="AK1351" s="395"/>
      <c r="AL1351" s="395"/>
      <c r="AM1351" s="395"/>
      <c r="AN1351" s="395"/>
      <c r="AO1351" s="395"/>
    </row>
    <row r="1352">
      <c r="A1352" s="398"/>
      <c r="B1352" s="398"/>
      <c r="C1352" s="398"/>
      <c r="D1352" s="398"/>
      <c r="E1352" s="399"/>
      <c r="F1352" s="400"/>
      <c r="G1352" s="399"/>
      <c r="H1352" s="400"/>
      <c r="I1352" s="400"/>
      <c r="J1352" s="400"/>
      <c r="K1352" s="400"/>
      <c r="L1352" s="400"/>
      <c r="M1352" s="400"/>
      <c r="N1352" s="400"/>
      <c r="O1352" s="400"/>
      <c r="P1352" s="400"/>
      <c r="Q1352" s="400"/>
      <c r="R1352" s="398"/>
      <c r="S1352" s="401"/>
      <c r="T1352" s="401"/>
      <c r="U1352" s="398"/>
      <c r="V1352" s="398"/>
      <c r="W1352" s="398"/>
      <c r="X1352" s="398"/>
      <c r="Y1352" s="402"/>
      <c r="Z1352" s="403"/>
      <c r="AA1352" s="404"/>
      <c r="AB1352" s="405"/>
      <c r="AC1352" s="405"/>
      <c r="AD1352" s="406"/>
      <c r="AE1352" s="395"/>
      <c r="AF1352" s="395"/>
      <c r="AG1352" s="395"/>
      <c r="AH1352" s="395"/>
      <c r="AI1352" s="395"/>
      <c r="AJ1352" s="395"/>
      <c r="AK1352" s="395"/>
      <c r="AL1352" s="395"/>
      <c r="AM1352" s="395"/>
      <c r="AN1352" s="395"/>
      <c r="AO1352" s="395"/>
    </row>
    <row r="1353">
      <c r="A1353" s="398"/>
      <c r="B1353" s="398"/>
      <c r="C1353" s="398"/>
      <c r="D1353" s="398"/>
      <c r="E1353" s="399"/>
      <c r="F1353" s="400"/>
      <c r="G1353" s="399"/>
      <c r="H1353" s="400"/>
      <c r="I1353" s="400"/>
      <c r="J1353" s="400"/>
      <c r="K1353" s="400"/>
      <c r="L1353" s="400"/>
      <c r="M1353" s="400"/>
      <c r="N1353" s="400"/>
      <c r="O1353" s="400"/>
      <c r="P1353" s="400"/>
      <c r="Q1353" s="400"/>
      <c r="R1353" s="398"/>
      <c r="S1353" s="401"/>
      <c r="T1353" s="401"/>
      <c r="U1353" s="398"/>
      <c r="V1353" s="398"/>
      <c r="W1353" s="398"/>
      <c r="X1353" s="398"/>
      <c r="Y1353" s="402"/>
      <c r="Z1353" s="403"/>
      <c r="AA1353" s="404"/>
      <c r="AB1353" s="405"/>
      <c r="AC1353" s="405"/>
      <c r="AD1353" s="406"/>
      <c r="AE1353" s="395"/>
      <c r="AF1353" s="395"/>
      <c r="AG1353" s="395"/>
      <c r="AH1353" s="395"/>
      <c r="AI1353" s="395"/>
      <c r="AJ1353" s="395"/>
      <c r="AK1353" s="395"/>
      <c r="AL1353" s="395"/>
      <c r="AM1353" s="395"/>
      <c r="AN1353" s="395"/>
      <c r="AO1353" s="395"/>
    </row>
    <row r="1354">
      <c r="A1354" s="398"/>
      <c r="B1354" s="398"/>
      <c r="C1354" s="398"/>
      <c r="D1354" s="398"/>
      <c r="E1354" s="399"/>
      <c r="F1354" s="400"/>
      <c r="G1354" s="399"/>
      <c r="H1354" s="400"/>
      <c r="I1354" s="400"/>
      <c r="J1354" s="400"/>
      <c r="K1354" s="400"/>
      <c r="L1354" s="400"/>
      <c r="M1354" s="400"/>
      <c r="N1354" s="400"/>
      <c r="O1354" s="400"/>
      <c r="P1354" s="400"/>
      <c r="Q1354" s="400"/>
      <c r="R1354" s="398"/>
      <c r="S1354" s="401"/>
      <c r="T1354" s="401"/>
      <c r="U1354" s="398"/>
      <c r="V1354" s="398"/>
      <c r="W1354" s="398"/>
      <c r="X1354" s="398"/>
      <c r="Y1354" s="402"/>
      <c r="Z1354" s="403"/>
      <c r="AA1354" s="404"/>
      <c r="AB1354" s="405"/>
      <c r="AC1354" s="405"/>
      <c r="AD1354" s="406"/>
      <c r="AE1354" s="395"/>
      <c r="AF1354" s="395"/>
      <c r="AG1354" s="395"/>
      <c r="AH1354" s="395"/>
      <c r="AI1354" s="395"/>
      <c r="AJ1354" s="395"/>
      <c r="AK1354" s="395"/>
      <c r="AL1354" s="395"/>
      <c r="AM1354" s="395"/>
      <c r="AN1354" s="395"/>
      <c r="AO1354" s="395"/>
    </row>
    <row r="1355">
      <c r="A1355" s="398"/>
      <c r="B1355" s="398"/>
      <c r="C1355" s="398"/>
      <c r="D1355" s="398"/>
      <c r="E1355" s="399"/>
      <c r="F1355" s="400"/>
      <c r="G1355" s="399"/>
      <c r="H1355" s="400"/>
      <c r="I1355" s="400"/>
      <c r="J1355" s="400"/>
      <c r="K1355" s="400"/>
      <c r="L1355" s="400"/>
      <c r="M1355" s="400"/>
      <c r="N1355" s="400"/>
      <c r="O1355" s="400"/>
      <c r="P1355" s="400"/>
      <c r="Q1355" s="400"/>
      <c r="R1355" s="398"/>
      <c r="S1355" s="401"/>
      <c r="T1355" s="401"/>
      <c r="U1355" s="398"/>
      <c r="V1355" s="398"/>
      <c r="W1355" s="398"/>
      <c r="X1355" s="398"/>
      <c r="Y1355" s="402"/>
      <c r="Z1355" s="403"/>
      <c r="AA1355" s="404"/>
      <c r="AB1355" s="405"/>
      <c r="AC1355" s="405"/>
      <c r="AD1355" s="406"/>
      <c r="AE1355" s="395"/>
      <c r="AF1355" s="395"/>
      <c r="AG1355" s="395"/>
      <c r="AH1355" s="395"/>
      <c r="AI1355" s="395"/>
      <c r="AJ1355" s="395"/>
      <c r="AK1355" s="395"/>
      <c r="AL1355" s="395"/>
      <c r="AM1355" s="395"/>
      <c r="AN1355" s="395"/>
      <c r="AO1355" s="395"/>
    </row>
    <row r="1356">
      <c r="A1356" s="398"/>
      <c r="B1356" s="398"/>
      <c r="C1356" s="398"/>
      <c r="D1356" s="398"/>
      <c r="E1356" s="399"/>
      <c r="F1356" s="400"/>
      <c r="G1356" s="399"/>
      <c r="H1356" s="400"/>
      <c r="I1356" s="400"/>
      <c r="J1356" s="400"/>
      <c r="K1356" s="400"/>
      <c r="L1356" s="400"/>
      <c r="M1356" s="400"/>
      <c r="N1356" s="400"/>
      <c r="O1356" s="400"/>
      <c r="P1356" s="400"/>
      <c r="Q1356" s="400"/>
      <c r="R1356" s="398"/>
      <c r="S1356" s="401"/>
      <c r="T1356" s="401"/>
      <c r="U1356" s="398"/>
      <c r="V1356" s="398"/>
      <c r="W1356" s="398"/>
      <c r="X1356" s="398"/>
      <c r="Y1356" s="402"/>
      <c r="Z1356" s="403"/>
      <c r="AA1356" s="404"/>
      <c r="AB1356" s="405"/>
      <c r="AC1356" s="405"/>
      <c r="AD1356" s="406"/>
      <c r="AE1356" s="395"/>
      <c r="AF1356" s="395"/>
      <c r="AG1356" s="395"/>
      <c r="AH1356" s="395"/>
      <c r="AI1356" s="395"/>
      <c r="AJ1356" s="395"/>
      <c r="AK1356" s="395"/>
      <c r="AL1356" s="395"/>
      <c r="AM1356" s="395"/>
      <c r="AN1356" s="395"/>
      <c r="AO1356" s="395"/>
    </row>
    <row r="1357">
      <c r="A1357" s="398"/>
      <c r="B1357" s="398"/>
      <c r="C1357" s="398"/>
      <c r="D1357" s="398"/>
      <c r="E1357" s="399"/>
      <c r="F1357" s="400"/>
      <c r="G1357" s="399"/>
      <c r="H1357" s="400"/>
      <c r="I1357" s="400"/>
      <c r="J1357" s="400"/>
      <c r="K1357" s="400"/>
      <c r="L1357" s="400"/>
      <c r="M1357" s="400"/>
      <c r="N1357" s="400"/>
      <c r="O1357" s="400"/>
      <c r="P1357" s="400"/>
      <c r="Q1357" s="400"/>
      <c r="R1357" s="398"/>
      <c r="S1357" s="401"/>
      <c r="T1357" s="401"/>
      <c r="U1357" s="398"/>
      <c r="V1357" s="398"/>
      <c r="W1357" s="398"/>
      <c r="X1357" s="398"/>
      <c r="Y1357" s="402"/>
      <c r="Z1357" s="403"/>
      <c r="AA1357" s="404"/>
      <c r="AB1357" s="405"/>
      <c r="AC1357" s="405"/>
      <c r="AD1357" s="406"/>
      <c r="AE1357" s="395"/>
      <c r="AF1357" s="395"/>
      <c r="AG1357" s="395"/>
      <c r="AH1357" s="395"/>
      <c r="AI1357" s="395"/>
      <c r="AJ1357" s="395"/>
      <c r="AK1357" s="395"/>
      <c r="AL1357" s="395"/>
      <c r="AM1357" s="395"/>
      <c r="AN1357" s="395"/>
      <c r="AO1357" s="395"/>
    </row>
    <row r="1358">
      <c r="A1358" s="398"/>
      <c r="B1358" s="398"/>
      <c r="C1358" s="398"/>
      <c r="D1358" s="398"/>
      <c r="E1358" s="399"/>
      <c r="F1358" s="400"/>
      <c r="G1358" s="399"/>
      <c r="H1358" s="400"/>
      <c r="I1358" s="400"/>
      <c r="J1358" s="400"/>
      <c r="K1358" s="400"/>
      <c r="L1358" s="400"/>
      <c r="M1358" s="400"/>
      <c r="N1358" s="400"/>
      <c r="O1358" s="400"/>
      <c r="P1358" s="400"/>
      <c r="Q1358" s="400"/>
      <c r="R1358" s="398"/>
      <c r="S1358" s="401"/>
      <c r="T1358" s="401"/>
      <c r="U1358" s="398"/>
      <c r="V1358" s="398"/>
      <c r="W1358" s="398"/>
      <c r="X1358" s="398"/>
      <c r="Y1358" s="402"/>
      <c r="Z1358" s="403"/>
      <c r="AA1358" s="404"/>
      <c r="AB1358" s="405"/>
      <c r="AC1358" s="405"/>
      <c r="AD1358" s="406"/>
      <c r="AE1358" s="395"/>
      <c r="AF1358" s="395"/>
      <c r="AG1358" s="395"/>
      <c r="AH1358" s="395"/>
      <c r="AI1358" s="395"/>
      <c r="AJ1358" s="395"/>
      <c r="AK1358" s="395"/>
      <c r="AL1358" s="395"/>
      <c r="AM1358" s="395"/>
      <c r="AN1358" s="395"/>
      <c r="AO1358" s="395"/>
    </row>
    <row r="1359">
      <c r="A1359" s="398"/>
      <c r="B1359" s="398"/>
      <c r="C1359" s="398"/>
      <c r="D1359" s="398"/>
      <c r="E1359" s="399"/>
      <c r="F1359" s="400"/>
      <c r="G1359" s="399"/>
      <c r="H1359" s="400"/>
      <c r="I1359" s="400"/>
      <c r="J1359" s="400"/>
      <c r="K1359" s="400"/>
      <c r="L1359" s="400"/>
      <c r="M1359" s="400"/>
      <c r="N1359" s="400"/>
      <c r="O1359" s="400"/>
      <c r="P1359" s="400"/>
      <c r="Q1359" s="400"/>
      <c r="R1359" s="398"/>
      <c r="S1359" s="401"/>
      <c r="T1359" s="401"/>
      <c r="U1359" s="398"/>
      <c r="V1359" s="398"/>
      <c r="W1359" s="398"/>
      <c r="X1359" s="398"/>
      <c r="Y1359" s="402"/>
      <c r="Z1359" s="403"/>
      <c r="AA1359" s="404"/>
      <c r="AB1359" s="405"/>
      <c r="AC1359" s="405"/>
      <c r="AD1359" s="406"/>
      <c r="AE1359" s="395"/>
      <c r="AF1359" s="395"/>
      <c r="AG1359" s="395"/>
      <c r="AH1359" s="395"/>
      <c r="AI1359" s="395"/>
      <c r="AJ1359" s="395"/>
      <c r="AK1359" s="395"/>
      <c r="AL1359" s="395"/>
      <c r="AM1359" s="395"/>
      <c r="AN1359" s="395"/>
      <c r="AO1359" s="395"/>
    </row>
    <row r="1360">
      <c r="A1360" s="398"/>
      <c r="B1360" s="398"/>
      <c r="C1360" s="398"/>
      <c r="D1360" s="398"/>
      <c r="E1360" s="399"/>
      <c r="F1360" s="400"/>
      <c r="G1360" s="399"/>
      <c r="H1360" s="400"/>
      <c r="I1360" s="400"/>
      <c r="J1360" s="400"/>
      <c r="K1360" s="400"/>
      <c r="L1360" s="400"/>
      <c r="M1360" s="400"/>
      <c r="N1360" s="400"/>
      <c r="O1360" s="400"/>
      <c r="P1360" s="400"/>
      <c r="Q1360" s="400"/>
      <c r="R1360" s="398"/>
      <c r="S1360" s="401"/>
      <c r="T1360" s="401"/>
      <c r="U1360" s="398"/>
      <c r="V1360" s="398"/>
      <c r="W1360" s="398"/>
      <c r="X1360" s="398"/>
      <c r="Y1360" s="402"/>
      <c r="Z1360" s="403"/>
      <c r="AA1360" s="404"/>
      <c r="AB1360" s="405"/>
      <c r="AC1360" s="405"/>
      <c r="AD1360" s="406"/>
      <c r="AE1360" s="395"/>
      <c r="AF1360" s="395"/>
      <c r="AG1360" s="395"/>
      <c r="AH1360" s="395"/>
      <c r="AI1360" s="395"/>
      <c r="AJ1360" s="395"/>
      <c r="AK1360" s="395"/>
      <c r="AL1360" s="395"/>
      <c r="AM1360" s="395"/>
      <c r="AN1360" s="395"/>
      <c r="AO1360" s="395"/>
    </row>
    <row r="1361">
      <c r="A1361" s="398"/>
      <c r="B1361" s="398"/>
      <c r="C1361" s="398"/>
      <c r="D1361" s="398"/>
      <c r="E1361" s="399"/>
      <c r="F1361" s="400"/>
      <c r="G1361" s="399"/>
      <c r="H1361" s="400"/>
      <c r="I1361" s="400"/>
      <c r="J1361" s="400"/>
      <c r="K1361" s="400"/>
      <c r="L1361" s="400"/>
      <c r="M1361" s="400"/>
      <c r="N1361" s="400"/>
      <c r="O1361" s="400"/>
      <c r="P1361" s="400"/>
      <c r="Q1361" s="400"/>
      <c r="R1361" s="398"/>
      <c r="S1361" s="401"/>
      <c r="T1361" s="401"/>
      <c r="U1361" s="398"/>
      <c r="V1361" s="398"/>
      <c r="W1361" s="398"/>
      <c r="X1361" s="398"/>
      <c r="Y1361" s="402"/>
      <c r="Z1361" s="403"/>
      <c r="AA1361" s="404"/>
      <c r="AB1361" s="405"/>
      <c r="AC1361" s="405"/>
      <c r="AD1361" s="406"/>
      <c r="AE1361" s="395"/>
      <c r="AF1361" s="395"/>
      <c r="AG1361" s="395"/>
      <c r="AH1361" s="395"/>
      <c r="AI1361" s="395"/>
      <c r="AJ1361" s="395"/>
      <c r="AK1361" s="395"/>
      <c r="AL1361" s="395"/>
      <c r="AM1361" s="395"/>
      <c r="AN1361" s="395"/>
      <c r="AO1361" s="395"/>
    </row>
    <row r="1362">
      <c r="A1362" s="398"/>
      <c r="B1362" s="398"/>
      <c r="C1362" s="398"/>
      <c r="D1362" s="398"/>
      <c r="E1362" s="399"/>
      <c r="F1362" s="400"/>
      <c r="G1362" s="399"/>
      <c r="H1362" s="400"/>
      <c r="I1362" s="400"/>
      <c r="J1362" s="400"/>
      <c r="K1362" s="400"/>
      <c r="L1362" s="400"/>
      <c r="M1362" s="400"/>
      <c r="N1362" s="400"/>
      <c r="O1362" s="400"/>
      <c r="P1362" s="400"/>
      <c r="Q1362" s="400"/>
      <c r="R1362" s="398"/>
      <c r="S1362" s="401"/>
      <c r="T1362" s="401"/>
      <c r="U1362" s="398"/>
      <c r="V1362" s="398"/>
      <c r="W1362" s="398"/>
      <c r="X1362" s="398"/>
      <c r="Y1362" s="402"/>
      <c r="Z1362" s="403"/>
      <c r="AA1362" s="404"/>
      <c r="AB1362" s="405"/>
      <c r="AC1362" s="405"/>
      <c r="AD1362" s="406"/>
      <c r="AE1362" s="395"/>
      <c r="AF1362" s="395"/>
      <c r="AG1362" s="395"/>
      <c r="AH1362" s="395"/>
      <c r="AI1362" s="395"/>
      <c r="AJ1362" s="395"/>
      <c r="AK1362" s="395"/>
      <c r="AL1362" s="395"/>
      <c r="AM1362" s="395"/>
      <c r="AN1362" s="395"/>
      <c r="AO1362" s="395"/>
    </row>
    <row r="1363">
      <c r="A1363" s="398"/>
      <c r="B1363" s="398"/>
      <c r="C1363" s="398"/>
      <c r="D1363" s="398"/>
      <c r="E1363" s="399"/>
      <c r="F1363" s="400"/>
      <c r="G1363" s="399"/>
      <c r="H1363" s="400"/>
      <c r="I1363" s="400"/>
      <c r="J1363" s="400"/>
      <c r="K1363" s="400"/>
      <c r="L1363" s="400"/>
      <c r="M1363" s="400"/>
      <c r="N1363" s="400"/>
      <c r="O1363" s="400"/>
      <c r="P1363" s="400"/>
      <c r="Q1363" s="400"/>
      <c r="R1363" s="398"/>
      <c r="S1363" s="401"/>
      <c r="T1363" s="401"/>
      <c r="U1363" s="398"/>
      <c r="V1363" s="398"/>
      <c r="W1363" s="398"/>
      <c r="X1363" s="398"/>
      <c r="Y1363" s="402"/>
      <c r="Z1363" s="403"/>
      <c r="AA1363" s="404"/>
      <c r="AB1363" s="405"/>
      <c r="AC1363" s="405"/>
      <c r="AD1363" s="406"/>
      <c r="AE1363" s="395"/>
      <c r="AF1363" s="395"/>
      <c r="AG1363" s="395"/>
      <c r="AH1363" s="395"/>
      <c r="AI1363" s="395"/>
      <c r="AJ1363" s="395"/>
      <c r="AK1363" s="395"/>
      <c r="AL1363" s="395"/>
      <c r="AM1363" s="395"/>
      <c r="AN1363" s="395"/>
      <c r="AO1363" s="395"/>
    </row>
    <row r="1364">
      <c r="A1364" s="398"/>
      <c r="B1364" s="398"/>
      <c r="C1364" s="398"/>
      <c r="D1364" s="398"/>
      <c r="E1364" s="399"/>
      <c r="F1364" s="400"/>
      <c r="G1364" s="399"/>
      <c r="H1364" s="400"/>
      <c r="I1364" s="400"/>
      <c r="J1364" s="400"/>
      <c r="K1364" s="400"/>
      <c r="L1364" s="400"/>
      <c r="M1364" s="400"/>
      <c r="N1364" s="400"/>
      <c r="O1364" s="400"/>
      <c r="P1364" s="400"/>
      <c r="Q1364" s="400"/>
      <c r="R1364" s="398"/>
      <c r="S1364" s="401"/>
      <c r="T1364" s="401"/>
      <c r="U1364" s="398"/>
      <c r="V1364" s="398"/>
      <c r="W1364" s="398"/>
      <c r="X1364" s="398"/>
      <c r="Y1364" s="402"/>
      <c r="Z1364" s="403"/>
      <c r="AA1364" s="404"/>
      <c r="AB1364" s="405"/>
      <c r="AC1364" s="405"/>
      <c r="AD1364" s="406"/>
      <c r="AE1364" s="395"/>
      <c r="AF1364" s="395"/>
      <c r="AG1364" s="395"/>
      <c r="AH1364" s="395"/>
      <c r="AI1364" s="395"/>
      <c r="AJ1364" s="395"/>
      <c r="AK1364" s="395"/>
      <c r="AL1364" s="395"/>
      <c r="AM1364" s="395"/>
      <c r="AN1364" s="395"/>
      <c r="AO1364" s="395"/>
    </row>
    <row r="1365">
      <c r="A1365" s="398"/>
      <c r="B1365" s="398"/>
      <c r="C1365" s="398"/>
      <c r="D1365" s="398"/>
      <c r="E1365" s="399"/>
      <c r="F1365" s="400"/>
      <c r="G1365" s="399"/>
      <c r="H1365" s="400"/>
      <c r="I1365" s="400"/>
      <c r="J1365" s="400"/>
      <c r="K1365" s="400"/>
      <c r="L1365" s="400"/>
      <c r="M1365" s="400"/>
      <c r="N1365" s="400"/>
      <c r="O1365" s="400"/>
      <c r="P1365" s="400"/>
      <c r="Q1365" s="400"/>
      <c r="R1365" s="398"/>
      <c r="S1365" s="401"/>
      <c r="T1365" s="401"/>
      <c r="U1365" s="398"/>
      <c r="V1365" s="398"/>
      <c r="W1365" s="398"/>
      <c r="X1365" s="398"/>
      <c r="Y1365" s="402"/>
      <c r="Z1365" s="403"/>
      <c r="AA1365" s="404"/>
      <c r="AB1365" s="405"/>
      <c r="AC1365" s="405"/>
      <c r="AD1365" s="406"/>
      <c r="AE1365" s="395"/>
      <c r="AF1365" s="395"/>
      <c r="AG1365" s="395"/>
      <c r="AH1365" s="395"/>
      <c r="AI1365" s="395"/>
      <c r="AJ1365" s="395"/>
      <c r="AK1365" s="395"/>
      <c r="AL1365" s="395"/>
      <c r="AM1365" s="395"/>
      <c r="AN1365" s="395"/>
      <c r="AO1365" s="395"/>
    </row>
    <row r="1366">
      <c r="A1366" s="398"/>
      <c r="B1366" s="398"/>
      <c r="C1366" s="398"/>
      <c r="D1366" s="398"/>
      <c r="E1366" s="399"/>
      <c r="F1366" s="400"/>
      <c r="G1366" s="399"/>
      <c r="H1366" s="400"/>
      <c r="I1366" s="400"/>
      <c r="J1366" s="400"/>
      <c r="K1366" s="400"/>
      <c r="L1366" s="400"/>
      <c r="M1366" s="400"/>
      <c r="N1366" s="400"/>
      <c r="O1366" s="400"/>
      <c r="P1366" s="400"/>
      <c r="Q1366" s="400"/>
      <c r="R1366" s="398"/>
      <c r="S1366" s="401"/>
      <c r="T1366" s="401"/>
      <c r="U1366" s="398"/>
      <c r="V1366" s="398"/>
      <c r="W1366" s="398"/>
      <c r="X1366" s="398"/>
      <c r="Y1366" s="402"/>
      <c r="Z1366" s="403"/>
      <c r="AA1366" s="404"/>
      <c r="AB1366" s="405"/>
      <c r="AC1366" s="405"/>
      <c r="AD1366" s="406"/>
      <c r="AE1366" s="395"/>
      <c r="AF1366" s="395"/>
      <c r="AG1366" s="395"/>
      <c r="AH1366" s="395"/>
      <c r="AI1366" s="395"/>
      <c r="AJ1366" s="395"/>
      <c r="AK1366" s="395"/>
      <c r="AL1366" s="395"/>
      <c r="AM1366" s="395"/>
      <c r="AN1366" s="395"/>
      <c r="AO1366" s="395"/>
    </row>
    <row r="1367">
      <c r="A1367" s="398"/>
      <c r="B1367" s="398"/>
      <c r="C1367" s="398"/>
      <c r="D1367" s="398"/>
      <c r="E1367" s="399"/>
      <c r="F1367" s="400"/>
      <c r="G1367" s="399"/>
      <c r="H1367" s="400"/>
      <c r="I1367" s="400"/>
      <c r="J1367" s="400"/>
      <c r="K1367" s="400"/>
      <c r="L1367" s="400"/>
      <c r="M1367" s="400"/>
      <c r="N1367" s="400"/>
      <c r="O1367" s="400"/>
      <c r="P1367" s="400"/>
      <c r="Q1367" s="400"/>
      <c r="R1367" s="398"/>
      <c r="S1367" s="401"/>
      <c r="T1367" s="401"/>
      <c r="U1367" s="398"/>
      <c r="V1367" s="398"/>
      <c r="W1367" s="398"/>
      <c r="X1367" s="398"/>
      <c r="Y1367" s="402"/>
      <c r="Z1367" s="403"/>
      <c r="AA1367" s="404"/>
      <c r="AB1367" s="405"/>
      <c r="AC1367" s="405"/>
      <c r="AD1367" s="406"/>
      <c r="AE1367" s="395"/>
      <c r="AF1367" s="395"/>
      <c r="AG1367" s="395"/>
      <c r="AH1367" s="395"/>
      <c r="AI1367" s="395"/>
      <c r="AJ1367" s="395"/>
      <c r="AK1367" s="395"/>
      <c r="AL1367" s="395"/>
      <c r="AM1367" s="395"/>
      <c r="AN1367" s="395"/>
      <c r="AO1367" s="395"/>
    </row>
    <row r="1368">
      <c r="A1368" s="398"/>
      <c r="B1368" s="398"/>
      <c r="C1368" s="398"/>
      <c r="D1368" s="398"/>
      <c r="E1368" s="399"/>
      <c r="F1368" s="400"/>
      <c r="G1368" s="399"/>
      <c r="H1368" s="400"/>
      <c r="I1368" s="400"/>
      <c r="J1368" s="400"/>
      <c r="K1368" s="400"/>
      <c r="L1368" s="400"/>
      <c r="M1368" s="400"/>
      <c r="N1368" s="400"/>
      <c r="O1368" s="400"/>
      <c r="P1368" s="400"/>
      <c r="Q1368" s="400"/>
      <c r="R1368" s="398"/>
      <c r="S1368" s="401"/>
      <c r="T1368" s="401"/>
      <c r="U1368" s="398"/>
      <c r="V1368" s="398"/>
      <c r="W1368" s="398"/>
      <c r="X1368" s="398"/>
      <c r="Y1368" s="402"/>
      <c r="Z1368" s="403"/>
      <c r="AA1368" s="404"/>
      <c r="AB1368" s="405"/>
      <c r="AC1368" s="405"/>
      <c r="AD1368" s="406"/>
      <c r="AE1368" s="395"/>
      <c r="AF1368" s="395"/>
      <c r="AG1368" s="395"/>
      <c r="AH1368" s="395"/>
      <c r="AI1368" s="395"/>
      <c r="AJ1368" s="395"/>
      <c r="AK1368" s="395"/>
      <c r="AL1368" s="395"/>
      <c r="AM1368" s="395"/>
      <c r="AN1368" s="395"/>
      <c r="AO1368" s="395"/>
    </row>
    <row r="1369">
      <c r="A1369" s="398"/>
      <c r="B1369" s="398"/>
      <c r="C1369" s="398"/>
      <c r="D1369" s="398"/>
      <c r="E1369" s="399"/>
      <c r="F1369" s="400"/>
      <c r="G1369" s="399"/>
      <c r="H1369" s="400"/>
      <c r="I1369" s="400"/>
      <c r="J1369" s="400"/>
      <c r="K1369" s="400"/>
      <c r="L1369" s="400"/>
      <c r="M1369" s="400"/>
      <c r="N1369" s="400"/>
      <c r="O1369" s="400"/>
      <c r="P1369" s="400"/>
      <c r="Q1369" s="400"/>
      <c r="R1369" s="398"/>
      <c r="S1369" s="401"/>
      <c r="T1369" s="401"/>
      <c r="U1369" s="398"/>
      <c r="V1369" s="398"/>
      <c r="W1369" s="398"/>
      <c r="X1369" s="398"/>
      <c r="Y1369" s="402"/>
      <c r="Z1369" s="403"/>
      <c r="AA1369" s="404"/>
      <c r="AB1369" s="405"/>
      <c r="AC1369" s="405"/>
      <c r="AD1369" s="406"/>
      <c r="AE1369" s="395"/>
      <c r="AF1369" s="395"/>
      <c r="AG1369" s="395"/>
      <c r="AH1369" s="395"/>
      <c r="AI1369" s="395"/>
      <c r="AJ1369" s="395"/>
      <c r="AK1369" s="395"/>
      <c r="AL1369" s="395"/>
      <c r="AM1369" s="395"/>
      <c r="AN1369" s="395"/>
      <c r="AO1369" s="395"/>
    </row>
    <row r="1370">
      <c r="A1370" s="398"/>
      <c r="B1370" s="398"/>
      <c r="C1370" s="398"/>
      <c r="D1370" s="398"/>
      <c r="E1370" s="399"/>
      <c r="F1370" s="400"/>
      <c r="G1370" s="399"/>
      <c r="H1370" s="400"/>
      <c r="I1370" s="400"/>
      <c r="J1370" s="400"/>
      <c r="K1370" s="400"/>
      <c r="L1370" s="400"/>
      <c r="M1370" s="400"/>
      <c r="N1370" s="400"/>
      <c r="O1370" s="400"/>
      <c r="P1370" s="400"/>
      <c r="Q1370" s="400"/>
      <c r="R1370" s="398"/>
      <c r="S1370" s="401"/>
      <c r="T1370" s="401"/>
      <c r="U1370" s="398"/>
      <c r="V1370" s="398"/>
      <c r="W1370" s="398"/>
      <c r="X1370" s="398"/>
      <c r="Y1370" s="402"/>
      <c r="Z1370" s="403"/>
      <c r="AA1370" s="404"/>
      <c r="AB1370" s="405"/>
      <c r="AC1370" s="405"/>
      <c r="AD1370" s="406"/>
      <c r="AE1370" s="395"/>
      <c r="AF1370" s="395"/>
      <c r="AG1370" s="395"/>
      <c r="AH1370" s="395"/>
      <c r="AI1370" s="395"/>
      <c r="AJ1370" s="395"/>
      <c r="AK1370" s="395"/>
      <c r="AL1370" s="395"/>
      <c r="AM1370" s="395"/>
      <c r="AN1370" s="395"/>
      <c r="AO1370" s="395"/>
    </row>
    <row r="1371">
      <c r="A1371" s="398"/>
      <c r="B1371" s="398"/>
      <c r="C1371" s="398"/>
      <c r="D1371" s="398"/>
      <c r="E1371" s="399"/>
      <c r="F1371" s="400"/>
      <c r="G1371" s="399"/>
      <c r="H1371" s="400"/>
      <c r="I1371" s="400"/>
      <c r="J1371" s="400"/>
      <c r="K1371" s="400"/>
      <c r="L1371" s="400"/>
      <c r="M1371" s="400"/>
      <c r="N1371" s="400"/>
      <c r="O1371" s="400"/>
      <c r="P1371" s="400"/>
      <c r="Q1371" s="400"/>
      <c r="R1371" s="398"/>
      <c r="S1371" s="401"/>
      <c r="T1371" s="401"/>
      <c r="U1371" s="398"/>
      <c r="V1371" s="398"/>
      <c r="W1371" s="398"/>
      <c r="X1371" s="398"/>
      <c r="Y1371" s="402"/>
      <c r="Z1371" s="403"/>
      <c r="AA1371" s="404"/>
      <c r="AB1371" s="405"/>
      <c r="AC1371" s="405"/>
      <c r="AD1371" s="406"/>
      <c r="AE1371" s="395"/>
      <c r="AF1371" s="395"/>
      <c r="AG1371" s="395"/>
      <c r="AH1371" s="395"/>
      <c r="AI1371" s="395"/>
      <c r="AJ1371" s="395"/>
      <c r="AK1371" s="395"/>
      <c r="AL1371" s="395"/>
      <c r="AM1371" s="395"/>
      <c r="AN1371" s="395"/>
      <c r="AO1371" s="395"/>
    </row>
    <row r="1372">
      <c r="A1372" s="398"/>
      <c r="B1372" s="398"/>
      <c r="C1372" s="398"/>
      <c r="D1372" s="398"/>
      <c r="E1372" s="399"/>
      <c r="F1372" s="400"/>
      <c r="G1372" s="399"/>
      <c r="H1372" s="400"/>
      <c r="I1372" s="400"/>
      <c r="J1372" s="400"/>
      <c r="K1372" s="400"/>
      <c r="L1372" s="400"/>
      <c r="M1372" s="400"/>
      <c r="N1372" s="400"/>
      <c r="O1372" s="400"/>
      <c r="P1372" s="400"/>
      <c r="Q1372" s="400"/>
      <c r="R1372" s="398"/>
      <c r="S1372" s="401"/>
      <c r="T1372" s="401"/>
      <c r="U1372" s="398"/>
      <c r="V1372" s="398"/>
      <c r="W1372" s="398"/>
      <c r="X1372" s="398"/>
      <c r="Y1372" s="402"/>
      <c r="Z1372" s="403"/>
      <c r="AA1372" s="404"/>
      <c r="AB1372" s="405"/>
      <c r="AC1372" s="405"/>
      <c r="AD1372" s="406"/>
      <c r="AE1372" s="395"/>
      <c r="AF1372" s="395"/>
      <c r="AG1372" s="395"/>
      <c r="AH1372" s="395"/>
      <c r="AI1372" s="395"/>
      <c r="AJ1372" s="395"/>
      <c r="AK1372" s="395"/>
      <c r="AL1372" s="395"/>
      <c r="AM1372" s="395"/>
      <c r="AN1372" s="395"/>
      <c r="AO1372" s="395"/>
    </row>
    <row r="1373">
      <c r="A1373" s="398"/>
      <c r="B1373" s="398"/>
      <c r="C1373" s="398"/>
      <c r="D1373" s="398"/>
      <c r="E1373" s="399"/>
      <c r="F1373" s="400"/>
      <c r="G1373" s="399"/>
      <c r="H1373" s="400"/>
      <c r="I1373" s="400"/>
      <c r="J1373" s="400"/>
      <c r="K1373" s="400"/>
      <c r="L1373" s="400"/>
      <c r="M1373" s="400"/>
      <c r="N1373" s="400"/>
      <c r="O1373" s="400"/>
      <c r="P1373" s="400"/>
      <c r="Q1373" s="400"/>
      <c r="R1373" s="398"/>
      <c r="S1373" s="401"/>
      <c r="T1373" s="401"/>
      <c r="U1373" s="398"/>
      <c r="V1373" s="398"/>
      <c r="W1373" s="398"/>
      <c r="X1373" s="398"/>
      <c r="Y1373" s="402"/>
      <c r="Z1373" s="403"/>
      <c r="AA1373" s="404"/>
      <c r="AB1373" s="405"/>
      <c r="AC1373" s="405"/>
      <c r="AD1373" s="406"/>
      <c r="AE1373" s="395"/>
      <c r="AF1373" s="395"/>
      <c r="AG1373" s="395"/>
      <c r="AH1373" s="395"/>
      <c r="AI1373" s="395"/>
      <c r="AJ1373" s="395"/>
      <c r="AK1373" s="395"/>
      <c r="AL1373" s="395"/>
      <c r="AM1373" s="395"/>
      <c r="AN1373" s="395"/>
      <c r="AO1373" s="395"/>
    </row>
    <row r="1374">
      <c r="A1374" s="398"/>
      <c r="B1374" s="398"/>
      <c r="C1374" s="398"/>
      <c r="D1374" s="398"/>
      <c r="E1374" s="399"/>
      <c r="F1374" s="400"/>
      <c r="G1374" s="399"/>
      <c r="H1374" s="400"/>
      <c r="I1374" s="400"/>
      <c r="J1374" s="400"/>
      <c r="K1374" s="400"/>
      <c r="L1374" s="400"/>
      <c r="M1374" s="400"/>
      <c r="N1374" s="400"/>
      <c r="O1374" s="400"/>
      <c r="P1374" s="400"/>
      <c r="Q1374" s="400"/>
      <c r="R1374" s="398"/>
      <c r="S1374" s="401"/>
      <c r="T1374" s="401"/>
      <c r="U1374" s="398"/>
      <c r="V1374" s="398"/>
      <c r="W1374" s="398"/>
      <c r="X1374" s="398"/>
      <c r="Y1374" s="402"/>
      <c r="Z1374" s="403"/>
      <c r="AA1374" s="404"/>
      <c r="AB1374" s="405"/>
      <c r="AC1374" s="405"/>
      <c r="AD1374" s="406"/>
      <c r="AE1374" s="395"/>
      <c r="AF1374" s="395"/>
      <c r="AG1374" s="395"/>
      <c r="AH1374" s="395"/>
      <c r="AI1374" s="395"/>
      <c r="AJ1374" s="395"/>
      <c r="AK1374" s="395"/>
      <c r="AL1374" s="395"/>
      <c r="AM1374" s="395"/>
      <c r="AN1374" s="395"/>
      <c r="AO1374" s="395"/>
    </row>
    <row r="1375">
      <c r="A1375" s="398"/>
      <c r="B1375" s="398"/>
      <c r="C1375" s="398"/>
      <c r="D1375" s="398"/>
      <c r="E1375" s="399"/>
      <c r="F1375" s="400"/>
      <c r="G1375" s="399"/>
      <c r="H1375" s="400"/>
      <c r="I1375" s="400"/>
      <c r="J1375" s="400"/>
      <c r="K1375" s="400"/>
      <c r="L1375" s="400"/>
      <c r="M1375" s="400"/>
      <c r="N1375" s="400"/>
      <c r="O1375" s="400"/>
      <c r="P1375" s="400"/>
      <c r="Q1375" s="400"/>
      <c r="R1375" s="398"/>
      <c r="S1375" s="401"/>
      <c r="T1375" s="401"/>
      <c r="U1375" s="398"/>
      <c r="V1375" s="398"/>
      <c r="W1375" s="398"/>
      <c r="X1375" s="398"/>
      <c r="Y1375" s="402"/>
      <c r="Z1375" s="403"/>
      <c r="AA1375" s="404"/>
      <c r="AB1375" s="405"/>
      <c r="AC1375" s="405"/>
      <c r="AD1375" s="406"/>
      <c r="AE1375" s="395"/>
      <c r="AF1375" s="395"/>
      <c r="AG1375" s="395"/>
      <c r="AH1375" s="395"/>
      <c r="AI1375" s="395"/>
      <c r="AJ1375" s="395"/>
      <c r="AK1375" s="395"/>
      <c r="AL1375" s="395"/>
      <c r="AM1375" s="395"/>
      <c r="AN1375" s="395"/>
      <c r="AO1375" s="395"/>
    </row>
    <row r="1376">
      <c r="A1376" s="398"/>
      <c r="B1376" s="398"/>
      <c r="C1376" s="398"/>
      <c r="D1376" s="398"/>
      <c r="E1376" s="399"/>
      <c r="F1376" s="400"/>
      <c r="G1376" s="399"/>
      <c r="H1376" s="400"/>
      <c r="I1376" s="400"/>
      <c r="J1376" s="400"/>
      <c r="K1376" s="400"/>
      <c r="L1376" s="400"/>
      <c r="M1376" s="400"/>
      <c r="N1376" s="400"/>
      <c r="O1376" s="400"/>
      <c r="P1376" s="400"/>
      <c r="Q1376" s="400"/>
      <c r="R1376" s="398"/>
      <c r="S1376" s="401"/>
      <c r="T1376" s="401"/>
      <c r="U1376" s="398"/>
      <c r="V1376" s="398"/>
      <c r="W1376" s="398"/>
      <c r="X1376" s="398"/>
      <c r="Y1376" s="402"/>
      <c r="Z1376" s="403"/>
      <c r="AA1376" s="404"/>
      <c r="AB1376" s="405"/>
      <c r="AC1376" s="405"/>
      <c r="AD1376" s="406"/>
      <c r="AE1376" s="395"/>
      <c r="AF1376" s="395"/>
      <c r="AG1376" s="395"/>
      <c r="AH1376" s="395"/>
      <c r="AI1376" s="395"/>
      <c r="AJ1376" s="395"/>
      <c r="AK1376" s="395"/>
      <c r="AL1376" s="395"/>
      <c r="AM1376" s="395"/>
      <c r="AN1376" s="395"/>
      <c r="AO1376" s="395"/>
    </row>
    <row r="1377">
      <c r="A1377" s="398"/>
      <c r="B1377" s="398"/>
      <c r="C1377" s="398"/>
      <c r="D1377" s="398"/>
      <c r="E1377" s="399"/>
      <c r="F1377" s="400"/>
      <c r="G1377" s="399"/>
      <c r="H1377" s="400"/>
      <c r="I1377" s="400"/>
      <c r="J1377" s="400"/>
      <c r="K1377" s="400"/>
      <c r="L1377" s="400"/>
      <c r="M1377" s="400"/>
      <c r="N1377" s="400"/>
      <c r="O1377" s="400"/>
      <c r="P1377" s="400"/>
      <c r="Q1377" s="400"/>
      <c r="R1377" s="398"/>
      <c r="S1377" s="401"/>
      <c r="T1377" s="401"/>
      <c r="U1377" s="398"/>
      <c r="V1377" s="398"/>
      <c r="W1377" s="398"/>
      <c r="X1377" s="398"/>
      <c r="Y1377" s="402"/>
      <c r="Z1377" s="403"/>
      <c r="AA1377" s="404"/>
      <c r="AB1377" s="405"/>
      <c r="AC1377" s="405"/>
      <c r="AD1377" s="406"/>
      <c r="AE1377" s="395"/>
      <c r="AF1377" s="395"/>
      <c r="AG1377" s="395"/>
      <c r="AH1377" s="395"/>
      <c r="AI1377" s="395"/>
      <c r="AJ1377" s="395"/>
      <c r="AK1377" s="395"/>
      <c r="AL1377" s="395"/>
      <c r="AM1377" s="395"/>
      <c r="AN1377" s="395"/>
      <c r="AO1377" s="395"/>
    </row>
    <row r="1378">
      <c r="A1378" s="398"/>
      <c r="B1378" s="398"/>
      <c r="C1378" s="398"/>
      <c r="D1378" s="398"/>
      <c r="E1378" s="399"/>
      <c r="F1378" s="400"/>
      <c r="G1378" s="399"/>
      <c r="H1378" s="400"/>
      <c r="I1378" s="400"/>
      <c r="J1378" s="400"/>
      <c r="K1378" s="400"/>
      <c r="L1378" s="400"/>
      <c r="M1378" s="400"/>
      <c r="N1378" s="400"/>
      <c r="O1378" s="400"/>
      <c r="P1378" s="400"/>
      <c r="Q1378" s="400"/>
      <c r="R1378" s="398"/>
      <c r="S1378" s="401"/>
      <c r="T1378" s="401"/>
      <c r="U1378" s="398"/>
      <c r="V1378" s="398"/>
      <c r="W1378" s="398"/>
      <c r="X1378" s="398"/>
      <c r="Y1378" s="402"/>
      <c r="Z1378" s="403"/>
      <c r="AA1378" s="404"/>
      <c r="AB1378" s="405"/>
      <c r="AC1378" s="405"/>
      <c r="AD1378" s="406"/>
      <c r="AE1378" s="395"/>
      <c r="AF1378" s="395"/>
      <c r="AG1378" s="395"/>
      <c r="AH1378" s="395"/>
      <c r="AI1378" s="395"/>
      <c r="AJ1378" s="395"/>
      <c r="AK1378" s="395"/>
      <c r="AL1378" s="395"/>
      <c r="AM1378" s="395"/>
      <c r="AN1378" s="395"/>
      <c r="AO1378" s="395"/>
    </row>
    <row r="1379">
      <c r="A1379" s="398"/>
      <c r="B1379" s="398"/>
      <c r="C1379" s="398"/>
      <c r="D1379" s="398"/>
      <c r="E1379" s="399"/>
      <c r="F1379" s="400"/>
      <c r="G1379" s="399"/>
      <c r="H1379" s="400"/>
      <c r="I1379" s="400"/>
      <c r="J1379" s="400"/>
      <c r="K1379" s="400"/>
      <c r="L1379" s="400"/>
      <c r="M1379" s="400"/>
      <c r="N1379" s="400"/>
      <c r="O1379" s="400"/>
      <c r="P1379" s="400"/>
      <c r="Q1379" s="400"/>
      <c r="R1379" s="398"/>
      <c r="S1379" s="401"/>
      <c r="T1379" s="401"/>
      <c r="U1379" s="398"/>
      <c r="V1379" s="398"/>
      <c r="W1379" s="398"/>
      <c r="X1379" s="398"/>
      <c r="Y1379" s="402"/>
      <c r="Z1379" s="403"/>
      <c r="AA1379" s="404"/>
      <c r="AB1379" s="405"/>
      <c r="AC1379" s="405"/>
      <c r="AD1379" s="406"/>
      <c r="AE1379" s="395"/>
      <c r="AF1379" s="395"/>
      <c r="AG1379" s="395"/>
      <c r="AH1379" s="395"/>
      <c r="AI1379" s="395"/>
      <c r="AJ1379" s="395"/>
      <c r="AK1379" s="395"/>
      <c r="AL1379" s="395"/>
      <c r="AM1379" s="395"/>
      <c r="AN1379" s="395"/>
      <c r="AO1379" s="395"/>
    </row>
    <row r="1380">
      <c r="A1380" s="398"/>
      <c r="B1380" s="398"/>
      <c r="C1380" s="398"/>
      <c r="D1380" s="398"/>
      <c r="E1380" s="399"/>
      <c r="F1380" s="400"/>
      <c r="G1380" s="399"/>
      <c r="H1380" s="400"/>
      <c r="I1380" s="400"/>
      <c r="J1380" s="400"/>
      <c r="K1380" s="400"/>
      <c r="L1380" s="400"/>
      <c r="M1380" s="400"/>
      <c r="N1380" s="400"/>
      <c r="O1380" s="400"/>
      <c r="P1380" s="400"/>
      <c r="Q1380" s="400"/>
      <c r="R1380" s="398"/>
      <c r="S1380" s="401"/>
      <c r="T1380" s="401"/>
      <c r="U1380" s="398"/>
      <c r="V1380" s="398"/>
      <c r="W1380" s="398"/>
      <c r="X1380" s="398"/>
      <c r="Y1380" s="402"/>
      <c r="Z1380" s="403"/>
      <c r="AA1380" s="404"/>
      <c r="AB1380" s="405"/>
      <c r="AC1380" s="405"/>
      <c r="AD1380" s="406"/>
      <c r="AE1380" s="395"/>
      <c r="AF1380" s="395"/>
      <c r="AG1380" s="395"/>
      <c r="AH1380" s="395"/>
      <c r="AI1380" s="395"/>
      <c r="AJ1380" s="395"/>
      <c r="AK1380" s="395"/>
      <c r="AL1380" s="395"/>
      <c r="AM1380" s="395"/>
      <c r="AN1380" s="395"/>
      <c r="AO1380" s="395"/>
    </row>
    <row r="1381">
      <c r="A1381" s="398"/>
      <c r="B1381" s="398"/>
      <c r="C1381" s="398"/>
      <c r="D1381" s="398"/>
      <c r="E1381" s="399"/>
      <c r="F1381" s="400"/>
      <c r="G1381" s="399"/>
      <c r="H1381" s="400"/>
      <c r="I1381" s="400"/>
      <c r="J1381" s="400"/>
      <c r="K1381" s="400"/>
      <c r="L1381" s="400"/>
      <c r="M1381" s="400"/>
      <c r="N1381" s="400"/>
      <c r="O1381" s="400"/>
      <c r="P1381" s="400"/>
      <c r="Q1381" s="400"/>
      <c r="R1381" s="398"/>
      <c r="S1381" s="401"/>
      <c r="T1381" s="401"/>
      <c r="U1381" s="398"/>
      <c r="V1381" s="398"/>
      <c r="W1381" s="398"/>
      <c r="X1381" s="398"/>
      <c r="Y1381" s="402"/>
      <c r="Z1381" s="403"/>
      <c r="AA1381" s="404"/>
      <c r="AB1381" s="405"/>
      <c r="AC1381" s="405"/>
      <c r="AD1381" s="406"/>
      <c r="AE1381" s="395"/>
      <c r="AF1381" s="395"/>
      <c r="AG1381" s="395"/>
      <c r="AH1381" s="395"/>
      <c r="AI1381" s="395"/>
      <c r="AJ1381" s="395"/>
      <c r="AK1381" s="395"/>
      <c r="AL1381" s="395"/>
      <c r="AM1381" s="395"/>
      <c r="AN1381" s="395"/>
      <c r="AO1381" s="395"/>
    </row>
    <row r="1382">
      <c r="A1382" s="398"/>
      <c r="B1382" s="398"/>
      <c r="C1382" s="398"/>
      <c r="D1382" s="398"/>
      <c r="E1382" s="399"/>
      <c r="F1382" s="400"/>
      <c r="G1382" s="399"/>
      <c r="H1382" s="400"/>
      <c r="I1382" s="400"/>
      <c r="J1382" s="400"/>
      <c r="K1382" s="400"/>
      <c r="L1382" s="400"/>
      <c r="M1382" s="400"/>
      <c r="N1382" s="400"/>
      <c r="O1382" s="400"/>
      <c r="P1382" s="400"/>
      <c r="Q1382" s="400"/>
      <c r="R1382" s="398"/>
      <c r="S1382" s="401"/>
      <c r="T1382" s="401"/>
      <c r="U1382" s="398"/>
      <c r="V1382" s="398"/>
      <c r="W1382" s="398"/>
      <c r="X1382" s="398"/>
      <c r="Y1382" s="402"/>
      <c r="Z1382" s="403"/>
      <c r="AA1382" s="404"/>
      <c r="AB1382" s="405"/>
      <c r="AC1382" s="405"/>
      <c r="AD1382" s="406"/>
      <c r="AE1382" s="395"/>
      <c r="AF1382" s="395"/>
      <c r="AG1382" s="395"/>
      <c r="AH1382" s="395"/>
      <c r="AI1382" s="395"/>
      <c r="AJ1382" s="395"/>
      <c r="AK1382" s="395"/>
      <c r="AL1382" s="395"/>
      <c r="AM1382" s="395"/>
      <c r="AN1382" s="395"/>
      <c r="AO1382" s="395"/>
    </row>
    <row r="1383">
      <c r="A1383" s="398"/>
      <c r="B1383" s="398"/>
      <c r="C1383" s="398"/>
      <c r="D1383" s="398"/>
      <c r="E1383" s="399"/>
      <c r="F1383" s="400"/>
      <c r="G1383" s="399"/>
      <c r="H1383" s="400"/>
      <c r="I1383" s="400"/>
      <c r="J1383" s="400"/>
      <c r="K1383" s="400"/>
      <c r="L1383" s="400"/>
      <c r="M1383" s="400"/>
      <c r="N1383" s="400"/>
      <c r="O1383" s="400"/>
      <c r="P1383" s="400"/>
      <c r="Q1383" s="400"/>
      <c r="R1383" s="398"/>
      <c r="S1383" s="401"/>
      <c r="T1383" s="401"/>
      <c r="U1383" s="398"/>
      <c r="V1383" s="398"/>
      <c r="W1383" s="398"/>
      <c r="X1383" s="398"/>
      <c r="Y1383" s="402"/>
      <c r="Z1383" s="403"/>
      <c r="AA1383" s="404"/>
      <c r="AB1383" s="405"/>
      <c r="AC1383" s="405"/>
      <c r="AD1383" s="406"/>
      <c r="AE1383" s="395"/>
      <c r="AF1383" s="395"/>
      <c r="AG1383" s="395"/>
      <c r="AH1383" s="395"/>
      <c r="AI1383" s="395"/>
      <c r="AJ1383" s="395"/>
      <c r="AK1383" s="395"/>
      <c r="AL1383" s="395"/>
      <c r="AM1383" s="395"/>
      <c r="AN1383" s="395"/>
      <c r="AO1383" s="395"/>
    </row>
    <row r="1384">
      <c r="A1384" s="398"/>
      <c r="B1384" s="398"/>
      <c r="C1384" s="398"/>
      <c r="D1384" s="398"/>
      <c r="E1384" s="399"/>
      <c r="F1384" s="400"/>
      <c r="G1384" s="399"/>
      <c r="H1384" s="400"/>
      <c r="I1384" s="400"/>
      <c r="J1384" s="400"/>
      <c r="K1384" s="400"/>
      <c r="L1384" s="400"/>
      <c r="M1384" s="400"/>
      <c r="N1384" s="400"/>
      <c r="O1384" s="400"/>
      <c r="P1384" s="400"/>
      <c r="Q1384" s="400"/>
      <c r="R1384" s="398"/>
      <c r="S1384" s="401"/>
      <c r="T1384" s="401"/>
      <c r="U1384" s="398"/>
      <c r="V1384" s="398"/>
      <c r="W1384" s="398"/>
      <c r="X1384" s="398"/>
      <c r="Y1384" s="402"/>
      <c r="Z1384" s="403"/>
      <c r="AA1384" s="404"/>
      <c r="AB1384" s="405"/>
      <c r="AC1384" s="405"/>
      <c r="AD1384" s="406"/>
      <c r="AE1384" s="395"/>
      <c r="AF1384" s="395"/>
      <c r="AG1384" s="395"/>
      <c r="AH1384" s="395"/>
      <c r="AI1384" s="395"/>
      <c r="AJ1384" s="395"/>
      <c r="AK1384" s="395"/>
      <c r="AL1384" s="395"/>
      <c r="AM1384" s="395"/>
      <c r="AN1384" s="395"/>
      <c r="AO1384" s="395"/>
    </row>
    <row r="1385">
      <c r="A1385" s="398"/>
      <c r="B1385" s="398"/>
      <c r="C1385" s="398"/>
      <c r="D1385" s="398"/>
      <c r="E1385" s="399"/>
      <c r="F1385" s="400"/>
      <c r="G1385" s="399"/>
      <c r="H1385" s="400"/>
      <c r="I1385" s="400"/>
      <c r="J1385" s="400"/>
      <c r="K1385" s="400"/>
      <c r="L1385" s="400"/>
      <c r="M1385" s="400"/>
      <c r="N1385" s="400"/>
      <c r="O1385" s="400"/>
      <c r="P1385" s="400"/>
      <c r="Q1385" s="400"/>
      <c r="R1385" s="398"/>
      <c r="S1385" s="401"/>
      <c r="T1385" s="401"/>
      <c r="U1385" s="398"/>
      <c r="V1385" s="398"/>
      <c r="W1385" s="398"/>
      <c r="X1385" s="398"/>
      <c r="Y1385" s="402"/>
      <c r="Z1385" s="403"/>
      <c r="AA1385" s="404"/>
      <c r="AB1385" s="405"/>
      <c r="AC1385" s="405"/>
      <c r="AD1385" s="406"/>
      <c r="AE1385" s="395"/>
      <c r="AF1385" s="395"/>
      <c r="AG1385" s="395"/>
      <c r="AH1385" s="395"/>
      <c r="AI1385" s="395"/>
      <c r="AJ1385" s="395"/>
      <c r="AK1385" s="395"/>
      <c r="AL1385" s="395"/>
      <c r="AM1385" s="395"/>
      <c r="AN1385" s="395"/>
      <c r="AO1385" s="395"/>
    </row>
    <row r="1386">
      <c r="A1386" s="398"/>
      <c r="B1386" s="398"/>
      <c r="C1386" s="398"/>
      <c r="D1386" s="398"/>
      <c r="E1386" s="399"/>
      <c r="F1386" s="400"/>
      <c r="G1386" s="399"/>
      <c r="H1386" s="400"/>
      <c r="I1386" s="400"/>
      <c r="J1386" s="400"/>
      <c r="K1386" s="400"/>
      <c r="L1386" s="400"/>
      <c r="M1386" s="400"/>
      <c r="N1386" s="400"/>
      <c r="O1386" s="400"/>
      <c r="P1386" s="400"/>
      <c r="Q1386" s="400"/>
      <c r="R1386" s="398"/>
      <c r="S1386" s="401"/>
      <c r="T1386" s="401"/>
      <c r="U1386" s="398"/>
      <c r="V1386" s="398"/>
      <c r="W1386" s="398"/>
      <c r="X1386" s="398"/>
      <c r="Y1386" s="402"/>
      <c r="Z1386" s="403"/>
      <c r="AA1386" s="404"/>
      <c r="AB1386" s="405"/>
      <c r="AC1386" s="405"/>
      <c r="AD1386" s="406"/>
      <c r="AE1386" s="395"/>
      <c r="AF1386" s="395"/>
      <c r="AG1386" s="395"/>
      <c r="AH1386" s="395"/>
      <c r="AI1386" s="395"/>
      <c r="AJ1386" s="395"/>
      <c r="AK1386" s="395"/>
      <c r="AL1386" s="395"/>
      <c r="AM1386" s="395"/>
      <c r="AN1386" s="395"/>
      <c r="AO1386" s="395"/>
    </row>
    <row r="1387">
      <c r="A1387" s="398"/>
      <c r="B1387" s="398"/>
      <c r="C1387" s="398"/>
      <c r="D1387" s="398"/>
      <c r="E1387" s="399"/>
      <c r="F1387" s="400"/>
      <c r="G1387" s="399"/>
      <c r="H1387" s="400"/>
      <c r="I1387" s="400"/>
      <c r="J1387" s="400"/>
      <c r="K1387" s="400"/>
      <c r="L1387" s="400"/>
      <c r="M1387" s="400"/>
      <c r="N1387" s="400"/>
      <c r="O1387" s="400"/>
      <c r="P1387" s="400"/>
      <c r="Q1387" s="400"/>
      <c r="R1387" s="398"/>
      <c r="S1387" s="401"/>
      <c r="T1387" s="401"/>
      <c r="U1387" s="398"/>
      <c r="V1387" s="398"/>
      <c r="W1387" s="398"/>
      <c r="X1387" s="398"/>
      <c r="Y1387" s="402"/>
      <c r="Z1387" s="403"/>
      <c r="AA1387" s="404"/>
      <c r="AB1387" s="405"/>
      <c r="AC1387" s="405"/>
      <c r="AD1387" s="406"/>
      <c r="AE1387" s="395"/>
      <c r="AF1387" s="395"/>
      <c r="AG1387" s="395"/>
      <c r="AH1387" s="395"/>
      <c r="AI1387" s="395"/>
      <c r="AJ1387" s="395"/>
      <c r="AK1387" s="395"/>
      <c r="AL1387" s="395"/>
      <c r="AM1387" s="395"/>
      <c r="AN1387" s="395"/>
      <c r="AO1387" s="395"/>
    </row>
    <row r="1388">
      <c r="A1388" s="398"/>
      <c r="B1388" s="398"/>
      <c r="C1388" s="398"/>
      <c r="D1388" s="398"/>
      <c r="E1388" s="399"/>
      <c r="F1388" s="400"/>
      <c r="G1388" s="399"/>
      <c r="H1388" s="400"/>
      <c r="I1388" s="400"/>
      <c r="J1388" s="400"/>
      <c r="K1388" s="400"/>
      <c r="L1388" s="400"/>
      <c r="M1388" s="400"/>
      <c r="N1388" s="400"/>
      <c r="O1388" s="400"/>
      <c r="P1388" s="400"/>
      <c r="Q1388" s="400"/>
      <c r="R1388" s="398"/>
      <c r="S1388" s="401"/>
      <c r="T1388" s="401"/>
      <c r="U1388" s="398"/>
      <c r="V1388" s="398"/>
      <c r="W1388" s="398"/>
      <c r="X1388" s="398"/>
      <c r="Y1388" s="402"/>
      <c r="Z1388" s="403"/>
      <c r="AA1388" s="404"/>
      <c r="AB1388" s="405"/>
      <c r="AC1388" s="405"/>
      <c r="AD1388" s="406"/>
      <c r="AE1388" s="395"/>
      <c r="AF1388" s="395"/>
      <c r="AG1388" s="395"/>
      <c r="AH1388" s="395"/>
      <c r="AI1388" s="395"/>
      <c r="AJ1388" s="395"/>
      <c r="AK1388" s="395"/>
      <c r="AL1388" s="395"/>
      <c r="AM1388" s="395"/>
      <c r="AN1388" s="395"/>
      <c r="AO1388" s="395"/>
    </row>
    <row r="1389">
      <c r="A1389" s="398"/>
      <c r="B1389" s="398"/>
      <c r="C1389" s="398"/>
      <c r="D1389" s="398"/>
      <c r="E1389" s="399"/>
      <c r="F1389" s="400"/>
      <c r="G1389" s="399"/>
      <c r="H1389" s="400"/>
      <c r="I1389" s="400"/>
      <c r="J1389" s="400"/>
      <c r="K1389" s="400"/>
      <c r="L1389" s="400"/>
      <c r="M1389" s="400"/>
      <c r="N1389" s="400"/>
      <c r="O1389" s="400"/>
      <c r="P1389" s="400"/>
      <c r="Q1389" s="400"/>
      <c r="R1389" s="398"/>
      <c r="S1389" s="401"/>
      <c r="T1389" s="401"/>
      <c r="U1389" s="398"/>
      <c r="V1389" s="398"/>
      <c r="W1389" s="398"/>
      <c r="X1389" s="398"/>
      <c r="Y1389" s="402"/>
      <c r="Z1389" s="403"/>
      <c r="AA1389" s="404"/>
      <c r="AB1389" s="405"/>
      <c r="AC1389" s="405"/>
      <c r="AD1389" s="406"/>
      <c r="AE1389" s="395"/>
      <c r="AF1389" s="395"/>
      <c r="AG1389" s="395"/>
      <c r="AH1389" s="395"/>
      <c r="AI1389" s="395"/>
      <c r="AJ1389" s="395"/>
      <c r="AK1389" s="395"/>
      <c r="AL1389" s="395"/>
      <c r="AM1389" s="395"/>
      <c r="AN1389" s="395"/>
      <c r="AO1389" s="395"/>
    </row>
    <row r="1390">
      <c r="A1390" s="398"/>
      <c r="B1390" s="398"/>
      <c r="C1390" s="398"/>
      <c r="D1390" s="398"/>
      <c r="E1390" s="399"/>
      <c r="F1390" s="400"/>
      <c r="G1390" s="399"/>
      <c r="H1390" s="400"/>
      <c r="I1390" s="400"/>
      <c r="J1390" s="400"/>
      <c r="K1390" s="400"/>
      <c r="L1390" s="400"/>
      <c r="M1390" s="400"/>
      <c r="N1390" s="400"/>
      <c r="O1390" s="400"/>
      <c r="P1390" s="400"/>
      <c r="Q1390" s="400"/>
      <c r="R1390" s="398"/>
      <c r="S1390" s="401"/>
      <c r="T1390" s="401"/>
      <c r="U1390" s="398"/>
      <c r="V1390" s="398"/>
      <c r="W1390" s="398"/>
      <c r="X1390" s="398"/>
      <c r="Y1390" s="402"/>
      <c r="Z1390" s="403"/>
      <c r="AA1390" s="404"/>
      <c r="AB1390" s="405"/>
      <c r="AC1390" s="405"/>
      <c r="AD1390" s="406"/>
      <c r="AE1390" s="395"/>
      <c r="AF1390" s="395"/>
      <c r="AG1390" s="395"/>
      <c r="AH1390" s="395"/>
      <c r="AI1390" s="395"/>
      <c r="AJ1390" s="395"/>
      <c r="AK1390" s="395"/>
      <c r="AL1390" s="395"/>
      <c r="AM1390" s="395"/>
      <c r="AN1390" s="395"/>
      <c r="AO1390" s="395"/>
    </row>
    <row r="1391">
      <c r="A1391" s="398"/>
      <c r="B1391" s="398"/>
      <c r="C1391" s="398"/>
      <c r="D1391" s="398"/>
      <c r="E1391" s="399"/>
      <c r="F1391" s="400"/>
      <c r="G1391" s="399"/>
      <c r="H1391" s="400"/>
      <c r="I1391" s="400"/>
      <c r="J1391" s="400"/>
      <c r="K1391" s="400"/>
      <c r="L1391" s="400"/>
      <c r="M1391" s="400"/>
      <c r="N1391" s="400"/>
      <c r="O1391" s="400"/>
      <c r="P1391" s="400"/>
      <c r="Q1391" s="400"/>
      <c r="R1391" s="398"/>
      <c r="S1391" s="401"/>
      <c r="T1391" s="401"/>
      <c r="U1391" s="398"/>
      <c r="V1391" s="398"/>
      <c r="W1391" s="398"/>
      <c r="X1391" s="398"/>
      <c r="Y1391" s="402"/>
      <c r="Z1391" s="403"/>
      <c r="AA1391" s="404"/>
      <c r="AB1391" s="405"/>
      <c r="AC1391" s="405"/>
      <c r="AD1391" s="406"/>
      <c r="AE1391" s="395"/>
      <c r="AF1391" s="395"/>
      <c r="AG1391" s="395"/>
      <c r="AH1391" s="395"/>
      <c r="AI1391" s="395"/>
      <c r="AJ1391" s="395"/>
      <c r="AK1391" s="395"/>
      <c r="AL1391" s="395"/>
      <c r="AM1391" s="395"/>
      <c r="AN1391" s="395"/>
      <c r="AO1391" s="395"/>
    </row>
    <row r="1392">
      <c r="A1392" s="398"/>
      <c r="B1392" s="398"/>
      <c r="C1392" s="398"/>
      <c r="D1392" s="398"/>
      <c r="E1392" s="399"/>
      <c r="F1392" s="400"/>
      <c r="G1392" s="399"/>
      <c r="H1392" s="400"/>
      <c r="I1392" s="400"/>
      <c r="J1392" s="400"/>
      <c r="K1392" s="400"/>
      <c r="L1392" s="400"/>
      <c r="M1392" s="400"/>
      <c r="N1392" s="400"/>
      <c r="O1392" s="400"/>
      <c r="P1392" s="400"/>
      <c r="Q1392" s="400"/>
      <c r="R1392" s="398"/>
      <c r="S1392" s="401"/>
      <c r="T1392" s="401"/>
      <c r="U1392" s="398"/>
      <c r="V1392" s="398"/>
      <c r="W1392" s="398"/>
      <c r="X1392" s="398"/>
      <c r="Y1392" s="402"/>
      <c r="Z1392" s="403"/>
      <c r="AA1392" s="404"/>
      <c r="AB1392" s="405"/>
      <c r="AC1392" s="405"/>
      <c r="AD1392" s="406"/>
      <c r="AE1392" s="395"/>
      <c r="AF1392" s="395"/>
      <c r="AG1392" s="395"/>
      <c r="AH1392" s="395"/>
      <c r="AI1392" s="395"/>
      <c r="AJ1392" s="395"/>
      <c r="AK1392" s="395"/>
      <c r="AL1392" s="395"/>
      <c r="AM1392" s="395"/>
      <c r="AN1392" s="395"/>
      <c r="AO1392" s="395"/>
    </row>
    <row r="1393">
      <c r="A1393" s="398"/>
      <c r="B1393" s="398"/>
      <c r="C1393" s="398"/>
      <c r="D1393" s="398"/>
      <c r="E1393" s="399"/>
      <c r="F1393" s="400"/>
      <c r="G1393" s="399"/>
      <c r="H1393" s="400"/>
      <c r="I1393" s="400"/>
      <c r="J1393" s="400"/>
      <c r="K1393" s="400"/>
      <c r="L1393" s="400"/>
      <c r="M1393" s="400"/>
      <c r="N1393" s="400"/>
      <c r="O1393" s="400"/>
      <c r="P1393" s="400"/>
      <c r="Q1393" s="400"/>
      <c r="R1393" s="398"/>
      <c r="S1393" s="401"/>
      <c r="T1393" s="401"/>
      <c r="U1393" s="398"/>
      <c r="V1393" s="398"/>
      <c r="W1393" s="398"/>
      <c r="X1393" s="398"/>
      <c r="Y1393" s="402"/>
      <c r="Z1393" s="403"/>
      <c r="AA1393" s="404"/>
      <c r="AB1393" s="405"/>
      <c r="AC1393" s="405"/>
      <c r="AD1393" s="406"/>
      <c r="AE1393" s="395"/>
      <c r="AF1393" s="395"/>
      <c r="AG1393" s="395"/>
      <c r="AH1393" s="395"/>
      <c r="AI1393" s="395"/>
      <c r="AJ1393" s="395"/>
      <c r="AK1393" s="395"/>
      <c r="AL1393" s="395"/>
      <c r="AM1393" s="395"/>
      <c r="AN1393" s="395"/>
      <c r="AO1393" s="395"/>
    </row>
    <row r="1394">
      <c r="A1394" s="398"/>
      <c r="B1394" s="398"/>
      <c r="C1394" s="398"/>
      <c r="D1394" s="398"/>
      <c r="E1394" s="399"/>
      <c r="F1394" s="400"/>
      <c r="G1394" s="399"/>
      <c r="H1394" s="400"/>
      <c r="I1394" s="400"/>
      <c r="J1394" s="400"/>
      <c r="K1394" s="400"/>
      <c r="L1394" s="400"/>
      <c r="M1394" s="400"/>
      <c r="N1394" s="400"/>
      <c r="O1394" s="400"/>
      <c r="P1394" s="400"/>
      <c r="Q1394" s="400"/>
      <c r="R1394" s="398"/>
      <c r="S1394" s="401"/>
      <c r="T1394" s="401"/>
      <c r="U1394" s="398"/>
      <c r="V1394" s="398"/>
      <c r="W1394" s="398"/>
      <c r="X1394" s="398"/>
      <c r="Y1394" s="402"/>
      <c r="Z1394" s="403"/>
      <c r="AA1394" s="404"/>
      <c r="AB1394" s="405"/>
      <c r="AC1394" s="405"/>
      <c r="AD1394" s="406"/>
      <c r="AE1394" s="395"/>
      <c r="AF1394" s="395"/>
      <c r="AG1394" s="395"/>
      <c r="AH1394" s="395"/>
      <c r="AI1394" s="395"/>
      <c r="AJ1394" s="395"/>
      <c r="AK1394" s="395"/>
      <c r="AL1394" s="395"/>
      <c r="AM1394" s="395"/>
      <c r="AN1394" s="395"/>
      <c r="AO1394" s="395"/>
    </row>
    <row r="1395">
      <c r="A1395" s="398"/>
      <c r="B1395" s="398"/>
      <c r="C1395" s="398"/>
      <c r="D1395" s="398"/>
      <c r="E1395" s="399"/>
      <c r="F1395" s="400"/>
      <c r="G1395" s="399"/>
      <c r="H1395" s="400"/>
      <c r="I1395" s="400"/>
      <c r="J1395" s="400"/>
      <c r="K1395" s="400"/>
      <c r="L1395" s="400"/>
      <c r="M1395" s="400"/>
      <c r="N1395" s="400"/>
      <c r="O1395" s="400"/>
      <c r="P1395" s="400"/>
      <c r="Q1395" s="400"/>
      <c r="R1395" s="398"/>
      <c r="S1395" s="401"/>
      <c r="T1395" s="401"/>
      <c r="U1395" s="398"/>
      <c r="V1395" s="398"/>
      <c r="W1395" s="398"/>
      <c r="X1395" s="398"/>
      <c r="Y1395" s="402"/>
      <c r="Z1395" s="403"/>
      <c r="AA1395" s="404"/>
      <c r="AB1395" s="405"/>
      <c r="AC1395" s="405"/>
      <c r="AD1395" s="406"/>
      <c r="AE1395" s="395"/>
      <c r="AF1395" s="395"/>
      <c r="AG1395" s="395"/>
      <c r="AH1395" s="395"/>
      <c r="AI1395" s="395"/>
      <c r="AJ1395" s="395"/>
      <c r="AK1395" s="395"/>
      <c r="AL1395" s="395"/>
      <c r="AM1395" s="395"/>
      <c r="AN1395" s="395"/>
      <c r="AO1395" s="395"/>
    </row>
    <row r="1396">
      <c r="A1396" s="398"/>
      <c r="B1396" s="398"/>
      <c r="C1396" s="398"/>
      <c r="D1396" s="398"/>
      <c r="E1396" s="399"/>
      <c r="F1396" s="400"/>
      <c r="G1396" s="399"/>
      <c r="H1396" s="400"/>
      <c r="I1396" s="400"/>
      <c r="J1396" s="400"/>
      <c r="K1396" s="400"/>
      <c r="L1396" s="400"/>
      <c r="M1396" s="400"/>
      <c r="N1396" s="400"/>
      <c r="O1396" s="400"/>
      <c r="P1396" s="400"/>
      <c r="Q1396" s="400"/>
      <c r="R1396" s="398"/>
      <c r="S1396" s="401"/>
      <c r="T1396" s="401"/>
      <c r="U1396" s="398"/>
      <c r="V1396" s="398"/>
      <c r="W1396" s="398"/>
      <c r="X1396" s="398"/>
      <c r="Y1396" s="402"/>
      <c r="Z1396" s="403"/>
      <c r="AA1396" s="404"/>
      <c r="AB1396" s="405"/>
      <c r="AC1396" s="405"/>
      <c r="AD1396" s="406"/>
      <c r="AE1396" s="395"/>
      <c r="AF1396" s="395"/>
      <c r="AG1396" s="395"/>
      <c r="AH1396" s="395"/>
      <c r="AI1396" s="395"/>
      <c r="AJ1396" s="395"/>
      <c r="AK1396" s="395"/>
      <c r="AL1396" s="395"/>
      <c r="AM1396" s="395"/>
      <c r="AN1396" s="395"/>
      <c r="AO1396" s="395"/>
    </row>
    <row r="1397">
      <c r="A1397" s="398"/>
      <c r="B1397" s="398"/>
      <c r="C1397" s="398"/>
      <c r="D1397" s="398"/>
      <c r="E1397" s="399"/>
      <c r="F1397" s="400"/>
      <c r="G1397" s="399"/>
      <c r="H1397" s="400"/>
      <c r="I1397" s="400"/>
      <c r="J1397" s="400"/>
      <c r="K1397" s="400"/>
      <c r="L1397" s="400"/>
      <c r="M1397" s="400"/>
      <c r="N1397" s="400"/>
      <c r="O1397" s="400"/>
      <c r="P1397" s="400"/>
      <c r="Q1397" s="400"/>
      <c r="R1397" s="398"/>
      <c r="S1397" s="401"/>
      <c r="T1397" s="401"/>
      <c r="U1397" s="398"/>
      <c r="V1397" s="398"/>
      <c r="W1397" s="398"/>
      <c r="X1397" s="398"/>
      <c r="Y1397" s="402"/>
      <c r="Z1397" s="403"/>
      <c r="AA1397" s="404"/>
      <c r="AB1397" s="405"/>
      <c r="AC1397" s="405"/>
      <c r="AD1397" s="406"/>
      <c r="AE1397" s="395"/>
      <c r="AF1397" s="395"/>
      <c r="AG1397" s="395"/>
      <c r="AH1397" s="395"/>
      <c r="AI1397" s="395"/>
      <c r="AJ1397" s="395"/>
      <c r="AK1397" s="395"/>
      <c r="AL1397" s="395"/>
      <c r="AM1397" s="395"/>
      <c r="AN1397" s="395"/>
      <c r="AO1397" s="395"/>
    </row>
    <row r="1398">
      <c r="A1398" s="398"/>
      <c r="B1398" s="398"/>
      <c r="C1398" s="398"/>
      <c r="D1398" s="398"/>
      <c r="E1398" s="399"/>
      <c r="F1398" s="400"/>
      <c r="G1398" s="399"/>
      <c r="H1398" s="400"/>
      <c r="I1398" s="400"/>
      <c r="J1398" s="400"/>
      <c r="K1398" s="400"/>
      <c r="L1398" s="400"/>
      <c r="M1398" s="400"/>
      <c r="N1398" s="400"/>
      <c r="O1398" s="400"/>
      <c r="P1398" s="400"/>
      <c r="Q1398" s="400"/>
      <c r="R1398" s="398"/>
      <c r="S1398" s="401"/>
      <c r="T1398" s="401"/>
      <c r="U1398" s="398"/>
      <c r="V1398" s="398"/>
      <c r="W1398" s="398"/>
      <c r="X1398" s="398"/>
      <c r="Y1398" s="402"/>
      <c r="Z1398" s="403"/>
      <c r="AA1398" s="404"/>
      <c r="AB1398" s="405"/>
      <c r="AC1398" s="405"/>
      <c r="AD1398" s="406"/>
      <c r="AE1398" s="395"/>
      <c r="AF1398" s="395"/>
      <c r="AG1398" s="395"/>
      <c r="AH1398" s="395"/>
      <c r="AI1398" s="395"/>
      <c r="AJ1398" s="395"/>
      <c r="AK1398" s="395"/>
      <c r="AL1398" s="395"/>
      <c r="AM1398" s="395"/>
      <c r="AN1398" s="395"/>
      <c r="AO1398" s="395"/>
    </row>
    <row r="1399">
      <c r="A1399" s="398"/>
      <c r="B1399" s="398"/>
      <c r="C1399" s="398"/>
      <c r="D1399" s="398"/>
      <c r="E1399" s="399"/>
      <c r="F1399" s="400"/>
      <c r="G1399" s="399"/>
      <c r="H1399" s="400"/>
      <c r="I1399" s="400"/>
      <c r="J1399" s="400"/>
      <c r="K1399" s="400"/>
      <c r="L1399" s="400"/>
      <c r="M1399" s="400"/>
      <c r="N1399" s="400"/>
      <c r="O1399" s="400"/>
      <c r="P1399" s="400"/>
      <c r="Q1399" s="400"/>
      <c r="R1399" s="398"/>
      <c r="S1399" s="401"/>
      <c r="T1399" s="401"/>
      <c r="U1399" s="398"/>
      <c r="V1399" s="398"/>
      <c r="W1399" s="398"/>
      <c r="X1399" s="398"/>
      <c r="Y1399" s="402"/>
      <c r="Z1399" s="403"/>
      <c r="AA1399" s="404"/>
      <c r="AB1399" s="405"/>
      <c r="AC1399" s="405"/>
      <c r="AD1399" s="406"/>
      <c r="AE1399" s="395"/>
      <c r="AF1399" s="395"/>
      <c r="AG1399" s="395"/>
      <c r="AH1399" s="395"/>
      <c r="AI1399" s="395"/>
      <c r="AJ1399" s="395"/>
      <c r="AK1399" s="395"/>
      <c r="AL1399" s="395"/>
      <c r="AM1399" s="395"/>
      <c r="AN1399" s="395"/>
      <c r="AO1399" s="395"/>
    </row>
    <row r="1400">
      <c r="A1400" s="398"/>
      <c r="B1400" s="398"/>
      <c r="C1400" s="398"/>
      <c r="D1400" s="398"/>
      <c r="E1400" s="399"/>
      <c r="F1400" s="400"/>
      <c r="G1400" s="399"/>
      <c r="H1400" s="400"/>
      <c r="I1400" s="400"/>
      <c r="J1400" s="400"/>
      <c r="K1400" s="400"/>
      <c r="L1400" s="400"/>
      <c r="M1400" s="400"/>
      <c r="N1400" s="400"/>
      <c r="O1400" s="400"/>
      <c r="P1400" s="400"/>
      <c r="Q1400" s="400"/>
      <c r="R1400" s="398"/>
      <c r="S1400" s="401"/>
      <c r="T1400" s="401"/>
      <c r="U1400" s="398"/>
      <c r="V1400" s="398"/>
      <c r="W1400" s="398"/>
      <c r="X1400" s="398"/>
      <c r="Y1400" s="402"/>
      <c r="Z1400" s="403"/>
      <c r="AA1400" s="404"/>
      <c r="AB1400" s="405"/>
      <c r="AC1400" s="405"/>
      <c r="AD1400" s="406"/>
      <c r="AE1400" s="395"/>
      <c r="AF1400" s="395"/>
      <c r="AG1400" s="395"/>
      <c r="AH1400" s="395"/>
      <c r="AI1400" s="395"/>
      <c r="AJ1400" s="395"/>
      <c r="AK1400" s="395"/>
      <c r="AL1400" s="395"/>
      <c r="AM1400" s="395"/>
      <c r="AN1400" s="395"/>
      <c r="AO1400" s="395"/>
    </row>
    <row r="1401">
      <c r="A1401" s="398"/>
      <c r="B1401" s="398"/>
      <c r="C1401" s="398"/>
      <c r="D1401" s="398"/>
      <c r="E1401" s="399"/>
      <c r="F1401" s="400"/>
      <c r="G1401" s="399"/>
      <c r="H1401" s="400"/>
      <c r="I1401" s="400"/>
      <c r="J1401" s="400"/>
      <c r="K1401" s="400"/>
      <c r="L1401" s="400"/>
      <c r="M1401" s="400"/>
      <c r="N1401" s="400"/>
      <c r="O1401" s="400"/>
      <c r="P1401" s="400"/>
      <c r="Q1401" s="400"/>
      <c r="R1401" s="398"/>
      <c r="S1401" s="401"/>
      <c r="T1401" s="401"/>
      <c r="U1401" s="398"/>
      <c r="V1401" s="398"/>
      <c r="W1401" s="398"/>
      <c r="X1401" s="398"/>
      <c r="Y1401" s="402"/>
      <c r="Z1401" s="403"/>
      <c r="AA1401" s="404"/>
      <c r="AB1401" s="405"/>
      <c r="AC1401" s="405"/>
      <c r="AD1401" s="406"/>
      <c r="AE1401" s="395"/>
      <c r="AF1401" s="395"/>
      <c r="AG1401" s="395"/>
      <c r="AH1401" s="395"/>
      <c r="AI1401" s="395"/>
      <c r="AJ1401" s="395"/>
      <c r="AK1401" s="395"/>
      <c r="AL1401" s="395"/>
      <c r="AM1401" s="395"/>
      <c r="AN1401" s="395"/>
      <c r="AO1401" s="395"/>
    </row>
    <row r="1402">
      <c r="A1402" s="398"/>
      <c r="B1402" s="398"/>
      <c r="C1402" s="398"/>
      <c r="D1402" s="398"/>
      <c r="E1402" s="399"/>
      <c r="F1402" s="400"/>
      <c r="G1402" s="399"/>
      <c r="H1402" s="400"/>
      <c r="I1402" s="400"/>
      <c r="J1402" s="400"/>
      <c r="K1402" s="400"/>
      <c r="L1402" s="400"/>
      <c r="M1402" s="400"/>
      <c r="N1402" s="400"/>
      <c r="O1402" s="400"/>
      <c r="P1402" s="400"/>
      <c r="Q1402" s="400"/>
      <c r="R1402" s="398"/>
      <c r="S1402" s="401"/>
      <c r="T1402" s="401"/>
      <c r="U1402" s="398"/>
      <c r="V1402" s="398"/>
      <c r="W1402" s="398"/>
      <c r="X1402" s="398"/>
      <c r="Y1402" s="402"/>
      <c r="Z1402" s="403"/>
      <c r="AA1402" s="404"/>
      <c r="AB1402" s="405"/>
      <c r="AC1402" s="405"/>
      <c r="AD1402" s="406"/>
      <c r="AE1402" s="395"/>
      <c r="AF1402" s="395"/>
      <c r="AG1402" s="395"/>
      <c r="AH1402" s="395"/>
      <c r="AI1402" s="395"/>
      <c r="AJ1402" s="395"/>
      <c r="AK1402" s="395"/>
      <c r="AL1402" s="395"/>
      <c r="AM1402" s="395"/>
      <c r="AN1402" s="395"/>
      <c r="AO1402" s="395"/>
    </row>
    <row r="1403">
      <c r="A1403" s="398"/>
      <c r="B1403" s="398"/>
      <c r="C1403" s="398"/>
      <c r="D1403" s="398"/>
      <c r="E1403" s="399"/>
      <c r="F1403" s="400"/>
      <c r="G1403" s="399"/>
      <c r="H1403" s="400"/>
      <c r="I1403" s="400"/>
      <c r="J1403" s="400"/>
      <c r="K1403" s="400"/>
      <c r="L1403" s="400"/>
      <c r="M1403" s="400"/>
      <c r="N1403" s="400"/>
      <c r="O1403" s="400"/>
      <c r="P1403" s="400"/>
      <c r="Q1403" s="400"/>
      <c r="R1403" s="398"/>
      <c r="S1403" s="401"/>
      <c r="T1403" s="401"/>
      <c r="U1403" s="398"/>
      <c r="V1403" s="398"/>
      <c r="W1403" s="398"/>
      <c r="X1403" s="398"/>
      <c r="Y1403" s="402"/>
      <c r="Z1403" s="403"/>
      <c r="AA1403" s="404"/>
      <c r="AB1403" s="405"/>
      <c r="AC1403" s="405"/>
      <c r="AD1403" s="406"/>
      <c r="AE1403" s="395"/>
      <c r="AF1403" s="395"/>
      <c r="AG1403" s="395"/>
      <c r="AH1403" s="395"/>
      <c r="AI1403" s="395"/>
      <c r="AJ1403" s="395"/>
      <c r="AK1403" s="395"/>
      <c r="AL1403" s="395"/>
      <c r="AM1403" s="395"/>
      <c r="AN1403" s="395"/>
      <c r="AO1403" s="395"/>
    </row>
    <row r="1404">
      <c r="A1404" s="398"/>
      <c r="B1404" s="398"/>
      <c r="C1404" s="398"/>
      <c r="D1404" s="398"/>
      <c r="E1404" s="399"/>
      <c r="F1404" s="400"/>
      <c r="G1404" s="399"/>
      <c r="H1404" s="400"/>
      <c r="I1404" s="400"/>
      <c r="J1404" s="400"/>
      <c r="K1404" s="400"/>
      <c r="L1404" s="400"/>
      <c r="M1404" s="400"/>
      <c r="N1404" s="400"/>
      <c r="O1404" s="400"/>
      <c r="P1404" s="400"/>
      <c r="Q1404" s="400"/>
      <c r="R1404" s="398"/>
      <c r="S1404" s="401"/>
      <c r="T1404" s="401"/>
      <c r="U1404" s="398"/>
      <c r="V1404" s="398"/>
      <c r="W1404" s="398"/>
      <c r="X1404" s="398"/>
      <c r="Y1404" s="402"/>
      <c r="Z1404" s="403"/>
      <c r="AA1404" s="404"/>
      <c r="AB1404" s="405"/>
      <c r="AC1404" s="405"/>
      <c r="AD1404" s="406"/>
      <c r="AE1404" s="395"/>
      <c r="AF1404" s="395"/>
      <c r="AG1404" s="395"/>
      <c r="AH1404" s="395"/>
      <c r="AI1404" s="395"/>
      <c r="AJ1404" s="395"/>
      <c r="AK1404" s="395"/>
      <c r="AL1404" s="395"/>
      <c r="AM1404" s="395"/>
      <c r="AN1404" s="395"/>
      <c r="AO1404" s="395"/>
    </row>
    <row r="1405">
      <c r="A1405" s="398"/>
      <c r="B1405" s="398"/>
      <c r="C1405" s="398"/>
      <c r="D1405" s="398"/>
      <c r="E1405" s="399"/>
      <c r="F1405" s="400"/>
      <c r="G1405" s="399"/>
      <c r="H1405" s="400"/>
      <c r="I1405" s="400"/>
      <c r="J1405" s="400"/>
      <c r="K1405" s="400"/>
      <c r="L1405" s="400"/>
      <c r="M1405" s="400"/>
      <c r="N1405" s="400"/>
      <c r="O1405" s="400"/>
      <c r="P1405" s="400"/>
      <c r="Q1405" s="400"/>
      <c r="R1405" s="398"/>
      <c r="S1405" s="401"/>
      <c r="T1405" s="401"/>
      <c r="U1405" s="398"/>
      <c r="V1405" s="398"/>
      <c r="W1405" s="398"/>
      <c r="X1405" s="398"/>
      <c r="Y1405" s="402"/>
      <c r="Z1405" s="403"/>
      <c r="AA1405" s="404"/>
      <c r="AB1405" s="405"/>
      <c r="AC1405" s="405"/>
      <c r="AD1405" s="406"/>
      <c r="AE1405" s="395"/>
      <c r="AF1405" s="395"/>
      <c r="AG1405" s="395"/>
      <c r="AH1405" s="395"/>
      <c r="AI1405" s="395"/>
      <c r="AJ1405" s="395"/>
      <c r="AK1405" s="395"/>
      <c r="AL1405" s="395"/>
      <c r="AM1405" s="395"/>
      <c r="AN1405" s="395"/>
      <c r="AO1405" s="395"/>
    </row>
    <row r="1406">
      <c r="A1406" s="398"/>
      <c r="B1406" s="398"/>
      <c r="C1406" s="398"/>
      <c r="D1406" s="398"/>
      <c r="E1406" s="399"/>
      <c r="F1406" s="400"/>
      <c r="G1406" s="399"/>
      <c r="H1406" s="400"/>
      <c r="I1406" s="400"/>
      <c r="J1406" s="400"/>
      <c r="K1406" s="400"/>
      <c r="L1406" s="400"/>
      <c r="M1406" s="400"/>
      <c r="N1406" s="400"/>
      <c r="O1406" s="400"/>
      <c r="P1406" s="400"/>
      <c r="Q1406" s="400"/>
      <c r="R1406" s="398"/>
      <c r="S1406" s="401"/>
      <c r="T1406" s="401"/>
      <c r="U1406" s="398"/>
      <c r="V1406" s="398"/>
      <c r="W1406" s="398"/>
      <c r="X1406" s="398"/>
      <c r="Y1406" s="402"/>
      <c r="Z1406" s="403"/>
      <c r="AA1406" s="404"/>
      <c r="AB1406" s="405"/>
      <c r="AC1406" s="405"/>
      <c r="AD1406" s="406"/>
      <c r="AE1406" s="395"/>
      <c r="AF1406" s="395"/>
      <c r="AG1406" s="395"/>
      <c r="AH1406" s="395"/>
      <c r="AI1406" s="395"/>
      <c r="AJ1406" s="395"/>
      <c r="AK1406" s="395"/>
      <c r="AL1406" s="395"/>
      <c r="AM1406" s="395"/>
      <c r="AN1406" s="395"/>
      <c r="AO1406" s="395"/>
    </row>
    <row r="1407">
      <c r="A1407" s="398"/>
      <c r="B1407" s="398"/>
      <c r="C1407" s="398"/>
      <c r="D1407" s="398"/>
      <c r="E1407" s="399"/>
      <c r="F1407" s="400"/>
      <c r="G1407" s="399"/>
      <c r="H1407" s="400"/>
      <c r="I1407" s="400"/>
      <c r="J1407" s="400"/>
      <c r="K1407" s="400"/>
      <c r="L1407" s="400"/>
      <c r="M1407" s="400"/>
      <c r="N1407" s="400"/>
      <c r="O1407" s="400"/>
      <c r="P1407" s="400"/>
      <c r="Q1407" s="400"/>
      <c r="R1407" s="398"/>
      <c r="S1407" s="401"/>
      <c r="T1407" s="401"/>
      <c r="U1407" s="398"/>
      <c r="V1407" s="398"/>
      <c r="W1407" s="398"/>
      <c r="X1407" s="398"/>
      <c r="Y1407" s="402"/>
      <c r="Z1407" s="403"/>
      <c r="AA1407" s="404"/>
      <c r="AB1407" s="405"/>
      <c r="AC1407" s="405"/>
      <c r="AD1407" s="406"/>
      <c r="AE1407" s="395"/>
      <c r="AF1407" s="395"/>
      <c r="AG1407" s="395"/>
      <c r="AH1407" s="395"/>
      <c r="AI1407" s="395"/>
      <c r="AJ1407" s="395"/>
      <c r="AK1407" s="395"/>
      <c r="AL1407" s="395"/>
      <c r="AM1407" s="395"/>
      <c r="AN1407" s="395"/>
      <c r="AO1407" s="395"/>
    </row>
    <row r="1408">
      <c r="A1408" s="398"/>
      <c r="B1408" s="398"/>
      <c r="C1408" s="398"/>
      <c r="D1408" s="398"/>
      <c r="E1408" s="399"/>
      <c r="F1408" s="400"/>
      <c r="G1408" s="399"/>
      <c r="H1408" s="400"/>
      <c r="I1408" s="400"/>
      <c r="J1408" s="400"/>
      <c r="K1408" s="400"/>
      <c r="L1408" s="400"/>
      <c r="M1408" s="400"/>
      <c r="N1408" s="400"/>
      <c r="O1408" s="400"/>
      <c r="P1408" s="400"/>
      <c r="Q1408" s="400"/>
      <c r="R1408" s="398"/>
      <c r="S1408" s="401"/>
      <c r="T1408" s="401"/>
      <c r="U1408" s="398"/>
      <c r="V1408" s="398"/>
      <c r="W1408" s="398"/>
      <c r="X1408" s="398"/>
      <c r="Y1408" s="402"/>
      <c r="Z1408" s="403"/>
      <c r="AA1408" s="404"/>
      <c r="AB1408" s="405"/>
      <c r="AC1408" s="405"/>
      <c r="AD1408" s="406"/>
      <c r="AE1408" s="395"/>
      <c r="AF1408" s="395"/>
      <c r="AG1408" s="395"/>
      <c r="AH1408" s="395"/>
      <c r="AI1408" s="395"/>
      <c r="AJ1408" s="395"/>
      <c r="AK1408" s="395"/>
      <c r="AL1408" s="395"/>
      <c r="AM1408" s="395"/>
      <c r="AN1408" s="395"/>
      <c r="AO1408" s="395"/>
    </row>
    <row r="1409">
      <c r="A1409" s="398"/>
      <c r="B1409" s="398"/>
      <c r="C1409" s="398"/>
      <c r="D1409" s="398"/>
      <c r="E1409" s="399"/>
      <c r="F1409" s="400"/>
      <c r="G1409" s="399"/>
      <c r="H1409" s="400"/>
      <c r="I1409" s="400"/>
      <c r="J1409" s="400"/>
      <c r="K1409" s="400"/>
      <c r="L1409" s="400"/>
      <c r="M1409" s="400"/>
      <c r="N1409" s="400"/>
      <c r="O1409" s="400"/>
      <c r="P1409" s="400"/>
      <c r="Q1409" s="400"/>
      <c r="R1409" s="398"/>
      <c r="S1409" s="401"/>
      <c r="T1409" s="401"/>
      <c r="U1409" s="398"/>
      <c r="V1409" s="398"/>
      <c r="W1409" s="398"/>
      <c r="X1409" s="398"/>
      <c r="Y1409" s="402"/>
      <c r="Z1409" s="403"/>
      <c r="AA1409" s="404"/>
      <c r="AB1409" s="405"/>
      <c r="AC1409" s="405"/>
      <c r="AD1409" s="406"/>
      <c r="AE1409" s="395"/>
      <c r="AF1409" s="395"/>
      <c r="AG1409" s="395"/>
      <c r="AH1409" s="395"/>
      <c r="AI1409" s="395"/>
      <c r="AJ1409" s="395"/>
      <c r="AK1409" s="395"/>
      <c r="AL1409" s="395"/>
      <c r="AM1409" s="395"/>
      <c r="AN1409" s="395"/>
      <c r="AO1409" s="395"/>
    </row>
    <row r="1410">
      <c r="A1410" s="398"/>
      <c r="B1410" s="398"/>
      <c r="C1410" s="398"/>
      <c r="D1410" s="398"/>
      <c r="E1410" s="399"/>
      <c r="F1410" s="400"/>
      <c r="G1410" s="399"/>
      <c r="H1410" s="400"/>
      <c r="I1410" s="400"/>
      <c r="J1410" s="400"/>
      <c r="K1410" s="400"/>
      <c r="L1410" s="400"/>
      <c r="M1410" s="400"/>
      <c r="N1410" s="400"/>
      <c r="O1410" s="400"/>
      <c r="P1410" s="400"/>
      <c r="Q1410" s="400"/>
      <c r="R1410" s="398"/>
      <c r="S1410" s="401"/>
      <c r="T1410" s="401"/>
      <c r="U1410" s="398"/>
      <c r="V1410" s="398"/>
      <c r="W1410" s="398"/>
      <c r="X1410" s="398"/>
      <c r="Y1410" s="402"/>
      <c r="Z1410" s="403"/>
      <c r="AA1410" s="404"/>
      <c r="AB1410" s="405"/>
      <c r="AC1410" s="405"/>
      <c r="AD1410" s="406"/>
      <c r="AE1410" s="395"/>
      <c r="AF1410" s="395"/>
      <c r="AG1410" s="395"/>
      <c r="AH1410" s="395"/>
      <c r="AI1410" s="395"/>
      <c r="AJ1410" s="395"/>
      <c r="AK1410" s="395"/>
      <c r="AL1410" s="395"/>
      <c r="AM1410" s="395"/>
      <c r="AN1410" s="395"/>
      <c r="AO1410" s="395"/>
    </row>
    <row r="1411">
      <c r="A1411" s="398"/>
      <c r="B1411" s="398"/>
      <c r="C1411" s="398"/>
      <c r="D1411" s="398"/>
      <c r="E1411" s="399"/>
      <c r="F1411" s="400"/>
      <c r="G1411" s="399"/>
      <c r="H1411" s="400"/>
      <c r="I1411" s="400"/>
      <c r="J1411" s="400"/>
      <c r="K1411" s="400"/>
      <c r="L1411" s="400"/>
      <c r="M1411" s="400"/>
      <c r="N1411" s="400"/>
      <c r="O1411" s="400"/>
      <c r="P1411" s="400"/>
      <c r="Q1411" s="400"/>
      <c r="R1411" s="398"/>
      <c r="S1411" s="401"/>
      <c r="T1411" s="401"/>
      <c r="U1411" s="398"/>
      <c r="V1411" s="398"/>
      <c r="W1411" s="398"/>
      <c r="X1411" s="398"/>
      <c r="Y1411" s="402"/>
      <c r="Z1411" s="403"/>
      <c r="AA1411" s="404"/>
      <c r="AB1411" s="405"/>
      <c r="AC1411" s="405"/>
      <c r="AD1411" s="406"/>
      <c r="AE1411" s="395"/>
      <c r="AF1411" s="395"/>
      <c r="AG1411" s="395"/>
      <c r="AH1411" s="395"/>
      <c r="AI1411" s="395"/>
      <c r="AJ1411" s="395"/>
      <c r="AK1411" s="395"/>
      <c r="AL1411" s="395"/>
      <c r="AM1411" s="395"/>
      <c r="AN1411" s="395"/>
      <c r="AO1411" s="395"/>
    </row>
    <row r="1412">
      <c r="A1412" s="398"/>
      <c r="B1412" s="398"/>
      <c r="C1412" s="398"/>
      <c r="D1412" s="398"/>
      <c r="E1412" s="399"/>
      <c r="F1412" s="400"/>
      <c r="G1412" s="399"/>
      <c r="H1412" s="400"/>
      <c r="I1412" s="400"/>
      <c r="J1412" s="400"/>
      <c r="K1412" s="400"/>
      <c r="L1412" s="400"/>
      <c r="M1412" s="400"/>
      <c r="N1412" s="400"/>
      <c r="O1412" s="400"/>
      <c r="P1412" s="400"/>
      <c r="Q1412" s="400"/>
      <c r="R1412" s="398"/>
      <c r="S1412" s="401"/>
      <c r="T1412" s="401"/>
      <c r="U1412" s="398"/>
      <c r="V1412" s="398"/>
      <c r="W1412" s="398"/>
      <c r="X1412" s="398"/>
      <c r="Y1412" s="402"/>
      <c r="Z1412" s="403"/>
      <c r="AA1412" s="404"/>
      <c r="AB1412" s="405"/>
      <c r="AC1412" s="405"/>
      <c r="AD1412" s="406"/>
      <c r="AE1412" s="395"/>
      <c r="AF1412" s="395"/>
      <c r="AG1412" s="395"/>
      <c r="AH1412" s="395"/>
      <c r="AI1412" s="395"/>
      <c r="AJ1412" s="395"/>
      <c r="AK1412" s="395"/>
      <c r="AL1412" s="395"/>
      <c r="AM1412" s="395"/>
      <c r="AN1412" s="395"/>
      <c r="AO1412" s="395"/>
    </row>
    <row r="1413">
      <c r="A1413" s="398"/>
      <c r="B1413" s="398"/>
      <c r="C1413" s="398"/>
      <c r="D1413" s="398"/>
      <c r="E1413" s="399"/>
      <c r="F1413" s="400"/>
      <c r="G1413" s="399"/>
      <c r="H1413" s="400"/>
      <c r="I1413" s="400"/>
      <c r="J1413" s="400"/>
      <c r="K1413" s="400"/>
      <c r="L1413" s="400"/>
      <c r="M1413" s="400"/>
      <c r="N1413" s="400"/>
      <c r="O1413" s="400"/>
      <c r="P1413" s="400"/>
      <c r="Q1413" s="400"/>
      <c r="R1413" s="398"/>
      <c r="S1413" s="401"/>
      <c r="T1413" s="401"/>
      <c r="U1413" s="398"/>
      <c r="V1413" s="398"/>
      <c r="W1413" s="398"/>
      <c r="X1413" s="398"/>
      <c r="Y1413" s="402"/>
      <c r="Z1413" s="403"/>
      <c r="AA1413" s="404"/>
      <c r="AB1413" s="405"/>
      <c r="AC1413" s="405"/>
      <c r="AD1413" s="406"/>
      <c r="AE1413" s="395"/>
      <c r="AF1413" s="395"/>
      <c r="AG1413" s="395"/>
      <c r="AH1413" s="395"/>
      <c r="AI1413" s="395"/>
      <c r="AJ1413" s="395"/>
      <c r="AK1413" s="395"/>
      <c r="AL1413" s="395"/>
      <c r="AM1413" s="395"/>
      <c r="AN1413" s="395"/>
      <c r="AO1413" s="395"/>
    </row>
    <row r="1414">
      <c r="A1414" s="398"/>
      <c r="B1414" s="398"/>
      <c r="C1414" s="398"/>
      <c r="D1414" s="398"/>
      <c r="E1414" s="399"/>
      <c r="F1414" s="400"/>
      <c r="G1414" s="399"/>
      <c r="H1414" s="400"/>
      <c r="I1414" s="400"/>
      <c r="J1414" s="400"/>
      <c r="K1414" s="400"/>
      <c r="L1414" s="400"/>
      <c r="M1414" s="400"/>
      <c r="N1414" s="400"/>
      <c r="O1414" s="400"/>
      <c r="P1414" s="400"/>
      <c r="Q1414" s="400"/>
      <c r="R1414" s="398"/>
      <c r="S1414" s="401"/>
      <c r="T1414" s="401"/>
      <c r="U1414" s="398"/>
      <c r="V1414" s="398"/>
      <c r="W1414" s="398"/>
      <c r="X1414" s="398"/>
      <c r="Y1414" s="402"/>
      <c r="Z1414" s="403"/>
      <c r="AA1414" s="404"/>
      <c r="AB1414" s="405"/>
      <c r="AC1414" s="405"/>
      <c r="AD1414" s="406"/>
      <c r="AE1414" s="395"/>
      <c r="AF1414" s="395"/>
      <c r="AG1414" s="395"/>
      <c r="AH1414" s="395"/>
      <c r="AI1414" s="395"/>
      <c r="AJ1414" s="395"/>
      <c r="AK1414" s="395"/>
      <c r="AL1414" s="395"/>
      <c r="AM1414" s="395"/>
      <c r="AN1414" s="395"/>
      <c r="AO1414" s="395"/>
    </row>
    <row r="1415">
      <c r="A1415" s="398"/>
      <c r="B1415" s="398"/>
      <c r="C1415" s="398"/>
      <c r="D1415" s="398"/>
      <c r="E1415" s="399"/>
      <c r="F1415" s="400"/>
      <c r="G1415" s="399"/>
      <c r="H1415" s="400"/>
      <c r="I1415" s="400"/>
      <c r="J1415" s="400"/>
      <c r="K1415" s="400"/>
      <c r="L1415" s="400"/>
      <c r="M1415" s="400"/>
      <c r="N1415" s="400"/>
      <c r="O1415" s="400"/>
      <c r="P1415" s="400"/>
      <c r="Q1415" s="400"/>
      <c r="R1415" s="398"/>
      <c r="S1415" s="401"/>
      <c r="T1415" s="401"/>
      <c r="U1415" s="398"/>
      <c r="V1415" s="398"/>
      <c r="W1415" s="398"/>
      <c r="X1415" s="398"/>
      <c r="Y1415" s="402"/>
      <c r="Z1415" s="403"/>
      <c r="AA1415" s="404"/>
      <c r="AB1415" s="405"/>
      <c r="AC1415" s="405"/>
      <c r="AD1415" s="406"/>
      <c r="AE1415" s="395"/>
      <c r="AF1415" s="395"/>
      <c r="AG1415" s="395"/>
      <c r="AH1415" s="395"/>
      <c r="AI1415" s="395"/>
      <c r="AJ1415" s="395"/>
      <c r="AK1415" s="395"/>
      <c r="AL1415" s="395"/>
      <c r="AM1415" s="395"/>
      <c r="AN1415" s="395"/>
      <c r="AO1415" s="395"/>
    </row>
    <row r="1416">
      <c r="A1416" s="398"/>
      <c r="B1416" s="398"/>
      <c r="C1416" s="398"/>
      <c r="D1416" s="398"/>
      <c r="E1416" s="399"/>
      <c r="F1416" s="400"/>
      <c r="G1416" s="399"/>
      <c r="H1416" s="400"/>
      <c r="I1416" s="400"/>
      <c r="J1416" s="400"/>
      <c r="K1416" s="400"/>
      <c r="L1416" s="400"/>
      <c r="M1416" s="400"/>
      <c r="N1416" s="400"/>
      <c r="O1416" s="400"/>
      <c r="P1416" s="400"/>
      <c r="Q1416" s="400"/>
      <c r="R1416" s="398"/>
      <c r="S1416" s="401"/>
      <c r="T1416" s="401"/>
      <c r="U1416" s="398"/>
      <c r="V1416" s="398"/>
      <c r="W1416" s="398"/>
      <c r="X1416" s="398"/>
      <c r="Y1416" s="402"/>
      <c r="Z1416" s="403"/>
      <c r="AA1416" s="404"/>
      <c r="AB1416" s="405"/>
      <c r="AC1416" s="405"/>
      <c r="AD1416" s="406"/>
      <c r="AE1416" s="395"/>
      <c r="AF1416" s="395"/>
      <c r="AG1416" s="395"/>
      <c r="AH1416" s="395"/>
      <c r="AI1416" s="395"/>
      <c r="AJ1416" s="395"/>
      <c r="AK1416" s="395"/>
      <c r="AL1416" s="395"/>
      <c r="AM1416" s="395"/>
      <c r="AN1416" s="395"/>
      <c r="AO1416" s="395"/>
    </row>
    <row r="1417">
      <c r="A1417" s="398"/>
      <c r="B1417" s="398"/>
      <c r="C1417" s="398"/>
      <c r="D1417" s="398"/>
      <c r="E1417" s="399"/>
      <c r="F1417" s="400"/>
      <c r="G1417" s="399"/>
      <c r="H1417" s="400"/>
      <c r="I1417" s="400"/>
      <c r="J1417" s="400"/>
      <c r="K1417" s="400"/>
      <c r="L1417" s="400"/>
      <c r="M1417" s="400"/>
      <c r="N1417" s="400"/>
      <c r="O1417" s="400"/>
      <c r="P1417" s="400"/>
      <c r="Q1417" s="400"/>
      <c r="R1417" s="398"/>
      <c r="S1417" s="401"/>
      <c r="T1417" s="401"/>
      <c r="U1417" s="398"/>
      <c r="V1417" s="398"/>
      <c r="W1417" s="398"/>
      <c r="X1417" s="398"/>
      <c r="Y1417" s="402"/>
      <c r="Z1417" s="403"/>
      <c r="AA1417" s="404"/>
      <c r="AB1417" s="405"/>
      <c r="AC1417" s="405"/>
      <c r="AD1417" s="406"/>
      <c r="AE1417" s="395"/>
      <c r="AF1417" s="395"/>
      <c r="AG1417" s="395"/>
      <c r="AH1417" s="395"/>
      <c r="AI1417" s="395"/>
      <c r="AJ1417" s="395"/>
      <c r="AK1417" s="395"/>
      <c r="AL1417" s="395"/>
      <c r="AM1417" s="395"/>
      <c r="AN1417" s="395"/>
      <c r="AO1417" s="395"/>
    </row>
    <row r="1418">
      <c r="A1418" s="398"/>
      <c r="B1418" s="398"/>
      <c r="C1418" s="398"/>
      <c r="D1418" s="398"/>
      <c r="E1418" s="399"/>
      <c r="F1418" s="400"/>
      <c r="G1418" s="399"/>
      <c r="H1418" s="400"/>
      <c r="I1418" s="400"/>
      <c r="J1418" s="400"/>
      <c r="K1418" s="400"/>
      <c r="L1418" s="400"/>
      <c r="M1418" s="400"/>
      <c r="N1418" s="400"/>
      <c r="O1418" s="400"/>
      <c r="P1418" s="400"/>
      <c r="Q1418" s="400"/>
      <c r="R1418" s="398"/>
      <c r="S1418" s="401"/>
      <c r="T1418" s="401"/>
      <c r="U1418" s="398"/>
      <c r="V1418" s="398"/>
      <c r="W1418" s="398"/>
      <c r="X1418" s="398"/>
      <c r="Y1418" s="402"/>
      <c r="Z1418" s="403"/>
      <c r="AA1418" s="404"/>
      <c r="AB1418" s="405"/>
      <c r="AC1418" s="405"/>
      <c r="AD1418" s="406"/>
      <c r="AE1418" s="395"/>
      <c r="AF1418" s="395"/>
      <c r="AG1418" s="395"/>
      <c r="AH1418" s="395"/>
      <c r="AI1418" s="395"/>
      <c r="AJ1418" s="395"/>
      <c r="AK1418" s="395"/>
      <c r="AL1418" s="395"/>
      <c r="AM1418" s="395"/>
      <c r="AN1418" s="395"/>
      <c r="AO1418" s="395"/>
    </row>
    <row r="1419">
      <c r="A1419" s="398"/>
      <c r="B1419" s="398"/>
      <c r="C1419" s="398"/>
      <c r="D1419" s="398"/>
      <c r="E1419" s="399"/>
      <c r="F1419" s="400"/>
      <c r="G1419" s="399"/>
      <c r="H1419" s="400"/>
      <c r="I1419" s="400"/>
      <c r="J1419" s="400"/>
      <c r="K1419" s="400"/>
      <c r="L1419" s="400"/>
      <c r="M1419" s="400"/>
      <c r="N1419" s="400"/>
      <c r="O1419" s="400"/>
      <c r="P1419" s="400"/>
      <c r="Q1419" s="400"/>
      <c r="R1419" s="398"/>
      <c r="S1419" s="401"/>
      <c r="T1419" s="401"/>
      <c r="U1419" s="398"/>
      <c r="V1419" s="398"/>
      <c r="W1419" s="398"/>
      <c r="X1419" s="398"/>
      <c r="Y1419" s="402"/>
      <c r="Z1419" s="403"/>
      <c r="AA1419" s="404"/>
      <c r="AB1419" s="405"/>
      <c r="AC1419" s="405"/>
      <c r="AD1419" s="406"/>
      <c r="AE1419" s="395"/>
      <c r="AF1419" s="395"/>
      <c r="AG1419" s="395"/>
      <c r="AH1419" s="395"/>
      <c r="AI1419" s="395"/>
      <c r="AJ1419" s="395"/>
      <c r="AK1419" s="395"/>
      <c r="AL1419" s="395"/>
      <c r="AM1419" s="395"/>
      <c r="AN1419" s="395"/>
      <c r="AO1419" s="395"/>
    </row>
    <row r="1420">
      <c r="A1420" s="398"/>
      <c r="B1420" s="398"/>
      <c r="C1420" s="398"/>
      <c r="D1420" s="398"/>
      <c r="E1420" s="399"/>
      <c r="F1420" s="400"/>
      <c r="G1420" s="399"/>
      <c r="H1420" s="400"/>
      <c r="I1420" s="400"/>
      <c r="J1420" s="400"/>
      <c r="K1420" s="400"/>
      <c r="L1420" s="400"/>
      <c r="M1420" s="400"/>
      <c r="N1420" s="400"/>
      <c r="O1420" s="400"/>
      <c r="P1420" s="400"/>
      <c r="Q1420" s="400"/>
      <c r="R1420" s="398"/>
      <c r="S1420" s="401"/>
      <c r="T1420" s="401"/>
      <c r="U1420" s="398"/>
      <c r="V1420" s="398"/>
      <c r="W1420" s="398"/>
      <c r="X1420" s="398"/>
      <c r="Y1420" s="402"/>
      <c r="Z1420" s="403"/>
      <c r="AA1420" s="404"/>
      <c r="AB1420" s="405"/>
      <c r="AC1420" s="405"/>
      <c r="AD1420" s="406"/>
      <c r="AE1420" s="395"/>
      <c r="AF1420" s="395"/>
      <c r="AG1420" s="395"/>
      <c r="AH1420" s="395"/>
      <c r="AI1420" s="395"/>
      <c r="AJ1420" s="395"/>
      <c r="AK1420" s="395"/>
      <c r="AL1420" s="395"/>
      <c r="AM1420" s="395"/>
      <c r="AN1420" s="395"/>
      <c r="AO1420" s="395"/>
    </row>
    <row r="1421">
      <c r="A1421" s="398"/>
      <c r="B1421" s="398"/>
      <c r="C1421" s="398"/>
      <c r="D1421" s="398"/>
      <c r="E1421" s="399"/>
      <c r="F1421" s="400"/>
      <c r="G1421" s="399"/>
      <c r="H1421" s="400"/>
      <c r="I1421" s="400"/>
      <c r="J1421" s="400"/>
      <c r="K1421" s="400"/>
      <c r="L1421" s="400"/>
      <c r="M1421" s="400"/>
      <c r="N1421" s="400"/>
      <c r="O1421" s="400"/>
      <c r="P1421" s="400"/>
      <c r="Q1421" s="400"/>
      <c r="R1421" s="398"/>
      <c r="S1421" s="401"/>
      <c r="T1421" s="401"/>
      <c r="U1421" s="398"/>
      <c r="V1421" s="398"/>
      <c r="W1421" s="398"/>
      <c r="X1421" s="398"/>
      <c r="Y1421" s="402"/>
      <c r="Z1421" s="403"/>
      <c r="AA1421" s="404"/>
      <c r="AB1421" s="405"/>
      <c r="AC1421" s="405"/>
      <c r="AD1421" s="406"/>
      <c r="AE1421" s="395"/>
      <c r="AF1421" s="395"/>
      <c r="AG1421" s="395"/>
      <c r="AH1421" s="395"/>
      <c r="AI1421" s="395"/>
      <c r="AJ1421" s="395"/>
      <c r="AK1421" s="395"/>
      <c r="AL1421" s="395"/>
      <c r="AM1421" s="395"/>
      <c r="AN1421" s="395"/>
      <c r="AO1421" s="395"/>
    </row>
    <row r="1422">
      <c r="A1422" s="398"/>
      <c r="B1422" s="398"/>
      <c r="C1422" s="398"/>
      <c r="D1422" s="398"/>
      <c r="E1422" s="399"/>
      <c r="F1422" s="400"/>
      <c r="G1422" s="399"/>
      <c r="H1422" s="400"/>
      <c r="I1422" s="400"/>
      <c r="J1422" s="400"/>
      <c r="K1422" s="400"/>
      <c r="L1422" s="400"/>
      <c r="M1422" s="400"/>
      <c r="N1422" s="400"/>
      <c r="O1422" s="400"/>
      <c r="P1422" s="400"/>
      <c r="Q1422" s="400"/>
      <c r="R1422" s="398"/>
      <c r="S1422" s="401"/>
      <c r="T1422" s="401"/>
      <c r="U1422" s="398"/>
      <c r="V1422" s="398"/>
      <c r="W1422" s="398"/>
      <c r="X1422" s="398"/>
      <c r="Y1422" s="402"/>
      <c r="Z1422" s="403"/>
      <c r="AA1422" s="404"/>
      <c r="AB1422" s="405"/>
      <c r="AC1422" s="405"/>
      <c r="AD1422" s="406"/>
      <c r="AE1422" s="395"/>
      <c r="AF1422" s="395"/>
      <c r="AG1422" s="395"/>
      <c r="AH1422" s="395"/>
      <c r="AI1422" s="395"/>
      <c r="AJ1422" s="395"/>
      <c r="AK1422" s="395"/>
      <c r="AL1422" s="395"/>
      <c r="AM1422" s="395"/>
      <c r="AN1422" s="395"/>
      <c r="AO1422" s="395"/>
    </row>
    <row r="1423">
      <c r="A1423" s="398"/>
      <c r="B1423" s="398"/>
      <c r="C1423" s="398"/>
      <c r="D1423" s="398"/>
      <c r="E1423" s="399"/>
      <c r="F1423" s="400"/>
      <c r="G1423" s="399"/>
      <c r="H1423" s="400"/>
      <c r="I1423" s="400"/>
      <c r="J1423" s="400"/>
      <c r="K1423" s="400"/>
      <c r="L1423" s="400"/>
      <c r="M1423" s="400"/>
      <c r="N1423" s="400"/>
      <c r="O1423" s="400"/>
      <c r="P1423" s="400"/>
      <c r="Q1423" s="400"/>
      <c r="R1423" s="398"/>
      <c r="S1423" s="401"/>
      <c r="T1423" s="401"/>
      <c r="U1423" s="398"/>
      <c r="V1423" s="398"/>
      <c r="W1423" s="398"/>
      <c r="X1423" s="398"/>
      <c r="Y1423" s="402"/>
      <c r="Z1423" s="403"/>
      <c r="AA1423" s="404"/>
      <c r="AB1423" s="405"/>
      <c r="AC1423" s="405"/>
      <c r="AD1423" s="406"/>
      <c r="AE1423" s="395"/>
      <c r="AF1423" s="395"/>
      <c r="AG1423" s="395"/>
      <c r="AH1423" s="395"/>
      <c r="AI1423" s="395"/>
      <c r="AJ1423" s="395"/>
      <c r="AK1423" s="395"/>
      <c r="AL1423" s="395"/>
      <c r="AM1423" s="395"/>
      <c r="AN1423" s="395"/>
      <c r="AO1423" s="395"/>
    </row>
    <row r="1424">
      <c r="A1424" s="398"/>
      <c r="B1424" s="398"/>
      <c r="C1424" s="398"/>
      <c r="D1424" s="398"/>
      <c r="E1424" s="399"/>
      <c r="F1424" s="400"/>
      <c r="G1424" s="399"/>
      <c r="H1424" s="400"/>
      <c r="I1424" s="400"/>
      <c r="J1424" s="400"/>
      <c r="K1424" s="400"/>
      <c r="L1424" s="400"/>
      <c r="M1424" s="400"/>
      <c r="N1424" s="400"/>
      <c r="O1424" s="400"/>
      <c r="P1424" s="400"/>
      <c r="Q1424" s="400"/>
      <c r="R1424" s="398"/>
      <c r="S1424" s="401"/>
      <c r="T1424" s="401"/>
      <c r="U1424" s="398"/>
      <c r="V1424" s="398"/>
      <c r="W1424" s="398"/>
      <c r="X1424" s="398"/>
      <c r="Y1424" s="402"/>
      <c r="Z1424" s="403"/>
      <c r="AA1424" s="404"/>
      <c r="AB1424" s="405"/>
      <c r="AC1424" s="405"/>
      <c r="AD1424" s="406"/>
      <c r="AE1424" s="395"/>
      <c r="AF1424" s="395"/>
      <c r="AG1424" s="395"/>
      <c r="AH1424" s="395"/>
      <c r="AI1424" s="395"/>
      <c r="AJ1424" s="395"/>
      <c r="AK1424" s="395"/>
      <c r="AL1424" s="395"/>
      <c r="AM1424" s="395"/>
      <c r="AN1424" s="395"/>
      <c r="AO1424" s="395"/>
    </row>
    <row r="1425">
      <c r="A1425" s="398"/>
      <c r="B1425" s="398"/>
      <c r="C1425" s="398"/>
      <c r="D1425" s="398"/>
      <c r="E1425" s="399"/>
      <c r="F1425" s="400"/>
      <c r="G1425" s="399"/>
      <c r="H1425" s="400"/>
      <c r="I1425" s="400"/>
      <c r="J1425" s="400"/>
      <c r="K1425" s="400"/>
      <c r="L1425" s="400"/>
      <c r="M1425" s="400"/>
      <c r="N1425" s="400"/>
      <c r="O1425" s="400"/>
      <c r="P1425" s="400"/>
      <c r="Q1425" s="400"/>
      <c r="R1425" s="398"/>
      <c r="S1425" s="401"/>
      <c r="T1425" s="401"/>
      <c r="U1425" s="398"/>
      <c r="V1425" s="398"/>
      <c r="W1425" s="398"/>
      <c r="X1425" s="398"/>
      <c r="Y1425" s="402"/>
      <c r="Z1425" s="403"/>
      <c r="AA1425" s="404"/>
      <c r="AB1425" s="405"/>
      <c r="AC1425" s="405"/>
      <c r="AD1425" s="406"/>
      <c r="AE1425" s="395"/>
      <c r="AF1425" s="395"/>
      <c r="AG1425" s="395"/>
      <c r="AH1425" s="395"/>
      <c r="AI1425" s="395"/>
      <c r="AJ1425" s="395"/>
      <c r="AK1425" s="395"/>
      <c r="AL1425" s="395"/>
      <c r="AM1425" s="395"/>
      <c r="AN1425" s="395"/>
      <c r="AO1425" s="395"/>
    </row>
    <row r="1426">
      <c r="A1426" s="398"/>
      <c r="B1426" s="398"/>
      <c r="C1426" s="398"/>
      <c r="D1426" s="398"/>
      <c r="E1426" s="399"/>
      <c r="F1426" s="400"/>
      <c r="G1426" s="399"/>
      <c r="H1426" s="400"/>
      <c r="I1426" s="400"/>
      <c r="J1426" s="400"/>
      <c r="K1426" s="400"/>
      <c r="L1426" s="400"/>
      <c r="M1426" s="400"/>
      <c r="N1426" s="400"/>
      <c r="O1426" s="400"/>
      <c r="P1426" s="400"/>
      <c r="Q1426" s="400"/>
      <c r="R1426" s="398"/>
      <c r="S1426" s="401"/>
      <c r="T1426" s="401"/>
      <c r="U1426" s="398"/>
      <c r="V1426" s="398"/>
      <c r="W1426" s="398"/>
      <c r="X1426" s="398"/>
      <c r="Y1426" s="402"/>
      <c r="Z1426" s="403"/>
      <c r="AA1426" s="404"/>
      <c r="AB1426" s="405"/>
      <c r="AC1426" s="405"/>
      <c r="AD1426" s="406"/>
      <c r="AE1426" s="395"/>
      <c r="AF1426" s="395"/>
      <c r="AG1426" s="395"/>
      <c r="AH1426" s="395"/>
      <c r="AI1426" s="395"/>
      <c r="AJ1426" s="395"/>
      <c r="AK1426" s="395"/>
      <c r="AL1426" s="395"/>
      <c r="AM1426" s="395"/>
      <c r="AN1426" s="395"/>
      <c r="AO1426" s="395"/>
    </row>
    <row r="1427">
      <c r="A1427" s="398"/>
      <c r="B1427" s="398"/>
      <c r="C1427" s="398"/>
      <c r="D1427" s="398"/>
      <c r="E1427" s="399"/>
      <c r="F1427" s="400"/>
      <c r="G1427" s="399"/>
      <c r="H1427" s="400"/>
      <c r="I1427" s="400"/>
      <c r="J1427" s="400"/>
      <c r="K1427" s="400"/>
      <c r="L1427" s="400"/>
      <c r="M1427" s="400"/>
      <c r="N1427" s="400"/>
      <c r="O1427" s="400"/>
      <c r="P1427" s="400"/>
      <c r="Q1427" s="400"/>
      <c r="R1427" s="398"/>
      <c r="S1427" s="401"/>
      <c r="T1427" s="401"/>
      <c r="U1427" s="398"/>
      <c r="V1427" s="398"/>
      <c r="W1427" s="398"/>
      <c r="X1427" s="398"/>
      <c r="Y1427" s="402"/>
      <c r="Z1427" s="403"/>
      <c r="AA1427" s="404"/>
      <c r="AB1427" s="405"/>
      <c r="AC1427" s="405"/>
      <c r="AD1427" s="406"/>
      <c r="AE1427" s="395"/>
      <c r="AF1427" s="395"/>
      <c r="AG1427" s="395"/>
      <c r="AH1427" s="395"/>
      <c r="AI1427" s="395"/>
      <c r="AJ1427" s="395"/>
      <c r="AK1427" s="395"/>
      <c r="AL1427" s="395"/>
      <c r="AM1427" s="395"/>
      <c r="AN1427" s="395"/>
      <c r="AO1427" s="395"/>
    </row>
    <row r="1428">
      <c r="A1428" s="398"/>
      <c r="B1428" s="398"/>
      <c r="C1428" s="398"/>
      <c r="D1428" s="398"/>
      <c r="E1428" s="399"/>
      <c r="F1428" s="400"/>
      <c r="G1428" s="399"/>
      <c r="H1428" s="400"/>
      <c r="I1428" s="400"/>
      <c r="J1428" s="400"/>
      <c r="K1428" s="400"/>
      <c r="L1428" s="400"/>
      <c r="M1428" s="400"/>
      <c r="N1428" s="400"/>
      <c r="O1428" s="400"/>
      <c r="P1428" s="400"/>
      <c r="Q1428" s="400"/>
      <c r="R1428" s="398"/>
      <c r="S1428" s="401"/>
      <c r="T1428" s="401"/>
      <c r="U1428" s="398"/>
      <c r="V1428" s="398"/>
      <c r="W1428" s="398"/>
      <c r="X1428" s="398"/>
      <c r="Y1428" s="402"/>
      <c r="Z1428" s="403"/>
      <c r="AA1428" s="404"/>
      <c r="AB1428" s="405"/>
      <c r="AC1428" s="405"/>
      <c r="AD1428" s="406"/>
      <c r="AE1428" s="395"/>
      <c r="AF1428" s="395"/>
      <c r="AG1428" s="395"/>
      <c r="AH1428" s="395"/>
      <c r="AI1428" s="395"/>
      <c r="AJ1428" s="395"/>
      <c r="AK1428" s="395"/>
      <c r="AL1428" s="395"/>
      <c r="AM1428" s="395"/>
      <c r="AN1428" s="395"/>
      <c r="AO1428" s="395"/>
    </row>
    <row r="1429">
      <c r="A1429" s="398"/>
      <c r="B1429" s="398"/>
      <c r="C1429" s="398"/>
      <c r="D1429" s="398"/>
      <c r="E1429" s="399"/>
      <c r="F1429" s="400"/>
      <c r="G1429" s="399"/>
      <c r="H1429" s="400"/>
      <c r="I1429" s="400"/>
      <c r="J1429" s="400"/>
      <c r="K1429" s="400"/>
      <c r="L1429" s="400"/>
      <c r="M1429" s="400"/>
      <c r="N1429" s="400"/>
      <c r="O1429" s="400"/>
      <c r="P1429" s="400"/>
      <c r="Q1429" s="400"/>
      <c r="R1429" s="398"/>
      <c r="S1429" s="401"/>
      <c r="T1429" s="401"/>
      <c r="U1429" s="398"/>
      <c r="V1429" s="398"/>
      <c r="W1429" s="398"/>
      <c r="X1429" s="398"/>
      <c r="Y1429" s="402"/>
      <c r="Z1429" s="403"/>
      <c r="AA1429" s="404"/>
      <c r="AB1429" s="405"/>
      <c r="AC1429" s="405"/>
      <c r="AD1429" s="406"/>
      <c r="AE1429" s="395"/>
      <c r="AF1429" s="395"/>
      <c r="AG1429" s="395"/>
      <c r="AH1429" s="395"/>
      <c r="AI1429" s="395"/>
      <c r="AJ1429" s="395"/>
      <c r="AK1429" s="395"/>
      <c r="AL1429" s="395"/>
      <c r="AM1429" s="395"/>
      <c r="AN1429" s="395"/>
      <c r="AO1429" s="395"/>
    </row>
    <row r="1430">
      <c r="A1430" s="398"/>
      <c r="B1430" s="398"/>
      <c r="C1430" s="398"/>
      <c r="D1430" s="398"/>
      <c r="E1430" s="399"/>
      <c r="F1430" s="400"/>
      <c r="G1430" s="399"/>
      <c r="H1430" s="400"/>
      <c r="I1430" s="400"/>
      <c r="J1430" s="400"/>
      <c r="K1430" s="400"/>
      <c r="L1430" s="400"/>
      <c r="M1430" s="400"/>
      <c r="N1430" s="400"/>
      <c r="O1430" s="400"/>
      <c r="P1430" s="400"/>
      <c r="Q1430" s="400"/>
      <c r="R1430" s="398"/>
      <c r="S1430" s="401"/>
      <c r="T1430" s="401"/>
      <c r="U1430" s="398"/>
      <c r="V1430" s="398"/>
      <c r="W1430" s="398"/>
      <c r="X1430" s="398"/>
      <c r="Y1430" s="402"/>
      <c r="Z1430" s="403"/>
      <c r="AA1430" s="404"/>
      <c r="AB1430" s="405"/>
      <c r="AC1430" s="405"/>
      <c r="AD1430" s="406"/>
      <c r="AE1430" s="395"/>
      <c r="AF1430" s="395"/>
      <c r="AG1430" s="395"/>
      <c r="AH1430" s="395"/>
      <c r="AI1430" s="395"/>
      <c r="AJ1430" s="395"/>
      <c r="AK1430" s="395"/>
      <c r="AL1430" s="395"/>
      <c r="AM1430" s="395"/>
      <c r="AN1430" s="395"/>
      <c r="AO1430" s="395"/>
    </row>
    <row r="1431">
      <c r="A1431" s="398"/>
      <c r="B1431" s="398"/>
      <c r="C1431" s="398"/>
      <c r="D1431" s="398"/>
      <c r="E1431" s="399"/>
      <c r="F1431" s="400"/>
      <c r="G1431" s="399"/>
      <c r="H1431" s="400"/>
      <c r="I1431" s="400"/>
      <c r="J1431" s="400"/>
      <c r="K1431" s="400"/>
      <c r="L1431" s="400"/>
      <c r="M1431" s="400"/>
      <c r="N1431" s="400"/>
      <c r="O1431" s="400"/>
      <c r="P1431" s="400"/>
      <c r="Q1431" s="400"/>
      <c r="R1431" s="398"/>
      <c r="S1431" s="401"/>
      <c r="T1431" s="401"/>
      <c r="U1431" s="398"/>
      <c r="V1431" s="398"/>
      <c r="W1431" s="398"/>
      <c r="X1431" s="398"/>
      <c r="Y1431" s="402"/>
      <c r="Z1431" s="403"/>
      <c r="AA1431" s="404"/>
      <c r="AB1431" s="405"/>
      <c r="AC1431" s="405"/>
      <c r="AD1431" s="406"/>
      <c r="AE1431" s="395"/>
      <c r="AF1431" s="395"/>
      <c r="AG1431" s="395"/>
      <c r="AH1431" s="395"/>
      <c r="AI1431" s="395"/>
      <c r="AJ1431" s="395"/>
      <c r="AK1431" s="395"/>
      <c r="AL1431" s="395"/>
      <c r="AM1431" s="395"/>
      <c r="AN1431" s="395"/>
      <c r="AO1431" s="395"/>
    </row>
    <row r="1432">
      <c r="A1432" s="398"/>
      <c r="B1432" s="398"/>
      <c r="C1432" s="398"/>
      <c r="D1432" s="398"/>
      <c r="E1432" s="399"/>
      <c r="F1432" s="400"/>
      <c r="G1432" s="399"/>
      <c r="H1432" s="400"/>
      <c r="I1432" s="400"/>
      <c r="J1432" s="400"/>
      <c r="K1432" s="400"/>
      <c r="L1432" s="400"/>
      <c r="M1432" s="400"/>
      <c r="N1432" s="400"/>
      <c r="O1432" s="400"/>
      <c r="P1432" s="400"/>
      <c r="Q1432" s="400"/>
      <c r="R1432" s="398"/>
      <c r="S1432" s="401"/>
      <c r="T1432" s="401"/>
      <c r="U1432" s="398"/>
      <c r="V1432" s="398"/>
      <c r="W1432" s="398"/>
      <c r="X1432" s="398"/>
      <c r="Y1432" s="402"/>
      <c r="Z1432" s="403"/>
      <c r="AA1432" s="404"/>
      <c r="AB1432" s="405"/>
      <c r="AC1432" s="405"/>
      <c r="AD1432" s="406"/>
      <c r="AE1432" s="395"/>
      <c r="AF1432" s="395"/>
      <c r="AG1432" s="395"/>
      <c r="AH1432" s="395"/>
      <c r="AI1432" s="395"/>
      <c r="AJ1432" s="395"/>
      <c r="AK1432" s="395"/>
      <c r="AL1432" s="395"/>
      <c r="AM1432" s="395"/>
      <c r="AN1432" s="395"/>
      <c r="AO1432" s="395"/>
    </row>
    <row r="1433">
      <c r="A1433" s="398"/>
      <c r="B1433" s="398"/>
      <c r="C1433" s="398"/>
      <c r="D1433" s="398"/>
      <c r="E1433" s="399"/>
      <c r="F1433" s="400"/>
      <c r="G1433" s="399"/>
      <c r="H1433" s="400"/>
      <c r="I1433" s="400"/>
      <c r="J1433" s="400"/>
      <c r="K1433" s="400"/>
      <c r="L1433" s="400"/>
      <c r="M1433" s="400"/>
      <c r="N1433" s="400"/>
      <c r="O1433" s="400"/>
      <c r="P1433" s="400"/>
      <c r="Q1433" s="400"/>
      <c r="R1433" s="398"/>
      <c r="S1433" s="401"/>
      <c r="T1433" s="401"/>
      <c r="U1433" s="398"/>
      <c r="V1433" s="398"/>
      <c r="W1433" s="398"/>
      <c r="X1433" s="398"/>
      <c r="Y1433" s="402"/>
      <c r="Z1433" s="403"/>
      <c r="AA1433" s="404"/>
      <c r="AB1433" s="405"/>
      <c r="AC1433" s="405"/>
      <c r="AD1433" s="406"/>
      <c r="AE1433" s="395"/>
      <c r="AF1433" s="395"/>
      <c r="AG1433" s="395"/>
      <c r="AH1433" s="395"/>
      <c r="AI1433" s="395"/>
      <c r="AJ1433" s="395"/>
      <c r="AK1433" s="395"/>
      <c r="AL1433" s="395"/>
      <c r="AM1433" s="395"/>
      <c r="AN1433" s="395"/>
      <c r="AO1433" s="395"/>
    </row>
    <row r="1434">
      <c r="A1434" s="398"/>
      <c r="B1434" s="398"/>
      <c r="C1434" s="398"/>
      <c r="D1434" s="398"/>
      <c r="E1434" s="399"/>
      <c r="F1434" s="400"/>
      <c r="G1434" s="399"/>
      <c r="H1434" s="400"/>
      <c r="I1434" s="400"/>
      <c r="J1434" s="400"/>
      <c r="K1434" s="400"/>
      <c r="L1434" s="400"/>
      <c r="M1434" s="400"/>
      <c r="N1434" s="400"/>
      <c r="O1434" s="400"/>
      <c r="P1434" s="400"/>
      <c r="Q1434" s="400"/>
      <c r="R1434" s="398"/>
      <c r="S1434" s="401"/>
      <c r="T1434" s="401"/>
      <c r="U1434" s="398"/>
      <c r="V1434" s="398"/>
      <c r="W1434" s="398"/>
      <c r="X1434" s="398"/>
      <c r="Y1434" s="402"/>
      <c r="Z1434" s="403"/>
      <c r="AA1434" s="404"/>
      <c r="AB1434" s="405"/>
      <c r="AC1434" s="405"/>
      <c r="AD1434" s="406"/>
      <c r="AE1434" s="395"/>
      <c r="AF1434" s="395"/>
      <c r="AG1434" s="395"/>
      <c r="AH1434" s="395"/>
      <c r="AI1434" s="395"/>
      <c r="AJ1434" s="395"/>
      <c r="AK1434" s="395"/>
      <c r="AL1434" s="395"/>
      <c r="AM1434" s="395"/>
      <c r="AN1434" s="395"/>
      <c r="AO1434" s="395"/>
    </row>
    <row r="1435">
      <c r="A1435" s="398"/>
      <c r="B1435" s="398"/>
      <c r="C1435" s="398"/>
      <c r="D1435" s="398"/>
      <c r="E1435" s="399"/>
      <c r="F1435" s="400"/>
      <c r="G1435" s="399"/>
      <c r="H1435" s="400"/>
      <c r="I1435" s="400"/>
      <c r="J1435" s="400"/>
      <c r="K1435" s="400"/>
      <c r="L1435" s="400"/>
      <c r="M1435" s="400"/>
      <c r="N1435" s="400"/>
      <c r="O1435" s="400"/>
      <c r="P1435" s="400"/>
      <c r="Q1435" s="400"/>
      <c r="R1435" s="398"/>
      <c r="S1435" s="401"/>
      <c r="T1435" s="401"/>
      <c r="U1435" s="398"/>
      <c r="V1435" s="398"/>
      <c r="W1435" s="398"/>
      <c r="X1435" s="398"/>
      <c r="Y1435" s="402"/>
      <c r="Z1435" s="403"/>
      <c r="AA1435" s="404"/>
      <c r="AB1435" s="405"/>
      <c r="AC1435" s="405"/>
      <c r="AD1435" s="406"/>
      <c r="AE1435" s="395"/>
      <c r="AF1435" s="395"/>
      <c r="AG1435" s="395"/>
      <c r="AH1435" s="395"/>
      <c r="AI1435" s="395"/>
      <c r="AJ1435" s="395"/>
      <c r="AK1435" s="395"/>
      <c r="AL1435" s="395"/>
      <c r="AM1435" s="395"/>
      <c r="AN1435" s="395"/>
      <c r="AO1435" s="395"/>
    </row>
    <row r="1436">
      <c r="A1436" s="398"/>
      <c r="B1436" s="398"/>
      <c r="C1436" s="398"/>
      <c r="D1436" s="398"/>
      <c r="E1436" s="399"/>
      <c r="F1436" s="400"/>
      <c r="G1436" s="399"/>
      <c r="H1436" s="400"/>
      <c r="I1436" s="400"/>
      <c r="J1436" s="400"/>
      <c r="K1436" s="400"/>
      <c r="L1436" s="400"/>
      <c r="M1436" s="400"/>
      <c r="N1436" s="400"/>
      <c r="O1436" s="400"/>
      <c r="P1436" s="400"/>
      <c r="Q1436" s="400"/>
      <c r="R1436" s="398"/>
      <c r="S1436" s="401"/>
      <c r="T1436" s="401"/>
      <c r="U1436" s="398"/>
      <c r="V1436" s="398"/>
      <c r="W1436" s="398"/>
      <c r="X1436" s="398"/>
      <c r="Y1436" s="402"/>
      <c r="Z1436" s="403"/>
      <c r="AA1436" s="404"/>
      <c r="AB1436" s="405"/>
      <c r="AC1436" s="405"/>
      <c r="AD1436" s="406"/>
      <c r="AE1436" s="395"/>
      <c r="AF1436" s="395"/>
      <c r="AG1436" s="395"/>
      <c r="AH1436" s="395"/>
      <c r="AI1436" s="395"/>
      <c r="AJ1436" s="395"/>
      <c r="AK1436" s="395"/>
      <c r="AL1436" s="395"/>
      <c r="AM1436" s="395"/>
      <c r="AN1436" s="395"/>
      <c r="AO1436" s="395"/>
    </row>
    <row r="1437">
      <c r="A1437" s="398"/>
      <c r="B1437" s="398"/>
      <c r="C1437" s="398"/>
      <c r="D1437" s="398"/>
      <c r="E1437" s="399"/>
      <c r="F1437" s="400"/>
      <c r="G1437" s="399"/>
      <c r="H1437" s="400"/>
      <c r="I1437" s="400"/>
      <c r="J1437" s="400"/>
      <c r="K1437" s="400"/>
      <c r="L1437" s="400"/>
      <c r="M1437" s="400"/>
      <c r="N1437" s="400"/>
      <c r="O1437" s="400"/>
      <c r="P1437" s="400"/>
      <c r="Q1437" s="400"/>
      <c r="R1437" s="398"/>
      <c r="S1437" s="401"/>
      <c r="T1437" s="401"/>
      <c r="U1437" s="398"/>
      <c r="V1437" s="398"/>
      <c r="W1437" s="398"/>
      <c r="X1437" s="398"/>
      <c r="Y1437" s="402"/>
      <c r="Z1437" s="403"/>
      <c r="AA1437" s="404"/>
      <c r="AB1437" s="405"/>
      <c r="AC1437" s="405"/>
      <c r="AD1437" s="406"/>
      <c r="AE1437" s="395"/>
      <c r="AF1437" s="395"/>
      <c r="AG1437" s="395"/>
      <c r="AH1437" s="395"/>
      <c r="AI1437" s="395"/>
      <c r="AJ1437" s="395"/>
      <c r="AK1437" s="395"/>
      <c r="AL1437" s="395"/>
      <c r="AM1437" s="395"/>
      <c r="AN1437" s="395"/>
      <c r="AO1437" s="395"/>
    </row>
    <row r="1438">
      <c r="A1438" s="398"/>
      <c r="B1438" s="398"/>
      <c r="C1438" s="398"/>
      <c r="D1438" s="398"/>
      <c r="E1438" s="399"/>
      <c r="F1438" s="400"/>
      <c r="G1438" s="399"/>
      <c r="H1438" s="400"/>
      <c r="I1438" s="400"/>
      <c r="J1438" s="400"/>
      <c r="K1438" s="400"/>
      <c r="L1438" s="400"/>
      <c r="M1438" s="400"/>
      <c r="N1438" s="400"/>
      <c r="O1438" s="400"/>
      <c r="P1438" s="400"/>
      <c r="Q1438" s="400"/>
      <c r="R1438" s="398"/>
      <c r="S1438" s="401"/>
      <c r="T1438" s="401"/>
      <c r="U1438" s="398"/>
      <c r="V1438" s="398"/>
      <c r="W1438" s="398"/>
      <c r="X1438" s="398"/>
      <c r="Y1438" s="402"/>
      <c r="Z1438" s="403"/>
      <c r="AA1438" s="404"/>
      <c r="AB1438" s="405"/>
      <c r="AC1438" s="405"/>
      <c r="AD1438" s="406"/>
      <c r="AE1438" s="395"/>
      <c r="AF1438" s="395"/>
      <c r="AG1438" s="395"/>
      <c r="AH1438" s="395"/>
      <c r="AI1438" s="395"/>
      <c r="AJ1438" s="395"/>
      <c r="AK1438" s="395"/>
      <c r="AL1438" s="395"/>
      <c r="AM1438" s="395"/>
      <c r="AN1438" s="395"/>
      <c r="AO1438" s="395"/>
    </row>
    <row r="1439">
      <c r="A1439" s="398"/>
      <c r="B1439" s="398"/>
      <c r="C1439" s="398"/>
      <c r="D1439" s="398"/>
      <c r="E1439" s="399"/>
      <c r="F1439" s="400"/>
      <c r="G1439" s="399"/>
      <c r="H1439" s="400"/>
      <c r="I1439" s="400"/>
      <c r="J1439" s="400"/>
      <c r="K1439" s="400"/>
      <c r="L1439" s="400"/>
      <c r="M1439" s="400"/>
      <c r="N1439" s="400"/>
      <c r="O1439" s="400"/>
      <c r="P1439" s="400"/>
      <c r="Q1439" s="400"/>
      <c r="R1439" s="398"/>
      <c r="S1439" s="401"/>
      <c r="T1439" s="401"/>
      <c r="U1439" s="398"/>
      <c r="V1439" s="398"/>
      <c r="W1439" s="398"/>
      <c r="X1439" s="398"/>
      <c r="Y1439" s="402"/>
      <c r="Z1439" s="403"/>
      <c r="AA1439" s="404"/>
      <c r="AB1439" s="405"/>
      <c r="AC1439" s="405"/>
      <c r="AD1439" s="406"/>
      <c r="AE1439" s="395"/>
      <c r="AF1439" s="395"/>
      <c r="AG1439" s="395"/>
      <c r="AH1439" s="395"/>
      <c r="AI1439" s="395"/>
      <c r="AJ1439" s="395"/>
      <c r="AK1439" s="395"/>
      <c r="AL1439" s="395"/>
      <c r="AM1439" s="395"/>
      <c r="AN1439" s="395"/>
      <c r="AO1439" s="395"/>
    </row>
    <row r="1440">
      <c r="A1440" s="398"/>
      <c r="B1440" s="398"/>
      <c r="C1440" s="398"/>
      <c r="D1440" s="398"/>
      <c r="E1440" s="399"/>
      <c r="F1440" s="400"/>
      <c r="G1440" s="399"/>
      <c r="H1440" s="400"/>
      <c r="I1440" s="400"/>
      <c r="J1440" s="400"/>
      <c r="K1440" s="400"/>
      <c r="L1440" s="400"/>
      <c r="M1440" s="400"/>
      <c r="N1440" s="400"/>
      <c r="O1440" s="400"/>
      <c r="P1440" s="400"/>
      <c r="Q1440" s="400"/>
      <c r="R1440" s="398"/>
      <c r="S1440" s="401"/>
      <c r="T1440" s="401"/>
      <c r="U1440" s="398"/>
      <c r="V1440" s="398"/>
      <c r="W1440" s="398"/>
      <c r="X1440" s="398"/>
      <c r="Y1440" s="402"/>
      <c r="Z1440" s="403"/>
      <c r="AA1440" s="404"/>
      <c r="AB1440" s="405"/>
      <c r="AC1440" s="405"/>
      <c r="AD1440" s="406"/>
      <c r="AE1440" s="395"/>
      <c r="AF1440" s="395"/>
      <c r="AG1440" s="395"/>
      <c r="AH1440" s="395"/>
      <c r="AI1440" s="395"/>
      <c r="AJ1440" s="395"/>
      <c r="AK1440" s="395"/>
      <c r="AL1440" s="395"/>
      <c r="AM1440" s="395"/>
      <c r="AN1440" s="395"/>
      <c r="AO1440" s="395"/>
    </row>
    <row r="1441">
      <c r="A1441" s="398"/>
      <c r="B1441" s="398"/>
      <c r="C1441" s="398"/>
      <c r="D1441" s="398"/>
      <c r="E1441" s="399"/>
      <c r="F1441" s="400"/>
      <c r="G1441" s="399"/>
      <c r="H1441" s="400"/>
      <c r="I1441" s="400"/>
      <c r="J1441" s="400"/>
      <c r="K1441" s="400"/>
      <c r="L1441" s="400"/>
      <c r="M1441" s="400"/>
      <c r="N1441" s="400"/>
      <c r="O1441" s="400"/>
      <c r="P1441" s="400"/>
      <c r="Q1441" s="400"/>
      <c r="R1441" s="398"/>
      <c r="S1441" s="401"/>
      <c r="T1441" s="401"/>
      <c r="U1441" s="398"/>
      <c r="V1441" s="398"/>
      <c r="W1441" s="398"/>
      <c r="X1441" s="398"/>
      <c r="Y1441" s="402"/>
      <c r="Z1441" s="403"/>
      <c r="AA1441" s="404"/>
      <c r="AB1441" s="405"/>
      <c r="AC1441" s="405"/>
      <c r="AD1441" s="406"/>
      <c r="AE1441" s="395"/>
      <c r="AF1441" s="395"/>
      <c r="AG1441" s="395"/>
      <c r="AH1441" s="395"/>
      <c r="AI1441" s="395"/>
      <c r="AJ1441" s="395"/>
      <c r="AK1441" s="395"/>
      <c r="AL1441" s="395"/>
      <c r="AM1441" s="395"/>
      <c r="AN1441" s="395"/>
      <c r="AO1441" s="395"/>
    </row>
    <row r="1442">
      <c r="A1442" s="398"/>
      <c r="B1442" s="398"/>
      <c r="C1442" s="398"/>
      <c r="D1442" s="398"/>
      <c r="E1442" s="399"/>
      <c r="F1442" s="400"/>
      <c r="G1442" s="399"/>
      <c r="H1442" s="400"/>
      <c r="I1442" s="400"/>
      <c r="J1442" s="400"/>
      <c r="K1442" s="400"/>
      <c r="L1442" s="400"/>
      <c r="M1442" s="400"/>
      <c r="N1442" s="400"/>
      <c r="O1442" s="400"/>
      <c r="P1442" s="400"/>
      <c r="Q1442" s="400"/>
      <c r="R1442" s="398"/>
      <c r="S1442" s="401"/>
      <c r="T1442" s="401"/>
      <c r="U1442" s="398"/>
      <c r="V1442" s="398"/>
      <c r="W1442" s="398"/>
      <c r="X1442" s="398"/>
      <c r="Y1442" s="402"/>
      <c r="Z1442" s="403"/>
      <c r="AA1442" s="404"/>
      <c r="AB1442" s="405"/>
      <c r="AC1442" s="405"/>
      <c r="AD1442" s="406"/>
      <c r="AE1442" s="395"/>
      <c r="AF1442" s="395"/>
      <c r="AG1442" s="395"/>
      <c r="AH1442" s="395"/>
      <c r="AI1442" s="395"/>
      <c r="AJ1442" s="395"/>
      <c r="AK1442" s="395"/>
      <c r="AL1442" s="395"/>
      <c r="AM1442" s="395"/>
      <c r="AN1442" s="395"/>
      <c r="AO1442" s="395"/>
    </row>
    <row r="1443">
      <c r="A1443" s="398"/>
      <c r="B1443" s="398"/>
      <c r="C1443" s="398"/>
      <c r="D1443" s="398"/>
      <c r="E1443" s="399"/>
      <c r="F1443" s="400"/>
      <c r="G1443" s="399"/>
      <c r="H1443" s="400"/>
      <c r="I1443" s="400"/>
      <c r="J1443" s="400"/>
      <c r="K1443" s="400"/>
      <c r="L1443" s="400"/>
      <c r="M1443" s="400"/>
      <c r="N1443" s="400"/>
      <c r="O1443" s="400"/>
      <c r="P1443" s="400"/>
      <c r="Q1443" s="400"/>
      <c r="R1443" s="398"/>
      <c r="S1443" s="401"/>
      <c r="T1443" s="401"/>
      <c r="U1443" s="398"/>
      <c r="V1443" s="398"/>
      <c r="W1443" s="398"/>
      <c r="X1443" s="398"/>
      <c r="Y1443" s="402"/>
      <c r="Z1443" s="403"/>
      <c r="AA1443" s="404"/>
      <c r="AB1443" s="405"/>
      <c r="AC1443" s="405"/>
      <c r="AD1443" s="406"/>
      <c r="AE1443" s="395"/>
      <c r="AF1443" s="395"/>
      <c r="AG1443" s="395"/>
      <c r="AH1443" s="395"/>
      <c r="AI1443" s="395"/>
      <c r="AJ1443" s="395"/>
      <c r="AK1443" s="395"/>
      <c r="AL1443" s="395"/>
      <c r="AM1443" s="395"/>
      <c r="AN1443" s="395"/>
      <c r="AO1443" s="395"/>
    </row>
    <row r="1444">
      <c r="A1444" s="398"/>
      <c r="B1444" s="398"/>
      <c r="C1444" s="398"/>
      <c r="D1444" s="398"/>
      <c r="E1444" s="399"/>
      <c r="F1444" s="400"/>
      <c r="G1444" s="399"/>
      <c r="H1444" s="400"/>
      <c r="I1444" s="400"/>
      <c r="J1444" s="400"/>
      <c r="K1444" s="400"/>
      <c r="L1444" s="400"/>
      <c r="M1444" s="400"/>
      <c r="N1444" s="400"/>
      <c r="O1444" s="400"/>
      <c r="P1444" s="400"/>
      <c r="Q1444" s="400"/>
      <c r="R1444" s="398"/>
      <c r="S1444" s="401"/>
      <c r="T1444" s="401"/>
      <c r="U1444" s="398"/>
      <c r="V1444" s="398"/>
      <c r="W1444" s="398"/>
      <c r="X1444" s="398"/>
      <c r="Y1444" s="402"/>
      <c r="Z1444" s="403"/>
      <c r="AA1444" s="404"/>
      <c r="AB1444" s="405"/>
      <c r="AC1444" s="405"/>
      <c r="AD1444" s="406"/>
      <c r="AE1444" s="395"/>
      <c r="AF1444" s="395"/>
      <c r="AG1444" s="395"/>
      <c r="AH1444" s="395"/>
      <c r="AI1444" s="395"/>
      <c r="AJ1444" s="395"/>
      <c r="AK1444" s="395"/>
      <c r="AL1444" s="395"/>
      <c r="AM1444" s="395"/>
      <c r="AN1444" s="395"/>
      <c r="AO1444" s="395"/>
    </row>
    <row r="1445">
      <c r="A1445" s="398"/>
      <c r="B1445" s="398"/>
      <c r="C1445" s="398"/>
      <c r="D1445" s="398"/>
      <c r="E1445" s="399"/>
      <c r="F1445" s="400"/>
      <c r="G1445" s="399"/>
      <c r="H1445" s="400"/>
      <c r="I1445" s="400"/>
      <c r="J1445" s="400"/>
      <c r="K1445" s="400"/>
      <c r="L1445" s="400"/>
      <c r="M1445" s="400"/>
      <c r="N1445" s="400"/>
      <c r="O1445" s="400"/>
      <c r="P1445" s="400"/>
      <c r="Q1445" s="400"/>
      <c r="R1445" s="398"/>
      <c r="S1445" s="401"/>
      <c r="T1445" s="401"/>
      <c r="U1445" s="398"/>
      <c r="V1445" s="398"/>
      <c r="W1445" s="398"/>
      <c r="X1445" s="398"/>
      <c r="Y1445" s="402"/>
      <c r="Z1445" s="403"/>
      <c r="AA1445" s="404"/>
      <c r="AB1445" s="405"/>
      <c r="AC1445" s="405"/>
      <c r="AD1445" s="406"/>
      <c r="AE1445" s="395"/>
      <c r="AF1445" s="395"/>
      <c r="AG1445" s="395"/>
      <c r="AH1445" s="395"/>
      <c r="AI1445" s="395"/>
      <c r="AJ1445" s="395"/>
      <c r="AK1445" s="395"/>
      <c r="AL1445" s="395"/>
      <c r="AM1445" s="395"/>
      <c r="AN1445" s="395"/>
      <c r="AO1445" s="395"/>
    </row>
    <row r="1446">
      <c r="A1446" s="398"/>
      <c r="B1446" s="398"/>
      <c r="C1446" s="398"/>
      <c r="D1446" s="398"/>
      <c r="E1446" s="399"/>
      <c r="F1446" s="400"/>
      <c r="G1446" s="399"/>
      <c r="H1446" s="400"/>
      <c r="I1446" s="400"/>
      <c r="J1446" s="400"/>
      <c r="K1446" s="400"/>
      <c r="L1446" s="400"/>
      <c r="M1446" s="400"/>
      <c r="N1446" s="400"/>
      <c r="O1446" s="400"/>
      <c r="P1446" s="400"/>
      <c r="Q1446" s="400"/>
      <c r="R1446" s="398"/>
      <c r="S1446" s="401"/>
      <c r="T1446" s="401"/>
      <c r="U1446" s="398"/>
      <c r="V1446" s="398"/>
      <c r="W1446" s="398"/>
      <c r="X1446" s="398"/>
      <c r="Y1446" s="402"/>
      <c r="Z1446" s="403"/>
      <c r="AA1446" s="404"/>
      <c r="AB1446" s="405"/>
      <c r="AC1446" s="405"/>
      <c r="AD1446" s="406"/>
      <c r="AE1446" s="395"/>
      <c r="AF1446" s="395"/>
      <c r="AG1446" s="395"/>
      <c r="AH1446" s="395"/>
      <c r="AI1446" s="395"/>
      <c r="AJ1446" s="395"/>
      <c r="AK1446" s="395"/>
      <c r="AL1446" s="395"/>
      <c r="AM1446" s="395"/>
      <c r="AN1446" s="395"/>
      <c r="AO1446" s="395"/>
    </row>
    <row r="1447">
      <c r="A1447" s="398"/>
      <c r="B1447" s="398"/>
      <c r="C1447" s="398"/>
      <c r="D1447" s="398"/>
      <c r="E1447" s="399"/>
      <c r="F1447" s="400"/>
      <c r="G1447" s="399"/>
      <c r="H1447" s="400"/>
      <c r="I1447" s="400"/>
      <c r="J1447" s="400"/>
      <c r="K1447" s="400"/>
      <c r="L1447" s="400"/>
      <c r="M1447" s="400"/>
      <c r="N1447" s="400"/>
      <c r="O1447" s="400"/>
      <c r="P1447" s="400"/>
      <c r="Q1447" s="400"/>
      <c r="R1447" s="398"/>
      <c r="S1447" s="401"/>
      <c r="T1447" s="401"/>
      <c r="U1447" s="398"/>
      <c r="V1447" s="398"/>
      <c r="W1447" s="398"/>
      <c r="X1447" s="398"/>
      <c r="Y1447" s="402"/>
      <c r="Z1447" s="403"/>
      <c r="AA1447" s="404"/>
      <c r="AB1447" s="405"/>
      <c r="AC1447" s="405"/>
      <c r="AD1447" s="406"/>
      <c r="AE1447" s="395"/>
      <c r="AF1447" s="395"/>
      <c r="AG1447" s="395"/>
      <c r="AH1447" s="395"/>
      <c r="AI1447" s="395"/>
      <c r="AJ1447" s="395"/>
      <c r="AK1447" s="395"/>
      <c r="AL1447" s="395"/>
      <c r="AM1447" s="395"/>
      <c r="AN1447" s="395"/>
      <c r="AO1447" s="395"/>
    </row>
    <row r="1448">
      <c r="A1448" s="398"/>
      <c r="B1448" s="398"/>
      <c r="C1448" s="398"/>
      <c r="D1448" s="398"/>
      <c r="E1448" s="399"/>
      <c r="F1448" s="400"/>
      <c r="G1448" s="399"/>
      <c r="H1448" s="400"/>
      <c r="I1448" s="400"/>
      <c r="J1448" s="400"/>
      <c r="K1448" s="400"/>
      <c r="L1448" s="400"/>
      <c r="M1448" s="400"/>
      <c r="N1448" s="400"/>
      <c r="O1448" s="400"/>
      <c r="P1448" s="400"/>
      <c r="Q1448" s="400"/>
      <c r="R1448" s="398"/>
      <c r="S1448" s="401"/>
      <c r="T1448" s="401"/>
      <c r="U1448" s="398"/>
      <c r="V1448" s="398"/>
      <c r="W1448" s="398"/>
      <c r="X1448" s="398"/>
      <c r="Y1448" s="402"/>
      <c r="Z1448" s="403"/>
      <c r="AA1448" s="404"/>
      <c r="AB1448" s="405"/>
      <c r="AC1448" s="405"/>
      <c r="AD1448" s="406"/>
      <c r="AE1448" s="395"/>
      <c r="AF1448" s="395"/>
      <c r="AG1448" s="395"/>
      <c r="AH1448" s="395"/>
      <c r="AI1448" s="395"/>
      <c r="AJ1448" s="395"/>
      <c r="AK1448" s="395"/>
      <c r="AL1448" s="395"/>
      <c r="AM1448" s="395"/>
      <c r="AN1448" s="395"/>
      <c r="AO1448" s="395"/>
    </row>
    <row r="1449">
      <c r="A1449" s="398"/>
      <c r="B1449" s="398"/>
      <c r="C1449" s="398"/>
      <c r="D1449" s="398"/>
      <c r="E1449" s="399"/>
      <c r="F1449" s="400"/>
      <c r="G1449" s="399"/>
      <c r="H1449" s="400"/>
      <c r="I1449" s="400"/>
      <c r="J1449" s="400"/>
      <c r="K1449" s="400"/>
      <c r="L1449" s="400"/>
      <c r="M1449" s="400"/>
      <c r="N1449" s="400"/>
      <c r="O1449" s="400"/>
      <c r="P1449" s="400"/>
      <c r="Q1449" s="400"/>
      <c r="R1449" s="398"/>
      <c r="S1449" s="401"/>
      <c r="T1449" s="401"/>
      <c r="U1449" s="398"/>
      <c r="V1449" s="398"/>
      <c r="W1449" s="398"/>
      <c r="X1449" s="398"/>
      <c r="Y1449" s="402"/>
      <c r="Z1449" s="403"/>
      <c r="AA1449" s="404"/>
      <c r="AB1449" s="405"/>
      <c r="AC1449" s="405"/>
      <c r="AD1449" s="406"/>
      <c r="AE1449" s="395"/>
      <c r="AF1449" s="395"/>
      <c r="AG1449" s="395"/>
      <c r="AH1449" s="395"/>
      <c r="AI1449" s="395"/>
      <c r="AJ1449" s="395"/>
      <c r="AK1449" s="395"/>
      <c r="AL1449" s="395"/>
      <c r="AM1449" s="395"/>
      <c r="AN1449" s="395"/>
      <c r="AO1449" s="395"/>
    </row>
    <row r="1450">
      <c r="A1450" s="398"/>
      <c r="B1450" s="398"/>
      <c r="C1450" s="398"/>
      <c r="D1450" s="398"/>
      <c r="E1450" s="399"/>
      <c r="F1450" s="400"/>
      <c r="G1450" s="399"/>
      <c r="H1450" s="400"/>
      <c r="I1450" s="400"/>
      <c r="J1450" s="400"/>
      <c r="K1450" s="400"/>
      <c r="L1450" s="400"/>
      <c r="M1450" s="400"/>
      <c r="N1450" s="400"/>
      <c r="O1450" s="400"/>
      <c r="P1450" s="400"/>
      <c r="Q1450" s="400"/>
      <c r="R1450" s="398"/>
      <c r="S1450" s="401"/>
      <c r="T1450" s="401"/>
      <c r="U1450" s="398"/>
      <c r="V1450" s="398"/>
      <c r="W1450" s="398"/>
      <c r="X1450" s="398"/>
      <c r="Y1450" s="402"/>
      <c r="Z1450" s="403"/>
      <c r="AA1450" s="404"/>
      <c r="AB1450" s="405"/>
      <c r="AC1450" s="405"/>
      <c r="AD1450" s="406"/>
      <c r="AE1450" s="395"/>
      <c r="AF1450" s="395"/>
      <c r="AG1450" s="395"/>
      <c r="AH1450" s="395"/>
      <c r="AI1450" s="395"/>
      <c r="AJ1450" s="395"/>
      <c r="AK1450" s="395"/>
      <c r="AL1450" s="395"/>
      <c r="AM1450" s="395"/>
      <c r="AN1450" s="395"/>
      <c r="AO1450" s="395"/>
    </row>
    <row r="1451">
      <c r="A1451" s="398"/>
      <c r="B1451" s="398"/>
      <c r="C1451" s="398"/>
      <c r="D1451" s="398"/>
      <c r="E1451" s="399"/>
      <c r="F1451" s="400"/>
      <c r="G1451" s="399"/>
      <c r="H1451" s="400"/>
      <c r="I1451" s="400"/>
      <c r="J1451" s="400"/>
      <c r="K1451" s="400"/>
      <c r="L1451" s="400"/>
      <c r="M1451" s="400"/>
      <c r="N1451" s="400"/>
      <c r="O1451" s="400"/>
      <c r="P1451" s="400"/>
      <c r="Q1451" s="400"/>
      <c r="R1451" s="398"/>
      <c r="S1451" s="401"/>
      <c r="T1451" s="401"/>
      <c r="U1451" s="398"/>
      <c r="V1451" s="398"/>
      <c r="W1451" s="398"/>
      <c r="X1451" s="398"/>
      <c r="Y1451" s="402"/>
      <c r="Z1451" s="403"/>
      <c r="AA1451" s="404"/>
      <c r="AB1451" s="405"/>
      <c r="AC1451" s="405"/>
      <c r="AD1451" s="406"/>
      <c r="AE1451" s="395"/>
      <c r="AF1451" s="395"/>
      <c r="AG1451" s="395"/>
      <c r="AH1451" s="395"/>
      <c r="AI1451" s="395"/>
      <c r="AJ1451" s="395"/>
      <c r="AK1451" s="395"/>
      <c r="AL1451" s="395"/>
      <c r="AM1451" s="395"/>
      <c r="AN1451" s="395"/>
      <c r="AO1451" s="395"/>
    </row>
    <row r="1452">
      <c r="A1452" s="398"/>
      <c r="B1452" s="398"/>
      <c r="C1452" s="398"/>
      <c r="D1452" s="398"/>
      <c r="E1452" s="399"/>
      <c r="F1452" s="400"/>
      <c r="G1452" s="399"/>
      <c r="H1452" s="400"/>
      <c r="I1452" s="400"/>
      <c r="J1452" s="400"/>
      <c r="K1452" s="400"/>
      <c r="L1452" s="400"/>
      <c r="M1452" s="400"/>
      <c r="N1452" s="400"/>
      <c r="O1452" s="400"/>
      <c r="P1452" s="400"/>
      <c r="Q1452" s="400"/>
      <c r="R1452" s="398"/>
      <c r="S1452" s="401"/>
      <c r="T1452" s="401"/>
      <c r="U1452" s="398"/>
      <c r="V1452" s="398"/>
      <c r="W1452" s="398"/>
      <c r="X1452" s="398"/>
      <c r="Y1452" s="402"/>
      <c r="Z1452" s="403"/>
      <c r="AA1452" s="404"/>
      <c r="AB1452" s="405"/>
      <c r="AC1452" s="405"/>
      <c r="AD1452" s="406"/>
      <c r="AE1452" s="395"/>
      <c r="AF1452" s="395"/>
      <c r="AG1452" s="395"/>
      <c r="AH1452" s="395"/>
      <c r="AI1452" s="395"/>
      <c r="AJ1452" s="395"/>
      <c r="AK1452" s="395"/>
      <c r="AL1452" s="395"/>
      <c r="AM1452" s="395"/>
      <c r="AN1452" s="395"/>
      <c r="AO1452" s="395"/>
    </row>
    <row r="1453">
      <c r="A1453" s="398"/>
      <c r="B1453" s="398"/>
      <c r="C1453" s="398"/>
      <c r="D1453" s="398"/>
      <c r="E1453" s="399"/>
      <c r="F1453" s="400"/>
      <c r="G1453" s="399"/>
      <c r="H1453" s="400"/>
      <c r="I1453" s="400"/>
      <c r="J1453" s="400"/>
      <c r="K1453" s="400"/>
      <c r="L1453" s="400"/>
      <c r="M1453" s="400"/>
      <c r="N1453" s="400"/>
      <c r="O1453" s="400"/>
      <c r="P1453" s="400"/>
      <c r="Q1453" s="400"/>
      <c r="R1453" s="398"/>
      <c r="S1453" s="401"/>
      <c r="T1453" s="401"/>
      <c r="U1453" s="398"/>
      <c r="V1453" s="398"/>
      <c r="W1453" s="398"/>
      <c r="X1453" s="398"/>
      <c r="Y1453" s="402"/>
      <c r="Z1453" s="403"/>
      <c r="AA1453" s="404"/>
      <c r="AB1453" s="405"/>
      <c r="AC1453" s="405"/>
      <c r="AD1453" s="406"/>
      <c r="AE1453" s="395"/>
      <c r="AF1453" s="395"/>
      <c r="AG1453" s="395"/>
      <c r="AH1453" s="395"/>
      <c r="AI1453" s="395"/>
      <c r="AJ1453" s="395"/>
      <c r="AK1453" s="395"/>
      <c r="AL1453" s="395"/>
      <c r="AM1453" s="395"/>
      <c r="AN1453" s="395"/>
      <c r="AO1453" s="395"/>
    </row>
    <row r="1454">
      <c r="A1454" s="398"/>
      <c r="B1454" s="398"/>
      <c r="C1454" s="398"/>
      <c r="D1454" s="398"/>
      <c r="E1454" s="399"/>
      <c r="F1454" s="400"/>
      <c r="G1454" s="399"/>
      <c r="H1454" s="400"/>
      <c r="I1454" s="400"/>
      <c r="J1454" s="400"/>
      <c r="K1454" s="400"/>
      <c r="L1454" s="400"/>
      <c r="M1454" s="400"/>
      <c r="N1454" s="400"/>
      <c r="O1454" s="400"/>
      <c r="P1454" s="400"/>
      <c r="Q1454" s="400"/>
      <c r="R1454" s="398"/>
      <c r="S1454" s="401"/>
      <c r="T1454" s="401"/>
      <c r="U1454" s="398"/>
      <c r="V1454" s="398"/>
      <c r="W1454" s="398"/>
      <c r="X1454" s="398"/>
      <c r="Y1454" s="402"/>
      <c r="Z1454" s="403"/>
      <c r="AA1454" s="404"/>
      <c r="AB1454" s="405"/>
      <c r="AC1454" s="405"/>
      <c r="AD1454" s="406"/>
      <c r="AE1454" s="395"/>
      <c r="AF1454" s="395"/>
      <c r="AG1454" s="395"/>
      <c r="AH1454" s="395"/>
      <c r="AI1454" s="395"/>
      <c r="AJ1454" s="395"/>
      <c r="AK1454" s="395"/>
      <c r="AL1454" s="395"/>
      <c r="AM1454" s="395"/>
      <c r="AN1454" s="395"/>
      <c r="AO1454" s="395"/>
    </row>
    <row r="1455">
      <c r="A1455" s="398"/>
      <c r="B1455" s="398"/>
      <c r="C1455" s="398"/>
      <c r="D1455" s="398"/>
      <c r="E1455" s="399"/>
      <c r="F1455" s="400"/>
      <c r="G1455" s="399"/>
      <c r="H1455" s="400"/>
      <c r="I1455" s="400"/>
      <c r="J1455" s="400"/>
      <c r="K1455" s="400"/>
      <c r="L1455" s="400"/>
      <c r="M1455" s="400"/>
      <c r="N1455" s="400"/>
      <c r="O1455" s="400"/>
      <c r="P1455" s="400"/>
      <c r="Q1455" s="400"/>
      <c r="R1455" s="398"/>
      <c r="S1455" s="401"/>
      <c r="T1455" s="401"/>
      <c r="U1455" s="398"/>
      <c r="V1455" s="398"/>
      <c r="W1455" s="398"/>
      <c r="X1455" s="398"/>
      <c r="Y1455" s="402"/>
      <c r="Z1455" s="403"/>
      <c r="AA1455" s="404"/>
      <c r="AB1455" s="405"/>
      <c r="AC1455" s="405"/>
      <c r="AD1455" s="406"/>
      <c r="AE1455" s="395"/>
      <c r="AF1455" s="395"/>
      <c r="AG1455" s="395"/>
      <c r="AH1455" s="395"/>
      <c r="AI1455" s="395"/>
      <c r="AJ1455" s="395"/>
      <c r="AK1455" s="395"/>
      <c r="AL1455" s="395"/>
      <c r="AM1455" s="395"/>
      <c r="AN1455" s="395"/>
      <c r="AO1455" s="395"/>
    </row>
    <row r="1456">
      <c r="A1456" s="398"/>
      <c r="B1456" s="398"/>
      <c r="C1456" s="398"/>
      <c r="D1456" s="398"/>
      <c r="E1456" s="399"/>
      <c r="F1456" s="400"/>
      <c r="G1456" s="399"/>
      <c r="H1456" s="400"/>
      <c r="I1456" s="400"/>
      <c r="J1456" s="400"/>
      <c r="K1456" s="400"/>
      <c r="L1456" s="400"/>
      <c r="M1456" s="400"/>
      <c r="N1456" s="400"/>
      <c r="O1456" s="400"/>
      <c r="P1456" s="400"/>
      <c r="Q1456" s="400"/>
      <c r="R1456" s="398"/>
      <c r="S1456" s="401"/>
      <c r="T1456" s="401"/>
      <c r="U1456" s="398"/>
      <c r="V1456" s="398"/>
      <c r="W1456" s="398"/>
      <c r="X1456" s="398"/>
      <c r="Y1456" s="402"/>
      <c r="Z1456" s="403"/>
      <c r="AA1456" s="404"/>
      <c r="AB1456" s="405"/>
      <c r="AC1456" s="405"/>
      <c r="AD1456" s="406"/>
      <c r="AE1456" s="395"/>
      <c r="AF1456" s="395"/>
      <c r="AG1456" s="395"/>
      <c r="AH1456" s="395"/>
      <c r="AI1456" s="395"/>
      <c r="AJ1456" s="395"/>
      <c r="AK1456" s="395"/>
      <c r="AL1456" s="395"/>
      <c r="AM1456" s="395"/>
      <c r="AN1456" s="395"/>
      <c r="AO1456" s="395"/>
    </row>
    <row r="1457">
      <c r="A1457" s="398"/>
      <c r="B1457" s="398"/>
      <c r="C1457" s="398"/>
      <c r="D1457" s="398"/>
      <c r="E1457" s="399"/>
      <c r="F1457" s="400"/>
      <c r="G1457" s="399"/>
      <c r="H1457" s="400"/>
      <c r="I1457" s="400"/>
      <c r="J1457" s="400"/>
      <c r="K1457" s="400"/>
      <c r="L1457" s="400"/>
      <c r="M1457" s="400"/>
      <c r="N1457" s="400"/>
      <c r="O1457" s="400"/>
      <c r="P1457" s="400"/>
      <c r="Q1457" s="400"/>
      <c r="R1457" s="398"/>
      <c r="S1457" s="401"/>
      <c r="T1457" s="401"/>
      <c r="U1457" s="398"/>
      <c r="V1457" s="398"/>
      <c r="W1457" s="398"/>
      <c r="X1457" s="398"/>
      <c r="Y1457" s="402"/>
      <c r="Z1457" s="403"/>
      <c r="AA1457" s="404"/>
      <c r="AB1457" s="405"/>
      <c r="AC1457" s="405"/>
      <c r="AD1457" s="406"/>
      <c r="AE1457" s="395"/>
      <c r="AF1457" s="395"/>
      <c r="AG1457" s="395"/>
      <c r="AH1457" s="395"/>
      <c r="AI1457" s="395"/>
      <c r="AJ1457" s="395"/>
      <c r="AK1457" s="395"/>
      <c r="AL1457" s="395"/>
      <c r="AM1457" s="395"/>
      <c r="AN1457" s="395"/>
      <c r="AO1457" s="395"/>
    </row>
    <row r="1458">
      <c r="A1458" s="398"/>
      <c r="B1458" s="398"/>
      <c r="C1458" s="398"/>
      <c r="D1458" s="398"/>
      <c r="E1458" s="399"/>
      <c r="F1458" s="400"/>
      <c r="G1458" s="399"/>
      <c r="H1458" s="400"/>
      <c r="I1458" s="400"/>
      <c r="J1458" s="400"/>
      <c r="K1458" s="400"/>
      <c r="L1458" s="400"/>
      <c r="M1458" s="400"/>
      <c r="N1458" s="400"/>
      <c r="O1458" s="400"/>
      <c r="P1458" s="400"/>
      <c r="Q1458" s="400"/>
      <c r="R1458" s="398"/>
      <c r="S1458" s="401"/>
      <c r="T1458" s="401"/>
      <c r="U1458" s="398"/>
      <c r="V1458" s="398"/>
      <c r="W1458" s="398"/>
      <c r="X1458" s="398"/>
      <c r="Y1458" s="402"/>
      <c r="Z1458" s="403"/>
      <c r="AA1458" s="404"/>
      <c r="AB1458" s="405"/>
      <c r="AC1458" s="405"/>
      <c r="AD1458" s="406"/>
      <c r="AE1458" s="395"/>
      <c r="AF1458" s="395"/>
      <c r="AG1458" s="395"/>
      <c r="AH1458" s="395"/>
      <c r="AI1458" s="395"/>
      <c r="AJ1458" s="395"/>
      <c r="AK1458" s="395"/>
      <c r="AL1458" s="395"/>
      <c r="AM1458" s="395"/>
      <c r="AN1458" s="395"/>
      <c r="AO1458" s="395"/>
    </row>
    <row r="1459">
      <c r="A1459" s="398"/>
      <c r="B1459" s="398"/>
      <c r="C1459" s="398"/>
      <c r="D1459" s="398"/>
      <c r="E1459" s="399"/>
      <c r="F1459" s="400"/>
      <c r="G1459" s="399"/>
      <c r="H1459" s="400"/>
      <c r="I1459" s="400"/>
      <c r="J1459" s="400"/>
      <c r="K1459" s="400"/>
      <c r="L1459" s="400"/>
      <c r="M1459" s="400"/>
      <c r="N1459" s="400"/>
      <c r="O1459" s="400"/>
      <c r="P1459" s="400"/>
      <c r="Q1459" s="400"/>
      <c r="R1459" s="398"/>
      <c r="S1459" s="401"/>
      <c r="T1459" s="401"/>
      <c r="U1459" s="398"/>
      <c r="V1459" s="398"/>
      <c r="W1459" s="398"/>
      <c r="X1459" s="398"/>
      <c r="Y1459" s="402"/>
      <c r="Z1459" s="403"/>
      <c r="AA1459" s="404"/>
      <c r="AB1459" s="405"/>
      <c r="AC1459" s="405"/>
      <c r="AD1459" s="406"/>
      <c r="AE1459" s="395"/>
      <c r="AF1459" s="395"/>
      <c r="AG1459" s="395"/>
      <c r="AH1459" s="395"/>
      <c r="AI1459" s="395"/>
      <c r="AJ1459" s="395"/>
      <c r="AK1459" s="395"/>
      <c r="AL1459" s="395"/>
      <c r="AM1459" s="395"/>
      <c r="AN1459" s="395"/>
      <c r="AO1459" s="395"/>
    </row>
    <row r="1460">
      <c r="A1460" s="398"/>
      <c r="B1460" s="398"/>
      <c r="C1460" s="398"/>
      <c r="D1460" s="398"/>
      <c r="E1460" s="399"/>
      <c r="F1460" s="400"/>
      <c r="G1460" s="399"/>
      <c r="H1460" s="400"/>
      <c r="I1460" s="400"/>
      <c r="J1460" s="400"/>
      <c r="K1460" s="400"/>
      <c r="L1460" s="400"/>
      <c r="M1460" s="400"/>
      <c r="N1460" s="400"/>
      <c r="O1460" s="400"/>
      <c r="P1460" s="400"/>
      <c r="Q1460" s="400"/>
      <c r="R1460" s="398"/>
      <c r="S1460" s="401"/>
      <c r="T1460" s="401"/>
      <c r="U1460" s="398"/>
      <c r="V1460" s="398"/>
      <c r="W1460" s="398"/>
      <c r="X1460" s="398"/>
      <c r="Y1460" s="402"/>
      <c r="Z1460" s="403"/>
      <c r="AA1460" s="404"/>
      <c r="AB1460" s="405"/>
      <c r="AC1460" s="405"/>
      <c r="AD1460" s="406"/>
      <c r="AE1460" s="395"/>
      <c r="AF1460" s="395"/>
      <c r="AG1460" s="395"/>
      <c r="AH1460" s="395"/>
      <c r="AI1460" s="395"/>
      <c r="AJ1460" s="395"/>
      <c r="AK1460" s="395"/>
      <c r="AL1460" s="395"/>
      <c r="AM1460" s="395"/>
      <c r="AN1460" s="395"/>
      <c r="AO1460" s="395"/>
    </row>
    <row r="1461">
      <c r="A1461" s="398"/>
      <c r="B1461" s="398"/>
      <c r="C1461" s="398"/>
      <c r="D1461" s="398"/>
      <c r="E1461" s="399"/>
      <c r="F1461" s="400"/>
      <c r="G1461" s="399"/>
      <c r="H1461" s="400"/>
      <c r="I1461" s="400"/>
      <c r="J1461" s="400"/>
      <c r="K1461" s="400"/>
      <c r="L1461" s="400"/>
      <c r="M1461" s="400"/>
      <c r="N1461" s="400"/>
      <c r="O1461" s="400"/>
      <c r="P1461" s="400"/>
      <c r="Q1461" s="400"/>
      <c r="R1461" s="398"/>
      <c r="S1461" s="401"/>
      <c r="T1461" s="401"/>
      <c r="U1461" s="398"/>
      <c r="V1461" s="398"/>
      <c r="W1461" s="398"/>
      <c r="X1461" s="398"/>
      <c r="Y1461" s="402"/>
      <c r="Z1461" s="403"/>
      <c r="AA1461" s="404"/>
      <c r="AB1461" s="405"/>
      <c r="AC1461" s="405"/>
      <c r="AD1461" s="406"/>
      <c r="AE1461" s="395"/>
      <c r="AF1461" s="395"/>
      <c r="AG1461" s="395"/>
      <c r="AH1461" s="395"/>
      <c r="AI1461" s="395"/>
      <c r="AJ1461" s="395"/>
      <c r="AK1461" s="395"/>
      <c r="AL1461" s="395"/>
      <c r="AM1461" s="395"/>
      <c r="AN1461" s="395"/>
      <c r="AO1461" s="395"/>
    </row>
    <row r="1462">
      <c r="A1462" s="398"/>
      <c r="B1462" s="398"/>
      <c r="C1462" s="398"/>
      <c r="D1462" s="398"/>
      <c r="E1462" s="399"/>
      <c r="F1462" s="400"/>
      <c r="G1462" s="399"/>
      <c r="H1462" s="400"/>
      <c r="I1462" s="400"/>
      <c r="J1462" s="400"/>
      <c r="K1462" s="400"/>
      <c r="L1462" s="400"/>
      <c r="M1462" s="400"/>
      <c r="N1462" s="400"/>
      <c r="O1462" s="400"/>
      <c r="P1462" s="400"/>
      <c r="Q1462" s="400"/>
      <c r="R1462" s="398"/>
      <c r="S1462" s="401"/>
      <c r="T1462" s="401"/>
      <c r="U1462" s="398"/>
      <c r="V1462" s="398"/>
      <c r="W1462" s="398"/>
      <c r="X1462" s="398"/>
      <c r="Y1462" s="402"/>
      <c r="Z1462" s="403"/>
      <c r="AA1462" s="404"/>
      <c r="AB1462" s="405"/>
      <c r="AC1462" s="405"/>
      <c r="AD1462" s="406"/>
      <c r="AE1462" s="395"/>
      <c r="AF1462" s="395"/>
      <c r="AG1462" s="395"/>
      <c r="AH1462" s="395"/>
      <c r="AI1462" s="395"/>
      <c r="AJ1462" s="395"/>
      <c r="AK1462" s="395"/>
      <c r="AL1462" s="395"/>
      <c r="AM1462" s="395"/>
      <c r="AN1462" s="395"/>
      <c r="AO1462" s="395"/>
    </row>
    <row r="1463">
      <c r="A1463" s="398"/>
      <c r="B1463" s="398"/>
      <c r="C1463" s="398"/>
      <c r="D1463" s="398"/>
      <c r="E1463" s="399"/>
      <c r="F1463" s="400"/>
      <c r="G1463" s="399"/>
      <c r="H1463" s="400"/>
      <c r="I1463" s="400"/>
      <c r="J1463" s="400"/>
      <c r="K1463" s="400"/>
      <c r="L1463" s="400"/>
      <c r="M1463" s="400"/>
      <c r="N1463" s="400"/>
      <c r="O1463" s="400"/>
      <c r="P1463" s="400"/>
      <c r="Q1463" s="400"/>
      <c r="R1463" s="398"/>
      <c r="S1463" s="401"/>
      <c r="T1463" s="401"/>
      <c r="U1463" s="398"/>
      <c r="V1463" s="398"/>
      <c r="W1463" s="398"/>
      <c r="X1463" s="398"/>
      <c r="Y1463" s="402"/>
      <c r="Z1463" s="403"/>
      <c r="AA1463" s="404"/>
      <c r="AB1463" s="405"/>
      <c r="AC1463" s="405"/>
      <c r="AD1463" s="406"/>
      <c r="AE1463" s="395"/>
      <c r="AF1463" s="395"/>
      <c r="AG1463" s="395"/>
      <c r="AH1463" s="395"/>
      <c r="AI1463" s="395"/>
      <c r="AJ1463" s="395"/>
      <c r="AK1463" s="395"/>
      <c r="AL1463" s="395"/>
      <c r="AM1463" s="395"/>
      <c r="AN1463" s="395"/>
      <c r="AO1463" s="395"/>
    </row>
    <row r="1464">
      <c r="A1464" s="398"/>
      <c r="B1464" s="398"/>
      <c r="C1464" s="398"/>
      <c r="D1464" s="398"/>
      <c r="E1464" s="399"/>
      <c r="F1464" s="400"/>
      <c r="G1464" s="399"/>
      <c r="H1464" s="400"/>
      <c r="I1464" s="400"/>
      <c r="J1464" s="400"/>
      <c r="K1464" s="400"/>
      <c r="L1464" s="400"/>
      <c r="M1464" s="400"/>
      <c r="N1464" s="400"/>
      <c r="O1464" s="400"/>
      <c r="P1464" s="400"/>
      <c r="Q1464" s="400"/>
      <c r="R1464" s="398"/>
      <c r="S1464" s="401"/>
      <c r="T1464" s="401"/>
      <c r="U1464" s="398"/>
      <c r="V1464" s="398"/>
      <c r="W1464" s="398"/>
      <c r="X1464" s="398"/>
      <c r="Y1464" s="402"/>
      <c r="Z1464" s="403"/>
      <c r="AA1464" s="404"/>
      <c r="AB1464" s="405"/>
      <c r="AC1464" s="405"/>
      <c r="AD1464" s="406"/>
      <c r="AE1464" s="395"/>
      <c r="AF1464" s="395"/>
      <c r="AG1464" s="395"/>
      <c r="AH1464" s="395"/>
      <c r="AI1464" s="395"/>
      <c r="AJ1464" s="395"/>
      <c r="AK1464" s="395"/>
      <c r="AL1464" s="395"/>
      <c r="AM1464" s="395"/>
      <c r="AN1464" s="395"/>
      <c r="AO1464" s="395"/>
    </row>
    <row r="1465">
      <c r="A1465" s="398"/>
      <c r="B1465" s="398"/>
      <c r="C1465" s="398"/>
      <c r="D1465" s="398"/>
      <c r="E1465" s="399"/>
      <c r="F1465" s="400"/>
      <c r="G1465" s="399"/>
      <c r="H1465" s="400"/>
      <c r="I1465" s="400"/>
      <c r="J1465" s="400"/>
      <c r="K1465" s="400"/>
      <c r="L1465" s="400"/>
      <c r="M1465" s="400"/>
      <c r="N1465" s="400"/>
      <c r="O1465" s="400"/>
      <c r="P1465" s="400"/>
      <c r="Q1465" s="400"/>
      <c r="R1465" s="398"/>
      <c r="S1465" s="401"/>
      <c r="T1465" s="401"/>
      <c r="U1465" s="398"/>
      <c r="V1465" s="398"/>
      <c r="W1465" s="398"/>
      <c r="X1465" s="398"/>
      <c r="Y1465" s="402"/>
      <c r="Z1465" s="403"/>
      <c r="AA1465" s="404"/>
      <c r="AB1465" s="405"/>
      <c r="AC1465" s="405"/>
      <c r="AD1465" s="406"/>
      <c r="AE1465" s="395"/>
      <c r="AF1465" s="395"/>
      <c r="AG1465" s="395"/>
      <c r="AH1465" s="395"/>
      <c r="AI1465" s="395"/>
      <c r="AJ1465" s="395"/>
      <c r="AK1465" s="395"/>
      <c r="AL1465" s="395"/>
      <c r="AM1465" s="395"/>
      <c r="AN1465" s="395"/>
      <c r="AO1465" s="395"/>
    </row>
    <row r="1466">
      <c r="A1466" s="398"/>
      <c r="B1466" s="398"/>
      <c r="C1466" s="398"/>
      <c r="D1466" s="398"/>
      <c r="E1466" s="399"/>
      <c r="F1466" s="400"/>
      <c r="G1466" s="399"/>
      <c r="H1466" s="400"/>
      <c r="I1466" s="400"/>
      <c r="J1466" s="400"/>
      <c r="K1466" s="400"/>
      <c r="L1466" s="400"/>
      <c r="M1466" s="400"/>
      <c r="N1466" s="400"/>
      <c r="O1466" s="400"/>
      <c r="P1466" s="400"/>
      <c r="Q1466" s="400"/>
      <c r="R1466" s="398"/>
      <c r="S1466" s="401"/>
      <c r="T1466" s="401"/>
      <c r="U1466" s="398"/>
      <c r="V1466" s="398"/>
      <c r="W1466" s="398"/>
      <c r="X1466" s="398"/>
      <c r="Y1466" s="402"/>
      <c r="Z1466" s="403"/>
      <c r="AA1466" s="404"/>
      <c r="AB1466" s="405"/>
      <c r="AC1466" s="405"/>
      <c r="AD1466" s="406"/>
      <c r="AE1466" s="395"/>
      <c r="AF1466" s="395"/>
      <c r="AG1466" s="395"/>
      <c r="AH1466" s="395"/>
      <c r="AI1466" s="395"/>
      <c r="AJ1466" s="395"/>
      <c r="AK1466" s="395"/>
      <c r="AL1466" s="395"/>
      <c r="AM1466" s="395"/>
      <c r="AN1466" s="395"/>
      <c r="AO1466" s="395"/>
    </row>
    <row r="1467">
      <c r="A1467" s="398"/>
      <c r="B1467" s="398"/>
      <c r="C1467" s="398"/>
      <c r="D1467" s="398"/>
      <c r="E1467" s="399"/>
      <c r="F1467" s="400"/>
      <c r="G1467" s="399"/>
      <c r="H1467" s="400"/>
      <c r="I1467" s="400"/>
      <c r="J1467" s="400"/>
      <c r="K1467" s="400"/>
      <c r="L1467" s="400"/>
      <c r="M1467" s="400"/>
      <c r="N1467" s="400"/>
      <c r="O1467" s="400"/>
      <c r="P1467" s="400"/>
      <c r="Q1467" s="400"/>
      <c r="R1467" s="398"/>
      <c r="S1467" s="401"/>
      <c r="T1467" s="401"/>
      <c r="U1467" s="398"/>
      <c r="V1467" s="398"/>
      <c r="W1467" s="398"/>
      <c r="X1467" s="398"/>
      <c r="Y1467" s="402"/>
      <c r="Z1467" s="403"/>
      <c r="AA1467" s="404"/>
      <c r="AB1467" s="405"/>
      <c r="AC1467" s="405"/>
      <c r="AD1467" s="406"/>
      <c r="AE1467" s="395"/>
      <c r="AF1467" s="395"/>
      <c r="AG1467" s="395"/>
      <c r="AH1467" s="395"/>
      <c r="AI1467" s="395"/>
      <c r="AJ1467" s="395"/>
      <c r="AK1467" s="395"/>
      <c r="AL1467" s="395"/>
      <c r="AM1467" s="395"/>
      <c r="AN1467" s="395"/>
      <c r="AO1467" s="395"/>
    </row>
    <row r="1468">
      <c r="A1468" s="398"/>
      <c r="B1468" s="398"/>
      <c r="C1468" s="398"/>
      <c r="D1468" s="398"/>
      <c r="E1468" s="399"/>
      <c r="F1468" s="400"/>
      <c r="G1468" s="399"/>
      <c r="H1468" s="400"/>
      <c r="I1468" s="400"/>
      <c r="J1468" s="400"/>
      <c r="K1468" s="400"/>
      <c r="L1468" s="400"/>
      <c r="M1468" s="400"/>
      <c r="N1468" s="400"/>
      <c r="O1468" s="400"/>
      <c r="P1468" s="400"/>
      <c r="Q1468" s="400"/>
      <c r="R1468" s="398"/>
      <c r="S1468" s="401"/>
      <c r="T1468" s="401"/>
      <c r="U1468" s="398"/>
      <c r="V1468" s="398"/>
      <c r="W1468" s="398"/>
      <c r="X1468" s="398"/>
      <c r="Y1468" s="402"/>
      <c r="Z1468" s="403"/>
      <c r="AA1468" s="404"/>
      <c r="AB1468" s="405"/>
      <c r="AC1468" s="405"/>
      <c r="AD1468" s="406"/>
      <c r="AE1468" s="395"/>
      <c r="AF1468" s="395"/>
      <c r="AG1468" s="395"/>
      <c r="AH1468" s="395"/>
      <c r="AI1468" s="395"/>
      <c r="AJ1468" s="395"/>
      <c r="AK1468" s="395"/>
      <c r="AL1468" s="395"/>
      <c r="AM1468" s="395"/>
      <c r="AN1468" s="395"/>
      <c r="AO1468" s="395"/>
    </row>
    <row r="1469">
      <c r="A1469" s="398"/>
      <c r="B1469" s="398"/>
      <c r="C1469" s="398"/>
      <c r="D1469" s="398"/>
      <c r="E1469" s="399"/>
      <c r="F1469" s="400"/>
      <c r="G1469" s="399"/>
      <c r="H1469" s="400"/>
      <c r="I1469" s="400"/>
      <c r="J1469" s="400"/>
      <c r="K1469" s="400"/>
      <c r="L1469" s="400"/>
      <c r="M1469" s="400"/>
      <c r="N1469" s="400"/>
      <c r="O1469" s="400"/>
      <c r="P1469" s="400"/>
      <c r="Q1469" s="400"/>
      <c r="R1469" s="398"/>
      <c r="S1469" s="401"/>
      <c r="T1469" s="401"/>
      <c r="U1469" s="398"/>
      <c r="V1469" s="398"/>
      <c r="W1469" s="398"/>
      <c r="X1469" s="398"/>
      <c r="Y1469" s="402"/>
      <c r="Z1469" s="403"/>
      <c r="AA1469" s="404"/>
      <c r="AB1469" s="405"/>
      <c r="AC1469" s="405"/>
      <c r="AD1469" s="406"/>
      <c r="AE1469" s="395"/>
      <c r="AF1469" s="395"/>
      <c r="AG1469" s="395"/>
      <c r="AH1469" s="395"/>
      <c r="AI1469" s="395"/>
      <c r="AJ1469" s="395"/>
      <c r="AK1469" s="395"/>
      <c r="AL1469" s="395"/>
      <c r="AM1469" s="395"/>
      <c r="AN1469" s="395"/>
      <c r="AO1469" s="395"/>
    </row>
    <row r="1470">
      <c r="A1470" s="398"/>
      <c r="B1470" s="398"/>
      <c r="C1470" s="398"/>
      <c r="D1470" s="398"/>
      <c r="E1470" s="399"/>
      <c r="F1470" s="400"/>
      <c r="G1470" s="399"/>
      <c r="H1470" s="400"/>
      <c r="I1470" s="400"/>
      <c r="J1470" s="400"/>
      <c r="K1470" s="400"/>
      <c r="L1470" s="400"/>
      <c r="M1470" s="400"/>
      <c r="N1470" s="400"/>
      <c r="O1470" s="400"/>
      <c r="P1470" s="400"/>
      <c r="Q1470" s="400"/>
      <c r="R1470" s="398"/>
      <c r="S1470" s="401"/>
      <c r="T1470" s="401"/>
      <c r="U1470" s="398"/>
      <c r="V1470" s="398"/>
      <c r="W1470" s="398"/>
      <c r="X1470" s="398"/>
      <c r="Y1470" s="402"/>
      <c r="Z1470" s="403"/>
      <c r="AA1470" s="404"/>
      <c r="AB1470" s="405"/>
      <c r="AC1470" s="405"/>
      <c r="AD1470" s="406"/>
      <c r="AE1470" s="395"/>
      <c r="AF1470" s="395"/>
      <c r="AG1470" s="395"/>
      <c r="AH1470" s="395"/>
      <c r="AI1470" s="395"/>
      <c r="AJ1470" s="395"/>
      <c r="AK1470" s="395"/>
      <c r="AL1470" s="395"/>
      <c r="AM1470" s="395"/>
      <c r="AN1470" s="395"/>
      <c r="AO1470" s="395"/>
    </row>
    <row r="1471">
      <c r="A1471" s="398"/>
      <c r="B1471" s="398"/>
      <c r="C1471" s="398"/>
      <c r="D1471" s="398"/>
      <c r="E1471" s="399"/>
      <c r="F1471" s="400"/>
      <c r="G1471" s="399"/>
      <c r="H1471" s="400"/>
      <c r="I1471" s="400"/>
      <c r="J1471" s="400"/>
      <c r="K1471" s="400"/>
      <c r="L1471" s="400"/>
      <c r="M1471" s="400"/>
      <c r="N1471" s="400"/>
      <c r="O1471" s="400"/>
      <c r="P1471" s="400"/>
      <c r="Q1471" s="400"/>
      <c r="R1471" s="398"/>
      <c r="S1471" s="401"/>
      <c r="T1471" s="401"/>
      <c r="U1471" s="398"/>
      <c r="V1471" s="398"/>
      <c r="W1471" s="398"/>
      <c r="X1471" s="398"/>
      <c r="Y1471" s="402"/>
      <c r="Z1471" s="403"/>
      <c r="AA1471" s="404"/>
      <c r="AB1471" s="405"/>
      <c r="AC1471" s="405"/>
      <c r="AD1471" s="406"/>
      <c r="AE1471" s="395"/>
      <c r="AF1471" s="395"/>
      <c r="AG1471" s="395"/>
      <c r="AH1471" s="395"/>
      <c r="AI1471" s="395"/>
      <c r="AJ1471" s="395"/>
      <c r="AK1471" s="395"/>
      <c r="AL1471" s="395"/>
      <c r="AM1471" s="395"/>
      <c r="AN1471" s="395"/>
      <c r="AO1471" s="395"/>
    </row>
    <row r="1472">
      <c r="A1472" s="398"/>
      <c r="B1472" s="398"/>
      <c r="C1472" s="398"/>
      <c r="D1472" s="398"/>
      <c r="E1472" s="399"/>
      <c r="F1472" s="400"/>
      <c r="G1472" s="399"/>
      <c r="H1472" s="400"/>
      <c r="I1472" s="400"/>
      <c r="J1472" s="400"/>
      <c r="K1472" s="400"/>
      <c r="L1472" s="400"/>
      <c r="M1472" s="400"/>
      <c r="N1472" s="400"/>
      <c r="O1472" s="400"/>
      <c r="P1472" s="400"/>
      <c r="Q1472" s="400"/>
      <c r="R1472" s="398"/>
      <c r="S1472" s="401"/>
      <c r="T1472" s="401"/>
      <c r="U1472" s="398"/>
      <c r="V1472" s="398"/>
      <c r="W1472" s="398"/>
      <c r="X1472" s="398"/>
      <c r="Y1472" s="402"/>
      <c r="Z1472" s="403"/>
      <c r="AA1472" s="404"/>
      <c r="AB1472" s="405"/>
      <c r="AC1472" s="405"/>
      <c r="AD1472" s="406"/>
      <c r="AE1472" s="395"/>
      <c r="AF1472" s="395"/>
      <c r="AG1472" s="395"/>
      <c r="AH1472" s="395"/>
      <c r="AI1472" s="395"/>
      <c r="AJ1472" s="395"/>
      <c r="AK1472" s="395"/>
      <c r="AL1472" s="395"/>
      <c r="AM1472" s="395"/>
      <c r="AN1472" s="395"/>
      <c r="AO1472" s="395"/>
    </row>
    <row r="1473">
      <c r="A1473" s="398"/>
      <c r="B1473" s="398"/>
      <c r="C1473" s="398"/>
      <c r="D1473" s="398"/>
      <c r="E1473" s="399"/>
      <c r="F1473" s="400"/>
      <c r="G1473" s="399"/>
      <c r="H1473" s="400"/>
      <c r="I1473" s="400"/>
      <c r="J1473" s="400"/>
      <c r="K1473" s="400"/>
      <c r="L1473" s="400"/>
      <c r="M1473" s="400"/>
      <c r="N1473" s="400"/>
      <c r="O1473" s="400"/>
      <c r="P1473" s="400"/>
      <c r="Q1473" s="400"/>
      <c r="R1473" s="398"/>
      <c r="S1473" s="401"/>
      <c r="T1473" s="401"/>
      <c r="U1473" s="398"/>
      <c r="V1473" s="398"/>
      <c r="W1473" s="398"/>
      <c r="X1473" s="398"/>
      <c r="Y1473" s="402"/>
      <c r="Z1473" s="403"/>
      <c r="AA1473" s="404"/>
      <c r="AB1473" s="405"/>
      <c r="AC1473" s="405"/>
      <c r="AD1473" s="406"/>
      <c r="AE1473" s="395"/>
      <c r="AF1473" s="395"/>
      <c r="AG1473" s="395"/>
      <c r="AH1473" s="395"/>
      <c r="AI1473" s="395"/>
      <c r="AJ1473" s="395"/>
      <c r="AK1473" s="395"/>
      <c r="AL1473" s="395"/>
      <c r="AM1473" s="395"/>
      <c r="AN1473" s="395"/>
      <c r="AO1473" s="395"/>
    </row>
    <row r="1474">
      <c r="A1474" s="398"/>
      <c r="B1474" s="398"/>
      <c r="C1474" s="398"/>
      <c r="D1474" s="398"/>
      <c r="E1474" s="399"/>
      <c r="F1474" s="400"/>
      <c r="G1474" s="399"/>
      <c r="H1474" s="400"/>
      <c r="I1474" s="400"/>
      <c r="J1474" s="400"/>
      <c r="K1474" s="400"/>
      <c r="L1474" s="400"/>
      <c r="M1474" s="400"/>
      <c r="N1474" s="400"/>
      <c r="O1474" s="400"/>
      <c r="P1474" s="400"/>
      <c r="Q1474" s="400"/>
      <c r="R1474" s="398"/>
      <c r="S1474" s="401"/>
      <c r="T1474" s="401"/>
      <c r="U1474" s="398"/>
      <c r="V1474" s="398"/>
      <c r="W1474" s="398"/>
      <c r="X1474" s="398"/>
      <c r="Y1474" s="402"/>
      <c r="Z1474" s="403"/>
      <c r="AA1474" s="404"/>
      <c r="AB1474" s="405"/>
      <c r="AC1474" s="405"/>
      <c r="AD1474" s="406"/>
      <c r="AE1474" s="395"/>
      <c r="AF1474" s="395"/>
      <c r="AG1474" s="395"/>
      <c r="AH1474" s="395"/>
      <c r="AI1474" s="395"/>
      <c r="AJ1474" s="395"/>
      <c r="AK1474" s="395"/>
      <c r="AL1474" s="395"/>
      <c r="AM1474" s="395"/>
      <c r="AN1474" s="395"/>
      <c r="AO1474" s="395"/>
    </row>
    <row r="1475">
      <c r="A1475" s="398"/>
      <c r="B1475" s="398"/>
      <c r="C1475" s="398"/>
      <c r="D1475" s="398"/>
      <c r="E1475" s="399"/>
      <c r="F1475" s="400"/>
      <c r="G1475" s="399"/>
      <c r="H1475" s="400"/>
      <c r="I1475" s="400"/>
      <c r="J1475" s="400"/>
      <c r="K1475" s="400"/>
      <c r="L1475" s="400"/>
      <c r="M1475" s="400"/>
      <c r="N1475" s="400"/>
      <c r="O1475" s="400"/>
      <c r="P1475" s="400"/>
      <c r="Q1475" s="400"/>
      <c r="R1475" s="398"/>
      <c r="S1475" s="401"/>
      <c r="T1475" s="401"/>
      <c r="U1475" s="398"/>
      <c r="V1475" s="398"/>
      <c r="W1475" s="398"/>
      <c r="X1475" s="398"/>
      <c r="Y1475" s="402"/>
      <c r="Z1475" s="403"/>
      <c r="AA1475" s="404"/>
      <c r="AB1475" s="405"/>
      <c r="AC1475" s="405"/>
      <c r="AD1475" s="406"/>
      <c r="AE1475" s="395"/>
      <c r="AF1475" s="395"/>
      <c r="AG1475" s="395"/>
      <c r="AH1475" s="395"/>
      <c r="AI1475" s="395"/>
      <c r="AJ1475" s="395"/>
      <c r="AK1475" s="395"/>
      <c r="AL1475" s="395"/>
      <c r="AM1475" s="395"/>
      <c r="AN1475" s="395"/>
      <c r="AO1475" s="395"/>
    </row>
    <row r="1476">
      <c r="A1476" s="398"/>
      <c r="B1476" s="398"/>
      <c r="C1476" s="398"/>
      <c r="D1476" s="398"/>
      <c r="E1476" s="399"/>
      <c r="F1476" s="400"/>
      <c r="G1476" s="399"/>
      <c r="H1476" s="400"/>
      <c r="I1476" s="400"/>
      <c r="J1476" s="400"/>
      <c r="K1476" s="400"/>
      <c r="L1476" s="400"/>
      <c r="M1476" s="400"/>
      <c r="N1476" s="400"/>
      <c r="O1476" s="400"/>
      <c r="P1476" s="400"/>
      <c r="Q1476" s="400"/>
      <c r="R1476" s="398"/>
      <c r="S1476" s="401"/>
      <c r="T1476" s="401"/>
      <c r="U1476" s="398"/>
      <c r="V1476" s="398"/>
      <c r="W1476" s="398"/>
      <c r="X1476" s="398"/>
      <c r="Y1476" s="402"/>
      <c r="Z1476" s="403"/>
      <c r="AA1476" s="404"/>
      <c r="AB1476" s="405"/>
      <c r="AC1476" s="405"/>
      <c r="AD1476" s="406"/>
      <c r="AE1476" s="395"/>
      <c r="AF1476" s="395"/>
      <c r="AG1476" s="395"/>
      <c r="AH1476" s="395"/>
      <c r="AI1476" s="395"/>
      <c r="AJ1476" s="395"/>
      <c r="AK1476" s="395"/>
      <c r="AL1476" s="395"/>
      <c r="AM1476" s="395"/>
      <c r="AN1476" s="395"/>
      <c r="AO1476" s="395"/>
    </row>
    <row r="1477">
      <c r="A1477" s="398"/>
      <c r="B1477" s="398"/>
      <c r="C1477" s="398"/>
      <c r="D1477" s="398"/>
      <c r="E1477" s="399"/>
      <c r="F1477" s="400"/>
      <c r="G1477" s="399"/>
      <c r="H1477" s="400"/>
      <c r="I1477" s="400"/>
      <c r="J1477" s="400"/>
      <c r="K1477" s="400"/>
      <c r="L1477" s="400"/>
      <c r="M1477" s="400"/>
      <c r="N1477" s="400"/>
      <c r="O1477" s="400"/>
      <c r="P1477" s="400"/>
      <c r="Q1477" s="400"/>
      <c r="R1477" s="398"/>
      <c r="S1477" s="401"/>
      <c r="T1477" s="401"/>
      <c r="U1477" s="398"/>
      <c r="V1477" s="398"/>
      <c r="W1477" s="398"/>
      <c r="X1477" s="398"/>
      <c r="Y1477" s="402"/>
      <c r="Z1477" s="403"/>
      <c r="AA1477" s="404"/>
      <c r="AB1477" s="405"/>
      <c r="AC1477" s="405"/>
      <c r="AD1477" s="406"/>
      <c r="AE1477" s="395"/>
      <c r="AF1477" s="395"/>
      <c r="AG1477" s="395"/>
      <c r="AH1477" s="395"/>
      <c r="AI1477" s="395"/>
      <c r="AJ1477" s="395"/>
      <c r="AK1477" s="395"/>
      <c r="AL1477" s="395"/>
      <c r="AM1477" s="395"/>
      <c r="AN1477" s="395"/>
      <c r="AO1477" s="395"/>
    </row>
    <row r="1478">
      <c r="A1478" s="398"/>
      <c r="B1478" s="398"/>
      <c r="C1478" s="398"/>
      <c r="D1478" s="398"/>
      <c r="E1478" s="399"/>
      <c r="F1478" s="400"/>
      <c r="G1478" s="399"/>
      <c r="H1478" s="400"/>
      <c r="I1478" s="400"/>
      <c r="J1478" s="400"/>
      <c r="K1478" s="400"/>
      <c r="L1478" s="400"/>
      <c r="M1478" s="400"/>
      <c r="N1478" s="400"/>
      <c r="O1478" s="400"/>
      <c r="P1478" s="400"/>
      <c r="Q1478" s="400"/>
      <c r="R1478" s="398"/>
      <c r="S1478" s="401"/>
      <c r="T1478" s="401"/>
      <c r="U1478" s="398"/>
      <c r="V1478" s="398"/>
      <c r="W1478" s="398"/>
      <c r="X1478" s="398"/>
      <c r="Y1478" s="402"/>
      <c r="Z1478" s="403"/>
      <c r="AA1478" s="404"/>
      <c r="AB1478" s="405"/>
      <c r="AC1478" s="405"/>
      <c r="AD1478" s="406"/>
      <c r="AE1478" s="395"/>
      <c r="AF1478" s="395"/>
      <c r="AG1478" s="395"/>
      <c r="AH1478" s="395"/>
      <c r="AI1478" s="395"/>
      <c r="AJ1478" s="395"/>
      <c r="AK1478" s="395"/>
      <c r="AL1478" s="395"/>
      <c r="AM1478" s="395"/>
      <c r="AN1478" s="395"/>
      <c r="AO1478" s="395"/>
    </row>
    <row r="1479">
      <c r="A1479" s="398"/>
      <c r="B1479" s="398"/>
      <c r="C1479" s="398"/>
      <c r="D1479" s="398"/>
      <c r="E1479" s="399"/>
      <c r="F1479" s="400"/>
      <c r="G1479" s="399"/>
      <c r="H1479" s="400"/>
      <c r="I1479" s="400"/>
      <c r="J1479" s="400"/>
      <c r="K1479" s="400"/>
      <c r="L1479" s="400"/>
      <c r="M1479" s="400"/>
      <c r="N1479" s="400"/>
      <c r="O1479" s="400"/>
      <c r="P1479" s="400"/>
      <c r="Q1479" s="400"/>
      <c r="R1479" s="398"/>
      <c r="S1479" s="401"/>
      <c r="T1479" s="401"/>
      <c r="U1479" s="398"/>
      <c r="V1479" s="398"/>
      <c r="W1479" s="398"/>
      <c r="X1479" s="398"/>
      <c r="Y1479" s="402"/>
      <c r="Z1479" s="403"/>
      <c r="AA1479" s="404"/>
      <c r="AB1479" s="405"/>
      <c r="AC1479" s="405"/>
      <c r="AD1479" s="406"/>
      <c r="AE1479" s="395"/>
      <c r="AF1479" s="395"/>
      <c r="AG1479" s="395"/>
      <c r="AH1479" s="395"/>
      <c r="AI1479" s="395"/>
      <c r="AJ1479" s="395"/>
      <c r="AK1479" s="395"/>
      <c r="AL1479" s="395"/>
      <c r="AM1479" s="395"/>
      <c r="AN1479" s="395"/>
      <c r="AO1479" s="395"/>
    </row>
    <row r="1480">
      <c r="A1480" s="398"/>
      <c r="B1480" s="398"/>
      <c r="C1480" s="398"/>
      <c r="D1480" s="398"/>
      <c r="E1480" s="399"/>
      <c r="F1480" s="400"/>
      <c r="G1480" s="399"/>
      <c r="H1480" s="400"/>
      <c r="I1480" s="400"/>
      <c r="J1480" s="400"/>
      <c r="K1480" s="400"/>
      <c r="L1480" s="400"/>
      <c r="M1480" s="400"/>
      <c r="N1480" s="400"/>
      <c r="O1480" s="400"/>
      <c r="P1480" s="400"/>
      <c r="Q1480" s="400"/>
      <c r="R1480" s="398"/>
      <c r="S1480" s="401"/>
      <c r="T1480" s="401"/>
      <c r="U1480" s="398"/>
      <c r="V1480" s="398"/>
      <c r="W1480" s="398"/>
      <c r="X1480" s="398"/>
      <c r="Y1480" s="402"/>
      <c r="Z1480" s="403"/>
      <c r="AA1480" s="404"/>
      <c r="AB1480" s="405"/>
      <c r="AC1480" s="405"/>
      <c r="AD1480" s="406"/>
      <c r="AE1480" s="395"/>
      <c r="AF1480" s="395"/>
      <c r="AG1480" s="395"/>
      <c r="AH1480" s="395"/>
      <c r="AI1480" s="395"/>
      <c r="AJ1480" s="395"/>
      <c r="AK1480" s="395"/>
      <c r="AL1480" s="395"/>
      <c r="AM1480" s="395"/>
      <c r="AN1480" s="395"/>
      <c r="AO1480" s="395"/>
    </row>
    <row r="1481">
      <c r="A1481" s="398"/>
      <c r="B1481" s="398"/>
      <c r="C1481" s="398"/>
      <c r="D1481" s="398"/>
      <c r="E1481" s="399"/>
      <c r="F1481" s="400"/>
      <c r="G1481" s="399"/>
      <c r="H1481" s="400"/>
      <c r="I1481" s="400"/>
      <c r="J1481" s="400"/>
      <c r="K1481" s="400"/>
      <c r="L1481" s="400"/>
      <c r="M1481" s="400"/>
      <c r="N1481" s="400"/>
      <c r="O1481" s="400"/>
      <c r="P1481" s="400"/>
      <c r="Q1481" s="400"/>
      <c r="R1481" s="398"/>
      <c r="S1481" s="401"/>
      <c r="T1481" s="401"/>
      <c r="U1481" s="398"/>
      <c r="V1481" s="398"/>
      <c r="W1481" s="398"/>
      <c r="X1481" s="398"/>
      <c r="Y1481" s="402"/>
      <c r="Z1481" s="403"/>
      <c r="AA1481" s="404"/>
      <c r="AB1481" s="405"/>
      <c r="AC1481" s="405"/>
      <c r="AD1481" s="406"/>
      <c r="AE1481" s="395"/>
      <c r="AF1481" s="395"/>
      <c r="AG1481" s="395"/>
      <c r="AH1481" s="395"/>
      <c r="AI1481" s="395"/>
      <c r="AJ1481" s="395"/>
      <c r="AK1481" s="395"/>
      <c r="AL1481" s="395"/>
      <c r="AM1481" s="395"/>
      <c r="AN1481" s="395"/>
      <c r="AO1481" s="395"/>
    </row>
    <row r="1482">
      <c r="A1482" s="398"/>
      <c r="B1482" s="398"/>
      <c r="C1482" s="398"/>
      <c r="D1482" s="398"/>
      <c r="E1482" s="399"/>
      <c r="F1482" s="400"/>
      <c r="G1482" s="399"/>
      <c r="H1482" s="400"/>
      <c r="I1482" s="400"/>
      <c r="J1482" s="400"/>
      <c r="K1482" s="400"/>
      <c r="L1482" s="400"/>
      <c r="M1482" s="400"/>
      <c r="N1482" s="400"/>
      <c r="O1482" s="400"/>
      <c r="P1482" s="400"/>
      <c r="Q1482" s="400"/>
      <c r="R1482" s="398"/>
      <c r="S1482" s="401"/>
      <c r="T1482" s="401"/>
      <c r="U1482" s="398"/>
      <c r="V1482" s="398"/>
      <c r="W1482" s="398"/>
      <c r="X1482" s="398"/>
      <c r="Y1482" s="402"/>
      <c r="Z1482" s="403"/>
      <c r="AA1482" s="404"/>
      <c r="AB1482" s="405"/>
      <c r="AC1482" s="405"/>
      <c r="AD1482" s="406"/>
      <c r="AE1482" s="395"/>
      <c r="AF1482" s="395"/>
      <c r="AG1482" s="395"/>
      <c r="AH1482" s="395"/>
      <c r="AI1482" s="395"/>
      <c r="AJ1482" s="395"/>
      <c r="AK1482" s="395"/>
      <c r="AL1482" s="395"/>
      <c r="AM1482" s="395"/>
      <c r="AN1482" s="395"/>
      <c r="AO1482" s="395"/>
    </row>
    <row r="1483">
      <c r="A1483" s="398"/>
      <c r="B1483" s="398"/>
      <c r="C1483" s="398"/>
      <c r="D1483" s="398"/>
      <c r="E1483" s="399"/>
      <c r="F1483" s="400"/>
      <c r="G1483" s="399"/>
      <c r="H1483" s="400"/>
      <c r="I1483" s="400"/>
      <c r="J1483" s="400"/>
      <c r="K1483" s="400"/>
      <c r="L1483" s="400"/>
      <c r="M1483" s="400"/>
      <c r="N1483" s="400"/>
      <c r="O1483" s="400"/>
      <c r="P1483" s="400"/>
      <c r="Q1483" s="400"/>
      <c r="R1483" s="398"/>
      <c r="S1483" s="401"/>
      <c r="T1483" s="401"/>
      <c r="U1483" s="398"/>
      <c r="V1483" s="398"/>
      <c r="W1483" s="398"/>
      <c r="X1483" s="398"/>
      <c r="Y1483" s="402"/>
      <c r="Z1483" s="403"/>
      <c r="AA1483" s="404"/>
      <c r="AB1483" s="405"/>
      <c r="AC1483" s="405"/>
      <c r="AD1483" s="406"/>
      <c r="AE1483" s="395"/>
      <c r="AF1483" s="395"/>
      <c r="AG1483" s="395"/>
      <c r="AH1483" s="395"/>
      <c r="AI1483" s="395"/>
      <c r="AJ1483" s="395"/>
      <c r="AK1483" s="395"/>
      <c r="AL1483" s="395"/>
      <c r="AM1483" s="395"/>
      <c r="AN1483" s="395"/>
      <c r="AO1483" s="395"/>
    </row>
    <row r="1484">
      <c r="A1484" s="398"/>
      <c r="B1484" s="398"/>
      <c r="C1484" s="398"/>
      <c r="D1484" s="398"/>
      <c r="E1484" s="399"/>
      <c r="F1484" s="400"/>
      <c r="G1484" s="399"/>
      <c r="H1484" s="400"/>
      <c r="I1484" s="400"/>
      <c r="J1484" s="400"/>
      <c r="K1484" s="400"/>
      <c r="L1484" s="400"/>
      <c r="M1484" s="400"/>
      <c r="N1484" s="400"/>
      <c r="O1484" s="400"/>
      <c r="P1484" s="400"/>
      <c r="Q1484" s="400"/>
      <c r="R1484" s="398"/>
      <c r="S1484" s="401"/>
      <c r="T1484" s="401"/>
      <c r="U1484" s="398"/>
      <c r="V1484" s="398"/>
      <c r="W1484" s="398"/>
      <c r="X1484" s="398"/>
      <c r="Y1484" s="402"/>
      <c r="Z1484" s="403"/>
      <c r="AA1484" s="404"/>
      <c r="AB1484" s="405"/>
      <c r="AC1484" s="405"/>
      <c r="AD1484" s="406"/>
      <c r="AE1484" s="395"/>
      <c r="AF1484" s="395"/>
      <c r="AG1484" s="395"/>
      <c r="AH1484" s="395"/>
      <c r="AI1484" s="395"/>
      <c r="AJ1484" s="395"/>
      <c r="AK1484" s="395"/>
      <c r="AL1484" s="395"/>
      <c r="AM1484" s="395"/>
      <c r="AN1484" s="395"/>
      <c r="AO1484" s="395"/>
    </row>
    <row r="1485">
      <c r="A1485" s="398"/>
      <c r="B1485" s="398"/>
      <c r="C1485" s="398"/>
      <c r="D1485" s="398"/>
      <c r="E1485" s="399"/>
      <c r="F1485" s="400"/>
      <c r="G1485" s="399"/>
      <c r="H1485" s="400"/>
      <c r="I1485" s="400"/>
      <c r="J1485" s="400"/>
      <c r="K1485" s="400"/>
      <c r="L1485" s="400"/>
      <c r="M1485" s="400"/>
      <c r="N1485" s="400"/>
      <c r="O1485" s="400"/>
      <c r="P1485" s="400"/>
      <c r="Q1485" s="400"/>
      <c r="R1485" s="398"/>
      <c r="S1485" s="401"/>
      <c r="T1485" s="401"/>
      <c r="U1485" s="398"/>
      <c r="V1485" s="398"/>
      <c r="W1485" s="398"/>
      <c r="X1485" s="398"/>
      <c r="Y1485" s="402"/>
      <c r="Z1485" s="403"/>
      <c r="AA1485" s="404"/>
      <c r="AB1485" s="405"/>
      <c r="AC1485" s="405"/>
      <c r="AD1485" s="406"/>
      <c r="AE1485" s="395"/>
      <c r="AF1485" s="395"/>
      <c r="AG1485" s="395"/>
      <c r="AH1485" s="395"/>
      <c r="AI1485" s="395"/>
      <c r="AJ1485" s="395"/>
      <c r="AK1485" s="395"/>
      <c r="AL1485" s="395"/>
      <c r="AM1485" s="395"/>
      <c r="AN1485" s="395"/>
      <c r="AO1485" s="395"/>
    </row>
    <row r="1486">
      <c r="A1486" s="398"/>
      <c r="B1486" s="398"/>
      <c r="C1486" s="398"/>
      <c r="D1486" s="398"/>
      <c r="E1486" s="399"/>
      <c r="F1486" s="400"/>
      <c r="G1486" s="399"/>
      <c r="H1486" s="400"/>
      <c r="I1486" s="400"/>
      <c r="J1486" s="400"/>
      <c r="K1486" s="400"/>
      <c r="L1486" s="400"/>
      <c r="M1486" s="400"/>
      <c r="N1486" s="400"/>
      <c r="O1486" s="400"/>
      <c r="P1486" s="400"/>
      <c r="Q1486" s="400"/>
      <c r="R1486" s="398"/>
      <c r="S1486" s="401"/>
      <c r="T1486" s="401"/>
      <c r="U1486" s="398"/>
      <c r="V1486" s="398"/>
      <c r="W1486" s="398"/>
      <c r="X1486" s="398"/>
      <c r="Y1486" s="402"/>
      <c r="Z1486" s="403"/>
      <c r="AA1486" s="404"/>
      <c r="AB1486" s="405"/>
      <c r="AC1486" s="405"/>
      <c r="AD1486" s="406"/>
      <c r="AE1486" s="395"/>
      <c r="AF1486" s="395"/>
      <c r="AG1486" s="395"/>
      <c r="AH1486" s="395"/>
      <c r="AI1486" s="395"/>
      <c r="AJ1486" s="395"/>
      <c r="AK1486" s="395"/>
      <c r="AL1486" s="395"/>
      <c r="AM1486" s="395"/>
      <c r="AN1486" s="395"/>
      <c r="AO1486" s="395"/>
    </row>
    <row r="1487">
      <c r="A1487" s="398"/>
      <c r="B1487" s="398"/>
      <c r="C1487" s="398"/>
      <c r="D1487" s="398"/>
      <c r="E1487" s="399"/>
      <c r="F1487" s="400"/>
      <c r="G1487" s="399"/>
      <c r="H1487" s="400"/>
      <c r="I1487" s="400"/>
      <c r="J1487" s="400"/>
      <c r="K1487" s="400"/>
      <c r="L1487" s="400"/>
      <c r="M1487" s="400"/>
      <c r="N1487" s="400"/>
      <c r="O1487" s="400"/>
      <c r="P1487" s="400"/>
      <c r="Q1487" s="400"/>
      <c r="R1487" s="398"/>
      <c r="S1487" s="401"/>
      <c r="T1487" s="401"/>
      <c r="U1487" s="398"/>
      <c r="V1487" s="398"/>
      <c r="W1487" s="398"/>
      <c r="X1487" s="398"/>
      <c r="Y1487" s="402"/>
      <c r="Z1487" s="403"/>
      <c r="AA1487" s="404"/>
      <c r="AB1487" s="405"/>
      <c r="AC1487" s="405"/>
      <c r="AD1487" s="406"/>
      <c r="AE1487" s="395"/>
      <c r="AF1487" s="395"/>
      <c r="AG1487" s="395"/>
      <c r="AH1487" s="395"/>
      <c r="AI1487" s="395"/>
      <c r="AJ1487" s="395"/>
      <c r="AK1487" s="395"/>
      <c r="AL1487" s="395"/>
      <c r="AM1487" s="395"/>
      <c r="AN1487" s="395"/>
      <c r="AO1487" s="395"/>
    </row>
    <row r="1488">
      <c r="A1488" s="398"/>
      <c r="B1488" s="398"/>
      <c r="C1488" s="398"/>
      <c r="D1488" s="398"/>
      <c r="E1488" s="399"/>
      <c r="F1488" s="400"/>
      <c r="G1488" s="399"/>
      <c r="H1488" s="400"/>
      <c r="I1488" s="400"/>
      <c r="J1488" s="400"/>
      <c r="K1488" s="400"/>
      <c r="L1488" s="400"/>
      <c r="M1488" s="400"/>
      <c r="N1488" s="400"/>
      <c r="O1488" s="400"/>
      <c r="P1488" s="400"/>
      <c r="Q1488" s="400"/>
      <c r="R1488" s="398"/>
      <c r="S1488" s="401"/>
      <c r="T1488" s="401"/>
      <c r="U1488" s="398"/>
      <c r="V1488" s="398"/>
      <c r="W1488" s="398"/>
      <c r="X1488" s="398"/>
      <c r="Y1488" s="402"/>
      <c r="Z1488" s="403"/>
      <c r="AA1488" s="404"/>
      <c r="AB1488" s="405"/>
      <c r="AC1488" s="405"/>
      <c r="AD1488" s="406"/>
      <c r="AE1488" s="395"/>
      <c r="AF1488" s="395"/>
      <c r="AG1488" s="395"/>
      <c r="AH1488" s="395"/>
      <c r="AI1488" s="395"/>
      <c r="AJ1488" s="395"/>
      <c r="AK1488" s="395"/>
      <c r="AL1488" s="395"/>
      <c r="AM1488" s="395"/>
      <c r="AN1488" s="395"/>
      <c r="AO1488" s="395"/>
    </row>
    <row r="1489">
      <c r="A1489" s="398"/>
      <c r="B1489" s="398"/>
      <c r="C1489" s="398"/>
      <c r="D1489" s="398"/>
      <c r="E1489" s="399"/>
      <c r="F1489" s="400"/>
      <c r="G1489" s="399"/>
      <c r="H1489" s="400"/>
      <c r="I1489" s="400"/>
      <c r="J1489" s="400"/>
      <c r="K1489" s="400"/>
      <c r="L1489" s="400"/>
      <c r="M1489" s="400"/>
      <c r="N1489" s="400"/>
      <c r="O1489" s="400"/>
      <c r="P1489" s="400"/>
      <c r="Q1489" s="400"/>
      <c r="R1489" s="398"/>
      <c r="S1489" s="401"/>
      <c r="T1489" s="401"/>
      <c r="U1489" s="398"/>
      <c r="V1489" s="398"/>
      <c r="W1489" s="398"/>
      <c r="X1489" s="398"/>
      <c r="Y1489" s="402"/>
      <c r="Z1489" s="403"/>
      <c r="AA1489" s="404"/>
      <c r="AB1489" s="405"/>
      <c r="AC1489" s="405"/>
      <c r="AD1489" s="406"/>
      <c r="AE1489" s="395"/>
      <c r="AF1489" s="395"/>
      <c r="AG1489" s="395"/>
      <c r="AH1489" s="395"/>
      <c r="AI1489" s="395"/>
      <c r="AJ1489" s="395"/>
      <c r="AK1489" s="395"/>
      <c r="AL1489" s="395"/>
      <c r="AM1489" s="395"/>
      <c r="AN1489" s="395"/>
      <c r="AO1489" s="395"/>
    </row>
    <row r="1490">
      <c r="A1490" s="398"/>
      <c r="B1490" s="398"/>
      <c r="C1490" s="398"/>
      <c r="D1490" s="398"/>
      <c r="E1490" s="399"/>
      <c r="F1490" s="400"/>
      <c r="G1490" s="399"/>
      <c r="H1490" s="400"/>
      <c r="I1490" s="400"/>
      <c r="J1490" s="400"/>
      <c r="K1490" s="400"/>
      <c r="L1490" s="400"/>
      <c r="M1490" s="400"/>
      <c r="N1490" s="400"/>
      <c r="O1490" s="400"/>
      <c r="P1490" s="400"/>
      <c r="Q1490" s="400"/>
      <c r="R1490" s="398"/>
      <c r="S1490" s="401"/>
      <c r="T1490" s="401"/>
      <c r="U1490" s="398"/>
      <c r="V1490" s="398"/>
      <c r="W1490" s="398"/>
      <c r="X1490" s="398"/>
      <c r="Y1490" s="402"/>
      <c r="Z1490" s="403"/>
      <c r="AA1490" s="404"/>
      <c r="AB1490" s="405"/>
      <c r="AC1490" s="405"/>
      <c r="AD1490" s="406"/>
      <c r="AE1490" s="395"/>
      <c r="AF1490" s="395"/>
      <c r="AG1490" s="395"/>
      <c r="AH1490" s="395"/>
      <c r="AI1490" s="395"/>
      <c r="AJ1490" s="395"/>
      <c r="AK1490" s="395"/>
      <c r="AL1490" s="395"/>
      <c r="AM1490" s="395"/>
      <c r="AN1490" s="395"/>
      <c r="AO1490" s="395"/>
    </row>
    <row r="1491">
      <c r="A1491" s="398"/>
      <c r="B1491" s="398"/>
      <c r="C1491" s="398"/>
      <c r="D1491" s="398"/>
      <c r="E1491" s="399"/>
      <c r="F1491" s="400"/>
      <c r="G1491" s="399"/>
      <c r="H1491" s="400"/>
      <c r="I1491" s="400"/>
      <c r="J1491" s="400"/>
      <c r="K1491" s="400"/>
      <c r="L1491" s="400"/>
      <c r="M1491" s="400"/>
      <c r="N1491" s="400"/>
      <c r="O1491" s="400"/>
      <c r="P1491" s="400"/>
      <c r="Q1491" s="400"/>
      <c r="R1491" s="398"/>
      <c r="S1491" s="401"/>
      <c r="T1491" s="401"/>
      <c r="U1491" s="398"/>
      <c r="V1491" s="398"/>
      <c r="W1491" s="398"/>
      <c r="X1491" s="398"/>
      <c r="Y1491" s="402"/>
      <c r="Z1491" s="403"/>
      <c r="AA1491" s="404"/>
      <c r="AB1491" s="405"/>
      <c r="AC1491" s="405"/>
      <c r="AD1491" s="406"/>
      <c r="AE1491" s="395"/>
      <c r="AF1491" s="395"/>
      <c r="AG1491" s="395"/>
      <c r="AH1491" s="395"/>
      <c r="AI1491" s="395"/>
      <c r="AJ1491" s="395"/>
      <c r="AK1491" s="395"/>
      <c r="AL1491" s="395"/>
      <c r="AM1491" s="395"/>
      <c r="AN1491" s="395"/>
      <c r="AO1491" s="395"/>
    </row>
    <row r="1492">
      <c r="A1492" s="398"/>
      <c r="B1492" s="398"/>
      <c r="C1492" s="398"/>
      <c r="D1492" s="398"/>
      <c r="E1492" s="399"/>
      <c r="F1492" s="400"/>
      <c r="G1492" s="399"/>
      <c r="H1492" s="400"/>
      <c r="I1492" s="400"/>
      <c r="J1492" s="400"/>
      <c r="K1492" s="400"/>
      <c r="L1492" s="400"/>
      <c r="M1492" s="400"/>
      <c r="N1492" s="400"/>
      <c r="O1492" s="400"/>
      <c r="P1492" s="400"/>
      <c r="Q1492" s="400"/>
      <c r="R1492" s="398"/>
      <c r="S1492" s="401"/>
      <c r="T1492" s="401"/>
      <c r="U1492" s="398"/>
      <c r="V1492" s="398"/>
      <c r="W1492" s="398"/>
      <c r="X1492" s="398"/>
      <c r="Y1492" s="402"/>
      <c r="Z1492" s="403"/>
      <c r="AA1492" s="404"/>
      <c r="AB1492" s="405"/>
      <c r="AC1492" s="405"/>
      <c r="AD1492" s="406"/>
      <c r="AE1492" s="395"/>
      <c r="AF1492" s="395"/>
      <c r="AG1492" s="395"/>
      <c r="AH1492" s="395"/>
      <c r="AI1492" s="395"/>
      <c r="AJ1492" s="395"/>
      <c r="AK1492" s="395"/>
      <c r="AL1492" s="395"/>
      <c r="AM1492" s="395"/>
      <c r="AN1492" s="395"/>
      <c r="AO1492" s="395"/>
    </row>
    <row r="1493">
      <c r="A1493" s="398"/>
      <c r="B1493" s="398"/>
      <c r="C1493" s="398"/>
      <c r="D1493" s="398"/>
      <c r="E1493" s="399"/>
      <c r="F1493" s="400"/>
      <c r="G1493" s="399"/>
      <c r="H1493" s="400"/>
      <c r="I1493" s="400"/>
      <c r="J1493" s="400"/>
      <c r="K1493" s="400"/>
      <c r="L1493" s="400"/>
      <c r="M1493" s="400"/>
      <c r="N1493" s="400"/>
      <c r="O1493" s="400"/>
      <c r="P1493" s="400"/>
      <c r="Q1493" s="400"/>
      <c r="R1493" s="398"/>
      <c r="S1493" s="401"/>
      <c r="T1493" s="401"/>
      <c r="U1493" s="398"/>
      <c r="V1493" s="398"/>
      <c r="W1493" s="398"/>
      <c r="X1493" s="398"/>
      <c r="Y1493" s="402"/>
      <c r="Z1493" s="403"/>
      <c r="AA1493" s="404"/>
      <c r="AB1493" s="405"/>
      <c r="AC1493" s="405"/>
      <c r="AD1493" s="406"/>
      <c r="AE1493" s="395"/>
      <c r="AF1493" s="395"/>
      <c r="AG1493" s="395"/>
      <c r="AH1493" s="395"/>
      <c r="AI1493" s="395"/>
      <c r="AJ1493" s="395"/>
      <c r="AK1493" s="395"/>
      <c r="AL1493" s="395"/>
      <c r="AM1493" s="395"/>
      <c r="AN1493" s="395"/>
      <c r="AO1493" s="395"/>
    </row>
    <row r="1494">
      <c r="A1494" s="398"/>
      <c r="B1494" s="398"/>
      <c r="C1494" s="398"/>
      <c r="D1494" s="398"/>
      <c r="E1494" s="399"/>
      <c r="F1494" s="400"/>
      <c r="G1494" s="399"/>
      <c r="H1494" s="400"/>
      <c r="I1494" s="400"/>
      <c r="J1494" s="400"/>
      <c r="K1494" s="400"/>
      <c r="L1494" s="400"/>
      <c r="M1494" s="400"/>
      <c r="N1494" s="400"/>
      <c r="O1494" s="400"/>
      <c r="P1494" s="400"/>
      <c r="Q1494" s="400"/>
      <c r="R1494" s="398"/>
      <c r="S1494" s="401"/>
      <c r="T1494" s="401"/>
      <c r="U1494" s="398"/>
      <c r="V1494" s="398"/>
      <c r="W1494" s="398"/>
      <c r="X1494" s="398"/>
      <c r="Y1494" s="402"/>
      <c r="Z1494" s="403"/>
      <c r="AA1494" s="404"/>
      <c r="AB1494" s="405"/>
      <c r="AC1494" s="405"/>
      <c r="AD1494" s="406"/>
      <c r="AE1494" s="395"/>
      <c r="AF1494" s="395"/>
      <c r="AG1494" s="395"/>
      <c r="AH1494" s="395"/>
      <c r="AI1494" s="395"/>
      <c r="AJ1494" s="395"/>
      <c r="AK1494" s="395"/>
      <c r="AL1494" s="395"/>
      <c r="AM1494" s="395"/>
      <c r="AN1494" s="395"/>
      <c r="AO1494" s="395"/>
    </row>
    <row r="1495">
      <c r="A1495" s="398"/>
      <c r="B1495" s="398"/>
      <c r="C1495" s="398"/>
      <c r="D1495" s="398"/>
      <c r="E1495" s="399"/>
      <c r="F1495" s="400"/>
      <c r="G1495" s="399"/>
      <c r="H1495" s="400"/>
      <c r="I1495" s="400"/>
      <c r="J1495" s="400"/>
      <c r="K1495" s="400"/>
      <c r="L1495" s="400"/>
      <c r="M1495" s="400"/>
      <c r="N1495" s="400"/>
      <c r="O1495" s="400"/>
      <c r="P1495" s="400"/>
      <c r="Q1495" s="400"/>
      <c r="R1495" s="398"/>
      <c r="S1495" s="401"/>
      <c r="T1495" s="401"/>
      <c r="U1495" s="398"/>
      <c r="V1495" s="398"/>
      <c r="W1495" s="398"/>
      <c r="X1495" s="398"/>
      <c r="Y1495" s="402"/>
      <c r="Z1495" s="403"/>
      <c r="AA1495" s="404"/>
      <c r="AB1495" s="405"/>
      <c r="AC1495" s="405"/>
      <c r="AD1495" s="406"/>
      <c r="AE1495" s="395"/>
      <c r="AF1495" s="395"/>
      <c r="AG1495" s="395"/>
      <c r="AH1495" s="395"/>
      <c r="AI1495" s="395"/>
      <c r="AJ1495" s="395"/>
      <c r="AK1495" s="395"/>
      <c r="AL1495" s="395"/>
      <c r="AM1495" s="395"/>
      <c r="AN1495" s="395"/>
      <c r="AO1495" s="395"/>
    </row>
    <row r="1496">
      <c r="A1496" s="398"/>
      <c r="B1496" s="398"/>
      <c r="C1496" s="398"/>
      <c r="D1496" s="398"/>
      <c r="E1496" s="399"/>
      <c r="F1496" s="400"/>
      <c r="G1496" s="399"/>
      <c r="H1496" s="400"/>
      <c r="I1496" s="400"/>
      <c r="J1496" s="400"/>
      <c r="K1496" s="400"/>
      <c r="L1496" s="400"/>
      <c r="M1496" s="400"/>
      <c r="N1496" s="400"/>
      <c r="O1496" s="400"/>
      <c r="P1496" s="400"/>
      <c r="Q1496" s="400"/>
      <c r="R1496" s="398"/>
      <c r="S1496" s="401"/>
      <c r="T1496" s="401"/>
      <c r="U1496" s="398"/>
      <c r="V1496" s="398"/>
      <c r="W1496" s="398"/>
      <c r="X1496" s="398"/>
      <c r="Y1496" s="402"/>
      <c r="Z1496" s="403"/>
      <c r="AA1496" s="404"/>
      <c r="AB1496" s="405"/>
      <c r="AC1496" s="405"/>
      <c r="AD1496" s="406"/>
      <c r="AE1496" s="395"/>
      <c r="AF1496" s="395"/>
      <c r="AG1496" s="395"/>
      <c r="AH1496" s="395"/>
      <c r="AI1496" s="395"/>
      <c r="AJ1496" s="395"/>
      <c r="AK1496" s="395"/>
      <c r="AL1496" s="395"/>
      <c r="AM1496" s="395"/>
      <c r="AN1496" s="395"/>
      <c r="AO1496" s="395"/>
    </row>
    <row r="1497">
      <c r="A1497" s="398"/>
      <c r="B1497" s="398"/>
      <c r="C1497" s="398"/>
      <c r="D1497" s="398"/>
      <c r="E1497" s="399"/>
      <c r="F1497" s="400"/>
      <c r="G1497" s="399"/>
      <c r="H1497" s="400"/>
      <c r="I1497" s="400"/>
      <c r="J1497" s="400"/>
      <c r="K1497" s="400"/>
      <c r="L1497" s="400"/>
      <c r="M1497" s="400"/>
      <c r="N1497" s="400"/>
      <c r="O1497" s="400"/>
      <c r="P1497" s="400"/>
      <c r="Q1497" s="400"/>
      <c r="R1497" s="398"/>
      <c r="S1497" s="401"/>
      <c r="T1497" s="401"/>
      <c r="U1497" s="398"/>
      <c r="V1497" s="398"/>
      <c r="W1497" s="398"/>
      <c r="X1497" s="398"/>
      <c r="Y1497" s="402"/>
      <c r="Z1497" s="403"/>
      <c r="AA1497" s="404"/>
      <c r="AB1497" s="405"/>
      <c r="AC1497" s="405"/>
      <c r="AD1497" s="406"/>
      <c r="AE1497" s="395"/>
      <c r="AF1497" s="395"/>
      <c r="AG1497" s="395"/>
      <c r="AH1497" s="395"/>
      <c r="AI1497" s="395"/>
      <c r="AJ1497" s="395"/>
      <c r="AK1497" s="395"/>
      <c r="AL1497" s="395"/>
      <c r="AM1497" s="395"/>
      <c r="AN1497" s="395"/>
      <c r="AO1497" s="395"/>
    </row>
    <row r="1498">
      <c r="A1498" s="398"/>
      <c r="B1498" s="398"/>
      <c r="C1498" s="398"/>
      <c r="D1498" s="398"/>
      <c r="E1498" s="399"/>
      <c r="F1498" s="400"/>
      <c r="G1498" s="399"/>
      <c r="H1498" s="400"/>
      <c r="I1498" s="400"/>
      <c r="J1498" s="400"/>
      <c r="K1498" s="400"/>
      <c r="L1498" s="400"/>
      <c r="M1498" s="400"/>
      <c r="N1498" s="400"/>
      <c r="O1498" s="400"/>
      <c r="P1498" s="400"/>
      <c r="Q1498" s="400"/>
      <c r="R1498" s="398"/>
      <c r="S1498" s="401"/>
      <c r="T1498" s="401"/>
      <c r="U1498" s="398"/>
      <c r="V1498" s="398"/>
      <c r="W1498" s="398"/>
      <c r="X1498" s="398"/>
      <c r="Y1498" s="402"/>
      <c r="Z1498" s="403"/>
      <c r="AA1498" s="404"/>
      <c r="AB1498" s="405"/>
      <c r="AC1498" s="405"/>
      <c r="AD1498" s="406"/>
      <c r="AE1498" s="395"/>
      <c r="AF1498" s="395"/>
      <c r="AG1498" s="395"/>
      <c r="AH1498" s="395"/>
      <c r="AI1498" s="395"/>
      <c r="AJ1498" s="395"/>
      <c r="AK1498" s="395"/>
      <c r="AL1498" s="395"/>
      <c r="AM1498" s="395"/>
      <c r="AN1498" s="395"/>
      <c r="AO1498" s="395"/>
    </row>
    <row r="1499">
      <c r="A1499" s="398"/>
      <c r="B1499" s="398"/>
      <c r="C1499" s="398"/>
      <c r="D1499" s="398"/>
      <c r="E1499" s="399"/>
      <c r="F1499" s="400"/>
      <c r="G1499" s="399"/>
      <c r="H1499" s="400"/>
      <c r="I1499" s="400"/>
      <c r="J1499" s="400"/>
      <c r="K1499" s="400"/>
      <c r="L1499" s="400"/>
      <c r="M1499" s="400"/>
      <c r="N1499" s="400"/>
      <c r="O1499" s="400"/>
      <c r="P1499" s="400"/>
      <c r="Q1499" s="400"/>
      <c r="R1499" s="398"/>
      <c r="S1499" s="401"/>
      <c r="T1499" s="401"/>
      <c r="U1499" s="398"/>
      <c r="V1499" s="398"/>
      <c r="W1499" s="398"/>
      <c r="X1499" s="398"/>
      <c r="Y1499" s="402"/>
      <c r="Z1499" s="403"/>
      <c r="AA1499" s="404"/>
      <c r="AB1499" s="405"/>
      <c r="AC1499" s="405"/>
      <c r="AD1499" s="406"/>
      <c r="AE1499" s="395"/>
      <c r="AF1499" s="395"/>
      <c r="AG1499" s="395"/>
      <c r="AH1499" s="395"/>
      <c r="AI1499" s="395"/>
      <c r="AJ1499" s="395"/>
      <c r="AK1499" s="395"/>
      <c r="AL1499" s="395"/>
      <c r="AM1499" s="395"/>
      <c r="AN1499" s="395"/>
      <c r="AO1499" s="395"/>
    </row>
    <row r="1500">
      <c r="A1500" s="398"/>
      <c r="B1500" s="398"/>
      <c r="C1500" s="398"/>
      <c r="D1500" s="398"/>
      <c r="E1500" s="399"/>
      <c r="F1500" s="400"/>
      <c r="G1500" s="399"/>
      <c r="H1500" s="400"/>
      <c r="I1500" s="400"/>
      <c r="J1500" s="400"/>
      <c r="K1500" s="400"/>
      <c r="L1500" s="400"/>
      <c r="M1500" s="400"/>
      <c r="N1500" s="400"/>
      <c r="O1500" s="400"/>
      <c r="P1500" s="400"/>
      <c r="Q1500" s="400"/>
      <c r="R1500" s="398"/>
      <c r="S1500" s="401"/>
      <c r="T1500" s="401"/>
      <c r="U1500" s="398"/>
      <c r="V1500" s="398"/>
      <c r="W1500" s="398"/>
      <c r="X1500" s="398"/>
      <c r="Y1500" s="402"/>
      <c r="Z1500" s="403"/>
      <c r="AA1500" s="404"/>
      <c r="AB1500" s="405"/>
      <c r="AC1500" s="405"/>
      <c r="AD1500" s="406"/>
      <c r="AE1500" s="395"/>
      <c r="AF1500" s="395"/>
      <c r="AG1500" s="395"/>
      <c r="AH1500" s="395"/>
      <c r="AI1500" s="395"/>
      <c r="AJ1500" s="395"/>
      <c r="AK1500" s="395"/>
      <c r="AL1500" s="395"/>
      <c r="AM1500" s="395"/>
      <c r="AN1500" s="395"/>
      <c r="AO1500" s="395"/>
    </row>
    <row r="1501">
      <c r="A1501" s="398"/>
      <c r="B1501" s="398"/>
      <c r="C1501" s="398"/>
      <c r="D1501" s="398"/>
      <c r="E1501" s="399"/>
      <c r="F1501" s="400"/>
      <c r="G1501" s="399"/>
      <c r="H1501" s="400"/>
      <c r="I1501" s="400"/>
      <c r="J1501" s="400"/>
      <c r="K1501" s="400"/>
      <c r="L1501" s="400"/>
      <c r="M1501" s="400"/>
      <c r="N1501" s="400"/>
      <c r="O1501" s="400"/>
      <c r="P1501" s="400"/>
      <c r="Q1501" s="400"/>
      <c r="R1501" s="398"/>
      <c r="S1501" s="401"/>
      <c r="T1501" s="401"/>
      <c r="U1501" s="398"/>
      <c r="V1501" s="398"/>
      <c r="W1501" s="398"/>
      <c r="X1501" s="398"/>
      <c r="Y1501" s="402"/>
      <c r="Z1501" s="403"/>
      <c r="AA1501" s="404"/>
      <c r="AB1501" s="405"/>
      <c r="AC1501" s="405"/>
      <c r="AD1501" s="406"/>
      <c r="AE1501" s="395"/>
      <c r="AF1501" s="395"/>
      <c r="AG1501" s="395"/>
      <c r="AH1501" s="395"/>
      <c r="AI1501" s="395"/>
      <c r="AJ1501" s="395"/>
      <c r="AK1501" s="395"/>
      <c r="AL1501" s="395"/>
      <c r="AM1501" s="395"/>
      <c r="AN1501" s="395"/>
      <c r="AO1501" s="395"/>
    </row>
    <row r="1502">
      <c r="A1502" s="398"/>
      <c r="B1502" s="398"/>
      <c r="C1502" s="398"/>
      <c r="D1502" s="398"/>
      <c r="E1502" s="399"/>
      <c r="F1502" s="400"/>
      <c r="G1502" s="399"/>
      <c r="H1502" s="400"/>
      <c r="I1502" s="400"/>
      <c r="J1502" s="400"/>
      <c r="K1502" s="400"/>
      <c r="L1502" s="400"/>
      <c r="M1502" s="400"/>
      <c r="N1502" s="400"/>
      <c r="O1502" s="400"/>
      <c r="P1502" s="400"/>
      <c r="Q1502" s="400"/>
      <c r="R1502" s="398"/>
      <c r="S1502" s="401"/>
      <c r="T1502" s="401"/>
      <c r="U1502" s="398"/>
      <c r="V1502" s="398"/>
      <c r="W1502" s="398"/>
      <c r="X1502" s="398"/>
      <c r="Y1502" s="402"/>
      <c r="Z1502" s="403"/>
      <c r="AA1502" s="404"/>
      <c r="AB1502" s="405"/>
      <c r="AC1502" s="405"/>
      <c r="AD1502" s="406"/>
      <c r="AE1502" s="395"/>
      <c r="AF1502" s="395"/>
      <c r="AG1502" s="395"/>
      <c r="AH1502" s="395"/>
      <c r="AI1502" s="395"/>
      <c r="AJ1502" s="395"/>
      <c r="AK1502" s="395"/>
      <c r="AL1502" s="395"/>
      <c r="AM1502" s="395"/>
      <c r="AN1502" s="395"/>
      <c r="AO1502" s="395"/>
    </row>
    <row r="1503">
      <c r="A1503" s="398"/>
      <c r="B1503" s="398"/>
      <c r="C1503" s="398"/>
      <c r="D1503" s="398"/>
      <c r="E1503" s="399"/>
      <c r="F1503" s="400"/>
      <c r="G1503" s="399"/>
      <c r="H1503" s="400"/>
      <c r="I1503" s="400"/>
      <c r="J1503" s="400"/>
      <c r="K1503" s="400"/>
      <c r="L1503" s="400"/>
      <c r="M1503" s="400"/>
      <c r="N1503" s="400"/>
      <c r="O1503" s="400"/>
      <c r="P1503" s="400"/>
      <c r="Q1503" s="400"/>
      <c r="R1503" s="398"/>
      <c r="S1503" s="401"/>
      <c r="T1503" s="401"/>
      <c r="U1503" s="398"/>
      <c r="V1503" s="398"/>
      <c r="W1503" s="398"/>
      <c r="X1503" s="398"/>
      <c r="Y1503" s="402"/>
      <c r="Z1503" s="403"/>
      <c r="AA1503" s="404"/>
      <c r="AB1503" s="405"/>
      <c r="AC1503" s="405"/>
      <c r="AD1503" s="406"/>
      <c r="AE1503" s="395"/>
      <c r="AF1503" s="395"/>
      <c r="AG1503" s="395"/>
      <c r="AH1503" s="395"/>
      <c r="AI1503" s="395"/>
      <c r="AJ1503" s="395"/>
      <c r="AK1503" s="395"/>
      <c r="AL1503" s="395"/>
      <c r="AM1503" s="395"/>
      <c r="AN1503" s="395"/>
      <c r="AO1503" s="395"/>
    </row>
    <row r="1504">
      <c r="A1504" s="398"/>
      <c r="B1504" s="398"/>
      <c r="C1504" s="398"/>
      <c r="D1504" s="398"/>
      <c r="E1504" s="399"/>
      <c r="F1504" s="400"/>
      <c r="G1504" s="399"/>
      <c r="H1504" s="400"/>
      <c r="I1504" s="400"/>
      <c r="J1504" s="400"/>
      <c r="K1504" s="400"/>
      <c r="L1504" s="400"/>
      <c r="M1504" s="400"/>
      <c r="N1504" s="400"/>
      <c r="O1504" s="400"/>
      <c r="P1504" s="400"/>
      <c r="Q1504" s="400"/>
      <c r="R1504" s="398"/>
      <c r="S1504" s="401"/>
      <c r="T1504" s="401"/>
      <c r="U1504" s="398"/>
      <c r="V1504" s="398"/>
      <c r="W1504" s="398"/>
      <c r="X1504" s="398"/>
      <c r="Y1504" s="402"/>
      <c r="Z1504" s="403"/>
      <c r="AA1504" s="404"/>
      <c r="AB1504" s="405"/>
      <c r="AC1504" s="405"/>
      <c r="AD1504" s="406"/>
      <c r="AE1504" s="395"/>
      <c r="AF1504" s="395"/>
      <c r="AG1504" s="395"/>
      <c r="AH1504" s="395"/>
      <c r="AI1504" s="395"/>
      <c r="AJ1504" s="395"/>
      <c r="AK1504" s="395"/>
      <c r="AL1504" s="395"/>
      <c r="AM1504" s="395"/>
      <c r="AN1504" s="395"/>
      <c r="AO1504" s="395"/>
    </row>
    <row r="1505">
      <c r="A1505" s="398"/>
      <c r="B1505" s="398"/>
      <c r="C1505" s="398"/>
      <c r="D1505" s="398"/>
      <c r="E1505" s="399"/>
      <c r="F1505" s="400"/>
      <c r="G1505" s="399"/>
      <c r="H1505" s="400"/>
      <c r="I1505" s="400"/>
      <c r="J1505" s="400"/>
      <c r="K1505" s="400"/>
      <c r="L1505" s="400"/>
      <c r="M1505" s="400"/>
      <c r="N1505" s="400"/>
      <c r="O1505" s="400"/>
      <c r="P1505" s="400"/>
      <c r="Q1505" s="400"/>
      <c r="R1505" s="398"/>
      <c r="S1505" s="401"/>
      <c r="T1505" s="401"/>
      <c r="U1505" s="398"/>
      <c r="V1505" s="398"/>
      <c r="W1505" s="398"/>
      <c r="X1505" s="398"/>
      <c r="Y1505" s="402"/>
      <c r="Z1505" s="403"/>
      <c r="AA1505" s="404"/>
      <c r="AB1505" s="405"/>
      <c r="AC1505" s="405"/>
      <c r="AD1505" s="406"/>
      <c r="AE1505" s="395"/>
      <c r="AF1505" s="395"/>
      <c r="AG1505" s="395"/>
      <c r="AH1505" s="395"/>
      <c r="AI1505" s="395"/>
      <c r="AJ1505" s="395"/>
      <c r="AK1505" s="395"/>
      <c r="AL1505" s="395"/>
      <c r="AM1505" s="395"/>
      <c r="AN1505" s="395"/>
      <c r="AO1505" s="395"/>
    </row>
    <row r="1506">
      <c r="A1506" s="398"/>
      <c r="B1506" s="398"/>
      <c r="C1506" s="398"/>
      <c r="D1506" s="398"/>
      <c r="E1506" s="399"/>
      <c r="F1506" s="400"/>
      <c r="G1506" s="399"/>
      <c r="H1506" s="400"/>
      <c r="I1506" s="400"/>
      <c r="J1506" s="400"/>
      <c r="K1506" s="400"/>
      <c r="L1506" s="400"/>
      <c r="M1506" s="400"/>
      <c r="N1506" s="400"/>
      <c r="O1506" s="400"/>
      <c r="P1506" s="400"/>
      <c r="Q1506" s="400"/>
      <c r="R1506" s="398"/>
      <c r="S1506" s="401"/>
      <c r="T1506" s="401"/>
      <c r="U1506" s="398"/>
      <c r="V1506" s="398"/>
      <c r="W1506" s="398"/>
      <c r="X1506" s="398"/>
      <c r="Y1506" s="402"/>
      <c r="Z1506" s="403"/>
      <c r="AA1506" s="404"/>
      <c r="AB1506" s="405"/>
      <c r="AC1506" s="405"/>
      <c r="AD1506" s="406"/>
      <c r="AE1506" s="395"/>
      <c r="AF1506" s="395"/>
      <c r="AG1506" s="395"/>
      <c r="AH1506" s="395"/>
      <c r="AI1506" s="395"/>
      <c r="AJ1506" s="395"/>
      <c r="AK1506" s="395"/>
      <c r="AL1506" s="395"/>
      <c r="AM1506" s="395"/>
      <c r="AN1506" s="395"/>
      <c r="AO1506" s="395"/>
    </row>
    <row r="1507">
      <c r="A1507" s="398"/>
      <c r="B1507" s="398"/>
      <c r="C1507" s="398"/>
      <c r="D1507" s="398"/>
      <c r="E1507" s="399"/>
      <c r="F1507" s="400"/>
      <c r="G1507" s="399"/>
      <c r="H1507" s="400"/>
      <c r="I1507" s="400"/>
      <c r="J1507" s="400"/>
      <c r="K1507" s="400"/>
      <c r="L1507" s="400"/>
      <c r="M1507" s="400"/>
      <c r="N1507" s="400"/>
      <c r="O1507" s="400"/>
      <c r="P1507" s="400"/>
      <c r="Q1507" s="400"/>
      <c r="R1507" s="398"/>
      <c r="S1507" s="401"/>
      <c r="T1507" s="401"/>
      <c r="U1507" s="398"/>
      <c r="V1507" s="398"/>
      <c r="W1507" s="398"/>
      <c r="X1507" s="398"/>
      <c r="Y1507" s="402"/>
      <c r="Z1507" s="403"/>
      <c r="AA1507" s="404"/>
      <c r="AB1507" s="405"/>
      <c r="AC1507" s="405"/>
      <c r="AD1507" s="406"/>
      <c r="AE1507" s="395"/>
      <c r="AF1507" s="395"/>
      <c r="AG1507" s="395"/>
      <c r="AH1507" s="395"/>
      <c r="AI1507" s="395"/>
      <c r="AJ1507" s="395"/>
      <c r="AK1507" s="395"/>
      <c r="AL1507" s="395"/>
      <c r="AM1507" s="395"/>
      <c r="AN1507" s="395"/>
      <c r="AO1507" s="395"/>
    </row>
    <row r="1508">
      <c r="A1508" s="398"/>
      <c r="B1508" s="398"/>
      <c r="C1508" s="398"/>
      <c r="D1508" s="398"/>
      <c r="E1508" s="399"/>
      <c r="F1508" s="400"/>
      <c r="G1508" s="399"/>
      <c r="H1508" s="400"/>
      <c r="I1508" s="400"/>
      <c r="J1508" s="400"/>
      <c r="K1508" s="400"/>
      <c r="L1508" s="400"/>
      <c r="M1508" s="400"/>
      <c r="N1508" s="400"/>
      <c r="O1508" s="400"/>
      <c r="P1508" s="400"/>
      <c r="Q1508" s="400"/>
      <c r="R1508" s="398"/>
      <c r="S1508" s="401"/>
      <c r="T1508" s="401"/>
      <c r="U1508" s="398"/>
      <c r="V1508" s="398"/>
      <c r="W1508" s="398"/>
      <c r="X1508" s="398"/>
      <c r="Y1508" s="402"/>
      <c r="Z1508" s="403"/>
      <c r="AA1508" s="404"/>
      <c r="AB1508" s="405"/>
      <c r="AC1508" s="405"/>
      <c r="AD1508" s="406"/>
      <c r="AE1508" s="395"/>
      <c r="AF1508" s="395"/>
      <c r="AG1508" s="395"/>
      <c r="AH1508" s="395"/>
      <c r="AI1508" s="395"/>
      <c r="AJ1508" s="395"/>
      <c r="AK1508" s="395"/>
      <c r="AL1508" s="395"/>
      <c r="AM1508" s="395"/>
      <c r="AN1508" s="395"/>
      <c r="AO1508" s="395"/>
    </row>
    <row r="1509">
      <c r="A1509" s="398"/>
      <c r="B1509" s="398"/>
      <c r="C1509" s="398"/>
      <c r="D1509" s="398"/>
      <c r="E1509" s="399"/>
      <c r="F1509" s="400"/>
      <c r="G1509" s="399"/>
      <c r="H1509" s="400"/>
      <c r="I1509" s="400"/>
      <c r="J1509" s="400"/>
      <c r="K1509" s="400"/>
      <c r="L1509" s="400"/>
      <c r="M1509" s="400"/>
      <c r="N1509" s="400"/>
      <c r="O1509" s="400"/>
      <c r="P1509" s="400"/>
      <c r="Q1509" s="400"/>
      <c r="R1509" s="398"/>
      <c r="S1509" s="401"/>
      <c r="T1509" s="401"/>
      <c r="U1509" s="398"/>
      <c r="V1509" s="398"/>
      <c r="W1509" s="398"/>
      <c r="X1509" s="398"/>
      <c r="Y1509" s="402"/>
      <c r="Z1509" s="403"/>
      <c r="AA1509" s="404"/>
      <c r="AB1509" s="405"/>
      <c r="AC1509" s="405"/>
      <c r="AD1509" s="406"/>
      <c r="AE1509" s="395"/>
      <c r="AF1509" s="395"/>
      <c r="AG1509" s="395"/>
      <c r="AH1509" s="395"/>
      <c r="AI1509" s="395"/>
      <c r="AJ1509" s="395"/>
      <c r="AK1509" s="395"/>
      <c r="AL1509" s="395"/>
      <c r="AM1509" s="395"/>
      <c r="AN1509" s="395"/>
      <c r="AO1509" s="395"/>
    </row>
    <row r="1510">
      <c r="A1510" s="398"/>
      <c r="B1510" s="398"/>
      <c r="C1510" s="398"/>
      <c r="D1510" s="398"/>
      <c r="E1510" s="399"/>
      <c r="F1510" s="400"/>
      <c r="G1510" s="399"/>
      <c r="H1510" s="400"/>
      <c r="I1510" s="400"/>
      <c r="J1510" s="400"/>
      <c r="K1510" s="400"/>
      <c r="L1510" s="400"/>
      <c r="M1510" s="400"/>
      <c r="N1510" s="400"/>
      <c r="O1510" s="400"/>
      <c r="P1510" s="400"/>
      <c r="Q1510" s="400"/>
      <c r="R1510" s="398"/>
      <c r="S1510" s="401"/>
      <c r="T1510" s="401"/>
      <c r="U1510" s="398"/>
      <c r="V1510" s="398"/>
      <c r="W1510" s="398"/>
      <c r="X1510" s="398"/>
      <c r="Y1510" s="402"/>
      <c r="Z1510" s="403"/>
      <c r="AA1510" s="404"/>
      <c r="AB1510" s="405"/>
      <c r="AC1510" s="405"/>
      <c r="AD1510" s="406"/>
      <c r="AE1510" s="395"/>
      <c r="AF1510" s="395"/>
      <c r="AG1510" s="395"/>
      <c r="AH1510" s="395"/>
      <c r="AI1510" s="395"/>
      <c r="AJ1510" s="395"/>
      <c r="AK1510" s="395"/>
      <c r="AL1510" s="395"/>
      <c r="AM1510" s="395"/>
      <c r="AN1510" s="395"/>
      <c r="AO1510" s="395"/>
    </row>
    <row r="1511">
      <c r="A1511" s="398"/>
      <c r="B1511" s="398"/>
      <c r="C1511" s="398"/>
      <c r="D1511" s="398"/>
      <c r="E1511" s="399"/>
      <c r="F1511" s="400"/>
      <c r="G1511" s="399"/>
      <c r="H1511" s="400"/>
      <c r="I1511" s="400"/>
      <c r="J1511" s="400"/>
      <c r="K1511" s="400"/>
      <c r="L1511" s="400"/>
      <c r="M1511" s="400"/>
      <c r="N1511" s="400"/>
      <c r="O1511" s="400"/>
      <c r="P1511" s="400"/>
      <c r="Q1511" s="400"/>
      <c r="R1511" s="398"/>
      <c r="S1511" s="401"/>
      <c r="T1511" s="401"/>
      <c r="U1511" s="398"/>
      <c r="V1511" s="398"/>
      <c r="W1511" s="398"/>
      <c r="X1511" s="398"/>
      <c r="Y1511" s="402"/>
      <c r="Z1511" s="403"/>
      <c r="AA1511" s="404"/>
      <c r="AB1511" s="405"/>
      <c r="AC1511" s="405"/>
      <c r="AD1511" s="406"/>
      <c r="AE1511" s="395"/>
      <c r="AF1511" s="395"/>
      <c r="AG1511" s="395"/>
      <c r="AH1511" s="395"/>
      <c r="AI1511" s="395"/>
      <c r="AJ1511" s="395"/>
      <c r="AK1511" s="395"/>
      <c r="AL1511" s="395"/>
      <c r="AM1511" s="395"/>
      <c r="AN1511" s="395"/>
      <c r="AO1511" s="395"/>
    </row>
    <row r="1512">
      <c r="A1512" s="398"/>
      <c r="B1512" s="398"/>
      <c r="C1512" s="398"/>
      <c r="D1512" s="398"/>
      <c r="E1512" s="399"/>
      <c r="F1512" s="400"/>
      <c r="G1512" s="399"/>
      <c r="H1512" s="400"/>
      <c r="I1512" s="400"/>
      <c r="J1512" s="400"/>
      <c r="K1512" s="400"/>
      <c r="L1512" s="400"/>
      <c r="M1512" s="400"/>
      <c r="N1512" s="400"/>
      <c r="O1512" s="400"/>
      <c r="P1512" s="400"/>
      <c r="Q1512" s="400"/>
      <c r="R1512" s="398"/>
      <c r="S1512" s="401"/>
      <c r="T1512" s="401"/>
      <c r="U1512" s="398"/>
      <c r="V1512" s="398"/>
      <c r="W1512" s="398"/>
      <c r="X1512" s="398"/>
      <c r="Y1512" s="402"/>
      <c r="Z1512" s="403"/>
      <c r="AA1512" s="404"/>
      <c r="AB1512" s="405"/>
      <c r="AC1512" s="405"/>
      <c r="AD1512" s="406"/>
      <c r="AE1512" s="395"/>
      <c r="AF1512" s="395"/>
      <c r="AG1512" s="395"/>
      <c r="AH1512" s="395"/>
      <c r="AI1512" s="395"/>
      <c r="AJ1512" s="395"/>
      <c r="AK1512" s="395"/>
      <c r="AL1512" s="395"/>
      <c r="AM1512" s="395"/>
      <c r="AN1512" s="395"/>
      <c r="AO1512" s="395"/>
    </row>
    <row r="1513">
      <c r="A1513" s="398"/>
      <c r="B1513" s="398"/>
      <c r="C1513" s="398"/>
      <c r="D1513" s="398"/>
      <c r="E1513" s="399"/>
      <c r="F1513" s="400"/>
      <c r="G1513" s="399"/>
      <c r="H1513" s="400"/>
      <c r="I1513" s="400"/>
      <c r="J1513" s="400"/>
      <c r="K1513" s="400"/>
      <c r="L1513" s="400"/>
      <c r="M1513" s="400"/>
      <c r="N1513" s="400"/>
      <c r="O1513" s="400"/>
      <c r="P1513" s="400"/>
      <c r="Q1513" s="400"/>
      <c r="R1513" s="398"/>
      <c r="S1513" s="401"/>
      <c r="T1513" s="401"/>
      <c r="U1513" s="398"/>
      <c r="V1513" s="398"/>
      <c r="W1513" s="398"/>
      <c r="X1513" s="398"/>
      <c r="Y1513" s="402"/>
      <c r="Z1513" s="403"/>
      <c r="AA1513" s="404"/>
      <c r="AB1513" s="405"/>
      <c r="AC1513" s="405"/>
      <c r="AD1513" s="406"/>
      <c r="AE1513" s="395"/>
      <c r="AF1513" s="395"/>
      <c r="AG1513" s="395"/>
      <c r="AH1513" s="395"/>
      <c r="AI1513" s="395"/>
      <c r="AJ1513" s="395"/>
      <c r="AK1513" s="395"/>
      <c r="AL1513" s="395"/>
      <c r="AM1513" s="395"/>
      <c r="AN1513" s="395"/>
      <c r="AO1513" s="395"/>
    </row>
    <row r="1514">
      <c r="A1514" s="398"/>
      <c r="B1514" s="398"/>
      <c r="C1514" s="398"/>
      <c r="D1514" s="398"/>
      <c r="E1514" s="399"/>
      <c r="F1514" s="400"/>
      <c r="G1514" s="399"/>
      <c r="H1514" s="400"/>
      <c r="I1514" s="400"/>
      <c r="J1514" s="400"/>
      <c r="K1514" s="400"/>
      <c r="L1514" s="400"/>
      <c r="M1514" s="400"/>
      <c r="N1514" s="400"/>
      <c r="O1514" s="400"/>
      <c r="P1514" s="400"/>
      <c r="Q1514" s="400"/>
      <c r="R1514" s="398"/>
      <c r="S1514" s="401"/>
      <c r="T1514" s="401"/>
      <c r="U1514" s="398"/>
      <c r="V1514" s="398"/>
      <c r="W1514" s="398"/>
      <c r="X1514" s="398"/>
      <c r="Y1514" s="402"/>
      <c r="Z1514" s="403"/>
      <c r="AA1514" s="404"/>
      <c r="AB1514" s="405"/>
      <c r="AC1514" s="405"/>
      <c r="AD1514" s="406"/>
      <c r="AE1514" s="395"/>
      <c r="AF1514" s="395"/>
      <c r="AG1514" s="395"/>
      <c r="AH1514" s="395"/>
      <c r="AI1514" s="395"/>
      <c r="AJ1514" s="395"/>
      <c r="AK1514" s="395"/>
      <c r="AL1514" s="395"/>
      <c r="AM1514" s="395"/>
      <c r="AN1514" s="395"/>
      <c r="AO1514" s="395"/>
    </row>
    <row r="1515">
      <c r="A1515" s="398"/>
      <c r="B1515" s="398"/>
      <c r="C1515" s="398"/>
      <c r="D1515" s="398"/>
      <c r="E1515" s="399"/>
      <c r="F1515" s="400"/>
      <c r="G1515" s="399"/>
      <c r="H1515" s="400"/>
      <c r="I1515" s="400"/>
      <c r="J1515" s="400"/>
      <c r="K1515" s="400"/>
      <c r="L1515" s="400"/>
      <c r="M1515" s="400"/>
      <c r="N1515" s="400"/>
      <c r="O1515" s="400"/>
      <c r="P1515" s="400"/>
      <c r="Q1515" s="400"/>
      <c r="R1515" s="398"/>
      <c r="S1515" s="401"/>
      <c r="T1515" s="401"/>
      <c r="U1515" s="398"/>
      <c r="V1515" s="398"/>
      <c r="W1515" s="398"/>
      <c r="X1515" s="398"/>
      <c r="Y1515" s="402"/>
      <c r="Z1515" s="403"/>
      <c r="AA1515" s="404"/>
      <c r="AB1515" s="405"/>
      <c r="AC1515" s="405"/>
      <c r="AD1515" s="406"/>
      <c r="AE1515" s="395"/>
      <c r="AF1515" s="395"/>
      <c r="AG1515" s="395"/>
      <c r="AH1515" s="395"/>
      <c r="AI1515" s="395"/>
      <c r="AJ1515" s="395"/>
      <c r="AK1515" s="395"/>
      <c r="AL1515" s="395"/>
      <c r="AM1515" s="395"/>
      <c r="AN1515" s="395"/>
      <c r="AO1515" s="395"/>
    </row>
    <row r="1516">
      <c r="A1516" s="398"/>
      <c r="B1516" s="398"/>
      <c r="C1516" s="398"/>
      <c r="D1516" s="398"/>
      <c r="E1516" s="399"/>
      <c r="F1516" s="400"/>
      <c r="G1516" s="399"/>
      <c r="H1516" s="400"/>
      <c r="I1516" s="400"/>
      <c r="J1516" s="400"/>
      <c r="K1516" s="400"/>
      <c r="L1516" s="400"/>
      <c r="M1516" s="400"/>
      <c r="N1516" s="400"/>
      <c r="O1516" s="400"/>
      <c r="P1516" s="400"/>
      <c r="Q1516" s="400"/>
      <c r="R1516" s="398"/>
      <c r="S1516" s="401"/>
      <c r="T1516" s="401"/>
      <c r="U1516" s="398"/>
      <c r="V1516" s="398"/>
      <c r="W1516" s="398"/>
      <c r="X1516" s="398"/>
      <c r="Y1516" s="402"/>
      <c r="Z1516" s="403"/>
      <c r="AA1516" s="404"/>
      <c r="AB1516" s="405"/>
      <c r="AC1516" s="405"/>
      <c r="AD1516" s="406"/>
      <c r="AE1516" s="395"/>
      <c r="AF1516" s="395"/>
      <c r="AG1516" s="395"/>
      <c r="AH1516" s="395"/>
      <c r="AI1516" s="395"/>
      <c r="AJ1516" s="395"/>
      <c r="AK1516" s="395"/>
      <c r="AL1516" s="395"/>
      <c r="AM1516" s="395"/>
      <c r="AN1516" s="395"/>
      <c r="AO1516" s="395"/>
    </row>
    <row r="1517">
      <c r="A1517" s="398"/>
      <c r="B1517" s="398"/>
      <c r="C1517" s="398"/>
      <c r="D1517" s="398"/>
      <c r="E1517" s="399"/>
      <c r="F1517" s="400"/>
      <c r="G1517" s="399"/>
      <c r="H1517" s="400"/>
      <c r="I1517" s="400"/>
      <c r="J1517" s="400"/>
      <c r="K1517" s="400"/>
      <c r="L1517" s="400"/>
      <c r="M1517" s="400"/>
      <c r="N1517" s="400"/>
      <c r="O1517" s="400"/>
      <c r="P1517" s="400"/>
      <c r="Q1517" s="400"/>
      <c r="R1517" s="398"/>
      <c r="S1517" s="401"/>
      <c r="T1517" s="401"/>
      <c r="U1517" s="398"/>
      <c r="V1517" s="398"/>
      <c r="W1517" s="398"/>
      <c r="X1517" s="398"/>
      <c r="Y1517" s="402"/>
      <c r="Z1517" s="403"/>
      <c r="AA1517" s="404"/>
      <c r="AB1517" s="405"/>
      <c r="AC1517" s="405"/>
      <c r="AD1517" s="406"/>
      <c r="AE1517" s="395"/>
      <c r="AF1517" s="395"/>
      <c r="AG1517" s="395"/>
      <c r="AH1517" s="395"/>
      <c r="AI1517" s="395"/>
      <c r="AJ1517" s="395"/>
      <c r="AK1517" s="395"/>
      <c r="AL1517" s="395"/>
      <c r="AM1517" s="395"/>
      <c r="AN1517" s="395"/>
      <c r="AO1517" s="395"/>
    </row>
    <row r="1518">
      <c r="A1518" s="398"/>
      <c r="B1518" s="398"/>
      <c r="C1518" s="398"/>
      <c r="D1518" s="398"/>
      <c r="E1518" s="399"/>
      <c r="F1518" s="400"/>
      <c r="G1518" s="399"/>
      <c r="H1518" s="400"/>
      <c r="I1518" s="400"/>
      <c r="J1518" s="400"/>
      <c r="K1518" s="400"/>
      <c r="L1518" s="400"/>
      <c r="M1518" s="400"/>
      <c r="N1518" s="400"/>
      <c r="O1518" s="400"/>
      <c r="P1518" s="400"/>
      <c r="Q1518" s="400"/>
      <c r="R1518" s="398"/>
      <c r="S1518" s="401"/>
      <c r="T1518" s="401"/>
      <c r="U1518" s="398"/>
      <c r="V1518" s="398"/>
      <c r="W1518" s="398"/>
      <c r="X1518" s="398"/>
      <c r="Y1518" s="402"/>
      <c r="Z1518" s="403"/>
      <c r="AA1518" s="404"/>
      <c r="AB1518" s="405"/>
      <c r="AC1518" s="405"/>
      <c r="AD1518" s="406"/>
      <c r="AE1518" s="395"/>
      <c r="AF1518" s="395"/>
      <c r="AG1518" s="395"/>
      <c r="AH1518" s="395"/>
      <c r="AI1518" s="395"/>
      <c r="AJ1518" s="395"/>
      <c r="AK1518" s="395"/>
      <c r="AL1518" s="395"/>
      <c r="AM1518" s="395"/>
      <c r="AN1518" s="395"/>
      <c r="AO1518" s="395"/>
    </row>
    <row r="1519">
      <c r="A1519" s="398"/>
      <c r="B1519" s="398"/>
      <c r="C1519" s="398"/>
      <c r="D1519" s="398"/>
      <c r="E1519" s="399"/>
      <c r="F1519" s="400"/>
      <c r="G1519" s="399"/>
      <c r="H1519" s="400"/>
      <c r="I1519" s="400"/>
      <c r="J1519" s="400"/>
      <c r="K1519" s="400"/>
      <c r="L1519" s="400"/>
      <c r="M1519" s="400"/>
      <c r="N1519" s="400"/>
      <c r="O1519" s="400"/>
      <c r="P1519" s="400"/>
      <c r="Q1519" s="400"/>
      <c r="R1519" s="398"/>
      <c r="S1519" s="401"/>
      <c r="T1519" s="401"/>
      <c r="U1519" s="398"/>
      <c r="V1519" s="398"/>
      <c r="W1519" s="398"/>
      <c r="X1519" s="398"/>
      <c r="Y1519" s="402"/>
      <c r="Z1519" s="403"/>
      <c r="AA1519" s="404"/>
      <c r="AB1519" s="405"/>
      <c r="AC1519" s="405"/>
      <c r="AD1519" s="406"/>
      <c r="AE1519" s="395"/>
      <c r="AF1519" s="395"/>
      <c r="AG1519" s="395"/>
      <c r="AH1519" s="395"/>
      <c r="AI1519" s="395"/>
      <c r="AJ1519" s="395"/>
      <c r="AK1519" s="395"/>
      <c r="AL1519" s="395"/>
      <c r="AM1519" s="395"/>
      <c r="AN1519" s="395"/>
      <c r="AO1519" s="395"/>
    </row>
    <row r="1520">
      <c r="A1520" s="398"/>
      <c r="B1520" s="398"/>
      <c r="C1520" s="398"/>
      <c r="D1520" s="398"/>
      <c r="E1520" s="399"/>
      <c r="F1520" s="400"/>
      <c r="G1520" s="399"/>
      <c r="H1520" s="400"/>
      <c r="I1520" s="400"/>
      <c r="J1520" s="400"/>
      <c r="K1520" s="400"/>
      <c r="L1520" s="400"/>
      <c r="M1520" s="400"/>
      <c r="N1520" s="400"/>
      <c r="O1520" s="400"/>
      <c r="P1520" s="400"/>
      <c r="Q1520" s="400"/>
      <c r="R1520" s="398"/>
      <c r="S1520" s="401"/>
      <c r="T1520" s="401"/>
      <c r="U1520" s="398"/>
      <c r="V1520" s="398"/>
      <c r="W1520" s="398"/>
      <c r="X1520" s="398"/>
      <c r="Y1520" s="402"/>
      <c r="Z1520" s="403"/>
      <c r="AA1520" s="404"/>
      <c r="AB1520" s="405"/>
      <c r="AC1520" s="405"/>
      <c r="AD1520" s="406"/>
      <c r="AE1520" s="395"/>
      <c r="AF1520" s="395"/>
      <c r="AG1520" s="395"/>
      <c r="AH1520" s="395"/>
      <c r="AI1520" s="395"/>
      <c r="AJ1520" s="395"/>
      <c r="AK1520" s="395"/>
      <c r="AL1520" s="395"/>
      <c r="AM1520" s="395"/>
      <c r="AN1520" s="395"/>
      <c r="AO1520" s="395"/>
    </row>
    <row r="1521">
      <c r="A1521" s="398"/>
      <c r="B1521" s="398"/>
      <c r="C1521" s="398"/>
      <c r="D1521" s="398"/>
      <c r="E1521" s="399"/>
      <c r="F1521" s="400"/>
      <c r="G1521" s="399"/>
      <c r="H1521" s="400"/>
      <c r="I1521" s="400"/>
      <c r="J1521" s="400"/>
      <c r="K1521" s="400"/>
      <c r="L1521" s="400"/>
      <c r="M1521" s="400"/>
      <c r="N1521" s="400"/>
      <c r="O1521" s="400"/>
      <c r="P1521" s="400"/>
      <c r="Q1521" s="400"/>
      <c r="R1521" s="398"/>
      <c r="S1521" s="401"/>
      <c r="T1521" s="401"/>
      <c r="U1521" s="398"/>
      <c r="V1521" s="398"/>
      <c r="W1521" s="398"/>
      <c r="X1521" s="398"/>
      <c r="Y1521" s="402"/>
      <c r="Z1521" s="403"/>
      <c r="AA1521" s="404"/>
      <c r="AB1521" s="405"/>
      <c r="AC1521" s="405"/>
      <c r="AD1521" s="406"/>
      <c r="AE1521" s="395"/>
      <c r="AF1521" s="395"/>
      <c r="AG1521" s="395"/>
      <c r="AH1521" s="395"/>
      <c r="AI1521" s="395"/>
      <c r="AJ1521" s="395"/>
      <c r="AK1521" s="395"/>
      <c r="AL1521" s="395"/>
      <c r="AM1521" s="395"/>
      <c r="AN1521" s="395"/>
      <c r="AO1521" s="395"/>
    </row>
    <row r="1522">
      <c r="A1522" s="398"/>
      <c r="B1522" s="398"/>
      <c r="C1522" s="398"/>
      <c r="D1522" s="398"/>
      <c r="E1522" s="399"/>
      <c r="F1522" s="400"/>
      <c r="G1522" s="399"/>
      <c r="H1522" s="400"/>
      <c r="I1522" s="400"/>
      <c r="J1522" s="400"/>
      <c r="K1522" s="400"/>
      <c r="L1522" s="400"/>
      <c r="M1522" s="400"/>
      <c r="N1522" s="400"/>
      <c r="O1522" s="400"/>
      <c r="P1522" s="400"/>
      <c r="Q1522" s="400"/>
      <c r="R1522" s="398"/>
      <c r="S1522" s="401"/>
      <c r="T1522" s="401"/>
      <c r="U1522" s="398"/>
      <c r="V1522" s="398"/>
      <c r="W1522" s="398"/>
      <c r="X1522" s="398"/>
      <c r="Y1522" s="402"/>
      <c r="Z1522" s="403"/>
      <c r="AA1522" s="404"/>
      <c r="AB1522" s="405"/>
      <c r="AC1522" s="405"/>
      <c r="AD1522" s="406"/>
      <c r="AE1522" s="395"/>
      <c r="AF1522" s="395"/>
      <c r="AG1522" s="395"/>
      <c r="AH1522" s="395"/>
      <c r="AI1522" s="395"/>
      <c r="AJ1522" s="395"/>
      <c r="AK1522" s="395"/>
      <c r="AL1522" s="395"/>
      <c r="AM1522" s="395"/>
      <c r="AN1522" s="395"/>
      <c r="AO1522" s="395"/>
    </row>
    <row r="1523">
      <c r="A1523" s="398"/>
      <c r="B1523" s="398"/>
      <c r="C1523" s="398"/>
      <c r="D1523" s="398"/>
      <c r="E1523" s="399"/>
      <c r="F1523" s="400"/>
      <c r="G1523" s="399"/>
      <c r="H1523" s="400"/>
      <c r="I1523" s="400"/>
      <c r="J1523" s="400"/>
      <c r="K1523" s="400"/>
      <c r="L1523" s="400"/>
      <c r="M1523" s="400"/>
      <c r="N1523" s="400"/>
      <c r="O1523" s="400"/>
      <c r="P1523" s="400"/>
      <c r="Q1523" s="400"/>
      <c r="R1523" s="398"/>
      <c r="S1523" s="401"/>
      <c r="T1523" s="401"/>
      <c r="U1523" s="398"/>
      <c r="V1523" s="398"/>
      <c r="W1523" s="398"/>
      <c r="X1523" s="398"/>
      <c r="Y1523" s="402"/>
      <c r="Z1523" s="403"/>
      <c r="AA1523" s="404"/>
      <c r="AB1523" s="405"/>
      <c r="AC1523" s="405"/>
      <c r="AD1523" s="406"/>
      <c r="AE1523" s="395"/>
      <c r="AF1523" s="395"/>
      <c r="AG1523" s="395"/>
      <c r="AH1523" s="395"/>
      <c r="AI1523" s="395"/>
      <c r="AJ1523" s="395"/>
      <c r="AK1523" s="395"/>
      <c r="AL1523" s="395"/>
      <c r="AM1523" s="395"/>
      <c r="AN1523" s="395"/>
      <c r="AO1523" s="395"/>
    </row>
    <row r="1524">
      <c r="A1524" s="398"/>
      <c r="B1524" s="398"/>
      <c r="C1524" s="398"/>
      <c r="D1524" s="398"/>
      <c r="E1524" s="399"/>
      <c r="F1524" s="400"/>
      <c r="G1524" s="399"/>
      <c r="H1524" s="400"/>
      <c r="I1524" s="400"/>
      <c r="J1524" s="400"/>
      <c r="K1524" s="400"/>
      <c r="L1524" s="400"/>
      <c r="M1524" s="400"/>
      <c r="N1524" s="400"/>
      <c r="O1524" s="400"/>
      <c r="P1524" s="400"/>
      <c r="Q1524" s="400"/>
      <c r="R1524" s="398"/>
      <c r="S1524" s="401"/>
      <c r="T1524" s="401"/>
      <c r="U1524" s="398"/>
      <c r="V1524" s="398"/>
      <c r="W1524" s="398"/>
      <c r="X1524" s="398"/>
      <c r="Y1524" s="402"/>
      <c r="Z1524" s="403"/>
      <c r="AA1524" s="404"/>
      <c r="AB1524" s="405"/>
      <c r="AC1524" s="405"/>
      <c r="AD1524" s="406"/>
      <c r="AE1524" s="395"/>
      <c r="AF1524" s="395"/>
      <c r="AG1524" s="395"/>
      <c r="AH1524" s="395"/>
      <c r="AI1524" s="395"/>
      <c r="AJ1524" s="395"/>
      <c r="AK1524" s="395"/>
      <c r="AL1524" s="395"/>
      <c r="AM1524" s="395"/>
      <c r="AN1524" s="395"/>
      <c r="AO1524" s="395"/>
    </row>
    <row r="1525">
      <c r="A1525" s="398"/>
      <c r="B1525" s="398"/>
      <c r="C1525" s="398"/>
      <c r="D1525" s="398"/>
      <c r="E1525" s="399"/>
      <c r="F1525" s="400"/>
      <c r="G1525" s="399"/>
      <c r="H1525" s="400"/>
      <c r="I1525" s="400"/>
      <c r="J1525" s="400"/>
      <c r="K1525" s="400"/>
      <c r="L1525" s="400"/>
      <c r="M1525" s="400"/>
      <c r="N1525" s="400"/>
      <c r="O1525" s="400"/>
      <c r="P1525" s="400"/>
      <c r="Q1525" s="400"/>
      <c r="R1525" s="398"/>
      <c r="S1525" s="401"/>
      <c r="T1525" s="401"/>
      <c r="U1525" s="398"/>
      <c r="V1525" s="398"/>
      <c r="W1525" s="398"/>
      <c r="X1525" s="398"/>
      <c r="Y1525" s="402"/>
      <c r="Z1525" s="403"/>
      <c r="AA1525" s="404"/>
      <c r="AB1525" s="405"/>
      <c r="AC1525" s="405"/>
      <c r="AD1525" s="406"/>
      <c r="AE1525" s="395"/>
      <c r="AF1525" s="395"/>
      <c r="AG1525" s="395"/>
      <c r="AH1525" s="395"/>
      <c r="AI1525" s="395"/>
      <c r="AJ1525" s="395"/>
      <c r="AK1525" s="395"/>
      <c r="AL1525" s="395"/>
      <c r="AM1525" s="395"/>
      <c r="AN1525" s="395"/>
      <c r="AO1525" s="395"/>
    </row>
    <row r="1526">
      <c r="A1526" s="398"/>
      <c r="B1526" s="398"/>
      <c r="C1526" s="398"/>
      <c r="D1526" s="398"/>
      <c r="E1526" s="399"/>
      <c r="F1526" s="400"/>
      <c r="G1526" s="399"/>
      <c r="H1526" s="400"/>
      <c r="I1526" s="400"/>
      <c r="J1526" s="400"/>
      <c r="K1526" s="400"/>
      <c r="L1526" s="400"/>
      <c r="M1526" s="400"/>
      <c r="N1526" s="400"/>
      <c r="O1526" s="400"/>
      <c r="P1526" s="400"/>
      <c r="Q1526" s="400"/>
      <c r="R1526" s="398"/>
      <c r="S1526" s="401"/>
      <c r="T1526" s="401"/>
      <c r="U1526" s="398"/>
      <c r="V1526" s="398"/>
      <c r="W1526" s="398"/>
      <c r="X1526" s="398"/>
      <c r="Y1526" s="402"/>
      <c r="Z1526" s="403"/>
      <c r="AA1526" s="404"/>
      <c r="AB1526" s="405"/>
      <c r="AC1526" s="405"/>
      <c r="AD1526" s="406"/>
      <c r="AE1526" s="395"/>
      <c r="AF1526" s="395"/>
      <c r="AG1526" s="395"/>
      <c r="AH1526" s="395"/>
      <c r="AI1526" s="395"/>
      <c r="AJ1526" s="395"/>
      <c r="AK1526" s="395"/>
      <c r="AL1526" s="395"/>
      <c r="AM1526" s="395"/>
      <c r="AN1526" s="395"/>
      <c r="AO1526" s="395"/>
    </row>
    <row r="1527">
      <c r="A1527" s="398"/>
      <c r="B1527" s="398"/>
      <c r="C1527" s="398"/>
      <c r="D1527" s="398"/>
      <c r="E1527" s="399"/>
      <c r="F1527" s="400"/>
      <c r="G1527" s="399"/>
      <c r="H1527" s="400"/>
      <c r="I1527" s="400"/>
      <c r="J1527" s="400"/>
      <c r="K1527" s="400"/>
      <c r="L1527" s="400"/>
      <c r="M1527" s="400"/>
      <c r="N1527" s="400"/>
      <c r="O1527" s="400"/>
      <c r="P1527" s="400"/>
      <c r="Q1527" s="400"/>
      <c r="R1527" s="398"/>
      <c r="S1527" s="401"/>
      <c r="T1527" s="401"/>
      <c r="U1527" s="398"/>
      <c r="V1527" s="398"/>
      <c r="W1527" s="398"/>
      <c r="X1527" s="398"/>
      <c r="Y1527" s="402"/>
      <c r="Z1527" s="403"/>
      <c r="AA1527" s="404"/>
      <c r="AB1527" s="405"/>
      <c r="AC1527" s="405"/>
      <c r="AD1527" s="406"/>
      <c r="AE1527" s="395"/>
      <c r="AF1527" s="395"/>
      <c r="AG1527" s="395"/>
      <c r="AH1527" s="395"/>
      <c r="AI1527" s="395"/>
      <c r="AJ1527" s="395"/>
      <c r="AK1527" s="395"/>
      <c r="AL1527" s="395"/>
      <c r="AM1527" s="395"/>
      <c r="AN1527" s="395"/>
      <c r="AO1527" s="395"/>
    </row>
    <row r="1528">
      <c r="A1528" s="398"/>
      <c r="B1528" s="398"/>
      <c r="C1528" s="398"/>
      <c r="D1528" s="398"/>
      <c r="E1528" s="399"/>
      <c r="F1528" s="400"/>
      <c r="G1528" s="399"/>
      <c r="H1528" s="400"/>
      <c r="I1528" s="400"/>
      <c r="J1528" s="400"/>
      <c r="K1528" s="400"/>
      <c r="L1528" s="400"/>
      <c r="M1528" s="400"/>
      <c r="N1528" s="400"/>
      <c r="O1528" s="400"/>
      <c r="P1528" s="400"/>
      <c r="Q1528" s="400"/>
      <c r="R1528" s="398"/>
      <c r="S1528" s="401"/>
      <c r="T1528" s="401"/>
      <c r="U1528" s="398"/>
      <c r="V1528" s="398"/>
      <c r="W1528" s="398"/>
      <c r="X1528" s="398"/>
      <c r="Y1528" s="402"/>
      <c r="Z1528" s="403"/>
      <c r="AA1528" s="404"/>
      <c r="AB1528" s="405"/>
      <c r="AC1528" s="405"/>
      <c r="AD1528" s="406"/>
      <c r="AE1528" s="395"/>
      <c r="AF1528" s="395"/>
      <c r="AG1528" s="395"/>
      <c r="AH1528" s="395"/>
      <c r="AI1528" s="395"/>
      <c r="AJ1528" s="395"/>
      <c r="AK1528" s="395"/>
      <c r="AL1528" s="395"/>
      <c r="AM1528" s="395"/>
      <c r="AN1528" s="395"/>
      <c r="AO1528" s="395"/>
    </row>
    <row r="1529">
      <c r="A1529" s="398"/>
      <c r="B1529" s="398"/>
      <c r="C1529" s="398"/>
      <c r="D1529" s="398"/>
      <c r="E1529" s="399"/>
      <c r="F1529" s="400"/>
      <c r="G1529" s="399"/>
      <c r="H1529" s="400"/>
      <c r="I1529" s="400"/>
      <c r="J1529" s="400"/>
      <c r="K1529" s="400"/>
      <c r="L1529" s="400"/>
      <c r="M1529" s="400"/>
      <c r="N1529" s="400"/>
      <c r="O1529" s="400"/>
      <c r="P1529" s="400"/>
      <c r="Q1529" s="400"/>
      <c r="R1529" s="398"/>
      <c r="S1529" s="401"/>
      <c r="T1529" s="401"/>
      <c r="U1529" s="398"/>
      <c r="V1529" s="398"/>
      <c r="W1529" s="398"/>
      <c r="X1529" s="398"/>
      <c r="Y1529" s="402"/>
      <c r="Z1529" s="403"/>
      <c r="AA1529" s="404"/>
      <c r="AB1529" s="405"/>
      <c r="AC1529" s="405"/>
      <c r="AD1529" s="406"/>
      <c r="AE1529" s="395"/>
      <c r="AF1529" s="395"/>
      <c r="AG1529" s="395"/>
      <c r="AH1529" s="395"/>
      <c r="AI1529" s="395"/>
      <c r="AJ1529" s="395"/>
      <c r="AK1529" s="395"/>
      <c r="AL1529" s="395"/>
      <c r="AM1529" s="395"/>
      <c r="AN1529" s="395"/>
      <c r="AO1529" s="395"/>
    </row>
    <row r="1530">
      <c r="A1530" s="398"/>
      <c r="B1530" s="398"/>
      <c r="C1530" s="398"/>
      <c r="D1530" s="398"/>
      <c r="E1530" s="399"/>
      <c r="F1530" s="400"/>
      <c r="G1530" s="399"/>
      <c r="H1530" s="400"/>
      <c r="I1530" s="400"/>
      <c r="J1530" s="400"/>
      <c r="K1530" s="400"/>
      <c r="L1530" s="400"/>
      <c r="M1530" s="400"/>
      <c r="N1530" s="400"/>
      <c r="O1530" s="400"/>
      <c r="P1530" s="400"/>
      <c r="Q1530" s="400"/>
      <c r="R1530" s="398"/>
      <c r="S1530" s="401"/>
      <c r="T1530" s="401"/>
      <c r="U1530" s="398"/>
      <c r="V1530" s="398"/>
      <c r="W1530" s="398"/>
      <c r="X1530" s="398"/>
      <c r="Y1530" s="402"/>
      <c r="Z1530" s="403"/>
      <c r="AA1530" s="404"/>
      <c r="AB1530" s="405"/>
      <c r="AC1530" s="405"/>
      <c r="AD1530" s="406"/>
      <c r="AE1530" s="395"/>
      <c r="AF1530" s="395"/>
      <c r="AG1530" s="395"/>
      <c r="AH1530" s="395"/>
      <c r="AI1530" s="395"/>
      <c r="AJ1530" s="395"/>
      <c r="AK1530" s="395"/>
      <c r="AL1530" s="395"/>
      <c r="AM1530" s="395"/>
      <c r="AN1530" s="395"/>
      <c r="AO1530" s="395"/>
    </row>
    <row r="1531">
      <c r="A1531" s="398"/>
      <c r="B1531" s="398"/>
      <c r="C1531" s="398"/>
      <c r="D1531" s="398"/>
      <c r="E1531" s="399"/>
      <c r="F1531" s="400"/>
      <c r="G1531" s="399"/>
      <c r="H1531" s="400"/>
      <c r="I1531" s="400"/>
      <c r="J1531" s="400"/>
      <c r="K1531" s="400"/>
      <c r="L1531" s="400"/>
      <c r="M1531" s="400"/>
      <c r="N1531" s="400"/>
      <c r="O1531" s="400"/>
      <c r="P1531" s="400"/>
      <c r="Q1531" s="400"/>
      <c r="R1531" s="398"/>
      <c r="S1531" s="401"/>
      <c r="T1531" s="401"/>
      <c r="U1531" s="398"/>
      <c r="V1531" s="398"/>
      <c r="W1531" s="398"/>
      <c r="X1531" s="398"/>
      <c r="Y1531" s="402"/>
      <c r="Z1531" s="403"/>
      <c r="AA1531" s="404"/>
      <c r="AB1531" s="405"/>
      <c r="AC1531" s="405"/>
      <c r="AD1531" s="406"/>
      <c r="AE1531" s="395"/>
      <c r="AF1531" s="395"/>
      <c r="AG1531" s="395"/>
      <c r="AH1531" s="395"/>
      <c r="AI1531" s="395"/>
      <c r="AJ1531" s="395"/>
      <c r="AK1531" s="395"/>
      <c r="AL1531" s="395"/>
      <c r="AM1531" s="395"/>
      <c r="AN1531" s="395"/>
      <c r="AO1531" s="395"/>
    </row>
    <row r="1532">
      <c r="A1532" s="398"/>
      <c r="B1532" s="398"/>
      <c r="C1532" s="398"/>
      <c r="D1532" s="398"/>
      <c r="E1532" s="399"/>
      <c r="F1532" s="400"/>
      <c r="G1532" s="399"/>
      <c r="H1532" s="400"/>
      <c r="I1532" s="400"/>
      <c r="J1532" s="400"/>
      <c r="K1532" s="400"/>
      <c r="L1532" s="400"/>
      <c r="M1532" s="400"/>
      <c r="N1532" s="400"/>
      <c r="O1532" s="400"/>
      <c r="P1532" s="400"/>
      <c r="Q1532" s="400"/>
      <c r="R1532" s="398"/>
      <c r="S1532" s="401"/>
      <c r="T1532" s="401"/>
      <c r="U1532" s="398"/>
      <c r="V1532" s="398"/>
      <c r="W1532" s="398"/>
      <c r="X1532" s="398"/>
      <c r="Y1532" s="402"/>
      <c r="Z1532" s="403"/>
      <c r="AA1532" s="404"/>
      <c r="AB1532" s="405"/>
      <c r="AC1532" s="405"/>
      <c r="AD1532" s="406"/>
      <c r="AE1532" s="395"/>
      <c r="AF1532" s="395"/>
      <c r="AG1532" s="395"/>
      <c r="AH1532" s="395"/>
      <c r="AI1532" s="395"/>
      <c r="AJ1532" s="395"/>
      <c r="AK1532" s="395"/>
      <c r="AL1532" s="395"/>
      <c r="AM1532" s="395"/>
      <c r="AN1532" s="395"/>
      <c r="AO1532" s="395"/>
    </row>
    <row r="1533">
      <c r="A1533" s="398"/>
      <c r="B1533" s="398"/>
      <c r="C1533" s="398"/>
      <c r="D1533" s="398"/>
      <c r="E1533" s="399"/>
      <c r="F1533" s="400"/>
      <c r="G1533" s="399"/>
      <c r="H1533" s="400"/>
      <c r="I1533" s="400"/>
      <c r="J1533" s="400"/>
      <c r="K1533" s="400"/>
      <c r="L1533" s="400"/>
      <c r="M1533" s="400"/>
      <c r="N1533" s="400"/>
      <c r="O1533" s="400"/>
      <c r="P1533" s="400"/>
      <c r="Q1533" s="400"/>
      <c r="R1533" s="398"/>
      <c r="S1533" s="401"/>
      <c r="T1533" s="401"/>
      <c r="U1533" s="398"/>
      <c r="V1533" s="398"/>
      <c r="W1533" s="398"/>
      <c r="X1533" s="398"/>
      <c r="Y1533" s="402"/>
      <c r="Z1533" s="403"/>
      <c r="AA1533" s="404"/>
      <c r="AB1533" s="405"/>
      <c r="AC1533" s="405"/>
      <c r="AD1533" s="406"/>
      <c r="AE1533" s="395"/>
      <c r="AF1533" s="395"/>
      <c r="AG1533" s="395"/>
      <c r="AH1533" s="395"/>
      <c r="AI1533" s="395"/>
      <c r="AJ1533" s="395"/>
      <c r="AK1533" s="395"/>
      <c r="AL1533" s="395"/>
      <c r="AM1533" s="395"/>
      <c r="AN1533" s="395"/>
      <c r="AO1533" s="395"/>
    </row>
    <row r="1534">
      <c r="A1534" s="398"/>
      <c r="B1534" s="398"/>
      <c r="C1534" s="398"/>
      <c r="D1534" s="398"/>
      <c r="E1534" s="399"/>
      <c r="F1534" s="400"/>
      <c r="G1534" s="399"/>
      <c r="H1534" s="400"/>
      <c r="I1534" s="400"/>
      <c r="J1534" s="400"/>
      <c r="K1534" s="400"/>
      <c r="L1534" s="400"/>
      <c r="M1534" s="400"/>
      <c r="N1534" s="400"/>
      <c r="O1534" s="400"/>
      <c r="P1534" s="400"/>
      <c r="Q1534" s="400"/>
      <c r="R1534" s="398"/>
      <c r="S1534" s="401"/>
      <c r="T1534" s="401"/>
      <c r="U1534" s="398"/>
      <c r="V1534" s="398"/>
      <c r="W1534" s="398"/>
      <c r="X1534" s="398"/>
      <c r="Y1534" s="402"/>
      <c r="Z1534" s="403"/>
      <c r="AA1534" s="404"/>
      <c r="AB1534" s="405"/>
      <c r="AC1534" s="405"/>
      <c r="AD1534" s="406"/>
      <c r="AE1534" s="395"/>
      <c r="AF1534" s="395"/>
      <c r="AG1534" s="395"/>
      <c r="AH1534" s="395"/>
      <c r="AI1534" s="395"/>
      <c r="AJ1534" s="395"/>
      <c r="AK1534" s="395"/>
      <c r="AL1534" s="395"/>
      <c r="AM1534" s="395"/>
      <c r="AN1534" s="395"/>
      <c r="AO1534" s="395"/>
    </row>
    <row r="1535">
      <c r="A1535" s="398"/>
      <c r="B1535" s="398"/>
      <c r="C1535" s="398"/>
      <c r="D1535" s="398"/>
      <c r="E1535" s="399"/>
      <c r="F1535" s="400"/>
      <c r="G1535" s="399"/>
      <c r="H1535" s="400"/>
      <c r="I1535" s="400"/>
      <c r="J1535" s="400"/>
      <c r="K1535" s="400"/>
      <c r="L1535" s="400"/>
      <c r="M1535" s="400"/>
      <c r="N1535" s="400"/>
      <c r="O1535" s="400"/>
      <c r="P1535" s="400"/>
      <c r="Q1535" s="400"/>
      <c r="R1535" s="398"/>
      <c r="S1535" s="401"/>
      <c r="T1535" s="401"/>
      <c r="U1535" s="398"/>
      <c r="V1535" s="398"/>
      <c r="W1535" s="398"/>
      <c r="X1535" s="398"/>
      <c r="Y1535" s="402"/>
      <c r="Z1535" s="403"/>
      <c r="AA1535" s="404"/>
      <c r="AB1535" s="405"/>
      <c r="AC1535" s="405"/>
      <c r="AD1535" s="406"/>
      <c r="AE1535" s="395"/>
      <c r="AF1535" s="395"/>
      <c r="AG1535" s="395"/>
      <c r="AH1535" s="395"/>
      <c r="AI1535" s="395"/>
      <c r="AJ1535" s="395"/>
      <c r="AK1535" s="395"/>
      <c r="AL1535" s="395"/>
      <c r="AM1535" s="395"/>
      <c r="AN1535" s="395"/>
      <c r="AO1535" s="395"/>
    </row>
    <row r="1536">
      <c r="A1536" s="398"/>
      <c r="B1536" s="398"/>
      <c r="C1536" s="398"/>
      <c r="D1536" s="398"/>
      <c r="E1536" s="399"/>
      <c r="F1536" s="400"/>
      <c r="G1536" s="399"/>
      <c r="H1536" s="400"/>
      <c r="I1536" s="400"/>
      <c r="J1536" s="400"/>
      <c r="K1536" s="400"/>
      <c r="L1536" s="400"/>
      <c r="M1536" s="400"/>
      <c r="N1536" s="400"/>
      <c r="O1536" s="400"/>
      <c r="P1536" s="400"/>
      <c r="Q1536" s="400"/>
      <c r="R1536" s="398"/>
      <c r="S1536" s="401"/>
      <c r="T1536" s="401"/>
      <c r="U1536" s="398"/>
      <c r="V1536" s="398"/>
      <c r="W1536" s="398"/>
      <c r="X1536" s="398"/>
      <c r="Y1536" s="402"/>
      <c r="Z1536" s="403"/>
      <c r="AA1536" s="404"/>
      <c r="AB1536" s="405"/>
      <c r="AC1536" s="405"/>
      <c r="AD1536" s="406"/>
      <c r="AE1536" s="395"/>
      <c r="AF1536" s="395"/>
      <c r="AG1536" s="395"/>
      <c r="AH1536" s="395"/>
      <c r="AI1536" s="395"/>
      <c r="AJ1536" s="395"/>
      <c r="AK1536" s="395"/>
      <c r="AL1536" s="395"/>
      <c r="AM1536" s="395"/>
      <c r="AN1536" s="395"/>
      <c r="AO1536" s="395"/>
    </row>
    <row r="1537">
      <c r="A1537" s="398"/>
      <c r="B1537" s="398"/>
      <c r="C1537" s="398"/>
      <c r="D1537" s="398"/>
      <c r="E1537" s="399"/>
      <c r="F1537" s="400"/>
      <c r="G1537" s="399"/>
      <c r="H1537" s="400"/>
      <c r="I1537" s="400"/>
      <c r="J1537" s="400"/>
      <c r="K1537" s="400"/>
      <c r="L1537" s="400"/>
      <c r="M1537" s="400"/>
      <c r="N1537" s="400"/>
      <c r="O1537" s="400"/>
      <c r="P1537" s="400"/>
      <c r="Q1537" s="400"/>
      <c r="R1537" s="398"/>
      <c r="S1537" s="401"/>
      <c r="T1537" s="401"/>
      <c r="U1537" s="398"/>
      <c r="V1537" s="398"/>
      <c r="W1537" s="398"/>
      <c r="X1537" s="398"/>
      <c r="Y1537" s="402"/>
      <c r="Z1537" s="403"/>
      <c r="AA1537" s="404"/>
      <c r="AB1537" s="405"/>
      <c r="AC1537" s="405"/>
      <c r="AD1537" s="406"/>
      <c r="AE1537" s="395"/>
      <c r="AF1537" s="395"/>
      <c r="AG1537" s="395"/>
      <c r="AH1537" s="395"/>
      <c r="AI1537" s="395"/>
      <c r="AJ1537" s="395"/>
      <c r="AK1537" s="395"/>
      <c r="AL1537" s="395"/>
      <c r="AM1537" s="395"/>
      <c r="AN1537" s="395"/>
      <c r="AO1537" s="395"/>
    </row>
    <row r="1538">
      <c r="A1538" s="398"/>
      <c r="B1538" s="398"/>
      <c r="C1538" s="398"/>
      <c r="D1538" s="398"/>
      <c r="E1538" s="399"/>
      <c r="F1538" s="400"/>
      <c r="G1538" s="399"/>
      <c r="H1538" s="400"/>
      <c r="I1538" s="400"/>
      <c r="J1538" s="400"/>
      <c r="K1538" s="400"/>
      <c r="L1538" s="400"/>
      <c r="M1538" s="400"/>
      <c r="N1538" s="400"/>
      <c r="O1538" s="400"/>
      <c r="P1538" s="400"/>
      <c r="Q1538" s="400"/>
      <c r="R1538" s="398"/>
      <c r="S1538" s="401"/>
      <c r="T1538" s="401"/>
      <c r="U1538" s="398"/>
      <c r="V1538" s="398"/>
      <c r="W1538" s="398"/>
      <c r="X1538" s="398"/>
      <c r="Y1538" s="402"/>
      <c r="Z1538" s="403"/>
      <c r="AA1538" s="404"/>
      <c r="AB1538" s="405"/>
      <c r="AC1538" s="405"/>
      <c r="AD1538" s="406"/>
      <c r="AE1538" s="395"/>
      <c r="AF1538" s="395"/>
      <c r="AG1538" s="395"/>
      <c r="AH1538" s="395"/>
      <c r="AI1538" s="395"/>
      <c r="AJ1538" s="395"/>
      <c r="AK1538" s="395"/>
      <c r="AL1538" s="395"/>
      <c r="AM1538" s="395"/>
      <c r="AN1538" s="395"/>
      <c r="AO1538" s="395"/>
    </row>
    <row r="1539">
      <c r="A1539" s="398"/>
      <c r="B1539" s="398"/>
      <c r="C1539" s="398"/>
      <c r="D1539" s="398"/>
      <c r="E1539" s="399"/>
      <c r="F1539" s="400"/>
      <c r="G1539" s="399"/>
      <c r="H1539" s="400"/>
      <c r="I1539" s="400"/>
      <c r="J1539" s="400"/>
      <c r="K1539" s="400"/>
      <c r="L1539" s="400"/>
      <c r="M1539" s="400"/>
      <c r="N1539" s="400"/>
      <c r="O1539" s="400"/>
      <c r="P1539" s="400"/>
      <c r="Q1539" s="400"/>
      <c r="R1539" s="398"/>
      <c r="S1539" s="401"/>
      <c r="T1539" s="401"/>
      <c r="U1539" s="398"/>
      <c r="V1539" s="398"/>
      <c r="W1539" s="398"/>
      <c r="X1539" s="398"/>
      <c r="Y1539" s="402"/>
      <c r="Z1539" s="403"/>
      <c r="AA1539" s="404"/>
      <c r="AB1539" s="405"/>
      <c r="AC1539" s="405"/>
      <c r="AD1539" s="406"/>
      <c r="AE1539" s="395"/>
      <c r="AF1539" s="395"/>
      <c r="AG1539" s="395"/>
      <c r="AH1539" s="395"/>
      <c r="AI1539" s="395"/>
      <c r="AJ1539" s="395"/>
      <c r="AK1539" s="395"/>
      <c r="AL1539" s="395"/>
      <c r="AM1539" s="395"/>
      <c r="AN1539" s="395"/>
      <c r="AO1539" s="395"/>
    </row>
    <row r="1540">
      <c r="A1540" s="398"/>
      <c r="B1540" s="398"/>
      <c r="C1540" s="398"/>
      <c r="D1540" s="398"/>
      <c r="E1540" s="399"/>
      <c r="F1540" s="400"/>
      <c r="G1540" s="399"/>
      <c r="H1540" s="400"/>
      <c r="I1540" s="400"/>
      <c r="J1540" s="400"/>
      <c r="K1540" s="400"/>
      <c r="L1540" s="400"/>
      <c r="M1540" s="400"/>
      <c r="N1540" s="400"/>
      <c r="O1540" s="400"/>
      <c r="P1540" s="400"/>
      <c r="Q1540" s="400"/>
      <c r="R1540" s="398"/>
      <c r="S1540" s="401"/>
      <c r="T1540" s="401"/>
      <c r="U1540" s="398"/>
      <c r="V1540" s="398"/>
      <c r="W1540" s="398"/>
      <c r="X1540" s="398"/>
      <c r="Y1540" s="402"/>
      <c r="Z1540" s="403"/>
      <c r="AA1540" s="404"/>
      <c r="AB1540" s="405"/>
      <c r="AC1540" s="405"/>
      <c r="AD1540" s="406"/>
      <c r="AE1540" s="395"/>
      <c r="AF1540" s="395"/>
      <c r="AG1540" s="395"/>
      <c r="AH1540" s="395"/>
      <c r="AI1540" s="395"/>
      <c r="AJ1540" s="395"/>
      <c r="AK1540" s="395"/>
      <c r="AL1540" s="395"/>
      <c r="AM1540" s="395"/>
      <c r="AN1540" s="395"/>
      <c r="AO1540" s="395"/>
    </row>
    <row r="1541">
      <c r="A1541" s="398"/>
      <c r="B1541" s="398"/>
      <c r="C1541" s="398"/>
      <c r="D1541" s="398"/>
      <c r="E1541" s="399"/>
      <c r="F1541" s="400"/>
      <c r="G1541" s="399"/>
      <c r="H1541" s="400"/>
      <c r="I1541" s="400"/>
      <c r="J1541" s="400"/>
      <c r="K1541" s="400"/>
      <c r="L1541" s="400"/>
      <c r="M1541" s="400"/>
      <c r="N1541" s="400"/>
      <c r="O1541" s="400"/>
      <c r="P1541" s="400"/>
      <c r="Q1541" s="400"/>
      <c r="R1541" s="398"/>
      <c r="S1541" s="401"/>
      <c r="T1541" s="401"/>
      <c r="U1541" s="398"/>
      <c r="V1541" s="398"/>
      <c r="W1541" s="398"/>
      <c r="X1541" s="398"/>
      <c r="Y1541" s="402"/>
      <c r="Z1541" s="403"/>
      <c r="AA1541" s="404"/>
      <c r="AB1541" s="405"/>
      <c r="AC1541" s="405"/>
      <c r="AD1541" s="406"/>
      <c r="AE1541" s="395"/>
      <c r="AF1541" s="395"/>
      <c r="AG1541" s="395"/>
      <c r="AH1541" s="395"/>
      <c r="AI1541" s="395"/>
      <c r="AJ1541" s="395"/>
      <c r="AK1541" s="395"/>
      <c r="AL1541" s="395"/>
      <c r="AM1541" s="395"/>
      <c r="AN1541" s="395"/>
      <c r="AO1541" s="395"/>
    </row>
  </sheetData>
  <customSheetViews>
    <customSheetView guid="{5B9EB629-732E-463D-B82E-7D12C7E69E2C}" filter="1" showAutoFilter="1">
      <autoFilter ref="$A$4:$AB$716">
        <filterColumn colId="3">
          <filters blank="1">
            <filter val="RAP"/>
            <filter val="HOLDING ACCOUNT"/>
            <filter val="2048 PO 02"/>
            <filter val="DESTQ19"/>
            <filter val="20IH"/>
            <filter val="DESTQ38"/>
            <filter val="DESTQ14"/>
            <filter val="DESTQ11"/>
            <filter val="DESTQ32"/>
            <filter val="DESTQ31"/>
            <filter val="DESTQ30"/>
            <filter val="DESTQ51"/>
            <filter val="2048"/>
            <filter val="DESTQ50"/>
            <filter val="20XV SUP"/>
            <filter val="DESTQ09"/>
            <filter val="DESTQ08"/>
            <filter val="DESTQ29"/>
            <filter val="DESTQ28"/>
            <filter val="20XV"/>
            <filter val="DESTQ25"/>
            <filter val="DESTQ02"/>
            <filter val="DESTQ24"/>
            <filter val="DESTQ23"/>
            <filter val="DESTQ22"/>
            <filter val="DESTQ21"/>
            <filter val="DESTQ20"/>
          </filters>
        </filterColumn>
        <filterColumn colId="11">
          <filters>
            <filter val="A"/>
            <filter val="B"/>
            <filter val="C"/>
            <filter val="D"/>
          </filters>
        </filterColumn>
        <filterColumn colId="15">
          <filters>
            <filter val="BASP"/>
            <filter val="EDA"/>
            <filter val="BASM"/>
            <filter val="BABV"/>
            <filter val="BABR"/>
            <filter val="EEAR"/>
            <filter val="BAAN"/>
            <filter val="BACO"/>
            <filter val="PAMALS"/>
            <filter val="EPCAR"/>
            <filter val="PAMASP"/>
            <filter val="IPEV"/>
            <filter val="BAGL"/>
            <filter val="BANT"/>
            <filter val="BAPV"/>
            <filter val="BAFL"/>
            <filter val="AFA"/>
            <filter val="BABE"/>
            <filter val="BACG"/>
            <filter val="BAMN"/>
          </filters>
        </filterColumn>
        <filterColumn colId="21">
          <filters>
            <filter val="MODERNIZAÇÃO"/>
            <filter val="CONSUMO"/>
            <filter val="CLS"/>
            <filter val="CAD-PAD"/>
            <filter val="PUBLICAÇÃO"/>
            <filter val="INFRAESTRUTURA"/>
            <filter val="DIVERSOS"/>
            <filter val="ASSENTO EJETÁVEL"/>
            <filter val="MOTOR"/>
            <filter val="ESTRUTURA"/>
            <filter val="REPARÁVEL"/>
            <filter val="APOIO"/>
            <filter val="AVIÔNICA"/>
          </filters>
        </filterColumn>
      </autoFilter>
    </customSheetView>
    <customSheetView guid="{E2DA4580-85C8-4F38-9252-AEB856D7987F}" filter="1" showAutoFilter="1">
      <autoFilter ref="$A$4:$AB$716"/>
    </customSheetView>
    <customSheetView guid="{56D0FCDC-0A6C-44EB-8E57-3BE9A60F9788}" filter="1" showAutoFilter="1">
      <autoFilter ref="$A$4:$AB$716">
        <filterColumn colId="2">
          <filters>
            <filter val="2026"/>
            <filter val="2024"/>
          </filters>
        </filterColumn>
        <filterColumn colId="11">
          <filters>
            <filter val="A"/>
            <filter val="B"/>
            <filter val="C"/>
            <filter val="D"/>
          </filters>
        </filterColumn>
        <filterColumn colId="15">
          <filters>
            <filter val="BASP"/>
            <filter val="EDA"/>
            <filter val="BASM"/>
            <filter val="BABV"/>
            <filter val="BABR"/>
            <filter val="EEAR"/>
            <filter val="BAAN"/>
            <filter val="BACO"/>
            <filter val="PAMALS"/>
            <filter val="EPCAR"/>
            <filter val="PAMASP"/>
            <filter val="IPEV"/>
            <filter val="BAGL"/>
            <filter val="BANT"/>
            <filter val="BAPV"/>
            <filter val="BAFL"/>
            <filter val="AFA"/>
            <filter val="BABE"/>
            <filter val="BACG"/>
            <filter val="BAMN"/>
          </filters>
        </filterColumn>
        <sortState ref="A4:AB716">
          <sortCondition ref="P4:P716"/>
          <sortCondition ref="R4:R716"/>
        </sortState>
      </autoFilter>
    </customSheetView>
    <customSheetView guid="{5E6BAC90-186F-4673-9FCC-B5AE5773EDE7}" filter="1" showAutoFilter="1">
      <autoFilter ref="$A$4:$AB$716">
        <filterColumn colId="2">
          <filters>
            <filter val="2026"/>
            <filter val="2024"/>
          </filters>
        </filterColumn>
        <sortState ref="A4:AB716">
          <sortCondition ref="G4:G716"/>
          <sortCondition ref="E4:E716"/>
        </sortState>
      </autoFilter>
    </customSheetView>
    <customSheetView guid="{C4D6ABCB-B2B9-4000-81E1-D84B6541F060}" filter="1" showAutoFilter="1">
      <autoFilter ref="$A$4:$AB$716">
        <filterColumn colId="15">
          <filters>
            <filter val="BASP"/>
            <filter val="EDA"/>
            <filter val="BASM"/>
            <filter val="BABV"/>
            <filter val="BABR"/>
            <filter val="EEAR"/>
            <filter val="BAAN"/>
            <filter val="BACO"/>
            <filter val="PAMALS"/>
            <filter val="EPCAR"/>
            <filter val="PAMASP"/>
            <filter val="IPEV"/>
            <filter val="BAGL"/>
            <filter val="BANT"/>
            <filter val="BAPV"/>
            <filter val="BAFL"/>
            <filter val="AFA"/>
            <filter val="BABE"/>
            <filter val="BACG"/>
            <filter val="BAMN"/>
          </filters>
        </filterColumn>
        <sortState ref="A4:AB716">
          <sortCondition descending="1" ref="G4:G716"/>
        </sortState>
      </autoFilter>
    </customSheetView>
    <customSheetView guid="{D984123A-3226-4D04-BC86-4426E455EE1A}" filter="1" showAutoFilter="1">
      <autoFilter ref="$A$4:$AB$716"/>
    </customSheetView>
    <customSheetView guid="{BFCD3385-C8AE-428E-A367-8C105E4A9FB8}" filter="1" showAutoFilter="1">
      <autoFilter ref="$A$4:$AB$716">
        <filterColumn colId="15">
          <filters>
            <filter val="BASP"/>
            <filter val="EDA"/>
            <filter val="BASM"/>
            <filter val="BABV"/>
            <filter val="BABR"/>
            <filter val="EEAR"/>
            <filter val="BAAN"/>
            <filter val="BACO"/>
            <filter val="PAMALS"/>
            <filter val="EPCAR"/>
            <filter val="PAMASP"/>
            <filter val="IPEV"/>
            <filter val="BAGL"/>
            <filter val="BANT"/>
            <filter val="BAPV"/>
            <filter val="BAFL"/>
            <filter val="AFA"/>
            <filter val="BABE"/>
            <filter val="BACG"/>
            <filter val="BAMN"/>
          </filters>
        </filterColumn>
        <filterColumn colId="19">
          <filters>
            <filter val="2025-BAPV-05"/>
            <filter val="2022-EDA-01"/>
            <filter val="2025-BAPV-04"/>
            <filter val="2025-BAPV-07"/>
            <filter val="2025-BAPV-06"/>
            <filter val="Contrato inexigibilidade EMBRAER"/>
            <filter val="2025-BAPV-09"/>
            <filter val="2022-EDA-05"/>
            <filter val="CNT 005/CELOG-PAMALS/2025 - VEE ONE"/>
            <filter val="2025-BAPV-08"/>
            <filter val="2022-EDA-03"/>
            <filter val="CNT 061/CAE-PAMALS/2020"/>
            <filter val="2022-EDA-02"/>
            <filter val="2025-BABV-27"/>
            <filter val="2025-BASM-07"/>
            <filter val="2025-BASM-06"/>
            <filter val="2025-BABV-24"/>
            <filter val="Pregão 043/GAPLS/2025"/>
            <filter val="2025-EPCAR-03"/>
            <filter val="Contrato de reparáveis"/>
            <filter val="2025-EPCAR-02"/>
            <filter val="2025-BABV-29"/>
            <filter val="2025-EPCAR-01"/>
            <filter val="2025-BABV-23"/>
            <filter val="2025-BAPV-10"/>
            <filter val="Pregão 038/CELOG/2025"/>
            <filter val="2025-BAPV-12"/>
            <filter val="2025-BAPV-11"/>
            <filter val="2025-BAPV-14"/>
            <filter val="CURSO MANUTENÇÃO BOTES KC390 (SSS)"/>
            <filter val="2025-BAPV-15"/>
            <filter val="2022-EDA-11"/>
            <filter val="2025-BAPV-18"/>
            <filter val="2022-EDA-10"/>
            <filter val="2025-BAPV-17"/>
            <filter val="2025-BAPV-19"/>
            <filter val="2025-BABV-16"/>
            <filter val="2025-BABV-13"/>
            <filter val="2025-BABV-19"/>
            <filter val="2025-BABV-18"/>
            <filter val="REQUISIÇÃO CONSUMO"/>
            <filter val="2025-BABV-12"/>
            <filter val="CNT XXX/GAPLS/2026 - Serviço de readequação da ETE do PAMALS para instalação de abrigo de resíduos sólidos"/>
            <filter val="2025-AFA-01"/>
            <filter val="MANUTENÇÂO DAS INSTALAÇÕES"/>
            <filter val="2022-EDA-08"/>
            <filter val="CNT XXX/GAPLS/2026 - Serviço de Coleta e Caracterização Físico-Química de Efluentes Industriais do PAMALS - Serviço"/>
            <filter val="2025-BAPV-21"/>
            <filter val="2022-EDA-07"/>
            <filter val="CNT 024/CELOG-PAMALS/2022 - VEE ONE"/>
            <filter val="2025-BAPV-20"/>
            <filter val="2025-BAPV-23"/>
            <filter val="2025-BAPV-25"/>
            <filter val="2025-BACG-16"/>
            <filter val="2025-BACG-15"/>
            <filter val="2025-BAPV-26"/>
            <filter val="2025-BACG-14"/>
            <filter val="2025-BAPV-29"/>
            <filter val="2025-BACG-13"/>
            <filter val="CNT XXX/CELOG-PAMALS/2026 - Modernização - C-98"/>
            <filter val="2025-BACG-19"/>
            <filter val="ADQUIRIR PNEUS DE AVIAÇÃO"/>
            <filter val="Aquisição UFT MIISTA PN ACE4490S28TT3; GENERATOR SET, DIESEL ENGINE 28/115"/>
            <filter val="2025-BAAN-05"/>
            <filter val="REVISÃO ITEM SSS EXTERIOR"/>
            <filter val="2025-BAMN-01"/>
            <filter val="CTT 039/CABW-PAMALS/2024 - Modernização"/>
            <filter val="REQUISIÇÃO SSS TLV"/>
            <filter val="2025-BAMN-03"/>
            <filter val="2025-BAPV-30"/>
            <filter val="Requisição FMS"/>
            <filter val="CTT Modernização"/>
            <filter val="2025-BAPV-36"/>
            <filter val="CNT 040/CELOG-PAMALS/2022 - AEL - CLS AVIONICO"/>
            <filter val="2025-BAPV-37"/>
            <filter val="CNT 005/CELOG-PAMASP/2026 - STANDARDAERO - RG"/>
            <filter val="PREGÃO GAP-LS - AQUISIÇÃO DE ITENS DE CLASSE GERAL"/>
            <filter val="2025-BABV-38"/>
            <filter val="2025-BABV-30"/>
            <filter val="PN TI300GPU-24 (FONTE ELÉTRICA PORTÁTIL 24 VDC) QAQ"/>
            <filter val="CNT XXX/GAPLS/2026 - Revisão/Manutenção de maquinários da TOFI - Serviço"/>
            <filter val="2025-BABV-34"/>
            <filter val="2025-BABV-33"/>
            <filter val="2025-BABV-32"/>
            <filter val="2025-BABV-31"/>
            <filter val="CNT 048/CELOG-PAMASP/2022 - PW - Material"/>
            <filter val="CNT 060/CELOG-PAMASP/2023 - PW - HSI/REPARO"/>
            <filter val="2025-BABR-28"/>
            <filter val="2025-EEAR-01"/>
            <filter val="2025-BABR-22"/>
            <filter val="CTT 028/CELOG-PAMALS/2025 – CLS AVIÔNICOS"/>
            <filter val="CTT XXX/CELOG-PAMALS/2026 - MOTORES"/>
            <filter val="CNT XXX/CELOG-PAMASP/2026 - XX - Material"/>
            <filter val="REQUISIÇÃO LOTAÇÃO SSS"/>
            <filter val="2025-BABE-05"/>
            <filter val="2025-BABE-08"/>
            <filter val="Contrato inexigibilidade EMBRAER - CNT 012/CELOG-PAMALS/2026"/>
            <filter val="2025-PAMALS-31"/>
            <filter val="2025-BABE-02"/>
            <filter val="2025-BABE-03"/>
            <filter val="Aquisição de Barreira de Retenção Móvel via FMS"/>
            <filter val="2025-BABE-04"/>
            <filter val="2025-BACO-08"/>
            <filter val="2025-BACO-06"/>
            <filter val="2025-BANT-24"/>
            <filter val="2025-BANT-25"/>
            <filter val="2025-BACO-07"/>
            <filter val="CNT 031/CELOG-PAMASP/2022 - PW - RG"/>
            <filter val="2025-BACG-01"/>
            <filter val="2025-BABE-09"/>
            <filter val="2025-BANT-21"/>
            <filter val="2025-BACG-05"/>
            <filter val="PN T17; LAVADORA PARA LIMPEZA DE HANGAR."/>
            <filter val="2025-BACG-04"/>
            <filter val="2025-BACG-03"/>
            <filter val="2025-BACG-02"/>
            <filter val="PN JET-EX8D; GROUND POWER UNIT – DIESEL ENGINE 28VDC."/>
            <filter val="2025-BANT-06"/>
            <filter val="2025-BACG-06"/>
            <filter val="2025-BABR-12"/>
            <filter val="CTT 009/CELOG-PAMALS/2025 – Aquisição de Consumíveis"/>
            <filter val="2025-BACO-12"/>
            <filter val="2025-BACO-10"/>
            <filter val="REQUISIÇÃO PTA SSS"/>
            <filter val="CNT XXX/CELOG-PAMASP/2026 - Material"/>
            <filter val="CNT XXX/GAPLS/2026"/>
            <filter val="CTT XXX/GAPLS-PAMALS/2026 – Instalação e manutenção de Ar Condicionado"/>
            <filter val="CNT 032/CELOG-PAMALS/2025 - SENAI"/>
            <filter val="REQUISIÇÃO DE BOTES INFLÁVEIS (SSS)"/>
            <filter val="CTT XXXX/PAMALS-CELOG/2026"/>
            <filter val="Pregão XXX/CELOG-PAMALS/2026"/>
            <filter val="Requisição CABW"/>
            <filter val="CTT XXX/CELOG-PAMALS/2026 – Aquisição de Consumíveis"/>
            <filter val="2025-PAMASP-01"/>
            <filter val="PREGÃO CELOG - AQUISIÇÃO DE ITENS DE CLASSE GERAL"/>
            <filter val="AQUISIÇÃO PN: B650 URA DE GRANDE PORTE QAQ"/>
            <filter val="2025-AFA-03"/>
            <filter val="CTT 049/CELOG-PAMALS/2024 – Aquisição de Consumíveis"/>
            <filter val="2025-AFA-04"/>
            <filter val="2025-AFA-08"/>
            <filter val="2025-BABV-06"/>
            <filter val="CNT XXX/CABE-PAMALS/2026 - MARTIN BAKER - SUPORTE EJEÇÃO"/>
            <filter val="2025-AFA-12"/>
            <filter val="2025-BANT-02"/>
            <filter val="CTT 102/CELOG-PAMALS/2023 – EMBRAER - PSLI"/>
            <filter val="CNT 051/CELOG-PAMASP/2024 - STANDARD AERO - REVISÃO GERAL"/>
            <filter val="CNT 006/CELOG-PAMASP/2026 - PW - RG"/>
            <filter val="CTT 096/CAE-PAMALS/2021 - CLS C-97"/>
            <filter val="REQUISIÇÃO PUBLICAÇÃO"/>
            <filter val="CTT XXX/GAPLS-PAMALS/2026 – Gestão de Frota"/>
            <filter val="2025-AFA-14"/>
            <filter val="2025-AFA-15"/>
            <filter val="CNT 018/CELOG-PAMASP/2026 - SERVIÇO - TOFI"/>
            <filter val="2025-AFA-17"/>
            <filter val="2025-AFA-19"/>
            <filter val="2025-AFA-20"/>
            <filter val="2025-BABE-12"/>
            <filter val="PN GPU-400; GROUND POWER UNIT – ELETRIC UNIT 28VDC."/>
            <filter val="REQUISIÇÃO SERVIÇO"/>
            <filter val="CTT 004/CELOG-PAMASP/2025 - PW - AQ. PEÇAS"/>
            <filter val="ATA AR CONDICIONADO"/>
            <filter val="PN MAK ASU 250PPM; – AIR STARTER UNIT"/>
            <filter val="2025-BAPV-03"/>
          </filters>
        </filterColumn>
        <sortState ref="A4:AB716">
          <sortCondition descending="1" ref="G4:G716"/>
        </sortState>
      </autoFilter>
    </customSheetView>
    <customSheetView guid="{7AE75732-25B2-4815-BBF5-52EE39CF42C7}" filter="1" showAutoFilter="1">
      <autoFilter ref="$A$4:$AB$716">
        <filterColumn colId="15">
          <filters>
            <filter val="BASP"/>
            <filter val="EDA"/>
            <filter val="BASM"/>
            <filter val="BABV"/>
            <filter val="BABR"/>
            <filter val="EEAR"/>
            <filter val="BAAN"/>
            <filter val="BACO"/>
            <filter val="PAMALS"/>
            <filter val="EPCAR"/>
            <filter val="PAMASP"/>
            <filter val="IPEV"/>
            <filter val="BAGL"/>
            <filter val="BANT"/>
            <filter val="BAPV"/>
            <filter val="BAFL"/>
            <filter val="AFA"/>
            <filter val="BABE"/>
            <filter val="BACG"/>
            <filter val="BAMN"/>
          </filters>
        </filterColumn>
      </autoFilter>
    </customSheetView>
    <customSheetView guid="{A2A50DF2-D631-4154-84B9-4F77C2A463C6}" filter="1" showAutoFilter="1">
      <autoFilter ref="$A$4:$AB$716"/>
    </customSheetView>
    <customSheetView guid="{0A6014EC-9A26-460C-87AB-3F2BD81EE9E3}" filter="1" showAutoFilter="1">
      <autoFilter ref="$A$4:$AB$716">
        <filterColumn colId="15">
          <filters>
            <filter val="BASP"/>
            <filter val="EDA"/>
            <filter val="BASM"/>
            <filter val="BABV"/>
            <filter val="BABR"/>
            <filter val="EEAR"/>
            <filter val="BAAN"/>
            <filter val="BACO"/>
            <filter val="PAMALS"/>
            <filter val="EPCAR"/>
            <filter val="PAMASP"/>
            <filter val="IPEV"/>
            <filter val="BAGL"/>
            <filter val="BANT"/>
            <filter val="BAPV"/>
            <filter val="BAFL"/>
            <filter val="AFA"/>
            <filter val="BABE"/>
            <filter val="BACG"/>
            <filter val="BAMN"/>
          </filters>
        </filterColumn>
      </autoFilter>
    </customSheetView>
    <customSheetView guid="{37CE52F4-DC25-47C7-A784-E0D0D3310A06}" filter="1" showAutoFilter="1">
      <autoFilter ref="$A$4:$AB$716">
        <sortState ref="A4:AB716">
          <sortCondition ref="C4:C716"/>
        </sortState>
      </autoFilter>
    </customSheetView>
    <customSheetView guid="{720EA56E-F81C-411E-BB64-8AEFE77BF47D}" filter="1" showAutoFilter="1">
      <autoFilter ref="$A$4:$AB$716"/>
    </customSheetView>
    <customSheetView guid="{F940DA81-AF26-435A-B6B5-52C5FCBCC8C6}" filter="1" showAutoFilter="1">
      <autoFilter ref="$A$4:$AB$716">
        <filterColumn colId="3">
          <filters blank="1">
            <filter val="RAP"/>
            <filter val="HOLDING ACCOUNT"/>
            <filter val="2048 PO 02"/>
            <filter val="DESTQ19"/>
            <filter val="20IH"/>
            <filter val="DESTQ38"/>
            <filter val="DESTQ14"/>
            <filter val="DESTQ11"/>
            <filter val="DESTQ32"/>
            <filter val="DESTQ31"/>
            <filter val="DESTQ30"/>
            <filter val="DESTQ51"/>
            <filter val="2048"/>
            <filter val="DESTQ50"/>
            <filter val="20XV SUP"/>
            <filter val="DESTQ09"/>
            <filter val="DESTQ08"/>
            <filter val="DESTQ29"/>
            <filter val="DESTQ28"/>
            <filter val="20XV"/>
            <filter val="DESTQ25"/>
            <filter val="DESTQ02"/>
            <filter val="DESTQ24"/>
            <filter val="DESTQ23"/>
            <filter val="DESTQ22"/>
            <filter val="DESTQ21"/>
            <filter val="DESTQ20"/>
          </filters>
        </filterColumn>
        <filterColumn colId="2">
          <filters>
            <filter val="2026"/>
            <filter val="2024"/>
          </filters>
        </filterColumn>
        <filterColumn colId="11">
          <filters>
            <filter val="A"/>
            <filter val="B"/>
            <filter val="C"/>
            <filter val="D"/>
          </filters>
        </filterColumn>
        <filterColumn colId="15">
          <filters>
            <filter val="BASP"/>
            <filter val="EDA"/>
            <filter val="BASM"/>
            <filter val="BABV"/>
            <filter val="BABR"/>
            <filter val="EEAR"/>
            <filter val="BAAN"/>
            <filter val="BACO"/>
            <filter val="PAMALS"/>
            <filter val="EPCAR"/>
            <filter val="PAMASP"/>
            <filter val="IPEV"/>
            <filter val="BAGL"/>
            <filter val="BANT"/>
            <filter val="BAPV"/>
            <filter val="BAFL"/>
            <filter val="AFA"/>
            <filter val="BABE"/>
            <filter val="BACG"/>
            <filter val="BAMN"/>
          </filters>
        </filterColumn>
      </autoFilter>
    </customSheetView>
    <customSheetView guid="{F9F45A3A-6773-4340-B18E-D88D41C0E938}" filter="1" showAutoFilter="1">
      <autoFilter ref="$A$4:$AB$716">
        <sortState ref="A4:AB716">
          <sortCondition ref="R4:R716"/>
        </sortState>
      </autoFilter>
    </customSheetView>
    <customSheetView guid="{383FC807-906E-4F0B-B431-CFA2479E5802}" filter="1" showAutoFilter="1">
      <autoFilter ref="$A$4:$AB$716">
        <filterColumn colId="2">
          <filters>
            <filter val="2026"/>
            <filter val="2024"/>
          </filters>
        </filterColumn>
      </autoFilter>
    </customSheetView>
    <customSheetView guid="{D3388A2C-5B01-43A1-80D0-045BE890F8A7}" filter="1" showAutoFilter="1">
      <autoFilter ref="$A$4:$AB$716">
        <filterColumn colId="2">
          <filters>
            <filter val="2026"/>
            <filter val="2024"/>
          </filters>
        </filterColumn>
        <filterColumn colId="15">
          <filters>
            <filter val="BASP"/>
            <filter val="EDA"/>
            <filter val="BASM"/>
            <filter val="BABV"/>
            <filter val="BABR"/>
            <filter val="EEAR"/>
            <filter val="BAAN"/>
            <filter val="BACO"/>
            <filter val="PAMALS"/>
            <filter val="EPCAR"/>
            <filter val="PAMASP"/>
            <filter val="IPEV"/>
            <filter val="BAGL"/>
            <filter val="BANT"/>
            <filter val="BAPV"/>
            <filter val="BAFL"/>
            <filter val="AFA"/>
            <filter val="BABE"/>
            <filter val="BACG"/>
            <filter val="BAMN"/>
          </filters>
        </filterColumn>
      </autoFilter>
    </customSheetView>
    <customSheetView guid="{EA39167F-EE8A-47A8-A55A-7401F35D6ACC}" filter="1" showAutoFilter="1">
      <autoFilter ref="$A$4:$AB$716">
        <filterColumn colId="2">
          <filters>
            <filter val="2026"/>
            <filter val="2024"/>
          </filters>
        </filterColumn>
      </autoFilter>
    </customSheetView>
    <customSheetView guid="{7EB356EA-F2B7-41ED-B35D-E275AF890E5A}" filter="1" showAutoFilter="1">
      <autoFilter ref="$A$4:$AB$716">
        <filterColumn colId="2">
          <filters>
            <filter val="2026"/>
            <filter val="2024"/>
          </filters>
        </filterColumn>
        <sortState ref="A4:AB716">
          <sortCondition ref="E4:E716"/>
        </sortState>
      </autoFilter>
    </customSheetView>
    <customSheetView guid="{70B9DCDD-DD8F-47F4-BA9B-A3B6ABE46273}" filter="1" showAutoFilter="1">
      <autoFilter ref="$A$4:$AB$716">
        <filterColumn colId="11">
          <filters>
            <filter val="A"/>
            <filter val="B"/>
            <filter val="C"/>
            <filter val="D"/>
          </filters>
        </filterColumn>
        <filterColumn colId="15">
          <filters>
            <filter val="BASP"/>
            <filter val="EDA"/>
            <filter val="BASM"/>
            <filter val="BABV"/>
            <filter val="BABR"/>
            <filter val="EEAR"/>
            <filter val="BAAN"/>
            <filter val="BACO"/>
            <filter val="PAMALS"/>
            <filter val="EPCAR"/>
            <filter val="PAMASP"/>
            <filter val="IPEV"/>
            <filter val="BAGL"/>
            <filter val="BANT"/>
            <filter val="BAPV"/>
            <filter val="BAFL"/>
            <filter val="AFA"/>
            <filter val="BABE"/>
            <filter val="BACG"/>
            <filter val="BAMN"/>
          </filters>
        </filterColumn>
      </autoFilter>
    </customSheetView>
  </customSheetView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5" max="5" width="14.25"/>
    <col customWidth="1" min="6" max="6" width="19.5"/>
  </cols>
  <sheetData>
    <row r="1">
      <c r="A1" s="182" t="s">
        <v>170</v>
      </c>
      <c r="E1" s="210" t="s">
        <v>217</v>
      </c>
      <c r="F1" s="211"/>
    </row>
    <row r="2" hidden="1">
      <c r="A2" s="193">
        <v>10000.0</v>
      </c>
      <c r="B2" s="214">
        <f>VLOOKUP(A2,'Solicitações'!B:B,1,0)</f>
        <v>10000</v>
      </c>
      <c r="C2" s="214">
        <f t="shared" ref="C2:C973" si="1">A2-B2</f>
        <v>0</v>
      </c>
      <c r="E2" s="216">
        <v>20.0</v>
      </c>
      <c r="F2" s="218" t="str">
        <f t="shared" ref="F2:F177" si="2">VLOOKUP(E2,'44 - Solicitações GR4'!A:A,1,0)</f>
        <v>#REF!</v>
      </c>
      <c r="O2" s="120"/>
    </row>
    <row r="3" hidden="1">
      <c r="A3" s="193">
        <v>10001.0</v>
      </c>
      <c r="B3" s="214">
        <f>VLOOKUP(A3,'Solicitações'!B:B,1,0)</f>
        <v>10001</v>
      </c>
      <c r="C3" s="214">
        <f t="shared" si="1"/>
        <v>0</v>
      </c>
      <c r="E3" s="216">
        <v>80.0</v>
      </c>
      <c r="F3" s="218" t="str">
        <f t="shared" si="2"/>
        <v>#REF!</v>
      </c>
    </row>
    <row r="4" hidden="1">
      <c r="A4" s="193">
        <v>10020.0</v>
      </c>
      <c r="B4" s="214">
        <f>VLOOKUP(A4,'Solicitações'!B:B,1,0)</f>
        <v>10020</v>
      </c>
      <c r="C4" s="214">
        <f t="shared" si="1"/>
        <v>0</v>
      </c>
      <c r="E4" s="216">
        <v>140.0</v>
      </c>
      <c r="F4" s="218" t="str">
        <f t="shared" si="2"/>
        <v>#REF!</v>
      </c>
    </row>
    <row r="5" hidden="1">
      <c r="A5" s="193">
        <v>10040.0</v>
      </c>
      <c r="B5" s="214">
        <f>VLOOKUP(A5,'Solicitações'!B:B,1,0)</f>
        <v>10040</v>
      </c>
      <c r="C5" s="214">
        <f t="shared" si="1"/>
        <v>0</v>
      </c>
      <c r="E5" s="216">
        <v>200.0</v>
      </c>
      <c r="F5" s="218" t="str">
        <f t="shared" si="2"/>
        <v>#REF!</v>
      </c>
    </row>
    <row r="6" hidden="1">
      <c r="A6" s="193">
        <v>10060.0</v>
      </c>
      <c r="B6" s="214">
        <f>VLOOKUP(A6,'Solicitações'!B:B,1,0)</f>
        <v>10060</v>
      </c>
      <c r="C6" s="214">
        <f t="shared" si="1"/>
        <v>0</v>
      </c>
      <c r="E6" s="216">
        <v>260.0</v>
      </c>
      <c r="F6" s="218" t="str">
        <f t="shared" si="2"/>
        <v>#REF!</v>
      </c>
    </row>
    <row r="7" hidden="1">
      <c r="A7" s="193">
        <v>10061.0</v>
      </c>
      <c r="B7" s="214">
        <f>VLOOKUP(A7,'Solicitações'!B:B,1,0)</f>
        <v>10061</v>
      </c>
      <c r="C7" s="214">
        <f t="shared" si="1"/>
        <v>0</v>
      </c>
      <c r="E7" s="216">
        <v>320.0</v>
      </c>
      <c r="F7" s="218" t="str">
        <f t="shared" si="2"/>
        <v>#REF!</v>
      </c>
    </row>
    <row r="8" hidden="1">
      <c r="A8" s="193">
        <v>10062.0</v>
      </c>
      <c r="B8" s="214">
        <f>VLOOKUP(A8,'Solicitações'!B:B,1,0)</f>
        <v>10062</v>
      </c>
      <c r="C8" s="214">
        <f t="shared" si="1"/>
        <v>0</v>
      </c>
      <c r="E8" s="216">
        <v>380.0</v>
      </c>
      <c r="F8" s="218" t="str">
        <f t="shared" si="2"/>
        <v>#REF!</v>
      </c>
    </row>
    <row r="9" hidden="1">
      <c r="A9" s="193">
        <v>10080.0</v>
      </c>
      <c r="B9" s="214">
        <f>VLOOKUP(A9,'Solicitações'!B:B,1,0)</f>
        <v>10080</v>
      </c>
      <c r="C9" s="214">
        <f t="shared" si="1"/>
        <v>0</v>
      </c>
      <c r="E9" s="216">
        <v>440.0</v>
      </c>
      <c r="F9" s="218" t="str">
        <f t="shared" si="2"/>
        <v>#REF!</v>
      </c>
    </row>
    <row r="10" hidden="1">
      <c r="A10" s="193">
        <v>10081.0</v>
      </c>
      <c r="B10" s="214">
        <f>VLOOKUP(A10,'Solicitações'!B:B,1,0)</f>
        <v>10081</v>
      </c>
      <c r="C10" s="214">
        <f t="shared" si="1"/>
        <v>0</v>
      </c>
      <c r="E10" s="216">
        <v>480.0</v>
      </c>
      <c r="F10" s="218" t="str">
        <f t="shared" si="2"/>
        <v>#REF!</v>
      </c>
    </row>
    <row r="11" hidden="1">
      <c r="A11" s="193">
        <v>10100.0</v>
      </c>
      <c r="B11" s="214">
        <f>VLOOKUP(A11,'Solicitações'!B:B,1,0)</f>
        <v>10100</v>
      </c>
      <c r="C11" s="214">
        <f t="shared" si="1"/>
        <v>0</v>
      </c>
      <c r="E11" s="228">
        <v>520.0</v>
      </c>
      <c r="F11" s="218" t="str">
        <f t="shared" si="2"/>
        <v>#REF!</v>
      </c>
    </row>
    <row r="12" hidden="1">
      <c r="A12" s="193">
        <v>10120.0</v>
      </c>
      <c r="B12" s="214">
        <f>VLOOKUP(A12,'Solicitações'!B:B,1,0)</f>
        <v>10120</v>
      </c>
      <c r="C12" s="214">
        <f t="shared" si="1"/>
        <v>0</v>
      </c>
      <c r="E12" s="216">
        <v>580.0</v>
      </c>
      <c r="F12" s="218" t="str">
        <f t="shared" si="2"/>
        <v>#REF!</v>
      </c>
    </row>
    <row r="13" hidden="1">
      <c r="A13" s="193">
        <v>10121.0</v>
      </c>
      <c r="B13" s="214">
        <f>VLOOKUP(A13,'Solicitações'!B:B,1,0)</f>
        <v>10121</v>
      </c>
      <c r="C13" s="214">
        <f t="shared" si="1"/>
        <v>0</v>
      </c>
      <c r="E13" s="216">
        <v>640.0</v>
      </c>
      <c r="F13" s="218" t="str">
        <f t="shared" si="2"/>
        <v>#REF!</v>
      </c>
    </row>
    <row r="14" hidden="1">
      <c r="A14" s="193">
        <v>10122.0</v>
      </c>
      <c r="B14" s="214">
        <f>VLOOKUP(A14,'Solicitações'!B:B,1,0)</f>
        <v>10122</v>
      </c>
      <c r="C14" s="214">
        <f t="shared" si="1"/>
        <v>0</v>
      </c>
      <c r="E14" s="216">
        <v>700.0</v>
      </c>
      <c r="F14" s="218" t="str">
        <f t="shared" si="2"/>
        <v>#REF!</v>
      </c>
    </row>
    <row r="15" hidden="1">
      <c r="A15" s="193">
        <v>10140.0</v>
      </c>
      <c r="B15" s="214">
        <f>VLOOKUP(A15,'Solicitações'!B:B,1,0)</f>
        <v>10140</v>
      </c>
      <c r="C15" s="214">
        <f t="shared" si="1"/>
        <v>0</v>
      </c>
      <c r="E15" s="216">
        <v>760.0</v>
      </c>
      <c r="F15" s="218" t="str">
        <f t="shared" si="2"/>
        <v>#REF!</v>
      </c>
    </row>
    <row r="16" hidden="1">
      <c r="A16" s="193">
        <v>10160.0</v>
      </c>
      <c r="B16" s="214">
        <f>VLOOKUP(A16,'Solicitações'!B:B,1,0)</f>
        <v>10160</v>
      </c>
      <c r="C16" s="214">
        <f t="shared" si="1"/>
        <v>0</v>
      </c>
      <c r="E16" s="216">
        <v>860.0</v>
      </c>
      <c r="F16" s="218" t="str">
        <f t="shared" si="2"/>
        <v>#REF!</v>
      </c>
    </row>
    <row r="17" hidden="1">
      <c r="A17" s="193">
        <v>10180.0</v>
      </c>
      <c r="B17" s="214">
        <f>VLOOKUP(A17,'Solicitações'!B:B,1,0)</f>
        <v>10180</v>
      </c>
      <c r="C17" s="214">
        <f t="shared" si="1"/>
        <v>0</v>
      </c>
      <c r="E17" s="216">
        <v>920.0</v>
      </c>
      <c r="F17" s="218" t="str">
        <f t="shared" si="2"/>
        <v>#REF!</v>
      </c>
    </row>
    <row r="18" hidden="1">
      <c r="A18" s="193">
        <v>10200.0</v>
      </c>
      <c r="B18" s="214">
        <f>VLOOKUP(A18,'Solicitações'!B:B,1,0)</f>
        <v>10200</v>
      </c>
      <c r="C18" s="214">
        <f t="shared" si="1"/>
        <v>0</v>
      </c>
      <c r="E18" s="216">
        <v>980.0</v>
      </c>
      <c r="F18" s="218" t="str">
        <f t="shared" si="2"/>
        <v>#REF!</v>
      </c>
    </row>
    <row r="19" hidden="1">
      <c r="A19" s="193">
        <v>10201.0</v>
      </c>
      <c r="B19" s="214">
        <f>VLOOKUP(A19,'Solicitações'!B:B,1,0)</f>
        <v>10201</v>
      </c>
      <c r="C19" s="214">
        <f t="shared" si="1"/>
        <v>0</v>
      </c>
      <c r="E19" s="228">
        <v>1040.0</v>
      </c>
      <c r="F19" s="218" t="str">
        <f t="shared" si="2"/>
        <v>#REF!</v>
      </c>
    </row>
    <row r="20" hidden="1">
      <c r="A20" s="193">
        <v>10220.0</v>
      </c>
      <c r="B20" s="214">
        <f>VLOOKUP(A20,'Solicitações'!B:B,1,0)</f>
        <v>10220</v>
      </c>
      <c r="C20" s="214">
        <f t="shared" si="1"/>
        <v>0</v>
      </c>
      <c r="E20" s="216">
        <v>1360.0</v>
      </c>
      <c r="F20" s="218" t="str">
        <f t="shared" si="2"/>
        <v>#REF!</v>
      </c>
    </row>
    <row r="21" hidden="1">
      <c r="A21" s="193">
        <v>10221.0</v>
      </c>
      <c r="B21" s="214">
        <f>VLOOKUP(A21,'Solicitações'!B:B,1,0)</f>
        <v>10221</v>
      </c>
      <c r="C21" s="214">
        <f t="shared" si="1"/>
        <v>0</v>
      </c>
      <c r="E21" s="228">
        <v>1400.0</v>
      </c>
      <c r="F21" s="218" t="str">
        <f t="shared" si="2"/>
        <v>#REF!</v>
      </c>
    </row>
    <row r="22" hidden="1">
      <c r="A22" s="193">
        <v>10240.0</v>
      </c>
      <c r="B22" s="214">
        <f>VLOOKUP(A22,'Solicitações'!B:B,1,0)</f>
        <v>10240</v>
      </c>
      <c r="C22" s="214">
        <f t="shared" si="1"/>
        <v>0</v>
      </c>
      <c r="E22" s="228">
        <v>1401.0</v>
      </c>
      <c r="F22" s="218" t="str">
        <f t="shared" si="2"/>
        <v>#REF!</v>
      </c>
    </row>
    <row r="23" hidden="1">
      <c r="A23" s="193">
        <v>10241.0</v>
      </c>
      <c r="B23" s="214">
        <f>VLOOKUP(A23,'Solicitações'!B:B,1,0)</f>
        <v>10241</v>
      </c>
      <c r="C23" s="214">
        <f t="shared" si="1"/>
        <v>0</v>
      </c>
      <c r="E23" s="216">
        <v>1460.0</v>
      </c>
      <c r="F23" s="218" t="str">
        <f t="shared" si="2"/>
        <v>#REF!</v>
      </c>
    </row>
    <row r="24" hidden="1">
      <c r="A24" s="193">
        <v>10242.0</v>
      </c>
      <c r="B24" s="214">
        <f>VLOOKUP(A24,'Solicitações'!B:B,1,0)</f>
        <v>10242</v>
      </c>
      <c r="C24" s="214">
        <f t="shared" si="1"/>
        <v>0</v>
      </c>
      <c r="E24" s="231">
        <v>1500.0</v>
      </c>
      <c r="F24" s="218" t="str">
        <f t="shared" si="2"/>
        <v>#REF!</v>
      </c>
    </row>
    <row r="25" hidden="1">
      <c r="A25" s="193">
        <v>10260.0</v>
      </c>
      <c r="B25" s="214">
        <f>VLOOKUP(A25,'Solicitações'!B:B,1,0)</f>
        <v>10260</v>
      </c>
      <c r="C25" s="214">
        <f t="shared" si="1"/>
        <v>0</v>
      </c>
      <c r="E25" s="216">
        <v>1520.0</v>
      </c>
      <c r="F25" s="218" t="str">
        <f t="shared" si="2"/>
        <v>#REF!</v>
      </c>
    </row>
    <row r="26" hidden="1">
      <c r="A26" s="193">
        <v>10261.0</v>
      </c>
      <c r="B26" s="214">
        <f>VLOOKUP(A26,'Solicitações'!B:B,1,0)</f>
        <v>10261</v>
      </c>
      <c r="C26" s="214">
        <f t="shared" si="1"/>
        <v>0</v>
      </c>
      <c r="E26" s="216">
        <v>1560.0</v>
      </c>
      <c r="F26" s="218" t="str">
        <f t="shared" si="2"/>
        <v>#REF!</v>
      </c>
    </row>
    <row r="27" hidden="1">
      <c r="A27" s="193">
        <v>10280.0</v>
      </c>
      <c r="B27" s="214">
        <f>VLOOKUP(A27,'Solicitações'!B:B,1,0)</f>
        <v>10280</v>
      </c>
      <c r="C27" s="214">
        <f t="shared" si="1"/>
        <v>0</v>
      </c>
      <c r="E27" s="216">
        <v>1600.0</v>
      </c>
      <c r="F27" s="218" t="str">
        <f t="shared" si="2"/>
        <v>#REF!</v>
      </c>
    </row>
    <row r="28" hidden="1">
      <c r="A28" s="193">
        <v>10281.0</v>
      </c>
      <c r="B28" s="214">
        <f>VLOOKUP(A28,'Solicitações'!B:B,1,0)</f>
        <v>10281</v>
      </c>
      <c r="C28" s="214">
        <f t="shared" si="1"/>
        <v>0</v>
      </c>
      <c r="E28" s="216">
        <v>1640.0</v>
      </c>
      <c r="F28" s="218" t="str">
        <f t="shared" si="2"/>
        <v>#REF!</v>
      </c>
    </row>
    <row r="29" hidden="1">
      <c r="A29" s="193">
        <v>10300.0</v>
      </c>
      <c r="B29" s="214">
        <f>VLOOKUP(A29,'Solicitações'!B:B,1,0)</f>
        <v>10300</v>
      </c>
      <c r="C29" s="214">
        <f t="shared" si="1"/>
        <v>0</v>
      </c>
      <c r="E29" s="216">
        <v>1680.0</v>
      </c>
      <c r="F29" s="218" t="str">
        <f t="shared" si="2"/>
        <v>#REF!</v>
      </c>
    </row>
    <row r="30" hidden="1">
      <c r="A30" s="193">
        <v>10320.0</v>
      </c>
      <c r="B30" s="214">
        <f>VLOOKUP(A30,'Solicitações'!B:B,1,0)</f>
        <v>10320</v>
      </c>
      <c r="C30" s="214">
        <f t="shared" si="1"/>
        <v>0</v>
      </c>
      <c r="E30" s="216">
        <v>1700.0</v>
      </c>
      <c r="F30" s="218" t="str">
        <f t="shared" si="2"/>
        <v>#REF!</v>
      </c>
    </row>
    <row r="31" hidden="1">
      <c r="A31" s="193">
        <v>10321.0</v>
      </c>
      <c r="B31" s="214">
        <f>VLOOKUP(A31,'Solicitações'!B:B,1,0)</f>
        <v>10321</v>
      </c>
      <c r="C31" s="214">
        <f t="shared" si="1"/>
        <v>0</v>
      </c>
      <c r="E31" s="216">
        <v>1720.0</v>
      </c>
      <c r="F31" s="218" t="str">
        <f t="shared" si="2"/>
        <v>#REF!</v>
      </c>
    </row>
    <row r="32" hidden="1">
      <c r="A32" s="193">
        <v>10322.0</v>
      </c>
      <c r="B32" s="214">
        <f>VLOOKUP(A32,'Solicitações'!B:B,1,0)</f>
        <v>10322</v>
      </c>
      <c r="C32" s="214">
        <f t="shared" si="1"/>
        <v>0</v>
      </c>
      <c r="E32" s="216">
        <v>1740.0</v>
      </c>
      <c r="F32" s="218" t="str">
        <f t="shared" si="2"/>
        <v>#REF!</v>
      </c>
    </row>
    <row r="33" hidden="1">
      <c r="A33" s="193">
        <v>10340.0</v>
      </c>
      <c r="B33" s="214">
        <f>VLOOKUP(A33,'Solicitações'!B:B,1,0)</f>
        <v>10340</v>
      </c>
      <c r="C33" s="214">
        <f t="shared" si="1"/>
        <v>0</v>
      </c>
      <c r="E33" s="216">
        <v>1760.0</v>
      </c>
      <c r="F33" s="218" t="str">
        <f t="shared" si="2"/>
        <v>#REF!</v>
      </c>
    </row>
    <row r="34" hidden="1">
      <c r="A34" s="193">
        <v>10341.0</v>
      </c>
      <c r="B34" s="214">
        <f>VLOOKUP(A34,'Solicitações'!B:B,1,0)</f>
        <v>10341</v>
      </c>
      <c r="C34" s="214">
        <f t="shared" si="1"/>
        <v>0</v>
      </c>
      <c r="E34" s="216">
        <v>1800.0</v>
      </c>
      <c r="F34" s="218" t="str">
        <f t="shared" si="2"/>
        <v>#REF!</v>
      </c>
    </row>
    <row r="35" hidden="1">
      <c r="A35" s="193">
        <v>10360.0</v>
      </c>
      <c r="B35" s="214">
        <f>VLOOKUP(A35,'Solicitações'!B:B,1,0)</f>
        <v>10360</v>
      </c>
      <c r="C35" s="214">
        <f t="shared" si="1"/>
        <v>0</v>
      </c>
      <c r="E35" s="216">
        <v>1840.0</v>
      </c>
      <c r="F35" s="218" t="str">
        <f t="shared" si="2"/>
        <v>#REF!</v>
      </c>
    </row>
    <row r="36" hidden="1">
      <c r="A36" s="193">
        <v>10380.0</v>
      </c>
      <c r="B36" s="214">
        <f>VLOOKUP(A36,'Solicitações'!B:B,1,0)</f>
        <v>10380</v>
      </c>
      <c r="C36" s="214">
        <f t="shared" si="1"/>
        <v>0</v>
      </c>
      <c r="E36" s="216">
        <v>1880.0</v>
      </c>
      <c r="F36" s="218" t="str">
        <f t="shared" si="2"/>
        <v>#REF!</v>
      </c>
    </row>
    <row r="37" hidden="1">
      <c r="A37" s="193">
        <v>10400.0</v>
      </c>
      <c r="B37" s="214">
        <f>VLOOKUP(A37,'Solicitações'!B:B,1,0)</f>
        <v>10400</v>
      </c>
      <c r="C37" s="214">
        <f t="shared" si="1"/>
        <v>0</v>
      </c>
      <c r="E37" s="216">
        <v>1920.0</v>
      </c>
      <c r="F37" s="218" t="str">
        <f t="shared" si="2"/>
        <v>#REF!</v>
      </c>
    </row>
    <row r="38" hidden="1">
      <c r="A38" s="193">
        <v>10420.0</v>
      </c>
      <c r="B38" s="214">
        <f>VLOOKUP(A38,'Solicitações'!B:B,1,0)</f>
        <v>10420</v>
      </c>
      <c r="C38" s="214">
        <f t="shared" si="1"/>
        <v>0</v>
      </c>
      <c r="E38" s="216">
        <v>1960.0</v>
      </c>
      <c r="F38" s="218" t="str">
        <f t="shared" si="2"/>
        <v>#REF!</v>
      </c>
    </row>
    <row r="39" hidden="1">
      <c r="A39" s="193">
        <v>10440.0</v>
      </c>
      <c r="B39" s="214">
        <f>VLOOKUP(A39,'Solicitações'!B:B,1,0)</f>
        <v>10440</v>
      </c>
      <c r="C39" s="214">
        <f t="shared" si="1"/>
        <v>0</v>
      </c>
      <c r="E39" s="216">
        <v>2000.0</v>
      </c>
      <c r="F39" s="218" t="str">
        <f t="shared" si="2"/>
        <v>#REF!</v>
      </c>
    </row>
    <row r="40" hidden="1">
      <c r="A40" s="193">
        <v>10460.0</v>
      </c>
      <c r="B40" s="214">
        <f>VLOOKUP(A40,'Solicitações'!B:B,1,0)</f>
        <v>10460</v>
      </c>
      <c r="C40" s="214">
        <f t="shared" si="1"/>
        <v>0</v>
      </c>
      <c r="E40" s="216">
        <v>2040.0</v>
      </c>
      <c r="F40" s="218" t="str">
        <f t="shared" si="2"/>
        <v>#REF!</v>
      </c>
    </row>
    <row r="41" hidden="1">
      <c r="A41" s="193">
        <v>10480.0</v>
      </c>
      <c r="B41" s="214">
        <f>VLOOKUP(A41,'Solicitações'!B:B,1,0)</f>
        <v>10480</v>
      </c>
      <c r="C41" s="214">
        <f t="shared" si="1"/>
        <v>0</v>
      </c>
      <c r="E41" s="216">
        <v>2080.0</v>
      </c>
      <c r="F41" s="218" t="str">
        <f t="shared" si="2"/>
        <v>#REF!</v>
      </c>
    </row>
    <row r="42" hidden="1">
      <c r="A42" s="193">
        <v>10500.0</v>
      </c>
      <c r="B42" s="214">
        <f>VLOOKUP(A42,'Solicitações'!B:B,1,0)</f>
        <v>10500</v>
      </c>
      <c r="C42" s="214">
        <f t="shared" si="1"/>
        <v>0</v>
      </c>
      <c r="E42" s="216">
        <v>2120.0</v>
      </c>
      <c r="F42" s="218" t="str">
        <f t="shared" si="2"/>
        <v>#REF!</v>
      </c>
    </row>
    <row r="43" hidden="1">
      <c r="A43" s="193">
        <v>10520.0</v>
      </c>
      <c r="B43" s="214">
        <f>VLOOKUP(A43,'Solicitações'!B:B,1,0)</f>
        <v>10520</v>
      </c>
      <c r="C43" s="214">
        <f t="shared" si="1"/>
        <v>0</v>
      </c>
      <c r="E43" s="216">
        <v>2160.0</v>
      </c>
      <c r="F43" s="218" t="str">
        <f t="shared" si="2"/>
        <v>#REF!</v>
      </c>
    </row>
    <row r="44" hidden="1">
      <c r="A44" s="193">
        <v>10540.0</v>
      </c>
      <c r="B44" s="214">
        <f>VLOOKUP(A44,'Solicitações'!B:B,1,0)</f>
        <v>10540</v>
      </c>
      <c r="C44" s="214">
        <f t="shared" si="1"/>
        <v>0</v>
      </c>
      <c r="E44" s="216">
        <v>2180.0</v>
      </c>
      <c r="F44" s="218" t="str">
        <f t="shared" si="2"/>
        <v>#REF!</v>
      </c>
    </row>
    <row r="45" hidden="1">
      <c r="A45" s="193">
        <v>10560.0</v>
      </c>
      <c r="B45" s="214">
        <f>VLOOKUP(A45,'Solicitações'!B:B,1,0)</f>
        <v>10560</v>
      </c>
      <c r="C45" s="214">
        <f t="shared" si="1"/>
        <v>0</v>
      </c>
      <c r="E45" s="216">
        <v>2360.0</v>
      </c>
      <c r="F45" s="218" t="str">
        <f t="shared" si="2"/>
        <v>#REF!</v>
      </c>
    </row>
    <row r="46" hidden="1">
      <c r="A46" s="193">
        <v>10561.0</v>
      </c>
      <c r="B46" s="214">
        <f>VLOOKUP(A46,'Solicitações'!B:B,1,0)</f>
        <v>10561</v>
      </c>
      <c r="C46" s="214">
        <f t="shared" si="1"/>
        <v>0</v>
      </c>
      <c r="E46" s="216">
        <v>2380.0</v>
      </c>
      <c r="F46" s="218" t="str">
        <f t="shared" si="2"/>
        <v>#REF!</v>
      </c>
    </row>
    <row r="47" hidden="1">
      <c r="A47" s="193">
        <v>10580.0</v>
      </c>
      <c r="B47" s="214">
        <f>VLOOKUP(A47,'Solicitações'!B:B,1,0)</f>
        <v>10580</v>
      </c>
      <c r="C47" s="214">
        <f t="shared" si="1"/>
        <v>0</v>
      </c>
      <c r="E47" s="216">
        <v>2400.0</v>
      </c>
      <c r="F47" s="218" t="str">
        <f t="shared" si="2"/>
        <v>#REF!</v>
      </c>
    </row>
    <row r="48" hidden="1">
      <c r="A48" s="193">
        <v>10600.0</v>
      </c>
      <c r="B48" s="214">
        <f>VLOOKUP(A48,'Solicitações'!B:B,1,0)</f>
        <v>10600</v>
      </c>
      <c r="C48" s="214">
        <f t="shared" si="1"/>
        <v>0</v>
      </c>
      <c r="E48" s="216">
        <v>2420.0</v>
      </c>
      <c r="F48" s="218" t="str">
        <f t="shared" si="2"/>
        <v>#REF!</v>
      </c>
    </row>
    <row r="49" hidden="1">
      <c r="A49" s="193">
        <v>10620.0</v>
      </c>
      <c r="B49" s="214">
        <f>VLOOKUP(A49,'Solicitações'!B:B,1,0)</f>
        <v>10620</v>
      </c>
      <c r="C49" s="214">
        <f t="shared" si="1"/>
        <v>0</v>
      </c>
      <c r="E49" s="216">
        <v>2440.0</v>
      </c>
      <c r="F49" s="218" t="str">
        <f t="shared" si="2"/>
        <v>#REF!</v>
      </c>
    </row>
    <row r="50" hidden="1">
      <c r="A50" s="193">
        <v>10621.0</v>
      </c>
      <c r="B50" s="214">
        <f>VLOOKUP(A50,'Solicitações'!B:B,1,0)</f>
        <v>10621</v>
      </c>
      <c r="C50" s="214">
        <f t="shared" si="1"/>
        <v>0</v>
      </c>
      <c r="E50" s="216">
        <v>2460.0</v>
      </c>
      <c r="F50" s="218" t="str">
        <f t="shared" si="2"/>
        <v>#REF!</v>
      </c>
    </row>
    <row r="51" hidden="1">
      <c r="A51" s="193">
        <v>10640.0</v>
      </c>
      <c r="B51" s="214">
        <f>VLOOKUP(A51,'Solicitações'!B:B,1,0)</f>
        <v>10640</v>
      </c>
      <c r="C51" s="214">
        <f t="shared" si="1"/>
        <v>0</v>
      </c>
      <c r="E51" s="216">
        <v>2480.0</v>
      </c>
      <c r="F51" s="218" t="str">
        <f t="shared" si="2"/>
        <v>#REF!</v>
      </c>
    </row>
    <row r="52" hidden="1">
      <c r="A52" s="193">
        <v>10660.0</v>
      </c>
      <c r="B52" s="214">
        <f>VLOOKUP(A52,'Solicitações'!B:B,1,0)</f>
        <v>10660</v>
      </c>
      <c r="C52" s="214">
        <f t="shared" si="1"/>
        <v>0</v>
      </c>
      <c r="E52" s="216">
        <v>2500.0</v>
      </c>
      <c r="F52" s="218" t="str">
        <f t="shared" si="2"/>
        <v>#REF!</v>
      </c>
    </row>
    <row r="53" hidden="1">
      <c r="A53" s="193">
        <v>10680.0</v>
      </c>
      <c r="B53" s="214">
        <f>VLOOKUP(A53,'Solicitações'!B:B,1,0)</f>
        <v>10680</v>
      </c>
      <c r="C53" s="214">
        <f t="shared" si="1"/>
        <v>0</v>
      </c>
      <c r="E53" s="216">
        <v>2520.0</v>
      </c>
      <c r="F53" s="218" t="str">
        <f t="shared" si="2"/>
        <v>#REF!</v>
      </c>
    </row>
    <row r="54" hidden="1">
      <c r="A54" s="193">
        <v>10700.0</v>
      </c>
      <c r="B54" s="214">
        <f>VLOOKUP(A54,'Solicitações'!B:B,1,0)</f>
        <v>10700</v>
      </c>
      <c r="C54" s="214">
        <f t="shared" si="1"/>
        <v>0</v>
      </c>
      <c r="E54" s="216">
        <v>2540.0</v>
      </c>
      <c r="F54" s="218" t="str">
        <f t="shared" si="2"/>
        <v>#REF!</v>
      </c>
    </row>
    <row r="55" hidden="1">
      <c r="A55" s="193">
        <v>10720.0</v>
      </c>
      <c r="B55" s="214">
        <f>VLOOKUP(A55,'Solicitações'!B:B,1,0)</f>
        <v>10720</v>
      </c>
      <c r="C55" s="214">
        <f t="shared" si="1"/>
        <v>0</v>
      </c>
      <c r="E55" s="216">
        <v>2580.0</v>
      </c>
      <c r="F55" s="218" t="str">
        <f t="shared" si="2"/>
        <v>#REF!</v>
      </c>
    </row>
    <row r="56" hidden="1">
      <c r="A56" s="193">
        <v>10740.0</v>
      </c>
      <c r="B56" s="214">
        <f>VLOOKUP(A56,'Solicitações'!B:B,1,0)</f>
        <v>10740</v>
      </c>
      <c r="C56" s="214">
        <f t="shared" si="1"/>
        <v>0</v>
      </c>
      <c r="E56" s="216">
        <v>2620.0</v>
      </c>
      <c r="F56" s="218" t="str">
        <f t="shared" si="2"/>
        <v>#REF!</v>
      </c>
    </row>
    <row r="57" hidden="1">
      <c r="A57" s="193">
        <v>10741.0</v>
      </c>
      <c r="B57" s="214">
        <f>VLOOKUP(A57,'Solicitações'!B:B,1,0)</f>
        <v>10741</v>
      </c>
      <c r="C57" s="214">
        <f t="shared" si="1"/>
        <v>0</v>
      </c>
      <c r="E57" s="216">
        <v>2640.0</v>
      </c>
      <c r="F57" s="218" t="str">
        <f t="shared" si="2"/>
        <v>#REF!</v>
      </c>
    </row>
    <row r="58" hidden="1">
      <c r="A58" s="193">
        <v>10760.0</v>
      </c>
      <c r="B58" s="214">
        <f>VLOOKUP(A58,'Solicitações'!B:B,1,0)</f>
        <v>10760</v>
      </c>
      <c r="C58" s="214">
        <f t="shared" si="1"/>
        <v>0</v>
      </c>
      <c r="E58" s="216">
        <v>2660.0</v>
      </c>
      <c r="F58" s="218" t="str">
        <f t="shared" si="2"/>
        <v>#REF!</v>
      </c>
    </row>
    <row r="59" hidden="1">
      <c r="A59" s="193">
        <v>10780.0</v>
      </c>
      <c r="B59" s="214">
        <f>VLOOKUP(A59,'Solicitações'!B:B,1,0)</f>
        <v>10780</v>
      </c>
      <c r="C59" s="214">
        <f t="shared" si="1"/>
        <v>0</v>
      </c>
      <c r="E59" s="216">
        <v>2680.0</v>
      </c>
      <c r="F59" s="218" t="str">
        <f t="shared" si="2"/>
        <v>#REF!</v>
      </c>
    </row>
    <row r="60" hidden="1">
      <c r="A60" s="193">
        <v>10800.0</v>
      </c>
      <c r="B60" s="214">
        <f>VLOOKUP(A60,'Solicitações'!B:B,1,0)</f>
        <v>10800</v>
      </c>
      <c r="C60" s="214">
        <f t="shared" si="1"/>
        <v>0</v>
      </c>
      <c r="E60" s="216">
        <v>2700.0</v>
      </c>
      <c r="F60" s="218" t="str">
        <f t="shared" si="2"/>
        <v>#REF!</v>
      </c>
    </row>
    <row r="61" hidden="1">
      <c r="A61" s="193">
        <v>10820.0</v>
      </c>
      <c r="B61" s="214">
        <f>VLOOKUP(A61,'Solicitações'!B:B,1,0)</f>
        <v>10820</v>
      </c>
      <c r="C61" s="214">
        <f t="shared" si="1"/>
        <v>0</v>
      </c>
      <c r="E61" s="216">
        <v>2720.0</v>
      </c>
      <c r="F61" s="218" t="str">
        <f t="shared" si="2"/>
        <v>#REF!</v>
      </c>
    </row>
    <row r="62" hidden="1">
      <c r="A62" s="193">
        <v>10840.0</v>
      </c>
      <c r="B62" s="214">
        <f>VLOOKUP(A62,'Solicitações'!B:B,1,0)</f>
        <v>10840</v>
      </c>
      <c r="C62" s="214">
        <f t="shared" si="1"/>
        <v>0</v>
      </c>
      <c r="E62" s="216">
        <v>2740.0</v>
      </c>
      <c r="F62" s="218" t="str">
        <f t="shared" si="2"/>
        <v>#REF!</v>
      </c>
    </row>
    <row r="63" hidden="1">
      <c r="A63" s="193">
        <v>10841.0</v>
      </c>
      <c r="B63" s="214">
        <f>VLOOKUP(A63,'Solicitações'!B:B,1,0)</f>
        <v>10841</v>
      </c>
      <c r="C63" s="214">
        <f t="shared" si="1"/>
        <v>0</v>
      </c>
      <c r="E63" s="216">
        <v>2760.0</v>
      </c>
      <c r="F63" s="218" t="str">
        <f t="shared" si="2"/>
        <v>#REF!</v>
      </c>
    </row>
    <row r="64" hidden="1">
      <c r="A64" s="193">
        <v>10860.0</v>
      </c>
      <c r="B64" s="214">
        <f>VLOOKUP(A64,'Solicitações'!B:B,1,0)</f>
        <v>10860</v>
      </c>
      <c r="C64" s="214">
        <f t="shared" si="1"/>
        <v>0</v>
      </c>
      <c r="E64" s="216">
        <v>2780.0</v>
      </c>
      <c r="F64" s="218" t="str">
        <f t="shared" si="2"/>
        <v>#REF!</v>
      </c>
    </row>
    <row r="65" hidden="1">
      <c r="A65" s="193">
        <v>10880.0</v>
      </c>
      <c r="B65" s="214">
        <f>VLOOKUP(A65,'Solicitações'!B:B,1,0)</f>
        <v>10880</v>
      </c>
      <c r="C65" s="214">
        <f t="shared" si="1"/>
        <v>0</v>
      </c>
      <c r="E65" s="216">
        <v>2800.0</v>
      </c>
      <c r="F65" s="218" t="str">
        <f t="shared" si="2"/>
        <v>#REF!</v>
      </c>
    </row>
    <row r="66" hidden="1">
      <c r="A66" s="193">
        <v>10881.0</v>
      </c>
      <c r="B66" s="214">
        <f>VLOOKUP(A66,'Solicitações'!B:B,1,0)</f>
        <v>10881</v>
      </c>
      <c r="C66" s="214">
        <f t="shared" si="1"/>
        <v>0</v>
      </c>
      <c r="E66" s="216">
        <v>2820.0</v>
      </c>
      <c r="F66" s="218" t="str">
        <f t="shared" si="2"/>
        <v>#REF!</v>
      </c>
    </row>
    <row r="67" hidden="1">
      <c r="A67" s="193">
        <v>10900.0</v>
      </c>
      <c r="B67" s="214">
        <f>VLOOKUP(A67,'Solicitações'!B:B,1,0)</f>
        <v>10900</v>
      </c>
      <c r="C67" s="214">
        <f t="shared" si="1"/>
        <v>0</v>
      </c>
      <c r="E67" s="216">
        <v>2840.0</v>
      </c>
      <c r="F67" s="218" t="str">
        <f t="shared" si="2"/>
        <v>#REF!</v>
      </c>
    </row>
    <row r="68" hidden="1">
      <c r="A68" s="193">
        <v>10920.0</v>
      </c>
      <c r="B68" s="214">
        <f>VLOOKUP(A68,'Solicitações'!B:B,1,0)</f>
        <v>10920</v>
      </c>
      <c r="C68" s="214">
        <f t="shared" si="1"/>
        <v>0</v>
      </c>
      <c r="E68" s="216">
        <v>2860.0</v>
      </c>
      <c r="F68" s="218" t="str">
        <f t="shared" si="2"/>
        <v>#REF!</v>
      </c>
    </row>
    <row r="69" hidden="1">
      <c r="A69" s="193">
        <v>10940.0</v>
      </c>
      <c r="B69" s="214">
        <f>VLOOKUP(A69,'Solicitações'!B:B,1,0)</f>
        <v>10940</v>
      </c>
      <c r="C69" s="214">
        <f t="shared" si="1"/>
        <v>0</v>
      </c>
      <c r="E69" s="216">
        <v>2880.0</v>
      </c>
      <c r="F69" s="218" t="str">
        <f t="shared" si="2"/>
        <v>#REF!</v>
      </c>
    </row>
    <row r="70" hidden="1">
      <c r="A70" s="193">
        <v>10941.0</v>
      </c>
      <c r="B70" s="214">
        <f>VLOOKUP(A70,'Solicitações'!B:B,1,0)</f>
        <v>10941</v>
      </c>
      <c r="C70" s="214">
        <f t="shared" si="1"/>
        <v>0</v>
      </c>
      <c r="E70" s="216">
        <v>2900.0</v>
      </c>
      <c r="F70" s="218" t="str">
        <f t="shared" si="2"/>
        <v>#REF!</v>
      </c>
    </row>
    <row r="71" hidden="1">
      <c r="A71" s="193">
        <v>10960.0</v>
      </c>
      <c r="B71" s="214">
        <f>VLOOKUP(A71,'Solicitações'!B:B,1,0)</f>
        <v>10960</v>
      </c>
      <c r="C71" s="214">
        <f t="shared" si="1"/>
        <v>0</v>
      </c>
      <c r="E71" s="216">
        <v>2920.0</v>
      </c>
      <c r="F71" s="218" t="str">
        <f t="shared" si="2"/>
        <v>#REF!</v>
      </c>
    </row>
    <row r="72" hidden="1">
      <c r="A72" s="193">
        <v>10980.0</v>
      </c>
      <c r="B72" s="214">
        <f>VLOOKUP(A72,'Solicitações'!B:B,1,0)</f>
        <v>10980</v>
      </c>
      <c r="C72" s="214">
        <f t="shared" si="1"/>
        <v>0</v>
      </c>
      <c r="E72" s="216">
        <v>2940.0</v>
      </c>
      <c r="F72" s="218" t="str">
        <f t="shared" si="2"/>
        <v>#REF!</v>
      </c>
    </row>
    <row r="73" hidden="1">
      <c r="A73" s="193">
        <v>11000.0</v>
      </c>
      <c r="B73" s="214">
        <f>VLOOKUP(A73,'Solicitações'!B:B,1,0)</f>
        <v>11000</v>
      </c>
      <c r="C73" s="214">
        <f t="shared" si="1"/>
        <v>0</v>
      </c>
      <c r="E73" s="216">
        <v>2960.0</v>
      </c>
      <c r="F73" s="218" t="str">
        <f t="shared" si="2"/>
        <v>#REF!</v>
      </c>
    </row>
    <row r="74" hidden="1">
      <c r="A74" s="193">
        <v>11020.0</v>
      </c>
      <c r="B74" s="214">
        <f>VLOOKUP(A74,'Solicitações'!B:B,1,0)</f>
        <v>11020</v>
      </c>
      <c r="C74" s="214">
        <f t="shared" si="1"/>
        <v>0</v>
      </c>
      <c r="E74" s="216">
        <v>2980.0</v>
      </c>
      <c r="F74" s="218" t="str">
        <f t="shared" si="2"/>
        <v>#REF!</v>
      </c>
    </row>
    <row r="75" hidden="1">
      <c r="A75" s="193">
        <v>11040.0</v>
      </c>
      <c r="B75" s="214">
        <f>VLOOKUP(A75,'Solicitações'!B:B,1,0)</f>
        <v>11040</v>
      </c>
      <c r="C75" s="214">
        <f t="shared" si="1"/>
        <v>0</v>
      </c>
      <c r="E75" s="216">
        <v>3000.0</v>
      </c>
      <c r="F75" s="218" t="str">
        <f t="shared" si="2"/>
        <v>#REF!</v>
      </c>
    </row>
    <row r="76" hidden="1">
      <c r="A76" s="193">
        <v>11060.0</v>
      </c>
      <c r="B76" s="214">
        <f>VLOOKUP(A76,'Solicitações'!B:B,1,0)</f>
        <v>11060</v>
      </c>
      <c r="C76" s="214">
        <f t="shared" si="1"/>
        <v>0</v>
      </c>
      <c r="E76" s="216">
        <v>3020.0</v>
      </c>
      <c r="F76" s="218" t="str">
        <f t="shared" si="2"/>
        <v>#REF!</v>
      </c>
    </row>
    <row r="77" hidden="1">
      <c r="A77" s="193">
        <v>11061.0</v>
      </c>
      <c r="B77" s="214">
        <f>VLOOKUP(A77,'Solicitações'!B:B,1,0)</f>
        <v>11061</v>
      </c>
      <c r="C77" s="214">
        <f t="shared" si="1"/>
        <v>0</v>
      </c>
      <c r="E77" s="216">
        <v>3040.0</v>
      </c>
      <c r="F77" s="218" t="str">
        <f t="shared" si="2"/>
        <v>#REF!</v>
      </c>
    </row>
    <row r="78" hidden="1">
      <c r="A78" s="193">
        <v>11062.0</v>
      </c>
      <c r="B78" s="214">
        <f>VLOOKUP(A78,'Solicitações'!B:B,1,0)</f>
        <v>11062</v>
      </c>
      <c r="C78" s="214">
        <f t="shared" si="1"/>
        <v>0</v>
      </c>
      <c r="E78" s="216">
        <v>3060.0</v>
      </c>
      <c r="F78" s="218" t="str">
        <f t="shared" si="2"/>
        <v>#REF!</v>
      </c>
    </row>
    <row r="79" hidden="1">
      <c r="A79" s="193">
        <v>11063.0</v>
      </c>
      <c r="B79" s="214">
        <f>VLOOKUP(A79,'Solicitações'!B:B,1,0)</f>
        <v>11063</v>
      </c>
      <c r="C79" s="214">
        <f t="shared" si="1"/>
        <v>0</v>
      </c>
      <c r="E79" s="216">
        <v>3080.0</v>
      </c>
      <c r="F79" s="218" t="str">
        <f t="shared" si="2"/>
        <v>#REF!</v>
      </c>
    </row>
    <row r="80" hidden="1">
      <c r="A80" s="193">
        <v>11080.0</v>
      </c>
      <c r="B80" s="214">
        <f>VLOOKUP(A80,'Solicitações'!B:B,1,0)</f>
        <v>11080</v>
      </c>
      <c r="C80" s="214">
        <f t="shared" si="1"/>
        <v>0</v>
      </c>
      <c r="E80" s="216">
        <v>3100.0</v>
      </c>
      <c r="F80" s="218" t="str">
        <f t="shared" si="2"/>
        <v>#REF!</v>
      </c>
    </row>
    <row r="81" hidden="1">
      <c r="A81" s="193">
        <v>11100.0</v>
      </c>
      <c r="B81" s="214">
        <f>VLOOKUP(A81,'Solicitações'!B:B,1,0)</f>
        <v>11100</v>
      </c>
      <c r="C81" s="214">
        <f t="shared" si="1"/>
        <v>0</v>
      </c>
      <c r="E81" s="216">
        <v>3120.0</v>
      </c>
      <c r="F81" s="218" t="str">
        <f t="shared" si="2"/>
        <v>#REF!</v>
      </c>
    </row>
    <row r="82" hidden="1">
      <c r="A82" s="193">
        <v>11120.0</v>
      </c>
      <c r="B82" s="214">
        <f>VLOOKUP(A82,'Solicitações'!B:B,1,0)</f>
        <v>11120</v>
      </c>
      <c r="C82" s="214">
        <f t="shared" si="1"/>
        <v>0</v>
      </c>
      <c r="E82" s="216">
        <v>3140.0</v>
      </c>
      <c r="F82" s="218" t="str">
        <f t="shared" si="2"/>
        <v>#REF!</v>
      </c>
    </row>
    <row r="83" hidden="1">
      <c r="A83" s="193">
        <v>11121.0</v>
      </c>
      <c r="B83" s="214">
        <f>VLOOKUP(A83,'Solicitações'!B:B,1,0)</f>
        <v>11121</v>
      </c>
      <c r="C83" s="214">
        <f t="shared" si="1"/>
        <v>0</v>
      </c>
      <c r="E83" s="216">
        <v>3160.0</v>
      </c>
      <c r="F83" s="218" t="str">
        <f t="shared" si="2"/>
        <v>#REF!</v>
      </c>
    </row>
    <row r="84" hidden="1">
      <c r="A84" s="193">
        <v>11140.0</v>
      </c>
      <c r="B84" s="214">
        <f>VLOOKUP(A84,'Solicitações'!B:B,1,0)</f>
        <v>11140</v>
      </c>
      <c r="C84" s="214">
        <f t="shared" si="1"/>
        <v>0</v>
      </c>
      <c r="E84" s="216">
        <v>3180.0</v>
      </c>
      <c r="F84" s="218" t="str">
        <f t="shared" si="2"/>
        <v>#REF!</v>
      </c>
    </row>
    <row r="85" hidden="1">
      <c r="A85" s="193">
        <v>11141.0</v>
      </c>
      <c r="B85" s="214">
        <f>VLOOKUP(A85,'Solicitações'!B:B,1,0)</f>
        <v>11141</v>
      </c>
      <c r="C85" s="214">
        <f t="shared" si="1"/>
        <v>0</v>
      </c>
      <c r="E85" s="216">
        <v>3240.0</v>
      </c>
      <c r="F85" s="218" t="str">
        <f t="shared" si="2"/>
        <v>#REF!</v>
      </c>
    </row>
    <row r="86" hidden="1">
      <c r="A86" s="193">
        <v>11160.0</v>
      </c>
      <c r="B86" s="214">
        <f>VLOOKUP(A86,'Solicitações'!B:B,1,0)</f>
        <v>11160</v>
      </c>
      <c r="C86" s="214">
        <f t="shared" si="1"/>
        <v>0</v>
      </c>
      <c r="E86" s="216">
        <v>3280.0</v>
      </c>
      <c r="F86" s="218" t="str">
        <f t="shared" si="2"/>
        <v>#REF!</v>
      </c>
    </row>
    <row r="87" hidden="1">
      <c r="A87" s="193">
        <v>11180.0</v>
      </c>
      <c r="B87" s="214">
        <f>VLOOKUP(A87,'Solicitações'!B:B,1,0)</f>
        <v>11180</v>
      </c>
      <c r="C87" s="214">
        <f t="shared" si="1"/>
        <v>0</v>
      </c>
      <c r="E87" s="228">
        <v>3320.0</v>
      </c>
      <c r="F87" s="218" t="str">
        <f t="shared" si="2"/>
        <v>#REF!</v>
      </c>
    </row>
    <row r="88" hidden="1">
      <c r="A88" s="193">
        <v>11200.0</v>
      </c>
      <c r="B88" s="214">
        <f>VLOOKUP(A88,'Solicitações'!B:B,1,0)</f>
        <v>11200</v>
      </c>
      <c r="C88" s="214">
        <f t="shared" si="1"/>
        <v>0</v>
      </c>
      <c r="E88" s="216">
        <v>3380.0</v>
      </c>
      <c r="F88" s="218" t="str">
        <f t="shared" si="2"/>
        <v>#REF!</v>
      </c>
    </row>
    <row r="89" hidden="1">
      <c r="A89" s="193">
        <v>11220.0</v>
      </c>
      <c r="B89" s="214">
        <f>VLOOKUP(A89,'Solicitações'!B:B,1,0)</f>
        <v>11220</v>
      </c>
      <c r="C89" s="214">
        <f t="shared" si="1"/>
        <v>0</v>
      </c>
      <c r="E89" s="216">
        <v>3440.0</v>
      </c>
      <c r="F89" s="218" t="str">
        <f t="shared" si="2"/>
        <v>#REF!</v>
      </c>
    </row>
    <row r="90" hidden="1">
      <c r="A90" s="193">
        <v>11221.0</v>
      </c>
      <c r="B90" s="214">
        <f>VLOOKUP(A90,'Solicitações'!B:B,1,0)</f>
        <v>11221</v>
      </c>
      <c r="C90" s="214">
        <f t="shared" si="1"/>
        <v>0</v>
      </c>
      <c r="E90" s="216">
        <v>3480.0</v>
      </c>
      <c r="F90" s="218" t="str">
        <f t="shared" si="2"/>
        <v>#REF!</v>
      </c>
    </row>
    <row r="91" hidden="1">
      <c r="A91" s="193">
        <v>11240.0</v>
      </c>
      <c r="B91" s="214">
        <f>VLOOKUP(A91,'Solicitações'!B:B,1,0)</f>
        <v>11240</v>
      </c>
      <c r="C91" s="214">
        <f t="shared" si="1"/>
        <v>0</v>
      </c>
      <c r="E91" s="216">
        <v>3520.0</v>
      </c>
      <c r="F91" s="218" t="str">
        <f t="shared" si="2"/>
        <v>#REF!</v>
      </c>
    </row>
    <row r="92" hidden="1">
      <c r="A92" s="193">
        <v>11260.0</v>
      </c>
      <c r="B92" s="214">
        <f>VLOOKUP(A92,'Solicitações'!B:B,1,0)</f>
        <v>11260</v>
      </c>
      <c r="C92" s="214">
        <f t="shared" si="1"/>
        <v>0</v>
      </c>
      <c r="E92" s="216">
        <v>3540.0</v>
      </c>
      <c r="F92" s="218" t="str">
        <f t="shared" si="2"/>
        <v>#REF!</v>
      </c>
    </row>
    <row r="93" hidden="1">
      <c r="A93" s="193">
        <v>11280.0</v>
      </c>
      <c r="B93" s="214">
        <f>VLOOKUP(A93,'Solicitações'!B:B,1,0)</f>
        <v>11280</v>
      </c>
      <c r="C93" s="214">
        <f t="shared" si="1"/>
        <v>0</v>
      </c>
      <c r="E93" s="216">
        <v>3580.0</v>
      </c>
      <c r="F93" s="218" t="str">
        <f t="shared" si="2"/>
        <v>#REF!</v>
      </c>
    </row>
    <row r="94" hidden="1">
      <c r="A94" s="193">
        <v>11300.0</v>
      </c>
      <c r="B94" s="214">
        <f>VLOOKUP(A94,'Solicitações'!B:B,1,0)</f>
        <v>11300</v>
      </c>
      <c r="C94" s="214">
        <f t="shared" si="1"/>
        <v>0</v>
      </c>
      <c r="E94" s="216">
        <v>3620.0</v>
      </c>
      <c r="F94" s="218" t="str">
        <f t="shared" si="2"/>
        <v>#REF!</v>
      </c>
    </row>
    <row r="95" hidden="1">
      <c r="A95" s="193">
        <v>11320.0</v>
      </c>
      <c r="B95" s="214">
        <f>VLOOKUP(A95,'Solicitações'!B:B,1,0)</f>
        <v>11320</v>
      </c>
      <c r="C95" s="214">
        <f t="shared" si="1"/>
        <v>0</v>
      </c>
      <c r="E95" s="216">
        <v>3660.0</v>
      </c>
      <c r="F95" s="218" t="str">
        <f t="shared" si="2"/>
        <v>#REF!</v>
      </c>
    </row>
    <row r="96" hidden="1">
      <c r="A96" s="193">
        <v>11321.0</v>
      </c>
      <c r="B96" s="214">
        <f>VLOOKUP(A96,'Solicitações'!B:B,1,0)</f>
        <v>11321</v>
      </c>
      <c r="C96" s="214">
        <f t="shared" si="1"/>
        <v>0</v>
      </c>
      <c r="E96" s="228">
        <v>3720.0</v>
      </c>
      <c r="F96" s="218" t="str">
        <f t="shared" si="2"/>
        <v>#REF!</v>
      </c>
    </row>
    <row r="97" hidden="1">
      <c r="A97" s="193">
        <v>11322.0</v>
      </c>
      <c r="B97" s="214">
        <f>VLOOKUP(A97,'Solicitações'!B:B,1,0)</f>
        <v>11322</v>
      </c>
      <c r="C97" s="214">
        <f t="shared" si="1"/>
        <v>0</v>
      </c>
      <c r="E97" s="228">
        <v>3780.0</v>
      </c>
      <c r="F97" s="218" t="str">
        <f t="shared" si="2"/>
        <v>#REF!</v>
      </c>
    </row>
    <row r="98" hidden="1">
      <c r="A98" s="193">
        <v>11323.0</v>
      </c>
      <c r="B98" s="214">
        <f>VLOOKUP(A98,'Solicitações'!B:B,1,0)</f>
        <v>11323</v>
      </c>
      <c r="C98" s="214">
        <f t="shared" si="1"/>
        <v>0</v>
      </c>
      <c r="E98" s="228">
        <v>3820.0</v>
      </c>
      <c r="F98" s="218" t="str">
        <f t="shared" si="2"/>
        <v>#REF!</v>
      </c>
    </row>
    <row r="99" hidden="1">
      <c r="A99" s="193">
        <v>11324.0</v>
      </c>
      <c r="B99" s="214">
        <f>VLOOKUP(A99,'Solicitações'!B:B,1,0)</f>
        <v>11324</v>
      </c>
      <c r="C99" s="214">
        <f t="shared" si="1"/>
        <v>0</v>
      </c>
      <c r="E99" s="228">
        <v>3860.0</v>
      </c>
      <c r="F99" s="218" t="str">
        <f t="shared" si="2"/>
        <v>#REF!</v>
      </c>
    </row>
    <row r="100" hidden="1">
      <c r="A100" s="193">
        <v>11325.0</v>
      </c>
      <c r="B100" s="214">
        <f>VLOOKUP(A100,'Solicitações'!B:B,1,0)</f>
        <v>11325</v>
      </c>
      <c r="C100" s="214">
        <f t="shared" si="1"/>
        <v>0</v>
      </c>
      <c r="E100" s="216">
        <v>3900.0</v>
      </c>
      <c r="F100" s="218" t="str">
        <f t="shared" si="2"/>
        <v>#REF!</v>
      </c>
    </row>
    <row r="101" hidden="1">
      <c r="A101" s="193">
        <v>11326.0</v>
      </c>
      <c r="B101" s="214">
        <f>VLOOKUP(A101,'Solicitações'!B:B,1,0)</f>
        <v>11326</v>
      </c>
      <c r="C101" s="214">
        <f t="shared" si="1"/>
        <v>0</v>
      </c>
      <c r="E101" s="216">
        <v>3960.0</v>
      </c>
      <c r="F101" s="218" t="str">
        <f t="shared" si="2"/>
        <v>#REF!</v>
      </c>
    </row>
    <row r="102" hidden="1">
      <c r="A102" s="193">
        <v>11327.0</v>
      </c>
      <c r="B102" s="214">
        <f>VLOOKUP(A102,'Solicitações'!B:B,1,0)</f>
        <v>11327</v>
      </c>
      <c r="C102" s="214">
        <f t="shared" si="1"/>
        <v>0</v>
      </c>
      <c r="E102" s="216">
        <v>4020.0</v>
      </c>
      <c r="F102" s="218" t="str">
        <f t="shared" si="2"/>
        <v>#REF!</v>
      </c>
    </row>
    <row r="103" hidden="1">
      <c r="A103" s="193">
        <v>11328.0</v>
      </c>
      <c r="B103" s="214">
        <f>VLOOKUP(A103,'Solicitações'!B:B,1,0)</f>
        <v>11328</v>
      </c>
      <c r="C103" s="214">
        <f t="shared" si="1"/>
        <v>0</v>
      </c>
      <c r="E103" s="216">
        <v>4060.0</v>
      </c>
      <c r="F103" s="218" t="str">
        <f t="shared" si="2"/>
        <v>#REF!</v>
      </c>
    </row>
    <row r="104" hidden="1">
      <c r="A104" s="193">
        <v>11340.0</v>
      </c>
      <c r="B104" s="214">
        <f>VLOOKUP(A104,'Solicitações'!B:B,1,0)</f>
        <v>11340</v>
      </c>
      <c r="C104" s="214">
        <f t="shared" si="1"/>
        <v>0</v>
      </c>
      <c r="E104" s="216">
        <v>4120.0</v>
      </c>
      <c r="F104" s="218" t="str">
        <f t="shared" si="2"/>
        <v>#REF!</v>
      </c>
    </row>
    <row r="105" hidden="1">
      <c r="A105" s="193">
        <v>11360.0</v>
      </c>
      <c r="B105" s="214">
        <f>VLOOKUP(A105,'Solicitações'!B:B,1,0)</f>
        <v>11360</v>
      </c>
      <c r="C105" s="214">
        <f t="shared" si="1"/>
        <v>0</v>
      </c>
      <c r="E105" s="216">
        <v>4180.0</v>
      </c>
      <c r="F105" s="218" t="str">
        <f t="shared" si="2"/>
        <v>#REF!</v>
      </c>
    </row>
    <row r="106" hidden="1">
      <c r="A106" s="193">
        <v>11380.0</v>
      </c>
      <c r="B106" s="214">
        <f>VLOOKUP(A106,'Solicitações'!B:B,1,0)</f>
        <v>11380</v>
      </c>
      <c r="C106" s="214">
        <f t="shared" si="1"/>
        <v>0</v>
      </c>
      <c r="E106" s="216">
        <v>4240.0</v>
      </c>
      <c r="F106" s="218" t="str">
        <f t="shared" si="2"/>
        <v>#REF!</v>
      </c>
    </row>
    <row r="107" hidden="1">
      <c r="A107" s="193">
        <v>11381.0</v>
      </c>
      <c r="B107" s="214">
        <f>VLOOKUP(A107,'Solicitações'!B:B,1,0)</f>
        <v>11381</v>
      </c>
      <c r="C107" s="214">
        <f t="shared" si="1"/>
        <v>0</v>
      </c>
      <c r="E107" s="216">
        <v>4300.0</v>
      </c>
      <c r="F107" s="218" t="str">
        <f t="shared" si="2"/>
        <v>#REF!</v>
      </c>
    </row>
    <row r="108" hidden="1">
      <c r="A108" s="193">
        <v>11382.0</v>
      </c>
      <c r="B108" s="214">
        <f>VLOOKUP(A108,'Solicitações'!B:B,1,0)</f>
        <v>11382</v>
      </c>
      <c r="C108" s="214">
        <f t="shared" si="1"/>
        <v>0</v>
      </c>
      <c r="E108" s="216">
        <v>4360.0</v>
      </c>
      <c r="F108" s="218" t="str">
        <f t="shared" si="2"/>
        <v>#REF!</v>
      </c>
    </row>
    <row r="109" hidden="1">
      <c r="A109" s="193">
        <v>11400.0</v>
      </c>
      <c r="B109" s="214">
        <f>VLOOKUP(A109,'Solicitações'!B:B,1,0)</f>
        <v>11400</v>
      </c>
      <c r="C109" s="214">
        <f t="shared" si="1"/>
        <v>0</v>
      </c>
      <c r="E109" s="228">
        <v>4420.0</v>
      </c>
      <c r="F109" s="218" t="str">
        <f t="shared" si="2"/>
        <v>#REF!</v>
      </c>
    </row>
    <row r="110" hidden="1">
      <c r="A110" s="193">
        <v>11420.0</v>
      </c>
      <c r="B110" s="214">
        <f>VLOOKUP(A110,'Solicitações'!B:B,1,0)</f>
        <v>11420</v>
      </c>
      <c r="C110" s="214">
        <f t="shared" si="1"/>
        <v>0</v>
      </c>
      <c r="E110" s="216">
        <v>4480.0</v>
      </c>
      <c r="F110" s="218" t="str">
        <f t="shared" si="2"/>
        <v>#REF!</v>
      </c>
    </row>
    <row r="111" hidden="1">
      <c r="A111" s="193">
        <v>11440.0</v>
      </c>
      <c r="B111" s="214">
        <f>VLOOKUP(A111,'Solicitações'!B:B,1,0)</f>
        <v>11440</v>
      </c>
      <c r="C111" s="214">
        <f t="shared" si="1"/>
        <v>0</v>
      </c>
      <c r="E111" s="216">
        <v>4540.0</v>
      </c>
      <c r="F111" s="218" t="str">
        <f t="shared" si="2"/>
        <v>#REF!</v>
      </c>
    </row>
    <row r="112" hidden="1">
      <c r="A112" s="193">
        <v>11441.0</v>
      </c>
      <c r="B112" s="214">
        <f>VLOOKUP(A112,'Solicitações'!B:B,1,0)</f>
        <v>11441</v>
      </c>
      <c r="C112" s="214">
        <f t="shared" si="1"/>
        <v>0</v>
      </c>
      <c r="E112" s="216">
        <v>4600.0</v>
      </c>
      <c r="F112" s="218" t="str">
        <f t="shared" si="2"/>
        <v>#REF!</v>
      </c>
    </row>
    <row r="113" hidden="1">
      <c r="A113" s="193">
        <v>11460.0</v>
      </c>
      <c r="B113" s="214">
        <f>VLOOKUP(A113,'Solicitações'!B:B,1,0)</f>
        <v>11460</v>
      </c>
      <c r="C113" s="214">
        <f t="shared" si="1"/>
        <v>0</v>
      </c>
      <c r="E113" s="228">
        <v>4660.0</v>
      </c>
      <c r="F113" s="218" t="str">
        <f t="shared" si="2"/>
        <v>#REF!</v>
      </c>
    </row>
    <row r="114" hidden="1">
      <c r="A114" s="193">
        <v>11461.0</v>
      </c>
      <c r="B114" s="214">
        <f>VLOOKUP(A114,'Solicitações'!B:B,1,0)</f>
        <v>11461</v>
      </c>
      <c r="C114" s="214">
        <f t="shared" si="1"/>
        <v>0</v>
      </c>
      <c r="E114" s="228">
        <v>4720.0</v>
      </c>
      <c r="F114" s="218" t="str">
        <f t="shared" si="2"/>
        <v>#REF!</v>
      </c>
    </row>
    <row r="115" hidden="1">
      <c r="A115" s="193">
        <v>11480.0</v>
      </c>
      <c r="B115" s="214">
        <f>VLOOKUP(A115,'Solicitações'!B:B,1,0)</f>
        <v>11480</v>
      </c>
      <c r="C115" s="214">
        <f t="shared" si="1"/>
        <v>0</v>
      </c>
      <c r="E115" s="216">
        <v>4780.0</v>
      </c>
      <c r="F115" s="218" t="str">
        <f t="shared" si="2"/>
        <v>#REF!</v>
      </c>
    </row>
    <row r="116" hidden="1">
      <c r="A116" s="193">
        <v>11500.0</v>
      </c>
      <c r="B116" s="214">
        <f>VLOOKUP(A116,'Solicitações'!B:B,1,0)</f>
        <v>11500</v>
      </c>
      <c r="C116" s="214">
        <f t="shared" si="1"/>
        <v>0</v>
      </c>
      <c r="E116" s="228">
        <v>4840.0</v>
      </c>
      <c r="F116" s="218" t="str">
        <f t="shared" si="2"/>
        <v>#REF!</v>
      </c>
    </row>
    <row r="117" hidden="1">
      <c r="A117" s="193">
        <v>11520.0</v>
      </c>
      <c r="B117" s="214">
        <f>VLOOKUP(A117,'Solicitações'!B:B,1,0)</f>
        <v>11520</v>
      </c>
      <c r="C117" s="214">
        <f t="shared" si="1"/>
        <v>0</v>
      </c>
      <c r="E117" s="216">
        <v>4900.0</v>
      </c>
      <c r="F117" s="218" t="str">
        <f t="shared" si="2"/>
        <v>#REF!</v>
      </c>
    </row>
    <row r="118" hidden="1">
      <c r="A118" s="193">
        <v>11540.0</v>
      </c>
      <c r="B118" s="214">
        <f>VLOOKUP(A118,'Solicitações'!B:B,1,0)</f>
        <v>11540</v>
      </c>
      <c r="C118" s="214">
        <f t="shared" si="1"/>
        <v>0</v>
      </c>
      <c r="E118" s="228">
        <v>4960.0</v>
      </c>
      <c r="F118" s="218" t="str">
        <f t="shared" si="2"/>
        <v>#REF!</v>
      </c>
    </row>
    <row r="119" hidden="1">
      <c r="A119" s="193">
        <v>11560.0</v>
      </c>
      <c r="B119" s="214">
        <f>VLOOKUP(A119,'Solicitações'!B:B,1,0)</f>
        <v>11560</v>
      </c>
      <c r="C119" s="214">
        <f t="shared" si="1"/>
        <v>0</v>
      </c>
      <c r="E119" s="228">
        <v>5020.0</v>
      </c>
      <c r="F119" s="218" t="str">
        <f t="shared" si="2"/>
        <v>#REF!</v>
      </c>
    </row>
    <row r="120" hidden="1">
      <c r="A120" s="193">
        <v>11580.0</v>
      </c>
      <c r="B120" s="214">
        <f>VLOOKUP(A120,'Solicitações'!B:B,1,0)</f>
        <v>11580</v>
      </c>
      <c r="C120" s="214">
        <f t="shared" si="1"/>
        <v>0</v>
      </c>
      <c r="E120" s="216">
        <v>5080.0</v>
      </c>
      <c r="F120" s="218" t="str">
        <f t="shared" si="2"/>
        <v>#REF!</v>
      </c>
    </row>
    <row r="121" hidden="1">
      <c r="A121" s="193">
        <v>11600.0</v>
      </c>
      <c r="B121" s="214">
        <f>VLOOKUP(A121,'Solicitações'!B:B,1,0)</f>
        <v>11600</v>
      </c>
      <c r="C121" s="214">
        <f t="shared" si="1"/>
        <v>0</v>
      </c>
      <c r="E121" s="216">
        <v>5120.0</v>
      </c>
      <c r="F121" s="218" t="str">
        <f t="shared" si="2"/>
        <v>#REF!</v>
      </c>
    </row>
    <row r="122" hidden="1">
      <c r="A122" s="193">
        <v>11620.0</v>
      </c>
      <c r="B122" s="214">
        <f>VLOOKUP(A122,'Solicitações'!B:B,1,0)</f>
        <v>11620</v>
      </c>
      <c r="C122" s="214">
        <f t="shared" si="1"/>
        <v>0</v>
      </c>
      <c r="E122" s="216">
        <v>5420.0</v>
      </c>
      <c r="F122" s="218" t="str">
        <f t="shared" si="2"/>
        <v>#REF!</v>
      </c>
    </row>
    <row r="123" hidden="1">
      <c r="A123" s="193">
        <v>11640.0</v>
      </c>
      <c r="B123" s="214">
        <f>VLOOKUP(A123,'Solicitações'!B:B,1,0)</f>
        <v>11640</v>
      </c>
      <c r="C123" s="214">
        <f t="shared" si="1"/>
        <v>0</v>
      </c>
      <c r="E123" s="216">
        <v>5780.0</v>
      </c>
      <c r="F123" s="218" t="str">
        <f t="shared" si="2"/>
        <v>#REF!</v>
      </c>
    </row>
    <row r="124" hidden="1">
      <c r="A124" s="193">
        <v>11660.0</v>
      </c>
      <c r="B124" s="214">
        <f>VLOOKUP(A124,'Solicitações'!B:B,1,0)</f>
        <v>11660</v>
      </c>
      <c r="C124" s="214">
        <f t="shared" si="1"/>
        <v>0</v>
      </c>
      <c r="E124" s="216">
        <v>5820.0</v>
      </c>
      <c r="F124" s="218" t="str">
        <f t="shared" si="2"/>
        <v>#REF!</v>
      </c>
    </row>
    <row r="125" hidden="1">
      <c r="A125" s="193">
        <v>11680.0</v>
      </c>
      <c r="B125" s="214">
        <f>VLOOKUP(A125,'Solicitações'!B:B,1,0)</f>
        <v>11680</v>
      </c>
      <c r="C125" s="214">
        <f t="shared" si="1"/>
        <v>0</v>
      </c>
      <c r="E125" s="216">
        <v>5860.0</v>
      </c>
      <c r="F125" s="218" t="str">
        <f t="shared" si="2"/>
        <v>#REF!</v>
      </c>
    </row>
    <row r="126" hidden="1">
      <c r="A126" s="193">
        <v>11700.0</v>
      </c>
      <c r="B126" s="214">
        <f>VLOOKUP(A126,'Solicitações'!B:B,1,0)</f>
        <v>11700</v>
      </c>
      <c r="C126" s="214">
        <f t="shared" si="1"/>
        <v>0</v>
      </c>
      <c r="E126" s="216">
        <v>5920.0</v>
      </c>
      <c r="F126" s="218" t="str">
        <f t="shared" si="2"/>
        <v>#REF!</v>
      </c>
    </row>
    <row r="127" hidden="1">
      <c r="A127" s="193">
        <v>11720.0</v>
      </c>
      <c r="B127" s="214">
        <f>VLOOKUP(A127,'Solicitações'!B:B,1,0)</f>
        <v>11720</v>
      </c>
      <c r="C127" s="214">
        <f t="shared" si="1"/>
        <v>0</v>
      </c>
      <c r="E127" s="228">
        <v>5980.0</v>
      </c>
      <c r="F127" s="218" t="str">
        <f t="shared" si="2"/>
        <v>#REF!</v>
      </c>
    </row>
    <row r="128" hidden="1">
      <c r="A128" s="193">
        <v>11740.0</v>
      </c>
      <c r="B128" s="214">
        <f>VLOOKUP(A128,'Solicitações'!B:B,1,0)</f>
        <v>11740</v>
      </c>
      <c r="C128" s="214">
        <f t="shared" si="1"/>
        <v>0</v>
      </c>
      <c r="E128" s="216">
        <v>6040.0</v>
      </c>
      <c r="F128" s="218" t="str">
        <f t="shared" si="2"/>
        <v>#REF!</v>
      </c>
    </row>
    <row r="129" hidden="1">
      <c r="A129" s="193">
        <v>11760.0</v>
      </c>
      <c r="B129" s="214">
        <f>VLOOKUP(A129,'Solicitações'!B:B,1,0)</f>
        <v>11760</v>
      </c>
      <c r="C129" s="214">
        <f t="shared" si="1"/>
        <v>0</v>
      </c>
      <c r="E129" s="216">
        <v>6080.0</v>
      </c>
      <c r="F129" s="218" t="str">
        <f t="shared" si="2"/>
        <v>#REF!</v>
      </c>
    </row>
    <row r="130" hidden="1">
      <c r="A130" s="193">
        <v>11780.0</v>
      </c>
      <c r="B130" s="214">
        <f>VLOOKUP(A130,'Solicitações'!B:B,1,0)</f>
        <v>11780</v>
      </c>
      <c r="C130" s="214">
        <f t="shared" si="1"/>
        <v>0</v>
      </c>
      <c r="E130" s="216">
        <v>6120.0</v>
      </c>
      <c r="F130" s="218" t="str">
        <f t="shared" si="2"/>
        <v>#REF!</v>
      </c>
    </row>
    <row r="131" hidden="1">
      <c r="A131" s="193">
        <v>11800.0</v>
      </c>
      <c r="B131" s="214">
        <f>VLOOKUP(A131,'Solicitações'!B:B,1,0)</f>
        <v>11800</v>
      </c>
      <c r="C131" s="214">
        <f t="shared" si="1"/>
        <v>0</v>
      </c>
      <c r="E131" s="216">
        <v>6160.0</v>
      </c>
      <c r="F131" s="218" t="str">
        <f t="shared" si="2"/>
        <v>#REF!</v>
      </c>
    </row>
    <row r="132" hidden="1">
      <c r="A132" s="193">
        <v>11820.0</v>
      </c>
      <c r="B132" s="214">
        <f>VLOOKUP(A132,'Solicitações'!B:B,1,0)</f>
        <v>11820</v>
      </c>
      <c r="C132" s="214">
        <f t="shared" si="1"/>
        <v>0</v>
      </c>
      <c r="E132" s="216">
        <v>6220.0</v>
      </c>
      <c r="F132" s="218" t="str">
        <f t="shared" si="2"/>
        <v>#REF!</v>
      </c>
    </row>
    <row r="133" hidden="1">
      <c r="A133" s="193">
        <v>11840.0</v>
      </c>
      <c r="B133" s="214">
        <f>VLOOKUP(A133,'Solicitações'!B:B,1,0)</f>
        <v>11840</v>
      </c>
      <c r="C133" s="214">
        <f t="shared" si="1"/>
        <v>0</v>
      </c>
      <c r="E133" s="216">
        <v>6280.0</v>
      </c>
      <c r="F133" s="218" t="str">
        <f t="shared" si="2"/>
        <v>#REF!</v>
      </c>
    </row>
    <row r="134" hidden="1">
      <c r="A134" s="193">
        <v>11860.0</v>
      </c>
      <c r="B134" s="214">
        <f>VLOOKUP(A134,'Solicitações'!B:B,1,0)</f>
        <v>11860</v>
      </c>
      <c r="C134" s="214">
        <f t="shared" si="1"/>
        <v>0</v>
      </c>
      <c r="E134" s="216">
        <v>6340.0</v>
      </c>
      <c r="F134" s="218" t="str">
        <f t="shared" si="2"/>
        <v>#REF!</v>
      </c>
    </row>
    <row r="135" hidden="1">
      <c r="A135" s="193">
        <v>11880.0</v>
      </c>
      <c r="B135" s="214">
        <f>VLOOKUP(A135,'Solicitações'!B:B,1,0)</f>
        <v>11880</v>
      </c>
      <c r="C135" s="214">
        <f t="shared" si="1"/>
        <v>0</v>
      </c>
      <c r="E135" s="216">
        <v>6400.0</v>
      </c>
      <c r="F135" s="218" t="str">
        <f t="shared" si="2"/>
        <v>#REF!</v>
      </c>
    </row>
    <row r="136" hidden="1">
      <c r="A136" s="193">
        <v>11900.0</v>
      </c>
      <c r="B136" s="214">
        <f>VLOOKUP(A136,'Solicitações'!B:B,1,0)</f>
        <v>11900</v>
      </c>
      <c r="C136" s="214">
        <f t="shared" si="1"/>
        <v>0</v>
      </c>
      <c r="E136" s="216">
        <v>6460.0</v>
      </c>
      <c r="F136" s="218" t="str">
        <f t="shared" si="2"/>
        <v>#REF!</v>
      </c>
    </row>
    <row r="137" hidden="1">
      <c r="A137" s="193">
        <v>11920.0</v>
      </c>
      <c r="B137" s="214">
        <f>VLOOKUP(A137,'Solicitações'!B:B,1,0)</f>
        <v>11920</v>
      </c>
      <c r="C137" s="214">
        <f t="shared" si="1"/>
        <v>0</v>
      </c>
      <c r="E137" s="216">
        <v>6520.0</v>
      </c>
      <c r="F137" s="218" t="str">
        <f t="shared" si="2"/>
        <v>#REF!</v>
      </c>
    </row>
    <row r="138" hidden="1">
      <c r="A138" s="193">
        <v>11921.0</v>
      </c>
      <c r="B138" s="214">
        <f>VLOOKUP(A138,'Solicitações'!B:B,1,0)</f>
        <v>11921</v>
      </c>
      <c r="C138" s="214">
        <f t="shared" si="1"/>
        <v>0</v>
      </c>
      <c r="E138" s="216">
        <v>6580.0</v>
      </c>
      <c r="F138" s="218" t="str">
        <f t="shared" si="2"/>
        <v>#REF!</v>
      </c>
    </row>
    <row r="139" hidden="1">
      <c r="A139" s="193">
        <v>11922.0</v>
      </c>
      <c r="B139" s="214">
        <f>VLOOKUP(A139,'Solicitações'!B:B,1,0)</f>
        <v>11922</v>
      </c>
      <c r="C139" s="214">
        <f t="shared" si="1"/>
        <v>0</v>
      </c>
      <c r="E139" s="216">
        <v>6640.0</v>
      </c>
      <c r="F139" s="218" t="str">
        <f t="shared" si="2"/>
        <v>#REF!</v>
      </c>
    </row>
    <row r="140" hidden="1">
      <c r="A140" s="193">
        <v>11940.0</v>
      </c>
      <c r="B140" s="214">
        <f>VLOOKUP(A140,'Solicitações'!B:B,1,0)</f>
        <v>11940</v>
      </c>
      <c r="C140" s="214">
        <f t="shared" si="1"/>
        <v>0</v>
      </c>
      <c r="E140" s="216">
        <v>6700.0</v>
      </c>
      <c r="F140" s="218" t="str">
        <f t="shared" si="2"/>
        <v>#REF!</v>
      </c>
    </row>
    <row r="141" hidden="1">
      <c r="A141" s="193">
        <v>11960.0</v>
      </c>
      <c r="B141" s="214">
        <f>VLOOKUP(A141,'Solicitações'!B:B,1,0)</f>
        <v>11960</v>
      </c>
      <c r="C141" s="214">
        <f t="shared" si="1"/>
        <v>0</v>
      </c>
      <c r="E141" s="216">
        <v>6760.0</v>
      </c>
      <c r="F141" s="218" t="str">
        <f t="shared" si="2"/>
        <v>#REF!</v>
      </c>
    </row>
    <row r="142" hidden="1">
      <c r="A142" s="193">
        <v>11980.0</v>
      </c>
      <c r="B142" s="214">
        <f>VLOOKUP(A142,'Solicitações'!B:B,1,0)</f>
        <v>11980</v>
      </c>
      <c r="C142" s="214">
        <f t="shared" si="1"/>
        <v>0</v>
      </c>
      <c r="E142" s="216">
        <v>6820.0</v>
      </c>
      <c r="F142" s="218" t="str">
        <f t="shared" si="2"/>
        <v>#REF!</v>
      </c>
    </row>
    <row r="143" hidden="1">
      <c r="A143" s="193">
        <v>12000.0</v>
      </c>
      <c r="B143" s="214">
        <f>VLOOKUP(A143,'Solicitações'!B:B,1,0)</f>
        <v>12000</v>
      </c>
      <c r="C143" s="214">
        <f t="shared" si="1"/>
        <v>0</v>
      </c>
      <c r="E143" s="216">
        <v>6860.0</v>
      </c>
      <c r="F143" s="218" t="str">
        <f t="shared" si="2"/>
        <v>#REF!</v>
      </c>
    </row>
    <row r="144" hidden="1">
      <c r="A144" s="193">
        <v>12001.0</v>
      </c>
      <c r="B144" s="214">
        <f>VLOOKUP(A144,'Solicitações'!B:B,1,0)</f>
        <v>12001</v>
      </c>
      <c r="C144" s="214">
        <f t="shared" si="1"/>
        <v>0</v>
      </c>
      <c r="E144" s="216">
        <v>7600.0</v>
      </c>
      <c r="F144" s="218" t="str">
        <f t="shared" si="2"/>
        <v>#REF!</v>
      </c>
    </row>
    <row r="145" hidden="1">
      <c r="A145" s="193">
        <v>12020.0</v>
      </c>
      <c r="B145" s="214">
        <f>VLOOKUP(A145,'Solicitações'!B:B,1,0)</f>
        <v>12020</v>
      </c>
      <c r="C145" s="214">
        <f t="shared" si="1"/>
        <v>0</v>
      </c>
      <c r="E145" s="216">
        <v>7620.0</v>
      </c>
      <c r="F145" s="218" t="str">
        <f t="shared" si="2"/>
        <v>#REF!</v>
      </c>
    </row>
    <row r="146" hidden="1">
      <c r="A146" s="193">
        <v>12040.0</v>
      </c>
      <c r="B146" s="214">
        <f>VLOOKUP(A146,'Solicitações'!B:B,1,0)</f>
        <v>12040</v>
      </c>
      <c r="C146" s="214">
        <f t="shared" si="1"/>
        <v>0</v>
      </c>
      <c r="E146" s="216">
        <v>7640.0</v>
      </c>
      <c r="F146" s="218" t="str">
        <f t="shared" si="2"/>
        <v>#REF!</v>
      </c>
    </row>
    <row r="147" hidden="1">
      <c r="A147" s="193">
        <v>12060.0</v>
      </c>
      <c r="B147" s="214">
        <f>VLOOKUP(A147,'Solicitações'!B:B,1,0)</f>
        <v>12060</v>
      </c>
      <c r="C147" s="214">
        <f t="shared" si="1"/>
        <v>0</v>
      </c>
      <c r="E147" s="216">
        <v>7660.0</v>
      </c>
      <c r="F147" s="218" t="str">
        <f t="shared" si="2"/>
        <v>#REF!</v>
      </c>
    </row>
    <row r="148" hidden="1">
      <c r="A148" s="193">
        <v>12080.0</v>
      </c>
      <c r="B148" s="214">
        <f>VLOOKUP(A148,'Solicitações'!B:B,1,0)</f>
        <v>12080</v>
      </c>
      <c r="C148" s="214">
        <f t="shared" si="1"/>
        <v>0</v>
      </c>
      <c r="E148" s="216">
        <v>7680.0</v>
      </c>
      <c r="F148" s="218" t="str">
        <f t="shared" si="2"/>
        <v>#REF!</v>
      </c>
    </row>
    <row r="149" hidden="1">
      <c r="A149" s="193">
        <v>12100.0</v>
      </c>
      <c r="B149" s="214">
        <f>VLOOKUP(A149,'Solicitações'!B:B,1,0)</f>
        <v>12100</v>
      </c>
      <c r="C149" s="214">
        <f t="shared" si="1"/>
        <v>0</v>
      </c>
      <c r="E149" s="216">
        <v>7700.0</v>
      </c>
      <c r="F149" s="218" t="str">
        <f t="shared" si="2"/>
        <v>#REF!</v>
      </c>
    </row>
    <row r="150" hidden="1">
      <c r="A150" s="193">
        <v>12120.0</v>
      </c>
      <c r="B150" s="214">
        <f>VLOOKUP(A150,'Solicitações'!B:B,1,0)</f>
        <v>12120</v>
      </c>
      <c r="C150" s="214">
        <f t="shared" si="1"/>
        <v>0</v>
      </c>
      <c r="E150" s="216">
        <v>7720.0</v>
      </c>
      <c r="F150" s="218" t="str">
        <f t="shared" si="2"/>
        <v>#REF!</v>
      </c>
    </row>
    <row r="151" hidden="1">
      <c r="A151" s="193">
        <v>12140.0</v>
      </c>
      <c r="B151" s="214">
        <f>VLOOKUP(A151,'Solicitações'!B:B,1,0)</f>
        <v>12140</v>
      </c>
      <c r="C151" s="214">
        <f t="shared" si="1"/>
        <v>0</v>
      </c>
      <c r="E151" s="216">
        <v>7740.0</v>
      </c>
      <c r="F151" s="218" t="str">
        <f t="shared" si="2"/>
        <v>#REF!</v>
      </c>
    </row>
    <row r="152" hidden="1">
      <c r="A152" s="193">
        <v>12160.0</v>
      </c>
      <c r="B152" s="214">
        <f>VLOOKUP(A152,'Solicitações'!B:B,1,0)</f>
        <v>12160</v>
      </c>
      <c r="C152" s="214">
        <f t="shared" si="1"/>
        <v>0</v>
      </c>
      <c r="E152" s="216">
        <v>7760.0</v>
      </c>
      <c r="F152" s="218" t="str">
        <f t="shared" si="2"/>
        <v>#REF!</v>
      </c>
    </row>
    <row r="153" hidden="1">
      <c r="A153" s="193">
        <v>12180.0</v>
      </c>
      <c r="B153" s="214">
        <f>VLOOKUP(A153,'Solicitações'!B:B,1,0)</f>
        <v>12180</v>
      </c>
      <c r="C153" s="214">
        <f t="shared" si="1"/>
        <v>0</v>
      </c>
      <c r="E153" s="216">
        <v>7780.0</v>
      </c>
      <c r="F153" s="218" t="str">
        <f t="shared" si="2"/>
        <v>#REF!</v>
      </c>
    </row>
    <row r="154" hidden="1">
      <c r="A154" s="193">
        <v>12200.0</v>
      </c>
      <c r="B154" s="214">
        <f>VLOOKUP(A154,'Solicitações'!B:B,1,0)</f>
        <v>12200</v>
      </c>
      <c r="C154" s="214">
        <f t="shared" si="1"/>
        <v>0</v>
      </c>
      <c r="E154" s="216">
        <v>7800.0</v>
      </c>
      <c r="F154" s="218" t="str">
        <f t="shared" si="2"/>
        <v>#REF!</v>
      </c>
    </row>
    <row r="155" hidden="1">
      <c r="A155" s="193">
        <v>12220.0</v>
      </c>
      <c r="B155" s="214">
        <f>VLOOKUP(A155,'Solicitações'!B:B,1,0)</f>
        <v>12220</v>
      </c>
      <c r="C155" s="214">
        <f t="shared" si="1"/>
        <v>0</v>
      </c>
      <c r="E155" s="216">
        <v>7820.0</v>
      </c>
      <c r="F155" s="218" t="str">
        <f t="shared" si="2"/>
        <v>#REF!</v>
      </c>
    </row>
    <row r="156" hidden="1">
      <c r="A156" s="193">
        <v>12240.0</v>
      </c>
      <c r="B156" s="214">
        <f>VLOOKUP(A156,'Solicitações'!B:B,1,0)</f>
        <v>12240</v>
      </c>
      <c r="C156" s="214">
        <f t="shared" si="1"/>
        <v>0</v>
      </c>
      <c r="E156" s="216">
        <v>7840.0</v>
      </c>
      <c r="F156" s="218" t="str">
        <f t="shared" si="2"/>
        <v>#REF!</v>
      </c>
    </row>
    <row r="157" hidden="1">
      <c r="A157" s="193">
        <v>12260.0</v>
      </c>
      <c r="B157" s="214">
        <f>VLOOKUP(A157,'Solicitações'!B:B,1,0)</f>
        <v>12260</v>
      </c>
      <c r="C157" s="214">
        <f t="shared" si="1"/>
        <v>0</v>
      </c>
      <c r="E157" s="216">
        <v>7860.0</v>
      </c>
      <c r="F157" s="218" t="str">
        <f t="shared" si="2"/>
        <v>#REF!</v>
      </c>
    </row>
    <row r="158" hidden="1">
      <c r="A158" s="193">
        <v>12280.0</v>
      </c>
      <c r="B158" s="214">
        <f>VLOOKUP(A158,'Solicitações'!B:B,1,0)</f>
        <v>12280</v>
      </c>
      <c r="C158" s="214">
        <f t="shared" si="1"/>
        <v>0</v>
      </c>
      <c r="E158" s="216">
        <v>7880.0</v>
      </c>
      <c r="F158" s="218" t="str">
        <f t="shared" si="2"/>
        <v>#REF!</v>
      </c>
    </row>
    <row r="159" hidden="1">
      <c r="A159" s="193">
        <v>12300.0</v>
      </c>
      <c r="B159" s="214">
        <f>VLOOKUP(A159,'Solicitações'!B:B,1,0)</f>
        <v>12300</v>
      </c>
      <c r="C159" s="214">
        <f t="shared" si="1"/>
        <v>0</v>
      </c>
      <c r="E159" s="216">
        <v>7900.0</v>
      </c>
      <c r="F159" s="218" t="str">
        <f t="shared" si="2"/>
        <v>#REF!</v>
      </c>
    </row>
    <row r="160" hidden="1">
      <c r="A160" s="193">
        <v>12320.0</v>
      </c>
      <c r="B160" s="214">
        <f>VLOOKUP(A160,'Solicitações'!B:B,1,0)</f>
        <v>12320</v>
      </c>
      <c r="C160" s="214">
        <f t="shared" si="1"/>
        <v>0</v>
      </c>
      <c r="E160" s="216">
        <v>7920.0</v>
      </c>
      <c r="F160" s="218" t="str">
        <f t="shared" si="2"/>
        <v>#REF!</v>
      </c>
    </row>
    <row r="161" hidden="1">
      <c r="A161" s="193">
        <v>12340.0</v>
      </c>
      <c r="B161" s="214">
        <f>VLOOKUP(A161,'Solicitações'!B:B,1,0)</f>
        <v>12340</v>
      </c>
      <c r="C161" s="214">
        <f t="shared" si="1"/>
        <v>0</v>
      </c>
      <c r="E161" s="270">
        <v>8160.0</v>
      </c>
      <c r="F161" s="218" t="str">
        <f t="shared" si="2"/>
        <v>#REF!</v>
      </c>
    </row>
    <row r="162" hidden="1">
      <c r="A162" s="193">
        <v>12360.0</v>
      </c>
      <c r="B162" s="214">
        <f>VLOOKUP(A162,'Solicitações'!B:B,1,0)</f>
        <v>12360</v>
      </c>
      <c r="C162" s="214">
        <f t="shared" si="1"/>
        <v>0</v>
      </c>
      <c r="E162" s="270">
        <v>8180.0</v>
      </c>
      <c r="F162" s="218" t="str">
        <f t="shared" si="2"/>
        <v>#REF!</v>
      </c>
    </row>
    <row r="163" hidden="1">
      <c r="A163" s="193">
        <v>12380.0</v>
      </c>
      <c r="B163" s="214">
        <f>VLOOKUP(A163,'Solicitações'!B:B,1,0)</f>
        <v>12380</v>
      </c>
      <c r="C163" s="214">
        <f t="shared" si="1"/>
        <v>0</v>
      </c>
      <c r="E163" s="270">
        <v>8181.0</v>
      </c>
      <c r="F163" s="218" t="str">
        <f t="shared" si="2"/>
        <v>#REF!</v>
      </c>
    </row>
    <row r="164" hidden="1">
      <c r="A164" s="193">
        <v>12400.0</v>
      </c>
      <c r="B164" s="214">
        <f>VLOOKUP(A164,'Solicitações'!B:B,1,0)</f>
        <v>12400</v>
      </c>
      <c r="C164" s="214">
        <f t="shared" si="1"/>
        <v>0</v>
      </c>
      <c r="E164" s="216">
        <v>8200.0</v>
      </c>
      <c r="F164" s="218" t="str">
        <f t="shared" si="2"/>
        <v>#REF!</v>
      </c>
    </row>
    <row r="165" hidden="1">
      <c r="A165" s="193">
        <v>12420.0</v>
      </c>
      <c r="B165" s="214">
        <f>VLOOKUP(A165,'Solicitações'!B:B,1,0)</f>
        <v>12420</v>
      </c>
      <c r="C165" s="214">
        <f t="shared" si="1"/>
        <v>0</v>
      </c>
      <c r="E165" s="270">
        <v>8201.0</v>
      </c>
      <c r="F165" s="218" t="str">
        <f t="shared" si="2"/>
        <v>#REF!</v>
      </c>
    </row>
    <row r="166" hidden="1">
      <c r="A166" s="193">
        <v>12440.0</v>
      </c>
      <c r="B166" s="214">
        <f>VLOOKUP(A166,'Solicitações'!B:B,1,0)</f>
        <v>12440</v>
      </c>
      <c r="C166" s="214">
        <f t="shared" si="1"/>
        <v>0</v>
      </c>
      <c r="E166" s="216">
        <v>8202.0</v>
      </c>
      <c r="F166" s="218" t="str">
        <f t="shared" si="2"/>
        <v>#REF!</v>
      </c>
    </row>
    <row r="167" hidden="1">
      <c r="A167" s="193">
        <v>12460.0</v>
      </c>
      <c r="B167" s="214">
        <f>VLOOKUP(A167,'Solicitações'!B:B,1,0)</f>
        <v>12460</v>
      </c>
      <c r="C167" s="214">
        <f t="shared" si="1"/>
        <v>0</v>
      </c>
      <c r="E167" s="271">
        <v>8220.0</v>
      </c>
      <c r="F167" s="218" t="str">
        <f t="shared" si="2"/>
        <v>#REF!</v>
      </c>
    </row>
    <row r="168" hidden="1">
      <c r="A168" s="193">
        <v>12480.0</v>
      </c>
      <c r="B168" s="214">
        <f>VLOOKUP(A168,'Solicitações'!B:B,1,0)</f>
        <v>12480</v>
      </c>
      <c r="C168" s="214">
        <f t="shared" si="1"/>
        <v>0</v>
      </c>
      <c r="E168" s="271">
        <v>8240.0</v>
      </c>
      <c r="F168" s="218" t="str">
        <f t="shared" si="2"/>
        <v>#REF!</v>
      </c>
    </row>
    <row r="169" hidden="1">
      <c r="A169" s="193">
        <v>12500.0</v>
      </c>
      <c r="B169" s="214">
        <f>VLOOKUP(A169,'Solicitações'!B:B,1,0)</f>
        <v>12500</v>
      </c>
      <c r="C169" s="214">
        <f t="shared" si="1"/>
        <v>0</v>
      </c>
      <c r="E169" s="271">
        <v>8280.0</v>
      </c>
      <c r="F169" s="218" t="str">
        <f t="shared" si="2"/>
        <v>#REF!</v>
      </c>
    </row>
    <row r="170" hidden="1">
      <c r="A170" s="193">
        <v>12520.0</v>
      </c>
      <c r="B170" s="214">
        <f>VLOOKUP(A170,'Solicitações'!B:B,1,0)</f>
        <v>12520</v>
      </c>
      <c r="C170" s="214">
        <f t="shared" si="1"/>
        <v>0</v>
      </c>
      <c r="E170" s="271">
        <v>8320.0</v>
      </c>
      <c r="F170" s="218" t="str">
        <f t="shared" si="2"/>
        <v>#REF!</v>
      </c>
    </row>
    <row r="171" hidden="1">
      <c r="A171" s="193">
        <v>12540.0</v>
      </c>
      <c r="B171" s="214">
        <f>VLOOKUP(A171,'Solicitações'!B:B,1,0)</f>
        <v>12540</v>
      </c>
      <c r="C171" s="214">
        <f t="shared" si="1"/>
        <v>0</v>
      </c>
      <c r="E171" s="270">
        <v>8540.0</v>
      </c>
      <c r="F171" s="218" t="str">
        <f t="shared" si="2"/>
        <v>#REF!</v>
      </c>
    </row>
    <row r="172" hidden="1">
      <c r="A172" s="193">
        <v>12560.0</v>
      </c>
      <c r="B172" s="214">
        <f>VLOOKUP(A172,'Solicitações'!B:B,1,0)</f>
        <v>12560</v>
      </c>
      <c r="C172" s="214">
        <f t="shared" si="1"/>
        <v>0</v>
      </c>
      <c r="E172" s="270">
        <v>8560.0</v>
      </c>
      <c r="F172" s="218" t="str">
        <f t="shared" si="2"/>
        <v>#REF!</v>
      </c>
    </row>
    <row r="173" hidden="1">
      <c r="A173" s="193">
        <v>12561.0</v>
      </c>
      <c r="B173" s="214">
        <f>VLOOKUP(A173,'Solicitações'!B:B,1,0)</f>
        <v>12561</v>
      </c>
      <c r="C173" s="214">
        <f t="shared" si="1"/>
        <v>0</v>
      </c>
      <c r="E173" s="270">
        <v>8580.0</v>
      </c>
      <c r="F173" s="218" t="str">
        <f t="shared" si="2"/>
        <v>#REF!</v>
      </c>
    </row>
    <row r="174" hidden="1">
      <c r="A174" s="193">
        <v>12562.0</v>
      </c>
      <c r="B174" s="214">
        <f>VLOOKUP(A174,'Solicitações'!B:B,1,0)</f>
        <v>12562</v>
      </c>
      <c r="C174" s="214">
        <f t="shared" si="1"/>
        <v>0</v>
      </c>
      <c r="E174" s="270">
        <v>8600.0</v>
      </c>
      <c r="F174" s="218" t="str">
        <f t="shared" si="2"/>
        <v>#REF!</v>
      </c>
    </row>
    <row r="175" hidden="1">
      <c r="A175" s="193">
        <v>12580.0</v>
      </c>
      <c r="B175" s="214">
        <f>VLOOKUP(A175,'Solicitações'!B:B,1,0)</f>
        <v>12580</v>
      </c>
      <c r="C175" s="214">
        <f t="shared" si="1"/>
        <v>0</v>
      </c>
      <c r="E175" s="270">
        <v>8620.0</v>
      </c>
      <c r="F175" s="218" t="str">
        <f t="shared" si="2"/>
        <v>#REF!</v>
      </c>
    </row>
    <row r="176" hidden="1">
      <c r="A176" s="193">
        <v>12600.0</v>
      </c>
      <c r="B176" s="214">
        <f>VLOOKUP(A176,'Solicitações'!B:B,1,0)</f>
        <v>12600</v>
      </c>
      <c r="C176" s="214">
        <f t="shared" si="1"/>
        <v>0</v>
      </c>
      <c r="E176" s="216">
        <v>8640.0</v>
      </c>
      <c r="F176" s="218" t="str">
        <f t="shared" si="2"/>
        <v>#REF!</v>
      </c>
    </row>
    <row r="177" hidden="1">
      <c r="A177" s="193">
        <v>12620.0</v>
      </c>
      <c r="B177" s="214">
        <f>VLOOKUP(A177,'Solicitações'!B:B,1,0)</f>
        <v>12620</v>
      </c>
      <c r="C177" s="214">
        <f t="shared" si="1"/>
        <v>0</v>
      </c>
      <c r="E177" s="216">
        <v>8680.0</v>
      </c>
      <c r="F177" s="218" t="str">
        <f t="shared" si="2"/>
        <v>#REF!</v>
      </c>
    </row>
    <row r="178" hidden="1">
      <c r="A178" s="193">
        <v>12640.0</v>
      </c>
      <c r="B178" s="214">
        <f>VLOOKUP(A178,'Solicitações'!B:B,1,0)</f>
        <v>12640</v>
      </c>
      <c r="C178" s="214">
        <f t="shared" si="1"/>
        <v>0</v>
      </c>
      <c r="E178" s="274"/>
      <c r="F178" s="275"/>
    </row>
    <row r="179" hidden="1">
      <c r="A179" s="193">
        <v>12660.0</v>
      </c>
      <c r="B179" s="214">
        <f>VLOOKUP(A179,'Solicitações'!B:B,1,0)</f>
        <v>12660</v>
      </c>
      <c r="C179" s="214">
        <f t="shared" si="1"/>
        <v>0</v>
      </c>
      <c r="E179" s="274"/>
      <c r="F179" s="275"/>
    </row>
    <row r="180" hidden="1">
      <c r="A180" s="193">
        <v>12680.0</v>
      </c>
      <c r="B180" s="214">
        <f>VLOOKUP(A180,'Solicitações'!B:B,1,0)</f>
        <v>12680</v>
      </c>
      <c r="C180" s="214">
        <f t="shared" si="1"/>
        <v>0</v>
      </c>
      <c r="E180" s="274"/>
      <c r="F180" s="275"/>
    </row>
    <row r="181" hidden="1">
      <c r="A181" s="193">
        <v>12700.0</v>
      </c>
      <c r="B181" s="214">
        <f>VLOOKUP(A181,'Solicitações'!B:B,1,0)</f>
        <v>12700</v>
      </c>
      <c r="C181" s="214">
        <f t="shared" si="1"/>
        <v>0</v>
      </c>
      <c r="E181" s="274"/>
      <c r="F181" s="275"/>
    </row>
    <row r="182" hidden="1">
      <c r="A182" s="193">
        <v>12720.0</v>
      </c>
      <c r="B182" s="214">
        <f>VLOOKUP(A182,'Solicitações'!B:B,1,0)</f>
        <v>12720</v>
      </c>
      <c r="C182" s="214">
        <f t="shared" si="1"/>
        <v>0</v>
      </c>
      <c r="E182" s="274"/>
      <c r="F182" s="275"/>
    </row>
    <row r="183" hidden="1">
      <c r="A183" s="193">
        <v>12740.0</v>
      </c>
      <c r="B183" s="214">
        <f>VLOOKUP(A183,'Solicitações'!B:B,1,0)</f>
        <v>12740</v>
      </c>
      <c r="C183" s="214">
        <f t="shared" si="1"/>
        <v>0</v>
      </c>
      <c r="E183" s="274"/>
      <c r="F183" s="275"/>
    </row>
    <row r="184" hidden="1">
      <c r="A184" s="193">
        <v>12760.0</v>
      </c>
      <c r="B184" s="214">
        <f>VLOOKUP(A184,'Solicitações'!B:B,1,0)</f>
        <v>12760</v>
      </c>
      <c r="C184" s="214">
        <f t="shared" si="1"/>
        <v>0</v>
      </c>
      <c r="E184" s="274"/>
      <c r="F184" s="275"/>
    </row>
    <row r="185" hidden="1">
      <c r="A185" s="193">
        <v>12780.0</v>
      </c>
      <c r="B185" s="214">
        <f>VLOOKUP(A185,'Solicitações'!B:B,1,0)</f>
        <v>12780</v>
      </c>
      <c r="C185" s="214">
        <f t="shared" si="1"/>
        <v>0</v>
      </c>
      <c r="E185" s="274"/>
      <c r="F185" s="275"/>
    </row>
    <row r="186" hidden="1">
      <c r="A186" s="193">
        <v>12800.0</v>
      </c>
      <c r="B186" s="214">
        <f>VLOOKUP(A186,'Solicitações'!B:B,1,0)</f>
        <v>12800</v>
      </c>
      <c r="C186" s="214">
        <f t="shared" si="1"/>
        <v>0</v>
      </c>
      <c r="E186" s="274"/>
      <c r="F186" s="275"/>
    </row>
    <row r="187" hidden="1">
      <c r="A187" s="193">
        <v>12820.0</v>
      </c>
      <c r="B187" s="214">
        <f>VLOOKUP(A187,'Solicitações'!B:B,1,0)</f>
        <v>12820</v>
      </c>
      <c r="C187" s="214">
        <f t="shared" si="1"/>
        <v>0</v>
      </c>
      <c r="E187" s="274"/>
      <c r="F187" s="275"/>
    </row>
    <row r="188" hidden="1">
      <c r="A188" s="193">
        <v>12840.0</v>
      </c>
      <c r="B188" s="214">
        <f>VLOOKUP(A188,'Solicitações'!B:B,1,0)</f>
        <v>12840</v>
      </c>
      <c r="C188" s="214">
        <f t="shared" si="1"/>
        <v>0</v>
      </c>
      <c r="E188" s="274"/>
      <c r="F188" s="275"/>
    </row>
    <row r="189" hidden="1">
      <c r="A189" s="193">
        <v>12860.0</v>
      </c>
      <c r="B189" s="214">
        <f>VLOOKUP(A189,'Solicitações'!B:B,1,0)</f>
        <v>12860</v>
      </c>
      <c r="C189" s="214">
        <f t="shared" si="1"/>
        <v>0</v>
      </c>
      <c r="E189" s="274"/>
      <c r="F189" s="275"/>
    </row>
    <row r="190" hidden="1">
      <c r="A190" s="193">
        <v>12880.0</v>
      </c>
      <c r="B190" s="214">
        <f>VLOOKUP(A190,'Solicitações'!B:B,1,0)</f>
        <v>12880</v>
      </c>
      <c r="C190" s="214">
        <f t="shared" si="1"/>
        <v>0</v>
      </c>
      <c r="E190" s="274"/>
      <c r="F190" s="275"/>
    </row>
    <row r="191" hidden="1">
      <c r="A191" s="193">
        <v>12900.0</v>
      </c>
      <c r="B191" s="214">
        <f>VLOOKUP(A191,'Solicitações'!B:B,1,0)</f>
        <v>12900</v>
      </c>
      <c r="C191" s="214">
        <f t="shared" si="1"/>
        <v>0</v>
      </c>
      <c r="E191" s="274"/>
      <c r="F191" s="275"/>
    </row>
    <row r="192" hidden="1">
      <c r="A192" s="193">
        <v>12920.0</v>
      </c>
      <c r="B192" s="214">
        <f>VLOOKUP(A192,'Solicitações'!B:B,1,0)</f>
        <v>12920</v>
      </c>
      <c r="C192" s="214">
        <f t="shared" si="1"/>
        <v>0</v>
      </c>
      <c r="E192" s="274"/>
      <c r="F192" s="275"/>
    </row>
    <row r="193" hidden="1">
      <c r="A193" s="193">
        <v>12921.0</v>
      </c>
      <c r="B193" s="214">
        <f>VLOOKUP(A193,'Solicitações'!B:B,1,0)</f>
        <v>12921</v>
      </c>
      <c r="C193" s="214">
        <f t="shared" si="1"/>
        <v>0</v>
      </c>
      <c r="E193" s="274"/>
      <c r="F193" s="275"/>
    </row>
    <row r="194" hidden="1">
      <c r="A194" s="193">
        <v>12940.0</v>
      </c>
      <c r="B194" s="214">
        <f>VLOOKUP(A194,'Solicitações'!B:B,1,0)</f>
        <v>12940</v>
      </c>
      <c r="C194" s="214">
        <f t="shared" si="1"/>
        <v>0</v>
      </c>
      <c r="E194" s="274"/>
      <c r="F194" s="275"/>
    </row>
    <row r="195" hidden="1">
      <c r="A195" s="193">
        <v>12960.0</v>
      </c>
      <c r="B195" s="214">
        <f>VLOOKUP(A195,'Solicitações'!B:B,1,0)</f>
        <v>12960</v>
      </c>
      <c r="C195" s="214">
        <f t="shared" si="1"/>
        <v>0</v>
      </c>
      <c r="E195" s="274"/>
      <c r="F195" s="275"/>
    </row>
    <row r="196" hidden="1">
      <c r="A196" s="193">
        <v>12961.0</v>
      </c>
      <c r="B196" s="214">
        <f>VLOOKUP(A196,'Solicitações'!B:B,1,0)</f>
        <v>12961</v>
      </c>
      <c r="C196" s="214">
        <f t="shared" si="1"/>
        <v>0</v>
      </c>
      <c r="E196" s="274"/>
      <c r="F196" s="275"/>
    </row>
    <row r="197" hidden="1">
      <c r="A197" s="193">
        <v>12980.0</v>
      </c>
      <c r="B197" s="214">
        <f>VLOOKUP(A197,'Solicitações'!B:B,1,0)</f>
        <v>12980</v>
      </c>
      <c r="C197" s="214">
        <f t="shared" si="1"/>
        <v>0</v>
      </c>
      <c r="E197" s="274"/>
      <c r="F197" s="275"/>
    </row>
    <row r="198" hidden="1">
      <c r="A198" s="193">
        <v>13000.0</v>
      </c>
      <c r="B198" s="214">
        <f>VLOOKUP(A198,'Solicitações'!B:B,1,0)</f>
        <v>13000</v>
      </c>
      <c r="C198" s="214">
        <f t="shared" si="1"/>
        <v>0</v>
      </c>
      <c r="E198" s="274"/>
      <c r="F198" s="275"/>
    </row>
    <row r="199" hidden="1">
      <c r="A199" s="193">
        <v>13020.0</v>
      </c>
      <c r="B199" s="214">
        <f>VLOOKUP(A199,'Solicitações'!B:B,1,0)</f>
        <v>13020</v>
      </c>
      <c r="C199" s="214">
        <f t="shared" si="1"/>
        <v>0</v>
      </c>
      <c r="E199" s="274"/>
      <c r="F199" s="275"/>
    </row>
    <row r="200" hidden="1">
      <c r="A200" s="193">
        <v>13040.0</v>
      </c>
      <c r="B200" s="214">
        <f>VLOOKUP(A200,'Solicitações'!B:B,1,0)</f>
        <v>13040</v>
      </c>
      <c r="C200" s="214">
        <f t="shared" si="1"/>
        <v>0</v>
      </c>
      <c r="E200" s="274"/>
      <c r="F200" s="275"/>
    </row>
    <row r="201" hidden="1">
      <c r="A201" s="193">
        <v>13060.0</v>
      </c>
      <c r="B201" s="214">
        <f>VLOOKUP(A201,'Solicitações'!B:B,1,0)</f>
        <v>13060</v>
      </c>
      <c r="C201" s="214">
        <f t="shared" si="1"/>
        <v>0</v>
      </c>
      <c r="E201" s="274"/>
      <c r="F201" s="275"/>
    </row>
    <row r="202" hidden="1">
      <c r="A202" s="193">
        <v>13080.0</v>
      </c>
      <c r="B202" s="214">
        <f>VLOOKUP(A202,'Solicitações'!B:B,1,0)</f>
        <v>13080</v>
      </c>
      <c r="C202" s="214">
        <f t="shared" si="1"/>
        <v>0</v>
      </c>
      <c r="E202" s="274"/>
      <c r="F202" s="275"/>
    </row>
    <row r="203" hidden="1">
      <c r="A203" s="193">
        <v>13100.0</v>
      </c>
      <c r="B203" s="214">
        <f>VLOOKUP(A203,'Solicitações'!B:B,1,0)</f>
        <v>13100</v>
      </c>
      <c r="C203" s="214">
        <f t="shared" si="1"/>
        <v>0</v>
      </c>
      <c r="E203" s="274"/>
      <c r="F203" s="275"/>
    </row>
    <row r="204" hidden="1">
      <c r="A204" s="193">
        <v>13101.0</v>
      </c>
      <c r="B204" s="214">
        <f>VLOOKUP(A204,'Solicitações'!B:B,1,0)</f>
        <v>13101</v>
      </c>
      <c r="C204" s="214">
        <f t="shared" si="1"/>
        <v>0</v>
      </c>
      <c r="E204" s="274"/>
      <c r="F204" s="275"/>
    </row>
    <row r="205" hidden="1">
      <c r="A205" s="193">
        <v>13120.0</v>
      </c>
      <c r="B205" s="214">
        <f>VLOOKUP(A205,'Solicitações'!B:B,1,0)</f>
        <v>13120</v>
      </c>
      <c r="C205" s="214">
        <f t="shared" si="1"/>
        <v>0</v>
      </c>
      <c r="E205" s="274"/>
      <c r="F205" s="275"/>
    </row>
    <row r="206" hidden="1">
      <c r="A206" s="193">
        <v>13121.0</v>
      </c>
      <c r="B206" s="214">
        <f>VLOOKUP(A206,'Solicitações'!B:B,1,0)</f>
        <v>13121</v>
      </c>
      <c r="C206" s="214">
        <f t="shared" si="1"/>
        <v>0</v>
      </c>
      <c r="E206" s="274"/>
      <c r="F206" s="275"/>
    </row>
    <row r="207" hidden="1">
      <c r="A207" s="193">
        <v>13122.0</v>
      </c>
      <c r="B207" s="214">
        <f>VLOOKUP(A207,'Solicitações'!B:B,1,0)</f>
        <v>13122</v>
      </c>
      <c r="C207" s="214">
        <f t="shared" si="1"/>
        <v>0</v>
      </c>
      <c r="E207" s="274"/>
      <c r="F207" s="275"/>
    </row>
    <row r="208" hidden="1">
      <c r="A208" s="193">
        <v>13140.0</v>
      </c>
      <c r="B208" s="214">
        <f>VLOOKUP(A208,'Solicitações'!B:B,1,0)</f>
        <v>13140</v>
      </c>
      <c r="C208" s="214">
        <f t="shared" si="1"/>
        <v>0</v>
      </c>
      <c r="E208" s="274"/>
      <c r="F208" s="275"/>
    </row>
    <row r="209" hidden="1">
      <c r="A209" s="193">
        <v>13160.0</v>
      </c>
      <c r="B209" s="214">
        <f>VLOOKUP(A209,'Solicitações'!B:B,1,0)</f>
        <v>13160</v>
      </c>
      <c r="C209" s="214">
        <f t="shared" si="1"/>
        <v>0</v>
      </c>
      <c r="E209" s="274"/>
      <c r="F209" s="275"/>
    </row>
    <row r="210" hidden="1">
      <c r="A210" s="193">
        <v>13180.0</v>
      </c>
      <c r="B210" s="214">
        <f>VLOOKUP(A210,'Solicitações'!B:B,1,0)</f>
        <v>13180</v>
      </c>
      <c r="C210" s="214">
        <f t="shared" si="1"/>
        <v>0</v>
      </c>
      <c r="E210" s="274"/>
      <c r="F210" s="275"/>
    </row>
    <row r="211" hidden="1">
      <c r="A211" s="193">
        <v>13181.0</v>
      </c>
      <c r="B211" s="214">
        <f>VLOOKUP(A211,'Solicitações'!B:B,1,0)</f>
        <v>13181</v>
      </c>
      <c r="C211" s="214">
        <f t="shared" si="1"/>
        <v>0</v>
      </c>
      <c r="E211" s="274"/>
      <c r="F211" s="275"/>
    </row>
    <row r="212" hidden="1">
      <c r="A212" s="193">
        <v>13200.0</v>
      </c>
      <c r="B212" s="214">
        <f>VLOOKUP(A212,'Solicitações'!B:B,1,0)</f>
        <v>13200</v>
      </c>
      <c r="C212" s="214">
        <f t="shared" si="1"/>
        <v>0</v>
      </c>
      <c r="E212" s="274"/>
      <c r="F212" s="275"/>
    </row>
    <row r="213" hidden="1">
      <c r="A213" s="193">
        <v>13220.0</v>
      </c>
      <c r="B213" s="214">
        <f>VLOOKUP(A213,'Solicitações'!B:B,1,0)</f>
        <v>13220</v>
      </c>
      <c r="C213" s="214">
        <f t="shared" si="1"/>
        <v>0</v>
      </c>
      <c r="E213" s="274"/>
      <c r="F213" s="275"/>
    </row>
    <row r="214" hidden="1">
      <c r="A214" s="193">
        <v>13240.0</v>
      </c>
      <c r="B214" s="214">
        <f>VLOOKUP(A214,'Solicitações'!B:B,1,0)</f>
        <v>13240</v>
      </c>
      <c r="C214" s="214">
        <f t="shared" si="1"/>
        <v>0</v>
      </c>
      <c r="E214" s="274"/>
      <c r="F214" s="275"/>
    </row>
    <row r="215" hidden="1">
      <c r="A215" s="193">
        <v>13260.0</v>
      </c>
      <c r="B215" s="214">
        <f>VLOOKUP(A215,'Solicitações'!B:B,1,0)</f>
        <v>13260</v>
      </c>
      <c r="C215" s="214">
        <f t="shared" si="1"/>
        <v>0</v>
      </c>
      <c r="E215" s="274"/>
      <c r="F215" s="275"/>
    </row>
    <row r="216" hidden="1">
      <c r="A216" s="193">
        <v>13280.0</v>
      </c>
      <c r="B216" s="214">
        <f>VLOOKUP(A216,'Solicitações'!B:B,1,0)</f>
        <v>13280</v>
      </c>
      <c r="C216" s="214">
        <f t="shared" si="1"/>
        <v>0</v>
      </c>
      <c r="E216" s="274"/>
      <c r="F216" s="275"/>
    </row>
    <row r="217" hidden="1">
      <c r="A217" s="193">
        <v>13300.0</v>
      </c>
      <c r="B217" s="214">
        <f>VLOOKUP(A217,'Solicitações'!B:B,1,0)</f>
        <v>13300</v>
      </c>
      <c r="C217" s="214">
        <f t="shared" si="1"/>
        <v>0</v>
      </c>
      <c r="E217" s="274"/>
      <c r="F217" s="275"/>
    </row>
    <row r="218" hidden="1">
      <c r="A218" s="193">
        <v>13320.0</v>
      </c>
      <c r="B218" s="214">
        <f>VLOOKUP(A218,'Solicitações'!B:B,1,0)</f>
        <v>13320</v>
      </c>
      <c r="C218" s="214">
        <f t="shared" si="1"/>
        <v>0</v>
      </c>
      <c r="E218" s="274"/>
      <c r="F218" s="275"/>
    </row>
    <row r="219" hidden="1">
      <c r="A219" s="193">
        <v>13340.0</v>
      </c>
      <c r="B219" s="214">
        <f>VLOOKUP(A219,'Solicitações'!B:B,1,0)</f>
        <v>13340</v>
      </c>
      <c r="C219" s="214">
        <f t="shared" si="1"/>
        <v>0</v>
      </c>
      <c r="E219" s="274"/>
      <c r="F219" s="275"/>
    </row>
    <row r="220" hidden="1">
      <c r="A220" s="193">
        <v>13360.0</v>
      </c>
      <c r="B220" s="214">
        <f>VLOOKUP(A220,'Solicitações'!B:B,1,0)</f>
        <v>13360</v>
      </c>
      <c r="C220" s="214">
        <f t="shared" si="1"/>
        <v>0</v>
      </c>
      <c r="E220" s="274"/>
      <c r="F220" s="275"/>
    </row>
    <row r="221" hidden="1">
      <c r="A221" s="193">
        <v>13380.0</v>
      </c>
      <c r="B221" s="214">
        <f>VLOOKUP(A221,'Solicitações'!B:B,1,0)</f>
        <v>13380</v>
      </c>
      <c r="C221" s="214">
        <f t="shared" si="1"/>
        <v>0</v>
      </c>
      <c r="E221" s="274"/>
      <c r="F221" s="275"/>
    </row>
    <row r="222" hidden="1">
      <c r="A222" s="193">
        <v>13400.0</v>
      </c>
      <c r="B222" s="214">
        <f>VLOOKUP(A222,'Solicitações'!B:B,1,0)</f>
        <v>13400</v>
      </c>
      <c r="C222" s="214">
        <f t="shared" si="1"/>
        <v>0</v>
      </c>
      <c r="E222" s="274"/>
      <c r="F222" s="275"/>
    </row>
    <row r="223" hidden="1">
      <c r="A223" s="193">
        <v>13420.0</v>
      </c>
      <c r="B223" s="214">
        <f>VLOOKUP(A223,'Solicitações'!B:B,1,0)</f>
        <v>13420</v>
      </c>
      <c r="C223" s="214">
        <f t="shared" si="1"/>
        <v>0</v>
      </c>
      <c r="E223" s="274"/>
      <c r="F223" s="275"/>
    </row>
    <row r="224" hidden="1">
      <c r="A224" s="193">
        <v>13440.0</v>
      </c>
      <c r="B224" s="214">
        <f>VLOOKUP(A224,'Solicitações'!B:B,1,0)</f>
        <v>13440</v>
      </c>
      <c r="C224" s="214">
        <f t="shared" si="1"/>
        <v>0</v>
      </c>
      <c r="E224" s="274"/>
      <c r="F224" s="275"/>
    </row>
    <row r="225" hidden="1">
      <c r="A225" s="193">
        <v>13460.0</v>
      </c>
      <c r="B225" s="214">
        <f>VLOOKUP(A225,'Solicitações'!B:B,1,0)</f>
        <v>13460</v>
      </c>
      <c r="C225" s="214">
        <f t="shared" si="1"/>
        <v>0</v>
      </c>
      <c r="E225" s="274"/>
      <c r="F225" s="275"/>
    </row>
    <row r="226" hidden="1">
      <c r="A226" s="193">
        <v>13480.0</v>
      </c>
      <c r="B226" s="214">
        <f>VLOOKUP(A226,'Solicitações'!B:B,1,0)</f>
        <v>13480</v>
      </c>
      <c r="C226" s="214">
        <f t="shared" si="1"/>
        <v>0</v>
      </c>
      <c r="E226" s="274"/>
      <c r="F226" s="275"/>
    </row>
    <row r="227" hidden="1">
      <c r="A227" s="193">
        <v>13500.0</v>
      </c>
      <c r="B227" s="214">
        <f>VLOOKUP(A227,'Solicitações'!B:B,1,0)</f>
        <v>13500</v>
      </c>
      <c r="C227" s="214">
        <f t="shared" si="1"/>
        <v>0</v>
      </c>
      <c r="E227" s="274"/>
      <c r="F227" s="275"/>
    </row>
    <row r="228" hidden="1">
      <c r="A228" s="193">
        <v>13520.0</v>
      </c>
      <c r="B228" s="214">
        <f>VLOOKUP(A228,'Solicitações'!B:B,1,0)</f>
        <v>13520</v>
      </c>
      <c r="C228" s="214">
        <f t="shared" si="1"/>
        <v>0</v>
      </c>
      <c r="E228" s="274"/>
      <c r="F228" s="275"/>
    </row>
    <row r="229" hidden="1">
      <c r="A229" s="193">
        <v>13540.0</v>
      </c>
      <c r="B229" s="214">
        <f>VLOOKUP(A229,'Solicitações'!B:B,1,0)</f>
        <v>13540</v>
      </c>
      <c r="C229" s="214">
        <f t="shared" si="1"/>
        <v>0</v>
      </c>
      <c r="E229" s="274"/>
      <c r="F229" s="275"/>
    </row>
    <row r="230" hidden="1">
      <c r="A230" s="193">
        <v>13560.0</v>
      </c>
      <c r="B230" s="214">
        <f>VLOOKUP(A230,'Solicitações'!B:B,1,0)</f>
        <v>13560</v>
      </c>
      <c r="C230" s="214">
        <f t="shared" si="1"/>
        <v>0</v>
      </c>
      <c r="E230" s="274"/>
      <c r="F230" s="275"/>
    </row>
    <row r="231" hidden="1">
      <c r="A231" s="193">
        <v>13561.0</v>
      </c>
      <c r="B231" s="214">
        <f>VLOOKUP(A231,'Solicitações'!B:B,1,0)</f>
        <v>13561</v>
      </c>
      <c r="C231" s="214">
        <f t="shared" si="1"/>
        <v>0</v>
      </c>
      <c r="E231" s="274"/>
      <c r="F231" s="275"/>
    </row>
    <row r="232" hidden="1">
      <c r="A232" s="193">
        <v>13580.0</v>
      </c>
      <c r="B232" s="214">
        <f>VLOOKUP(A232,'Solicitações'!B:B,1,0)</f>
        <v>13580</v>
      </c>
      <c r="C232" s="214">
        <f t="shared" si="1"/>
        <v>0</v>
      </c>
      <c r="E232" s="274"/>
      <c r="F232" s="275"/>
    </row>
    <row r="233" hidden="1">
      <c r="A233" s="193">
        <v>13600.0</v>
      </c>
      <c r="B233" s="214">
        <f>VLOOKUP(A233,'Solicitações'!B:B,1,0)</f>
        <v>13600</v>
      </c>
      <c r="C233" s="214">
        <f t="shared" si="1"/>
        <v>0</v>
      </c>
      <c r="E233" s="274"/>
      <c r="F233" s="275"/>
    </row>
    <row r="234" hidden="1">
      <c r="A234" s="193">
        <v>13620.0</v>
      </c>
      <c r="B234" s="214">
        <f>VLOOKUP(A234,'Solicitações'!B:B,1,0)</f>
        <v>13620</v>
      </c>
      <c r="C234" s="214">
        <f t="shared" si="1"/>
        <v>0</v>
      </c>
      <c r="E234" s="274"/>
      <c r="F234" s="275"/>
    </row>
    <row r="235" hidden="1">
      <c r="A235" s="193">
        <v>13640.0</v>
      </c>
      <c r="B235" s="214">
        <f>VLOOKUP(A235,'Solicitações'!B:B,1,0)</f>
        <v>13640</v>
      </c>
      <c r="C235" s="214">
        <f t="shared" si="1"/>
        <v>0</v>
      </c>
      <c r="E235" s="274"/>
      <c r="F235" s="275"/>
    </row>
    <row r="236" hidden="1">
      <c r="A236" s="193">
        <v>13660.0</v>
      </c>
      <c r="B236" s="214">
        <f>VLOOKUP(A236,'Solicitações'!B:B,1,0)</f>
        <v>13660</v>
      </c>
      <c r="C236" s="214">
        <f t="shared" si="1"/>
        <v>0</v>
      </c>
      <c r="E236" s="274"/>
      <c r="F236" s="275"/>
    </row>
    <row r="237" hidden="1">
      <c r="A237" s="193">
        <v>13680.0</v>
      </c>
      <c r="B237" s="214">
        <f>VLOOKUP(A237,'Solicitações'!B:B,1,0)</f>
        <v>13680</v>
      </c>
      <c r="C237" s="214">
        <f t="shared" si="1"/>
        <v>0</v>
      </c>
      <c r="E237" s="274"/>
      <c r="F237" s="275"/>
    </row>
    <row r="238" hidden="1">
      <c r="A238" s="193">
        <v>13700.0</v>
      </c>
      <c r="B238" s="214">
        <f>VLOOKUP(A238,'Solicitações'!B:B,1,0)</f>
        <v>13700</v>
      </c>
      <c r="C238" s="214">
        <f t="shared" si="1"/>
        <v>0</v>
      </c>
      <c r="E238" s="274"/>
      <c r="F238" s="275"/>
    </row>
    <row r="239" hidden="1">
      <c r="A239" s="193">
        <v>13720.0</v>
      </c>
      <c r="B239" s="214">
        <f>VLOOKUP(A239,'Solicitações'!B:B,1,0)</f>
        <v>13720</v>
      </c>
      <c r="C239" s="214">
        <f t="shared" si="1"/>
        <v>0</v>
      </c>
      <c r="E239" s="274"/>
      <c r="F239" s="275"/>
    </row>
    <row r="240" hidden="1">
      <c r="A240" s="193">
        <v>13740.0</v>
      </c>
      <c r="B240" s="214">
        <f>VLOOKUP(A240,'Solicitações'!B:B,1,0)</f>
        <v>13740</v>
      </c>
      <c r="C240" s="214">
        <f t="shared" si="1"/>
        <v>0</v>
      </c>
      <c r="E240" s="274"/>
      <c r="F240" s="275"/>
    </row>
    <row r="241" hidden="1">
      <c r="A241" s="193">
        <v>13760.0</v>
      </c>
      <c r="B241" s="214">
        <f>VLOOKUP(A241,'Solicitações'!B:B,1,0)</f>
        <v>13760</v>
      </c>
      <c r="C241" s="214">
        <f t="shared" si="1"/>
        <v>0</v>
      </c>
      <c r="E241" s="274"/>
      <c r="F241" s="275"/>
    </row>
    <row r="242" hidden="1">
      <c r="A242" s="193">
        <v>13780.0</v>
      </c>
      <c r="B242" s="214">
        <f>VLOOKUP(A242,'Solicitações'!B:B,1,0)</f>
        <v>13780</v>
      </c>
      <c r="C242" s="214">
        <f t="shared" si="1"/>
        <v>0</v>
      </c>
      <c r="E242" s="274"/>
      <c r="F242" s="275"/>
    </row>
    <row r="243" hidden="1">
      <c r="A243" s="193">
        <v>13800.0</v>
      </c>
      <c r="B243" s="214">
        <f>VLOOKUP(A243,'Solicitações'!B:B,1,0)</f>
        <v>13800</v>
      </c>
      <c r="C243" s="214">
        <f t="shared" si="1"/>
        <v>0</v>
      </c>
      <c r="E243" s="274"/>
      <c r="F243" s="275"/>
    </row>
    <row r="244" hidden="1">
      <c r="A244" s="193">
        <v>13820.0</v>
      </c>
      <c r="B244" s="214">
        <f>VLOOKUP(A244,'Solicitações'!B:B,1,0)</f>
        <v>13820</v>
      </c>
      <c r="C244" s="214">
        <f t="shared" si="1"/>
        <v>0</v>
      </c>
      <c r="E244" s="274"/>
      <c r="F244" s="275"/>
    </row>
    <row r="245" hidden="1">
      <c r="A245" s="193">
        <v>13840.0</v>
      </c>
      <c r="B245" s="214">
        <f>VLOOKUP(A245,'Solicitações'!B:B,1,0)</f>
        <v>13840</v>
      </c>
      <c r="C245" s="214">
        <f t="shared" si="1"/>
        <v>0</v>
      </c>
      <c r="E245" s="274"/>
      <c r="F245" s="275"/>
    </row>
    <row r="246" hidden="1">
      <c r="A246" s="193">
        <v>13841.0</v>
      </c>
      <c r="B246" s="214">
        <f>VLOOKUP(A246,'Solicitações'!B:B,1,0)</f>
        <v>13841</v>
      </c>
      <c r="C246" s="214">
        <f t="shared" si="1"/>
        <v>0</v>
      </c>
      <c r="E246" s="274"/>
      <c r="F246" s="275"/>
    </row>
    <row r="247" hidden="1">
      <c r="A247" s="193">
        <v>13842.0</v>
      </c>
      <c r="B247" s="214">
        <f>VLOOKUP(A247,'Solicitações'!B:B,1,0)</f>
        <v>13842</v>
      </c>
      <c r="C247" s="214">
        <f t="shared" si="1"/>
        <v>0</v>
      </c>
      <c r="E247" s="274"/>
      <c r="F247" s="275"/>
    </row>
    <row r="248" hidden="1">
      <c r="A248" s="193">
        <v>13860.0</v>
      </c>
      <c r="B248" s="214">
        <f>VLOOKUP(A248,'Solicitações'!B:B,1,0)</f>
        <v>13860</v>
      </c>
      <c r="C248" s="214">
        <f t="shared" si="1"/>
        <v>0</v>
      </c>
      <c r="E248" s="274"/>
      <c r="F248" s="275"/>
    </row>
    <row r="249" hidden="1">
      <c r="A249" s="193">
        <v>13880.0</v>
      </c>
      <c r="B249" s="214">
        <f>VLOOKUP(A249,'Solicitações'!B:B,1,0)</f>
        <v>13880</v>
      </c>
      <c r="C249" s="214">
        <f t="shared" si="1"/>
        <v>0</v>
      </c>
      <c r="E249" s="274"/>
      <c r="F249" s="275"/>
    </row>
    <row r="250" hidden="1">
      <c r="A250" s="193">
        <v>13900.0</v>
      </c>
      <c r="B250" s="214">
        <f>VLOOKUP(A250,'Solicitações'!B:B,1,0)</f>
        <v>13900</v>
      </c>
      <c r="C250" s="214">
        <f t="shared" si="1"/>
        <v>0</v>
      </c>
      <c r="E250" s="274"/>
      <c r="F250" s="275"/>
    </row>
    <row r="251" hidden="1">
      <c r="A251" s="193">
        <v>13920.0</v>
      </c>
      <c r="B251" s="214">
        <f>VLOOKUP(A251,'Solicitações'!B:B,1,0)</f>
        <v>13920</v>
      </c>
      <c r="C251" s="214">
        <f t="shared" si="1"/>
        <v>0</v>
      </c>
      <c r="E251" s="274"/>
      <c r="F251" s="275"/>
    </row>
    <row r="252" hidden="1">
      <c r="A252" s="193">
        <v>13921.0</v>
      </c>
      <c r="B252" s="214">
        <f>VLOOKUP(A252,'Solicitações'!B:B,1,0)</f>
        <v>13921</v>
      </c>
      <c r="C252" s="214">
        <f t="shared" si="1"/>
        <v>0</v>
      </c>
      <c r="E252" s="274"/>
      <c r="F252" s="275"/>
    </row>
    <row r="253" hidden="1">
      <c r="A253" s="193">
        <v>13940.0</v>
      </c>
      <c r="B253" s="214">
        <f>VLOOKUP(A253,'Solicitações'!B:B,1,0)</f>
        <v>13940</v>
      </c>
      <c r="C253" s="214">
        <f t="shared" si="1"/>
        <v>0</v>
      </c>
      <c r="E253" s="274"/>
      <c r="F253" s="275"/>
    </row>
    <row r="254" hidden="1">
      <c r="A254" s="193">
        <v>13960.0</v>
      </c>
      <c r="B254" s="214">
        <f>VLOOKUP(A254,'Solicitações'!B:B,1,0)</f>
        <v>13960</v>
      </c>
      <c r="C254" s="214">
        <f t="shared" si="1"/>
        <v>0</v>
      </c>
      <c r="E254" s="274"/>
      <c r="F254" s="275"/>
    </row>
    <row r="255" hidden="1">
      <c r="A255" s="193">
        <v>13980.0</v>
      </c>
      <c r="B255" s="214">
        <f>VLOOKUP(A255,'Solicitações'!B:B,1,0)</f>
        <v>13980</v>
      </c>
      <c r="C255" s="214">
        <f t="shared" si="1"/>
        <v>0</v>
      </c>
      <c r="E255" s="274"/>
      <c r="F255" s="275"/>
    </row>
    <row r="256" hidden="1">
      <c r="A256" s="193">
        <v>14000.0</v>
      </c>
      <c r="B256" s="214">
        <f>VLOOKUP(A256,'Solicitações'!B:B,1,0)</f>
        <v>14000</v>
      </c>
      <c r="C256" s="214">
        <f t="shared" si="1"/>
        <v>0</v>
      </c>
      <c r="E256" s="274"/>
      <c r="F256" s="275"/>
    </row>
    <row r="257" hidden="1">
      <c r="A257" s="193">
        <v>14020.0</v>
      </c>
      <c r="B257" s="214">
        <f>VLOOKUP(A257,'Solicitações'!B:B,1,0)</f>
        <v>14020</v>
      </c>
      <c r="C257" s="214">
        <f t="shared" si="1"/>
        <v>0</v>
      </c>
      <c r="E257" s="274"/>
      <c r="F257" s="275"/>
    </row>
    <row r="258" hidden="1">
      <c r="A258" s="193">
        <v>14040.0</v>
      </c>
      <c r="B258" s="214">
        <f>VLOOKUP(A258,'Solicitações'!B:B,1,0)</f>
        <v>14040</v>
      </c>
      <c r="C258" s="214">
        <f t="shared" si="1"/>
        <v>0</v>
      </c>
      <c r="E258" s="274"/>
      <c r="F258" s="275"/>
    </row>
    <row r="259" hidden="1">
      <c r="A259" s="193">
        <v>14060.0</v>
      </c>
      <c r="B259" s="214">
        <f>VLOOKUP(A259,'Solicitações'!B:B,1,0)</f>
        <v>14060</v>
      </c>
      <c r="C259" s="214">
        <f t="shared" si="1"/>
        <v>0</v>
      </c>
      <c r="E259" s="274"/>
      <c r="F259" s="275"/>
    </row>
    <row r="260" hidden="1">
      <c r="A260" s="193">
        <v>14080.0</v>
      </c>
      <c r="B260" s="214">
        <f>VLOOKUP(A260,'Solicitações'!B:B,1,0)</f>
        <v>14080</v>
      </c>
      <c r="C260" s="214">
        <f t="shared" si="1"/>
        <v>0</v>
      </c>
      <c r="E260" s="274"/>
      <c r="F260" s="275"/>
    </row>
    <row r="261" hidden="1">
      <c r="A261" s="193">
        <v>14100.0</v>
      </c>
      <c r="B261" s="214">
        <f>VLOOKUP(A261,'Solicitações'!B:B,1,0)</f>
        <v>14100</v>
      </c>
      <c r="C261" s="214">
        <f t="shared" si="1"/>
        <v>0</v>
      </c>
      <c r="E261" s="274"/>
      <c r="F261" s="275"/>
    </row>
    <row r="262" hidden="1">
      <c r="A262" s="193">
        <v>14120.0</v>
      </c>
      <c r="B262" s="214">
        <f>VLOOKUP(A262,'Solicitações'!B:B,1,0)</f>
        <v>14120</v>
      </c>
      <c r="C262" s="214">
        <f t="shared" si="1"/>
        <v>0</v>
      </c>
      <c r="E262" s="274"/>
      <c r="F262" s="275"/>
    </row>
    <row r="263" hidden="1">
      <c r="A263" s="193">
        <v>14140.0</v>
      </c>
      <c r="B263" s="214">
        <f>VLOOKUP(A263,'Solicitações'!B:B,1,0)</f>
        <v>14140</v>
      </c>
      <c r="C263" s="214">
        <f t="shared" si="1"/>
        <v>0</v>
      </c>
      <c r="E263" s="274"/>
      <c r="F263" s="275"/>
    </row>
    <row r="264" hidden="1">
      <c r="A264" s="193">
        <v>14160.0</v>
      </c>
      <c r="B264" s="214">
        <f>VLOOKUP(A264,'Solicitações'!B:B,1,0)</f>
        <v>14160</v>
      </c>
      <c r="C264" s="214">
        <f t="shared" si="1"/>
        <v>0</v>
      </c>
      <c r="E264" s="274"/>
      <c r="F264" s="275"/>
    </row>
    <row r="265" hidden="1">
      <c r="A265" s="193">
        <v>14161.0</v>
      </c>
      <c r="B265" s="214">
        <f>VLOOKUP(A265,'Solicitações'!B:B,1,0)</f>
        <v>14161</v>
      </c>
      <c r="C265" s="214">
        <f t="shared" si="1"/>
        <v>0</v>
      </c>
      <c r="E265" s="274"/>
      <c r="F265" s="275"/>
    </row>
    <row r="266" hidden="1">
      <c r="A266" s="193">
        <v>14180.0</v>
      </c>
      <c r="B266" s="214">
        <f>VLOOKUP(A266,'Solicitações'!B:B,1,0)</f>
        <v>14180</v>
      </c>
      <c r="C266" s="214">
        <f t="shared" si="1"/>
        <v>0</v>
      </c>
      <c r="E266" s="274"/>
      <c r="F266" s="275"/>
    </row>
    <row r="267" hidden="1">
      <c r="A267" s="193">
        <v>14200.0</v>
      </c>
      <c r="B267" s="214">
        <f>VLOOKUP(A267,'Solicitações'!B:B,1,0)</f>
        <v>14200</v>
      </c>
      <c r="C267" s="214">
        <f t="shared" si="1"/>
        <v>0</v>
      </c>
      <c r="E267" s="274"/>
      <c r="F267" s="275"/>
    </row>
    <row r="268" hidden="1">
      <c r="A268" s="193">
        <v>14220.0</v>
      </c>
      <c r="B268" s="214">
        <f>VLOOKUP(A268,'Solicitações'!B:B,1,0)</f>
        <v>14220</v>
      </c>
      <c r="C268" s="214">
        <f t="shared" si="1"/>
        <v>0</v>
      </c>
      <c r="E268" s="274"/>
      <c r="F268" s="275"/>
    </row>
    <row r="269" hidden="1">
      <c r="A269" s="193">
        <v>14240.0</v>
      </c>
      <c r="B269" s="214">
        <f>VLOOKUP(A269,'Solicitações'!B:B,1,0)</f>
        <v>14240</v>
      </c>
      <c r="C269" s="214">
        <f t="shared" si="1"/>
        <v>0</v>
      </c>
      <c r="E269" s="274"/>
      <c r="F269" s="275"/>
    </row>
    <row r="270" hidden="1">
      <c r="A270" s="193">
        <v>14260.0</v>
      </c>
      <c r="B270" s="214">
        <f>VLOOKUP(A270,'Solicitações'!B:B,1,0)</f>
        <v>14260</v>
      </c>
      <c r="C270" s="214">
        <f t="shared" si="1"/>
        <v>0</v>
      </c>
      <c r="E270" s="274"/>
      <c r="F270" s="275"/>
    </row>
    <row r="271" hidden="1">
      <c r="A271" s="193">
        <v>14280.0</v>
      </c>
      <c r="B271" s="214">
        <f>VLOOKUP(A271,'Solicitações'!B:B,1,0)</f>
        <v>14280</v>
      </c>
      <c r="C271" s="214">
        <f t="shared" si="1"/>
        <v>0</v>
      </c>
      <c r="E271" s="274"/>
      <c r="F271" s="275"/>
    </row>
    <row r="272" hidden="1">
      <c r="A272" s="193">
        <v>14300.0</v>
      </c>
      <c r="B272" s="214">
        <f>VLOOKUP(A272,'Solicitações'!B:B,1,0)</f>
        <v>14300</v>
      </c>
      <c r="C272" s="214">
        <f t="shared" si="1"/>
        <v>0</v>
      </c>
      <c r="E272" s="274"/>
      <c r="F272" s="275"/>
    </row>
    <row r="273" hidden="1">
      <c r="A273" s="193">
        <v>14320.0</v>
      </c>
      <c r="B273" s="214">
        <f>VLOOKUP(A273,'Solicitações'!B:B,1,0)</f>
        <v>14320</v>
      </c>
      <c r="C273" s="214">
        <f t="shared" si="1"/>
        <v>0</v>
      </c>
      <c r="E273" s="274"/>
      <c r="F273" s="275"/>
    </row>
    <row r="274" hidden="1">
      <c r="A274" s="193">
        <v>14340.0</v>
      </c>
      <c r="B274" s="214">
        <f>VLOOKUP(A274,'Solicitações'!B:B,1,0)</f>
        <v>14340</v>
      </c>
      <c r="C274" s="214">
        <f t="shared" si="1"/>
        <v>0</v>
      </c>
      <c r="E274" s="274"/>
      <c r="F274" s="275"/>
    </row>
    <row r="275" hidden="1">
      <c r="A275" s="193">
        <v>14360.0</v>
      </c>
      <c r="B275" s="214">
        <f>VLOOKUP(A275,'Solicitações'!B:B,1,0)</f>
        <v>14360</v>
      </c>
      <c r="C275" s="214">
        <f t="shared" si="1"/>
        <v>0</v>
      </c>
      <c r="E275" s="274"/>
      <c r="F275" s="275"/>
    </row>
    <row r="276" hidden="1">
      <c r="A276" s="193">
        <v>14380.0</v>
      </c>
      <c r="B276" s="214">
        <f>VLOOKUP(A276,'Solicitações'!B:B,1,0)</f>
        <v>14380</v>
      </c>
      <c r="C276" s="214">
        <f t="shared" si="1"/>
        <v>0</v>
      </c>
      <c r="E276" s="274"/>
      <c r="F276" s="275"/>
    </row>
    <row r="277" hidden="1">
      <c r="A277" s="193">
        <v>14400.0</v>
      </c>
      <c r="B277" s="214">
        <f>VLOOKUP(A277,'Solicitações'!B:B,1,0)</f>
        <v>14400</v>
      </c>
      <c r="C277" s="214">
        <f t="shared" si="1"/>
        <v>0</v>
      </c>
      <c r="E277" s="274"/>
      <c r="F277" s="275"/>
    </row>
    <row r="278" hidden="1">
      <c r="A278" s="193">
        <v>14420.0</v>
      </c>
      <c r="B278" s="214">
        <f>VLOOKUP(A278,'Solicitações'!B:B,1,0)</f>
        <v>14420</v>
      </c>
      <c r="C278" s="214">
        <f t="shared" si="1"/>
        <v>0</v>
      </c>
      <c r="E278" s="274"/>
      <c r="F278" s="275"/>
    </row>
    <row r="279" hidden="1">
      <c r="A279" s="193">
        <v>14440.0</v>
      </c>
      <c r="B279" s="214">
        <f>VLOOKUP(A279,'Solicitações'!B:B,1,0)</f>
        <v>14440</v>
      </c>
      <c r="C279" s="214">
        <f t="shared" si="1"/>
        <v>0</v>
      </c>
      <c r="E279" s="274"/>
      <c r="F279" s="275"/>
    </row>
    <row r="280" hidden="1">
      <c r="A280" s="193">
        <v>14460.0</v>
      </c>
      <c r="B280" s="214">
        <f>VLOOKUP(A280,'Solicitações'!B:B,1,0)</f>
        <v>14460</v>
      </c>
      <c r="C280" s="214">
        <f t="shared" si="1"/>
        <v>0</v>
      </c>
      <c r="E280" s="274"/>
      <c r="F280" s="275"/>
    </row>
    <row r="281" hidden="1">
      <c r="A281" s="193">
        <v>14480.0</v>
      </c>
      <c r="B281" s="214">
        <f>VLOOKUP(A281,'Solicitações'!B:B,1,0)</f>
        <v>14480</v>
      </c>
      <c r="C281" s="214">
        <f t="shared" si="1"/>
        <v>0</v>
      </c>
      <c r="E281" s="274"/>
      <c r="F281" s="275"/>
    </row>
    <row r="282" hidden="1">
      <c r="A282" s="193">
        <v>14500.0</v>
      </c>
      <c r="B282" s="214">
        <f>VLOOKUP(A282,'Solicitações'!B:B,1,0)</f>
        <v>14500</v>
      </c>
      <c r="C282" s="214">
        <f t="shared" si="1"/>
        <v>0</v>
      </c>
      <c r="E282" s="274"/>
      <c r="F282" s="275"/>
    </row>
    <row r="283" hidden="1">
      <c r="A283" s="193">
        <v>14520.0</v>
      </c>
      <c r="B283" s="214">
        <f>VLOOKUP(A283,'Solicitações'!B:B,1,0)</f>
        <v>14520</v>
      </c>
      <c r="C283" s="214">
        <f t="shared" si="1"/>
        <v>0</v>
      </c>
      <c r="E283" s="274"/>
      <c r="F283" s="275"/>
    </row>
    <row r="284" hidden="1">
      <c r="A284" s="193">
        <v>14540.0</v>
      </c>
      <c r="B284" s="214">
        <f>VLOOKUP(A284,'Solicitações'!B:B,1,0)</f>
        <v>14540</v>
      </c>
      <c r="C284" s="214">
        <f t="shared" si="1"/>
        <v>0</v>
      </c>
      <c r="E284" s="274"/>
      <c r="F284" s="275"/>
    </row>
    <row r="285" hidden="1">
      <c r="A285" s="193">
        <v>14560.0</v>
      </c>
      <c r="B285" s="214">
        <f>VLOOKUP(A285,'Solicitações'!B:B,1,0)</f>
        <v>14560</v>
      </c>
      <c r="C285" s="214">
        <f t="shared" si="1"/>
        <v>0</v>
      </c>
      <c r="E285" s="274"/>
      <c r="F285" s="275"/>
    </row>
    <row r="286" hidden="1">
      <c r="A286" s="193">
        <v>14580.0</v>
      </c>
      <c r="B286" s="214">
        <f>VLOOKUP(A286,'Solicitações'!B:B,1,0)</f>
        <v>14580</v>
      </c>
      <c r="C286" s="214">
        <f t="shared" si="1"/>
        <v>0</v>
      </c>
      <c r="E286" s="274"/>
      <c r="F286" s="275"/>
    </row>
    <row r="287" hidden="1">
      <c r="A287" s="193">
        <v>14600.0</v>
      </c>
      <c r="B287" s="214">
        <f>VLOOKUP(A287,'Solicitações'!B:B,1,0)</f>
        <v>14600</v>
      </c>
      <c r="C287" s="214">
        <f t="shared" si="1"/>
        <v>0</v>
      </c>
      <c r="E287" s="274"/>
      <c r="F287" s="275"/>
    </row>
    <row r="288" hidden="1">
      <c r="A288" s="193">
        <v>14601.0</v>
      </c>
      <c r="B288" s="214">
        <f>VLOOKUP(A288,'Solicitações'!B:B,1,0)</f>
        <v>14601</v>
      </c>
      <c r="C288" s="214">
        <f t="shared" si="1"/>
        <v>0</v>
      </c>
      <c r="E288" s="274"/>
      <c r="F288" s="275"/>
    </row>
    <row r="289" hidden="1">
      <c r="A289" s="193">
        <v>14620.0</v>
      </c>
      <c r="B289" s="214">
        <f>VLOOKUP(A289,'Solicitações'!B:B,1,0)</f>
        <v>14620</v>
      </c>
      <c r="C289" s="214">
        <f t="shared" si="1"/>
        <v>0</v>
      </c>
      <c r="E289" s="274"/>
      <c r="F289" s="275"/>
    </row>
    <row r="290" hidden="1">
      <c r="A290" s="193">
        <v>14640.0</v>
      </c>
      <c r="B290" s="214">
        <f>VLOOKUP(A290,'Solicitações'!B:B,1,0)</f>
        <v>14640</v>
      </c>
      <c r="C290" s="214">
        <f t="shared" si="1"/>
        <v>0</v>
      </c>
      <c r="E290" s="274"/>
      <c r="F290" s="275"/>
    </row>
    <row r="291" hidden="1">
      <c r="A291" s="193">
        <v>14660.0</v>
      </c>
      <c r="B291" s="214">
        <f>VLOOKUP(A291,'Solicitações'!B:B,1,0)</f>
        <v>14660</v>
      </c>
      <c r="C291" s="214">
        <f t="shared" si="1"/>
        <v>0</v>
      </c>
      <c r="E291" s="274"/>
      <c r="F291" s="275"/>
    </row>
    <row r="292" hidden="1">
      <c r="A292" s="193">
        <v>14680.0</v>
      </c>
      <c r="B292" s="214">
        <f>VLOOKUP(A292,'Solicitações'!B:B,1,0)</f>
        <v>14680</v>
      </c>
      <c r="C292" s="214">
        <f t="shared" si="1"/>
        <v>0</v>
      </c>
      <c r="E292" s="274"/>
      <c r="F292" s="275"/>
    </row>
    <row r="293" hidden="1">
      <c r="A293" s="193">
        <v>14700.0</v>
      </c>
      <c r="B293" s="214">
        <f>VLOOKUP(A293,'Solicitações'!B:B,1,0)</f>
        <v>14700</v>
      </c>
      <c r="C293" s="214">
        <f t="shared" si="1"/>
        <v>0</v>
      </c>
      <c r="E293" s="274"/>
      <c r="F293" s="275"/>
    </row>
    <row r="294" hidden="1">
      <c r="A294" s="193">
        <v>14720.0</v>
      </c>
      <c r="B294" s="214">
        <f>VLOOKUP(A294,'Solicitações'!B:B,1,0)</f>
        <v>14720</v>
      </c>
      <c r="C294" s="214">
        <f t="shared" si="1"/>
        <v>0</v>
      </c>
      <c r="E294" s="274"/>
      <c r="F294" s="275"/>
    </row>
    <row r="295" hidden="1">
      <c r="A295" s="193">
        <v>14740.0</v>
      </c>
      <c r="B295" s="214">
        <f>VLOOKUP(A295,'Solicitações'!B:B,1,0)</f>
        <v>14740</v>
      </c>
      <c r="C295" s="214">
        <f t="shared" si="1"/>
        <v>0</v>
      </c>
      <c r="E295" s="274"/>
      <c r="F295" s="275"/>
    </row>
    <row r="296" hidden="1">
      <c r="A296" s="193">
        <v>14760.0</v>
      </c>
      <c r="B296" s="214">
        <f>VLOOKUP(A296,'Solicitações'!B:B,1,0)</f>
        <v>14760</v>
      </c>
      <c r="C296" s="214">
        <f t="shared" si="1"/>
        <v>0</v>
      </c>
      <c r="E296" s="274"/>
      <c r="F296" s="275"/>
    </row>
    <row r="297" hidden="1">
      <c r="A297" s="193">
        <v>14780.0</v>
      </c>
      <c r="B297" s="214">
        <f>VLOOKUP(A297,'Solicitações'!B:B,1,0)</f>
        <v>14780</v>
      </c>
      <c r="C297" s="214">
        <f t="shared" si="1"/>
        <v>0</v>
      </c>
      <c r="E297" s="274"/>
      <c r="F297" s="275"/>
    </row>
    <row r="298" hidden="1">
      <c r="A298" s="193">
        <v>14800.0</v>
      </c>
      <c r="B298" s="214">
        <f>VLOOKUP(A298,'Solicitações'!B:B,1,0)</f>
        <v>14800</v>
      </c>
      <c r="C298" s="214">
        <f t="shared" si="1"/>
        <v>0</v>
      </c>
      <c r="E298" s="274"/>
      <c r="F298" s="275"/>
    </row>
    <row r="299" hidden="1">
      <c r="A299" s="193">
        <v>14820.0</v>
      </c>
      <c r="B299" s="214">
        <f>VLOOKUP(A299,'Solicitações'!B:B,1,0)</f>
        <v>14820</v>
      </c>
      <c r="C299" s="214">
        <f t="shared" si="1"/>
        <v>0</v>
      </c>
      <c r="E299" s="274"/>
      <c r="F299" s="275"/>
    </row>
    <row r="300" hidden="1">
      <c r="A300" s="193">
        <v>14821.0</v>
      </c>
      <c r="B300" s="214">
        <f>VLOOKUP(A300,'Solicitações'!B:B,1,0)</f>
        <v>14821</v>
      </c>
      <c r="C300" s="214">
        <f t="shared" si="1"/>
        <v>0</v>
      </c>
      <c r="E300" s="274"/>
      <c r="F300" s="275"/>
    </row>
    <row r="301" hidden="1">
      <c r="A301" s="193">
        <v>14822.0</v>
      </c>
      <c r="B301" s="214">
        <f>VLOOKUP(A301,'Solicitações'!B:B,1,0)</f>
        <v>14822</v>
      </c>
      <c r="C301" s="214">
        <f t="shared" si="1"/>
        <v>0</v>
      </c>
      <c r="E301" s="274"/>
      <c r="F301" s="275"/>
    </row>
    <row r="302" hidden="1">
      <c r="A302" s="193">
        <v>14823.0</v>
      </c>
      <c r="B302" s="214">
        <f>VLOOKUP(A302,'Solicitações'!B:B,1,0)</f>
        <v>14823</v>
      </c>
      <c r="C302" s="214">
        <f t="shared" si="1"/>
        <v>0</v>
      </c>
      <c r="E302" s="274"/>
      <c r="F302" s="275"/>
    </row>
    <row r="303" hidden="1">
      <c r="A303" s="193">
        <v>14824.0</v>
      </c>
      <c r="B303" s="214">
        <f>VLOOKUP(A303,'Solicitações'!B:B,1,0)</f>
        <v>14824</v>
      </c>
      <c r="C303" s="214">
        <f t="shared" si="1"/>
        <v>0</v>
      </c>
      <c r="E303" s="274"/>
      <c r="F303" s="275"/>
    </row>
    <row r="304" hidden="1">
      <c r="A304" s="193">
        <v>14825.0</v>
      </c>
      <c r="B304" s="214">
        <f>VLOOKUP(A304,'Solicitações'!B:B,1,0)</f>
        <v>14825</v>
      </c>
      <c r="C304" s="214">
        <f t="shared" si="1"/>
        <v>0</v>
      </c>
      <c r="E304" s="274"/>
      <c r="F304" s="275"/>
    </row>
    <row r="305" hidden="1">
      <c r="A305" s="193">
        <v>14826.0</v>
      </c>
      <c r="B305" s="214">
        <f>VLOOKUP(A305,'Solicitações'!B:B,1,0)</f>
        <v>14826</v>
      </c>
      <c r="C305" s="214">
        <f t="shared" si="1"/>
        <v>0</v>
      </c>
      <c r="E305" s="274"/>
      <c r="F305" s="275"/>
    </row>
    <row r="306" hidden="1">
      <c r="A306" s="193">
        <v>14827.0</v>
      </c>
      <c r="B306" s="214">
        <f>VLOOKUP(A306,'Solicitações'!B:B,1,0)</f>
        <v>14827</v>
      </c>
      <c r="C306" s="214">
        <f t="shared" si="1"/>
        <v>0</v>
      </c>
      <c r="E306" s="274"/>
      <c r="F306" s="275"/>
    </row>
    <row r="307" hidden="1">
      <c r="A307" s="193">
        <v>14828.0</v>
      </c>
      <c r="B307" s="214">
        <f>VLOOKUP(A307,'Solicitações'!B:B,1,0)</f>
        <v>14828</v>
      </c>
      <c r="C307" s="214">
        <f t="shared" si="1"/>
        <v>0</v>
      </c>
      <c r="E307" s="274"/>
      <c r="F307" s="275"/>
    </row>
    <row r="308" hidden="1">
      <c r="A308" s="193">
        <v>14840.0</v>
      </c>
      <c r="B308" s="214">
        <f>VLOOKUP(A308,'Solicitações'!B:B,1,0)</f>
        <v>14840</v>
      </c>
      <c r="C308" s="214">
        <f t="shared" si="1"/>
        <v>0</v>
      </c>
      <c r="E308" s="274"/>
      <c r="F308" s="275"/>
    </row>
    <row r="309" hidden="1">
      <c r="A309" s="193">
        <v>14860.0</v>
      </c>
      <c r="B309" s="214">
        <f>VLOOKUP(A309,'Solicitações'!B:B,1,0)</f>
        <v>14860</v>
      </c>
      <c r="C309" s="214">
        <f t="shared" si="1"/>
        <v>0</v>
      </c>
      <c r="E309" s="274"/>
      <c r="F309" s="275"/>
    </row>
    <row r="310" hidden="1">
      <c r="A310" s="193">
        <v>14880.0</v>
      </c>
      <c r="B310" s="214">
        <f>VLOOKUP(A310,'Solicitações'!B:B,1,0)</f>
        <v>14880</v>
      </c>
      <c r="C310" s="214">
        <f t="shared" si="1"/>
        <v>0</v>
      </c>
      <c r="E310" s="274"/>
      <c r="F310" s="275"/>
    </row>
    <row r="311" hidden="1">
      <c r="A311" s="193">
        <v>14900.0</v>
      </c>
      <c r="B311" s="214">
        <f>VLOOKUP(A311,'Solicitações'!B:B,1,0)</f>
        <v>14900</v>
      </c>
      <c r="C311" s="214">
        <f t="shared" si="1"/>
        <v>0</v>
      </c>
      <c r="E311" s="274"/>
      <c r="F311" s="275"/>
    </row>
    <row r="312" hidden="1">
      <c r="A312" s="193">
        <v>14920.0</v>
      </c>
      <c r="B312" s="214">
        <f>VLOOKUP(A312,'Solicitações'!B:B,1,0)</f>
        <v>14920</v>
      </c>
      <c r="C312" s="214">
        <f t="shared" si="1"/>
        <v>0</v>
      </c>
      <c r="E312" s="274"/>
      <c r="F312" s="275"/>
    </row>
    <row r="313" hidden="1">
      <c r="A313" s="193">
        <v>14940.0</v>
      </c>
      <c r="B313" s="214">
        <f>VLOOKUP(A313,'Solicitações'!B:B,1,0)</f>
        <v>14940</v>
      </c>
      <c r="C313" s="214">
        <f t="shared" si="1"/>
        <v>0</v>
      </c>
      <c r="E313" s="274"/>
      <c r="F313" s="275"/>
    </row>
    <row r="314" hidden="1">
      <c r="A314" s="193">
        <v>14960.0</v>
      </c>
      <c r="B314" s="214">
        <f>VLOOKUP(A314,'Solicitações'!B:B,1,0)</f>
        <v>14960</v>
      </c>
      <c r="C314" s="214">
        <f t="shared" si="1"/>
        <v>0</v>
      </c>
      <c r="E314" s="274"/>
      <c r="F314" s="275"/>
    </row>
    <row r="315" hidden="1">
      <c r="A315" s="193">
        <v>14980.0</v>
      </c>
      <c r="B315" s="214">
        <f>VLOOKUP(A315,'Solicitações'!B:B,1,0)</f>
        <v>14980</v>
      </c>
      <c r="C315" s="214">
        <f t="shared" si="1"/>
        <v>0</v>
      </c>
      <c r="E315" s="274"/>
      <c r="F315" s="275"/>
    </row>
    <row r="316" hidden="1">
      <c r="A316" s="193">
        <v>15000.0</v>
      </c>
      <c r="B316" s="214">
        <f>VLOOKUP(A316,'Solicitações'!B:B,1,0)</f>
        <v>15000</v>
      </c>
      <c r="C316" s="214">
        <f t="shared" si="1"/>
        <v>0</v>
      </c>
      <c r="E316" s="274"/>
      <c r="F316" s="275"/>
    </row>
    <row r="317" hidden="1">
      <c r="A317" s="193">
        <v>15020.0</v>
      </c>
      <c r="B317" s="214">
        <f>VLOOKUP(A317,'Solicitações'!B:B,1,0)</f>
        <v>15020</v>
      </c>
      <c r="C317" s="214">
        <f t="shared" si="1"/>
        <v>0</v>
      </c>
      <c r="E317" s="274"/>
      <c r="F317" s="275"/>
    </row>
    <row r="318" hidden="1">
      <c r="A318" s="193">
        <v>15040.0</v>
      </c>
      <c r="B318" s="214">
        <f>VLOOKUP(A318,'Solicitações'!B:B,1,0)</f>
        <v>15040</v>
      </c>
      <c r="C318" s="214">
        <f t="shared" si="1"/>
        <v>0</v>
      </c>
      <c r="E318" s="274"/>
      <c r="F318" s="275"/>
    </row>
    <row r="319" hidden="1">
      <c r="A319" s="193">
        <v>15060.0</v>
      </c>
      <c r="B319" s="214">
        <f>VLOOKUP(A319,'Solicitações'!B:B,1,0)</f>
        <v>15060</v>
      </c>
      <c r="C319" s="214">
        <f t="shared" si="1"/>
        <v>0</v>
      </c>
      <c r="E319" s="274"/>
      <c r="F319" s="275"/>
    </row>
    <row r="320" hidden="1">
      <c r="A320" s="193">
        <v>15080.0</v>
      </c>
      <c r="B320" s="214">
        <f>VLOOKUP(A320,'Solicitações'!B:B,1,0)</f>
        <v>15080</v>
      </c>
      <c r="C320" s="214">
        <f t="shared" si="1"/>
        <v>0</v>
      </c>
      <c r="E320" s="274"/>
      <c r="F320" s="275"/>
    </row>
    <row r="321" hidden="1">
      <c r="A321" s="193">
        <v>15100.0</v>
      </c>
      <c r="B321" s="214">
        <f>VLOOKUP(A321,'Solicitações'!B:B,1,0)</f>
        <v>15100</v>
      </c>
      <c r="C321" s="214">
        <f t="shared" si="1"/>
        <v>0</v>
      </c>
      <c r="E321" s="274"/>
      <c r="F321" s="275"/>
    </row>
    <row r="322" hidden="1">
      <c r="A322" s="193">
        <v>15120.0</v>
      </c>
      <c r="B322" s="214">
        <f>VLOOKUP(A322,'Solicitações'!B:B,1,0)</f>
        <v>15120</v>
      </c>
      <c r="C322" s="214">
        <f t="shared" si="1"/>
        <v>0</v>
      </c>
      <c r="E322" s="274"/>
      <c r="F322" s="275"/>
    </row>
    <row r="323" hidden="1">
      <c r="A323" s="193">
        <v>15140.0</v>
      </c>
      <c r="B323" s="214">
        <f>VLOOKUP(A323,'Solicitações'!B:B,1,0)</f>
        <v>15140</v>
      </c>
      <c r="C323" s="214">
        <f t="shared" si="1"/>
        <v>0</v>
      </c>
      <c r="E323" s="274"/>
      <c r="F323" s="275"/>
    </row>
    <row r="324" hidden="1">
      <c r="A324" s="193">
        <v>15160.0</v>
      </c>
      <c r="B324" s="214">
        <f>VLOOKUP(A324,'Solicitações'!B:B,1,0)</f>
        <v>15160</v>
      </c>
      <c r="C324" s="214">
        <f t="shared" si="1"/>
        <v>0</v>
      </c>
      <c r="E324" s="274"/>
      <c r="F324" s="275"/>
    </row>
    <row r="325" hidden="1">
      <c r="A325" s="193">
        <v>15180.0</v>
      </c>
      <c r="B325" s="214">
        <f>VLOOKUP(A325,'Solicitações'!B:B,1,0)</f>
        <v>15180</v>
      </c>
      <c r="C325" s="214">
        <f t="shared" si="1"/>
        <v>0</v>
      </c>
      <c r="E325" s="274"/>
      <c r="F325" s="275"/>
    </row>
    <row r="326" hidden="1">
      <c r="A326" s="193">
        <v>15200.0</v>
      </c>
      <c r="B326" s="214">
        <f>VLOOKUP(A326,'Solicitações'!B:B,1,0)</f>
        <v>15200</v>
      </c>
      <c r="C326" s="214">
        <f t="shared" si="1"/>
        <v>0</v>
      </c>
      <c r="E326" s="274"/>
      <c r="F326" s="275"/>
    </row>
    <row r="327" hidden="1">
      <c r="A327" s="193">
        <v>15220.0</v>
      </c>
      <c r="B327" s="214">
        <f>VLOOKUP(A327,'Solicitações'!B:B,1,0)</f>
        <v>15220</v>
      </c>
      <c r="C327" s="214">
        <f t="shared" si="1"/>
        <v>0</v>
      </c>
      <c r="E327" s="274"/>
      <c r="F327" s="275"/>
    </row>
    <row r="328" hidden="1">
      <c r="A328" s="193">
        <v>15240.0</v>
      </c>
      <c r="B328" s="214">
        <f>VLOOKUP(A328,'Solicitações'!B:B,1,0)</f>
        <v>15240</v>
      </c>
      <c r="C328" s="214">
        <f t="shared" si="1"/>
        <v>0</v>
      </c>
      <c r="E328" s="274"/>
      <c r="F328" s="275"/>
    </row>
    <row r="329" hidden="1">
      <c r="A329" s="193">
        <v>15260.0</v>
      </c>
      <c r="B329" s="214">
        <f>VLOOKUP(A329,'Solicitações'!B:B,1,0)</f>
        <v>15260</v>
      </c>
      <c r="C329" s="214">
        <f t="shared" si="1"/>
        <v>0</v>
      </c>
      <c r="E329" s="274"/>
      <c r="F329" s="275"/>
    </row>
    <row r="330" hidden="1">
      <c r="A330" s="193">
        <v>15280.0</v>
      </c>
      <c r="B330" s="214">
        <f>VLOOKUP(A330,'Solicitações'!B:B,1,0)</f>
        <v>15280</v>
      </c>
      <c r="C330" s="214">
        <f t="shared" si="1"/>
        <v>0</v>
      </c>
      <c r="E330" s="274"/>
      <c r="F330" s="275"/>
    </row>
    <row r="331" hidden="1">
      <c r="A331" s="193">
        <v>15300.0</v>
      </c>
      <c r="B331" s="214">
        <f>VLOOKUP(A331,'Solicitações'!B:B,1,0)</f>
        <v>15300</v>
      </c>
      <c r="C331" s="214">
        <f t="shared" si="1"/>
        <v>0</v>
      </c>
      <c r="E331" s="274"/>
      <c r="F331" s="275"/>
    </row>
    <row r="332" hidden="1">
      <c r="A332" s="193">
        <v>15320.0</v>
      </c>
      <c r="B332" s="214">
        <f>VLOOKUP(A332,'Solicitações'!B:B,1,0)</f>
        <v>15320</v>
      </c>
      <c r="C332" s="214">
        <f t="shared" si="1"/>
        <v>0</v>
      </c>
      <c r="E332" s="274"/>
      <c r="F332" s="275"/>
    </row>
    <row r="333" hidden="1">
      <c r="A333" s="193">
        <v>15340.0</v>
      </c>
      <c r="B333" s="214">
        <f>VLOOKUP(A333,'Solicitações'!B:B,1,0)</f>
        <v>15340</v>
      </c>
      <c r="C333" s="214">
        <f t="shared" si="1"/>
        <v>0</v>
      </c>
      <c r="E333" s="274"/>
      <c r="F333" s="275"/>
    </row>
    <row r="334" hidden="1">
      <c r="A334" s="193">
        <v>15360.0</v>
      </c>
      <c r="B334" s="214">
        <f>VLOOKUP(A334,'Solicitações'!B:B,1,0)</f>
        <v>15360</v>
      </c>
      <c r="C334" s="214">
        <f t="shared" si="1"/>
        <v>0</v>
      </c>
      <c r="E334" s="274"/>
      <c r="F334" s="275"/>
    </row>
    <row r="335" hidden="1">
      <c r="A335" s="193">
        <v>15380.0</v>
      </c>
      <c r="B335" s="214">
        <f>VLOOKUP(A335,'Solicitações'!B:B,1,0)</f>
        <v>15380</v>
      </c>
      <c r="C335" s="214">
        <f t="shared" si="1"/>
        <v>0</v>
      </c>
      <c r="E335" s="274"/>
      <c r="F335" s="275"/>
    </row>
    <row r="336" hidden="1">
      <c r="A336" s="193">
        <v>15400.0</v>
      </c>
      <c r="B336" s="214">
        <f>VLOOKUP(A336,'Solicitações'!B:B,1,0)</f>
        <v>15400</v>
      </c>
      <c r="C336" s="214">
        <f t="shared" si="1"/>
        <v>0</v>
      </c>
      <c r="E336" s="274"/>
      <c r="F336" s="275"/>
    </row>
    <row r="337" hidden="1">
      <c r="A337" s="193">
        <v>15420.0</v>
      </c>
      <c r="B337" s="214">
        <f>VLOOKUP(A337,'Solicitações'!B:B,1,0)</f>
        <v>15420</v>
      </c>
      <c r="C337" s="214">
        <f t="shared" si="1"/>
        <v>0</v>
      </c>
      <c r="E337" s="274"/>
      <c r="F337" s="275"/>
    </row>
    <row r="338" hidden="1">
      <c r="A338" s="193">
        <v>15421.0</v>
      </c>
      <c r="B338" s="214">
        <f>VLOOKUP(A338,'Solicitações'!B:B,1,0)</f>
        <v>15421</v>
      </c>
      <c r="C338" s="214">
        <f t="shared" si="1"/>
        <v>0</v>
      </c>
      <c r="E338" s="274"/>
      <c r="F338" s="275"/>
    </row>
    <row r="339" hidden="1">
      <c r="A339" s="193">
        <v>15440.0</v>
      </c>
      <c r="B339" s="214">
        <f>VLOOKUP(A339,'Solicitações'!B:B,1,0)</f>
        <v>15440</v>
      </c>
      <c r="C339" s="214">
        <f t="shared" si="1"/>
        <v>0</v>
      </c>
      <c r="E339" s="274"/>
      <c r="F339" s="275"/>
    </row>
    <row r="340" hidden="1">
      <c r="A340" s="193">
        <v>15460.0</v>
      </c>
      <c r="B340" s="214">
        <f>VLOOKUP(A340,'Solicitações'!B:B,1,0)</f>
        <v>15460</v>
      </c>
      <c r="C340" s="214">
        <f t="shared" si="1"/>
        <v>0</v>
      </c>
      <c r="E340" s="274"/>
      <c r="F340" s="275"/>
    </row>
    <row r="341" hidden="1">
      <c r="A341" s="193">
        <v>15480.0</v>
      </c>
      <c r="B341" s="214">
        <f>VLOOKUP(A341,'Solicitações'!B:B,1,0)</f>
        <v>15480</v>
      </c>
      <c r="C341" s="214">
        <f t="shared" si="1"/>
        <v>0</v>
      </c>
      <c r="E341" s="274"/>
      <c r="F341" s="275"/>
    </row>
    <row r="342" hidden="1">
      <c r="A342" s="193">
        <v>15500.0</v>
      </c>
      <c r="B342" s="214">
        <f>VLOOKUP(A342,'Solicitações'!B:B,1,0)</f>
        <v>15500</v>
      </c>
      <c r="C342" s="214">
        <f t="shared" si="1"/>
        <v>0</v>
      </c>
      <c r="E342" s="274"/>
      <c r="F342" s="275"/>
    </row>
    <row r="343" hidden="1">
      <c r="A343" s="193">
        <v>15520.0</v>
      </c>
      <c r="B343" s="214">
        <f>VLOOKUP(A343,'Solicitações'!B:B,1,0)</f>
        <v>15520</v>
      </c>
      <c r="C343" s="214">
        <f t="shared" si="1"/>
        <v>0</v>
      </c>
      <c r="E343" s="274"/>
      <c r="F343" s="275"/>
    </row>
    <row r="344" hidden="1">
      <c r="A344" s="193">
        <v>15540.0</v>
      </c>
      <c r="B344" s="214">
        <f>VLOOKUP(A344,'Solicitações'!B:B,1,0)</f>
        <v>15540</v>
      </c>
      <c r="C344" s="214">
        <f t="shared" si="1"/>
        <v>0</v>
      </c>
      <c r="E344" s="274"/>
      <c r="F344" s="275"/>
    </row>
    <row r="345" hidden="1">
      <c r="A345" s="193">
        <v>15560.0</v>
      </c>
      <c r="B345" s="214">
        <f>VLOOKUP(A345,'Solicitações'!B:B,1,0)</f>
        <v>15560</v>
      </c>
      <c r="C345" s="214">
        <f t="shared" si="1"/>
        <v>0</v>
      </c>
      <c r="E345" s="274"/>
      <c r="F345" s="275"/>
    </row>
    <row r="346" hidden="1">
      <c r="A346" s="193">
        <v>15561.0</v>
      </c>
      <c r="B346" s="214">
        <f>VLOOKUP(A346,'Solicitações'!B:B,1,0)</f>
        <v>15561</v>
      </c>
      <c r="C346" s="214">
        <f t="shared" si="1"/>
        <v>0</v>
      </c>
      <c r="E346" s="274"/>
      <c r="F346" s="275"/>
    </row>
    <row r="347" hidden="1">
      <c r="A347" s="193">
        <v>15580.0</v>
      </c>
      <c r="B347" s="214">
        <f>VLOOKUP(A347,'Solicitações'!B:B,1,0)</f>
        <v>15580</v>
      </c>
      <c r="C347" s="214">
        <f t="shared" si="1"/>
        <v>0</v>
      </c>
      <c r="E347" s="274"/>
      <c r="F347" s="275"/>
    </row>
    <row r="348" hidden="1">
      <c r="A348" s="193">
        <v>15600.0</v>
      </c>
      <c r="B348" s="214">
        <f>VLOOKUP(A348,'Solicitações'!B:B,1,0)</f>
        <v>15600</v>
      </c>
      <c r="C348" s="214">
        <f t="shared" si="1"/>
        <v>0</v>
      </c>
      <c r="E348" s="274"/>
      <c r="F348" s="275"/>
    </row>
    <row r="349" hidden="1">
      <c r="A349" s="193">
        <v>15620.0</v>
      </c>
      <c r="B349" s="214">
        <f>VLOOKUP(A349,'Solicitações'!B:B,1,0)</f>
        <v>15620</v>
      </c>
      <c r="C349" s="214">
        <f t="shared" si="1"/>
        <v>0</v>
      </c>
      <c r="E349" s="274"/>
      <c r="F349" s="275"/>
    </row>
    <row r="350" hidden="1">
      <c r="A350" s="193">
        <v>15640.0</v>
      </c>
      <c r="B350" s="214">
        <f>VLOOKUP(A350,'Solicitações'!B:B,1,0)</f>
        <v>15640</v>
      </c>
      <c r="C350" s="214">
        <f t="shared" si="1"/>
        <v>0</v>
      </c>
      <c r="E350" s="274"/>
      <c r="F350" s="275"/>
    </row>
    <row r="351" hidden="1">
      <c r="A351" s="193">
        <v>15660.0</v>
      </c>
      <c r="B351" s="214">
        <f>VLOOKUP(A351,'Solicitações'!B:B,1,0)</f>
        <v>15660</v>
      </c>
      <c r="C351" s="214">
        <f t="shared" si="1"/>
        <v>0</v>
      </c>
      <c r="E351" s="274"/>
      <c r="F351" s="275"/>
    </row>
    <row r="352" hidden="1">
      <c r="A352" s="193">
        <v>15680.0</v>
      </c>
      <c r="B352" s="214">
        <f>VLOOKUP(A352,'Solicitações'!B:B,1,0)</f>
        <v>15680</v>
      </c>
      <c r="C352" s="214">
        <f t="shared" si="1"/>
        <v>0</v>
      </c>
      <c r="E352" s="274"/>
      <c r="F352" s="275"/>
    </row>
    <row r="353" hidden="1">
      <c r="A353" s="193">
        <v>15681.0</v>
      </c>
      <c r="B353" s="214">
        <f>VLOOKUP(A353,'Solicitações'!B:B,1,0)</f>
        <v>15681</v>
      </c>
      <c r="C353" s="214">
        <f t="shared" si="1"/>
        <v>0</v>
      </c>
      <c r="E353" s="274"/>
      <c r="F353" s="275"/>
    </row>
    <row r="354" hidden="1">
      <c r="A354" s="193">
        <v>15700.0</v>
      </c>
      <c r="B354" s="214">
        <f>VLOOKUP(A354,'Solicitações'!B:B,1,0)</f>
        <v>15700</v>
      </c>
      <c r="C354" s="214">
        <f t="shared" si="1"/>
        <v>0</v>
      </c>
      <c r="E354" s="274"/>
      <c r="F354" s="275"/>
    </row>
    <row r="355" hidden="1">
      <c r="A355" s="193">
        <v>15720.0</v>
      </c>
      <c r="B355" s="214">
        <f>VLOOKUP(A355,'Solicitações'!B:B,1,0)</f>
        <v>15720</v>
      </c>
      <c r="C355" s="214">
        <f t="shared" si="1"/>
        <v>0</v>
      </c>
      <c r="E355" s="274"/>
      <c r="F355" s="275"/>
    </row>
    <row r="356" hidden="1">
      <c r="A356" s="193">
        <v>15740.0</v>
      </c>
      <c r="B356" s="214">
        <f>VLOOKUP(A356,'Solicitações'!B:B,1,0)</f>
        <v>15740</v>
      </c>
      <c r="C356" s="214">
        <f t="shared" si="1"/>
        <v>0</v>
      </c>
      <c r="E356" s="274"/>
      <c r="F356" s="275"/>
    </row>
    <row r="357" hidden="1">
      <c r="A357" s="193">
        <v>15760.0</v>
      </c>
      <c r="B357" s="214">
        <f>VLOOKUP(A357,'Solicitações'!B:B,1,0)</f>
        <v>15760</v>
      </c>
      <c r="C357" s="214">
        <f t="shared" si="1"/>
        <v>0</v>
      </c>
      <c r="E357" s="274"/>
      <c r="F357" s="275"/>
    </row>
    <row r="358" hidden="1">
      <c r="A358" s="193">
        <v>15780.0</v>
      </c>
      <c r="B358" s="214">
        <f>VLOOKUP(A358,'Solicitações'!B:B,1,0)</f>
        <v>15780</v>
      </c>
      <c r="C358" s="214">
        <f t="shared" si="1"/>
        <v>0</v>
      </c>
      <c r="E358" s="274"/>
      <c r="F358" s="275"/>
    </row>
    <row r="359" hidden="1">
      <c r="A359" s="193">
        <v>15800.0</v>
      </c>
      <c r="B359" s="214">
        <f>VLOOKUP(A359,'Solicitações'!B:B,1,0)</f>
        <v>15800</v>
      </c>
      <c r="C359" s="214">
        <f t="shared" si="1"/>
        <v>0</v>
      </c>
      <c r="E359" s="274"/>
      <c r="F359" s="275"/>
    </row>
    <row r="360" hidden="1">
      <c r="A360" s="193">
        <v>15820.0</v>
      </c>
      <c r="B360" s="214">
        <f>VLOOKUP(A360,'Solicitações'!B:B,1,0)</f>
        <v>15820</v>
      </c>
      <c r="C360" s="214">
        <f t="shared" si="1"/>
        <v>0</v>
      </c>
      <c r="E360" s="274"/>
      <c r="F360" s="275"/>
    </row>
    <row r="361" hidden="1">
      <c r="A361" s="193">
        <v>15840.0</v>
      </c>
      <c r="B361" s="214">
        <f>VLOOKUP(A361,'Solicitações'!B:B,1,0)</f>
        <v>15840</v>
      </c>
      <c r="C361" s="214">
        <f t="shared" si="1"/>
        <v>0</v>
      </c>
      <c r="E361" s="274"/>
      <c r="F361" s="275"/>
    </row>
    <row r="362" hidden="1">
      <c r="A362" s="193">
        <v>15860.0</v>
      </c>
      <c r="B362" s="214">
        <f>VLOOKUP(A362,'Solicitações'!B:B,1,0)</f>
        <v>15860</v>
      </c>
      <c r="C362" s="214">
        <f t="shared" si="1"/>
        <v>0</v>
      </c>
      <c r="E362" s="274"/>
      <c r="F362" s="275"/>
    </row>
    <row r="363" hidden="1">
      <c r="A363" s="193">
        <v>15880.0</v>
      </c>
      <c r="B363" s="214">
        <f>VLOOKUP(A363,'Solicitações'!B:B,1,0)</f>
        <v>15880</v>
      </c>
      <c r="C363" s="214">
        <f t="shared" si="1"/>
        <v>0</v>
      </c>
      <c r="E363" s="274"/>
      <c r="F363" s="275"/>
    </row>
    <row r="364" hidden="1">
      <c r="A364" s="193">
        <v>15900.0</v>
      </c>
      <c r="B364" s="214">
        <f>VLOOKUP(A364,'Solicitações'!B:B,1,0)</f>
        <v>15900</v>
      </c>
      <c r="C364" s="214">
        <f t="shared" si="1"/>
        <v>0</v>
      </c>
      <c r="E364" s="274"/>
      <c r="F364" s="275"/>
    </row>
    <row r="365" hidden="1">
      <c r="A365" s="193">
        <v>15920.0</v>
      </c>
      <c r="B365" s="214">
        <f>VLOOKUP(A365,'Solicitações'!B:B,1,0)</f>
        <v>15920</v>
      </c>
      <c r="C365" s="214">
        <f t="shared" si="1"/>
        <v>0</v>
      </c>
      <c r="E365" s="274"/>
      <c r="F365" s="275"/>
    </row>
    <row r="366" hidden="1">
      <c r="A366" s="193">
        <v>15940.0</v>
      </c>
      <c r="B366" s="214">
        <f>VLOOKUP(A366,'Solicitações'!B:B,1,0)</f>
        <v>15940</v>
      </c>
      <c r="C366" s="214">
        <f t="shared" si="1"/>
        <v>0</v>
      </c>
      <c r="E366" s="274"/>
      <c r="F366" s="275"/>
    </row>
    <row r="367" hidden="1">
      <c r="A367" s="193">
        <v>15960.0</v>
      </c>
      <c r="B367" s="214">
        <f>VLOOKUP(A367,'Solicitações'!B:B,1,0)</f>
        <v>15960</v>
      </c>
      <c r="C367" s="214">
        <f t="shared" si="1"/>
        <v>0</v>
      </c>
      <c r="E367" s="274"/>
      <c r="F367" s="275"/>
    </row>
    <row r="368" hidden="1">
      <c r="A368" s="193">
        <v>15961.0</v>
      </c>
      <c r="B368" s="214">
        <f>VLOOKUP(A368,'Solicitações'!B:B,1,0)</f>
        <v>15961</v>
      </c>
      <c r="C368" s="214">
        <f t="shared" si="1"/>
        <v>0</v>
      </c>
      <c r="E368" s="274"/>
      <c r="F368" s="275"/>
    </row>
    <row r="369" hidden="1">
      <c r="A369" s="193">
        <v>15962.0</v>
      </c>
      <c r="B369" s="214">
        <f>VLOOKUP(A369,'Solicitações'!B:B,1,0)</f>
        <v>15962</v>
      </c>
      <c r="C369" s="214">
        <f t="shared" si="1"/>
        <v>0</v>
      </c>
      <c r="E369" s="274"/>
      <c r="F369" s="275"/>
    </row>
    <row r="370" hidden="1">
      <c r="A370" s="193">
        <v>15963.0</v>
      </c>
      <c r="B370" s="214">
        <f>VLOOKUP(A370,'Solicitações'!B:B,1,0)</f>
        <v>15963</v>
      </c>
      <c r="C370" s="214">
        <f t="shared" si="1"/>
        <v>0</v>
      </c>
      <c r="E370" s="274"/>
      <c r="F370" s="275"/>
    </row>
    <row r="371" hidden="1">
      <c r="A371" s="193">
        <v>15964.0</v>
      </c>
      <c r="B371" s="214">
        <f>VLOOKUP(A371,'Solicitações'!B:B,1,0)</f>
        <v>15964</v>
      </c>
      <c r="C371" s="214">
        <f t="shared" si="1"/>
        <v>0</v>
      </c>
      <c r="E371" s="274"/>
      <c r="F371" s="275"/>
    </row>
    <row r="372" hidden="1">
      <c r="A372" s="193">
        <v>15965.0</v>
      </c>
      <c r="B372" s="214">
        <f>VLOOKUP(A372,'Solicitações'!B:B,1,0)</f>
        <v>15965</v>
      </c>
      <c r="C372" s="214">
        <f t="shared" si="1"/>
        <v>0</v>
      </c>
      <c r="E372" s="274"/>
      <c r="F372" s="275"/>
    </row>
    <row r="373" hidden="1">
      <c r="A373" s="193">
        <v>15966.0</v>
      </c>
      <c r="B373" s="214">
        <f>VLOOKUP(A373,'Solicitações'!B:B,1,0)</f>
        <v>15966</v>
      </c>
      <c r="C373" s="214">
        <f t="shared" si="1"/>
        <v>0</v>
      </c>
      <c r="E373" s="274"/>
      <c r="F373" s="275"/>
    </row>
    <row r="374" hidden="1">
      <c r="A374" s="193">
        <v>15980.0</v>
      </c>
      <c r="B374" s="214">
        <f>VLOOKUP(A374,'Solicitações'!B:B,1,0)</f>
        <v>15980</v>
      </c>
      <c r="C374" s="214">
        <f t="shared" si="1"/>
        <v>0</v>
      </c>
      <c r="E374" s="274"/>
      <c r="F374" s="275"/>
    </row>
    <row r="375" hidden="1">
      <c r="A375" s="193">
        <v>16000.0</v>
      </c>
      <c r="B375" s="214">
        <f>VLOOKUP(A375,'Solicitações'!B:B,1,0)</f>
        <v>16000</v>
      </c>
      <c r="C375" s="214">
        <f t="shared" si="1"/>
        <v>0</v>
      </c>
      <c r="E375" s="274"/>
      <c r="F375" s="275"/>
    </row>
    <row r="376" hidden="1">
      <c r="A376" s="193">
        <v>16001.0</v>
      </c>
      <c r="B376" s="214">
        <f>VLOOKUP(A376,'Solicitações'!B:B,1,0)</f>
        <v>16001</v>
      </c>
      <c r="C376" s="214">
        <f t="shared" si="1"/>
        <v>0</v>
      </c>
      <c r="E376" s="274"/>
      <c r="F376" s="275"/>
    </row>
    <row r="377" hidden="1">
      <c r="A377" s="193">
        <v>16020.0</v>
      </c>
      <c r="B377" s="214">
        <f>VLOOKUP(A377,'Solicitações'!B:B,1,0)</f>
        <v>16020</v>
      </c>
      <c r="C377" s="214">
        <f t="shared" si="1"/>
        <v>0</v>
      </c>
      <c r="E377" s="274"/>
      <c r="F377" s="275"/>
    </row>
    <row r="378" hidden="1">
      <c r="A378" s="193">
        <v>16040.0</v>
      </c>
      <c r="B378" s="214">
        <f>VLOOKUP(A378,'Solicitações'!B:B,1,0)</f>
        <v>16040</v>
      </c>
      <c r="C378" s="214">
        <f t="shared" si="1"/>
        <v>0</v>
      </c>
      <c r="E378" s="274"/>
      <c r="F378" s="275"/>
    </row>
    <row r="379" hidden="1">
      <c r="A379" s="193">
        <v>16060.0</v>
      </c>
      <c r="B379" s="214">
        <f>VLOOKUP(A379,'Solicitações'!B:B,1,0)</f>
        <v>16060</v>
      </c>
      <c r="C379" s="214">
        <f t="shared" si="1"/>
        <v>0</v>
      </c>
      <c r="E379" s="274"/>
      <c r="F379" s="275"/>
    </row>
    <row r="380" hidden="1">
      <c r="A380" s="193">
        <v>16080.0</v>
      </c>
      <c r="B380" s="214">
        <f>VLOOKUP(A380,'Solicitações'!B:B,1,0)</f>
        <v>16080</v>
      </c>
      <c r="C380" s="214">
        <f t="shared" si="1"/>
        <v>0</v>
      </c>
      <c r="E380" s="274"/>
      <c r="F380" s="275"/>
    </row>
    <row r="381" hidden="1">
      <c r="A381" s="193">
        <v>16100.0</v>
      </c>
      <c r="B381" s="214">
        <f>VLOOKUP(A381,'Solicitações'!B:B,1,0)</f>
        <v>16100</v>
      </c>
      <c r="C381" s="214">
        <f t="shared" si="1"/>
        <v>0</v>
      </c>
      <c r="E381" s="274"/>
      <c r="F381" s="275"/>
    </row>
    <row r="382" hidden="1">
      <c r="A382" s="193">
        <v>16120.0</v>
      </c>
      <c r="B382" s="214">
        <f>VLOOKUP(A382,'Solicitações'!B:B,1,0)</f>
        <v>16120</v>
      </c>
      <c r="C382" s="214">
        <f t="shared" si="1"/>
        <v>0</v>
      </c>
      <c r="E382" s="274"/>
      <c r="F382" s="275"/>
    </row>
    <row r="383" hidden="1">
      <c r="A383" s="193">
        <v>16140.0</v>
      </c>
      <c r="B383" s="214">
        <f>VLOOKUP(A383,'Solicitações'!B:B,1,0)</f>
        <v>16140</v>
      </c>
      <c r="C383" s="214">
        <f t="shared" si="1"/>
        <v>0</v>
      </c>
      <c r="E383" s="274"/>
      <c r="F383" s="275"/>
    </row>
    <row r="384" hidden="1">
      <c r="A384" s="193">
        <v>16160.0</v>
      </c>
      <c r="B384" s="214">
        <f>VLOOKUP(A384,'Solicitações'!B:B,1,0)</f>
        <v>16160</v>
      </c>
      <c r="C384" s="214">
        <f t="shared" si="1"/>
        <v>0</v>
      </c>
      <c r="E384" s="274"/>
      <c r="F384" s="275"/>
    </row>
    <row r="385" hidden="1">
      <c r="A385" s="193">
        <v>16180.0</v>
      </c>
      <c r="B385" s="214">
        <f>VLOOKUP(A385,'Solicitações'!B:B,1,0)</f>
        <v>16180</v>
      </c>
      <c r="C385" s="214">
        <f t="shared" si="1"/>
        <v>0</v>
      </c>
      <c r="E385" s="274"/>
      <c r="F385" s="275"/>
    </row>
    <row r="386" hidden="1">
      <c r="A386" s="193">
        <v>16200.0</v>
      </c>
      <c r="B386" s="214">
        <f>VLOOKUP(A386,'Solicitações'!B:B,1,0)</f>
        <v>16200</v>
      </c>
      <c r="C386" s="214">
        <f t="shared" si="1"/>
        <v>0</v>
      </c>
      <c r="E386" s="274"/>
      <c r="F386" s="275"/>
    </row>
    <row r="387" hidden="1">
      <c r="A387" s="193">
        <v>16220.0</v>
      </c>
      <c r="B387" s="214">
        <f>VLOOKUP(A387,'Solicitações'!B:B,1,0)</f>
        <v>16220</v>
      </c>
      <c r="C387" s="214">
        <f t="shared" si="1"/>
        <v>0</v>
      </c>
      <c r="E387" s="274"/>
      <c r="F387" s="275"/>
    </row>
    <row r="388" hidden="1">
      <c r="A388" s="193">
        <v>16221.0</v>
      </c>
      <c r="B388" s="214">
        <f>VLOOKUP(A388,'Solicitações'!B:B,1,0)</f>
        <v>16221</v>
      </c>
      <c r="C388" s="214">
        <f t="shared" si="1"/>
        <v>0</v>
      </c>
      <c r="E388" s="274"/>
      <c r="F388" s="275"/>
    </row>
    <row r="389" hidden="1">
      <c r="A389" s="193">
        <v>16240.0</v>
      </c>
      <c r="B389" s="214">
        <f>VLOOKUP(A389,'Solicitações'!B:B,1,0)</f>
        <v>16240</v>
      </c>
      <c r="C389" s="214">
        <f t="shared" si="1"/>
        <v>0</v>
      </c>
      <c r="E389" s="274"/>
      <c r="F389" s="275"/>
    </row>
    <row r="390" hidden="1">
      <c r="A390" s="193">
        <v>16260.0</v>
      </c>
      <c r="B390" s="214">
        <f>VLOOKUP(A390,'Solicitações'!B:B,1,0)</f>
        <v>16260</v>
      </c>
      <c r="C390" s="214">
        <f t="shared" si="1"/>
        <v>0</v>
      </c>
      <c r="E390" s="274"/>
      <c r="F390" s="275"/>
    </row>
    <row r="391" hidden="1">
      <c r="A391" s="193">
        <v>16280.0</v>
      </c>
      <c r="B391" s="214">
        <f>VLOOKUP(A391,'Solicitações'!B:B,1,0)</f>
        <v>16280</v>
      </c>
      <c r="C391" s="214">
        <f t="shared" si="1"/>
        <v>0</v>
      </c>
      <c r="E391" s="274"/>
      <c r="F391" s="275"/>
    </row>
    <row r="392" hidden="1">
      <c r="A392" s="193">
        <v>16300.0</v>
      </c>
      <c r="B392" s="214">
        <f>VLOOKUP(A392,'Solicitações'!B:B,1,0)</f>
        <v>16300</v>
      </c>
      <c r="C392" s="214">
        <f t="shared" si="1"/>
        <v>0</v>
      </c>
      <c r="E392" s="274"/>
      <c r="F392" s="275"/>
    </row>
    <row r="393" hidden="1">
      <c r="A393" s="193">
        <v>16320.0</v>
      </c>
      <c r="B393" s="214">
        <f>VLOOKUP(A393,'Solicitações'!B:B,1,0)</f>
        <v>16320</v>
      </c>
      <c r="C393" s="214">
        <f t="shared" si="1"/>
        <v>0</v>
      </c>
      <c r="E393" s="274"/>
      <c r="F393" s="275"/>
    </row>
    <row r="394" hidden="1">
      <c r="A394" s="193">
        <v>16340.0</v>
      </c>
      <c r="B394" s="214">
        <f>VLOOKUP(A394,'Solicitações'!B:B,1,0)</f>
        <v>16340</v>
      </c>
      <c r="C394" s="214">
        <f t="shared" si="1"/>
        <v>0</v>
      </c>
      <c r="E394" s="274"/>
      <c r="F394" s="275"/>
    </row>
    <row r="395" hidden="1">
      <c r="A395" s="193">
        <v>16360.0</v>
      </c>
      <c r="B395" s="214">
        <f>VLOOKUP(A395,'Solicitações'!B:B,1,0)</f>
        <v>16360</v>
      </c>
      <c r="C395" s="214">
        <f t="shared" si="1"/>
        <v>0</v>
      </c>
      <c r="E395" s="274"/>
      <c r="F395" s="275"/>
    </row>
    <row r="396" hidden="1">
      <c r="A396" s="193">
        <v>16380.0</v>
      </c>
      <c r="B396" s="214">
        <f>VLOOKUP(A396,'Solicitações'!B:B,1,0)</f>
        <v>16380</v>
      </c>
      <c r="C396" s="214">
        <f t="shared" si="1"/>
        <v>0</v>
      </c>
      <c r="E396" s="274"/>
      <c r="F396" s="275"/>
    </row>
    <row r="397" hidden="1">
      <c r="A397" s="193">
        <v>16400.0</v>
      </c>
      <c r="B397" s="214">
        <f>VLOOKUP(A397,'Solicitações'!B:B,1,0)</f>
        <v>16400</v>
      </c>
      <c r="C397" s="214">
        <f t="shared" si="1"/>
        <v>0</v>
      </c>
      <c r="E397" s="274"/>
      <c r="F397" s="275"/>
    </row>
    <row r="398" hidden="1">
      <c r="A398" s="193">
        <v>16420.0</v>
      </c>
      <c r="B398" s="214">
        <f>VLOOKUP(A398,'Solicitações'!B:B,1,0)</f>
        <v>16420</v>
      </c>
      <c r="C398" s="214">
        <f t="shared" si="1"/>
        <v>0</v>
      </c>
      <c r="E398" s="274"/>
      <c r="F398" s="275"/>
    </row>
    <row r="399" hidden="1">
      <c r="A399" s="193">
        <v>16440.0</v>
      </c>
      <c r="B399" s="214">
        <f>VLOOKUP(A399,'Solicitações'!B:B,1,0)</f>
        <v>16440</v>
      </c>
      <c r="C399" s="214">
        <f t="shared" si="1"/>
        <v>0</v>
      </c>
      <c r="E399" s="274"/>
      <c r="F399" s="275"/>
    </row>
    <row r="400" hidden="1">
      <c r="A400" s="193">
        <v>16460.0</v>
      </c>
      <c r="B400" s="214">
        <f>VLOOKUP(A400,'Solicitações'!B:B,1,0)</f>
        <v>16460</v>
      </c>
      <c r="C400" s="214">
        <f t="shared" si="1"/>
        <v>0</v>
      </c>
      <c r="E400" s="274"/>
      <c r="F400" s="275"/>
    </row>
    <row r="401" hidden="1">
      <c r="A401" s="193">
        <v>16480.0</v>
      </c>
      <c r="B401" s="214">
        <f>VLOOKUP(A401,'Solicitações'!B:B,1,0)</f>
        <v>16480</v>
      </c>
      <c r="C401" s="214">
        <f t="shared" si="1"/>
        <v>0</v>
      </c>
      <c r="E401" s="274"/>
      <c r="F401" s="275"/>
    </row>
    <row r="402" hidden="1">
      <c r="A402" s="193">
        <v>16500.0</v>
      </c>
      <c r="B402" s="214">
        <f>VLOOKUP(A402,'Solicitações'!B:B,1,0)</f>
        <v>16500</v>
      </c>
      <c r="C402" s="214">
        <f t="shared" si="1"/>
        <v>0</v>
      </c>
      <c r="E402" s="274"/>
      <c r="F402" s="275"/>
    </row>
    <row r="403" hidden="1">
      <c r="A403" s="193">
        <v>16520.0</v>
      </c>
      <c r="B403" s="214">
        <f>VLOOKUP(A403,'Solicitações'!B:B,1,0)</f>
        <v>16520</v>
      </c>
      <c r="C403" s="214">
        <f t="shared" si="1"/>
        <v>0</v>
      </c>
      <c r="E403" s="274"/>
      <c r="F403" s="275"/>
    </row>
    <row r="404" hidden="1">
      <c r="A404" s="193">
        <v>16540.0</v>
      </c>
      <c r="B404" s="214">
        <f>VLOOKUP(A404,'Solicitações'!B:B,1,0)</f>
        <v>16540</v>
      </c>
      <c r="C404" s="214">
        <f t="shared" si="1"/>
        <v>0</v>
      </c>
      <c r="E404" s="274"/>
      <c r="F404" s="275"/>
    </row>
    <row r="405" hidden="1">
      <c r="A405" s="193">
        <v>16560.0</v>
      </c>
      <c r="B405" s="214">
        <f>VLOOKUP(A405,'Solicitações'!B:B,1,0)</f>
        <v>16560</v>
      </c>
      <c r="C405" s="214">
        <f t="shared" si="1"/>
        <v>0</v>
      </c>
      <c r="E405" s="274"/>
      <c r="F405" s="275"/>
    </row>
    <row r="406" hidden="1">
      <c r="A406" s="193">
        <v>16561.0</v>
      </c>
      <c r="B406" s="214">
        <f>VLOOKUP(A406,'Solicitações'!B:B,1,0)</f>
        <v>16561</v>
      </c>
      <c r="C406" s="214">
        <f t="shared" si="1"/>
        <v>0</v>
      </c>
      <c r="E406" s="274"/>
      <c r="F406" s="275"/>
    </row>
    <row r="407" hidden="1">
      <c r="A407" s="193">
        <v>16580.0</v>
      </c>
      <c r="B407" s="214">
        <f>VLOOKUP(A407,'Solicitações'!B:B,1,0)</f>
        <v>16580</v>
      </c>
      <c r="C407" s="214">
        <f t="shared" si="1"/>
        <v>0</v>
      </c>
      <c r="E407" s="274"/>
      <c r="F407" s="275"/>
    </row>
    <row r="408" hidden="1">
      <c r="A408" s="193">
        <v>16600.0</v>
      </c>
      <c r="B408" s="214">
        <f>VLOOKUP(A408,'Solicitações'!B:B,1,0)</f>
        <v>16600</v>
      </c>
      <c r="C408" s="214">
        <f t="shared" si="1"/>
        <v>0</v>
      </c>
      <c r="E408" s="274"/>
      <c r="F408" s="275"/>
    </row>
    <row r="409" hidden="1">
      <c r="A409" s="193">
        <v>16620.0</v>
      </c>
      <c r="B409" s="214">
        <f>VLOOKUP(A409,'Solicitações'!B:B,1,0)</f>
        <v>16620</v>
      </c>
      <c r="C409" s="214">
        <f t="shared" si="1"/>
        <v>0</v>
      </c>
      <c r="E409" s="274"/>
      <c r="F409" s="275"/>
    </row>
    <row r="410" hidden="1">
      <c r="A410" s="193">
        <v>16640.0</v>
      </c>
      <c r="B410" s="214">
        <f>VLOOKUP(A410,'Solicitações'!B:B,1,0)</f>
        <v>16640</v>
      </c>
      <c r="C410" s="214">
        <f t="shared" si="1"/>
        <v>0</v>
      </c>
      <c r="E410" s="274"/>
      <c r="F410" s="275"/>
    </row>
    <row r="411" hidden="1">
      <c r="A411" s="193">
        <v>16660.0</v>
      </c>
      <c r="B411" s="214">
        <f>VLOOKUP(A411,'Solicitações'!B:B,1,0)</f>
        <v>16660</v>
      </c>
      <c r="C411" s="214">
        <f t="shared" si="1"/>
        <v>0</v>
      </c>
      <c r="E411" s="274"/>
      <c r="F411" s="275"/>
    </row>
    <row r="412" hidden="1">
      <c r="A412" s="193">
        <v>16680.0</v>
      </c>
      <c r="B412" s="214">
        <f>VLOOKUP(A412,'Solicitações'!B:B,1,0)</f>
        <v>16680</v>
      </c>
      <c r="C412" s="214">
        <f t="shared" si="1"/>
        <v>0</v>
      </c>
      <c r="E412" s="274"/>
      <c r="F412" s="275"/>
    </row>
    <row r="413" hidden="1">
      <c r="A413" s="193">
        <v>16700.0</v>
      </c>
      <c r="B413" s="214">
        <f>VLOOKUP(A413,'Solicitações'!B:B,1,0)</f>
        <v>16700</v>
      </c>
      <c r="C413" s="214">
        <f t="shared" si="1"/>
        <v>0</v>
      </c>
      <c r="E413" s="274"/>
      <c r="F413" s="275"/>
    </row>
    <row r="414" hidden="1">
      <c r="A414" s="193">
        <v>16720.0</v>
      </c>
      <c r="B414" s="214">
        <f>VLOOKUP(A414,'Solicitações'!B:B,1,0)</f>
        <v>16720</v>
      </c>
      <c r="C414" s="214">
        <f t="shared" si="1"/>
        <v>0</v>
      </c>
      <c r="E414" s="274"/>
      <c r="F414" s="275"/>
    </row>
    <row r="415" hidden="1">
      <c r="A415" s="193">
        <v>16740.0</v>
      </c>
      <c r="B415" s="214">
        <f>VLOOKUP(A415,'Solicitações'!B:B,1,0)</f>
        <v>16740</v>
      </c>
      <c r="C415" s="214">
        <f t="shared" si="1"/>
        <v>0</v>
      </c>
      <c r="E415" s="274"/>
      <c r="F415" s="275"/>
    </row>
    <row r="416" hidden="1">
      <c r="A416" s="193">
        <v>16741.0</v>
      </c>
      <c r="B416" s="214">
        <f>VLOOKUP(A416,'Solicitações'!B:B,1,0)</f>
        <v>16741</v>
      </c>
      <c r="C416" s="214">
        <f t="shared" si="1"/>
        <v>0</v>
      </c>
      <c r="E416" s="274"/>
      <c r="F416" s="275"/>
    </row>
    <row r="417" hidden="1">
      <c r="A417" s="193">
        <v>16760.0</v>
      </c>
      <c r="B417" s="214">
        <f>VLOOKUP(A417,'Solicitações'!B:B,1,0)</f>
        <v>16760</v>
      </c>
      <c r="C417" s="214">
        <f t="shared" si="1"/>
        <v>0</v>
      </c>
      <c r="E417" s="274"/>
      <c r="F417" s="275"/>
    </row>
    <row r="418" hidden="1">
      <c r="A418" s="193">
        <v>16780.0</v>
      </c>
      <c r="B418" s="214">
        <f>VLOOKUP(A418,'Solicitações'!B:B,1,0)</f>
        <v>16780</v>
      </c>
      <c r="C418" s="214">
        <f t="shared" si="1"/>
        <v>0</v>
      </c>
      <c r="E418" s="274"/>
      <c r="F418" s="275"/>
    </row>
    <row r="419" hidden="1">
      <c r="A419" s="193">
        <v>16800.0</v>
      </c>
      <c r="B419" s="214">
        <f>VLOOKUP(A419,'Solicitações'!B:B,1,0)</f>
        <v>16800</v>
      </c>
      <c r="C419" s="214">
        <f t="shared" si="1"/>
        <v>0</v>
      </c>
      <c r="E419" s="274"/>
      <c r="F419" s="275"/>
    </row>
    <row r="420" hidden="1">
      <c r="A420" s="193">
        <v>16820.0</v>
      </c>
      <c r="B420" s="214">
        <f>VLOOKUP(A420,'Solicitações'!B:B,1,0)</f>
        <v>16820</v>
      </c>
      <c r="C420" s="214">
        <f t="shared" si="1"/>
        <v>0</v>
      </c>
      <c r="E420" s="274"/>
      <c r="F420" s="275"/>
    </row>
    <row r="421" hidden="1">
      <c r="A421" s="193">
        <v>16821.0</v>
      </c>
      <c r="B421" s="214">
        <f>VLOOKUP(A421,'Solicitações'!B:B,1,0)</f>
        <v>16821</v>
      </c>
      <c r="C421" s="214">
        <f t="shared" si="1"/>
        <v>0</v>
      </c>
      <c r="E421" s="274"/>
      <c r="F421" s="275"/>
    </row>
    <row r="422" hidden="1">
      <c r="A422" s="193">
        <v>16840.0</v>
      </c>
      <c r="B422" s="214">
        <f>VLOOKUP(A422,'Solicitações'!B:B,1,0)</f>
        <v>16840</v>
      </c>
      <c r="C422" s="214">
        <f t="shared" si="1"/>
        <v>0</v>
      </c>
      <c r="E422" s="274"/>
      <c r="F422" s="275"/>
    </row>
    <row r="423" hidden="1">
      <c r="A423" s="193">
        <v>16860.0</v>
      </c>
      <c r="B423" s="214">
        <f>VLOOKUP(A423,'Solicitações'!B:B,1,0)</f>
        <v>16860</v>
      </c>
      <c r="C423" s="214">
        <f t="shared" si="1"/>
        <v>0</v>
      </c>
      <c r="E423" s="274"/>
      <c r="F423" s="275"/>
    </row>
    <row r="424" hidden="1">
      <c r="A424" s="193">
        <v>16861.0</v>
      </c>
      <c r="B424" s="214">
        <f>VLOOKUP(A424,'Solicitações'!B:B,1,0)</f>
        <v>16861</v>
      </c>
      <c r="C424" s="214">
        <f t="shared" si="1"/>
        <v>0</v>
      </c>
      <c r="E424" s="274"/>
      <c r="F424" s="275"/>
    </row>
    <row r="425" hidden="1">
      <c r="A425" s="193">
        <v>16880.0</v>
      </c>
      <c r="B425" s="214">
        <f>VLOOKUP(A425,'Solicitações'!B:B,1,0)</f>
        <v>16880</v>
      </c>
      <c r="C425" s="214">
        <f t="shared" si="1"/>
        <v>0</v>
      </c>
      <c r="E425" s="274"/>
      <c r="F425" s="275"/>
    </row>
    <row r="426" hidden="1">
      <c r="A426" s="193">
        <v>16900.0</v>
      </c>
      <c r="B426" s="214">
        <f>VLOOKUP(A426,'Solicitações'!B:B,1,0)</f>
        <v>16900</v>
      </c>
      <c r="C426" s="214">
        <f t="shared" si="1"/>
        <v>0</v>
      </c>
      <c r="E426" s="274"/>
      <c r="F426" s="275"/>
    </row>
    <row r="427" hidden="1">
      <c r="A427" s="193">
        <v>16920.0</v>
      </c>
      <c r="B427" s="214">
        <f>VLOOKUP(A427,'Solicitações'!B:B,1,0)</f>
        <v>16920</v>
      </c>
      <c r="C427" s="214">
        <f t="shared" si="1"/>
        <v>0</v>
      </c>
      <c r="E427" s="274"/>
      <c r="F427" s="275"/>
    </row>
    <row r="428" hidden="1">
      <c r="A428" s="193">
        <v>16940.0</v>
      </c>
      <c r="B428" s="214">
        <f>VLOOKUP(A428,'Solicitações'!B:B,1,0)</f>
        <v>16940</v>
      </c>
      <c r="C428" s="214">
        <f t="shared" si="1"/>
        <v>0</v>
      </c>
      <c r="E428" s="274"/>
      <c r="F428" s="275"/>
    </row>
    <row r="429" hidden="1">
      <c r="A429" s="193">
        <v>16960.0</v>
      </c>
      <c r="B429" s="214">
        <f>VLOOKUP(A429,'Solicitações'!B:B,1,0)</f>
        <v>16960</v>
      </c>
      <c r="C429" s="214">
        <f t="shared" si="1"/>
        <v>0</v>
      </c>
      <c r="E429" s="274"/>
      <c r="F429" s="275"/>
    </row>
    <row r="430" hidden="1">
      <c r="A430" s="193">
        <v>16980.0</v>
      </c>
      <c r="B430" s="214">
        <f>VLOOKUP(A430,'Solicitações'!B:B,1,0)</f>
        <v>16980</v>
      </c>
      <c r="C430" s="214">
        <f t="shared" si="1"/>
        <v>0</v>
      </c>
      <c r="E430" s="274"/>
      <c r="F430" s="275"/>
    </row>
    <row r="431" hidden="1">
      <c r="A431" s="193">
        <v>17000.0</v>
      </c>
      <c r="B431" s="214">
        <f>VLOOKUP(A431,'Solicitações'!B:B,1,0)</f>
        <v>17000</v>
      </c>
      <c r="C431" s="214">
        <f t="shared" si="1"/>
        <v>0</v>
      </c>
      <c r="E431" s="274"/>
      <c r="F431" s="275"/>
    </row>
    <row r="432" hidden="1">
      <c r="A432" s="193">
        <v>17020.0</v>
      </c>
      <c r="B432" s="214">
        <f>VLOOKUP(A432,'Solicitações'!B:B,1,0)</f>
        <v>17020</v>
      </c>
      <c r="C432" s="214">
        <f t="shared" si="1"/>
        <v>0</v>
      </c>
      <c r="E432" s="274"/>
      <c r="F432" s="275"/>
    </row>
    <row r="433" hidden="1">
      <c r="A433" s="193">
        <v>17040.0</v>
      </c>
      <c r="B433" s="214">
        <f>VLOOKUP(A433,'Solicitações'!B:B,1,0)</f>
        <v>17040</v>
      </c>
      <c r="C433" s="214">
        <f t="shared" si="1"/>
        <v>0</v>
      </c>
      <c r="E433" s="274"/>
      <c r="F433" s="275"/>
    </row>
    <row r="434" hidden="1">
      <c r="A434" s="193">
        <v>17041.0</v>
      </c>
      <c r="B434" s="214">
        <f>VLOOKUP(A434,'Solicitações'!B:B,1,0)</f>
        <v>17041</v>
      </c>
      <c r="C434" s="214">
        <f t="shared" si="1"/>
        <v>0</v>
      </c>
      <c r="E434" s="274"/>
      <c r="F434" s="275"/>
    </row>
    <row r="435" hidden="1">
      <c r="A435" s="193">
        <v>17060.0</v>
      </c>
      <c r="B435" s="214">
        <f>VLOOKUP(A435,'Solicitações'!B:B,1,0)</f>
        <v>17060</v>
      </c>
      <c r="C435" s="214">
        <f t="shared" si="1"/>
        <v>0</v>
      </c>
      <c r="E435" s="274"/>
      <c r="F435" s="275"/>
    </row>
    <row r="436" hidden="1">
      <c r="A436" s="193">
        <v>17080.0</v>
      </c>
      <c r="B436" s="214">
        <f>VLOOKUP(A436,'Solicitações'!B:B,1,0)</f>
        <v>17080</v>
      </c>
      <c r="C436" s="214">
        <f t="shared" si="1"/>
        <v>0</v>
      </c>
      <c r="E436" s="274"/>
      <c r="F436" s="275"/>
    </row>
    <row r="437" hidden="1">
      <c r="A437" s="193">
        <v>17100.0</v>
      </c>
      <c r="B437" s="214">
        <f>VLOOKUP(A437,'Solicitações'!B:B,1,0)</f>
        <v>17100</v>
      </c>
      <c r="C437" s="214">
        <f t="shared" si="1"/>
        <v>0</v>
      </c>
      <c r="E437" s="274"/>
      <c r="F437" s="275"/>
    </row>
    <row r="438" hidden="1">
      <c r="A438" s="193">
        <v>17120.0</v>
      </c>
      <c r="B438" s="214">
        <f>VLOOKUP(A438,'Solicitações'!B:B,1,0)</f>
        <v>17120</v>
      </c>
      <c r="C438" s="214">
        <f t="shared" si="1"/>
        <v>0</v>
      </c>
      <c r="E438" s="274"/>
      <c r="F438" s="275"/>
    </row>
    <row r="439" hidden="1">
      <c r="A439" s="193">
        <v>17140.0</v>
      </c>
      <c r="B439" s="214">
        <f>VLOOKUP(A439,'Solicitações'!B:B,1,0)</f>
        <v>17140</v>
      </c>
      <c r="C439" s="214">
        <f t="shared" si="1"/>
        <v>0</v>
      </c>
      <c r="E439" s="274"/>
      <c r="F439" s="275"/>
    </row>
    <row r="440" hidden="1">
      <c r="A440" s="193">
        <v>17160.0</v>
      </c>
      <c r="B440" s="214">
        <f>VLOOKUP(A440,'Solicitações'!B:B,1,0)</f>
        <v>17160</v>
      </c>
      <c r="C440" s="214">
        <f t="shared" si="1"/>
        <v>0</v>
      </c>
      <c r="E440" s="274"/>
      <c r="F440" s="275"/>
    </row>
    <row r="441" hidden="1">
      <c r="A441" s="193">
        <v>17180.0</v>
      </c>
      <c r="B441" s="214">
        <f>VLOOKUP(A441,'Solicitações'!B:B,1,0)</f>
        <v>17180</v>
      </c>
      <c r="C441" s="214">
        <f t="shared" si="1"/>
        <v>0</v>
      </c>
      <c r="E441" s="274"/>
      <c r="F441" s="275"/>
    </row>
    <row r="442" hidden="1">
      <c r="A442" s="193">
        <v>17200.0</v>
      </c>
      <c r="B442" s="214">
        <f>VLOOKUP(A442,'Solicitações'!B:B,1,0)</f>
        <v>17200</v>
      </c>
      <c r="C442" s="214">
        <f t="shared" si="1"/>
        <v>0</v>
      </c>
      <c r="E442" s="274"/>
      <c r="F442" s="275"/>
    </row>
    <row r="443" hidden="1">
      <c r="A443" s="193">
        <v>17201.0</v>
      </c>
      <c r="B443" s="214">
        <f>VLOOKUP(A443,'Solicitações'!B:B,1,0)</f>
        <v>17201</v>
      </c>
      <c r="C443" s="214">
        <f t="shared" si="1"/>
        <v>0</v>
      </c>
      <c r="E443" s="274"/>
      <c r="F443" s="275"/>
    </row>
    <row r="444" hidden="1">
      <c r="A444" s="193">
        <v>17220.0</v>
      </c>
      <c r="B444" s="214">
        <f>VLOOKUP(A444,'Solicitações'!B:B,1,0)</f>
        <v>17220</v>
      </c>
      <c r="C444" s="214">
        <f t="shared" si="1"/>
        <v>0</v>
      </c>
      <c r="E444" s="274"/>
      <c r="F444" s="275"/>
    </row>
    <row r="445" hidden="1">
      <c r="A445" s="193">
        <v>17240.0</v>
      </c>
      <c r="B445" s="214">
        <f>VLOOKUP(A445,'Solicitações'!B:B,1,0)</f>
        <v>17240</v>
      </c>
      <c r="C445" s="214">
        <f t="shared" si="1"/>
        <v>0</v>
      </c>
      <c r="E445" s="274"/>
      <c r="F445" s="275"/>
    </row>
    <row r="446" hidden="1">
      <c r="A446" s="193">
        <v>17260.0</v>
      </c>
      <c r="B446" s="214">
        <f>VLOOKUP(A446,'Solicitações'!B:B,1,0)</f>
        <v>17260</v>
      </c>
      <c r="C446" s="214">
        <f t="shared" si="1"/>
        <v>0</v>
      </c>
      <c r="E446" s="274"/>
      <c r="F446" s="275"/>
    </row>
    <row r="447" hidden="1">
      <c r="A447" s="193">
        <v>17261.0</v>
      </c>
      <c r="B447" s="214">
        <f>VLOOKUP(A447,'Solicitações'!B:B,1,0)</f>
        <v>17261</v>
      </c>
      <c r="C447" s="214">
        <f t="shared" si="1"/>
        <v>0</v>
      </c>
      <c r="E447" s="274"/>
      <c r="F447" s="275"/>
    </row>
    <row r="448" hidden="1">
      <c r="A448" s="193">
        <v>17280.0</v>
      </c>
      <c r="B448" s="214">
        <f>VLOOKUP(A448,'Solicitações'!B:B,1,0)</f>
        <v>17280</v>
      </c>
      <c r="C448" s="214">
        <f t="shared" si="1"/>
        <v>0</v>
      </c>
      <c r="E448" s="274"/>
      <c r="F448" s="275"/>
    </row>
    <row r="449" hidden="1">
      <c r="A449" s="193">
        <v>17300.0</v>
      </c>
      <c r="B449" s="214">
        <f>VLOOKUP(A449,'Solicitações'!B:B,1,0)</f>
        <v>17300</v>
      </c>
      <c r="C449" s="214">
        <f t="shared" si="1"/>
        <v>0</v>
      </c>
      <c r="E449" s="274"/>
      <c r="F449" s="275"/>
    </row>
    <row r="450" hidden="1">
      <c r="A450" s="193">
        <v>17320.0</v>
      </c>
      <c r="B450" s="214">
        <f>VLOOKUP(A450,'Solicitações'!B:B,1,0)</f>
        <v>17320</v>
      </c>
      <c r="C450" s="214">
        <f t="shared" si="1"/>
        <v>0</v>
      </c>
      <c r="E450" s="274"/>
      <c r="F450" s="275"/>
    </row>
    <row r="451" hidden="1">
      <c r="A451" s="193">
        <v>17340.0</v>
      </c>
      <c r="B451" s="214">
        <f>VLOOKUP(A451,'Solicitações'!B:B,1,0)</f>
        <v>17340</v>
      </c>
      <c r="C451" s="214">
        <f t="shared" si="1"/>
        <v>0</v>
      </c>
      <c r="E451" s="274"/>
      <c r="F451" s="275"/>
    </row>
    <row r="452" hidden="1">
      <c r="A452" s="193">
        <v>17360.0</v>
      </c>
      <c r="B452" s="214">
        <f>VLOOKUP(A452,'Solicitações'!B:B,1,0)</f>
        <v>17360</v>
      </c>
      <c r="C452" s="214">
        <f t="shared" si="1"/>
        <v>0</v>
      </c>
      <c r="E452" s="274"/>
      <c r="F452" s="275"/>
    </row>
    <row r="453" hidden="1">
      <c r="A453" s="193">
        <v>17380.0</v>
      </c>
      <c r="B453" s="214">
        <f>VLOOKUP(A453,'Solicitações'!B:B,1,0)</f>
        <v>17380</v>
      </c>
      <c r="C453" s="214">
        <f t="shared" si="1"/>
        <v>0</v>
      </c>
      <c r="E453" s="274"/>
      <c r="F453" s="275"/>
    </row>
    <row r="454" hidden="1">
      <c r="A454" s="193">
        <v>17400.0</v>
      </c>
      <c r="B454" s="214">
        <f>VLOOKUP(A454,'Solicitações'!B:B,1,0)</f>
        <v>17400</v>
      </c>
      <c r="C454" s="214">
        <f t="shared" si="1"/>
        <v>0</v>
      </c>
      <c r="E454" s="274"/>
      <c r="F454" s="275"/>
    </row>
    <row r="455" hidden="1">
      <c r="A455" s="193">
        <v>17420.0</v>
      </c>
      <c r="B455" s="214">
        <f>VLOOKUP(A455,'Solicitações'!B:B,1,0)</f>
        <v>17420</v>
      </c>
      <c r="C455" s="214">
        <f t="shared" si="1"/>
        <v>0</v>
      </c>
      <c r="E455" s="274"/>
      <c r="F455" s="275"/>
    </row>
    <row r="456" hidden="1">
      <c r="A456" s="193">
        <v>17440.0</v>
      </c>
      <c r="B456" s="214">
        <f>VLOOKUP(A456,'Solicitações'!B:B,1,0)</f>
        <v>17440</v>
      </c>
      <c r="C456" s="214">
        <f t="shared" si="1"/>
        <v>0</v>
      </c>
      <c r="E456" s="274"/>
      <c r="F456" s="275"/>
    </row>
    <row r="457" hidden="1">
      <c r="A457" s="193">
        <v>17460.0</v>
      </c>
      <c r="B457" s="214">
        <f>VLOOKUP(A457,'Solicitações'!B:B,1,0)</f>
        <v>17460</v>
      </c>
      <c r="C457" s="214">
        <f t="shared" si="1"/>
        <v>0</v>
      </c>
      <c r="E457" s="274"/>
      <c r="F457" s="275"/>
    </row>
    <row r="458" hidden="1">
      <c r="A458" s="193">
        <v>17480.0</v>
      </c>
      <c r="B458" s="214">
        <f>VLOOKUP(A458,'Solicitações'!B:B,1,0)</f>
        <v>17480</v>
      </c>
      <c r="C458" s="214">
        <f t="shared" si="1"/>
        <v>0</v>
      </c>
      <c r="E458" s="274"/>
      <c r="F458" s="275"/>
    </row>
    <row r="459" hidden="1">
      <c r="A459" s="193">
        <v>17500.0</v>
      </c>
      <c r="B459" s="214">
        <f>VLOOKUP(A459,'Solicitações'!B:B,1,0)</f>
        <v>17500</v>
      </c>
      <c r="C459" s="214">
        <f t="shared" si="1"/>
        <v>0</v>
      </c>
      <c r="E459" s="274"/>
      <c r="F459" s="275"/>
    </row>
    <row r="460" hidden="1">
      <c r="A460" s="193">
        <v>17501.0</v>
      </c>
      <c r="B460" s="214">
        <f>VLOOKUP(A460,'Solicitações'!B:B,1,0)</f>
        <v>17501</v>
      </c>
      <c r="C460" s="214">
        <f t="shared" si="1"/>
        <v>0</v>
      </c>
      <c r="E460" s="274"/>
      <c r="F460" s="275"/>
    </row>
    <row r="461" hidden="1">
      <c r="A461" s="193">
        <v>17502.0</v>
      </c>
      <c r="B461" s="214">
        <f>VLOOKUP(A461,'Solicitações'!B:B,1,0)</f>
        <v>17502</v>
      </c>
      <c r="C461" s="214">
        <f t="shared" si="1"/>
        <v>0</v>
      </c>
      <c r="E461" s="274"/>
      <c r="F461" s="275"/>
    </row>
    <row r="462" hidden="1">
      <c r="A462" s="193">
        <v>17520.0</v>
      </c>
      <c r="B462" s="214">
        <f>VLOOKUP(A462,'Solicitações'!B:B,1,0)</f>
        <v>17520</v>
      </c>
      <c r="C462" s="214">
        <f t="shared" si="1"/>
        <v>0</v>
      </c>
      <c r="E462" s="274"/>
      <c r="F462" s="275"/>
    </row>
    <row r="463" hidden="1">
      <c r="A463" s="193">
        <v>17540.0</v>
      </c>
      <c r="B463" s="214">
        <f>VLOOKUP(A463,'Solicitações'!B:B,1,0)</f>
        <v>17540</v>
      </c>
      <c r="C463" s="214">
        <f t="shared" si="1"/>
        <v>0</v>
      </c>
      <c r="E463" s="274"/>
      <c r="F463" s="275"/>
    </row>
    <row r="464" hidden="1">
      <c r="A464" s="193">
        <v>17560.0</v>
      </c>
      <c r="B464" s="214">
        <f>VLOOKUP(A464,'Solicitações'!B:B,1,0)</f>
        <v>17560</v>
      </c>
      <c r="C464" s="214">
        <f t="shared" si="1"/>
        <v>0</v>
      </c>
      <c r="E464" s="274"/>
      <c r="F464" s="275"/>
    </row>
    <row r="465" hidden="1">
      <c r="A465" s="193">
        <v>17580.0</v>
      </c>
      <c r="B465" s="214">
        <f>VLOOKUP(A465,'Solicitações'!B:B,1,0)</f>
        <v>17580</v>
      </c>
      <c r="C465" s="214">
        <f t="shared" si="1"/>
        <v>0</v>
      </c>
      <c r="E465" s="274"/>
      <c r="F465" s="275"/>
    </row>
    <row r="466" hidden="1">
      <c r="A466" s="193">
        <v>17600.0</v>
      </c>
      <c r="B466" s="214">
        <f>VLOOKUP(A466,'Solicitações'!B:B,1,0)</f>
        <v>17600</v>
      </c>
      <c r="C466" s="214">
        <f t="shared" si="1"/>
        <v>0</v>
      </c>
      <c r="E466" s="274"/>
      <c r="F466" s="275"/>
    </row>
    <row r="467" hidden="1">
      <c r="A467" s="193">
        <v>17620.0</v>
      </c>
      <c r="B467" s="214">
        <f>VLOOKUP(A467,'Solicitações'!B:B,1,0)</f>
        <v>17620</v>
      </c>
      <c r="C467" s="214">
        <f t="shared" si="1"/>
        <v>0</v>
      </c>
      <c r="E467" s="274"/>
      <c r="F467" s="275"/>
    </row>
    <row r="468" hidden="1">
      <c r="A468" s="193">
        <v>17640.0</v>
      </c>
      <c r="B468" s="214">
        <f>VLOOKUP(A468,'Solicitações'!B:B,1,0)</f>
        <v>17640</v>
      </c>
      <c r="C468" s="214">
        <f t="shared" si="1"/>
        <v>0</v>
      </c>
      <c r="E468" s="274"/>
      <c r="F468" s="275"/>
    </row>
    <row r="469" hidden="1">
      <c r="A469" s="193">
        <v>17660.0</v>
      </c>
      <c r="B469" s="214">
        <f>VLOOKUP(A469,'Solicitações'!B:B,1,0)</f>
        <v>17660</v>
      </c>
      <c r="C469" s="214">
        <f t="shared" si="1"/>
        <v>0</v>
      </c>
      <c r="E469" s="274"/>
      <c r="F469" s="275"/>
    </row>
    <row r="470" hidden="1">
      <c r="A470" s="193">
        <v>17661.0</v>
      </c>
      <c r="B470" s="214">
        <f>VLOOKUP(A470,'Solicitações'!B:B,1,0)</f>
        <v>17661</v>
      </c>
      <c r="C470" s="214">
        <f t="shared" si="1"/>
        <v>0</v>
      </c>
      <c r="E470" s="274"/>
      <c r="F470" s="275"/>
    </row>
    <row r="471" hidden="1">
      <c r="A471" s="193">
        <v>17662.0</v>
      </c>
      <c r="B471" s="214">
        <f>VLOOKUP(A471,'Solicitações'!B:B,1,0)</f>
        <v>17662</v>
      </c>
      <c r="C471" s="214">
        <f t="shared" si="1"/>
        <v>0</v>
      </c>
      <c r="E471" s="274"/>
      <c r="F471" s="275"/>
    </row>
    <row r="472" hidden="1">
      <c r="A472" s="193">
        <v>17663.0</v>
      </c>
      <c r="B472" s="214">
        <f>VLOOKUP(A472,'Solicitações'!B:B,1,0)</f>
        <v>17663</v>
      </c>
      <c r="C472" s="214">
        <f t="shared" si="1"/>
        <v>0</v>
      </c>
      <c r="E472" s="274"/>
      <c r="F472" s="275"/>
    </row>
    <row r="473" hidden="1">
      <c r="A473" s="193">
        <v>17680.0</v>
      </c>
      <c r="B473" s="214">
        <f>VLOOKUP(A473,'Solicitações'!B:B,1,0)</f>
        <v>17680</v>
      </c>
      <c r="C473" s="214">
        <f t="shared" si="1"/>
        <v>0</v>
      </c>
      <c r="E473" s="274"/>
      <c r="F473" s="275"/>
    </row>
    <row r="474" hidden="1">
      <c r="A474" s="193">
        <v>17700.0</v>
      </c>
      <c r="B474" s="214">
        <f>VLOOKUP(A474,'Solicitações'!B:B,1,0)</f>
        <v>17700</v>
      </c>
      <c r="C474" s="214">
        <f t="shared" si="1"/>
        <v>0</v>
      </c>
      <c r="E474" s="274"/>
      <c r="F474" s="275"/>
    </row>
    <row r="475" hidden="1">
      <c r="A475" s="193">
        <v>17720.0</v>
      </c>
      <c r="B475" s="214">
        <f>VLOOKUP(A475,'Solicitações'!B:B,1,0)</f>
        <v>17720</v>
      </c>
      <c r="C475" s="214">
        <f t="shared" si="1"/>
        <v>0</v>
      </c>
      <c r="E475" s="274"/>
      <c r="F475" s="275"/>
    </row>
    <row r="476" hidden="1">
      <c r="A476" s="193">
        <v>17740.0</v>
      </c>
      <c r="B476" s="214">
        <f>VLOOKUP(A476,'Solicitações'!B:B,1,0)</f>
        <v>17740</v>
      </c>
      <c r="C476" s="214">
        <f t="shared" si="1"/>
        <v>0</v>
      </c>
      <c r="E476" s="274"/>
      <c r="F476" s="275"/>
    </row>
    <row r="477" hidden="1">
      <c r="A477" s="193">
        <v>17760.0</v>
      </c>
      <c r="B477" s="214">
        <f>VLOOKUP(A477,'Solicitações'!B:B,1,0)</f>
        <v>17760</v>
      </c>
      <c r="C477" s="214">
        <f t="shared" si="1"/>
        <v>0</v>
      </c>
      <c r="E477" s="274"/>
      <c r="F477" s="275"/>
    </row>
    <row r="478" hidden="1">
      <c r="A478" s="193">
        <v>17761.0</v>
      </c>
      <c r="B478" s="214">
        <f>VLOOKUP(A478,'Solicitações'!B:B,1,0)</f>
        <v>17761</v>
      </c>
      <c r="C478" s="214">
        <f t="shared" si="1"/>
        <v>0</v>
      </c>
      <c r="E478" s="274"/>
      <c r="F478" s="275"/>
    </row>
    <row r="479" hidden="1">
      <c r="A479" s="193">
        <v>17762.0</v>
      </c>
      <c r="B479" s="214">
        <f>VLOOKUP(A479,'Solicitações'!B:B,1,0)</f>
        <v>17762</v>
      </c>
      <c r="C479" s="214">
        <f t="shared" si="1"/>
        <v>0</v>
      </c>
      <c r="E479" s="274"/>
      <c r="F479" s="275"/>
    </row>
    <row r="480" hidden="1">
      <c r="A480" s="193">
        <v>17763.0</v>
      </c>
      <c r="B480" s="214">
        <f>VLOOKUP(A480,'Solicitações'!B:B,1,0)</f>
        <v>17763</v>
      </c>
      <c r="C480" s="214">
        <f t="shared" si="1"/>
        <v>0</v>
      </c>
      <c r="E480" s="274"/>
      <c r="F480" s="275"/>
    </row>
    <row r="481" hidden="1">
      <c r="A481" s="193">
        <v>17764.0</v>
      </c>
      <c r="B481" s="214">
        <f>VLOOKUP(A481,'Solicitações'!B:B,1,0)</f>
        <v>17764</v>
      </c>
      <c r="C481" s="214">
        <f t="shared" si="1"/>
        <v>0</v>
      </c>
      <c r="E481" s="274"/>
      <c r="F481" s="275"/>
    </row>
    <row r="482" hidden="1">
      <c r="A482" s="193">
        <v>17765.0</v>
      </c>
      <c r="B482" s="214">
        <f>VLOOKUP(A482,'Solicitações'!B:B,1,0)</f>
        <v>17765</v>
      </c>
      <c r="C482" s="214">
        <f t="shared" si="1"/>
        <v>0</v>
      </c>
      <c r="E482" s="274"/>
      <c r="F482" s="275"/>
    </row>
    <row r="483" hidden="1">
      <c r="A483" s="193">
        <v>17780.0</v>
      </c>
      <c r="B483" s="214">
        <f>VLOOKUP(A483,'Solicitações'!B:B,1,0)</f>
        <v>17780</v>
      </c>
      <c r="C483" s="214">
        <f t="shared" si="1"/>
        <v>0</v>
      </c>
      <c r="E483" s="274"/>
      <c r="F483" s="275"/>
    </row>
    <row r="484" hidden="1">
      <c r="A484" s="193">
        <v>17781.0</v>
      </c>
      <c r="B484" s="214">
        <f>VLOOKUP(A484,'Solicitações'!B:B,1,0)</f>
        <v>17781</v>
      </c>
      <c r="C484" s="214">
        <f t="shared" si="1"/>
        <v>0</v>
      </c>
      <c r="E484" s="274"/>
      <c r="F484" s="275"/>
    </row>
    <row r="485" hidden="1">
      <c r="A485" s="193">
        <v>17800.0</v>
      </c>
      <c r="B485" s="214">
        <f>VLOOKUP(A485,'Solicitações'!B:B,1,0)</f>
        <v>17800</v>
      </c>
      <c r="C485" s="214">
        <f t="shared" si="1"/>
        <v>0</v>
      </c>
      <c r="E485" s="274"/>
      <c r="F485" s="275"/>
    </row>
    <row r="486" hidden="1">
      <c r="A486" s="193">
        <v>17820.0</v>
      </c>
      <c r="B486" s="214">
        <f>VLOOKUP(A486,'Solicitações'!B:B,1,0)</f>
        <v>17820</v>
      </c>
      <c r="C486" s="214">
        <f t="shared" si="1"/>
        <v>0</v>
      </c>
      <c r="E486" s="274"/>
      <c r="F486" s="275"/>
    </row>
    <row r="487" hidden="1">
      <c r="A487" s="193">
        <v>17840.0</v>
      </c>
      <c r="B487" s="214">
        <f>VLOOKUP(A487,'Solicitações'!B:B,1,0)</f>
        <v>17840</v>
      </c>
      <c r="C487" s="214">
        <f t="shared" si="1"/>
        <v>0</v>
      </c>
      <c r="E487" s="274"/>
      <c r="F487" s="275"/>
    </row>
    <row r="488" hidden="1">
      <c r="A488" s="193">
        <v>17841.0</v>
      </c>
      <c r="B488" s="214">
        <f>VLOOKUP(A488,'Solicitações'!B:B,1,0)</f>
        <v>17841</v>
      </c>
      <c r="C488" s="214">
        <f t="shared" si="1"/>
        <v>0</v>
      </c>
      <c r="E488" s="274"/>
      <c r="F488" s="275"/>
    </row>
    <row r="489" hidden="1">
      <c r="A489" s="193">
        <v>17860.0</v>
      </c>
      <c r="B489" s="214">
        <f>VLOOKUP(A489,'Solicitações'!B:B,1,0)</f>
        <v>17860</v>
      </c>
      <c r="C489" s="214">
        <f t="shared" si="1"/>
        <v>0</v>
      </c>
      <c r="E489" s="274"/>
      <c r="F489" s="275"/>
    </row>
    <row r="490" hidden="1">
      <c r="A490" s="193">
        <v>17880.0</v>
      </c>
      <c r="B490" s="214">
        <f>VLOOKUP(A490,'Solicitações'!B:B,1,0)</f>
        <v>17880</v>
      </c>
      <c r="C490" s="214">
        <f t="shared" si="1"/>
        <v>0</v>
      </c>
      <c r="E490" s="274"/>
      <c r="F490" s="275"/>
    </row>
    <row r="491" hidden="1">
      <c r="A491" s="193">
        <v>17900.0</v>
      </c>
      <c r="B491" s="214">
        <f>VLOOKUP(A491,'Solicitações'!B:B,1,0)</f>
        <v>17900</v>
      </c>
      <c r="C491" s="214">
        <f t="shared" si="1"/>
        <v>0</v>
      </c>
      <c r="E491" s="274"/>
      <c r="F491" s="275"/>
    </row>
    <row r="492" hidden="1">
      <c r="A492" s="193">
        <v>17920.0</v>
      </c>
      <c r="B492" s="214">
        <f>VLOOKUP(A492,'Solicitações'!B:B,1,0)</f>
        <v>17920</v>
      </c>
      <c r="C492" s="214">
        <f t="shared" si="1"/>
        <v>0</v>
      </c>
      <c r="E492" s="274"/>
      <c r="F492" s="275"/>
    </row>
    <row r="493" hidden="1">
      <c r="A493" s="193">
        <v>17940.0</v>
      </c>
      <c r="B493" s="214">
        <f>VLOOKUP(A493,'Solicitações'!B:B,1,0)</f>
        <v>17940</v>
      </c>
      <c r="C493" s="214">
        <f t="shared" si="1"/>
        <v>0</v>
      </c>
      <c r="E493" s="274"/>
      <c r="F493" s="275"/>
    </row>
    <row r="494" hidden="1">
      <c r="A494" s="193">
        <v>17960.0</v>
      </c>
      <c r="B494" s="214">
        <f>VLOOKUP(A494,'Solicitações'!B:B,1,0)</f>
        <v>17960</v>
      </c>
      <c r="C494" s="214">
        <f t="shared" si="1"/>
        <v>0</v>
      </c>
      <c r="E494" s="274"/>
      <c r="F494" s="275"/>
    </row>
    <row r="495" hidden="1">
      <c r="A495" s="193">
        <v>17980.0</v>
      </c>
      <c r="B495" s="214">
        <f>VLOOKUP(A495,'Solicitações'!B:B,1,0)</f>
        <v>17980</v>
      </c>
      <c r="C495" s="214">
        <f t="shared" si="1"/>
        <v>0</v>
      </c>
      <c r="E495" s="274"/>
      <c r="F495" s="275"/>
    </row>
    <row r="496" hidden="1">
      <c r="A496" s="193">
        <v>18000.0</v>
      </c>
      <c r="B496" s="214">
        <f>VLOOKUP(A496,'Solicitações'!B:B,1,0)</f>
        <v>18000</v>
      </c>
      <c r="C496" s="214">
        <f t="shared" si="1"/>
        <v>0</v>
      </c>
      <c r="E496" s="274"/>
      <c r="F496" s="275"/>
    </row>
    <row r="497" hidden="1">
      <c r="A497" s="193">
        <v>18020.0</v>
      </c>
      <c r="B497" s="214">
        <f>VLOOKUP(A497,'Solicitações'!B:B,1,0)</f>
        <v>18020</v>
      </c>
      <c r="C497" s="214">
        <f t="shared" si="1"/>
        <v>0</v>
      </c>
      <c r="E497" s="274"/>
      <c r="F497" s="275"/>
    </row>
    <row r="498" hidden="1">
      <c r="A498" s="193">
        <v>18040.0</v>
      </c>
      <c r="B498" s="214">
        <f>VLOOKUP(A498,'Solicitações'!B:B,1,0)</f>
        <v>18040</v>
      </c>
      <c r="C498" s="214">
        <f t="shared" si="1"/>
        <v>0</v>
      </c>
      <c r="E498" s="274"/>
      <c r="F498" s="275"/>
    </row>
    <row r="499" hidden="1">
      <c r="A499" s="193">
        <v>18060.0</v>
      </c>
      <c r="B499" s="214">
        <f>VLOOKUP(A499,'Solicitações'!B:B,1,0)</f>
        <v>18060</v>
      </c>
      <c r="C499" s="214">
        <f t="shared" si="1"/>
        <v>0</v>
      </c>
      <c r="E499" s="274"/>
      <c r="F499" s="275"/>
    </row>
    <row r="500" hidden="1">
      <c r="A500" s="193">
        <v>18080.0</v>
      </c>
      <c r="B500" s="214">
        <f>VLOOKUP(A500,'Solicitações'!B:B,1,0)</f>
        <v>18080</v>
      </c>
      <c r="C500" s="214">
        <f t="shared" si="1"/>
        <v>0</v>
      </c>
      <c r="E500" s="274"/>
      <c r="F500" s="275"/>
    </row>
    <row r="501" hidden="1">
      <c r="A501" s="193">
        <v>18081.0</v>
      </c>
      <c r="B501" s="214">
        <f>VLOOKUP(A501,'Solicitações'!B:B,1,0)</f>
        <v>18081</v>
      </c>
      <c r="C501" s="214">
        <f t="shared" si="1"/>
        <v>0</v>
      </c>
      <c r="E501" s="274"/>
      <c r="F501" s="275"/>
    </row>
    <row r="502" hidden="1">
      <c r="A502" s="193">
        <v>18100.0</v>
      </c>
      <c r="B502" s="214">
        <f>VLOOKUP(A502,'Solicitações'!B:B,1,0)</f>
        <v>18100</v>
      </c>
      <c r="C502" s="214">
        <f t="shared" si="1"/>
        <v>0</v>
      </c>
      <c r="E502" s="274"/>
      <c r="F502" s="275"/>
    </row>
    <row r="503" hidden="1">
      <c r="A503" s="193">
        <v>18120.0</v>
      </c>
      <c r="B503" s="214">
        <f>VLOOKUP(A503,'Solicitações'!B:B,1,0)</f>
        <v>18120</v>
      </c>
      <c r="C503" s="214">
        <f t="shared" si="1"/>
        <v>0</v>
      </c>
      <c r="E503" s="274"/>
      <c r="F503" s="275"/>
    </row>
    <row r="504" hidden="1">
      <c r="A504" s="193">
        <v>18140.0</v>
      </c>
      <c r="B504" s="214">
        <f>VLOOKUP(A504,'Solicitações'!B:B,1,0)</f>
        <v>18140</v>
      </c>
      <c r="C504" s="214">
        <f t="shared" si="1"/>
        <v>0</v>
      </c>
      <c r="E504" s="274"/>
      <c r="F504" s="275"/>
    </row>
    <row r="505" hidden="1">
      <c r="A505" s="193">
        <v>18160.0</v>
      </c>
      <c r="B505" s="214">
        <f>VLOOKUP(A505,'Solicitações'!B:B,1,0)</f>
        <v>18160</v>
      </c>
      <c r="C505" s="214">
        <f t="shared" si="1"/>
        <v>0</v>
      </c>
      <c r="E505" s="274"/>
      <c r="F505" s="275"/>
    </row>
    <row r="506" hidden="1">
      <c r="A506" s="193">
        <v>18180.0</v>
      </c>
      <c r="B506" s="214">
        <f>VLOOKUP(A506,'Solicitações'!B:B,1,0)</f>
        <v>18180</v>
      </c>
      <c r="C506" s="214">
        <f t="shared" si="1"/>
        <v>0</v>
      </c>
      <c r="E506" s="274"/>
      <c r="F506" s="275"/>
    </row>
    <row r="507" hidden="1">
      <c r="A507" s="193">
        <v>18200.0</v>
      </c>
      <c r="B507" s="214">
        <f>VLOOKUP(A507,'Solicitações'!B:B,1,0)</f>
        <v>18200</v>
      </c>
      <c r="C507" s="214">
        <f t="shared" si="1"/>
        <v>0</v>
      </c>
      <c r="E507" s="274"/>
      <c r="F507" s="275"/>
    </row>
    <row r="508" hidden="1">
      <c r="A508" s="193">
        <v>18220.0</v>
      </c>
      <c r="B508" s="214">
        <f>VLOOKUP(A508,'Solicitações'!B:B,1,0)</f>
        <v>18220</v>
      </c>
      <c r="C508" s="214">
        <f t="shared" si="1"/>
        <v>0</v>
      </c>
      <c r="E508" s="274"/>
      <c r="F508" s="275"/>
    </row>
    <row r="509" hidden="1">
      <c r="A509" s="193">
        <v>18240.0</v>
      </c>
      <c r="B509" s="214">
        <f>VLOOKUP(A509,'Solicitações'!B:B,1,0)</f>
        <v>18240</v>
      </c>
      <c r="C509" s="214">
        <f t="shared" si="1"/>
        <v>0</v>
      </c>
      <c r="E509" s="274"/>
      <c r="F509" s="275"/>
    </row>
    <row r="510" hidden="1">
      <c r="A510" s="193">
        <v>18260.0</v>
      </c>
      <c r="B510" s="214">
        <f>VLOOKUP(A510,'Solicitações'!B:B,1,0)</f>
        <v>18260</v>
      </c>
      <c r="C510" s="214">
        <f t="shared" si="1"/>
        <v>0</v>
      </c>
      <c r="E510" s="274"/>
      <c r="F510" s="275"/>
    </row>
    <row r="511" hidden="1">
      <c r="A511" s="193">
        <v>18280.0</v>
      </c>
      <c r="B511" s="214">
        <f>VLOOKUP(A511,'Solicitações'!B:B,1,0)</f>
        <v>18280</v>
      </c>
      <c r="C511" s="214">
        <f t="shared" si="1"/>
        <v>0</v>
      </c>
      <c r="E511" s="274"/>
      <c r="F511" s="275"/>
    </row>
    <row r="512" hidden="1">
      <c r="A512" s="193">
        <v>18300.0</v>
      </c>
      <c r="B512" s="214">
        <f>VLOOKUP(A512,'Solicitações'!B:B,1,0)</f>
        <v>18300</v>
      </c>
      <c r="C512" s="214">
        <f t="shared" si="1"/>
        <v>0</v>
      </c>
      <c r="E512" s="274"/>
      <c r="F512" s="275"/>
    </row>
    <row r="513" hidden="1">
      <c r="A513" s="193">
        <v>18320.0</v>
      </c>
      <c r="B513" s="214">
        <f>VLOOKUP(A513,'Solicitações'!B:B,1,0)</f>
        <v>18320</v>
      </c>
      <c r="C513" s="214">
        <f t="shared" si="1"/>
        <v>0</v>
      </c>
      <c r="E513" s="274"/>
      <c r="F513" s="275"/>
    </row>
    <row r="514" hidden="1">
      <c r="A514" s="193">
        <v>18340.0</v>
      </c>
      <c r="B514" s="214">
        <f>VLOOKUP(A514,'Solicitações'!B:B,1,0)</f>
        <v>18340</v>
      </c>
      <c r="C514" s="214">
        <f t="shared" si="1"/>
        <v>0</v>
      </c>
      <c r="E514" s="274"/>
      <c r="F514" s="275"/>
    </row>
    <row r="515" hidden="1">
      <c r="A515" s="193">
        <v>18360.0</v>
      </c>
      <c r="B515" s="214">
        <f>VLOOKUP(A515,'Solicitações'!B:B,1,0)</f>
        <v>18360</v>
      </c>
      <c r="C515" s="214">
        <f t="shared" si="1"/>
        <v>0</v>
      </c>
      <c r="E515" s="274"/>
      <c r="F515" s="275"/>
    </row>
    <row r="516" hidden="1">
      <c r="A516" s="193">
        <v>18380.0</v>
      </c>
      <c r="B516" s="214">
        <f>VLOOKUP(A516,'Solicitações'!B:B,1,0)</f>
        <v>18380</v>
      </c>
      <c r="C516" s="214">
        <f t="shared" si="1"/>
        <v>0</v>
      </c>
      <c r="E516" s="274"/>
      <c r="F516" s="275"/>
    </row>
    <row r="517" hidden="1">
      <c r="A517" s="193">
        <v>18381.0</v>
      </c>
      <c r="B517" s="214">
        <f>VLOOKUP(A517,'Solicitações'!B:B,1,0)</f>
        <v>18381</v>
      </c>
      <c r="C517" s="214">
        <f t="shared" si="1"/>
        <v>0</v>
      </c>
      <c r="E517" s="274"/>
      <c r="F517" s="275"/>
    </row>
    <row r="518" hidden="1">
      <c r="A518" s="193">
        <v>18420.0</v>
      </c>
      <c r="B518" s="214">
        <f>VLOOKUP(A518,'Solicitações'!B:B,1,0)</f>
        <v>18420</v>
      </c>
      <c r="C518" s="214">
        <f t="shared" si="1"/>
        <v>0</v>
      </c>
      <c r="E518" s="274"/>
      <c r="F518" s="275"/>
    </row>
    <row r="519" hidden="1">
      <c r="A519" s="193">
        <v>18440.0</v>
      </c>
      <c r="B519" s="214">
        <f>VLOOKUP(A519,'Solicitações'!B:B,1,0)</f>
        <v>18440</v>
      </c>
      <c r="C519" s="214">
        <f t="shared" si="1"/>
        <v>0</v>
      </c>
      <c r="E519" s="274"/>
      <c r="F519" s="275"/>
    </row>
    <row r="520" hidden="1">
      <c r="A520" s="193">
        <v>18460.0</v>
      </c>
      <c r="B520" s="214">
        <f>VLOOKUP(A520,'Solicitações'!B:B,1,0)</f>
        <v>18460</v>
      </c>
      <c r="C520" s="214">
        <f t="shared" si="1"/>
        <v>0</v>
      </c>
      <c r="E520" s="274"/>
      <c r="F520" s="275"/>
    </row>
    <row r="521" hidden="1">
      <c r="A521" s="193">
        <v>18480.0</v>
      </c>
      <c r="B521" s="214">
        <f>VLOOKUP(A521,'Solicitações'!B:B,1,0)</f>
        <v>18480</v>
      </c>
      <c r="C521" s="214">
        <f t="shared" si="1"/>
        <v>0</v>
      </c>
      <c r="E521" s="274"/>
      <c r="F521" s="275"/>
    </row>
    <row r="522" hidden="1">
      <c r="A522" s="193">
        <v>18500.0</v>
      </c>
      <c r="B522" s="214">
        <f>VLOOKUP(A522,'Solicitações'!B:B,1,0)</f>
        <v>18500</v>
      </c>
      <c r="C522" s="214">
        <f t="shared" si="1"/>
        <v>0</v>
      </c>
      <c r="E522" s="274"/>
      <c r="F522" s="275"/>
    </row>
    <row r="523" hidden="1">
      <c r="A523" s="193">
        <v>18501.0</v>
      </c>
      <c r="B523" s="214">
        <f>VLOOKUP(A523,'Solicitações'!B:B,1,0)</f>
        <v>18501</v>
      </c>
      <c r="C523" s="214">
        <f t="shared" si="1"/>
        <v>0</v>
      </c>
      <c r="E523" s="274"/>
      <c r="F523" s="275"/>
    </row>
    <row r="524" hidden="1">
      <c r="A524" s="193">
        <v>18520.0</v>
      </c>
      <c r="B524" s="214">
        <f>VLOOKUP(A524,'Solicitações'!B:B,1,0)</f>
        <v>18520</v>
      </c>
      <c r="C524" s="214">
        <f t="shared" si="1"/>
        <v>0</v>
      </c>
      <c r="E524" s="274"/>
      <c r="F524" s="275"/>
    </row>
    <row r="525" hidden="1">
      <c r="A525" s="193">
        <v>18540.0</v>
      </c>
      <c r="B525" s="214">
        <f>VLOOKUP(A525,'Solicitações'!B:B,1,0)</f>
        <v>18540</v>
      </c>
      <c r="C525" s="214">
        <f t="shared" si="1"/>
        <v>0</v>
      </c>
      <c r="E525" s="274"/>
      <c r="F525" s="275"/>
    </row>
    <row r="526" hidden="1">
      <c r="A526" s="193">
        <v>18560.0</v>
      </c>
      <c r="B526" s="214">
        <f>VLOOKUP(A526,'Solicitações'!B:B,1,0)</f>
        <v>18560</v>
      </c>
      <c r="C526" s="214">
        <f t="shared" si="1"/>
        <v>0</v>
      </c>
      <c r="E526" s="274"/>
      <c r="F526" s="275"/>
    </row>
    <row r="527" hidden="1">
      <c r="A527" s="193">
        <v>18580.0</v>
      </c>
      <c r="B527" s="214">
        <f>VLOOKUP(A527,'Solicitações'!B:B,1,0)</f>
        <v>18580</v>
      </c>
      <c r="C527" s="214">
        <f t="shared" si="1"/>
        <v>0</v>
      </c>
      <c r="E527" s="274"/>
      <c r="F527" s="275"/>
    </row>
    <row r="528" hidden="1">
      <c r="A528" s="193">
        <v>18600.0</v>
      </c>
      <c r="B528" s="214">
        <f>VLOOKUP(A528,'Solicitações'!B:B,1,0)</f>
        <v>18600</v>
      </c>
      <c r="C528" s="214">
        <f t="shared" si="1"/>
        <v>0</v>
      </c>
      <c r="E528" s="274"/>
      <c r="F528" s="275"/>
    </row>
    <row r="529" hidden="1">
      <c r="A529" s="193">
        <v>18620.0</v>
      </c>
      <c r="B529" s="214">
        <f>VLOOKUP(A529,'Solicitações'!B:B,1,0)</f>
        <v>18620</v>
      </c>
      <c r="C529" s="214">
        <f t="shared" si="1"/>
        <v>0</v>
      </c>
      <c r="E529" s="274"/>
      <c r="F529" s="275"/>
    </row>
    <row r="530" hidden="1">
      <c r="A530" s="193">
        <v>18640.0</v>
      </c>
      <c r="B530" s="214">
        <f>VLOOKUP(A530,'Solicitações'!B:B,1,0)</f>
        <v>18640</v>
      </c>
      <c r="C530" s="214">
        <f t="shared" si="1"/>
        <v>0</v>
      </c>
      <c r="E530" s="274"/>
      <c r="F530" s="275"/>
    </row>
    <row r="531" hidden="1">
      <c r="A531" s="193">
        <v>18660.0</v>
      </c>
      <c r="B531" s="214">
        <f>VLOOKUP(A531,'Solicitações'!B:B,1,0)</f>
        <v>18660</v>
      </c>
      <c r="C531" s="214">
        <f t="shared" si="1"/>
        <v>0</v>
      </c>
      <c r="E531" s="274"/>
      <c r="F531" s="275"/>
    </row>
    <row r="532" hidden="1">
      <c r="A532" s="193">
        <v>18661.0</v>
      </c>
      <c r="B532" s="214">
        <f>VLOOKUP(A532,'Solicitações'!B:B,1,0)</f>
        <v>18661</v>
      </c>
      <c r="C532" s="214">
        <f t="shared" si="1"/>
        <v>0</v>
      </c>
      <c r="E532" s="274"/>
      <c r="F532" s="275"/>
    </row>
    <row r="533" hidden="1">
      <c r="A533" s="193">
        <v>18662.0</v>
      </c>
      <c r="B533" s="214">
        <f>VLOOKUP(A533,'Solicitações'!B:B,1,0)</f>
        <v>18662</v>
      </c>
      <c r="C533" s="214">
        <f t="shared" si="1"/>
        <v>0</v>
      </c>
      <c r="E533" s="274"/>
      <c r="F533" s="275"/>
    </row>
    <row r="534" hidden="1">
      <c r="A534" s="193">
        <v>18663.0</v>
      </c>
      <c r="B534" s="214">
        <f>VLOOKUP(A534,'Solicitações'!B:B,1,0)</f>
        <v>18663</v>
      </c>
      <c r="C534" s="214">
        <f t="shared" si="1"/>
        <v>0</v>
      </c>
      <c r="E534" s="274"/>
      <c r="F534" s="275"/>
    </row>
    <row r="535" hidden="1">
      <c r="A535" s="193">
        <v>18664.0</v>
      </c>
      <c r="B535" s="214">
        <f>VLOOKUP(A535,'Solicitações'!B:B,1,0)</f>
        <v>18664</v>
      </c>
      <c r="C535" s="214">
        <f t="shared" si="1"/>
        <v>0</v>
      </c>
      <c r="E535" s="274"/>
      <c r="F535" s="275"/>
    </row>
    <row r="536" hidden="1">
      <c r="A536" s="193">
        <v>18680.0</v>
      </c>
      <c r="B536" s="214">
        <f>VLOOKUP(A536,'Solicitações'!B:B,1,0)</f>
        <v>18680</v>
      </c>
      <c r="C536" s="214">
        <f t="shared" si="1"/>
        <v>0</v>
      </c>
      <c r="E536" s="274"/>
      <c r="F536" s="275"/>
    </row>
    <row r="537" hidden="1">
      <c r="A537" s="193">
        <v>18700.0</v>
      </c>
      <c r="B537" s="214">
        <f>VLOOKUP(A537,'Solicitações'!B:B,1,0)</f>
        <v>18700</v>
      </c>
      <c r="C537" s="214">
        <f t="shared" si="1"/>
        <v>0</v>
      </c>
      <c r="E537" s="274"/>
      <c r="F537" s="275"/>
    </row>
    <row r="538" hidden="1">
      <c r="A538" s="193">
        <v>18701.0</v>
      </c>
      <c r="B538" s="214">
        <f>VLOOKUP(A538,'Solicitações'!B:B,1,0)</f>
        <v>18701</v>
      </c>
      <c r="C538" s="214">
        <f t="shared" si="1"/>
        <v>0</v>
      </c>
      <c r="E538" s="274"/>
      <c r="F538" s="275"/>
    </row>
    <row r="539" hidden="1">
      <c r="A539" s="193">
        <v>18720.0</v>
      </c>
      <c r="B539" s="214">
        <f>VLOOKUP(A539,'Solicitações'!B:B,1,0)</f>
        <v>18720</v>
      </c>
      <c r="C539" s="214">
        <f t="shared" si="1"/>
        <v>0</v>
      </c>
      <c r="E539" s="274"/>
      <c r="F539" s="275"/>
    </row>
    <row r="540" hidden="1">
      <c r="A540" s="193">
        <v>18740.0</v>
      </c>
      <c r="B540" s="214">
        <f>VLOOKUP(A540,'Solicitações'!B:B,1,0)</f>
        <v>18740</v>
      </c>
      <c r="C540" s="214">
        <f t="shared" si="1"/>
        <v>0</v>
      </c>
      <c r="E540" s="274"/>
      <c r="F540" s="275"/>
    </row>
    <row r="541" hidden="1">
      <c r="A541" s="193">
        <v>18741.0</v>
      </c>
      <c r="B541" s="214">
        <f>VLOOKUP(A541,'Solicitações'!B:B,1,0)</f>
        <v>18741</v>
      </c>
      <c r="C541" s="214">
        <f t="shared" si="1"/>
        <v>0</v>
      </c>
      <c r="E541" s="274"/>
      <c r="F541" s="275"/>
    </row>
    <row r="542" hidden="1">
      <c r="A542" s="193">
        <v>18742.0</v>
      </c>
      <c r="B542" s="214">
        <f>VLOOKUP(A542,'Solicitações'!B:B,1,0)</f>
        <v>18742</v>
      </c>
      <c r="C542" s="214">
        <f t="shared" si="1"/>
        <v>0</v>
      </c>
      <c r="E542" s="274"/>
      <c r="F542" s="275"/>
    </row>
    <row r="543" hidden="1">
      <c r="A543" s="193">
        <v>18743.0</v>
      </c>
      <c r="B543" s="214">
        <f>VLOOKUP(A543,'Solicitações'!B:B,1,0)</f>
        <v>18743</v>
      </c>
      <c r="C543" s="214">
        <f t="shared" si="1"/>
        <v>0</v>
      </c>
      <c r="E543" s="274"/>
      <c r="F543" s="275"/>
    </row>
    <row r="544" hidden="1">
      <c r="A544" s="193">
        <v>18760.0</v>
      </c>
      <c r="B544" s="214">
        <f>VLOOKUP(A544,'Solicitações'!B:B,1,0)</f>
        <v>18760</v>
      </c>
      <c r="C544" s="214">
        <f t="shared" si="1"/>
        <v>0</v>
      </c>
      <c r="E544" s="274"/>
      <c r="F544" s="275"/>
    </row>
    <row r="545" hidden="1">
      <c r="A545" s="193">
        <v>18780.0</v>
      </c>
      <c r="B545" s="214">
        <f>VLOOKUP(A545,'Solicitações'!B:B,1,0)</f>
        <v>18780</v>
      </c>
      <c r="C545" s="214">
        <f t="shared" si="1"/>
        <v>0</v>
      </c>
      <c r="E545" s="274"/>
      <c r="F545" s="275"/>
    </row>
    <row r="546" hidden="1">
      <c r="A546" s="193">
        <v>18800.0</v>
      </c>
      <c r="B546" s="214">
        <f>VLOOKUP(A546,'Solicitações'!B:B,1,0)</f>
        <v>18800</v>
      </c>
      <c r="C546" s="214">
        <f t="shared" si="1"/>
        <v>0</v>
      </c>
      <c r="E546" s="274"/>
      <c r="F546" s="275"/>
    </row>
    <row r="547" hidden="1">
      <c r="A547" s="193">
        <v>18801.0</v>
      </c>
      <c r="B547" s="214">
        <f>VLOOKUP(A547,'Solicitações'!B:B,1,0)</f>
        <v>18801</v>
      </c>
      <c r="C547" s="214">
        <f t="shared" si="1"/>
        <v>0</v>
      </c>
      <c r="E547" s="274"/>
      <c r="F547" s="275"/>
    </row>
    <row r="548" hidden="1">
      <c r="A548" s="193">
        <v>18802.0</v>
      </c>
      <c r="B548" s="214">
        <f>VLOOKUP(A548,'Solicitações'!B:B,1,0)</f>
        <v>18802</v>
      </c>
      <c r="C548" s="214">
        <f t="shared" si="1"/>
        <v>0</v>
      </c>
      <c r="E548" s="274"/>
      <c r="F548" s="275"/>
    </row>
    <row r="549" hidden="1">
      <c r="A549" s="193">
        <v>18803.0</v>
      </c>
      <c r="B549" s="214">
        <f>VLOOKUP(A549,'Solicitações'!B:B,1,0)</f>
        <v>18803</v>
      </c>
      <c r="C549" s="214">
        <f t="shared" si="1"/>
        <v>0</v>
      </c>
      <c r="E549" s="274"/>
      <c r="F549" s="275"/>
    </row>
    <row r="550" hidden="1">
      <c r="A550" s="193">
        <v>18804.0</v>
      </c>
      <c r="B550" s="214">
        <f>VLOOKUP(A550,'Solicitações'!B:B,1,0)</f>
        <v>18804</v>
      </c>
      <c r="C550" s="214">
        <f t="shared" si="1"/>
        <v>0</v>
      </c>
      <c r="E550" s="274"/>
      <c r="F550" s="275"/>
    </row>
    <row r="551" hidden="1">
      <c r="A551" s="193">
        <v>18805.0</v>
      </c>
      <c r="B551" s="214">
        <f>VLOOKUP(A551,'Solicitações'!B:B,1,0)</f>
        <v>18805</v>
      </c>
      <c r="C551" s="214">
        <f t="shared" si="1"/>
        <v>0</v>
      </c>
      <c r="E551" s="274"/>
      <c r="F551" s="275"/>
    </row>
    <row r="552" hidden="1">
      <c r="A552" s="193">
        <v>18806.0</v>
      </c>
      <c r="B552" s="214">
        <f>VLOOKUP(A552,'Solicitações'!B:B,1,0)</f>
        <v>18806</v>
      </c>
      <c r="C552" s="214">
        <f t="shared" si="1"/>
        <v>0</v>
      </c>
      <c r="E552" s="274"/>
      <c r="F552" s="275"/>
    </row>
    <row r="553" hidden="1">
      <c r="A553" s="193">
        <v>18820.0</v>
      </c>
      <c r="B553" s="214">
        <f>VLOOKUP(A553,'Solicitações'!B:B,1,0)</f>
        <v>18820</v>
      </c>
      <c r="C553" s="214">
        <f t="shared" si="1"/>
        <v>0</v>
      </c>
      <c r="E553" s="274"/>
      <c r="F553" s="275"/>
    </row>
    <row r="554" hidden="1">
      <c r="A554" s="193">
        <v>18840.0</v>
      </c>
      <c r="B554" s="214">
        <f>VLOOKUP(A554,'Solicitações'!B:B,1,0)</f>
        <v>18840</v>
      </c>
      <c r="C554" s="214">
        <f t="shared" si="1"/>
        <v>0</v>
      </c>
      <c r="E554" s="274"/>
      <c r="F554" s="275"/>
    </row>
    <row r="555" hidden="1">
      <c r="A555" s="193">
        <v>18841.0</v>
      </c>
      <c r="B555" s="214">
        <f>VLOOKUP(A555,'Solicitações'!B:B,1,0)</f>
        <v>18841</v>
      </c>
      <c r="C555" s="214">
        <f t="shared" si="1"/>
        <v>0</v>
      </c>
      <c r="E555" s="274"/>
      <c r="F555" s="275"/>
    </row>
    <row r="556" hidden="1">
      <c r="A556" s="193">
        <v>18842.0</v>
      </c>
      <c r="B556" s="214">
        <f>VLOOKUP(A556,'Solicitações'!B:B,1,0)</f>
        <v>18842</v>
      </c>
      <c r="C556" s="214">
        <f t="shared" si="1"/>
        <v>0</v>
      </c>
      <c r="E556" s="274"/>
      <c r="F556" s="275"/>
    </row>
    <row r="557" hidden="1">
      <c r="A557" s="193">
        <v>18860.0</v>
      </c>
      <c r="B557" s="214">
        <f>VLOOKUP(A557,'Solicitações'!B:B,1,0)</f>
        <v>18860</v>
      </c>
      <c r="C557" s="214">
        <f t="shared" si="1"/>
        <v>0</v>
      </c>
      <c r="E557" s="274"/>
      <c r="F557" s="275"/>
    </row>
    <row r="558" hidden="1">
      <c r="A558" s="193">
        <v>18880.0</v>
      </c>
      <c r="B558" s="214">
        <f>VLOOKUP(A558,'Solicitações'!B:B,1,0)</f>
        <v>18880</v>
      </c>
      <c r="C558" s="214">
        <f t="shared" si="1"/>
        <v>0</v>
      </c>
      <c r="E558" s="274"/>
      <c r="F558" s="275"/>
    </row>
    <row r="559" hidden="1">
      <c r="A559" s="193">
        <v>18881.0</v>
      </c>
      <c r="B559" s="214">
        <f>VLOOKUP(A559,'Solicitações'!B:B,1,0)</f>
        <v>18881</v>
      </c>
      <c r="C559" s="214">
        <f t="shared" si="1"/>
        <v>0</v>
      </c>
      <c r="E559" s="274"/>
      <c r="F559" s="275"/>
    </row>
    <row r="560" hidden="1">
      <c r="A560" s="193">
        <v>18900.0</v>
      </c>
      <c r="B560" s="214">
        <f>VLOOKUP(A560,'Solicitações'!B:B,1,0)</f>
        <v>18900</v>
      </c>
      <c r="C560" s="214">
        <f t="shared" si="1"/>
        <v>0</v>
      </c>
      <c r="E560" s="274"/>
      <c r="F560" s="275"/>
    </row>
    <row r="561" hidden="1">
      <c r="A561" s="193">
        <v>18920.0</v>
      </c>
      <c r="B561" s="214">
        <f>VLOOKUP(A561,'Solicitações'!B:B,1,0)</f>
        <v>18920</v>
      </c>
      <c r="C561" s="214">
        <f t="shared" si="1"/>
        <v>0</v>
      </c>
      <c r="E561" s="274"/>
      <c r="F561" s="275"/>
    </row>
    <row r="562" hidden="1">
      <c r="A562" s="193">
        <v>18940.0</v>
      </c>
      <c r="B562" s="214">
        <f>VLOOKUP(A562,'Solicitações'!B:B,1,0)</f>
        <v>18940</v>
      </c>
      <c r="C562" s="214">
        <f t="shared" si="1"/>
        <v>0</v>
      </c>
      <c r="E562" s="274"/>
      <c r="F562" s="275"/>
    </row>
    <row r="563" hidden="1">
      <c r="A563" s="193">
        <v>18960.0</v>
      </c>
      <c r="B563" s="214">
        <f>VLOOKUP(A563,'Solicitações'!B:B,1,0)</f>
        <v>18960</v>
      </c>
      <c r="C563" s="214">
        <f t="shared" si="1"/>
        <v>0</v>
      </c>
      <c r="E563" s="274"/>
      <c r="F563" s="275"/>
    </row>
    <row r="564" hidden="1">
      <c r="A564" s="193">
        <v>18980.0</v>
      </c>
      <c r="B564" s="214">
        <f>VLOOKUP(A564,'Solicitações'!B:B,1,0)</f>
        <v>18980</v>
      </c>
      <c r="C564" s="214">
        <f t="shared" si="1"/>
        <v>0</v>
      </c>
      <c r="E564" s="274"/>
      <c r="F564" s="275"/>
    </row>
    <row r="565" hidden="1">
      <c r="A565" s="193">
        <v>19000.0</v>
      </c>
      <c r="B565" s="214">
        <f>VLOOKUP(A565,'Solicitações'!B:B,1,0)</f>
        <v>19000</v>
      </c>
      <c r="C565" s="214">
        <f t="shared" si="1"/>
        <v>0</v>
      </c>
      <c r="E565" s="274"/>
      <c r="F565" s="275"/>
    </row>
    <row r="566" hidden="1">
      <c r="A566" s="193">
        <v>19020.0</v>
      </c>
      <c r="B566" s="214">
        <f>VLOOKUP(A566,'Solicitações'!B:B,1,0)</f>
        <v>19020</v>
      </c>
      <c r="C566" s="214">
        <f t="shared" si="1"/>
        <v>0</v>
      </c>
      <c r="E566" s="274"/>
      <c r="F566" s="275"/>
    </row>
    <row r="567" hidden="1">
      <c r="A567" s="193">
        <v>19040.0</v>
      </c>
      <c r="B567" s="214">
        <f>VLOOKUP(A567,'Solicitações'!B:B,1,0)</f>
        <v>19040</v>
      </c>
      <c r="C567" s="214">
        <f t="shared" si="1"/>
        <v>0</v>
      </c>
      <c r="E567" s="274"/>
      <c r="F567" s="275"/>
    </row>
    <row r="568" hidden="1">
      <c r="A568" s="193">
        <v>19060.0</v>
      </c>
      <c r="B568" s="214">
        <f>VLOOKUP(A568,'Solicitações'!B:B,1,0)</f>
        <v>19060</v>
      </c>
      <c r="C568" s="214">
        <f t="shared" si="1"/>
        <v>0</v>
      </c>
      <c r="E568" s="274"/>
      <c r="F568" s="275"/>
    </row>
    <row r="569" hidden="1">
      <c r="A569" s="193">
        <v>19080.0</v>
      </c>
      <c r="B569" s="214">
        <f>VLOOKUP(A569,'Solicitações'!B:B,1,0)</f>
        <v>19080</v>
      </c>
      <c r="C569" s="214">
        <f t="shared" si="1"/>
        <v>0</v>
      </c>
      <c r="E569" s="274"/>
      <c r="F569" s="275"/>
    </row>
    <row r="570" hidden="1">
      <c r="A570" s="193">
        <v>19100.0</v>
      </c>
      <c r="B570" s="214">
        <f>VLOOKUP(A570,'Solicitações'!B:B,1,0)</f>
        <v>19100</v>
      </c>
      <c r="C570" s="214">
        <f t="shared" si="1"/>
        <v>0</v>
      </c>
      <c r="E570" s="274"/>
      <c r="F570" s="275"/>
    </row>
    <row r="571" hidden="1">
      <c r="A571" s="193">
        <v>19120.0</v>
      </c>
      <c r="B571" s="214">
        <f>VLOOKUP(A571,'Solicitações'!B:B,1,0)</f>
        <v>19120</v>
      </c>
      <c r="C571" s="214">
        <f t="shared" si="1"/>
        <v>0</v>
      </c>
      <c r="E571" s="274"/>
      <c r="F571" s="275"/>
    </row>
    <row r="572" hidden="1">
      <c r="A572" s="193">
        <v>19121.0</v>
      </c>
      <c r="B572" s="214">
        <f>VLOOKUP(A572,'Solicitações'!B:B,1,0)</f>
        <v>19121</v>
      </c>
      <c r="C572" s="214">
        <f t="shared" si="1"/>
        <v>0</v>
      </c>
      <c r="E572" s="274"/>
      <c r="F572" s="275"/>
    </row>
    <row r="573" hidden="1">
      <c r="A573" s="193">
        <v>19140.0</v>
      </c>
      <c r="B573" s="214">
        <f>VLOOKUP(A573,'Solicitações'!B:B,1,0)</f>
        <v>19140</v>
      </c>
      <c r="C573" s="214">
        <f t="shared" si="1"/>
        <v>0</v>
      </c>
      <c r="E573" s="274"/>
      <c r="F573" s="275"/>
    </row>
    <row r="574" hidden="1">
      <c r="A574" s="193">
        <v>19160.0</v>
      </c>
      <c r="B574" s="214">
        <f>VLOOKUP(A574,'Solicitações'!B:B,1,0)</f>
        <v>19160</v>
      </c>
      <c r="C574" s="214">
        <f t="shared" si="1"/>
        <v>0</v>
      </c>
      <c r="E574" s="274"/>
      <c r="F574" s="275"/>
    </row>
    <row r="575" hidden="1">
      <c r="A575" s="193">
        <v>19180.0</v>
      </c>
      <c r="B575" s="214">
        <f>VLOOKUP(A575,'Solicitações'!B:B,1,0)</f>
        <v>19180</v>
      </c>
      <c r="C575" s="214">
        <f t="shared" si="1"/>
        <v>0</v>
      </c>
      <c r="E575" s="274"/>
      <c r="F575" s="275"/>
    </row>
    <row r="576" hidden="1">
      <c r="A576" s="193">
        <v>19200.0</v>
      </c>
      <c r="B576" s="214">
        <f>VLOOKUP(A576,'Solicitações'!B:B,1,0)</f>
        <v>19200</v>
      </c>
      <c r="C576" s="214">
        <f t="shared" si="1"/>
        <v>0</v>
      </c>
      <c r="E576" s="274"/>
      <c r="F576" s="275"/>
    </row>
    <row r="577" hidden="1">
      <c r="A577" s="193">
        <v>19220.0</v>
      </c>
      <c r="B577" s="214">
        <f>VLOOKUP(A577,'Solicitações'!B:B,1,0)</f>
        <v>19220</v>
      </c>
      <c r="C577" s="214">
        <f t="shared" si="1"/>
        <v>0</v>
      </c>
      <c r="E577" s="274"/>
      <c r="F577" s="275"/>
    </row>
    <row r="578" hidden="1">
      <c r="A578" s="193">
        <v>19240.0</v>
      </c>
      <c r="B578" s="214">
        <f>VLOOKUP(A578,'Solicitações'!B:B,1,0)</f>
        <v>19240</v>
      </c>
      <c r="C578" s="214">
        <f t="shared" si="1"/>
        <v>0</v>
      </c>
      <c r="E578" s="274"/>
      <c r="F578" s="275"/>
    </row>
    <row r="579" hidden="1">
      <c r="A579" s="193">
        <v>19241.0</v>
      </c>
      <c r="B579" s="214">
        <f>VLOOKUP(A579,'Solicitações'!B:B,1,0)</f>
        <v>19241</v>
      </c>
      <c r="C579" s="214">
        <f t="shared" si="1"/>
        <v>0</v>
      </c>
      <c r="E579" s="274"/>
      <c r="F579" s="275"/>
    </row>
    <row r="580" hidden="1">
      <c r="A580" s="193">
        <v>19242.0</v>
      </c>
      <c r="B580" s="214">
        <f>VLOOKUP(A580,'Solicitações'!B:B,1,0)</f>
        <v>19242</v>
      </c>
      <c r="C580" s="214">
        <f t="shared" si="1"/>
        <v>0</v>
      </c>
      <c r="E580" s="274"/>
      <c r="F580" s="275"/>
    </row>
    <row r="581" hidden="1">
      <c r="A581" s="193">
        <v>19243.0</v>
      </c>
      <c r="B581" s="214">
        <f>VLOOKUP(A581,'Solicitações'!B:B,1,0)</f>
        <v>19243</v>
      </c>
      <c r="C581" s="214">
        <f t="shared" si="1"/>
        <v>0</v>
      </c>
      <c r="E581" s="274"/>
      <c r="F581" s="275"/>
    </row>
    <row r="582" hidden="1">
      <c r="A582" s="193">
        <v>19260.0</v>
      </c>
      <c r="B582" s="214">
        <f>VLOOKUP(A582,'Solicitações'!B:B,1,0)</f>
        <v>19260</v>
      </c>
      <c r="C582" s="214">
        <f t="shared" si="1"/>
        <v>0</v>
      </c>
      <c r="E582" s="274"/>
      <c r="F582" s="275"/>
    </row>
    <row r="583" hidden="1">
      <c r="A583" s="193">
        <v>19280.0</v>
      </c>
      <c r="B583" s="214">
        <f>VLOOKUP(A583,'Solicitações'!B:B,1,0)</f>
        <v>19280</v>
      </c>
      <c r="C583" s="214">
        <f t="shared" si="1"/>
        <v>0</v>
      </c>
      <c r="E583" s="274"/>
      <c r="F583" s="275"/>
    </row>
    <row r="584" hidden="1">
      <c r="A584" s="193">
        <v>19300.0</v>
      </c>
      <c r="B584" s="214">
        <f>VLOOKUP(A584,'Solicitações'!B:B,1,0)</f>
        <v>19300</v>
      </c>
      <c r="C584" s="214">
        <f t="shared" si="1"/>
        <v>0</v>
      </c>
      <c r="E584" s="274"/>
      <c r="F584" s="275"/>
    </row>
    <row r="585" hidden="1">
      <c r="A585" s="193">
        <v>19320.0</v>
      </c>
      <c r="B585" s="214">
        <f>VLOOKUP(A585,'Solicitações'!B:B,1,0)</f>
        <v>19320</v>
      </c>
      <c r="C585" s="214">
        <f t="shared" si="1"/>
        <v>0</v>
      </c>
      <c r="E585" s="274"/>
      <c r="F585" s="275"/>
    </row>
    <row r="586" hidden="1">
      <c r="A586" s="193">
        <v>19340.0</v>
      </c>
      <c r="B586" s="214">
        <f>VLOOKUP(A586,'Solicitações'!B:B,1,0)</f>
        <v>19340</v>
      </c>
      <c r="C586" s="214">
        <f t="shared" si="1"/>
        <v>0</v>
      </c>
      <c r="E586" s="274"/>
      <c r="F586" s="275"/>
    </row>
    <row r="587" hidden="1">
      <c r="A587" s="193">
        <v>19360.0</v>
      </c>
      <c r="B587" s="214">
        <f>VLOOKUP(A587,'Solicitações'!B:B,1,0)</f>
        <v>19360</v>
      </c>
      <c r="C587" s="214">
        <f t="shared" si="1"/>
        <v>0</v>
      </c>
      <c r="E587" s="274"/>
      <c r="F587" s="275"/>
    </row>
    <row r="588" hidden="1">
      <c r="A588" s="193">
        <v>19380.0</v>
      </c>
      <c r="B588" s="214">
        <f>VLOOKUP(A588,'Solicitações'!B:B,1,0)</f>
        <v>19380</v>
      </c>
      <c r="C588" s="214">
        <f t="shared" si="1"/>
        <v>0</v>
      </c>
      <c r="E588" s="274"/>
      <c r="F588" s="275"/>
    </row>
    <row r="589" hidden="1">
      <c r="A589" s="193">
        <v>19400.0</v>
      </c>
      <c r="B589" s="214">
        <f>VLOOKUP(A589,'Solicitações'!B:B,1,0)</f>
        <v>19400</v>
      </c>
      <c r="C589" s="214">
        <f t="shared" si="1"/>
        <v>0</v>
      </c>
      <c r="E589" s="274"/>
      <c r="F589" s="275"/>
    </row>
    <row r="590" hidden="1">
      <c r="A590" s="193">
        <v>19420.0</v>
      </c>
      <c r="B590" s="214">
        <f>VLOOKUP(A590,'Solicitações'!B:B,1,0)</f>
        <v>19420</v>
      </c>
      <c r="C590" s="214">
        <f t="shared" si="1"/>
        <v>0</v>
      </c>
      <c r="E590" s="274"/>
      <c r="F590" s="275"/>
    </row>
    <row r="591" hidden="1">
      <c r="A591" s="193">
        <v>19421.0</v>
      </c>
      <c r="B591" s="214">
        <f>VLOOKUP(A591,'Solicitações'!B:B,1,0)</f>
        <v>19421</v>
      </c>
      <c r="C591" s="214">
        <f t="shared" si="1"/>
        <v>0</v>
      </c>
      <c r="E591" s="274"/>
      <c r="F591" s="275"/>
    </row>
    <row r="592" hidden="1">
      <c r="A592" s="193">
        <v>19440.0</v>
      </c>
      <c r="B592" s="214">
        <f>VLOOKUP(A592,'Solicitações'!B:B,1,0)</f>
        <v>19440</v>
      </c>
      <c r="C592" s="214">
        <f t="shared" si="1"/>
        <v>0</v>
      </c>
      <c r="E592" s="274"/>
      <c r="F592" s="275"/>
    </row>
    <row r="593" hidden="1">
      <c r="A593" s="193">
        <v>19460.0</v>
      </c>
      <c r="B593" s="214">
        <f>VLOOKUP(A593,'Solicitações'!B:B,1,0)</f>
        <v>19460</v>
      </c>
      <c r="C593" s="214">
        <f t="shared" si="1"/>
        <v>0</v>
      </c>
      <c r="E593" s="274"/>
      <c r="F593" s="275"/>
    </row>
    <row r="594" hidden="1">
      <c r="A594" s="193">
        <v>19480.0</v>
      </c>
      <c r="B594" s="214">
        <f>VLOOKUP(A594,'Solicitações'!B:B,1,0)</f>
        <v>19480</v>
      </c>
      <c r="C594" s="214">
        <f t="shared" si="1"/>
        <v>0</v>
      </c>
      <c r="E594" s="274"/>
      <c r="F594" s="275"/>
    </row>
    <row r="595" hidden="1">
      <c r="A595" s="193">
        <v>19500.0</v>
      </c>
      <c r="B595" s="214">
        <f>VLOOKUP(A595,'Solicitações'!B:B,1,0)</f>
        <v>19500</v>
      </c>
      <c r="C595" s="214">
        <f t="shared" si="1"/>
        <v>0</v>
      </c>
      <c r="E595" s="274"/>
      <c r="F595" s="275"/>
    </row>
    <row r="596" hidden="1">
      <c r="A596" s="193">
        <v>19520.0</v>
      </c>
      <c r="B596" s="214">
        <f>VLOOKUP(A596,'Solicitações'!B:B,1,0)</f>
        <v>19520</v>
      </c>
      <c r="C596" s="214">
        <f t="shared" si="1"/>
        <v>0</v>
      </c>
      <c r="E596" s="274"/>
      <c r="F596" s="275"/>
    </row>
    <row r="597" hidden="1">
      <c r="A597" s="193">
        <v>19540.0</v>
      </c>
      <c r="B597" s="214">
        <f>VLOOKUP(A597,'Solicitações'!B:B,1,0)</f>
        <v>19540</v>
      </c>
      <c r="C597" s="214">
        <f t="shared" si="1"/>
        <v>0</v>
      </c>
      <c r="E597" s="274"/>
      <c r="F597" s="275"/>
    </row>
    <row r="598" hidden="1">
      <c r="A598" s="193">
        <v>19560.0</v>
      </c>
      <c r="B598" s="214">
        <f>VLOOKUP(A598,'Solicitações'!B:B,1,0)</f>
        <v>19560</v>
      </c>
      <c r="C598" s="214">
        <f t="shared" si="1"/>
        <v>0</v>
      </c>
      <c r="E598" s="274"/>
      <c r="F598" s="275"/>
    </row>
    <row r="599" hidden="1">
      <c r="A599" s="193">
        <v>19580.0</v>
      </c>
      <c r="B599" s="214">
        <f>VLOOKUP(A599,'Solicitações'!B:B,1,0)</f>
        <v>19580</v>
      </c>
      <c r="C599" s="214">
        <f t="shared" si="1"/>
        <v>0</v>
      </c>
      <c r="E599" s="274"/>
      <c r="F599" s="275"/>
    </row>
    <row r="600" hidden="1">
      <c r="A600" s="193">
        <v>19581.0</v>
      </c>
      <c r="B600" s="214">
        <f>VLOOKUP(A600,'Solicitações'!B:B,1,0)</f>
        <v>19581</v>
      </c>
      <c r="C600" s="214">
        <f t="shared" si="1"/>
        <v>0</v>
      </c>
      <c r="E600" s="274"/>
      <c r="F600" s="275"/>
    </row>
    <row r="601" hidden="1">
      <c r="A601" s="193">
        <v>19582.0</v>
      </c>
      <c r="B601" s="214">
        <f>VLOOKUP(A601,'Solicitações'!B:B,1,0)</f>
        <v>19582</v>
      </c>
      <c r="C601" s="214">
        <f t="shared" si="1"/>
        <v>0</v>
      </c>
      <c r="E601" s="274"/>
      <c r="F601" s="275"/>
    </row>
    <row r="602" hidden="1">
      <c r="A602" s="193">
        <v>19600.0</v>
      </c>
      <c r="B602" s="214">
        <f>VLOOKUP(A602,'Solicitações'!B:B,1,0)</f>
        <v>19600</v>
      </c>
      <c r="C602" s="214">
        <f t="shared" si="1"/>
        <v>0</v>
      </c>
      <c r="E602" s="274"/>
      <c r="F602" s="275"/>
    </row>
    <row r="603" hidden="1">
      <c r="A603" s="193">
        <v>19620.0</v>
      </c>
      <c r="B603" s="214">
        <f>VLOOKUP(A603,'Solicitações'!B:B,1,0)</f>
        <v>19620</v>
      </c>
      <c r="C603" s="214">
        <f t="shared" si="1"/>
        <v>0</v>
      </c>
      <c r="E603" s="274"/>
      <c r="F603" s="275"/>
    </row>
    <row r="604" hidden="1">
      <c r="A604" s="193">
        <v>19640.0</v>
      </c>
      <c r="B604" s="214">
        <f>VLOOKUP(A604,'Solicitações'!B:B,1,0)</f>
        <v>19640</v>
      </c>
      <c r="C604" s="214">
        <f t="shared" si="1"/>
        <v>0</v>
      </c>
      <c r="E604" s="274"/>
      <c r="F604" s="275"/>
    </row>
    <row r="605" hidden="1">
      <c r="A605" s="193">
        <v>19641.0</v>
      </c>
      <c r="B605" s="214">
        <f>VLOOKUP(A605,'Solicitações'!B:B,1,0)</f>
        <v>19641</v>
      </c>
      <c r="C605" s="214">
        <f t="shared" si="1"/>
        <v>0</v>
      </c>
      <c r="E605" s="274"/>
      <c r="F605" s="275"/>
    </row>
    <row r="606" hidden="1">
      <c r="A606" s="193">
        <v>19642.0</v>
      </c>
      <c r="B606" s="214">
        <f>VLOOKUP(A606,'Solicitações'!B:B,1,0)</f>
        <v>19642</v>
      </c>
      <c r="C606" s="214">
        <f t="shared" si="1"/>
        <v>0</v>
      </c>
      <c r="E606" s="274"/>
      <c r="F606" s="275"/>
    </row>
    <row r="607" hidden="1">
      <c r="A607" s="193">
        <v>19660.0</v>
      </c>
      <c r="B607" s="214">
        <f>VLOOKUP(A607,'Solicitações'!B:B,1,0)</f>
        <v>19660</v>
      </c>
      <c r="C607" s="214">
        <f t="shared" si="1"/>
        <v>0</v>
      </c>
      <c r="E607" s="274"/>
      <c r="F607" s="275"/>
    </row>
    <row r="608" hidden="1">
      <c r="A608" s="193">
        <v>19680.0</v>
      </c>
      <c r="B608" s="214">
        <f>VLOOKUP(A608,'Solicitações'!B:B,1,0)</f>
        <v>19680</v>
      </c>
      <c r="C608" s="214">
        <f t="shared" si="1"/>
        <v>0</v>
      </c>
      <c r="E608" s="274"/>
      <c r="F608" s="275"/>
    </row>
    <row r="609" hidden="1">
      <c r="A609" s="193">
        <v>19700.0</v>
      </c>
      <c r="B609" s="214">
        <f>VLOOKUP(A609,'Solicitações'!B:B,1,0)</f>
        <v>19700</v>
      </c>
      <c r="C609" s="214">
        <f t="shared" si="1"/>
        <v>0</v>
      </c>
      <c r="E609" s="274"/>
      <c r="F609" s="275"/>
    </row>
    <row r="610" hidden="1">
      <c r="A610" s="193">
        <v>19701.0</v>
      </c>
      <c r="B610" s="214">
        <f>VLOOKUP(A610,'Solicitações'!B:B,1,0)</f>
        <v>19701</v>
      </c>
      <c r="C610" s="214">
        <f t="shared" si="1"/>
        <v>0</v>
      </c>
      <c r="E610" s="274"/>
      <c r="F610" s="275"/>
    </row>
    <row r="611" hidden="1">
      <c r="A611" s="193">
        <v>19720.0</v>
      </c>
      <c r="B611" s="214">
        <f>VLOOKUP(A611,'Solicitações'!B:B,1,0)</f>
        <v>19720</v>
      </c>
      <c r="C611" s="214">
        <f t="shared" si="1"/>
        <v>0</v>
      </c>
      <c r="E611" s="274"/>
      <c r="F611" s="275"/>
    </row>
    <row r="612" hidden="1">
      <c r="A612" s="193">
        <v>19721.0</v>
      </c>
      <c r="B612" s="214">
        <f>VLOOKUP(A612,'Solicitações'!B:B,1,0)</f>
        <v>19721</v>
      </c>
      <c r="C612" s="214">
        <f t="shared" si="1"/>
        <v>0</v>
      </c>
      <c r="E612" s="274"/>
      <c r="F612" s="275"/>
    </row>
    <row r="613" hidden="1">
      <c r="A613" s="193">
        <v>19740.0</v>
      </c>
      <c r="B613" s="214">
        <f>VLOOKUP(A613,'Solicitações'!B:B,1,0)</f>
        <v>19740</v>
      </c>
      <c r="C613" s="214">
        <f t="shared" si="1"/>
        <v>0</v>
      </c>
      <c r="E613" s="274"/>
      <c r="F613" s="275"/>
    </row>
    <row r="614" hidden="1">
      <c r="A614" s="193">
        <v>19741.0</v>
      </c>
      <c r="B614" s="214">
        <f>VLOOKUP(A614,'Solicitações'!B:B,1,0)</f>
        <v>19741</v>
      </c>
      <c r="C614" s="214">
        <f t="shared" si="1"/>
        <v>0</v>
      </c>
      <c r="E614" s="274"/>
      <c r="F614" s="275"/>
    </row>
    <row r="615" hidden="1">
      <c r="A615" s="193">
        <v>19742.0</v>
      </c>
      <c r="B615" s="214">
        <f>VLOOKUP(A615,'Solicitações'!B:B,1,0)</f>
        <v>19742</v>
      </c>
      <c r="C615" s="214">
        <f t="shared" si="1"/>
        <v>0</v>
      </c>
      <c r="E615" s="274"/>
      <c r="F615" s="275"/>
    </row>
    <row r="616" hidden="1">
      <c r="A616" s="193">
        <v>19760.0</v>
      </c>
      <c r="B616" s="214">
        <f>VLOOKUP(A616,'Solicitações'!B:B,1,0)</f>
        <v>19760</v>
      </c>
      <c r="C616" s="214">
        <f t="shared" si="1"/>
        <v>0</v>
      </c>
      <c r="E616" s="274"/>
      <c r="F616" s="275"/>
    </row>
    <row r="617" hidden="1">
      <c r="A617" s="193">
        <v>19780.0</v>
      </c>
      <c r="B617" s="214">
        <f>VLOOKUP(A617,'Solicitações'!B:B,1,0)</f>
        <v>19780</v>
      </c>
      <c r="C617" s="214">
        <f t="shared" si="1"/>
        <v>0</v>
      </c>
      <c r="E617" s="274"/>
      <c r="F617" s="275"/>
    </row>
    <row r="618" hidden="1">
      <c r="A618" s="193">
        <v>19800.0</v>
      </c>
      <c r="B618" s="214">
        <f>VLOOKUP(A618,'Solicitações'!B:B,1,0)</f>
        <v>19800</v>
      </c>
      <c r="C618" s="214">
        <f t="shared" si="1"/>
        <v>0</v>
      </c>
      <c r="E618" s="274"/>
      <c r="F618" s="275"/>
    </row>
    <row r="619" hidden="1">
      <c r="A619" s="193">
        <v>19820.0</v>
      </c>
      <c r="B619" s="214">
        <f>VLOOKUP(A619,'Solicitações'!B:B,1,0)</f>
        <v>19820</v>
      </c>
      <c r="C619" s="214">
        <f t="shared" si="1"/>
        <v>0</v>
      </c>
      <c r="E619" s="274"/>
      <c r="F619" s="275"/>
    </row>
    <row r="620" hidden="1">
      <c r="A620" s="193">
        <v>19840.0</v>
      </c>
      <c r="B620" s="214">
        <f>VLOOKUP(A620,'Solicitações'!B:B,1,0)</f>
        <v>19840</v>
      </c>
      <c r="C620" s="214">
        <f t="shared" si="1"/>
        <v>0</v>
      </c>
      <c r="E620" s="274"/>
      <c r="F620" s="275"/>
    </row>
    <row r="621" hidden="1">
      <c r="A621" s="193">
        <v>19860.0</v>
      </c>
      <c r="B621" s="214">
        <f>VLOOKUP(A621,'Solicitações'!B:B,1,0)</f>
        <v>19860</v>
      </c>
      <c r="C621" s="214">
        <f t="shared" si="1"/>
        <v>0</v>
      </c>
      <c r="E621" s="274"/>
      <c r="F621" s="275"/>
    </row>
    <row r="622" hidden="1">
      <c r="A622" s="193">
        <v>19880.0</v>
      </c>
      <c r="B622" s="214">
        <f>VLOOKUP(A622,'Solicitações'!B:B,1,0)</f>
        <v>19880</v>
      </c>
      <c r="C622" s="214">
        <f t="shared" si="1"/>
        <v>0</v>
      </c>
      <c r="E622" s="274"/>
      <c r="F622" s="275"/>
    </row>
    <row r="623" hidden="1">
      <c r="A623" s="193">
        <v>19900.0</v>
      </c>
      <c r="B623" s="214">
        <f>VLOOKUP(A623,'Solicitações'!B:B,1,0)</f>
        <v>19900</v>
      </c>
      <c r="C623" s="214">
        <f t="shared" si="1"/>
        <v>0</v>
      </c>
      <c r="E623" s="274"/>
      <c r="F623" s="275"/>
    </row>
    <row r="624" hidden="1">
      <c r="A624" s="193">
        <v>19920.0</v>
      </c>
      <c r="B624" s="214">
        <f>VLOOKUP(A624,'Solicitações'!B:B,1,0)</f>
        <v>19920</v>
      </c>
      <c r="C624" s="214">
        <f t="shared" si="1"/>
        <v>0</v>
      </c>
      <c r="E624" s="274"/>
      <c r="F624" s="275"/>
    </row>
    <row r="625" hidden="1">
      <c r="A625" s="193">
        <v>19940.0</v>
      </c>
      <c r="B625" s="214">
        <f>VLOOKUP(A625,'Solicitações'!B:B,1,0)</f>
        <v>19940</v>
      </c>
      <c r="C625" s="214">
        <f t="shared" si="1"/>
        <v>0</v>
      </c>
      <c r="E625" s="274"/>
      <c r="F625" s="275"/>
    </row>
    <row r="626" hidden="1">
      <c r="A626" s="193">
        <v>19960.0</v>
      </c>
      <c r="B626" s="214">
        <f>VLOOKUP(A626,'Solicitações'!B:B,1,0)</f>
        <v>19960</v>
      </c>
      <c r="C626" s="214">
        <f t="shared" si="1"/>
        <v>0</v>
      </c>
      <c r="E626" s="274"/>
      <c r="F626" s="275"/>
    </row>
    <row r="627" hidden="1">
      <c r="A627" s="193">
        <v>19980.0</v>
      </c>
      <c r="B627" s="214">
        <f>VLOOKUP(A627,'Solicitações'!B:B,1,0)</f>
        <v>19980</v>
      </c>
      <c r="C627" s="214">
        <f t="shared" si="1"/>
        <v>0</v>
      </c>
      <c r="E627" s="274"/>
      <c r="F627" s="275"/>
    </row>
    <row r="628" hidden="1">
      <c r="A628" s="193">
        <v>20000.0</v>
      </c>
      <c r="B628" s="214">
        <f>VLOOKUP(A628,'Solicitações'!B:B,1,0)</f>
        <v>20000</v>
      </c>
      <c r="C628" s="214">
        <f t="shared" si="1"/>
        <v>0</v>
      </c>
      <c r="E628" s="274"/>
      <c r="F628" s="275"/>
    </row>
    <row r="629" hidden="1">
      <c r="A629" s="193">
        <v>20020.0</v>
      </c>
      <c r="B629" s="214">
        <f>VLOOKUP(A629,'Solicitações'!B:B,1,0)</f>
        <v>20020</v>
      </c>
      <c r="C629" s="214">
        <f t="shared" si="1"/>
        <v>0</v>
      </c>
      <c r="E629" s="274"/>
      <c r="F629" s="275"/>
    </row>
    <row r="630" hidden="1">
      <c r="A630" s="193">
        <v>20040.0</v>
      </c>
      <c r="B630" s="214">
        <f>VLOOKUP(A630,'Solicitações'!B:B,1,0)</f>
        <v>20040</v>
      </c>
      <c r="C630" s="214">
        <f t="shared" si="1"/>
        <v>0</v>
      </c>
      <c r="E630" s="274"/>
      <c r="F630" s="275"/>
    </row>
    <row r="631" hidden="1">
      <c r="A631" s="193">
        <v>20060.0</v>
      </c>
      <c r="B631" s="214">
        <f>VLOOKUP(A631,'Solicitações'!B:B,1,0)</f>
        <v>20060</v>
      </c>
      <c r="C631" s="214">
        <f t="shared" si="1"/>
        <v>0</v>
      </c>
      <c r="E631" s="274"/>
      <c r="F631" s="275"/>
    </row>
    <row r="632" hidden="1">
      <c r="A632" s="193">
        <v>20080.0</v>
      </c>
      <c r="B632" s="214">
        <f>VLOOKUP(A632,'Solicitações'!B:B,1,0)</f>
        <v>20080</v>
      </c>
      <c r="C632" s="214">
        <f t="shared" si="1"/>
        <v>0</v>
      </c>
      <c r="E632" s="274"/>
      <c r="F632" s="275"/>
    </row>
    <row r="633" hidden="1">
      <c r="A633" s="193">
        <v>20100.0</v>
      </c>
      <c r="B633" s="214">
        <f>VLOOKUP(A633,'Solicitações'!B:B,1,0)</f>
        <v>20100</v>
      </c>
      <c r="C633" s="214">
        <f t="shared" si="1"/>
        <v>0</v>
      </c>
      <c r="E633" s="274"/>
      <c r="F633" s="275"/>
    </row>
    <row r="634" hidden="1">
      <c r="A634" s="193">
        <v>20120.0</v>
      </c>
      <c r="B634" s="214">
        <f>VLOOKUP(A634,'Solicitações'!B:B,1,0)</f>
        <v>20120</v>
      </c>
      <c r="C634" s="214">
        <f t="shared" si="1"/>
        <v>0</v>
      </c>
      <c r="E634" s="274"/>
      <c r="F634" s="275"/>
    </row>
    <row r="635" hidden="1">
      <c r="A635" s="193">
        <v>20140.0</v>
      </c>
      <c r="B635" s="214">
        <f>VLOOKUP(A635,'Solicitações'!B:B,1,0)</f>
        <v>20140</v>
      </c>
      <c r="C635" s="214">
        <f t="shared" si="1"/>
        <v>0</v>
      </c>
      <c r="E635" s="274"/>
      <c r="F635" s="275"/>
    </row>
    <row r="636" hidden="1">
      <c r="A636" s="193">
        <v>20160.0</v>
      </c>
      <c r="B636" s="214">
        <f>VLOOKUP(A636,'Solicitações'!B:B,1,0)</f>
        <v>20160</v>
      </c>
      <c r="C636" s="214">
        <f t="shared" si="1"/>
        <v>0</v>
      </c>
      <c r="E636" s="274"/>
      <c r="F636" s="275"/>
    </row>
    <row r="637" hidden="1">
      <c r="A637" s="193">
        <v>20180.0</v>
      </c>
      <c r="B637" s="214">
        <f>VLOOKUP(A637,'Solicitações'!B:B,1,0)</f>
        <v>20180</v>
      </c>
      <c r="C637" s="214">
        <f t="shared" si="1"/>
        <v>0</v>
      </c>
      <c r="E637" s="274"/>
      <c r="F637" s="275"/>
    </row>
    <row r="638" hidden="1">
      <c r="A638" s="193">
        <v>20200.0</v>
      </c>
      <c r="B638" s="214">
        <f>VLOOKUP(A638,'Solicitações'!B:B,1,0)</f>
        <v>20200</v>
      </c>
      <c r="C638" s="214">
        <f t="shared" si="1"/>
        <v>0</v>
      </c>
      <c r="E638" s="274"/>
      <c r="F638" s="275"/>
    </row>
    <row r="639" hidden="1">
      <c r="A639" s="193">
        <v>20220.0</v>
      </c>
      <c r="B639" s="214">
        <f>VLOOKUP(A639,'Solicitações'!B:B,1,0)</f>
        <v>20220</v>
      </c>
      <c r="C639" s="214">
        <f t="shared" si="1"/>
        <v>0</v>
      </c>
      <c r="E639" s="274"/>
      <c r="F639" s="275"/>
    </row>
    <row r="640" hidden="1">
      <c r="A640" s="193">
        <v>20240.0</v>
      </c>
      <c r="B640" s="214">
        <f>VLOOKUP(A640,'Solicitações'!B:B,1,0)</f>
        <v>20240</v>
      </c>
      <c r="C640" s="214">
        <f t="shared" si="1"/>
        <v>0</v>
      </c>
      <c r="E640" s="274"/>
      <c r="F640" s="275"/>
    </row>
    <row r="641" hidden="1">
      <c r="A641" s="193">
        <v>20260.0</v>
      </c>
      <c r="B641" s="214">
        <f>VLOOKUP(A641,'Solicitações'!B:B,1,0)</f>
        <v>20260</v>
      </c>
      <c r="C641" s="214">
        <f t="shared" si="1"/>
        <v>0</v>
      </c>
      <c r="E641" s="274"/>
      <c r="F641" s="275"/>
    </row>
    <row r="642" hidden="1">
      <c r="A642" s="193">
        <v>20280.0</v>
      </c>
      <c r="B642" s="214">
        <f>VLOOKUP(A642,'Solicitações'!B:B,1,0)</f>
        <v>20280</v>
      </c>
      <c r="C642" s="214">
        <f t="shared" si="1"/>
        <v>0</v>
      </c>
      <c r="E642" s="274"/>
      <c r="F642" s="275"/>
    </row>
    <row r="643" hidden="1">
      <c r="A643" s="193">
        <v>20300.0</v>
      </c>
      <c r="B643" s="214">
        <f>VLOOKUP(A643,'Solicitações'!B:B,1,0)</f>
        <v>20300</v>
      </c>
      <c r="C643" s="214">
        <f t="shared" si="1"/>
        <v>0</v>
      </c>
      <c r="E643" s="274"/>
      <c r="F643" s="275"/>
    </row>
    <row r="644" hidden="1">
      <c r="A644" s="193">
        <v>20320.0</v>
      </c>
      <c r="B644" s="214">
        <f>VLOOKUP(A644,'Solicitações'!B:B,1,0)</f>
        <v>20320</v>
      </c>
      <c r="C644" s="214">
        <f t="shared" si="1"/>
        <v>0</v>
      </c>
      <c r="E644" s="274"/>
      <c r="F644" s="275"/>
    </row>
    <row r="645" hidden="1">
      <c r="A645" s="193">
        <v>20340.0</v>
      </c>
      <c r="B645" s="214">
        <f>VLOOKUP(A645,'Solicitações'!B:B,1,0)</f>
        <v>20340</v>
      </c>
      <c r="C645" s="214">
        <f t="shared" si="1"/>
        <v>0</v>
      </c>
      <c r="E645" s="274"/>
      <c r="F645" s="275"/>
    </row>
    <row r="646" hidden="1">
      <c r="A646" s="193">
        <v>20360.0</v>
      </c>
      <c r="B646" s="214">
        <f>VLOOKUP(A646,'Solicitações'!B:B,1,0)</f>
        <v>20360</v>
      </c>
      <c r="C646" s="214">
        <f t="shared" si="1"/>
        <v>0</v>
      </c>
      <c r="E646" s="274"/>
      <c r="F646" s="275"/>
    </row>
    <row r="647" hidden="1">
      <c r="A647" s="193">
        <v>20380.0</v>
      </c>
      <c r="B647" s="214">
        <f>VLOOKUP(A647,'Solicitações'!B:B,1,0)</f>
        <v>20380</v>
      </c>
      <c r="C647" s="214">
        <f t="shared" si="1"/>
        <v>0</v>
      </c>
      <c r="E647" s="274"/>
      <c r="F647" s="275"/>
    </row>
    <row r="648" hidden="1">
      <c r="A648" s="193">
        <v>20400.0</v>
      </c>
      <c r="B648" s="214">
        <f>VLOOKUP(A648,'Solicitações'!B:B,1,0)</f>
        <v>20400</v>
      </c>
      <c r="C648" s="214">
        <f t="shared" si="1"/>
        <v>0</v>
      </c>
      <c r="E648" s="274"/>
      <c r="F648" s="275"/>
    </row>
    <row r="649" hidden="1">
      <c r="A649" s="193">
        <v>20420.0</v>
      </c>
      <c r="B649" s="214">
        <f>VLOOKUP(A649,'Solicitações'!B:B,1,0)</f>
        <v>20420</v>
      </c>
      <c r="C649" s="214">
        <f t="shared" si="1"/>
        <v>0</v>
      </c>
      <c r="E649" s="274"/>
      <c r="F649" s="275"/>
    </row>
    <row r="650" hidden="1">
      <c r="A650" s="193">
        <v>20440.0</v>
      </c>
      <c r="B650" s="214">
        <f>VLOOKUP(A650,'Solicitações'!B:B,1,0)</f>
        <v>20440</v>
      </c>
      <c r="C650" s="214">
        <f t="shared" si="1"/>
        <v>0</v>
      </c>
      <c r="E650" s="274"/>
      <c r="F650" s="275"/>
    </row>
    <row r="651" hidden="1">
      <c r="A651" s="193">
        <v>20460.0</v>
      </c>
      <c r="B651" s="214">
        <f>VLOOKUP(A651,'Solicitações'!B:B,1,0)</f>
        <v>20460</v>
      </c>
      <c r="C651" s="214">
        <f t="shared" si="1"/>
        <v>0</v>
      </c>
      <c r="E651" s="274"/>
      <c r="F651" s="275"/>
    </row>
    <row r="652" hidden="1">
      <c r="A652" s="193">
        <v>20480.0</v>
      </c>
      <c r="B652" s="214">
        <f>VLOOKUP(A652,'Solicitações'!B:B,1,0)</f>
        <v>20480</v>
      </c>
      <c r="C652" s="214">
        <f t="shared" si="1"/>
        <v>0</v>
      </c>
      <c r="E652" s="274"/>
      <c r="F652" s="275"/>
    </row>
    <row r="653" hidden="1">
      <c r="A653" s="193">
        <v>20500.0</v>
      </c>
      <c r="B653" s="214">
        <f>VLOOKUP(A653,'Solicitações'!B:B,1,0)</f>
        <v>20500</v>
      </c>
      <c r="C653" s="214">
        <f t="shared" si="1"/>
        <v>0</v>
      </c>
      <c r="E653" s="274"/>
      <c r="F653" s="275"/>
    </row>
    <row r="654" hidden="1">
      <c r="A654" s="193">
        <v>20520.0</v>
      </c>
      <c r="B654" s="214">
        <f>VLOOKUP(A654,'Solicitações'!B:B,1,0)</f>
        <v>20520</v>
      </c>
      <c r="C654" s="214">
        <f t="shared" si="1"/>
        <v>0</v>
      </c>
      <c r="E654" s="274"/>
      <c r="F654" s="275"/>
    </row>
    <row r="655" hidden="1">
      <c r="A655" s="193">
        <v>20540.0</v>
      </c>
      <c r="B655" s="214">
        <f>VLOOKUP(A655,'Solicitações'!B:B,1,0)</f>
        <v>20540</v>
      </c>
      <c r="C655" s="214">
        <f t="shared" si="1"/>
        <v>0</v>
      </c>
      <c r="E655" s="274"/>
      <c r="F655" s="275"/>
    </row>
    <row r="656" hidden="1">
      <c r="A656" s="193">
        <v>20560.0</v>
      </c>
      <c r="B656" s="214">
        <f>VLOOKUP(A656,'Solicitações'!B:B,1,0)</f>
        <v>20560</v>
      </c>
      <c r="C656" s="214">
        <f t="shared" si="1"/>
        <v>0</v>
      </c>
      <c r="E656" s="274"/>
      <c r="F656" s="275"/>
    </row>
    <row r="657" hidden="1">
      <c r="A657" s="193">
        <v>20580.0</v>
      </c>
      <c r="B657" s="214">
        <f>VLOOKUP(A657,'Solicitações'!B:B,1,0)</f>
        <v>20580</v>
      </c>
      <c r="C657" s="214">
        <f t="shared" si="1"/>
        <v>0</v>
      </c>
      <c r="E657" s="274"/>
      <c r="F657" s="275"/>
    </row>
    <row r="658" hidden="1">
      <c r="A658" s="193">
        <v>20600.0</v>
      </c>
      <c r="B658" s="214">
        <f>VLOOKUP(A658,'Solicitações'!B:B,1,0)</f>
        <v>20600</v>
      </c>
      <c r="C658" s="214">
        <f t="shared" si="1"/>
        <v>0</v>
      </c>
      <c r="E658" s="274"/>
      <c r="F658" s="275"/>
    </row>
    <row r="659" hidden="1">
      <c r="A659" s="193">
        <v>20620.0</v>
      </c>
      <c r="B659" s="214">
        <f>VLOOKUP(A659,'Solicitações'!B:B,1,0)</f>
        <v>20620</v>
      </c>
      <c r="C659" s="214">
        <f t="shared" si="1"/>
        <v>0</v>
      </c>
      <c r="E659" s="274"/>
      <c r="F659" s="275"/>
    </row>
    <row r="660" hidden="1">
      <c r="A660" s="193">
        <v>20640.0</v>
      </c>
      <c r="B660" s="214">
        <f>VLOOKUP(A660,'Solicitações'!B:B,1,0)</f>
        <v>20640</v>
      </c>
      <c r="C660" s="214">
        <f t="shared" si="1"/>
        <v>0</v>
      </c>
      <c r="E660" s="274"/>
      <c r="F660" s="275"/>
    </row>
    <row r="661" hidden="1">
      <c r="A661" s="193">
        <v>20660.0</v>
      </c>
      <c r="B661" s="214">
        <f>VLOOKUP(A661,'Solicitações'!B:B,1,0)</f>
        <v>20660</v>
      </c>
      <c r="C661" s="214">
        <f t="shared" si="1"/>
        <v>0</v>
      </c>
      <c r="E661" s="274"/>
      <c r="F661" s="275"/>
    </row>
    <row r="662" hidden="1">
      <c r="A662" s="193">
        <v>20680.0</v>
      </c>
      <c r="B662" s="214">
        <f>VLOOKUP(A662,'Solicitações'!B:B,1,0)</f>
        <v>20680</v>
      </c>
      <c r="C662" s="214">
        <f t="shared" si="1"/>
        <v>0</v>
      </c>
      <c r="E662" s="274"/>
      <c r="F662" s="275"/>
    </row>
    <row r="663" hidden="1">
      <c r="A663" s="193">
        <v>20700.0</v>
      </c>
      <c r="B663" s="214">
        <f>VLOOKUP(A663,'Solicitações'!B:B,1,0)</f>
        <v>20700</v>
      </c>
      <c r="C663" s="214">
        <f t="shared" si="1"/>
        <v>0</v>
      </c>
      <c r="E663" s="274"/>
      <c r="F663" s="275"/>
    </row>
    <row r="664" hidden="1">
      <c r="A664" s="193">
        <v>20720.0</v>
      </c>
      <c r="B664" s="214">
        <f>VLOOKUP(A664,'Solicitações'!B:B,1,0)</f>
        <v>20720</v>
      </c>
      <c r="C664" s="214">
        <f t="shared" si="1"/>
        <v>0</v>
      </c>
      <c r="E664" s="274"/>
      <c r="F664" s="275"/>
    </row>
    <row r="665" hidden="1">
      <c r="A665" s="193">
        <v>20740.0</v>
      </c>
      <c r="B665" s="214">
        <f>VLOOKUP(A665,'Solicitações'!B:B,1,0)</f>
        <v>20740</v>
      </c>
      <c r="C665" s="214">
        <f t="shared" si="1"/>
        <v>0</v>
      </c>
      <c r="E665" s="274"/>
      <c r="F665" s="275"/>
    </row>
    <row r="666" hidden="1">
      <c r="A666" s="193">
        <v>20760.0</v>
      </c>
      <c r="B666" s="214">
        <f>VLOOKUP(A666,'Solicitações'!B:B,1,0)</f>
        <v>20760</v>
      </c>
      <c r="C666" s="214">
        <f t="shared" si="1"/>
        <v>0</v>
      </c>
      <c r="E666" s="274"/>
      <c r="F666" s="275"/>
    </row>
    <row r="667" hidden="1">
      <c r="A667" s="193">
        <v>20780.0</v>
      </c>
      <c r="B667" s="214">
        <f>VLOOKUP(A667,'Solicitações'!B:B,1,0)</f>
        <v>20780</v>
      </c>
      <c r="C667" s="214">
        <f t="shared" si="1"/>
        <v>0</v>
      </c>
      <c r="E667" s="274"/>
      <c r="F667" s="275"/>
    </row>
    <row r="668" hidden="1">
      <c r="A668" s="193">
        <v>20800.0</v>
      </c>
      <c r="B668" s="214">
        <f>VLOOKUP(A668,'Solicitações'!B:B,1,0)</f>
        <v>20800</v>
      </c>
      <c r="C668" s="214">
        <f t="shared" si="1"/>
        <v>0</v>
      </c>
      <c r="E668" s="274"/>
      <c r="F668" s="275"/>
    </row>
    <row r="669" hidden="1">
      <c r="A669" s="193">
        <v>20820.0</v>
      </c>
      <c r="B669" s="214">
        <f>VLOOKUP(A669,'Solicitações'!B:B,1,0)</f>
        <v>20820</v>
      </c>
      <c r="C669" s="214">
        <f t="shared" si="1"/>
        <v>0</v>
      </c>
      <c r="E669" s="274"/>
      <c r="F669" s="275"/>
    </row>
    <row r="670" hidden="1">
      <c r="A670" s="193">
        <v>20840.0</v>
      </c>
      <c r="B670" s="214">
        <f>VLOOKUP(A670,'Solicitações'!B:B,1,0)</f>
        <v>20840</v>
      </c>
      <c r="C670" s="214">
        <f t="shared" si="1"/>
        <v>0</v>
      </c>
      <c r="E670" s="274"/>
      <c r="F670" s="275"/>
    </row>
    <row r="671" hidden="1">
      <c r="A671" s="193">
        <v>20860.0</v>
      </c>
      <c r="B671" s="214">
        <f>VLOOKUP(A671,'Solicitações'!B:B,1,0)</f>
        <v>20860</v>
      </c>
      <c r="C671" s="214">
        <f t="shared" si="1"/>
        <v>0</v>
      </c>
      <c r="E671" s="274"/>
      <c r="F671" s="275"/>
    </row>
    <row r="672" hidden="1">
      <c r="A672" s="193">
        <v>20880.0</v>
      </c>
      <c r="B672" s="214">
        <f>VLOOKUP(A672,'Solicitações'!B:B,1,0)</f>
        <v>20880</v>
      </c>
      <c r="C672" s="214">
        <f t="shared" si="1"/>
        <v>0</v>
      </c>
      <c r="E672" s="274"/>
      <c r="F672" s="275"/>
    </row>
    <row r="673" hidden="1">
      <c r="A673" s="193">
        <v>20900.0</v>
      </c>
      <c r="B673" s="214">
        <f>VLOOKUP(A673,'Solicitações'!B:B,1,0)</f>
        <v>20900</v>
      </c>
      <c r="C673" s="214">
        <f t="shared" si="1"/>
        <v>0</v>
      </c>
      <c r="E673" s="274"/>
      <c r="F673" s="275"/>
    </row>
    <row r="674" hidden="1">
      <c r="A674" s="193">
        <v>20920.0</v>
      </c>
      <c r="B674" s="214">
        <f>VLOOKUP(A674,'Solicitações'!B:B,1,0)</f>
        <v>20920</v>
      </c>
      <c r="C674" s="214">
        <f t="shared" si="1"/>
        <v>0</v>
      </c>
      <c r="E674" s="274"/>
      <c r="F674" s="275"/>
    </row>
    <row r="675" hidden="1">
      <c r="A675" s="193">
        <v>20940.0</v>
      </c>
      <c r="B675" s="214">
        <f>VLOOKUP(A675,'Solicitações'!B:B,1,0)</f>
        <v>20940</v>
      </c>
      <c r="C675" s="214">
        <f t="shared" si="1"/>
        <v>0</v>
      </c>
      <c r="E675" s="274"/>
      <c r="F675" s="275"/>
    </row>
    <row r="676" hidden="1">
      <c r="A676" s="193">
        <v>20960.0</v>
      </c>
      <c r="B676" s="214">
        <f>VLOOKUP(A676,'Solicitações'!B:B,1,0)</f>
        <v>20960</v>
      </c>
      <c r="C676" s="214">
        <f t="shared" si="1"/>
        <v>0</v>
      </c>
      <c r="E676" s="274"/>
      <c r="F676" s="275"/>
    </row>
    <row r="677" hidden="1">
      <c r="A677" s="193">
        <v>20980.0</v>
      </c>
      <c r="B677" s="214">
        <f>VLOOKUP(A677,'Solicitações'!B:B,1,0)</f>
        <v>20980</v>
      </c>
      <c r="C677" s="214">
        <f t="shared" si="1"/>
        <v>0</v>
      </c>
      <c r="E677" s="274"/>
      <c r="F677" s="275"/>
    </row>
    <row r="678" hidden="1">
      <c r="A678" s="193">
        <v>21000.0</v>
      </c>
      <c r="B678" s="214">
        <f>VLOOKUP(A678,'Solicitações'!B:B,1,0)</f>
        <v>21000</v>
      </c>
      <c r="C678" s="214">
        <f t="shared" si="1"/>
        <v>0</v>
      </c>
      <c r="E678" s="274"/>
      <c r="F678" s="275"/>
    </row>
    <row r="679" hidden="1">
      <c r="A679" s="193">
        <v>21020.0</v>
      </c>
      <c r="B679" s="214">
        <f>VLOOKUP(A679,'Solicitações'!B:B,1,0)</f>
        <v>21020</v>
      </c>
      <c r="C679" s="214">
        <f t="shared" si="1"/>
        <v>0</v>
      </c>
      <c r="E679" s="274"/>
      <c r="F679" s="275"/>
    </row>
    <row r="680" hidden="1">
      <c r="A680" s="193">
        <v>21040.0</v>
      </c>
      <c r="B680" s="214">
        <f>VLOOKUP(A680,'Solicitações'!B:B,1,0)</f>
        <v>21040</v>
      </c>
      <c r="C680" s="214">
        <f t="shared" si="1"/>
        <v>0</v>
      </c>
      <c r="E680" s="274"/>
      <c r="F680" s="275"/>
    </row>
    <row r="681" hidden="1">
      <c r="A681" s="193">
        <v>21060.0</v>
      </c>
      <c r="B681" s="214">
        <f>VLOOKUP(A681,'Solicitações'!B:B,1,0)</f>
        <v>21060</v>
      </c>
      <c r="C681" s="214">
        <f t="shared" si="1"/>
        <v>0</v>
      </c>
      <c r="E681" s="274"/>
      <c r="F681" s="275"/>
    </row>
    <row r="682" hidden="1">
      <c r="A682" s="193">
        <v>21080.0</v>
      </c>
      <c r="B682" s="214">
        <f>VLOOKUP(A682,'Solicitações'!B:B,1,0)</f>
        <v>21080</v>
      </c>
      <c r="C682" s="214">
        <f t="shared" si="1"/>
        <v>0</v>
      </c>
      <c r="E682" s="274"/>
      <c r="F682" s="275"/>
    </row>
    <row r="683" hidden="1">
      <c r="A683" s="193">
        <v>21100.0</v>
      </c>
      <c r="B683" s="214">
        <f>VLOOKUP(A683,'Solicitações'!B:B,1,0)</f>
        <v>21100</v>
      </c>
      <c r="C683" s="214">
        <f t="shared" si="1"/>
        <v>0</v>
      </c>
      <c r="E683" s="274"/>
      <c r="F683" s="275"/>
    </row>
    <row r="684" hidden="1">
      <c r="A684" s="193">
        <v>21120.0</v>
      </c>
      <c r="B684" s="214">
        <f>VLOOKUP(A684,'Solicitações'!B:B,1,0)</f>
        <v>21120</v>
      </c>
      <c r="C684" s="214">
        <f t="shared" si="1"/>
        <v>0</v>
      </c>
      <c r="E684" s="274"/>
      <c r="F684" s="275"/>
    </row>
    <row r="685" hidden="1">
      <c r="A685" s="193">
        <v>21140.0</v>
      </c>
      <c r="B685" s="214">
        <f>VLOOKUP(A685,'Solicitações'!B:B,1,0)</f>
        <v>21140</v>
      </c>
      <c r="C685" s="214">
        <f t="shared" si="1"/>
        <v>0</v>
      </c>
      <c r="E685" s="274"/>
      <c r="F685" s="275"/>
    </row>
    <row r="686" hidden="1">
      <c r="A686" s="193">
        <v>21160.0</v>
      </c>
      <c r="B686" s="214">
        <f>VLOOKUP(A686,'Solicitações'!B:B,1,0)</f>
        <v>21160</v>
      </c>
      <c r="C686" s="214">
        <f t="shared" si="1"/>
        <v>0</v>
      </c>
      <c r="E686" s="274"/>
      <c r="F686" s="275"/>
    </row>
    <row r="687" hidden="1">
      <c r="A687" s="193">
        <v>21180.0</v>
      </c>
      <c r="B687" s="214">
        <f>VLOOKUP(A687,'Solicitações'!B:B,1,0)</f>
        <v>21180</v>
      </c>
      <c r="C687" s="214">
        <f t="shared" si="1"/>
        <v>0</v>
      </c>
      <c r="E687" s="274"/>
      <c r="F687" s="275"/>
    </row>
    <row r="688" hidden="1">
      <c r="A688" s="193">
        <v>21200.0</v>
      </c>
      <c r="B688" s="214">
        <f>VLOOKUP(A688,'Solicitações'!B:B,1,0)</f>
        <v>21200</v>
      </c>
      <c r="C688" s="214">
        <f t="shared" si="1"/>
        <v>0</v>
      </c>
      <c r="E688" s="274"/>
      <c r="F688" s="275"/>
    </row>
    <row r="689" hidden="1">
      <c r="A689" s="193">
        <v>21220.0</v>
      </c>
      <c r="B689" s="214">
        <f>VLOOKUP(A689,'Solicitações'!B:B,1,0)</f>
        <v>21220</v>
      </c>
      <c r="C689" s="214">
        <f t="shared" si="1"/>
        <v>0</v>
      </c>
      <c r="E689" s="274"/>
      <c r="F689" s="275"/>
    </row>
    <row r="690" hidden="1">
      <c r="A690" s="193">
        <v>21240.0</v>
      </c>
      <c r="B690" s="214">
        <f>VLOOKUP(A690,'Solicitações'!B:B,1,0)</f>
        <v>21240</v>
      </c>
      <c r="C690" s="214">
        <f t="shared" si="1"/>
        <v>0</v>
      </c>
      <c r="E690" s="274"/>
      <c r="F690" s="275"/>
    </row>
    <row r="691" hidden="1">
      <c r="A691" s="193">
        <v>21260.0</v>
      </c>
      <c r="B691" s="214">
        <f>VLOOKUP(A691,'Solicitações'!B:B,1,0)</f>
        <v>21260</v>
      </c>
      <c r="C691" s="214">
        <f t="shared" si="1"/>
        <v>0</v>
      </c>
      <c r="E691" s="274"/>
      <c r="F691" s="275"/>
    </row>
    <row r="692" hidden="1">
      <c r="A692" s="193">
        <v>21280.0</v>
      </c>
      <c r="B692" s="214">
        <f>VLOOKUP(A692,'Solicitações'!B:B,1,0)</f>
        <v>21280</v>
      </c>
      <c r="C692" s="214">
        <f t="shared" si="1"/>
        <v>0</v>
      </c>
      <c r="E692" s="274"/>
      <c r="F692" s="275"/>
    </row>
    <row r="693" hidden="1">
      <c r="A693" s="193">
        <v>21300.0</v>
      </c>
      <c r="B693" s="214">
        <f>VLOOKUP(A693,'Solicitações'!B:B,1,0)</f>
        <v>21300</v>
      </c>
      <c r="C693" s="214">
        <f t="shared" si="1"/>
        <v>0</v>
      </c>
      <c r="E693" s="274"/>
      <c r="F693" s="275"/>
    </row>
    <row r="694" hidden="1">
      <c r="A694" s="193">
        <v>21320.0</v>
      </c>
      <c r="B694" s="214">
        <f>VLOOKUP(A694,'Solicitações'!B:B,1,0)</f>
        <v>21320</v>
      </c>
      <c r="C694" s="214">
        <f t="shared" si="1"/>
        <v>0</v>
      </c>
      <c r="E694" s="274"/>
      <c r="F694" s="275"/>
    </row>
    <row r="695" hidden="1">
      <c r="A695" s="193">
        <v>21340.0</v>
      </c>
      <c r="B695" s="214">
        <f>VLOOKUP(A695,'Solicitações'!B:B,1,0)</f>
        <v>21340</v>
      </c>
      <c r="C695" s="214">
        <f t="shared" si="1"/>
        <v>0</v>
      </c>
      <c r="E695" s="274"/>
      <c r="F695" s="275"/>
    </row>
    <row r="696" hidden="1">
      <c r="A696" s="193">
        <v>21360.0</v>
      </c>
      <c r="B696" s="214">
        <f>VLOOKUP(A696,'Solicitações'!B:B,1,0)</f>
        <v>21360</v>
      </c>
      <c r="C696" s="214">
        <f t="shared" si="1"/>
        <v>0</v>
      </c>
      <c r="E696" s="274"/>
      <c r="F696" s="275"/>
    </row>
    <row r="697" hidden="1">
      <c r="A697" s="193">
        <v>21380.0</v>
      </c>
      <c r="B697" s="214">
        <f>VLOOKUP(A697,'Solicitações'!B:B,1,0)</f>
        <v>21380</v>
      </c>
      <c r="C697" s="214">
        <f t="shared" si="1"/>
        <v>0</v>
      </c>
      <c r="E697" s="274"/>
      <c r="F697" s="275"/>
    </row>
    <row r="698" hidden="1">
      <c r="A698" s="193">
        <v>21400.0</v>
      </c>
      <c r="B698" s="214">
        <f>VLOOKUP(A698,'Solicitações'!B:B,1,0)</f>
        <v>21400</v>
      </c>
      <c r="C698" s="214">
        <f t="shared" si="1"/>
        <v>0</v>
      </c>
      <c r="E698" s="274"/>
      <c r="F698" s="275"/>
    </row>
    <row r="699" hidden="1">
      <c r="A699" s="193">
        <v>21420.0</v>
      </c>
      <c r="B699" s="214">
        <f>VLOOKUP(A699,'Solicitações'!B:B,1,0)</f>
        <v>21420</v>
      </c>
      <c r="C699" s="214">
        <f t="shared" si="1"/>
        <v>0</v>
      </c>
      <c r="E699" s="274"/>
      <c r="F699" s="275"/>
    </row>
    <row r="700" hidden="1">
      <c r="A700" s="193">
        <v>21440.0</v>
      </c>
      <c r="B700" s="214">
        <f>VLOOKUP(A700,'Solicitações'!B:B,1,0)</f>
        <v>21440</v>
      </c>
      <c r="C700" s="214">
        <f t="shared" si="1"/>
        <v>0</v>
      </c>
      <c r="E700" s="274"/>
      <c r="F700" s="275"/>
    </row>
    <row r="701" hidden="1">
      <c r="A701" s="193">
        <v>21460.0</v>
      </c>
      <c r="B701" s="214">
        <f>VLOOKUP(A701,'Solicitações'!B:B,1,0)</f>
        <v>21460</v>
      </c>
      <c r="C701" s="214">
        <f t="shared" si="1"/>
        <v>0</v>
      </c>
      <c r="E701" s="274"/>
      <c r="F701" s="275"/>
    </row>
    <row r="702" hidden="1">
      <c r="A702" s="193">
        <v>21480.0</v>
      </c>
      <c r="B702" s="214">
        <f>VLOOKUP(A702,'Solicitações'!B:B,1,0)</f>
        <v>21480</v>
      </c>
      <c r="C702" s="214">
        <f t="shared" si="1"/>
        <v>0</v>
      </c>
      <c r="E702" s="274"/>
      <c r="F702" s="275"/>
    </row>
    <row r="703" hidden="1">
      <c r="A703" s="193">
        <v>21500.0</v>
      </c>
      <c r="B703" s="214">
        <f>VLOOKUP(A703,'Solicitações'!B:B,1,0)</f>
        <v>21500</v>
      </c>
      <c r="C703" s="214">
        <f t="shared" si="1"/>
        <v>0</v>
      </c>
      <c r="E703" s="274"/>
      <c r="F703" s="275"/>
    </row>
    <row r="704" hidden="1">
      <c r="A704" s="193">
        <v>21520.0</v>
      </c>
      <c r="B704" s="214">
        <f>VLOOKUP(A704,'Solicitações'!B:B,1,0)</f>
        <v>21520</v>
      </c>
      <c r="C704" s="214">
        <f t="shared" si="1"/>
        <v>0</v>
      </c>
      <c r="E704" s="274"/>
      <c r="F704" s="275"/>
    </row>
    <row r="705" hidden="1">
      <c r="A705" s="193">
        <v>21540.0</v>
      </c>
      <c r="B705" s="214">
        <f>VLOOKUP(A705,'Solicitações'!B:B,1,0)</f>
        <v>21540</v>
      </c>
      <c r="C705" s="214">
        <f t="shared" si="1"/>
        <v>0</v>
      </c>
      <c r="E705" s="274"/>
      <c r="F705" s="275"/>
    </row>
    <row r="706" hidden="1">
      <c r="A706" s="193">
        <v>21560.0</v>
      </c>
      <c r="B706" s="214">
        <f>VLOOKUP(A706,'Solicitações'!B:B,1,0)</f>
        <v>21560</v>
      </c>
      <c r="C706" s="214">
        <f t="shared" si="1"/>
        <v>0</v>
      </c>
      <c r="E706" s="274"/>
      <c r="F706" s="275"/>
    </row>
    <row r="707" hidden="1">
      <c r="A707" s="193">
        <v>21580.0</v>
      </c>
      <c r="B707" s="214">
        <f>VLOOKUP(A707,'Solicitações'!B:B,1,0)</f>
        <v>21580</v>
      </c>
      <c r="C707" s="214">
        <f t="shared" si="1"/>
        <v>0</v>
      </c>
      <c r="E707" s="274"/>
      <c r="F707" s="275"/>
    </row>
    <row r="708" hidden="1">
      <c r="A708" s="193">
        <v>21600.0</v>
      </c>
      <c r="B708" s="214">
        <f>VLOOKUP(A708,'Solicitações'!B:B,1,0)</f>
        <v>21600</v>
      </c>
      <c r="C708" s="214">
        <f t="shared" si="1"/>
        <v>0</v>
      </c>
      <c r="E708" s="274"/>
      <c r="F708" s="275"/>
    </row>
    <row r="709" hidden="1">
      <c r="A709" s="193">
        <v>21620.0</v>
      </c>
      <c r="B709" s="214">
        <f>VLOOKUP(A709,'Solicitações'!B:B,1,0)</f>
        <v>21620</v>
      </c>
      <c r="C709" s="214">
        <f t="shared" si="1"/>
        <v>0</v>
      </c>
      <c r="E709" s="274"/>
      <c r="F709" s="275"/>
    </row>
    <row r="710" hidden="1">
      <c r="A710" s="193">
        <v>21640.0</v>
      </c>
      <c r="B710" s="214">
        <f>VLOOKUP(A710,'Solicitações'!B:B,1,0)</f>
        <v>21640</v>
      </c>
      <c r="C710" s="214">
        <f t="shared" si="1"/>
        <v>0</v>
      </c>
      <c r="E710" s="274"/>
      <c r="F710" s="275"/>
    </row>
    <row r="711" hidden="1">
      <c r="A711" s="193">
        <v>21660.0</v>
      </c>
      <c r="B711" s="214">
        <f>VLOOKUP(A711,'Solicitações'!B:B,1,0)</f>
        <v>21660</v>
      </c>
      <c r="C711" s="214">
        <f t="shared" si="1"/>
        <v>0</v>
      </c>
      <c r="E711" s="274"/>
      <c r="F711" s="275"/>
    </row>
    <row r="712" hidden="1">
      <c r="A712" s="193">
        <v>21680.0</v>
      </c>
      <c r="B712" s="214">
        <f>VLOOKUP(A712,'Solicitações'!B:B,1,0)</f>
        <v>21680</v>
      </c>
      <c r="C712" s="214">
        <f t="shared" si="1"/>
        <v>0</v>
      </c>
      <c r="E712" s="274"/>
      <c r="F712" s="275"/>
    </row>
    <row r="713" hidden="1">
      <c r="A713" s="193">
        <v>21700.0</v>
      </c>
      <c r="B713" s="214">
        <f>VLOOKUP(A713,'Solicitações'!B:B,1,0)</f>
        <v>21700</v>
      </c>
      <c r="C713" s="214">
        <f t="shared" si="1"/>
        <v>0</v>
      </c>
      <c r="E713" s="274"/>
      <c r="F713" s="275"/>
    </row>
    <row r="714" hidden="1">
      <c r="A714" s="193">
        <v>21720.0</v>
      </c>
      <c r="B714" s="214">
        <f>VLOOKUP(A714,'Solicitações'!B:B,1,0)</f>
        <v>21720</v>
      </c>
      <c r="C714" s="214">
        <f t="shared" si="1"/>
        <v>0</v>
      </c>
      <c r="E714" s="274"/>
      <c r="F714" s="275"/>
    </row>
    <row r="715" hidden="1">
      <c r="A715" s="193">
        <v>21740.0</v>
      </c>
      <c r="B715" s="214">
        <f>VLOOKUP(A715,'Solicitações'!B:B,1,0)</f>
        <v>21740</v>
      </c>
      <c r="C715" s="214">
        <f t="shared" si="1"/>
        <v>0</v>
      </c>
      <c r="E715" s="274"/>
      <c r="F715" s="275"/>
    </row>
    <row r="716" hidden="1">
      <c r="A716" s="193">
        <v>21760.0</v>
      </c>
      <c r="B716" s="214">
        <f>VLOOKUP(A716,'Solicitações'!B:B,1,0)</f>
        <v>21760</v>
      </c>
      <c r="C716" s="214">
        <f t="shared" si="1"/>
        <v>0</v>
      </c>
      <c r="E716" s="274"/>
      <c r="F716" s="275"/>
    </row>
    <row r="717" hidden="1">
      <c r="A717" s="193">
        <v>21780.0</v>
      </c>
      <c r="B717" s="214">
        <f>VLOOKUP(A717,'Solicitações'!B:B,1,0)</f>
        <v>21780</v>
      </c>
      <c r="C717" s="214">
        <f t="shared" si="1"/>
        <v>0</v>
      </c>
      <c r="E717" s="274"/>
      <c r="F717" s="275"/>
    </row>
    <row r="718" hidden="1">
      <c r="A718" s="193">
        <v>21800.0</v>
      </c>
      <c r="B718" s="214">
        <f>VLOOKUP(A718,'Solicitações'!B:B,1,0)</f>
        <v>21800</v>
      </c>
      <c r="C718" s="214">
        <f t="shared" si="1"/>
        <v>0</v>
      </c>
      <c r="E718" s="274"/>
      <c r="F718" s="275"/>
    </row>
    <row r="719" hidden="1">
      <c r="A719" s="193">
        <v>21820.0</v>
      </c>
      <c r="B719" s="214">
        <f>VLOOKUP(A719,'Solicitações'!B:B,1,0)</f>
        <v>21820</v>
      </c>
      <c r="C719" s="214">
        <f t="shared" si="1"/>
        <v>0</v>
      </c>
      <c r="E719" s="274"/>
      <c r="F719" s="275"/>
    </row>
    <row r="720" hidden="1">
      <c r="A720" s="193">
        <v>21840.0</v>
      </c>
      <c r="B720" s="214">
        <f>VLOOKUP(A720,'Solicitações'!B:B,1,0)</f>
        <v>21840</v>
      </c>
      <c r="C720" s="214">
        <f t="shared" si="1"/>
        <v>0</v>
      </c>
      <c r="E720" s="274"/>
      <c r="F720" s="275"/>
    </row>
    <row r="721" hidden="1">
      <c r="A721" s="193">
        <v>21860.0</v>
      </c>
      <c r="B721" s="214">
        <f>VLOOKUP(A721,'Solicitações'!B:B,1,0)</f>
        <v>21860</v>
      </c>
      <c r="C721" s="214">
        <f t="shared" si="1"/>
        <v>0</v>
      </c>
      <c r="E721" s="274"/>
      <c r="F721" s="275"/>
    </row>
    <row r="722" hidden="1">
      <c r="A722" s="193">
        <v>21880.0</v>
      </c>
      <c r="B722" s="214">
        <f>VLOOKUP(A722,'Solicitações'!B:B,1,0)</f>
        <v>21880</v>
      </c>
      <c r="C722" s="214">
        <f t="shared" si="1"/>
        <v>0</v>
      </c>
      <c r="E722" s="274"/>
      <c r="F722" s="275"/>
    </row>
    <row r="723" hidden="1">
      <c r="A723" s="193">
        <v>21900.0</v>
      </c>
      <c r="B723" s="214">
        <f>VLOOKUP(A723,'Solicitações'!B:B,1,0)</f>
        <v>21900</v>
      </c>
      <c r="C723" s="214">
        <f t="shared" si="1"/>
        <v>0</v>
      </c>
      <c r="E723" s="274"/>
      <c r="F723" s="275"/>
    </row>
    <row r="724" hidden="1">
      <c r="A724" s="193">
        <v>21920.0</v>
      </c>
      <c r="B724" s="214">
        <f>VLOOKUP(A724,'Solicitações'!B:B,1,0)</f>
        <v>21920</v>
      </c>
      <c r="C724" s="214">
        <f t="shared" si="1"/>
        <v>0</v>
      </c>
      <c r="E724" s="274"/>
      <c r="F724" s="275"/>
    </row>
    <row r="725" hidden="1">
      <c r="A725" s="193">
        <v>21940.0</v>
      </c>
      <c r="B725" s="214">
        <f>VLOOKUP(A725,'Solicitações'!B:B,1,0)</f>
        <v>21940</v>
      </c>
      <c r="C725" s="214">
        <f t="shared" si="1"/>
        <v>0</v>
      </c>
      <c r="E725" s="274"/>
      <c r="F725" s="275"/>
    </row>
    <row r="726" hidden="1">
      <c r="A726" s="193">
        <v>21960.0</v>
      </c>
      <c r="B726" s="214">
        <f>VLOOKUP(A726,'Solicitações'!B:B,1,0)</f>
        <v>21960</v>
      </c>
      <c r="C726" s="214">
        <f t="shared" si="1"/>
        <v>0</v>
      </c>
      <c r="E726" s="274"/>
      <c r="F726" s="275"/>
    </row>
    <row r="727" hidden="1">
      <c r="A727" s="193">
        <v>21980.0</v>
      </c>
      <c r="B727" s="214">
        <f>VLOOKUP(A727,'Solicitações'!B:B,1,0)</f>
        <v>21980</v>
      </c>
      <c r="C727" s="214">
        <f t="shared" si="1"/>
        <v>0</v>
      </c>
      <c r="E727" s="274"/>
      <c r="F727" s="275"/>
    </row>
    <row r="728" hidden="1">
      <c r="A728" s="193">
        <v>22000.0</v>
      </c>
      <c r="B728" s="214">
        <f>VLOOKUP(A728,'Solicitações'!B:B,1,0)</f>
        <v>22000</v>
      </c>
      <c r="C728" s="214">
        <f t="shared" si="1"/>
        <v>0</v>
      </c>
      <c r="E728" s="274"/>
      <c r="F728" s="275"/>
    </row>
    <row r="729" hidden="1">
      <c r="A729" s="193">
        <v>22020.0</v>
      </c>
      <c r="B729" s="214">
        <f>VLOOKUP(A729,'Solicitações'!B:B,1,0)</f>
        <v>22020</v>
      </c>
      <c r="C729" s="214">
        <f t="shared" si="1"/>
        <v>0</v>
      </c>
      <c r="E729" s="274"/>
      <c r="F729" s="275"/>
    </row>
    <row r="730" hidden="1">
      <c r="A730" s="193">
        <v>22040.0</v>
      </c>
      <c r="B730" s="214">
        <f>VLOOKUP(A730,'Solicitações'!B:B,1,0)</f>
        <v>22040</v>
      </c>
      <c r="C730" s="214">
        <f t="shared" si="1"/>
        <v>0</v>
      </c>
      <c r="E730" s="274"/>
      <c r="F730" s="275"/>
    </row>
    <row r="731" hidden="1">
      <c r="A731" s="193">
        <v>22060.0</v>
      </c>
      <c r="B731" s="214">
        <f>VLOOKUP(A731,'Solicitações'!B:B,1,0)</f>
        <v>22060</v>
      </c>
      <c r="C731" s="214">
        <f t="shared" si="1"/>
        <v>0</v>
      </c>
      <c r="E731" s="274"/>
      <c r="F731" s="275"/>
    </row>
    <row r="732" hidden="1">
      <c r="A732" s="193">
        <v>22080.0</v>
      </c>
      <c r="B732" s="214">
        <f>VLOOKUP(A732,'Solicitações'!B:B,1,0)</f>
        <v>22080</v>
      </c>
      <c r="C732" s="214">
        <f t="shared" si="1"/>
        <v>0</v>
      </c>
      <c r="E732" s="274"/>
      <c r="F732" s="275"/>
    </row>
    <row r="733" hidden="1">
      <c r="A733" s="193">
        <v>22100.0</v>
      </c>
      <c r="B733" s="214">
        <f>VLOOKUP(A733,'Solicitações'!B:B,1,0)</f>
        <v>22100</v>
      </c>
      <c r="C733" s="214">
        <f t="shared" si="1"/>
        <v>0</v>
      </c>
      <c r="E733" s="274"/>
      <c r="F733" s="275"/>
    </row>
    <row r="734" hidden="1">
      <c r="A734" s="193">
        <v>22120.0</v>
      </c>
      <c r="B734" s="214">
        <f>VLOOKUP(A734,'Solicitações'!B:B,1,0)</f>
        <v>22120</v>
      </c>
      <c r="C734" s="214">
        <f t="shared" si="1"/>
        <v>0</v>
      </c>
      <c r="E734" s="274"/>
      <c r="F734" s="275"/>
    </row>
    <row r="735" hidden="1">
      <c r="A735" s="193">
        <v>22140.0</v>
      </c>
      <c r="B735" s="214">
        <f>VLOOKUP(A735,'Solicitações'!B:B,1,0)</f>
        <v>22140</v>
      </c>
      <c r="C735" s="214">
        <f t="shared" si="1"/>
        <v>0</v>
      </c>
      <c r="E735" s="274"/>
      <c r="F735" s="275"/>
    </row>
    <row r="736" hidden="1">
      <c r="A736" s="193">
        <v>22160.0</v>
      </c>
      <c r="B736" s="214">
        <f>VLOOKUP(A736,'Solicitações'!B:B,1,0)</f>
        <v>22160</v>
      </c>
      <c r="C736" s="214">
        <f t="shared" si="1"/>
        <v>0</v>
      </c>
      <c r="E736" s="274"/>
      <c r="F736" s="275"/>
    </row>
    <row r="737" hidden="1">
      <c r="A737" s="193">
        <v>22180.0</v>
      </c>
      <c r="B737" s="214">
        <f>VLOOKUP(A737,'Solicitações'!B:B,1,0)</f>
        <v>22180</v>
      </c>
      <c r="C737" s="214">
        <f t="shared" si="1"/>
        <v>0</v>
      </c>
      <c r="E737" s="274"/>
      <c r="F737" s="275"/>
    </row>
    <row r="738" hidden="1">
      <c r="A738" s="193">
        <v>22200.0</v>
      </c>
      <c r="B738" s="214">
        <f>VLOOKUP(A738,'Solicitações'!B:B,1,0)</f>
        <v>22200</v>
      </c>
      <c r="C738" s="214">
        <f t="shared" si="1"/>
        <v>0</v>
      </c>
      <c r="E738" s="274"/>
      <c r="F738" s="275"/>
    </row>
    <row r="739" hidden="1">
      <c r="A739" s="193">
        <v>22220.0</v>
      </c>
      <c r="B739" s="214">
        <f>VLOOKUP(A739,'Solicitações'!B:B,1,0)</f>
        <v>22220</v>
      </c>
      <c r="C739" s="214">
        <f t="shared" si="1"/>
        <v>0</v>
      </c>
      <c r="E739" s="274"/>
      <c r="F739" s="275"/>
    </row>
    <row r="740" hidden="1">
      <c r="A740" s="193">
        <v>22240.0</v>
      </c>
      <c r="B740" s="214">
        <f>VLOOKUP(A740,'Solicitações'!B:B,1,0)</f>
        <v>22240</v>
      </c>
      <c r="C740" s="214">
        <f t="shared" si="1"/>
        <v>0</v>
      </c>
      <c r="E740" s="274"/>
      <c r="F740" s="275"/>
    </row>
    <row r="741" hidden="1">
      <c r="A741" s="193">
        <v>22260.0</v>
      </c>
      <c r="B741" s="214">
        <f>VLOOKUP(A741,'Solicitações'!B:B,1,0)</f>
        <v>22260</v>
      </c>
      <c r="C741" s="214">
        <f t="shared" si="1"/>
        <v>0</v>
      </c>
      <c r="E741" s="274"/>
      <c r="F741" s="275"/>
    </row>
    <row r="742" hidden="1">
      <c r="A742" s="193">
        <v>22280.0</v>
      </c>
      <c r="B742" s="214">
        <f>VLOOKUP(A742,'Solicitações'!B:B,1,0)</f>
        <v>22280</v>
      </c>
      <c r="C742" s="214">
        <f t="shared" si="1"/>
        <v>0</v>
      </c>
      <c r="E742" s="274"/>
      <c r="F742" s="275"/>
    </row>
    <row r="743" hidden="1">
      <c r="A743" s="193">
        <v>22300.0</v>
      </c>
      <c r="B743" s="214">
        <f>VLOOKUP(A743,'Solicitações'!B:B,1,0)</f>
        <v>22300</v>
      </c>
      <c r="C743" s="214">
        <f t="shared" si="1"/>
        <v>0</v>
      </c>
      <c r="E743" s="274"/>
      <c r="F743" s="275"/>
    </row>
    <row r="744" hidden="1">
      <c r="A744" s="193">
        <v>22320.0</v>
      </c>
      <c r="B744" s="214">
        <f>VLOOKUP(A744,'Solicitações'!B:B,1,0)</f>
        <v>22320</v>
      </c>
      <c r="C744" s="214">
        <f t="shared" si="1"/>
        <v>0</v>
      </c>
      <c r="E744" s="274"/>
      <c r="F744" s="275"/>
    </row>
    <row r="745" hidden="1">
      <c r="A745" s="193">
        <v>22340.0</v>
      </c>
      <c r="B745" s="214">
        <f>VLOOKUP(A745,'Solicitações'!B:B,1,0)</f>
        <v>22340</v>
      </c>
      <c r="C745" s="214">
        <f t="shared" si="1"/>
        <v>0</v>
      </c>
      <c r="E745" s="274"/>
      <c r="F745" s="275"/>
    </row>
    <row r="746" hidden="1">
      <c r="A746" s="193">
        <v>22360.0</v>
      </c>
      <c r="B746" s="214">
        <f>VLOOKUP(A746,'Solicitações'!B:B,1,0)</f>
        <v>22360</v>
      </c>
      <c r="C746" s="214">
        <f t="shared" si="1"/>
        <v>0</v>
      </c>
      <c r="E746" s="274"/>
      <c r="F746" s="275"/>
    </row>
    <row r="747" hidden="1">
      <c r="A747" s="193">
        <v>22380.0</v>
      </c>
      <c r="B747" s="214">
        <f>VLOOKUP(A747,'Solicitações'!B:B,1,0)</f>
        <v>22380</v>
      </c>
      <c r="C747" s="214">
        <f t="shared" si="1"/>
        <v>0</v>
      </c>
      <c r="E747" s="274"/>
      <c r="F747" s="275"/>
    </row>
    <row r="748" hidden="1">
      <c r="A748" s="193">
        <v>22400.0</v>
      </c>
      <c r="B748" s="214">
        <f>VLOOKUP(A748,'Solicitações'!B:B,1,0)</f>
        <v>22400</v>
      </c>
      <c r="C748" s="214">
        <f t="shared" si="1"/>
        <v>0</v>
      </c>
      <c r="E748" s="274"/>
      <c r="F748" s="275"/>
    </row>
    <row r="749" hidden="1">
      <c r="A749" s="193">
        <v>22420.0</v>
      </c>
      <c r="B749" s="214">
        <f>VLOOKUP(A749,'Solicitações'!B:B,1,0)</f>
        <v>22420</v>
      </c>
      <c r="C749" s="214">
        <f t="shared" si="1"/>
        <v>0</v>
      </c>
      <c r="E749" s="274"/>
      <c r="F749" s="275"/>
    </row>
    <row r="750" hidden="1">
      <c r="A750" s="193">
        <v>22440.0</v>
      </c>
      <c r="B750" s="214">
        <f>VLOOKUP(A750,'Solicitações'!B:B,1,0)</f>
        <v>22440</v>
      </c>
      <c r="C750" s="214">
        <f t="shared" si="1"/>
        <v>0</v>
      </c>
      <c r="E750" s="274"/>
      <c r="F750" s="275"/>
    </row>
    <row r="751" hidden="1">
      <c r="A751" s="193">
        <v>22460.0</v>
      </c>
      <c r="B751" s="214">
        <f>VLOOKUP(A751,'Solicitações'!B:B,1,0)</f>
        <v>22460</v>
      </c>
      <c r="C751" s="214">
        <f t="shared" si="1"/>
        <v>0</v>
      </c>
      <c r="E751" s="274"/>
      <c r="F751" s="275"/>
    </row>
    <row r="752" hidden="1">
      <c r="A752" s="193">
        <v>22480.0</v>
      </c>
      <c r="B752" s="214">
        <f>VLOOKUP(A752,'Solicitações'!B:B,1,0)</f>
        <v>22480</v>
      </c>
      <c r="C752" s="214">
        <f t="shared" si="1"/>
        <v>0</v>
      </c>
      <c r="E752" s="274"/>
      <c r="F752" s="275"/>
    </row>
    <row r="753" hidden="1">
      <c r="A753" s="193">
        <v>22500.0</v>
      </c>
      <c r="B753" s="214">
        <f>VLOOKUP(A753,'Solicitações'!B:B,1,0)</f>
        <v>22500</v>
      </c>
      <c r="C753" s="214">
        <f t="shared" si="1"/>
        <v>0</v>
      </c>
      <c r="E753" s="274"/>
      <c r="F753" s="275"/>
    </row>
    <row r="754" hidden="1">
      <c r="A754" s="193">
        <v>22520.0</v>
      </c>
      <c r="B754" s="214">
        <f>VLOOKUP(A754,'Solicitações'!B:B,1,0)</f>
        <v>22520</v>
      </c>
      <c r="C754" s="214">
        <f t="shared" si="1"/>
        <v>0</v>
      </c>
      <c r="E754" s="274"/>
      <c r="F754" s="275"/>
    </row>
    <row r="755" hidden="1">
      <c r="A755" s="193">
        <v>22540.0</v>
      </c>
      <c r="B755" s="214">
        <f>VLOOKUP(A755,'Solicitações'!B:B,1,0)</f>
        <v>22540</v>
      </c>
      <c r="C755" s="214">
        <f t="shared" si="1"/>
        <v>0</v>
      </c>
      <c r="E755" s="274"/>
      <c r="F755" s="275"/>
    </row>
    <row r="756" hidden="1">
      <c r="A756" s="193">
        <v>22560.0</v>
      </c>
      <c r="B756" s="214">
        <f>VLOOKUP(A756,'Solicitações'!B:B,1,0)</f>
        <v>22560</v>
      </c>
      <c r="C756" s="214">
        <f t="shared" si="1"/>
        <v>0</v>
      </c>
      <c r="E756" s="274"/>
      <c r="F756" s="275"/>
    </row>
    <row r="757" hidden="1">
      <c r="A757" s="193">
        <v>22580.0</v>
      </c>
      <c r="B757" s="214">
        <f>VLOOKUP(A757,'Solicitações'!B:B,1,0)</f>
        <v>22580</v>
      </c>
      <c r="C757" s="214">
        <f t="shared" si="1"/>
        <v>0</v>
      </c>
      <c r="E757" s="274"/>
      <c r="F757" s="275"/>
    </row>
    <row r="758" hidden="1">
      <c r="A758" s="193">
        <v>22600.0</v>
      </c>
      <c r="B758" s="214">
        <f>VLOOKUP(A758,'Solicitações'!B:B,1,0)</f>
        <v>22600</v>
      </c>
      <c r="C758" s="214">
        <f t="shared" si="1"/>
        <v>0</v>
      </c>
      <c r="E758" s="274"/>
      <c r="F758" s="275"/>
    </row>
    <row r="759" hidden="1">
      <c r="A759" s="193">
        <v>22620.0</v>
      </c>
      <c r="B759" s="214">
        <f>VLOOKUP(A759,'Solicitações'!B:B,1,0)</f>
        <v>22620</v>
      </c>
      <c r="C759" s="214">
        <f t="shared" si="1"/>
        <v>0</v>
      </c>
      <c r="E759" s="274"/>
      <c r="F759" s="275"/>
    </row>
    <row r="760" hidden="1">
      <c r="A760" s="193">
        <v>22640.0</v>
      </c>
      <c r="B760" s="214">
        <f>VLOOKUP(A760,'Solicitações'!B:B,1,0)</f>
        <v>22640</v>
      </c>
      <c r="C760" s="214">
        <f t="shared" si="1"/>
        <v>0</v>
      </c>
      <c r="E760" s="274"/>
      <c r="F760" s="275"/>
    </row>
    <row r="761" hidden="1">
      <c r="A761" s="193">
        <v>22660.0</v>
      </c>
      <c r="B761" s="214">
        <f>VLOOKUP(A761,'Solicitações'!B:B,1,0)</f>
        <v>22660</v>
      </c>
      <c r="C761" s="214">
        <f t="shared" si="1"/>
        <v>0</v>
      </c>
      <c r="E761" s="274"/>
      <c r="F761" s="275"/>
    </row>
    <row r="762" hidden="1">
      <c r="A762" s="193">
        <v>22680.0</v>
      </c>
      <c r="B762" s="214">
        <f>VLOOKUP(A762,'Solicitações'!B:B,1,0)</f>
        <v>22680</v>
      </c>
      <c r="C762" s="214">
        <f t="shared" si="1"/>
        <v>0</v>
      </c>
      <c r="E762" s="274"/>
      <c r="F762" s="275"/>
    </row>
    <row r="763" hidden="1">
      <c r="A763" s="193">
        <v>22700.0</v>
      </c>
      <c r="B763" s="214">
        <f>VLOOKUP(A763,'Solicitações'!B:B,1,0)</f>
        <v>22700</v>
      </c>
      <c r="C763" s="214">
        <f t="shared" si="1"/>
        <v>0</v>
      </c>
      <c r="E763" s="274"/>
      <c r="F763" s="275"/>
    </row>
    <row r="764" hidden="1">
      <c r="A764" s="193">
        <v>22720.0</v>
      </c>
      <c r="B764" s="214">
        <f>VLOOKUP(A764,'Solicitações'!B:B,1,0)</f>
        <v>22720</v>
      </c>
      <c r="C764" s="214">
        <f t="shared" si="1"/>
        <v>0</v>
      </c>
      <c r="E764" s="274"/>
      <c r="F764" s="275"/>
    </row>
    <row r="765" hidden="1">
      <c r="A765" s="193">
        <v>22740.0</v>
      </c>
      <c r="B765" s="214">
        <f>VLOOKUP(A765,'Solicitações'!B:B,1,0)</f>
        <v>22740</v>
      </c>
      <c r="C765" s="214">
        <f t="shared" si="1"/>
        <v>0</v>
      </c>
      <c r="E765" s="274"/>
      <c r="F765" s="275"/>
    </row>
    <row r="766" hidden="1">
      <c r="A766" s="193">
        <v>22760.0</v>
      </c>
      <c r="B766" s="214">
        <f>VLOOKUP(A766,'Solicitações'!B:B,1,0)</f>
        <v>22760</v>
      </c>
      <c r="C766" s="214">
        <f t="shared" si="1"/>
        <v>0</v>
      </c>
      <c r="E766" s="274"/>
      <c r="F766" s="275"/>
    </row>
    <row r="767" hidden="1">
      <c r="A767" s="193">
        <v>22780.0</v>
      </c>
      <c r="B767" s="214">
        <f>VLOOKUP(A767,'Solicitações'!B:B,1,0)</f>
        <v>22780</v>
      </c>
      <c r="C767" s="214">
        <f t="shared" si="1"/>
        <v>0</v>
      </c>
      <c r="E767" s="274"/>
      <c r="F767" s="275"/>
    </row>
    <row r="768" hidden="1">
      <c r="A768" s="193">
        <v>22800.0</v>
      </c>
      <c r="B768" s="214">
        <f>VLOOKUP(A768,'Solicitações'!B:B,1,0)</f>
        <v>22800</v>
      </c>
      <c r="C768" s="214">
        <f t="shared" si="1"/>
        <v>0</v>
      </c>
      <c r="E768" s="274"/>
      <c r="F768" s="275"/>
    </row>
    <row r="769" hidden="1">
      <c r="A769" s="193">
        <v>22820.0</v>
      </c>
      <c r="B769" s="214">
        <f>VLOOKUP(A769,'Solicitações'!B:B,1,0)</f>
        <v>22820</v>
      </c>
      <c r="C769" s="214">
        <f t="shared" si="1"/>
        <v>0</v>
      </c>
      <c r="E769" s="274"/>
      <c r="F769" s="275"/>
    </row>
    <row r="770" hidden="1">
      <c r="A770" s="193">
        <v>22840.0</v>
      </c>
      <c r="B770" s="214">
        <f>VLOOKUP(A770,'Solicitações'!B:B,1,0)</f>
        <v>22840</v>
      </c>
      <c r="C770" s="214">
        <f t="shared" si="1"/>
        <v>0</v>
      </c>
      <c r="E770" s="274"/>
      <c r="F770" s="275"/>
    </row>
    <row r="771" hidden="1">
      <c r="A771" s="193">
        <v>22860.0</v>
      </c>
      <c r="B771" s="214">
        <f>VLOOKUP(A771,'Solicitações'!B:B,1,0)</f>
        <v>22860</v>
      </c>
      <c r="C771" s="214">
        <f t="shared" si="1"/>
        <v>0</v>
      </c>
      <c r="E771" s="274"/>
      <c r="F771" s="275"/>
    </row>
    <row r="772" hidden="1">
      <c r="A772" s="193">
        <v>22880.0</v>
      </c>
      <c r="B772" s="214">
        <f>VLOOKUP(A772,'Solicitações'!B:B,1,0)</f>
        <v>22880</v>
      </c>
      <c r="C772" s="214">
        <f t="shared" si="1"/>
        <v>0</v>
      </c>
      <c r="E772" s="274"/>
      <c r="F772" s="275"/>
    </row>
    <row r="773" hidden="1">
      <c r="A773" s="193">
        <v>22900.0</v>
      </c>
      <c r="B773" s="214">
        <f>VLOOKUP(A773,'Solicitações'!B:B,1,0)</f>
        <v>22900</v>
      </c>
      <c r="C773" s="214">
        <f t="shared" si="1"/>
        <v>0</v>
      </c>
      <c r="E773" s="274"/>
      <c r="F773" s="275"/>
    </row>
    <row r="774" hidden="1">
      <c r="A774" s="193">
        <v>22920.0</v>
      </c>
      <c r="B774" s="214">
        <f>VLOOKUP(A774,'Solicitações'!B:B,1,0)</f>
        <v>22920</v>
      </c>
      <c r="C774" s="214">
        <f t="shared" si="1"/>
        <v>0</v>
      </c>
      <c r="E774" s="274"/>
      <c r="F774" s="275"/>
    </row>
    <row r="775" hidden="1">
      <c r="A775" s="193">
        <v>22940.0</v>
      </c>
      <c r="B775" s="214">
        <f>VLOOKUP(A775,'Solicitações'!B:B,1,0)</f>
        <v>22940</v>
      </c>
      <c r="C775" s="214">
        <f t="shared" si="1"/>
        <v>0</v>
      </c>
      <c r="E775" s="274"/>
      <c r="F775" s="275"/>
    </row>
    <row r="776" hidden="1">
      <c r="A776" s="193">
        <v>22960.0</v>
      </c>
      <c r="B776" s="214">
        <f>VLOOKUP(A776,'Solicitações'!B:B,1,0)</f>
        <v>22960</v>
      </c>
      <c r="C776" s="214">
        <f t="shared" si="1"/>
        <v>0</v>
      </c>
      <c r="E776" s="274"/>
      <c r="F776" s="275"/>
    </row>
    <row r="777" hidden="1">
      <c r="A777" s="193">
        <v>22980.0</v>
      </c>
      <c r="B777" s="214">
        <f>VLOOKUP(A777,'Solicitações'!B:B,1,0)</f>
        <v>22980</v>
      </c>
      <c r="C777" s="214">
        <f t="shared" si="1"/>
        <v>0</v>
      </c>
      <c r="E777" s="274"/>
      <c r="F777" s="275"/>
    </row>
    <row r="778" hidden="1">
      <c r="A778" s="193">
        <v>23000.0</v>
      </c>
      <c r="B778" s="214">
        <f>VLOOKUP(A778,'Solicitações'!B:B,1,0)</f>
        <v>23000</v>
      </c>
      <c r="C778" s="214">
        <f t="shared" si="1"/>
        <v>0</v>
      </c>
      <c r="E778" s="274"/>
      <c r="F778" s="275"/>
    </row>
    <row r="779" hidden="1">
      <c r="A779" s="193">
        <v>23020.0</v>
      </c>
      <c r="B779" s="214">
        <f>VLOOKUP(A779,'Solicitações'!B:B,1,0)</f>
        <v>23020</v>
      </c>
      <c r="C779" s="214">
        <f t="shared" si="1"/>
        <v>0</v>
      </c>
      <c r="E779" s="274"/>
      <c r="F779" s="275"/>
    </row>
    <row r="780" hidden="1">
      <c r="A780" s="193">
        <v>23040.0</v>
      </c>
      <c r="B780" s="214">
        <f>VLOOKUP(A780,'Solicitações'!B:B,1,0)</f>
        <v>23040</v>
      </c>
      <c r="C780" s="214">
        <f t="shared" si="1"/>
        <v>0</v>
      </c>
      <c r="E780" s="274"/>
      <c r="F780" s="275"/>
    </row>
    <row r="781" hidden="1">
      <c r="A781" s="193">
        <v>23060.0</v>
      </c>
      <c r="B781" s="214">
        <f>VLOOKUP(A781,'Solicitações'!B:B,1,0)</f>
        <v>23060</v>
      </c>
      <c r="C781" s="214">
        <f t="shared" si="1"/>
        <v>0</v>
      </c>
      <c r="E781" s="274"/>
      <c r="F781" s="275"/>
    </row>
    <row r="782" hidden="1">
      <c r="A782" s="193">
        <v>23080.0</v>
      </c>
      <c r="B782" s="214">
        <f>VLOOKUP(A782,'Solicitações'!B:B,1,0)</f>
        <v>23080</v>
      </c>
      <c r="C782" s="214">
        <f t="shared" si="1"/>
        <v>0</v>
      </c>
      <c r="E782" s="274"/>
      <c r="F782" s="275"/>
    </row>
    <row r="783" hidden="1">
      <c r="A783" s="193">
        <v>23100.0</v>
      </c>
      <c r="B783" s="214">
        <f>VLOOKUP(A783,'Solicitações'!B:B,1,0)</f>
        <v>23100</v>
      </c>
      <c r="C783" s="214">
        <f t="shared" si="1"/>
        <v>0</v>
      </c>
      <c r="E783" s="274"/>
      <c r="F783" s="275"/>
    </row>
    <row r="784" hidden="1">
      <c r="A784" s="193">
        <v>23120.0</v>
      </c>
      <c r="B784" s="214">
        <f>VLOOKUP(A784,'Solicitações'!B:B,1,0)</f>
        <v>23120</v>
      </c>
      <c r="C784" s="214">
        <f t="shared" si="1"/>
        <v>0</v>
      </c>
      <c r="E784" s="274"/>
      <c r="F784" s="275"/>
    </row>
    <row r="785" hidden="1">
      <c r="A785" s="193">
        <v>23140.0</v>
      </c>
      <c r="B785" s="214">
        <f>VLOOKUP(A785,'Solicitações'!B:B,1,0)</f>
        <v>23140</v>
      </c>
      <c r="C785" s="214">
        <f t="shared" si="1"/>
        <v>0</v>
      </c>
      <c r="E785" s="274"/>
      <c r="F785" s="275"/>
    </row>
    <row r="786" hidden="1">
      <c r="A786" s="193">
        <v>23160.0</v>
      </c>
      <c r="B786" s="214">
        <f>VLOOKUP(A786,'Solicitações'!B:B,1,0)</f>
        <v>23160</v>
      </c>
      <c r="C786" s="214">
        <f t="shared" si="1"/>
        <v>0</v>
      </c>
      <c r="E786" s="274"/>
      <c r="F786" s="275"/>
    </row>
    <row r="787" hidden="1">
      <c r="A787" s="193">
        <v>23180.0</v>
      </c>
      <c r="B787" s="214">
        <f>VLOOKUP(A787,'Solicitações'!B:B,1,0)</f>
        <v>23180</v>
      </c>
      <c r="C787" s="214">
        <f t="shared" si="1"/>
        <v>0</v>
      </c>
      <c r="E787" s="274"/>
      <c r="F787" s="275"/>
    </row>
    <row r="788" hidden="1">
      <c r="A788" s="193">
        <v>23200.0</v>
      </c>
      <c r="B788" s="214">
        <f>VLOOKUP(A788,'Solicitações'!B:B,1,0)</f>
        <v>23200</v>
      </c>
      <c r="C788" s="214">
        <f t="shared" si="1"/>
        <v>0</v>
      </c>
      <c r="E788" s="274"/>
      <c r="F788" s="275"/>
    </row>
    <row r="789" hidden="1">
      <c r="A789" s="193">
        <v>23220.0</v>
      </c>
      <c r="B789" s="214">
        <f>VLOOKUP(A789,'Solicitações'!B:B,1,0)</f>
        <v>23220</v>
      </c>
      <c r="C789" s="214">
        <f t="shared" si="1"/>
        <v>0</v>
      </c>
      <c r="E789" s="274"/>
      <c r="F789" s="275"/>
    </row>
    <row r="790" hidden="1">
      <c r="A790" s="193">
        <v>23240.0</v>
      </c>
      <c r="B790" s="214">
        <f>VLOOKUP(A790,'Solicitações'!B:B,1,0)</f>
        <v>23240</v>
      </c>
      <c r="C790" s="214">
        <f t="shared" si="1"/>
        <v>0</v>
      </c>
      <c r="E790" s="362"/>
      <c r="F790" s="275"/>
    </row>
    <row r="791" hidden="1">
      <c r="A791" s="193">
        <v>23260.0</v>
      </c>
      <c r="B791" s="214">
        <f>VLOOKUP(A791,'Solicitações'!B:B,1,0)</f>
        <v>23260</v>
      </c>
      <c r="C791" s="214">
        <f t="shared" si="1"/>
        <v>0</v>
      </c>
      <c r="E791" s="362"/>
      <c r="F791" s="275"/>
    </row>
    <row r="792" hidden="1">
      <c r="A792" s="193">
        <v>23280.0</v>
      </c>
      <c r="B792" s="214">
        <f>VLOOKUP(A792,'Solicitações'!B:B,1,0)</f>
        <v>23280</v>
      </c>
      <c r="C792" s="214">
        <f t="shared" si="1"/>
        <v>0</v>
      </c>
      <c r="E792" s="362"/>
      <c r="F792" s="275"/>
    </row>
    <row r="793" hidden="1">
      <c r="A793" s="193">
        <v>23300.0</v>
      </c>
      <c r="B793" s="214">
        <f>VLOOKUP(A793,'Solicitações'!B:B,1,0)</f>
        <v>23300</v>
      </c>
      <c r="C793" s="214">
        <f t="shared" si="1"/>
        <v>0</v>
      </c>
      <c r="E793" s="362"/>
      <c r="F793" s="275"/>
    </row>
    <row r="794" hidden="1">
      <c r="A794" s="193">
        <v>23320.0</v>
      </c>
      <c r="B794" s="214">
        <f>VLOOKUP(A794,'Solicitações'!B:B,1,0)</f>
        <v>23320</v>
      </c>
      <c r="C794" s="214">
        <f t="shared" si="1"/>
        <v>0</v>
      </c>
      <c r="E794" s="362"/>
      <c r="F794" s="275"/>
    </row>
    <row r="795" hidden="1">
      <c r="A795" s="193">
        <v>23340.0</v>
      </c>
      <c r="B795" s="214">
        <f>VLOOKUP(A795,'Solicitações'!B:B,1,0)</f>
        <v>23340</v>
      </c>
      <c r="C795" s="214">
        <f t="shared" si="1"/>
        <v>0</v>
      </c>
      <c r="E795" s="362"/>
      <c r="F795" s="275"/>
    </row>
    <row r="796" hidden="1">
      <c r="A796" s="193">
        <v>23360.0</v>
      </c>
      <c r="B796" s="214">
        <f>VLOOKUP(A796,'Solicitações'!B:B,1,0)</f>
        <v>23360</v>
      </c>
      <c r="C796" s="214">
        <f t="shared" si="1"/>
        <v>0</v>
      </c>
      <c r="E796" s="362"/>
      <c r="F796" s="275"/>
    </row>
    <row r="797" hidden="1">
      <c r="A797" s="193">
        <v>23380.0</v>
      </c>
      <c r="B797" s="214">
        <f>VLOOKUP(A797,'Solicitações'!B:B,1,0)</f>
        <v>23380</v>
      </c>
      <c r="C797" s="214">
        <f t="shared" si="1"/>
        <v>0</v>
      </c>
      <c r="E797" s="362"/>
      <c r="F797" s="275"/>
    </row>
    <row r="798" hidden="1">
      <c r="A798" s="193">
        <v>23400.0</v>
      </c>
      <c r="B798" s="214">
        <f>VLOOKUP(A798,'Solicitações'!B:B,1,0)</f>
        <v>23400</v>
      </c>
      <c r="C798" s="214">
        <f t="shared" si="1"/>
        <v>0</v>
      </c>
      <c r="E798" s="362"/>
      <c r="F798" s="275"/>
    </row>
    <row r="799" hidden="1">
      <c r="A799" s="193">
        <v>23401.0</v>
      </c>
      <c r="B799" s="214">
        <f>VLOOKUP(A799,'Solicitações'!B:B,1,0)</f>
        <v>23401</v>
      </c>
      <c r="C799" s="214">
        <f t="shared" si="1"/>
        <v>0</v>
      </c>
      <c r="E799" s="362"/>
      <c r="F799" s="275"/>
    </row>
    <row r="800" hidden="1">
      <c r="A800" s="193">
        <v>23420.0</v>
      </c>
      <c r="B800" s="214">
        <f>VLOOKUP(A800,'Solicitações'!B:B,1,0)</f>
        <v>23420</v>
      </c>
      <c r="C800" s="214">
        <f t="shared" si="1"/>
        <v>0</v>
      </c>
      <c r="E800" s="362"/>
      <c r="F800" s="275"/>
    </row>
    <row r="801" hidden="1">
      <c r="A801" s="193">
        <v>23440.0</v>
      </c>
      <c r="B801" s="214">
        <f>VLOOKUP(A801,'Solicitações'!B:B,1,0)</f>
        <v>23440</v>
      </c>
      <c r="C801" s="214">
        <f t="shared" si="1"/>
        <v>0</v>
      </c>
      <c r="E801" s="362"/>
      <c r="F801" s="275"/>
    </row>
    <row r="802" hidden="1">
      <c r="A802" s="193">
        <v>23460.0</v>
      </c>
      <c r="B802" s="214">
        <f>VLOOKUP(A802,'Solicitações'!B:B,1,0)</f>
        <v>23460</v>
      </c>
      <c r="C802" s="214">
        <f t="shared" si="1"/>
        <v>0</v>
      </c>
      <c r="E802" s="362"/>
      <c r="F802" s="275"/>
    </row>
    <row r="803" hidden="1">
      <c r="A803" s="193">
        <v>23480.0</v>
      </c>
      <c r="B803" s="214">
        <f>VLOOKUP(A803,'Solicitações'!B:B,1,0)</f>
        <v>23480</v>
      </c>
      <c r="C803" s="214">
        <f t="shared" si="1"/>
        <v>0</v>
      </c>
      <c r="E803" s="362"/>
      <c r="F803" s="275"/>
    </row>
    <row r="804" hidden="1">
      <c r="A804" s="193">
        <v>23500.0</v>
      </c>
      <c r="B804" s="214">
        <f>VLOOKUP(A804,'Solicitações'!B:B,1,0)</f>
        <v>23500</v>
      </c>
      <c r="C804" s="214">
        <f t="shared" si="1"/>
        <v>0</v>
      </c>
      <c r="E804" s="362"/>
      <c r="F804" s="275"/>
    </row>
    <row r="805" hidden="1">
      <c r="A805" s="193">
        <v>23520.0</v>
      </c>
      <c r="B805" s="214">
        <f>VLOOKUP(A805,'Solicitações'!B:B,1,0)</f>
        <v>23520</v>
      </c>
      <c r="C805" s="214">
        <f t="shared" si="1"/>
        <v>0</v>
      </c>
      <c r="E805" s="362"/>
      <c r="F805" s="275"/>
    </row>
    <row r="806" hidden="1">
      <c r="A806" s="193">
        <v>23540.0</v>
      </c>
      <c r="B806" s="214">
        <f>VLOOKUP(A806,'Solicitações'!B:B,1,0)</f>
        <v>23540</v>
      </c>
      <c r="C806" s="214">
        <f t="shared" si="1"/>
        <v>0</v>
      </c>
      <c r="E806" s="362"/>
      <c r="F806" s="275"/>
    </row>
    <row r="807" hidden="1">
      <c r="A807" s="193">
        <v>23560.0</v>
      </c>
      <c r="B807" s="214">
        <f>VLOOKUP(A807,'Solicitações'!B:B,1,0)</f>
        <v>23560</v>
      </c>
      <c r="C807" s="214">
        <f t="shared" si="1"/>
        <v>0</v>
      </c>
      <c r="E807" s="362"/>
      <c r="F807" s="275"/>
    </row>
    <row r="808" hidden="1">
      <c r="A808" s="193">
        <v>23580.0</v>
      </c>
      <c r="B808" s="214">
        <f>VLOOKUP(A808,'Solicitações'!B:B,1,0)</f>
        <v>23580</v>
      </c>
      <c r="C808" s="214">
        <f t="shared" si="1"/>
        <v>0</v>
      </c>
      <c r="E808" s="362"/>
      <c r="F808" s="275"/>
    </row>
    <row r="809" hidden="1">
      <c r="A809" s="193">
        <v>23600.0</v>
      </c>
      <c r="B809" s="214">
        <f>VLOOKUP(A809,'Solicitações'!B:B,1,0)</f>
        <v>23600</v>
      </c>
      <c r="C809" s="214">
        <f t="shared" si="1"/>
        <v>0</v>
      </c>
      <c r="E809" s="362"/>
      <c r="F809" s="275"/>
    </row>
    <row r="810" hidden="1">
      <c r="A810" s="193">
        <v>23620.0</v>
      </c>
      <c r="B810" s="214">
        <f>VLOOKUP(A810,'Solicitações'!B:B,1,0)</f>
        <v>23620</v>
      </c>
      <c r="C810" s="214">
        <f t="shared" si="1"/>
        <v>0</v>
      </c>
      <c r="E810" s="362"/>
      <c r="F810" s="275"/>
    </row>
    <row r="811" hidden="1">
      <c r="A811" s="193">
        <v>23640.0</v>
      </c>
      <c r="B811" s="214">
        <f>VLOOKUP(A811,'Solicitações'!B:B,1,0)</f>
        <v>23640</v>
      </c>
      <c r="C811" s="214">
        <f t="shared" si="1"/>
        <v>0</v>
      </c>
      <c r="E811" s="362"/>
      <c r="F811" s="275"/>
    </row>
    <row r="812" hidden="1">
      <c r="A812" s="193">
        <v>23660.0</v>
      </c>
      <c r="B812" s="214">
        <f>VLOOKUP(A812,'Solicitações'!B:B,1,0)</f>
        <v>23660</v>
      </c>
      <c r="C812" s="214">
        <f t="shared" si="1"/>
        <v>0</v>
      </c>
      <c r="E812" s="362"/>
      <c r="F812" s="275"/>
    </row>
    <row r="813" hidden="1">
      <c r="A813" s="193">
        <v>23680.0</v>
      </c>
      <c r="B813" s="214">
        <f>VLOOKUP(A813,'Solicitações'!B:B,1,0)</f>
        <v>23680</v>
      </c>
      <c r="C813" s="214">
        <f t="shared" si="1"/>
        <v>0</v>
      </c>
      <c r="E813" s="362"/>
      <c r="F813" s="275"/>
    </row>
    <row r="814" hidden="1">
      <c r="A814" s="193">
        <v>23700.0</v>
      </c>
      <c r="B814" s="214">
        <f>VLOOKUP(A814,'Solicitações'!B:B,1,0)</f>
        <v>23700</v>
      </c>
      <c r="C814" s="214">
        <f t="shared" si="1"/>
        <v>0</v>
      </c>
      <c r="E814" s="362"/>
      <c r="F814" s="275"/>
    </row>
    <row r="815" hidden="1">
      <c r="A815" s="193">
        <v>23701.0</v>
      </c>
      <c r="B815" s="214">
        <f>VLOOKUP(A815,'Solicitações'!B:B,1,0)</f>
        <v>23701</v>
      </c>
      <c r="C815" s="214">
        <f t="shared" si="1"/>
        <v>0</v>
      </c>
      <c r="E815" s="362"/>
      <c r="F815" s="275"/>
    </row>
    <row r="816" hidden="1">
      <c r="A816" s="193">
        <v>23702.0</v>
      </c>
      <c r="B816" s="214">
        <f>VLOOKUP(A816,'Solicitações'!B:B,1,0)</f>
        <v>23702</v>
      </c>
      <c r="C816" s="214">
        <f t="shared" si="1"/>
        <v>0</v>
      </c>
      <c r="E816" s="362"/>
      <c r="F816" s="275"/>
    </row>
    <row r="817" hidden="1">
      <c r="A817" s="193">
        <v>23703.0</v>
      </c>
      <c r="B817" s="214">
        <f>VLOOKUP(A817,'Solicitações'!B:B,1,0)</f>
        <v>23703</v>
      </c>
      <c r="C817" s="214">
        <f t="shared" si="1"/>
        <v>0</v>
      </c>
      <c r="E817" s="362"/>
      <c r="F817" s="275"/>
    </row>
    <row r="818" hidden="1">
      <c r="A818" s="193">
        <v>23704.0</v>
      </c>
      <c r="B818" s="214">
        <f>VLOOKUP(A818,'Solicitações'!B:B,1,0)</f>
        <v>23704</v>
      </c>
      <c r="C818" s="214">
        <f t="shared" si="1"/>
        <v>0</v>
      </c>
      <c r="E818" s="362"/>
      <c r="F818" s="275"/>
    </row>
    <row r="819" hidden="1">
      <c r="A819" s="193">
        <v>23705.0</v>
      </c>
      <c r="B819" s="214">
        <f>VLOOKUP(A819,'Solicitações'!B:B,1,0)</f>
        <v>23705</v>
      </c>
      <c r="C819" s="214">
        <f t="shared" si="1"/>
        <v>0</v>
      </c>
      <c r="E819" s="362"/>
      <c r="F819" s="275"/>
    </row>
    <row r="820" hidden="1">
      <c r="A820" s="193">
        <v>23706.0</v>
      </c>
      <c r="B820" s="214">
        <f>VLOOKUP(A820,'Solicitações'!B:B,1,0)</f>
        <v>23706</v>
      </c>
      <c r="C820" s="214">
        <f t="shared" si="1"/>
        <v>0</v>
      </c>
      <c r="E820" s="362"/>
      <c r="F820" s="275"/>
    </row>
    <row r="821" hidden="1">
      <c r="A821" s="193">
        <v>23707.0</v>
      </c>
      <c r="B821" s="214">
        <f>VLOOKUP(A821,'Solicitações'!B:B,1,0)</f>
        <v>23707</v>
      </c>
      <c r="C821" s="214">
        <f t="shared" si="1"/>
        <v>0</v>
      </c>
      <c r="E821" s="362"/>
      <c r="F821" s="275"/>
    </row>
    <row r="822" hidden="1">
      <c r="A822" s="193">
        <v>23720.0</v>
      </c>
      <c r="B822" s="214">
        <f>VLOOKUP(A822,'Solicitações'!B:B,1,0)</f>
        <v>23720</v>
      </c>
      <c r="C822" s="214">
        <f t="shared" si="1"/>
        <v>0</v>
      </c>
      <c r="E822" s="362"/>
      <c r="F822" s="275"/>
    </row>
    <row r="823" hidden="1">
      <c r="A823" s="193">
        <v>23740.0</v>
      </c>
      <c r="B823" s="214">
        <f>VLOOKUP(A823,'Solicitações'!B:B,1,0)</f>
        <v>23740</v>
      </c>
      <c r="C823" s="214">
        <f t="shared" si="1"/>
        <v>0</v>
      </c>
      <c r="E823" s="362"/>
      <c r="F823" s="275"/>
    </row>
    <row r="824" hidden="1">
      <c r="A824" s="193">
        <v>23760.0</v>
      </c>
      <c r="B824" s="214">
        <f>VLOOKUP(A824,'Solicitações'!B:B,1,0)</f>
        <v>23760</v>
      </c>
      <c r="C824" s="214">
        <f t="shared" si="1"/>
        <v>0</v>
      </c>
      <c r="E824" s="362"/>
      <c r="F824" s="275"/>
    </row>
    <row r="825" hidden="1">
      <c r="A825" s="193">
        <v>23761.0</v>
      </c>
      <c r="B825" s="214">
        <f>VLOOKUP(A825,'Solicitações'!B:B,1,0)</f>
        <v>23761</v>
      </c>
      <c r="C825" s="214">
        <f t="shared" si="1"/>
        <v>0</v>
      </c>
      <c r="E825" s="362"/>
      <c r="F825" s="275"/>
    </row>
    <row r="826" hidden="1">
      <c r="A826" s="193">
        <v>23762.0</v>
      </c>
      <c r="B826" s="214">
        <f>VLOOKUP(A826,'Solicitações'!B:B,1,0)</f>
        <v>23762</v>
      </c>
      <c r="C826" s="214">
        <f t="shared" si="1"/>
        <v>0</v>
      </c>
      <c r="E826" s="362"/>
      <c r="F826" s="275"/>
    </row>
    <row r="827" hidden="1">
      <c r="A827" s="193">
        <v>23763.0</v>
      </c>
      <c r="B827" s="214">
        <f>VLOOKUP(A827,'Solicitações'!B:B,1,0)</f>
        <v>23763</v>
      </c>
      <c r="C827" s="214">
        <f t="shared" si="1"/>
        <v>0</v>
      </c>
      <c r="E827" s="362"/>
      <c r="F827" s="275"/>
    </row>
    <row r="828" hidden="1">
      <c r="A828" s="193">
        <v>23780.0</v>
      </c>
      <c r="B828" s="214">
        <f>VLOOKUP(A828,'Solicitações'!B:B,1,0)</f>
        <v>23780</v>
      </c>
      <c r="C828" s="214">
        <f t="shared" si="1"/>
        <v>0</v>
      </c>
      <c r="E828" s="362"/>
      <c r="F828" s="275"/>
    </row>
    <row r="829" hidden="1">
      <c r="A829" s="193">
        <v>23800.0</v>
      </c>
      <c r="B829" s="214">
        <f>VLOOKUP(A829,'Solicitações'!B:B,1,0)</f>
        <v>23800</v>
      </c>
      <c r="C829" s="214">
        <f t="shared" si="1"/>
        <v>0</v>
      </c>
      <c r="E829" s="362"/>
      <c r="F829" s="275"/>
    </row>
    <row r="830" hidden="1">
      <c r="A830" s="193">
        <v>23820.0</v>
      </c>
      <c r="B830" s="214">
        <f>VLOOKUP(A830,'Solicitações'!B:B,1,0)</f>
        <v>23820</v>
      </c>
      <c r="C830" s="214">
        <f t="shared" si="1"/>
        <v>0</v>
      </c>
      <c r="E830" s="362"/>
      <c r="F830" s="275"/>
    </row>
    <row r="831" hidden="1">
      <c r="A831" s="193">
        <v>23840.0</v>
      </c>
      <c r="B831" s="214">
        <f>VLOOKUP(A831,'Solicitações'!B:B,1,0)</f>
        <v>23840</v>
      </c>
      <c r="C831" s="214">
        <f t="shared" si="1"/>
        <v>0</v>
      </c>
      <c r="E831" s="362"/>
      <c r="F831" s="275"/>
    </row>
    <row r="832" hidden="1">
      <c r="A832" s="193">
        <v>23860.0</v>
      </c>
      <c r="B832" s="214">
        <f>VLOOKUP(A832,'Solicitações'!B:B,1,0)</f>
        <v>23860</v>
      </c>
      <c r="C832" s="214">
        <f t="shared" si="1"/>
        <v>0</v>
      </c>
      <c r="E832" s="362"/>
      <c r="F832" s="275"/>
    </row>
    <row r="833" hidden="1">
      <c r="A833" s="193">
        <v>23880.0</v>
      </c>
      <c r="B833" s="214">
        <f>VLOOKUP(A833,'Solicitações'!B:B,1,0)</f>
        <v>23880</v>
      </c>
      <c r="C833" s="214">
        <f t="shared" si="1"/>
        <v>0</v>
      </c>
      <c r="E833" s="362"/>
      <c r="F833" s="275"/>
    </row>
    <row r="834" hidden="1">
      <c r="A834" s="193">
        <v>23900.0</v>
      </c>
      <c r="B834" s="214">
        <f>VLOOKUP(A834,'Solicitações'!B:B,1,0)</f>
        <v>23900</v>
      </c>
      <c r="C834" s="214">
        <f t="shared" si="1"/>
        <v>0</v>
      </c>
      <c r="E834" s="362"/>
      <c r="F834" s="275"/>
    </row>
    <row r="835" hidden="1">
      <c r="A835" s="193">
        <v>23920.0</v>
      </c>
      <c r="B835" s="214">
        <f>VLOOKUP(A835,'Solicitações'!B:B,1,0)</f>
        <v>23920</v>
      </c>
      <c r="C835" s="214">
        <f t="shared" si="1"/>
        <v>0</v>
      </c>
      <c r="E835" s="362"/>
      <c r="F835" s="275"/>
    </row>
    <row r="836" hidden="1">
      <c r="A836" s="193">
        <v>23921.0</v>
      </c>
      <c r="B836" s="214">
        <f>VLOOKUP(A836,'Solicitações'!B:B,1,0)</f>
        <v>23921</v>
      </c>
      <c r="C836" s="214">
        <f t="shared" si="1"/>
        <v>0</v>
      </c>
      <c r="E836" s="362"/>
      <c r="F836" s="275"/>
    </row>
    <row r="837" hidden="1">
      <c r="A837" s="193">
        <v>23940.0</v>
      </c>
      <c r="B837" s="214">
        <f>VLOOKUP(A837,'Solicitações'!B:B,1,0)</f>
        <v>23940</v>
      </c>
      <c r="C837" s="214">
        <f t="shared" si="1"/>
        <v>0</v>
      </c>
      <c r="E837" s="362"/>
      <c r="F837" s="275"/>
    </row>
    <row r="838" hidden="1">
      <c r="A838" s="193">
        <v>23960.0</v>
      </c>
      <c r="B838" s="214">
        <f>VLOOKUP(A838,'Solicitações'!B:B,1,0)</f>
        <v>23960</v>
      </c>
      <c r="C838" s="214">
        <f t="shared" si="1"/>
        <v>0</v>
      </c>
      <c r="E838" s="362"/>
      <c r="F838" s="275"/>
    </row>
    <row r="839" hidden="1">
      <c r="A839" s="193">
        <v>23980.0</v>
      </c>
      <c r="B839" s="214">
        <f>VLOOKUP(A839,'Solicitações'!B:B,1,0)</f>
        <v>23980</v>
      </c>
      <c r="C839" s="214">
        <f t="shared" si="1"/>
        <v>0</v>
      </c>
      <c r="E839" s="362"/>
      <c r="F839" s="275"/>
    </row>
    <row r="840" hidden="1">
      <c r="A840" s="193">
        <v>24000.0</v>
      </c>
      <c r="B840" s="214">
        <f>VLOOKUP(A840,'Solicitações'!B:B,1,0)</f>
        <v>24000</v>
      </c>
      <c r="C840" s="214">
        <f t="shared" si="1"/>
        <v>0</v>
      </c>
      <c r="E840" s="362"/>
      <c r="F840" s="275"/>
    </row>
    <row r="841" hidden="1">
      <c r="A841" s="193">
        <v>24020.0</v>
      </c>
      <c r="B841" s="214">
        <f>VLOOKUP(A841,'Solicitações'!B:B,1,0)</f>
        <v>24020</v>
      </c>
      <c r="C841" s="214">
        <f t="shared" si="1"/>
        <v>0</v>
      </c>
      <c r="E841" s="362"/>
      <c r="F841" s="275"/>
    </row>
    <row r="842" hidden="1">
      <c r="A842" s="193">
        <v>24040.0</v>
      </c>
      <c r="B842" s="214">
        <f>VLOOKUP(A842,'Solicitações'!B:B,1,0)</f>
        <v>24040</v>
      </c>
      <c r="C842" s="214">
        <f t="shared" si="1"/>
        <v>0</v>
      </c>
      <c r="E842" s="362"/>
      <c r="F842" s="275"/>
    </row>
    <row r="843" hidden="1">
      <c r="A843" s="193">
        <v>24060.0</v>
      </c>
      <c r="B843" s="214">
        <f>VLOOKUP(A843,'Solicitações'!B:B,1,0)</f>
        <v>24060</v>
      </c>
      <c r="C843" s="214">
        <f t="shared" si="1"/>
        <v>0</v>
      </c>
      <c r="E843" s="362"/>
      <c r="F843" s="275"/>
    </row>
    <row r="844" hidden="1">
      <c r="A844" s="193">
        <v>24061.0</v>
      </c>
      <c r="B844" s="214">
        <f>VLOOKUP(A844,'Solicitações'!B:B,1,0)</f>
        <v>24061</v>
      </c>
      <c r="C844" s="214">
        <f t="shared" si="1"/>
        <v>0</v>
      </c>
      <c r="E844" s="362"/>
      <c r="F844" s="275"/>
    </row>
    <row r="845" hidden="1">
      <c r="A845" s="193">
        <v>24080.0</v>
      </c>
      <c r="B845" s="214">
        <f>VLOOKUP(A845,'Solicitações'!B:B,1,0)</f>
        <v>24080</v>
      </c>
      <c r="C845" s="214">
        <f t="shared" si="1"/>
        <v>0</v>
      </c>
      <c r="E845" s="362"/>
      <c r="F845" s="275"/>
    </row>
    <row r="846" hidden="1">
      <c r="A846" s="193">
        <v>24100.0</v>
      </c>
      <c r="B846" s="214">
        <f>VLOOKUP(A846,'Solicitações'!B:B,1,0)</f>
        <v>24100</v>
      </c>
      <c r="C846" s="214">
        <f t="shared" si="1"/>
        <v>0</v>
      </c>
      <c r="E846" s="362"/>
      <c r="F846" s="275"/>
    </row>
    <row r="847" hidden="1">
      <c r="A847" s="193">
        <v>24120.0</v>
      </c>
      <c r="B847" s="214">
        <f>VLOOKUP(A847,'Solicitações'!B:B,1,0)</f>
        <v>24120</v>
      </c>
      <c r="C847" s="214">
        <f t="shared" si="1"/>
        <v>0</v>
      </c>
      <c r="E847" s="362"/>
      <c r="F847" s="275"/>
    </row>
    <row r="848" hidden="1">
      <c r="A848" s="193">
        <v>24140.0</v>
      </c>
      <c r="B848" s="214">
        <f>VLOOKUP(A848,'Solicitações'!B:B,1,0)</f>
        <v>24140</v>
      </c>
      <c r="C848" s="214">
        <f t="shared" si="1"/>
        <v>0</v>
      </c>
      <c r="E848" s="362"/>
      <c r="F848" s="275"/>
    </row>
    <row r="849" hidden="1">
      <c r="A849" s="193">
        <v>24160.0</v>
      </c>
      <c r="B849" s="214">
        <f>VLOOKUP(A849,'Solicitações'!B:B,1,0)</f>
        <v>24160</v>
      </c>
      <c r="C849" s="214">
        <f t="shared" si="1"/>
        <v>0</v>
      </c>
      <c r="E849" s="362"/>
      <c r="F849" s="275"/>
    </row>
    <row r="850" hidden="1">
      <c r="A850" s="193">
        <v>24180.0</v>
      </c>
      <c r="B850" s="214">
        <f>VLOOKUP(A850,'Solicitações'!B:B,1,0)</f>
        <v>24180</v>
      </c>
      <c r="C850" s="214">
        <f t="shared" si="1"/>
        <v>0</v>
      </c>
      <c r="E850" s="362"/>
      <c r="F850" s="275"/>
    </row>
    <row r="851" hidden="1">
      <c r="A851" s="193">
        <v>24200.0</v>
      </c>
      <c r="B851" s="214">
        <f>VLOOKUP(A851,'Solicitações'!B:B,1,0)</f>
        <v>24200</v>
      </c>
      <c r="C851" s="214">
        <f t="shared" si="1"/>
        <v>0</v>
      </c>
      <c r="E851" s="362"/>
      <c r="F851" s="275"/>
    </row>
    <row r="852" hidden="1">
      <c r="A852" s="193">
        <v>24220.0</v>
      </c>
      <c r="B852" s="214">
        <f>VLOOKUP(A852,'Solicitações'!B:B,1,0)</f>
        <v>24220</v>
      </c>
      <c r="C852" s="214">
        <f t="shared" si="1"/>
        <v>0</v>
      </c>
      <c r="E852" s="362"/>
      <c r="F852" s="275"/>
    </row>
    <row r="853" hidden="1">
      <c r="A853" s="193">
        <v>24240.0</v>
      </c>
      <c r="B853" s="214">
        <f>VLOOKUP(A853,'Solicitações'!B:B,1,0)</f>
        <v>24240</v>
      </c>
      <c r="C853" s="214">
        <f t="shared" si="1"/>
        <v>0</v>
      </c>
      <c r="E853" s="362"/>
      <c r="F853" s="275"/>
    </row>
    <row r="854" hidden="1">
      <c r="A854" s="193">
        <v>24260.0</v>
      </c>
      <c r="B854" s="214">
        <f>VLOOKUP(A854,'Solicitações'!B:B,1,0)</f>
        <v>24260</v>
      </c>
      <c r="C854" s="214">
        <f t="shared" si="1"/>
        <v>0</v>
      </c>
      <c r="E854" s="362"/>
      <c r="F854" s="275"/>
    </row>
    <row r="855" hidden="1">
      <c r="A855" s="193">
        <v>24280.0</v>
      </c>
      <c r="B855" s="214">
        <f>VLOOKUP(A855,'Solicitações'!B:B,1,0)</f>
        <v>24280</v>
      </c>
      <c r="C855" s="214">
        <f t="shared" si="1"/>
        <v>0</v>
      </c>
      <c r="E855" s="362"/>
      <c r="F855" s="275"/>
    </row>
    <row r="856" hidden="1">
      <c r="A856" s="193">
        <v>24300.0</v>
      </c>
      <c r="B856" s="214">
        <f>VLOOKUP(A856,'Solicitações'!B:B,1,0)</f>
        <v>24300</v>
      </c>
      <c r="C856" s="214">
        <f t="shared" si="1"/>
        <v>0</v>
      </c>
      <c r="E856" s="362"/>
      <c r="F856" s="275"/>
    </row>
    <row r="857" hidden="1">
      <c r="A857" s="193">
        <v>24320.0</v>
      </c>
      <c r="B857" s="214">
        <f>VLOOKUP(A857,'Solicitações'!B:B,1,0)</f>
        <v>24320</v>
      </c>
      <c r="C857" s="214">
        <f t="shared" si="1"/>
        <v>0</v>
      </c>
      <c r="E857" s="362"/>
      <c r="F857" s="275"/>
    </row>
    <row r="858" hidden="1">
      <c r="A858" s="193">
        <v>24340.0</v>
      </c>
      <c r="B858" s="214">
        <f>VLOOKUP(A858,'Solicitações'!B:B,1,0)</f>
        <v>24340</v>
      </c>
      <c r="C858" s="214">
        <f t="shared" si="1"/>
        <v>0</v>
      </c>
      <c r="E858" s="362"/>
      <c r="F858" s="275"/>
    </row>
    <row r="859" hidden="1">
      <c r="A859" s="193">
        <v>24360.0</v>
      </c>
      <c r="B859" s="214">
        <f>VLOOKUP(A859,'Solicitações'!B:B,1,0)</f>
        <v>24360</v>
      </c>
      <c r="C859" s="214">
        <f t="shared" si="1"/>
        <v>0</v>
      </c>
      <c r="E859" s="362"/>
      <c r="F859" s="275"/>
    </row>
    <row r="860" hidden="1">
      <c r="A860" s="193">
        <v>24380.0</v>
      </c>
      <c r="B860" s="214">
        <f>VLOOKUP(A860,'Solicitações'!B:B,1,0)</f>
        <v>24380</v>
      </c>
      <c r="C860" s="214">
        <f t="shared" si="1"/>
        <v>0</v>
      </c>
      <c r="E860" s="362"/>
      <c r="F860" s="275"/>
    </row>
    <row r="861" hidden="1">
      <c r="A861" s="193">
        <v>24400.0</v>
      </c>
      <c r="B861" s="214">
        <f>VLOOKUP(A861,'Solicitações'!B:B,1,0)</f>
        <v>24400</v>
      </c>
      <c r="C861" s="214">
        <f t="shared" si="1"/>
        <v>0</v>
      </c>
      <c r="E861" s="362"/>
      <c r="F861" s="275"/>
    </row>
    <row r="862" hidden="1">
      <c r="A862" s="193">
        <v>24420.0</v>
      </c>
      <c r="B862" s="214">
        <f>VLOOKUP(A862,'Solicitações'!B:B,1,0)</f>
        <v>24420</v>
      </c>
      <c r="C862" s="214">
        <f t="shared" si="1"/>
        <v>0</v>
      </c>
      <c r="E862" s="362"/>
      <c r="F862" s="275"/>
    </row>
    <row r="863" hidden="1">
      <c r="A863" s="193">
        <v>24440.0</v>
      </c>
      <c r="B863" s="214">
        <f>VLOOKUP(A863,'Solicitações'!B:B,1,0)</f>
        <v>24440</v>
      </c>
      <c r="C863" s="214">
        <f t="shared" si="1"/>
        <v>0</v>
      </c>
      <c r="E863" s="362"/>
      <c r="F863" s="275"/>
    </row>
    <row r="864" hidden="1">
      <c r="A864" s="193">
        <v>24460.0</v>
      </c>
      <c r="B864" s="214">
        <f>VLOOKUP(A864,'Solicitações'!B:B,1,0)</f>
        <v>24460</v>
      </c>
      <c r="C864" s="214">
        <f t="shared" si="1"/>
        <v>0</v>
      </c>
      <c r="E864" s="362"/>
      <c r="F864" s="275"/>
    </row>
    <row r="865" hidden="1">
      <c r="A865" s="193">
        <v>24480.0</v>
      </c>
      <c r="B865" s="214">
        <f>VLOOKUP(A865,'Solicitações'!B:B,1,0)</f>
        <v>24480</v>
      </c>
      <c r="C865" s="214">
        <f t="shared" si="1"/>
        <v>0</v>
      </c>
      <c r="E865" s="362"/>
      <c r="F865" s="275"/>
    </row>
    <row r="866" hidden="1">
      <c r="A866" s="193">
        <v>24500.0</v>
      </c>
      <c r="B866" s="214">
        <f>VLOOKUP(A866,'Solicitações'!B:B,1,0)</f>
        <v>24500</v>
      </c>
      <c r="C866" s="214">
        <f t="shared" si="1"/>
        <v>0</v>
      </c>
      <c r="E866" s="362"/>
      <c r="F866" s="275"/>
    </row>
    <row r="867" hidden="1">
      <c r="A867" s="193">
        <v>24520.0</v>
      </c>
      <c r="B867" s="214">
        <f>VLOOKUP(A867,'Solicitações'!B:B,1,0)</f>
        <v>24520</v>
      </c>
      <c r="C867" s="214">
        <f t="shared" si="1"/>
        <v>0</v>
      </c>
      <c r="E867" s="362"/>
      <c r="F867" s="275"/>
    </row>
    <row r="868" hidden="1">
      <c r="A868" s="193">
        <v>24540.0</v>
      </c>
      <c r="B868" s="214">
        <f>VLOOKUP(A868,'Solicitações'!B:B,1,0)</f>
        <v>24540</v>
      </c>
      <c r="C868" s="214">
        <f t="shared" si="1"/>
        <v>0</v>
      </c>
      <c r="E868" s="362"/>
      <c r="F868" s="275"/>
    </row>
    <row r="869" hidden="1">
      <c r="A869" s="193">
        <v>24560.0</v>
      </c>
      <c r="B869" s="214">
        <f>VLOOKUP(A869,'Solicitações'!B:B,1,0)</f>
        <v>24560</v>
      </c>
      <c r="C869" s="214">
        <f t="shared" si="1"/>
        <v>0</v>
      </c>
      <c r="E869" s="362"/>
      <c r="F869" s="275"/>
    </row>
    <row r="870" hidden="1">
      <c r="A870" s="193">
        <v>24580.0</v>
      </c>
      <c r="B870" s="214">
        <f>VLOOKUP(A870,'Solicitações'!B:B,1,0)</f>
        <v>24580</v>
      </c>
      <c r="C870" s="214">
        <f t="shared" si="1"/>
        <v>0</v>
      </c>
      <c r="E870" s="362"/>
      <c r="F870" s="275"/>
    </row>
    <row r="871" hidden="1">
      <c r="A871" s="193">
        <v>24600.0</v>
      </c>
      <c r="B871" s="214">
        <f>VLOOKUP(A871,'Solicitações'!B:B,1,0)</f>
        <v>24600</v>
      </c>
      <c r="C871" s="214">
        <f t="shared" si="1"/>
        <v>0</v>
      </c>
      <c r="E871" s="362"/>
      <c r="F871" s="275"/>
    </row>
    <row r="872" hidden="1">
      <c r="A872" s="193">
        <v>24620.0</v>
      </c>
      <c r="B872" s="214">
        <f>VLOOKUP(A872,'Solicitações'!B:B,1,0)</f>
        <v>24620</v>
      </c>
      <c r="C872" s="214">
        <f t="shared" si="1"/>
        <v>0</v>
      </c>
      <c r="E872" s="362"/>
      <c r="F872" s="275"/>
    </row>
    <row r="873" hidden="1">
      <c r="A873" s="193">
        <v>24640.0</v>
      </c>
      <c r="B873" s="214">
        <f>VLOOKUP(A873,'Solicitações'!B:B,1,0)</f>
        <v>24640</v>
      </c>
      <c r="C873" s="214">
        <f t="shared" si="1"/>
        <v>0</v>
      </c>
      <c r="E873" s="362"/>
      <c r="F873" s="275"/>
    </row>
    <row r="874" hidden="1">
      <c r="A874" s="193">
        <v>24660.0</v>
      </c>
      <c r="B874" s="214">
        <f>VLOOKUP(A874,'Solicitações'!B:B,1,0)</f>
        <v>24660</v>
      </c>
      <c r="C874" s="214">
        <f t="shared" si="1"/>
        <v>0</v>
      </c>
      <c r="E874" s="362"/>
      <c r="F874" s="275"/>
    </row>
    <row r="875" hidden="1">
      <c r="A875" s="193">
        <v>24661.0</v>
      </c>
      <c r="B875" s="214">
        <f>VLOOKUP(A875,'Solicitações'!B:B,1,0)</f>
        <v>24661</v>
      </c>
      <c r="C875" s="214">
        <f t="shared" si="1"/>
        <v>0</v>
      </c>
      <c r="E875" s="362"/>
      <c r="F875" s="275"/>
    </row>
    <row r="876" hidden="1">
      <c r="A876" s="193">
        <v>24680.0</v>
      </c>
      <c r="B876" s="214">
        <f>VLOOKUP(A876,'Solicitações'!B:B,1,0)</f>
        <v>24680</v>
      </c>
      <c r="C876" s="214">
        <f t="shared" si="1"/>
        <v>0</v>
      </c>
      <c r="E876" s="362"/>
      <c r="F876" s="275"/>
    </row>
    <row r="877" hidden="1">
      <c r="A877" s="193">
        <v>24700.0</v>
      </c>
      <c r="B877" s="214">
        <f>VLOOKUP(A877,'Solicitações'!B:B,1,0)</f>
        <v>24700</v>
      </c>
      <c r="C877" s="214">
        <f t="shared" si="1"/>
        <v>0</v>
      </c>
      <c r="E877" s="362"/>
      <c r="F877" s="275"/>
    </row>
    <row r="878" hidden="1">
      <c r="A878" s="193">
        <v>24720.0</v>
      </c>
      <c r="B878" s="214">
        <f>VLOOKUP(A878,'Solicitações'!B:B,1,0)</f>
        <v>24720</v>
      </c>
      <c r="C878" s="214">
        <f t="shared" si="1"/>
        <v>0</v>
      </c>
      <c r="E878" s="362"/>
      <c r="F878" s="275"/>
    </row>
    <row r="879" hidden="1">
      <c r="A879" s="193">
        <v>24740.0</v>
      </c>
      <c r="B879" s="214">
        <f>VLOOKUP(A879,'Solicitações'!B:B,1,0)</f>
        <v>24740</v>
      </c>
      <c r="C879" s="214">
        <f t="shared" si="1"/>
        <v>0</v>
      </c>
      <c r="E879" s="362"/>
      <c r="F879" s="275"/>
    </row>
    <row r="880" hidden="1">
      <c r="A880" s="193">
        <v>24760.0</v>
      </c>
      <c r="B880" s="214">
        <f>VLOOKUP(A880,'Solicitações'!B:B,1,0)</f>
        <v>24760</v>
      </c>
      <c r="C880" s="214">
        <f t="shared" si="1"/>
        <v>0</v>
      </c>
      <c r="E880" s="362"/>
      <c r="F880" s="275"/>
    </row>
    <row r="881" hidden="1">
      <c r="A881" s="193">
        <v>24780.0</v>
      </c>
      <c r="B881" s="214">
        <f>VLOOKUP(A881,'Solicitações'!B:B,1,0)</f>
        <v>24780</v>
      </c>
      <c r="C881" s="214">
        <f t="shared" si="1"/>
        <v>0</v>
      </c>
      <c r="E881" s="362"/>
      <c r="F881" s="275"/>
    </row>
    <row r="882" hidden="1">
      <c r="A882" s="193">
        <v>24800.0</v>
      </c>
      <c r="B882" s="214">
        <f>VLOOKUP(A882,'Solicitações'!B:B,1,0)</f>
        <v>24800</v>
      </c>
      <c r="C882" s="214">
        <f t="shared" si="1"/>
        <v>0</v>
      </c>
      <c r="E882" s="362"/>
      <c r="F882" s="275"/>
    </row>
    <row r="883" hidden="1">
      <c r="A883" s="193">
        <v>24820.0</v>
      </c>
      <c r="B883" s="214">
        <f>VLOOKUP(A883,'Solicitações'!B:B,1,0)</f>
        <v>24820</v>
      </c>
      <c r="C883" s="214">
        <f t="shared" si="1"/>
        <v>0</v>
      </c>
      <c r="E883" s="362"/>
      <c r="F883" s="275"/>
    </row>
    <row r="884" hidden="1">
      <c r="A884" s="193">
        <v>24840.0</v>
      </c>
      <c r="B884" s="214">
        <f>VLOOKUP(A884,'Solicitações'!B:B,1,0)</f>
        <v>24840</v>
      </c>
      <c r="C884" s="214">
        <f t="shared" si="1"/>
        <v>0</v>
      </c>
      <c r="E884" s="362"/>
      <c r="F884" s="275"/>
    </row>
    <row r="885" hidden="1">
      <c r="A885" s="193">
        <v>24860.0</v>
      </c>
      <c r="B885" s="214">
        <f>VLOOKUP(A885,'Solicitações'!B:B,1,0)</f>
        <v>24860</v>
      </c>
      <c r="C885" s="214">
        <f t="shared" si="1"/>
        <v>0</v>
      </c>
      <c r="E885" s="362"/>
      <c r="F885" s="275"/>
    </row>
    <row r="886" hidden="1">
      <c r="A886" s="193">
        <v>24880.0</v>
      </c>
      <c r="B886" s="214">
        <f>VLOOKUP(A886,'Solicitações'!B:B,1,0)</f>
        <v>24880</v>
      </c>
      <c r="C886" s="214">
        <f t="shared" si="1"/>
        <v>0</v>
      </c>
      <c r="E886" s="362"/>
      <c r="F886" s="275"/>
    </row>
    <row r="887" hidden="1">
      <c r="A887" s="193">
        <v>24900.0</v>
      </c>
      <c r="B887" s="214">
        <f>VLOOKUP(A887,'Solicitações'!B:B,1,0)</f>
        <v>24900</v>
      </c>
      <c r="C887" s="214">
        <f t="shared" si="1"/>
        <v>0</v>
      </c>
      <c r="E887" s="362"/>
      <c r="F887" s="275"/>
    </row>
    <row r="888" hidden="1">
      <c r="A888" s="193">
        <v>24920.0</v>
      </c>
      <c r="B888" s="214">
        <f>VLOOKUP(A888,'Solicitações'!B:B,1,0)</f>
        <v>24920</v>
      </c>
      <c r="C888" s="214">
        <f t="shared" si="1"/>
        <v>0</v>
      </c>
      <c r="E888" s="362"/>
      <c r="F888" s="275"/>
    </row>
    <row r="889" hidden="1">
      <c r="A889" s="193">
        <v>24940.0</v>
      </c>
      <c r="B889" s="214">
        <f>VLOOKUP(A889,'Solicitações'!B:B,1,0)</f>
        <v>24940</v>
      </c>
      <c r="C889" s="214">
        <f t="shared" si="1"/>
        <v>0</v>
      </c>
      <c r="E889" s="362"/>
      <c r="F889" s="275"/>
    </row>
    <row r="890" hidden="1">
      <c r="A890" s="193">
        <v>24960.0</v>
      </c>
      <c r="B890" s="214">
        <f>VLOOKUP(A890,'Solicitações'!B:B,1,0)</f>
        <v>24960</v>
      </c>
      <c r="C890" s="214">
        <f t="shared" si="1"/>
        <v>0</v>
      </c>
      <c r="E890" s="362"/>
      <c r="F890" s="275"/>
    </row>
    <row r="891" hidden="1">
      <c r="A891" s="193">
        <v>24980.0</v>
      </c>
      <c r="B891" s="214">
        <f>VLOOKUP(A891,'Solicitações'!B:B,1,0)</f>
        <v>24980</v>
      </c>
      <c r="C891" s="214">
        <f t="shared" si="1"/>
        <v>0</v>
      </c>
      <c r="E891" s="362"/>
      <c r="F891" s="275"/>
    </row>
    <row r="892" hidden="1">
      <c r="A892" s="193">
        <v>25000.0</v>
      </c>
      <c r="B892" s="214">
        <f>VLOOKUP(A892,'Solicitações'!B:B,1,0)</f>
        <v>25000</v>
      </c>
      <c r="C892" s="214">
        <f t="shared" si="1"/>
        <v>0</v>
      </c>
      <c r="E892" s="362"/>
      <c r="F892" s="275"/>
    </row>
    <row r="893" hidden="1">
      <c r="A893" s="193">
        <v>25020.0</v>
      </c>
      <c r="B893" s="214">
        <f>VLOOKUP(A893,'Solicitações'!B:B,1,0)</f>
        <v>25020</v>
      </c>
      <c r="C893" s="214">
        <f t="shared" si="1"/>
        <v>0</v>
      </c>
      <c r="E893" s="362"/>
      <c r="F893" s="275"/>
    </row>
    <row r="894" hidden="1">
      <c r="A894" s="193">
        <v>25040.0</v>
      </c>
      <c r="B894" s="214">
        <f>VLOOKUP(A894,'Solicitações'!B:B,1,0)</f>
        <v>25040</v>
      </c>
      <c r="C894" s="214">
        <f t="shared" si="1"/>
        <v>0</v>
      </c>
      <c r="E894" s="362"/>
      <c r="F894" s="275"/>
    </row>
    <row r="895" hidden="1">
      <c r="A895" s="193">
        <v>25060.0</v>
      </c>
      <c r="B895" s="214">
        <f>VLOOKUP(A895,'Solicitações'!B:B,1,0)</f>
        <v>25060</v>
      </c>
      <c r="C895" s="214">
        <f t="shared" si="1"/>
        <v>0</v>
      </c>
      <c r="E895" s="362"/>
      <c r="F895" s="275"/>
    </row>
    <row r="896" hidden="1">
      <c r="A896" s="193">
        <v>25080.0</v>
      </c>
      <c r="B896" s="214">
        <f>VLOOKUP(A896,'Solicitações'!B:B,1,0)</f>
        <v>25080</v>
      </c>
      <c r="C896" s="214">
        <f t="shared" si="1"/>
        <v>0</v>
      </c>
      <c r="E896" s="362"/>
      <c r="F896" s="275"/>
    </row>
    <row r="897" hidden="1">
      <c r="A897" s="193">
        <v>25100.0</v>
      </c>
      <c r="B897" s="214">
        <f>VLOOKUP(A897,'Solicitações'!B:B,1,0)</f>
        <v>25100</v>
      </c>
      <c r="C897" s="214">
        <f t="shared" si="1"/>
        <v>0</v>
      </c>
      <c r="E897" s="362"/>
      <c r="F897" s="275"/>
    </row>
    <row r="898" hidden="1">
      <c r="A898" s="193">
        <v>25120.0</v>
      </c>
      <c r="B898" s="214">
        <f>VLOOKUP(A898,'Solicitações'!B:B,1,0)</f>
        <v>25120</v>
      </c>
      <c r="C898" s="214">
        <f t="shared" si="1"/>
        <v>0</v>
      </c>
      <c r="E898" s="362"/>
      <c r="F898" s="275"/>
    </row>
    <row r="899" hidden="1">
      <c r="A899" s="193">
        <v>25140.0</v>
      </c>
      <c r="B899" s="214">
        <f>VLOOKUP(A899,'Solicitações'!B:B,1,0)</f>
        <v>25140</v>
      </c>
      <c r="C899" s="214">
        <f t="shared" si="1"/>
        <v>0</v>
      </c>
      <c r="E899" s="362"/>
      <c r="F899" s="275"/>
    </row>
    <row r="900" hidden="1">
      <c r="A900" s="193">
        <v>25160.0</v>
      </c>
      <c r="B900" s="214">
        <f>VLOOKUP(A900,'Solicitações'!B:B,1,0)</f>
        <v>25160</v>
      </c>
      <c r="C900" s="214">
        <f t="shared" si="1"/>
        <v>0</v>
      </c>
      <c r="E900" s="362"/>
      <c r="F900" s="275"/>
    </row>
    <row r="901" hidden="1">
      <c r="A901" s="193">
        <v>25180.0</v>
      </c>
      <c r="B901" s="214">
        <f>VLOOKUP(A901,'Solicitações'!B:B,1,0)</f>
        <v>25180</v>
      </c>
      <c r="C901" s="214">
        <f t="shared" si="1"/>
        <v>0</v>
      </c>
      <c r="E901" s="362"/>
      <c r="F901" s="275"/>
    </row>
    <row r="902" hidden="1">
      <c r="A902" s="193">
        <v>25200.0</v>
      </c>
      <c r="B902" s="214">
        <f>VLOOKUP(A902,'Solicitações'!B:B,1,0)</f>
        <v>25200</v>
      </c>
      <c r="C902" s="214">
        <f t="shared" si="1"/>
        <v>0</v>
      </c>
      <c r="E902" s="362"/>
      <c r="F902" s="275"/>
    </row>
    <row r="903" hidden="1">
      <c r="A903" s="193">
        <v>25220.0</v>
      </c>
      <c r="B903" s="214">
        <f>VLOOKUP(A903,'Solicitações'!B:B,1,0)</f>
        <v>25220</v>
      </c>
      <c r="C903" s="214">
        <f t="shared" si="1"/>
        <v>0</v>
      </c>
      <c r="E903" s="362"/>
      <c r="F903" s="275"/>
    </row>
    <row r="904" hidden="1">
      <c r="A904" s="193">
        <v>25240.0</v>
      </c>
      <c r="B904" s="214">
        <f>VLOOKUP(A904,'Solicitações'!B:B,1,0)</f>
        <v>25240</v>
      </c>
      <c r="C904" s="214">
        <f t="shared" si="1"/>
        <v>0</v>
      </c>
      <c r="E904" s="362"/>
      <c r="F904" s="275"/>
    </row>
    <row r="905" hidden="1">
      <c r="A905" s="193">
        <v>25260.0</v>
      </c>
      <c r="B905" s="214">
        <f>VLOOKUP(A905,'Solicitações'!B:B,1,0)</f>
        <v>25260</v>
      </c>
      <c r="C905" s="214">
        <f t="shared" si="1"/>
        <v>0</v>
      </c>
      <c r="E905" s="362"/>
      <c r="F905" s="275"/>
    </row>
    <row r="906" hidden="1">
      <c r="A906" s="193">
        <v>25280.0</v>
      </c>
      <c r="B906" s="214">
        <f>VLOOKUP(A906,'Solicitações'!B:B,1,0)</f>
        <v>25280</v>
      </c>
      <c r="C906" s="214">
        <f t="shared" si="1"/>
        <v>0</v>
      </c>
      <c r="E906" s="362"/>
      <c r="F906" s="275"/>
    </row>
    <row r="907" hidden="1">
      <c r="A907" s="193">
        <v>25300.0</v>
      </c>
      <c r="B907" s="214">
        <f>VLOOKUP(A907,'Solicitações'!B:B,1,0)</f>
        <v>25300</v>
      </c>
      <c r="C907" s="214">
        <f t="shared" si="1"/>
        <v>0</v>
      </c>
      <c r="E907" s="362"/>
      <c r="F907" s="275"/>
    </row>
    <row r="908" hidden="1">
      <c r="A908" s="193">
        <v>25320.0</v>
      </c>
      <c r="B908" s="214">
        <f>VLOOKUP(A908,'Solicitações'!B:B,1,0)</f>
        <v>25320</v>
      </c>
      <c r="C908" s="214">
        <f t="shared" si="1"/>
        <v>0</v>
      </c>
      <c r="E908" s="362"/>
      <c r="F908" s="275"/>
    </row>
    <row r="909" hidden="1">
      <c r="A909" s="193">
        <v>25340.0</v>
      </c>
      <c r="B909" s="214">
        <f>VLOOKUP(A909,'Solicitações'!B:B,1,0)</f>
        <v>25340</v>
      </c>
      <c r="C909" s="214">
        <f t="shared" si="1"/>
        <v>0</v>
      </c>
      <c r="E909" s="362"/>
      <c r="F909" s="275"/>
    </row>
    <row r="910" hidden="1">
      <c r="A910" s="193">
        <v>25360.0</v>
      </c>
      <c r="B910" s="214">
        <f>VLOOKUP(A910,'Solicitações'!B:B,1,0)</f>
        <v>25360</v>
      </c>
      <c r="C910" s="214">
        <f t="shared" si="1"/>
        <v>0</v>
      </c>
      <c r="E910" s="362"/>
      <c r="F910" s="275"/>
    </row>
    <row r="911" hidden="1">
      <c r="A911" s="193">
        <v>25380.0</v>
      </c>
      <c r="B911" s="214">
        <f>VLOOKUP(A911,'Solicitações'!B:B,1,0)</f>
        <v>25380</v>
      </c>
      <c r="C911" s="214">
        <f t="shared" si="1"/>
        <v>0</v>
      </c>
      <c r="E911" s="362"/>
      <c r="F911" s="275"/>
    </row>
    <row r="912" hidden="1">
      <c r="A912" s="193">
        <v>25400.0</v>
      </c>
      <c r="B912" s="214">
        <f>VLOOKUP(A912,'Solicitações'!B:B,1,0)</f>
        <v>25400</v>
      </c>
      <c r="C912" s="214">
        <f t="shared" si="1"/>
        <v>0</v>
      </c>
      <c r="E912" s="362"/>
      <c r="F912" s="275"/>
    </row>
    <row r="913" hidden="1">
      <c r="A913" s="193">
        <v>25420.0</v>
      </c>
      <c r="B913" s="214">
        <f>VLOOKUP(A913,'Solicitações'!B:B,1,0)</f>
        <v>25420</v>
      </c>
      <c r="C913" s="214">
        <f t="shared" si="1"/>
        <v>0</v>
      </c>
      <c r="E913" s="362"/>
      <c r="F913" s="275"/>
    </row>
    <row r="914" hidden="1">
      <c r="A914" s="193">
        <v>25440.0</v>
      </c>
      <c r="B914" s="214">
        <f>VLOOKUP(A914,'Solicitações'!B:B,1,0)</f>
        <v>25440</v>
      </c>
      <c r="C914" s="214">
        <f t="shared" si="1"/>
        <v>0</v>
      </c>
      <c r="E914" s="362"/>
      <c r="F914" s="275"/>
    </row>
    <row r="915" hidden="1">
      <c r="A915" s="193">
        <v>25460.0</v>
      </c>
      <c r="B915" s="214">
        <f>VLOOKUP(A915,'Solicitações'!B:B,1,0)</f>
        <v>25460</v>
      </c>
      <c r="C915" s="214">
        <f t="shared" si="1"/>
        <v>0</v>
      </c>
      <c r="E915" s="362"/>
      <c r="F915" s="275"/>
    </row>
    <row r="916" hidden="1">
      <c r="A916" s="193">
        <v>25480.0</v>
      </c>
      <c r="B916" s="214">
        <f>VLOOKUP(A916,'Solicitações'!B:B,1,0)</f>
        <v>25480</v>
      </c>
      <c r="C916" s="214">
        <f t="shared" si="1"/>
        <v>0</v>
      </c>
      <c r="E916" s="362"/>
      <c r="F916" s="275"/>
    </row>
    <row r="917" hidden="1">
      <c r="A917" s="193">
        <v>25500.0</v>
      </c>
      <c r="B917" s="214">
        <f>VLOOKUP(A917,'Solicitações'!B:B,1,0)</f>
        <v>25500</v>
      </c>
      <c r="C917" s="214">
        <f t="shared" si="1"/>
        <v>0</v>
      </c>
      <c r="E917" s="362"/>
      <c r="F917" s="275"/>
    </row>
    <row r="918" hidden="1">
      <c r="A918" s="193">
        <v>25520.0</v>
      </c>
      <c r="B918" s="214">
        <f>VLOOKUP(A918,'Solicitações'!B:B,1,0)</f>
        <v>25520</v>
      </c>
      <c r="C918" s="214">
        <f t="shared" si="1"/>
        <v>0</v>
      </c>
      <c r="E918" s="362"/>
      <c r="F918" s="275"/>
    </row>
    <row r="919" hidden="1">
      <c r="A919" s="193">
        <v>25540.0</v>
      </c>
      <c r="B919" s="214">
        <f>VLOOKUP(A919,'Solicitações'!B:B,1,0)</f>
        <v>25540</v>
      </c>
      <c r="C919" s="214">
        <f t="shared" si="1"/>
        <v>0</v>
      </c>
      <c r="E919" s="362"/>
      <c r="F919" s="275"/>
    </row>
    <row r="920" hidden="1">
      <c r="A920" s="193">
        <v>25560.0</v>
      </c>
      <c r="B920" s="214">
        <f>VLOOKUP(A920,'Solicitações'!B:B,1,0)</f>
        <v>25560</v>
      </c>
      <c r="C920" s="214">
        <f t="shared" si="1"/>
        <v>0</v>
      </c>
      <c r="E920" s="362"/>
      <c r="F920" s="275"/>
    </row>
    <row r="921" hidden="1">
      <c r="A921" s="193">
        <v>25580.0</v>
      </c>
      <c r="B921" s="214">
        <f>VLOOKUP(A921,'Solicitações'!B:B,1,0)</f>
        <v>25580</v>
      </c>
      <c r="C921" s="214">
        <f t="shared" si="1"/>
        <v>0</v>
      </c>
      <c r="E921" s="362"/>
      <c r="F921" s="275"/>
    </row>
    <row r="922" hidden="1">
      <c r="A922" s="193">
        <v>25600.0</v>
      </c>
      <c r="B922" s="214">
        <f>VLOOKUP(A922,'Solicitações'!B:B,1,0)</f>
        <v>25600</v>
      </c>
      <c r="C922" s="214">
        <f t="shared" si="1"/>
        <v>0</v>
      </c>
      <c r="E922" s="362"/>
      <c r="F922" s="275"/>
    </row>
    <row r="923" hidden="1">
      <c r="A923" s="193">
        <v>25620.0</v>
      </c>
      <c r="B923" s="214">
        <f>VLOOKUP(A923,'Solicitações'!B:B,1,0)</f>
        <v>25620</v>
      </c>
      <c r="C923" s="214">
        <f t="shared" si="1"/>
        <v>0</v>
      </c>
      <c r="E923" s="362"/>
      <c r="F923" s="275"/>
    </row>
    <row r="924" hidden="1">
      <c r="A924" s="193">
        <v>25640.0</v>
      </c>
      <c r="B924" s="214">
        <f>VLOOKUP(A924,'Solicitações'!B:B,1,0)</f>
        <v>25640</v>
      </c>
      <c r="C924" s="214">
        <f t="shared" si="1"/>
        <v>0</v>
      </c>
      <c r="E924" s="362"/>
      <c r="F924" s="275"/>
    </row>
    <row r="925" hidden="1">
      <c r="A925" s="193">
        <v>25660.0</v>
      </c>
      <c r="B925" s="214">
        <f>VLOOKUP(A925,'Solicitações'!B:B,1,0)</f>
        <v>25660</v>
      </c>
      <c r="C925" s="214">
        <f t="shared" si="1"/>
        <v>0</v>
      </c>
      <c r="E925" s="362"/>
      <c r="F925" s="275"/>
    </row>
    <row r="926" hidden="1">
      <c r="A926" s="193">
        <v>25680.0</v>
      </c>
      <c r="B926" s="214">
        <f>VLOOKUP(A926,'Solicitações'!B:B,1,0)</f>
        <v>25680</v>
      </c>
      <c r="C926" s="214">
        <f t="shared" si="1"/>
        <v>0</v>
      </c>
      <c r="E926" s="362"/>
      <c r="F926" s="275"/>
    </row>
    <row r="927" hidden="1">
      <c r="A927" s="193">
        <v>25700.0</v>
      </c>
      <c r="B927" s="214">
        <f>VLOOKUP(A927,'Solicitações'!B:B,1,0)</f>
        <v>25700</v>
      </c>
      <c r="C927" s="214">
        <f t="shared" si="1"/>
        <v>0</v>
      </c>
      <c r="E927" s="362"/>
      <c r="F927" s="275"/>
    </row>
    <row r="928" hidden="1">
      <c r="A928" s="193">
        <v>25720.0</v>
      </c>
      <c r="B928" s="214">
        <f>VLOOKUP(A928,'Solicitações'!B:B,1,0)</f>
        <v>25720</v>
      </c>
      <c r="C928" s="214">
        <f t="shared" si="1"/>
        <v>0</v>
      </c>
      <c r="E928" s="362"/>
      <c r="F928" s="275"/>
    </row>
    <row r="929" hidden="1">
      <c r="A929" s="193">
        <v>25740.0</v>
      </c>
      <c r="B929" s="214">
        <f>VLOOKUP(A929,'Solicitações'!B:B,1,0)</f>
        <v>25740</v>
      </c>
      <c r="C929" s="214">
        <f t="shared" si="1"/>
        <v>0</v>
      </c>
      <c r="E929" s="362"/>
      <c r="F929" s="275"/>
    </row>
    <row r="930" hidden="1">
      <c r="A930" s="193">
        <v>25760.0</v>
      </c>
      <c r="B930" s="214">
        <f>VLOOKUP(A930,'Solicitações'!B:B,1,0)</f>
        <v>25760</v>
      </c>
      <c r="C930" s="214">
        <f t="shared" si="1"/>
        <v>0</v>
      </c>
      <c r="E930" s="362"/>
      <c r="F930" s="275"/>
    </row>
    <row r="931" hidden="1">
      <c r="A931" s="193">
        <v>25780.0</v>
      </c>
      <c r="B931" s="214">
        <f>VLOOKUP(A931,'Solicitações'!B:B,1,0)</f>
        <v>25780</v>
      </c>
      <c r="C931" s="214">
        <f t="shared" si="1"/>
        <v>0</v>
      </c>
      <c r="E931" s="362"/>
      <c r="F931" s="275"/>
    </row>
    <row r="932" hidden="1">
      <c r="A932" s="193">
        <v>25800.0</v>
      </c>
      <c r="B932" s="214">
        <f>VLOOKUP(A932,'Solicitações'!B:B,1,0)</f>
        <v>25800</v>
      </c>
      <c r="C932" s="214">
        <f t="shared" si="1"/>
        <v>0</v>
      </c>
      <c r="E932" s="362"/>
      <c r="F932" s="275"/>
    </row>
    <row r="933" hidden="1">
      <c r="A933" s="193">
        <v>25820.0</v>
      </c>
      <c r="B933" s="214">
        <f>VLOOKUP(A933,'Solicitações'!B:B,1,0)</f>
        <v>25820</v>
      </c>
      <c r="C933" s="214">
        <f t="shared" si="1"/>
        <v>0</v>
      </c>
      <c r="E933" s="362"/>
      <c r="F933" s="275"/>
    </row>
    <row r="934" hidden="1">
      <c r="A934" s="193">
        <v>25840.0</v>
      </c>
      <c r="B934" s="214">
        <f>VLOOKUP(A934,'Solicitações'!B:B,1,0)</f>
        <v>25840</v>
      </c>
      <c r="C934" s="214">
        <f t="shared" si="1"/>
        <v>0</v>
      </c>
      <c r="E934" s="362"/>
      <c r="F934" s="275"/>
    </row>
    <row r="935" hidden="1">
      <c r="A935" s="193">
        <v>25860.0</v>
      </c>
      <c r="B935" s="214">
        <f>VLOOKUP(A935,'Solicitações'!B:B,1,0)</f>
        <v>25860</v>
      </c>
      <c r="C935" s="214">
        <f t="shared" si="1"/>
        <v>0</v>
      </c>
      <c r="E935" s="362"/>
      <c r="F935" s="275"/>
    </row>
    <row r="936" hidden="1">
      <c r="A936" s="193">
        <v>25880.0</v>
      </c>
      <c r="B936" s="214">
        <f>VLOOKUP(A936,'Solicitações'!B:B,1,0)</f>
        <v>25880</v>
      </c>
      <c r="C936" s="214">
        <f t="shared" si="1"/>
        <v>0</v>
      </c>
      <c r="E936" s="362"/>
      <c r="F936" s="275"/>
    </row>
    <row r="937" hidden="1">
      <c r="A937" s="193">
        <v>25900.0</v>
      </c>
      <c r="B937" s="214">
        <f>VLOOKUP(A937,'Solicitações'!B:B,1,0)</f>
        <v>25900</v>
      </c>
      <c r="C937" s="214">
        <f t="shared" si="1"/>
        <v>0</v>
      </c>
      <c r="E937" s="362"/>
      <c r="F937" s="275"/>
    </row>
    <row r="938" hidden="1">
      <c r="A938" s="193">
        <v>25920.0</v>
      </c>
      <c r="B938" s="214">
        <f>VLOOKUP(A938,'Solicitações'!B:B,1,0)</f>
        <v>25920</v>
      </c>
      <c r="C938" s="214">
        <f t="shared" si="1"/>
        <v>0</v>
      </c>
      <c r="E938" s="362"/>
      <c r="F938" s="275"/>
    </row>
    <row r="939" hidden="1">
      <c r="A939" s="193">
        <v>25940.0</v>
      </c>
      <c r="B939" s="214">
        <f>VLOOKUP(A939,'Solicitações'!B:B,1,0)</f>
        <v>25940</v>
      </c>
      <c r="C939" s="214">
        <f t="shared" si="1"/>
        <v>0</v>
      </c>
      <c r="E939" s="362"/>
      <c r="F939" s="275"/>
    </row>
    <row r="940" hidden="1">
      <c r="A940" s="193">
        <v>25960.0</v>
      </c>
      <c r="B940" s="214">
        <f>VLOOKUP(A940,'Solicitações'!B:B,1,0)</f>
        <v>25960</v>
      </c>
      <c r="C940" s="214">
        <f t="shared" si="1"/>
        <v>0</v>
      </c>
      <c r="E940" s="362"/>
      <c r="F940" s="275"/>
    </row>
    <row r="941" hidden="1">
      <c r="A941" s="193">
        <v>25980.0</v>
      </c>
      <c r="B941" s="214">
        <f>VLOOKUP(A941,'Solicitações'!B:B,1,0)</f>
        <v>25980</v>
      </c>
      <c r="C941" s="214">
        <f t="shared" si="1"/>
        <v>0</v>
      </c>
      <c r="E941" s="362"/>
      <c r="F941" s="275"/>
    </row>
    <row r="942" hidden="1">
      <c r="A942" s="193">
        <v>26000.0</v>
      </c>
      <c r="B942" s="214">
        <f>VLOOKUP(A942,'Solicitações'!B:B,1,0)</f>
        <v>26000</v>
      </c>
      <c r="C942" s="214">
        <f t="shared" si="1"/>
        <v>0</v>
      </c>
      <c r="E942" s="362"/>
      <c r="F942" s="275"/>
    </row>
    <row r="943" hidden="1">
      <c r="A943" s="193">
        <v>26020.0</v>
      </c>
      <c r="B943" s="214">
        <f>VLOOKUP(A943,'Solicitações'!B:B,1,0)</f>
        <v>26020</v>
      </c>
      <c r="C943" s="214">
        <f t="shared" si="1"/>
        <v>0</v>
      </c>
      <c r="E943" s="362"/>
      <c r="F943" s="275"/>
    </row>
    <row r="944" hidden="1">
      <c r="A944" s="193">
        <v>62900.0</v>
      </c>
      <c r="B944" s="214">
        <f>VLOOKUP(A944,'Solicitações'!B:B,1,0)</f>
        <v>62900</v>
      </c>
      <c r="C944" s="214">
        <f t="shared" si="1"/>
        <v>0</v>
      </c>
      <c r="E944" s="362"/>
      <c r="F944" s="275"/>
    </row>
    <row r="945" hidden="1">
      <c r="A945" s="193">
        <v>62920.0</v>
      </c>
      <c r="B945" s="214">
        <f>VLOOKUP(A945,'Solicitações'!B:B,1,0)</f>
        <v>62920</v>
      </c>
      <c r="C945" s="214">
        <f t="shared" si="1"/>
        <v>0</v>
      </c>
      <c r="E945" s="362"/>
      <c r="F945" s="275"/>
    </row>
    <row r="946" hidden="1">
      <c r="A946" s="193">
        <v>63000.0</v>
      </c>
      <c r="B946" s="214">
        <f>VLOOKUP(A946,'Solicitações'!B:B,1,0)</f>
        <v>63000</v>
      </c>
      <c r="C946" s="214">
        <f t="shared" si="1"/>
        <v>0</v>
      </c>
      <c r="E946" s="362"/>
      <c r="F946" s="275"/>
    </row>
    <row r="947" hidden="1">
      <c r="A947" s="193">
        <v>63020.0</v>
      </c>
      <c r="B947" s="214">
        <f>VLOOKUP(A947,'Solicitações'!B:B,1,0)</f>
        <v>63020</v>
      </c>
      <c r="C947" s="214">
        <f t="shared" si="1"/>
        <v>0</v>
      </c>
      <c r="E947" s="362"/>
      <c r="F947" s="275"/>
    </row>
    <row r="948" hidden="1">
      <c r="A948" s="193">
        <v>63040.0</v>
      </c>
      <c r="B948" s="214">
        <f>VLOOKUP(A948,'Solicitações'!B:B,1,0)</f>
        <v>63040</v>
      </c>
      <c r="C948" s="214">
        <f t="shared" si="1"/>
        <v>0</v>
      </c>
      <c r="E948" s="362"/>
      <c r="F948" s="275"/>
    </row>
    <row r="949" hidden="1">
      <c r="A949" s="193">
        <v>63060.0</v>
      </c>
      <c r="B949" s="214">
        <f>VLOOKUP(A949,'Solicitações'!B:B,1,0)</f>
        <v>63060</v>
      </c>
      <c r="C949" s="214">
        <f t="shared" si="1"/>
        <v>0</v>
      </c>
      <c r="E949" s="362"/>
      <c r="F949" s="275"/>
    </row>
    <row r="950" hidden="1">
      <c r="A950" s="193">
        <v>63080.0</v>
      </c>
      <c r="B950" s="214">
        <f>VLOOKUP(A950,'Solicitações'!B:B,1,0)</f>
        <v>63080</v>
      </c>
      <c r="C950" s="214">
        <f t="shared" si="1"/>
        <v>0</v>
      </c>
      <c r="E950" s="362"/>
      <c r="F950" s="275"/>
    </row>
    <row r="951" hidden="1">
      <c r="A951" s="193">
        <v>63100.0</v>
      </c>
      <c r="B951" s="214">
        <f>VLOOKUP(A951,'Solicitações'!B:B,1,0)</f>
        <v>63100</v>
      </c>
      <c r="C951" s="214">
        <f t="shared" si="1"/>
        <v>0</v>
      </c>
      <c r="E951" s="362"/>
      <c r="F951" s="275"/>
    </row>
    <row r="952" hidden="1">
      <c r="A952" s="193">
        <v>63120.0</v>
      </c>
      <c r="B952" s="214">
        <f>VLOOKUP(A952,'Solicitações'!B:B,1,0)</f>
        <v>63120</v>
      </c>
      <c r="C952" s="214">
        <f t="shared" si="1"/>
        <v>0</v>
      </c>
      <c r="E952" s="362"/>
      <c r="F952" s="275"/>
    </row>
    <row r="953" hidden="1">
      <c r="A953" s="193">
        <v>63140.0</v>
      </c>
      <c r="B953" s="214">
        <f>VLOOKUP(A953,'Solicitações'!B:B,1,0)</f>
        <v>63140</v>
      </c>
      <c r="C953" s="214">
        <f t="shared" si="1"/>
        <v>0</v>
      </c>
      <c r="E953" s="362"/>
      <c r="F953" s="275"/>
    </row>
    <row r="954" hidden="1">
      <c r="A954" s="193">
        <v>63200.0</v>
      </c>
      <c r="B954" s="214">
        <f>VLOOKUP(A954,'Solicitações'!B:B,1,0)</f>
        <v>63200</v>
      </c>
      <c r="C954" s="214">
        <f t="shared" si="1"/>
        <v>0</v>
      </c>
      <c r="E954" s="362"/>
      <c r="F954" s="275"/>
    </row>
    <row r="955" hidden="1">
      <c r="A955" s="193">
        <v>63220.0</v>
      </c>
      <c r="B955" s="214">
        <f>VLOOKUP(A955,'Solicitações'!B:B,1,0)</f>
        <v>63220</v>
      </c>
      <c r="C955" s="214">
        <f t="shared" si="1"/>
        <v>0</v>
      </c>
      <c r="E955" s="362"/>
      <c r="F955" s="275"/>
    </row>
    <row r="956" hidden="1">
      <c r="A956" s="193">
        <v>63240.0</v>
      </c>
      <c r="B956" s="214">
        <f>VLOOKUP(A956,'Solicitações'!B:B,1,0)</f>
        <v>63240</v>
      </c>
      <c r="C956" s="214">
        <f t="shared" si="1"/>
        <v>0</v>
      </c>
      <c r="E956" s="362"/>
      <c r="F956" s="275"/>
    </row>
    <row r="957" hidden="1">
      <c r="A957" s="193">
        <v>63260.0</v>
      </c>
      <c r="B957" s="214">
        <f>VLOOKUP(A957,'Solicitações'!B:B,1,0)</f>
        <v>63260</v>
      </c>
      <c r="C957" s="214">
        <f t="shared" si="1"/>
        <v>0</v>
      </c>
      <c r="E957" s="362"/>
      <c r="F957" s="275"/>
    </row>
    <row r="958" hidden="1">
      <c r="A958" s="193">
        <v>63300.0</v>
      </c>
      <c r="B958" s="214">
        <f>VLOOKUP(A958,'Solicitações'!B:B,1,0)</f>
        <v>63300</v>
      </c>
      <c r="C958" s="214">
        <f t="shared" si="1"/>
        <v>0</v>
      </c>
      <c r="E958" s="362"/>
      <c r="F958" s="275"/>
    </row>
    <row r="959" hidden="1">
      <c r="A959" s="193">
        <v>63301.0</v>
      </c>
      <c r="B959" s="214">
        <f>VLOOKUP(A959,'Solicitações'!B:B,1,0)</f>
        <v>63301</v>
      </c>
      <c r="C959" s="214">
        <f t="shared" si="1"/>
        <v>0</v>
      </c>
      <c r="E959" s="362"/>
      <c r="F959" s="275"/>
    </row>
    <row r="960" hidden="1">
      <c r="A960" s="193">
        <v>63320.0</v>
      </c>
      <c r="B960" s="214">
        <f>VLOOKUP(A960,'Solicitações'!B:B,1,0)</f>
        <v>63320</v>
      </c>
      <c r="C960" s="214">
        <f t="shared" si="1"/>
        <v>0</v>
      </c>
      <c r="E960" s="362"/>
      <c r="F960" s="275"/>
    </row>
    <row r="961" hidden="1">
      <c r="A961" s="193">
        <v>63340.0</v>
      </c>
      <c r="B961" s="214">
        <f>VLOOKUP(A961,'Solicitações'!B:B,1,0)</f>
        <v>63340</v>
      </c>
      <c r="C961" s="214">
        <f t="shared" si="1"/>
        <v>0</v>
      </c>
      <c r="E961" s="362"/>
      <c r="F961" s="275"/>
    </row>
    <row r="962" hidden="1">
      <c r="A962" s="193">
        <v>63360.0</v>
      </c>
      <c r="B962" s="214">
        <f>VLOOKUP(A962,'Solicitações'!B:B,1,0)</f>
        <v>63360</v>
      </c>
      <c r="C962" s="214">
        <f t="shared" si="1"/>
        <v>0</v>
      </c>
      <c r="E962" s="362"/>
      <c r="F962" s="275"/>
    </row>
    <row r="963" hidden="1">
      <c r="A963" s="193">
        <v>63380.0</v>
      </c>
      <c r="B963" s="214">
        <f>VLOOKUP(A963,'Solicitações'!B:B,1,0)</f>
        <v>63380</v>
      </c>
      <c r="C963" s="214">
        <f t="shared" si="1"/>
        <v>0</v>
      </c>
      <c r="E963" s="362"/>
      <c r="F963" s="275"/>
    </row>
    <row r="964" hidden="1">
      <c r="A964" s="193">
        <v>63400.0</v>
      </c>
      <c r="B964" s="214">
        <f>VLOOKUP(A964,'Solicitações'!B:B,1,0)</f>
        <v>63400</v>
      </c>
      <c r="C964" s="214">
        <f t="shared" si="1"/>
        <v>0</v>
      </c>
      <c r="E964" s="362"/>
      <c r="F964" s="275"/>
    </row>
    <row r="965" hidden="1">
      <c r="A965" s="193">
        <v>63420.0</v>
      </c>
      <c r="B965" s="214">
        <f>VLOOKUP(A965,'Solicitações'!B:B,1,0)</f>
        <v>63420</v>
      </c>
      <c r="C965" s="214">
        <f t="shared" si="1"/>
        <v>0</v>
      </c>
      <c r="E965" s="362"/>
      <c r="F965" s="275"/>
    </row>
    <row r="966" hidden="1">
      <c r="A966" s="193">
        <v>63440.0</v>
      </c>
      <c r="B966" s="214">
        <f>VLOOKUP(A966,'Solicitações'!B:B,1,0)</f>
        <v>63440</v>
      </c>
      <c r="C966" s="214">
        <f t="shared" si="1"/>
        <v>0</v>
      </c>
      <c r="E966" s="362"/>
      <c r="F966" s="275"/>
    </row>
    <row r="967" hidden="1">
      <c r="A967" s="193">
        <v>63460.0</v>
      </c>
      <c r="B967" s="214">
        <f>VLOOKUP(A967,'Solicitações'!B:B,1,0)</f>
        <v>63460</v>
      </c>
      <c r="C967" s="214">
        <f t="shared" si="1"/>
        <v>0</v>
      </c>
      <c r="E967" s="362"/>
      <c r="F967" s="275"/>
    </row>
    <row r="968" hidden="1">
      <c r="A968" s="193">
        <v>63480.0</v>
      </c>
      <c r="B968" s="214">
        <f>VLOOKUP(A968,'Solicitações'!B:B,1,0)</f>
        <v>63480</v>
      </c>
      <c r="C968" s="214">
        <f t="shared" si="1"/>
        <v>0</v>
      </c>
      <c r="E968" s="362"/>
      <c r="F968" s="275"/>
    </row>
    <row r="969" hidden="1">
      <c r="A969" s="193">
        <v>63500.0</v>
      </c>
      <c r="B969" s="214">
        <f>VLOOKUP(A969,'Solicitações'!B:B,1,0)</f>
        <v>63500</v>
      </c>
      <c r="C969" s="214">
        <f t="shared" si="1"/>
        <v>0</v>
      </c>
      <c r="E969" s="362"/>
      <c r="F969" s="275"/>
    </row>
    <row r="970" hidden="1">
      <c r="A970" s="193">
        <v>63520.0</v>
      </c>
      <c r="B970" s="214">
        <f>VLOOKUP(A970,'Solicitações'!B:B,1,0)</f>
        <v>63520</v>
      </c>
      <c r="C970" s="214">
        <f t="shared" si="1"/>
        <v>0</v>
      </c>
      <c r="E970" s="362"/>
      <c r="F970" s="275"/>
    </row>
    <row r="971" hidden="1">
      <c r="A971" s="193">
        <v>63920.0</v>
      </c>
      <c r="B971" s="214">
        <f>VLOOKUP(A971,'Solicitações'!B:B,1,0)</f>
        <v>63920</v>
      </c>
      <c r="C971" s="214">
        <f t="shared" si="1"/>
        <v>0</v>
      </c>
      <c r="E971" s="362"/>
      <c r="F971" s="275"/>
    </row>
    <row r="972" hidden="1">
      <c r="A972" s="193">
        <v>63940.0</v>
      </c>
      <c r="B972" s="214">
        <f>VLOOKUP(A972,'Solicitações'!B:B,1,0)</f>
        <v>63940</v>
      </c>
      <c r="C972" s="214">
        <f t="shared" si="1"/>
        <v>0</v>
      </c>
      <c r="E972" s="362"/>
      <c r="F972" s="275"/>
    </row>
    <row r="973" hidden="1">
      <c r="A973" s="193">
        <v>63960.0</v>
      </c>
      <c r="B973" s="214">
        <f>VLOOKUP(A973,'Solicitações'!B:B,1,0)</f>
        <v>63960</v>
      </c>
      <c r="C973" s="214">
        <f t="shared" si="1"/>
        <v>0</v>
      </c>
      <c r="E973" s="362"/>
      <c r="F973" s="275"/>
    </row>
    <row r="974" hidden="1">
      <c r="A974" s="193">
        <v>64260.0</v>
      </c>
      <c r="B974" s="214">
        <f>VLOOKUP(A974,'Solicitações'!B:B,1,0)</f>
        <v>64260</v>
      </c>
      <c r="C974" s="214">
        <f t="shared" ref="C974:C977" si="3">A975-B975</f>
        <v>0</v>
      </c>
      <c r="E974" s="362"/>
      <c r="F974" s="275"/>
    </row>
    <row r="975" hidden="1">
      <c r="A975" s="193">
        <v>64340.0</v>
      </c>
      <c r="B975" s="214">
        <f>VLOOKUP(A975,'Solicitações'!B:B,1,0)</f>
        <v>64340</v>
      </c>
      <c r="C975" s="214">
        <f t="shared" si="3"/>
        <v>0</v>
      </c>
      <c r="E975" s="362"/>
      <c r="F975" s="275"/>
    </row>
    <row r="976" hidden="1">
      <c r="A976" s="193">
        <v>64760.0</v>
      </c>
      <c r="B976" s="214">
        <f>VLOOKUP(A976,'Solicitações'!B:B,1,0)</f>
        <v>64760</v>
      </c>
      <c r="C976" s="214">
        <f t="shared" si="3"/>
        <v>0</v>
      </c>
      <c r="E976" s="362"/>
      <c r="F976" s="275"/>
    </row>
    <row r="977" hidden="1">
      <c r="A977" s="193">
        <v>64780.0</v>
      </c>
      <c r="B977" s="214">
        <f>VLOOKUP(A977,'Solicitações'!B:B,1,0)</f>
        <v>64780</v>
      </c>
      <c r="C977" s="214">
        <f t="shared" si="3"/>
        <v>0</v>
      </c>
      <c r="E977" s="362"/>
      <c r="F977" s="275"/>
    </row>
    <row r="978" hidden="1">
      <c r="A978" s="193">
        <v>64800.0</v>
      </c>
      <c r="B978" s="214">
        <f>VLOOKUP(A978,'Solicitações'!B:B,1,0)</f>
        <v>64800</v>
      </c>
      <c r="C978" s="214">
        <f t="shared" ref="C978:C2034" si="4">A978-B978</f>
        <v>0</v>
      </c>
      <c r="E978" s="362"/>
      <c r="F978" s="275"/>
    </row>
    <row r="979" hidden="1">
      <c r="A979" s="193">
        <v>64840.0</v>
      </c>
      <c r="B979" s="214">
        <f>VLOOKUP(A979,'Solicitações'!B:B,1,0)</f>
        <v>64840</v>
      </c>
      <c r="C979" s="214">
        <f t="shared" si="4"/>
        <v>0</v>
      </c>
      <c r="E979" s="362"/>
      <c r="F979" s="275"/>
    </row>
    <row r="980" hidden="1">
      <c r="A980" s="193">
        <v>64860.0</v>
      </c>
      <c r="B980" s="214">
        <f>VLOOKUP(A980,'Solicitações'!B:B,1,0)</f>
        <v>64860</v>
      </c>
      <c r="C980" s="214">
        <f t="shared" si="4"/>
        <v>0</v>
      </c>
      <c r="E980" s="362"/>
      <c r="F980" s="275"/>
    </row>
    <row r="981" hidden="1">
      <c r="A981" s="193">
        <v>64880.0</v>
      </c>
      <c r="B981" s="214">
        <f>VLOOKUP(A981,'Solicitações'!B:B,1,0)</f>
        <v>64880</v>
      </c>
      <c r="C981" s="214">
        <f t="shared" si="4"/>
        <v>0</v>
      </c>
      <c r="E981" s="362"/>
      <c r="F981" s="275"/>
    </row>
    <row r="982" hidden="1">
      <c r="A982" s="193">
        <v>64900.0</v>
      </c>
      <c r="B982" s="214">
        <f>VLOOKUP(A982,'Solicitações'!B:B,1,0)</f>
        <v>64900</v>
      </c>
      <c r="C982" s="214">
        <f t="shared" si="4"/>
        <v>0</v>
      </c>
      <c r="E982" s="362"/>
      <c r="F982" s="275"/>
    </row>
    <row r="983" hidden="1">
      <c r="A983" s="193">
        <v>64920.0</v>
      </c>
      <c r="B983" s="214">
        <f>VLOOKUP(A983,'Solicitações'!B:B,1,0)</f>
        <v>64920</v>
      </c>
      <c r="C983" s="214">
        <f t="shared" si="4"/>
        <v>0</v>
      </c>
      <c r="E983" s="362"/>
      <c r="F983" s="275"/>
    </row>
    <row r="984" hidden="1">
      <c r="A984" s="193">
        <v>64940.0</v>
      </c>
      <c r="B984" s="214">
        <f>VLOOKUP(A984,'Solicitações'!B:B,1,0)</f>
        <v>64940</v>
      </c>
      <c r="C984" s="214">
        <f t="shared" si="4"/>
        <v>0</v>
      </c>
      <c r="E984" s="362"/>
      <c r="F984" s="275"/>
    </row>
    <row r="985" hidden="1">
      <c r="A985" s="193">
        <v>64960.0</v>
      </c>
      <c r="B985" s="214">
        <f>VLOOKUP(A985,'Solicitações'!B:B,1,0)</f>
        <v>64960</v>
      </c>
      <c r="C985" s="214">
        <f t="shared" si="4"/>
        <v>0</v>
      </c>
      <c r="E985" s="362"/>
      <c r="F985" s="275"/>
    </row>
    <row r="986" hidden="1">
      <c r="A986" s="193">
        <v>64980.0</v>
      </c>
      <c r="B986" s="214">
        <f>VLOOKUP(A986,'Solicitações'!B:B,1,0)</f>
        <v>64980</v>
      </c>
      <c r="C986" s="214">
        <f t="shared" si="4"/>
        <v>0</v>
      </c>
      <c r="E986" s="362"/>
      <c r="F986" s="275"/>
    </row>
    <row r="987" hidden="1">
      <c r="A987" s="193">
        <v>65000.0</v>
      </c>
      <c r="B987" s="214">
        <f>VLOOKUP(A987,'Solicitações'!B:B,1,0)</f>
        <v>65000</v>
      </c>
      <c r="C987" s="214">
        <f t="shared" si="4"/>
        <v>0</v>
      </c>
      <c r="E987" s="362"/>
      <c r="F987" s="275"/>
    </row>
    <row r="988" hidden="1">
      <c r="A988" s="193">
        <v>65020.0</v>
      </c>
      <c r="B988" s="214">
        <f>VLOOKUP(A988,'Solicitações'!B:B,1,0)</f>
        <v>65020</v>
      </c>
      <c r="C988" s="214">
        <f t="shared" si="4"/>
        <v>0</v>
      </c>
      <c r="E988" s="362"/>
      <c r="F988" s="275"/>
    </row>
    <row r="989" hidden="1">
      <c r="A989" s="193">
        <v>65040.0</v>
      </c>
      <c r="B989" s="214">
        <f>VLOOKUP(A989,'Solicitações'!B:B,1,0)</f>
        <v>65040</v>
      </c>
      <c r="C989" s="214">
        <f t="shared" si="4"/>
        <v>0</v>
      </c>
      <c r="E989" s="362"/>
      <c r="F989" s="275"/>
    </row>
    <row r="990" hidden="1">
      <c r="A990" s="193">
        <v>65060.0</v>
      </c>
      <c r="B990" s="214">
        <f>VLOOKUP(A990,'Solicitações'!B:B,1,0)</f>
        <v>65060</v>
      </c>
      <c r="C990" s="214">
        <f t="shared" si="4"/>
        <v>0</v>
      </c>
      <c r="E990" s="362"/>
      <c r="F990" s="275"/>
    </row>
    <row r="991" hidden="1">
      <c r="A991" s="193">
        <v>65080.0</v>
      </c>
      <c r="B991" s="214">
        <f>VLOOKUP(A991,'Solicitações'!B:B,1,0)</f>
        <v>65080</v>
      </c>
      <c r="C991" s="214">
        <f t="shared" si="4"/>
        <v>0</v>
      </c>
      <c r="E991" s="362"/>
      <c r="F991" s="275"/>
    </row>
    <row r="992" hidden="1">
      <c r="A992" s="193">
        <v>66000.0</v>
      </c>
      <c r="B992" s="214">
        <f>VLOOKUP(A992,'Solicitações'!B:B,1,0)</f>
        <v>66000</v>
      </c>
      <c r="C992" s="214">
        <f t="shared" si="4"/>
        <v>0</v>
      </c>
      <c r="E992" s="362"/>
      <c r="F992" s="275"/>
    </row>
    <row r="993" hidden="1">
      <c r="A993" s="193">
        <v>66020.0</v>
      </c>
      <c r="B993" s="214">
        <f>VLOOKUP(A993,'Solicitações'!B:B,1,0)</f>
        <v>66020</v>
      </c>
      <c r="C993" s="214">
        <f t="shared" si="4"/>
        <v>0</v>
      </c>
      <c r="E993" s="362"/>
      <c r="F993" s="275"/>
    </row>
    <row r="994" hidden="1">
      <c r="A994" s="193">
        <v>66040.0</v>
      </c>
      <c r="B994" s="214">
        <f>VLOOKUP(A994,'Solicitações'!B:B,1,0)</f>
        <v>66040</v>
      </c>
      <c r="C994" s="214">
        <f t="shared" si="4"/>
        <v>0</v>
      </c>
      <c r="E994" s="362"/>
      <c r="F994" s="275"/>
    </row>
    <row r="995" hidden="1">
      <c r="A995" s="193">
        <v>66060.0</v>
      </c>
      <c r="B995" s="214">
        <f>VLOOKUP(A995,'Solicitações'!B:B,1,0)</f>
        <v>66060</v>
      </c>
      <c r="C995" s="214">
        <f t="shared" si="4"/>
        <v>0</v>
      </c>
      <c r="E995" s="362"/>
      <c r="F995" s="275"/>
    </row>
    <row r="996" hidden="1">
      <c r="A996" s="193">
        <v>66080.0</v>
      </c>
      <c r="B996" s="214">
        <f>VLOOKUP(A996,'Solicitações'!B:B,1,0)</f>
        <v>66080</v>
      </c>
      <c r="C996" s="214">
        <f t="shared" si="4"/>
        <v>0</v>
      </c>
      <c r="E996" s="362"/>
      <c r="F996" s="275"/>
    </row>
    <row r="997" hidden="1">
      <c r="A997" s="193">
        <v>67000.0</v>
      </c>
      <c r="B997" s="214">
        <f>VLOOKUP(A997,'Solicitações'!B:B,1,0)</f>
        <v>67000</v>
      </c>
      <c r="C997" s="214">
        <f t="shared" si="4"/>
        <v>0</v>
      </c>
      <c r="E997" s="362"/>
      <c r="F997" s="275"/>
    </row>
    <row r="998" hidden="1">
      <c r="A998" s="193">
        <v>67020.0</v>
      </c>
      <c r="B998" s="214">
        <f>VLOOKUP(A998,'Solicitações'!B:B,1,0)</f>
        <v>67020</v>
      </c>
      <c r="C998" s="214">
        <f t="shared" si="4"/>
        <v>0</v>
      </c>
      <c r="E998" s="362"/>
      <c r="F998" s="275"/>
    </row>
    <row r="999" hidden="1">
      <c r="A999" s="193">
        <v>67040.0</v>
      </c>
      <c r="B999" s="214">
        <f>VLOOKUP(A999,'Solicitações'!B:B,1,0)</f>
        <v>67040</v>
      </c>
      <c r="C999" s="214">
        <f t="shared" si="4"/>
        <v>0</v>
      </c>
      <c r="E999" s="362"/>
      <c r="F999" s="275"/>
    </row>
    <row r="1000" hidden="1">
      <c r="A1000" s="193">
        <v>67060.0</v>
      </c>
      <c r="B1000" s="214">
        <f>VLOOKUP(A1000,'Solicitações'!B:B,1,0)</f>
        <v>67060</v>
      </c>
      <c r="C1000" s="214">
        <f t="shared" si="4"/>
        <v>0</v>
      </c>
      <c r="E1000" s="362"/>
      <c r="F1000" s="275"/>
    </row>
    <row r="1001" hidden="1">
      <c r="A1001" s="193">
        <v>67080.0</v>
      </c>
      <c r="B1001" s="214">
        <f>VLOOKUP(A1001,'Solicitações'!B:B,1,0)</f>
        <v>67080</v>
      </c>
      <c r="C1001" s="214">
        <f t="shared" si="4"/>
        <v>0</v>
      </c>
      <c r="E1001" s="362"/>
      <c r="F1001" s="275"/>
    </row>
    <row r="1002" hidden="1">
      <c r="A1002" s="193">
        <v>68000.0</v>
      </c>
      <c r="B1002" s="214">
        <f>VLOOKUP(A1002,'Solicitações'!B:B,1,0)</f>
        <v>68000</v>
      </c>
      <c r="C1002" s="214">
        <f t="shared" si="4"/>
        <v>0</v>
      </c>
      <c r="E1002" s="362"/>
      <c r="F1002" s="275"/>
    </row>
    <row r="1003" hidden="1">
      <c r="A1003" s="193">
        <v>68020.0</v>
      </c>
      <c r="B1003" s="214">
        <f>VLOOKUP(A1003,'Solicitações'!B:B,1,0)</f>
        <v>68020</v>
      </c>
      <c r="C1003" s="214">
        <f t="shared" si="4"/>
        <v>0</v>
      </c>
      <c r="E1003" s="362"/>
      <c r="F1003" s="275"/>
    </row>
    <row r="1004" hidden="1">
      <c r="A1004" s="193">
        <v>68040.0</v>
      </c>
      <c r="B1004" s="214">
        <f>VLOOKUP(A1004,'Solicitações'!B:B,1,0)</f>
        <v>68040</v>
      </c>
      <c r="C1004" s="214">
        <f t="shared" si="4"/>
        <v>0</v>
      </c>
      <c r="E1004" s="362"/>
      <c r="F1004" s="275"/>
    </row>
    <row r="1005" hidden="1">
      <c r="A1005" s="193">
        <v>68060.0</v>
      </c>
      <c r="B1005" s="368">
        <f>VLOOKUP(A1005,'Solicitações'!B:B,1,0)</f>
        <v>68060</v>
      </c>
      <c r="C1005" s="368">
        <f t="shared" si="4"/>
        <v>0</v>
      </c>
      <c r="E1005" s="362"/>
      <c r="F1005" s="275"/>
    </row>
    <row r="1006" hidden="1">
      <c r="A1006" s="193">
        <v>68080.0</v>
      </c>
      <c r="B1006" s="368">
        <f>VLOOKUP(A1006,'Solicitações'!B:B,1,0)</f>
        <v>68080</v>
      </c>
      <c r="C1006" s="368">
        <f t="shared" si="4"/>
        <v>0</v>
      </c>
      <c r="E1006" s="362"/>
      <c r="F1006" s="275"/>
    </row>
    <row r="1007" hidden="1">
      <c r="A1007" s="193">
        <v>68100.0</v>
      </c>
      <c r="B1007" s="368">
        <f>VLOOKUP(A1007,'Solicitações'!B:B,1,0)</f>
        <v>68100</v>
      </c>
      <c r="C1007" s="368">
        <f t="shared" si="4"/>
        <v>0</v>
      </c>
      <c r="E1007" s="362"/>
      <c r="F1007" s="275"/>
    </row>
    <row r="1008" hidden="1">
      <c r="A1008" s="193">
        <v>68120.0</v>
      </c>
      <c r="B1008" s="368">
        <f>VLOOKUP(A1008,'Solicitações'!B:B,1,0)</f>
        <v>68120</v>
      </c>
      <c r="C1008" s="368">
        <f t="shared" si="4"/>
        <v>0</v>
      </c>
      <c r="E1008" s="362"/>
      <c r="F1008" s="275"/>
    </row>
    <row r="1009" hidden="1">
      <c r="A1009" s="193">
        <v>68140.0</v>
      </c>
      <c r="B1009" s="368">
        <f>VLOOKUP(A1009,'Solicitações'!B:B,1,0)</f>
        <v>68140</v>
      </c>
      <c r="C1009" s="368">
        <f t="shared" si="4"/>
        <v>0</v>
      </c>
      <c r="E1009" s="362"/>
      <c r="F1009" s="275"/>
    </row>
    <row r="1010" hidden="1">
      <c r="A1010" s="193">
        <v>68160.0</v>
      </c>
      <c r="B1010" s="368">
        <f>VLOOKUP(A1010,'Solicitações'!B:B,1,0)</f>
        <v>68160</v>
      </c>
      <c r="C1010" s="368">
        <f t="shared" si="4"/>
        <v>0</v>
      </c>
      <c r="E1010" s="362"/>
      <c r="F1010" s="275"/>
    </row>
    <row r="1011" hidden="1">
      <c r="A1011" s="193">
        <v>68180.0</v>
      </c>
      <c r="B1011" s="368">
        <f>VLOOKUP(A1011,'Solicitações'!B:B,1,0)</f>
        <v>68180</v>
      </c>
      <c r="C1011" s="368">
        <f t="shared" si="4"/>
        <v>0</v>
      </c>
      <c r="E1011" s="362"/>
      <c r="F1011" s="275"/>
    </row>
    <row r="1012" hidden="1">
      <c r="A1012" s="193">
        <v>10000.0</v>
      </c>
      <c r="B1012" s="368">
        <f>VLOOKUP(A1012,'Solicitações'!B:B,1,0)</f>
        <v>10000</v>
      </c>
      <c r="C1012" s="368">
        <f t="shared" si="4"/>
        <v>0</v>
      </c>
      <c r="E1012" s="362"/>
      <c r="F1012" s="275"/>
    </row>
    <row r="1013" hidden="1">
      <c r="A1013" s="193">
        <v>10001.0</v>
      </c>
      <c r="B1013" s="368">
        <f>VLOOKUP(A1013,'Solicitações'!B:B,1,0)</f>
        <v>10001</v>
      </c>
      <c r="C1013" s="368">
        <f t="shared" si="4"/>
        <v>0</v>
      </c>
      <c r="E1013" s="362"/>
      <c r="F1013" s="275"/>
    </row>
    <row r="1014" hidden="1">
      <c r="A1014" s="193">
        <v>91840.0</v>
      </c>
      <c r="B1014" s="368">
        <f>VLOOKUP(A1014,'Solicitações'!B:B,1,0)</f>
        <v>91840</v>
      </c>
      <c r="C1014" s="368">
        <f t="shared" si="4"/>
        <v>0</v>
      </c>
      <c r="E1014" s="362"/>
      <c r="F1014" s="275"/>
    </row>
    <row r="1015" hidden="1">
      <c r="A1015" s="193">
        <v>91860.0</v>
      </c>
      <c r="B1015" s="368">
        <f>VLOOKUP(A1015,'Solicitações'!B:B,1,0)</f>
        <v>91860</v>
      </c>
      <c r="C1015" s="368">
        <f t="shared" si="4"/>
        <v>0</v>
      </c>
      <c r="E1015" s="362"/>
      <c r="F1015" s="275"/>
    </row>
    <row r="1016" hidden="1">
      <c r="A1016" s="193">
        <v>10020.0</v>
      </c>
      <c r="B1016" s="368">
        <f>VLOOKUP(A1016,'Solicitações'!B:B,1,0)</f>
        <v>10020</v>
      </c>
      <c r="C1016" s="368">
        <f t="shared" si="4"/>
        <v>0</v>
      </c>
      <c r="E1016" s="362"/>
      <c r="F1016" s="275"/>
    </row>
    <row r="1017" hidden="1">
      <c r="A1017" s="193">
        <v>10040.0</v>
      </c>
      <c r="B1017" s="368">
        <f>VLOOKUP(A1017,'Solicitações'!B:B,1,0)</f>
        <v>10040</v>
      </c>
      <c r="C1017" s="368">
        <f t="shared" si="4"/>
        <v>0</v>
      </c>
      <c r="E1017" s="362"/>
      <c r="F1017" s="275"/>
    </row>
    <row r="1018" hidden="1">
      <c r="A1018" s="193">
        <v>10060.0</v>
      </c>
      <c r="B1018" s="368">
        <f>VLOOKUP(A1018,'Solicitações'!B:B,1,0)</f>
        <v>10060</v>
      </c>
      <c r="C1018" s="368">
        <f t="shared" si="4"/>
        <v>0</v>
      </c>
      <c r="E1018" s="362"/>
      <c r="F1018" s="275"/>
    </row>
    <row r="1019" hidden="1">
      <c r="A1019" s="193">
        <v>10061.0</v>
      </c>
      <c r="B1019" s="368">
        <f>VLOOKUP(A1019,'Solicitações'!B:B,1,0)</f>
        <v>10061</v>
      </c>
      <c r="C1019" s="368">
        <f t="shared" si="4"/>
        <v>0</v>
      </c>
      <c r="E1019" s="362"/>
      <c r="F1019" s="275"/>
    </row>
    <row r="1020" hidden="1">
      <c r="A1020" s="193">
        <v>10062.0</v>
      </c>
      <c r="B1020" s="368">
        <f>VLOOKUP(A1020,'Solicitações'!B:B,1,0)</f>
        <v>10062</v>
      </c>
      <c r="C1020" s="368">
        <f t="shared" si="4"/>
        <v>0</v>
      </c>
      <c r="E1020" s="362"/>
      <c r="F1020" s="275"/>
    </row>
    <row r="1021" hidden="1">
      <c r="A1021" s="193">
        <v>10080.0</v>
      </c>
      <c r="B1021" s="368">
        <f>VLOOKUP(A1021,'Solicitações'!B:B,1,0)</f>
        <v>10080</v>
      </c>
      <c r="C1021" s="368">
        <f t="shared" si="4"/>
        <v>0</v>
      </c>
      <c r="E1021" s="362"/>
      <c r="F1021" s="275"/>
    </row>
    <row r="1022" hidden="1">
      <c r="A1022" s="193">
        <v>10081.0</v>
      </c>
      <c r="B1022" s="368">
        <f>VLOOKUP(A1022,'Solicitações'!B:B,1,0)</f>
        <v>10081</v>
      </c>
      <c r="C1022" s="368">
        <f t="shared" si="4"/>
        <v>0</v>
      </c>
      <c r="E1022" s="362"/>
      <c r="F1022" s="275"/>
    </row>
    <row r="1023" hidden="1">
      <c r="A1023" s="193">
        <v>10100.0</v>
      </c>
      <c r="B1023" s="368">
        <f>VLOOKUP(A1023,'Solicitações'!B:B,1,0)</f>
        <v>10100</v>
      </c>
      <c r="C1023" s="368">
        <f t="shared" si="4"/>
        <v>0</v>
      </c>
      <c r="E1023" s="362"/>
      <c r="F1023" s="275"/>
    </row>
    <row r="1024" hidden="1">
      <c r="A1024" s="193">
        <v>10120.0</v>
      </c>
      <c r="B1024" s="368">
        <f>VLOOKUP(A1024,'Solicitações'!B:B,1,0)</f>
        <v>10120</v>
      </c>
      <c r="C1024" s="368">
        <f t="shared" si="4"/>
        <v>0</v>
      </c>
      <c r="E1024" s="362"/>
      <c r="F1024" s="275"/>
    </row>
    <row r="1025" hidden="1">
      <c r="A1025" s="193">
        <v>10121.0</v>
      </c>
      <c r="B1025" s="368">
        <f>VLOOKUP(A1025,'Solicitações'!B:B,1,0)</f>
        <v>10121</v>
      </c>
      <c r="C1025" s="368">
        <f t="shared" si="4"/>
        <v>0</v>
      </c>
      <c r="E1025" s="362"/>
      <c r="F1025" s="275"/>
    </row>
    <row r="1026" hidden="1">
      <c r="A1026" s="193">
        <v>10122.0</v>
      </c>
      <c r="B1026" s="368">
        <f>VLOOKUP(A1026,'Solicitações'!B:B,1,0)</f>
        <v>10122</v>
      </c>
      <c r="C1026" s="368">
        <f t="shared" si="4"/>
        <v>0</v>
      </c>
      <c r="E1026" s="362"/>
      <c r="F1026" s="275"/>
    </row>
    <row r="1027" hidden="1">
      <c r="A1027" s="193">
        <v>10140.0</v>
      </c>
      <c r="B1027" s="368">
        <f>VLOOKUP(A1027,'Solicitações'!B:B,1,0)</f>
        <v>10140</v>
      </c>
      <c r="C1027" s="368">
        <f t="shared" si="4"/>
        <v>0</v>
      </c>
      <c r="E1027" s="362"/>
      <c r="F1027" s="275"/>
    </row>
    <row r="1028" hidden="1">
      <c r="A1028" s="193">
        <v>10160.0</v>
      </c>
      <c r="B1028" s="368">
        <f>VLOOKUP(A1028,'Solicitações'!B:B,1,0)</f>
        <v>10160</v>
      </c>
      <c r="C1028" s="368">
        <f t="shared" si="4"/>
        <v>0</v>
      </c>
      <c r="E1028" s="362"/>
      <c r="F1028" s="275"/>
    </row>
    <row r="1029" hidden="1">
      <c r="A1029" s="193">
        <v>10180.0</v>
      </c>
      <c r="B1029" s="368">
        <f>VLOOKUP(A1029,'Solicitações'!B:B,1,0)</f>
        <v>10180</v>
      </c>
      <c r="C1029" s="368">
        <f t="shared" si="4"/>
        <v>0</v>
      </c>
      <c r="E1029" s="362"/>
      <c r="F1029" s="275"/>
    </row>
    <row r="1030" hidden="1">
      <c r="A1030" s="193">
        <v>10200.0</v>
      </c>
      <c r="B1030" s="368">
        <f>VLOOKUP(A1030,'Solicitações'!B:B,1,0)</f>
        <v>10200</v>
      </c>
      <c r="C1030" s="368">
        <f t="shared" si="4"/>
        <v>0</v>
      </c>
      <c r="E1030" s="362"/>
      <c r="F1030" s="275"/>
    </row>
    <row r="1031" hidden="1">
      <c r="A1031" s="193">
        <v>10201.0</v>
      </c>
      <c r="B1031" s="368">
        <f>VLOOKUP(A1031,'Solicitações'!B:B,1,0)</f>
        <v>10201</v>
      </c>
      <c r="C1031" s="368">
        <f t="shared" si="4"/>
        <v>0</v>
      </c>
      <c r="E1031" s="362"/>
      <c r="F1031" s="275"/>
    </row>
    <row r="1032" hidden="1">
      <c r="A1032" s="193">
        <v>10220.0</v>
      </c>
      <c r="B1032" s="368">
        <f>VLOOKUP(A1032,'Solicitações'!B:B,1,0)</f>
        <v>10220</v>
      </c>
      <c r="C1032" s="368">
        <f t="shared" si="4"/>
        <v>0</v>
      </c>
      <c r="E1032" s="362"/>
      <c r="F1032" s="275"/>
    </row>
    <row r="1033" hidden="1">
      <c r="A1033" s="193">
        <v>10221.0</v>
      </c>
      <c r="B1033" s="368">
        <f>VLOOKUP(A1033,'Solicitações'!B:B,1,0)</f>
        <v>10221</v>
      </c>
      <c r="C1033" s="368">
        <f t="shared" si="4"/>
        <v>0</v>
      </c>
      <c r="E1033" s="362"/>
      <c r="F1033" s="275"/>
    </row>
    <row r="1034" hidden="1">
      <c r="A1034" s="193">
        <v>10240.0</v>
      </c>
      <c r="B1034" s="368">
        <f>VLOOKUP(A1034,'Solicitações'!B:B,1,0)</f>
        <v>10240</v>
      </c>
      <c r="C1034" s="368">
        <f t="shared" si="4"/>
        <v>0</v>
      </c>
      <c r="E1034" s="362"/>
      <c r="F1034" s="275"/>
    </row>
    <row r="1035" hidden="1">
      <c r="A1035" s="193">
        <v>10241.0</v>
      </c>
      <c r="B1035" s="368">
        <f>VLOOKUP(A1035,'Solicitações'!B:B,1,0)</f>
        <v>10241</v>
      </c>
      <c r="C1035" s="368">
        <f t="shared" si="4"/>
        <v>0</v>
      </c>
      <c r="E1035" s="362"/>
      <c r="F1035" s="275"/>
    </row>
    <row r="1036" hidden="1">
      <c r="A1036" s="193">
        <v>10242.0</v>
      </c>
      <c r="B1036" s="368">
        <f>VLOOKUP(A1036,'Solicitações'!B:B,1,0)</f>
        <v>10242</v>
      </c>
      <c r="C1036" s="368">
        <f t="shared" si="4"/>
        <v>0</v>
      </c>
      <c r="E1036" s="362"/>
      <c r="F1036" s="275"/>
    </row>
    <row r="1037" hidden="1">
      <c r="A1037" s="193">
        <v>10260.0</v>
      </c>
      <c r="B1037" s="368">
        <f>VLOOKUP(A1037,'Solicitações'!B:B,1,0)</f>
        <v>10260</v>
      </c>
      <c r="C1037" s="368">
        <f t="shared" si="4"/>
        <v>0</v>
      </c>
      <c r="E1037" s="362"/>
      <c r="F1037" s="275"/>
    </row>
    <row r="1038" hidden="1">
      <c r="A1038" s="193">
        <v>10261.0</v>
      </c>
      <c r="B1038" s="368">
        <f>VLOOKUP(A1038,'Solicitações'!B:B,1,0)</f>
        <v>10261</v>
      </c>
      <c r="C1038" s="368">
        <f t="shared" si="4"/>
        <v>0</v>
      </c>
      <c r="E1038" s="362"/>
      <c r="F1038" s="275"/>
    </row>
    <row r="1039" hidden="1">
      <c r="A1039" s="193">
        <v>10280.0</v>
      </c>
      <c r="B1039" s="368">
        <f>VLOOKUP(A1039,'Solicitações'!B:B,1,0)</f>
        <v>10280</v>
      </c>
      <c r="C1039" s="368">
        <f t="shared" si="4"/>
        <v>0</v>
      </c>
      <c r="E1039" s="362"/>
      <c r="F1039" s="275"/>
    </row>
    <row r="1040" hidden="1">
      <c r="A1040" s="193">
        <v>10281.0</v>
      </c>
      <c r="B1040" s="368">
        <f>VLOOKUP(A1040,'Solicitações'!B:B,1,0)</f>
        <v>10281</v>
      </c>
      <c r="C1040" s="368">
        <f t="shared" si="4"/>
        <v>0</v>
      </c>
      <c r="E1040" s="362"/>
      <c r="F1040" s="275"/>
    </row>
    <row r="1041" hidden="1">
      <c r="A1041" s="193">
        <v>10300.0</v>
      </c>
      <c r="B1041" s="368">
        <f>VLOOKUP(A1041,'Solicitações'!B:B,1,0)</f>
        <v>10300</v>
      </c>
      <c r="C1041" s="368">
        <f t="shared" si="4"/>
        <v>0</v>
      </c>
      <c r="E1041" s="362"/>
      <c r="F1041" s="275"/>
    </row>
    <row r="1042" hidden="1">
      <c r="A1042" s="193">
        <v>10320.0</v>
      </c>
      <c r="B1042" s="368">
        <f>VLOOKUP(A1042,'Solicitações'!B:B,1,0)</f>
        <v>10320</v>
      </c>
      <c r="C1042" s="368">
        <f t="shared" si="4"/>
        <v>0</v>
      </c>
      <c r="E1042" s="362"/>
      <c r="F1042" s="275"/>
    </row>
    <row r="1043" hidden="1">
      <c r="A1043" s="193">
        <v>10321.0</v>
      </c>
      <c r="B1043" s="368">
        <f>VLOOKUP(A1043,'Solicitações'!B:B,1,0)</f>
        <v>10321</v>
      </c>
      <c r="C1043" s="368">
        <f t="shared" si="4"/>
        <v>0</v>
      </c>
      <c r="E1043" s="362"/>
      <c r="F1043" s="275"/>
    </row>
    <row r="1044" hidden="1">
      <c r="A1044" s="193">
        <v>10322.0</v>
      </c>
      <c r="B1044" s="368">
        <f>VLOOKUP(A1044,'Solicitações'!B:B,1,0)</f>
        <v>10322</v>
      </c>
      <c r="C1044" s="368">
        <f t="shared" si="4"/>
        <v>0</v>
      </c>
      <c r="E1044" s="362"/>
      <c r="F1044" s="275"/>
    </row>
    <row r="1045" hidden="1">
      <c r="A1045" s="193">
        <v>10340.0</v>
      </c>
      <c r="B1045" s="368">
        <f>VLOOKUP(A1045,'Solicitações'!B:B,1,0)</f>
        <v>10340</v>
      </c>
      <c r="C1045" s="368">
        <f t="shared" si="4"/>
        <v>0</v>
      </c>
      <c r="E1045" s="362"/>
      <c r="F1045" s="275"/>
    </row>
    <row r="1046" hidden="1">
      <c r="A1046" s="193">
        <v>10341.0</v>
      </c>
      <c r="B1046" s="368">
        <f>VLOOKUP(A1046,'Solicitações'!B:B,1,0)</f>
        <v>10341</v>
      </c>
      <c r="C1046" s="368">
        <f t="shared" si="4"/>
        <v>0</v>
      </c>
      <c r="E1046" s="362"/>
      <c r="F1046" s="275"/>
    </row>
    <row r="1047" hidden="1">
      <c r="A1047" s="193">
        <v>10360.0</v>
      </c>
      <c r="B1047" s="368">
        <f>VLOOKUP(A1047,'Solicitações'!B:B,1,0)</f>
        <v>10360</v>
      </c>
      <c r="C1047" s="368">
        <f t="shared" si="4"/>
        <v>0</v>
      </c>
      <c r="E1047" s="362"/>
      <c r="F1047" s="275"/>
    </row>
    <row r="1048" hidden="1">
      <c r="A1048" s="193">
        <v>10380.0</v>
      </c>
      <c r="B1048" s="368">
        <f>VLOOKUP(A1048,'Solicitações'!B:B,1,0)</f>
        <v>10380</v>
      </c>
      <c r="C1048" s="368">
        <f t="shared" si="4"/>
        <v>0</v>
      </c>
      <c r="E1048" s="362"/>
      <c r="F1048" s="275"/>
    </row>
    <row r="1049" hidden="1">
      <c r="A1049" s="193">
        <v>10400.0</v>
      </c>
      <c r="B1049" s="368">
        <f>VLOOKUP(A1049,'Solicitações'!B:B,1,0)</f>
        <v>10400</v>
      </c>
      <c r="C1049" s="368">
        <f t="shared" si="4"/>
        <v>0</v>
      </c>
      <c r="E1049" s="362"/>
      <c r="F1049" s="275"/>
    </row>
    <row r="1050" hidden="1">
      <c r="A1050" s="193">
        <v>10420.0</v>
      </c>
      <c r="B1050" s="368">
        <f>VLOOKUP(A1050,'Solicitações'!B:B,1,0)</f>
        <v>10420</v>
      </c>
      <c r="C1050" s="368">
        <f t="shared" si="4"/>
        <v>0</v>
      </c>
      <c r="E1050" s="362"/>
      <c r="F1050" s="275"/>
    </row>
    <row r="1051" hidden="1">
      <c r="A1051" s="193">
        <v>10440.0</v>
      </c>
      <c r="B1051" s="368">
        <f>VLOOKUP(A1051,'Solicitações'!B:B,1,0)</f>
        <v>10440</v>
      </c>
      <c r="C1051" s="368">
        <f t="shared" si="4"/>
        <v>0</v>
      </c>
      <c r="E1051" s="362"/>
      <c r="F1051" s="275"/>
    </row>
    <row r="1052" hidden="1">
      <c r="A1052" s="193">
        <v>10460.0</v>
      </c>
      <c r="B1052" s="368">
        <f>VLOOKUP(A1052,'Solicitações'!B:B,1,0)</f>
        <v>10460</v>
      </c>
      <c r="C1052" s="368">
        <f t="shared" si="4"/>
        <v>0</v>
      </c>
      <c r="E1052" s="362"/>
      <c r="F1052" s="275"/>
    </row>
    <row r="1053" hidden="1">
      <c r="A1053" s="193">
        <v>10480.0</v>
      </c>
      <c r="B1053" s="368">
        <f>VLOOKUP(A1053,'Solicitações'!B:B,1,0)</f>
        <v>10480</v>
      </c>
      <c r="C1053" s="368">
        <f t="shared" si="4"/>
        <v>0</v>
      </c>
      <c r="E1053" s="362"/>
      <c r="F1053" s="275"/>
    </row>
    <row r="1054" hidden="1">
      <c r="A1054" s="193">
        <v>10500.0</v>
      </c>
      <c r="B1054" s="368">
        <f>VLOOKUP(A1054,'Solicitações'!B:B,1,0)</f>
        <v>10500</v>
      </c>
      <c r="C1054" s="368">
        <f t="shared" si="4"/>
        <v>0</v>
      </c>
      <c r="E1054" s="362"/>
      <c r="F1054" s="275"/>
    </row>
    <row r="1055" hidden="1">
      <c r="A1055" s="193">
        <v>10520.0</v>
      </c>
      <c r="B1055" s="368">
        <f>VLOOKUP(A1055,'Solicitações'!B:B,1,0)</f>
        <v>10520</v>
      </c>
      <c r="C1055" s="368">
        <f t="shared" si="4"/>
        <v>0</v>
      </c>
      <c r="E1055" s="362"/>
      <c r="F1055" s="275"/>
    </row>
    <row r="1056" hidden="1">
      <c r="A1056" s="193">
        <v>10540.0</v>
      </c>
      <c r="B1056" s="368">
        <f>VLOOKUP(A1056,'Solicitações'!B:B,1,0)</f>
        <v>10540</v>
      </c>
      <c r="C1056" s="368">
        <f t="shared" si="4"/>
        <v>0</v>
      </c>
      <c r="E1056" s="362"/>
      <c r="F1056" s="275"/>
    </row>
    <row r="1057" hidden="1">
      <c r="A1057" s="193">
        <v>10560.0</v>
      </c>
      <c r="B1057" s="368">
        <f>VLOOKUP(A1057,'Solicitações'!B:B,1,0)</f>
        <v>10560</v>
      </c>
      <c r="C1057" s="368">
        <f t="shared" si="4"/>
        <v>0</v>
      </c>
      <c r="E1057" s="362"/>
      <c r="F1057" s="275"/>
    </row>
    <row r="1058" hidden="1">
      <c r="A1058" s="193">
        <v>10561.0</v>
      </c>
      <c r="B1058" s="368">
        <f>VLOOKUP(A1058,'Solicitações'!B:B,1,0)</f>
        <v>10561</v>
      </c>
      <c r="C1058" s="368">
        <f t="shared" si="4"/>
        <v>0</v>
      </c>
      <c r="E1058" s="362"/>
      <c r="F1058" s="275"/>
    </row>
    <row r="1059" hidden="1">
      <c r="A1059" s="193">
        <v>10580.0</v>
      </c>
      <c r="B1059" s="368">
        <f>VLOOKUP(A1059,'Solicitações'!B:B,1,0)</f>
        <v>10580</v>
      </c>
      <c r="C1059" s="368">
        <f t="shared" si="4"/>
        <v>0</v>
      </c>
      <c r="E1059" s="362"/>
      <c r="F1059" s="275"/>
    </row>
    <row r="1060" hidden="1">
      <c r="A1060" s="193">
        <v>10600.0</v>
      </c>
      <c r="B1060" s="368">
        <f>VLOOKUP(A1060,'Solicitações'!B:B,1,0)</f>
        <v>10600</v>
      </c>
      <c r="C1060" s="368">
        <f t="shared" si="4"/>
        <v>0</v>
      </c>
      <c r="E1060" s="362"/>
      <c r="F1060" s="275"/>
    </row>
    <row r="1061" hidden="1">
      <c r="A1061" s="193">
        <v>10620.0</v>
      </c>
      <c r="B1061" s="368">
        <f>VLOOKUP(A1061,'Solicitações'!B:B,1,0)</f>
        <v>10620</v>
      </c>
      <c r="C1061" s="368">
        <f t="shared" si="4"/>
        <v>0</v>
      </c>
      <c r="E1061" s="362"/>
      <c r="F1061" s="275"/>
    </row>
    <row r="1062" hidden="1">
      <c r="A1062" s="193">
        <v>10621.0</v>
      </c>
      <c r="B1062" s="368">
        <f>VLOOKUP(A1062,'Solicitações'!B:B,1,0)</f>
        <v>10621</v>
      </c>
      <c r="C1062" s="368">
        <f t="shared" si="4"/>
        <v>0</v>
      </c>
      <c r="E1062" s="362"/>
      <c r="F1062" s="275"/>
    </row>
    <row r="1063" hidden="1">
      <c r="A1063" s="193">
        <v>10640.0</v>
      </c>
      <c r="B1063" s="368">
        <f>VLOOKUP(A1063,'Solicitações'!B:B,1,0)</f>
        <v>10640</v>
      </c>
      <c r="C1063" s="368">
        <f t="shared" si="4"/>
        <v>0</v>
      </c>
      <c r="E1063" s="362"/>
      <c r="F1063" s="275"/>
    </row>
    <row r="1064" hidden="1">
      <c r="A1064" s="193">
        <v>10660.0</v>
      </c>
      <c r="B1064" s="368">
        <f>VLOOKUP(A1064,'Solicitações'!B:B,1,0)</f>
        <v>10660</v>
      </c>
      <c r="C1064" s="368">
        <f t="shared" si="4"/>
        <v>0</v>
      </c>
      <c r="E1064" s="362"/>
      <c r="F1064" s="275"/>
    </row>
    <row r="1065" hidden="1">
      <c r="A1065" s="193">
        <v>10680.0</v>
      </c>
      <c r="B1065" s="368">
        <f>VLOOKUP(A1065,'Solicitações'!B:B,1,0)</f>
        <v>10680</v>
      </c>
      <c r="C1065" s="368">
        <f t="shared" si="4"/>
        <v>0</v>
      </c>
      <c r="E1065" s="362"/>
      <c r="F1065" s="275"/>
    </row>
    <row r="1066" hidden="1">
      <c r="A1066" s="193">
        <v>10700.0</v>
      </c>
      <c r="B1066" s="368">
        <f>VLOOKUP(A1066,'Solicitações'!B:B,1,0)</f>
        <v>10700</v>
      </c>
      <c r="C1066" s="368">
        <f t="shared" si="4"/>
        <v>0</v>
      </c>
      <c r="E1066" s="362"/>
      <c r="F1066" s="275"/>
    </row>
    <row r="1067" hidden="1">
      <c r="A1067" s="193">
        <v>10720.0</v>
      </c>
      <c r="B1067" s="368">
        <f>VLOOKUP(A1067,'Solicitações'!B:B,1,0)</f>
        <v>10720</v>
      </c>
      <c r="C1067" s="368">
        <f t="shared" si="4"/>
        <v>0</v>
      </c>
      <c r="E1067" s="362"/>
      <c r="F1067" s="275"/>
    </row>
    <row r="1068" hidden="1">
      <c r="A1068" s="193">
        <v>10740.0</v>
      </c>
      <c r="B1068" s="368">
        <f>VLOOKUP(A1068,'Solicitações'!B:B,1,0)</f>
        <v>10740</v>
      </c>
      <c r="C1068" s="368">
        <f t="shared" si="4"/>
        <v>0</v>
      </c>
      <c r="E1068" s="362"/>
      <c r="F1068" s="275"/>
    </row>
    <row r="1069" hidden="1">
      <c r="A1069" s="193">
        <v>10741.0</v>
      </c>
      <c r="B1069" s="368">
        <f>VLOOKUP(A1069,'Solicitações'!B:B,1,0)</f>
        <v>10741</v>
      </c>
      <c r="C1069" s="368">
        <f t="shared" si="4"/>
        <v>0</v>
      </c>
      <c r="E1069" s="362"/>
      <c r="F1069" s="275"/>
    </row>
    <row r="1070" hidden="1">
      <c r="A1070" s="193">
        <v>10760.0</v>
      </c>
      <c r="B1070" s="368">
        <f>VLOOKUP(A1070,'Solicitações'!B:B,1,0)</f>
        <v>10760</v>
      </c>
      <c r="C1070" s="368">
        <f t="shared" si="4"/>
        <v>0</v>
      </c>
      <c r="E1070" s="362"/>
      <c r="F1070" s="275"/>
    </row>
    <row r="1071" hidden="1">
      <c r="A1071" s="193">
        <v>10780.0</v>
      </c>
      <c r="B1071" s="368">
        <f>VLOOKUP(A1071,'Solicitações'!B:B,1,0)</f>
        <v>10780</v>
      </c>
      <c r="C1071" s="368">
        <f t="shared" si="4"/>
        <v>0</v>
      </c>
      <c r="E1071" s="362"/>
      <c r="F1071" s="275"/>
    </row>
    <row r="1072" hidden="1">
      <c r="A1072" s="193">
        <v>10800.0</v>
      </c>
      <c r="B1072" s="368">
        <f>VLOOKUP(A1072,'Solicitações'!B:B,1,0)</f>
        <v>10800</v>
      </c>
      <c r="C1072" s="368">
        <f t="shared" si="4"/>
        <v>0</v>
      </c>
      <c r="E1072" s="362"/>
      <c r="F1072" s="275"/>
    </row>
    <row r="1073" hidden="1">
      <c r="A1073" s="193">
        <v>10820.0</v>
      </c>
      <c r="B1073" s="368">
        <f>VLOOKUP(A1073,'Solicitações'!B:B,1,0)</f>
        <v>10820</v>
      </c>
      <c r="C1073" s="368">
        <f t="shared" si="4"/>
        <v>0</v>
      </c>
      <c r="E1073" s="362"/>
      <c r="F1073" s="275"/>
    </row>
    <row r="1074" hidden="1">
      <c r="A1074" s="193">
        <v>10840.0</v>
      </c>
      <c r="B1074" s="368">
        <f>VLOOKUP(A1074,'Solicitações'!B:B,1,0)</f>
        <v>10840</v>
      </c>
      <c r="C1074" s="368">
        <f t="shared" si="4"/>
        <v>0</v>
      </c>
      <c r="E1074" s="362"/>
      <c r="F1074" s="275"/>
    </row>
    <row r="1075" hidden="1">
      <c r="A1075" s="193">
        <v>10841.0</v>
      </c>
      <c r="B1075" s="368">
        <f>VLOOKUP(A1075,'Solicitações'!B:B,1,0)</f>
        <v>10841</v>
      </c>
      <c r="C1075" s="368">
        <f t="shared" si="4"/>
        <v>0</v>
      </c>
      <c r="E1075" s="362"/>
      <c r="F1075" s="275"/>
    </row>
    <row r="1076" hidden="1">
      <c r="A1076" s="193">
        <v>10860.0</v>
      </c>
      <c r="B1076" s="368">
        <f>VLOOKUP(A1076,'Solicitações'!B:B,1,0)</f>
        <v>10860</v>
      </c>
      <c r="C1076" s="368">
        <f t="shared" si="4"/>
        <v>0</v>
      </c>
      <c r="E1076" s="362"/>
      <c r="F1076" s="275"/>
    </row>
    <row r="1077" hidden="1">
      <c r="A1077" s="193">
        <v>10880.0</v>
      </c>
      <c r="B1077" s="368">
        <f>VLOOKUP(A1077,'Solicitações'!B:B,1,0)</f>
        <v>10880</v>
      </c>
      <c r="C1077" s="368">
        <f t="shared" si="4"/>
        <v>0</v>
      </c>
      <c r="E1077" s="362"/>
      <c r="F1077" s="275"/>
    </row>
    <row r="1078" hidden="1">
      <c r="A1078" s="193">
        <v>10881.0</v>
      </c>
      <c r="B1078" s="368">
        <f>VLOOKUP(A1078,'Solicitações'!B:B,1,0)</f>
        <v>10881</v>
      </c>
      <c r="C1078" s="368">
        <f t="shared" si="4"/>
        <v>0</v>
      </c>
      <c r="E1078" s="362"/>
      <c r="F1078" s="275"/>
    </row>
    <row r="1079" hidden="1">
      <c r="A1079" s="193">
        <v>10900.0</v>
      </c>
      <c r="B1079" s="368">
        <f>VLOOKUP(A1079,'Solicitações'!B:B,1,0)</f>
        <v>10900</v>
      </c>
      <c r="C1079" s="368">
        <f t="shared" si="4"/>
        <v>0</v>
      </c>
      <c r="E1079" s="362"/>
      <c r="F1079" s="275"/>
    </row>
    <row r="1080" hidden="1">
      <c r="A1080" s="193">
        <v>10920.0</v>
      </c>
      <c r="B1080" s="368">
        <f>VLOOKUP(A1080,'Solicitações'!B:B,1,0)</f>
        <v>10920</v>
      </c>
      <c r="C1080" s="368">
        <f t="shared" si="4"/>
        <v>0</v>
      </c>
      <c r="E1080" s="362"/>
      <c r="F1080" s="275"/>
    </row>
    <row r="1081" hidden="1">
      <c r="A1081" s="193">
        <v>10940.0</v>
      </c>
      <c r="B1081" s="368">
        <f>VLOOKUP(A1081,'Solicitações'!B:B,1,0)</f>
        <v>10940</v>
      </c>
      <c r="C1081" s="368">
        <f t="shared" si="4"/>
        <v>0</v>
      </c>
      <c r="E1081" s="362"/>
      <c r="F1081" s="275"/>
    </row>
    <row r="1082" hidden="1">
      <c r="A1082" s="193">
        <v>10941.0</v>
      </c>
      <c r="B1082" s="368">
        <f>VLOOKUP(A1082,'Solicitações'!B:B,1,0)</f>
        <v>10941</v>
      </c>
      <c r="C1082" s="368">
        <f t="shared" si="4"/>
        <v>0</v>
      </c>
      <c r="E1082" s="362"/>
      <c r="F1082" s="275"/>
    </row>
    <row r="1083" hidden="1">
      <c r="A1083" s="193">
        <v>10960.0</v>
      </c>
      <c r="B1083" s="368">
        <f>VLOOKUP(A1083,'Solicitações'!B:B,1,0)</f>
        <v>10960</v>
      </c>
      <c r="C1083" s="368">
        <f t="shared" si="4"/>
        <v>0</v>
      </c>
      <c r="E1083" s="362"/>
      <c r="F1083" s="275"/>
    </row>
    <row r="1084" hidden="1">
      <c r="A1084" s="193">
        <v>10980.0</v>
      </c>
      <c r="B1084" s="368">
        <f>VLOOKUP(A1084,'Solicitações'!B:B,1,0)</f>
        <v>10980</v>
      </c>
      <c r="C1084" s="368">
        <f t="shared" si="4"/>
        <v>0</v>
      </c>
      <c r="E1084" s="362"/>
      <c r="F1084" s="275"/>
    </row>
    <row r="1085" hidden="1">
      <c r="A1085" s="193">
        <v>11000.0</v>
      </c>
      <c r="B1085" s="368">
        <f>VLOOKUP(A1085,'Solicitações'!B:B,1,0)</f>
        <v>11000</v>
      </c>
      <c r="C1085" s="368">
        <f t="shared" si="4"/>
        <v>0</v>
      </c>
      <c r="E1085" s="362"/>
      <c r="F1085" s="275"/>
    </row>
    <row r="1086" hidden="1">
      <c r="A1086" s="193">
        <v>11020.0</v>
      </c>
      <c r="B1086" s="368">
        <f>VLOOKUP(A1086,'Solicitações'!B:B,1,0)</f>
        <v>11020</v>
      </c>
      <c r="C1086" s="368">
        <f t="shared" si="4"/>
        <v>0</v>
      </c>
      <c r="E1086" s="362"/>
      <c r="F1086" s="275"/>
    </row>
    <row r="1087" hidden="1">
      <c r="A1087" s="193">
        <v>11040.0</v>
      </c>
      <c r="B1087" s="368">
        <f>VLOOKUP(A1087,'Solicitações'!B:B,1,0)</f>
        <v>11040</v>
      </c>
      <c r="C1087" s="368">
        <f t="shared" si="4"/>
        <v>0</v>
      </c>
      <c r="E1087" s="362"/>
      <c r="F1087" s="275"/>
    </row>
    <row r="1088" hidden="1">
      <c r="A1088" s="193">
        <v>11060.0</v>
      </c>
      <c r="B1088" s="368">
        <f>VLOOKUP(A1088,'Solicitações'!B:B,1,0)</f>
        <v>11060</v>
      </c>
      <c r="C1088" s="368">
        <f t="shared" si="4"/>
        <v>0</v>
      </c>
      <c r="E1088" s="362"/>
      <c r="F1088" s="275"/>
    </row>
    <row r="1089" hidden="1">
      <c r="A1089" s="193">
        <v>11061.0</v>
      </c>
      <c r="B1089" s="368">
        <f>VLOOKUP(A1089,'Solicitações'!B:B,1,0)</f>
        <v>11061</v>
      </c>
      <c r="C1089" s="368">
        <f t="shared" si="4"/>
        <v>0</v>
      </c>
      <c r="E1089" s="362"/>
      <c r="F1089" s="275"/>
    </row>
    <row r="1090" hidden="1">
      <c r="A1090" s="193">
        <v>11062.0</v>
      </c>
      <c r="B1090" s="368">
        <f>VLOOKUP(A1090,'Solicitações'!B:B,1,0)</f>
        <v>11062</v>
      </c>
      <c r="C1090" s="368">
        <f t="shared" si="4"/>
        <v>0</v>
      </c>
      <c r="E1090" s="362"/>
      <c r="F1090" s="275"/>
    </row>
    <row r="1091" hidden="1">
      <c r="A1091" s="193">
        <v>11063.0</v>
      </c>
      <c r="B1091" s="368">
        <f>VLOOKUP(A1091,'Solicitações'!B:B,1,0)</f>
        <v>11063</v>
      </c>
      <c r="C1091" s="368">
        <f t="shared" si="4"/>
        <v>0</v>
      </c>
      <c r="E1091" s="362"/>
      <c r="F1091" s="275"/>
    </row>
    <row r="1092" hidden="1">
      <c r="A1092" s="193">
        <v>11080.0</v>
      </c>
      <c r="B1092" s="368">
        <f>VLOOKUP(A1092,'Solicitações'!B:B,1,0)</f>
        <v>11080</v>
      </c>
      <c r="C1092" s="368">
        <f t="shared" si="4"/>
        <v>0</v>
      </c>
      <c r="E1092" s="362"/>
      <c r="F1092" s="275"/>
    </row>
    <row r="1093" hidden="1">
      <c r="A1093" s="193">
        <v>11100.0</v>
      </c>
      <c r="B1093" s="368">
        <f>VLOOKUP(A1093,'Solicitações'!B:B,1,0)</f>
        <v>11100</v>
      </c>
      <c r="C1093" s="368">
        <f t="shared" si="4"/>
        <v>0</v>
      </c>
      <c r="E1093" s="362"/>
      <c r="F1093" s="275"/>
    </row>
    <row r="1094" hidden="1">
      <c r="A1094" s="193">
        <v>11120.0</v>
      </c>
      <c r="B1094" s="368">
        <f>VLOOKUP(A1094,'Solicitações'!B:B,1,0)</f>
        <v>11120</v>
      </c>
      <c r="C1094" s="368">
        <f t="shared" si="4"/>
        <v>0</v>
      </c>
      <c r="E1094" s="362"/>
      <c r="F1094" s="275"/>
    </row>
    <row r="1095" hidden="1">
      <c r="A1095" s="193">
        <v>11121.0</v>
      </c>
      <c r="B1095" s="368">
        <f>VLOOKUP(A1095,'Solicitações'!B:B,1,0)</f>
        <v>11121</v>
      </c>
      <c r="C1095" s="368">
        <f t="shared" si="4"/>
        <v>0</v>
      </c>
      <c r="E1095" s="362"/>
      <c r="F1095" s="275"/>
    </row>
    <row r="1096" hidden="1">
      <c r="A1096" s="193">
        <v>11140.0</v>
      </c>
      <c r="B1096" s="368">
        <f>VLOOKUP(A1096,'Solicitações'!B:B,1,0)</f>
        <v>11140</v>
      </c>
      <c r="C1096" s="368">
        <f t="shared" si="4"/>
        <v>0</v>
      </c>
      <c r="E1096" s="362"/>
      <c r="F1096" s="275"/>
    </row>
    <row r="1097" hidden="1">
      <c r="A1097" s="193">
        <v>11141.0</v>
      </c>
      <c r="B1097" s="368">
        <f>VLOOKUP(A1097,'Solicitações'!B:B,1,0)</f>
        <v>11141</v>
      </c>
      <c r="C1097" s="368">
        <f t="shared" si="4"/>
        <v>0</v>
      </c>
      <c r="E1097" s="362"/>
      <c r="F1097" s="275"/>
    </row>
    <row r="1098" hidden="1">
      <c r="A1098" s="193">
        <v>11160.0</v>
      </c>
      <c r="B1098" s="368">
        <f>VLOOKUP(A1098,'Solicitações'!B:B,1,0)</f>
        <v>11160</v>
      </c>
      <c r="C1098" s="368">
        <f t="shared" si="4"/>
        <v>0</v>
      </c>
      <c r="E1098" s="362"/>
      <c r="F1098" s="275"/>
    </row>
    <row r="1099" hidden="1">
      <c r="A1099" s="193">
        <v>11180.0</v>
      </c>
      <c r="B1099" s="368">
        <f>VLOOKUP(A1099,'Solicitações'!B:B,1,0)</f>
        <v>11180</v>
      </c>
      <c r="C1099" s="368">
        <f t="shared" si="4"/>
        <v>0</v>
      </c>
      <c r="E1099" s="362"/>
      <c r="F1099" s="275"/>
    </row>
    <row r="1100" hidden="1">
      <c r="A1100" s="193">
        <v>11200.0</v>
      </c>
      <c r="B1100" s="368">
        <f>VLOOKUP(A1100,'Solicitações'!B:B,1,0)</f>
        <v>11200</v>
      </c>
      <c r="C1100" s="368">
        <f t="shared" si="4"/>
        <v>0</v>
      </c>
      <c r="E1100" s="362"/>
      <c r="F1100" s="275"/>
    </row>
    <row r="1101" hidden="1">
      <c r="A1101" s="193">
        <v>11220.0</v>
      </c>
      <c r="B1101" s="368">
        <f>VLOOKUP(A1101,'Solicitações'!B:B,1,0)</f>
        <v>11220</v>
      </c>
      <c r="C1101" s="368">
        <f t="shared" si="4"/>
        <v>0</v>
      </c>
      <c r="E1101" s="362"/>
      <c r="F1101" s="275"/>
    </row>
    <row r="1102" hidden="1">
      <c r="A1102" s="193">
        <v>11221.0</v>
      </c>
      <c r="B1102" s="368">
        <f>VLOOKUP(A1102,'Solicitações'!B:B,1,0)</f>
        <v>11221</v>
      </c>
      <c r="C1102" s="368">
        <f t="shared" si="4"/>
        <v>0</v>
      </c>
      <c r="E1102" s="362"/>
      <c r="F1102" s="275"/>
    </row>
    <row r="1103" hidden="1">
      <c r="A1103" s="193">
        <v>11240.0</v>
      </c>
      <c r="B1103" s="368">
        <f>VLOOKUP(A1103,'Solicitações'!B:B,1,0)</f>
        <v>11240</v>
      </c>
      <c r="C1103" s="368">
        <f t="shared" si="4"/>
        <v>0</v>
      </c>
      <c r="E1103" s="362"/>
      <c r="F1103" s="275"/>
    </row>
    <row r="1104" hidden="1">
      <c r="A1104" s="193">
        <v>11260.0</v>
      </c>
      <c r="B1104" s="368">
        <f>VLOOKUP(A1104,'Solicitações'!B:B,1,0)</f>
        <v>11260</v>
      </c>
      <c r="C1104" s="368">
        <f t="shared" si="4"/>
        <v>0</v>
      </c>
      <c r="E1104" s="362"/>
      <c r="F1104" s="275"/>
    </row>
    <row r="1105" hidden="1">
      <c r="A1105" s="193">
        <v>11280.0</v>
      </c>
      <c r="B1105" s="368">
        <f>VLOOKUP(A1105,'Solicitações'!B:B,1,0)</f>
        <v>11280</v>
      </c>
      <c r="C1105" s="368">
        <f t="shared" si="4"/>
        <v>0</v>
      </c>
      <c r="E1105" s="362"/>
      <c r="F1105" s="275"/>
    </row>
    <row r="1106" hidden="1">
      <c r="A1106" s="193">
        <v>11300.0</v>
      </c>
      <c r="B1106" s="368">
        <f>VLOOKUP(A1106,'Solicitações'!B:B,1,0)</f>
        <v>11300</v>
      </c>
      <c r="C1106" s="368">
        <f t="shared" si="4"/>
        <v>0</v>
      </c>
      <c r="E1106" s="362"/>
      <c r="F1106" s="275"/>
    </row>
    <row r="1107" hidden="1">
      <c r="A1107" s="193">
        <v>11320.0</v>
      </c>
      <c r="B1107" s="368">
        <f>VLOOKUP(A1107,'Solicitações'!B:B,1,0)</f>
        <v>11320</v>
      </c>
      <c r="C1107" s="368">
        <f t="shared" si="4"/>
        <v>0</v>
      </c>
      <c r="E1107" s="362"/>
      <c r="F1107" s="275"/>
    </row>
    <row r="1108" hidden="1">
      <c r="A1108" s="193">
        <v>11321.0</v>
      </c>
      <c r="B1108" s="368">
        <f>VLOOKUP(A1108,'Solicitações'!B:B,1,0)</f>
        <v>11321</v>
      </c>
      <c r="C1108" s="368">
        <f t="shared" si="4"/>
        <v>0</v>
      </c>
      <c r="E1108" s="362"/>
      <c r="F1108" s="275"/>
    </row>
    <row r="1109" hidden="1">
      <c r="A1109" s="193">
        <v>11322.0</v>
      </c>
      <c r="B1109" s="368">
        <f>VLOOKUP(A1109,'Solicitações'!B:B,1,0)</f>
        <v>11322</v>
      </c>
      <c r="C1109" s="368">
        <f t="shared" si="4"/>
        <v>0</v>
      </c>
      <c r="E1109" s="362"/>
      <c r="F1109" s="275"/>
    </row>
    <row r="1110" hidden="1">
      <c r="A1110" s="193">
        <v>11323.0</v>
      </c>
      <c r="B1110" s="368">
        <f>VLOOKUP(A1110,'Solicitações'!B:B,1,0)</f>
        <v>11323</v>
      </c>
      <c r="C1110" s="368">
        <f t="shared" si="4"/>
        <v>0</v>
      </c>
      <c r="E1110" s="362"/>
      <c r="F1110" s="275"/>
    </row>
    <row r="1111" hidden="1">
      <c r="A1111" s="193">
        <v>11324.0</v>
      </c>
      <c r="B1111" s="368">
        <f>VLOOKUP(A1111,'Solicitações'!B:B,1,0)</f>
        <v>11324</v>
      </c>
      <c r="C1111" s="368">
        <f t="shared" si="4"/>
        <v>0</v>
      </c>
      <c r="E1111" s="362"/>
      <c r="F1111" s="275"/>
    </row>
    <row r="1112" hidden="1">
      <c r="A1112" s="193">
        <v>11325.0</v>
      </c>
      <c r="B1112" s="368">
        <f>VLOOKUP(A1112,'Solicitações'!B:B,1,0)</f>
        <v>11325</v>
      </c>
      <c r="C1112" s="368">
        <f t="shared" si="4"/>
        <v>0</v>
      </c>
      <c r="E1112" s="362"/>
      <c r="F1112" s="275"/>
    </row>
    <row r="1113" hidden="1">
      <c r="A1113" s="193">
        <v>11326.0</v>
      </c>
      <c r="B1113" s="368">
        <f>VLOOKUP(A1113,'Solicitações'!B:B,1,0)</f>
        <v>11326</v>
      </c>
      <c r="C1113" s="368">
        <f t="shared" si="4"/>
        <v>0</v>
      </c>
      <c r="E1113" s="362"/>
      <c r="F1113" s="275"/>
    </row>
    <row r="1114" hidden="1">
      <c r="A1114" s="193">
        <v>11327.0</v>
      </c>
      <c r="B1114" s="368">
        <f>VLOOKUP(A1114,'Solicitações'!B:B,1,0)</f>
        <v>11327</v>
      </c>
      <c r="C1114" s="368">
        <f t="shared" si="4"/>
        <v>0</v>
      </c>
      <c r="E1114" s="362"/>
      <c r="F1114" s="275"/>
    </row>
    <row r="1115" hidden="1">
      <c r="A1115" s="193">
        <v>11328.0</v>
      </c>
      <c r="B1115" s="368">
        <f>VLOOKUP(A1115,'Solicitações'!B:B,1,0)</f>
        <v>11328</v>
      </c>
      <c r="C1115" s="368">
        <f t="shared" si="4"/>
        <v>0</v>
      </c>
      <c r="E1115" s="362"/>
      <c r="F1115" s="275"/>
    </row>
    <row r="1116" hidden="1">
      <c r="A1116" s="193">
        <v>11340.0</v>
      </c>
      <c r="B1116" s="368">
        <f>VLOOKUP(A1116,'Solicitações'!B:B,1,0)</f>
        <v>11340</v>
      </c>
      <c r="C1116" s="368">
        <f t="shared" si="4"/>
        <v>0</v>
      </c>
      <c r="E1116" s="362"/>
      <c r="F1116" s="275"/>
    </row>
    <row r="1117" hidden="1">
      <c r="A1117" s="193">
        <v>11360.0</v>
      </c>
      <c r="B1117" s="368">
        <f>VLOOKUP(A1117,'Solicitações'!B:B,1,0)</f>
        <v>11360</v>
      </c>
      <c r="C1117" s="368">
        <f t="shared" si="4"/>
        <v>0</v>
      </c>
      <c r="E1117" s="362"/>
      <c r="F1117" s="275"/>
    </row>
    <row r="1118" hidden="1">
      <c r="A1118" s="193">
        <v>11380.0</v>
      </c>
      <c r="B1118" s="368">
        <f>VLOOKUP(A1118,'Solicitações'!B:B,1,0)</f>
        <v>11380</v>
      </c>
      <c r="C1118" s="368">
        <f t="shared" si="4"/>
        <v>0</v>
      </c>
      <c r="E1118" s="362"/>
      <c r="F1118" s="275"/>
    </row>
    <row r="1119" hidden="1">
      <c r="A1119" s="193">
        <v>11381.0</v>
      </c>
      <c r="B1119" s="368">
        <f>VLOOKUP(A1119,'Solicitações'!B:B,1,0)</f>
        <v>11381</v>
      </c>
      <c r="C1119" s="368">
        <f t="shared" si="4"/>
        <v>0</v>
      </c>
      <c r="E1119" s="362"/>
      <c r="F1119" s="275"/>
    </row>
    <row r="1120" hidden="1">
      <c r="A1120" s="193">
        <v>11382.0</v>
      </c>
      <c r="B1120" s="368">
        <f>VLOOKUP(A1120,'Solicitações'!B:B,1,0)</f>
        <v>11382</v>
      </c>
      <c r="C1120" s="368">
        <f t="shared" si="4"/>
        <v>0</v>
      </c>
      <c r="E1120" s="362"/>
      <c r="F1120" s="275"/>
    </row>
    <row r="1121" hidden="1">
      <c r="A1121" s="193">
        <v>11400.0</v>
      </c>
      <c r="B1121" s="368">
        <f>VLOOKUP(A1121,'Solicitações'!B:B,1,0)</f>
        <v>11400</v>
      </c>
      <c r="C1121" s="368">
        <f t="shared" si="4"/>
        <v>0</v>
      </c>
      <c r="E1121" s="362"/>
      <c r="F1121" s="275"/>
    </row>
    <row r="1122" hidden="1">
      <c r="A1122" s="193">
        <v>11420.0</v>
      </c>
      <c r="B1122" s="368">
        <f>VLOOKUP(A1122,'Solicitações'!B:B,1,0)</f>
        <v>11420</v>
      </c>
      <c r="C1122" s="368">
        <f t="shared" si="4"/>
        <v>0</v>
      </c>
      <c r="E1122" s="362"/>
      <c r="F1122" s="275"/>
    </row>
    <row r="1123" hidden="1">
      <c r="A1123" s="193">
        <v>11440.0</v>
      </c>
      <c r="B1123" s="368">
        <f>VLOOKUP(A1123,'Solicitações'!B:B,1,0)</f>
        <v>11440</v>
      </c>
      <c r="C1123" s="368">
        <f t="shared" si="4"/>
        <v>0</v>
      </c>
      <c r="E1123" s="362"/>
      <c r="F1123" s="275"/>
    </row>
    <row r="1124" hidden="1">
      <c r="A1124" s="193">
        <v>11441.0</v>
      </c>
      <c r="B1124" s="368">
        <f>VLOOKUP(A1124,'Solicitações'!B:B,1,0)</f>
        <v>11441</v>
      </c>
      <c r="C1124" s="368">
        <f t="shared" si="4"/>
        <v>0</v>
      </c>
      <c r="E1124" s="362"/>
      <c r="F1124" s="275"/>
    </row>
    <row r="1125" hidden="1">
      <c r="A1125" s="193">
        <v>11460.0</v>
      </c>
      <c r="B1125" s="368">
        <f>VLOOKUP(A1125,'Solicitações'!B:B,1,0)</f>
        <v>11460</v>
      </c>
      <c r="C1125" s="368">
        <f t="shared" si="4"/>
        <v>0</v>
      </c>
      <c r="E1125" s="362"/>
      <c r="F1125" s="275"/>
    </row>
    <row r="1126" hidden="1">
      <c r="A1126" s="193">
        <v>11461.0</v>
      </c>
      <c r="B1126" s="368">
        <f>VLOOKUP(A1126,'Solicitações'!B:B,1,0)</f>
        <v>11461</v>
      </c>
      <c r="C1126" s="368">
        <f t="shared" si="4"/>
        <v>0</v>
      </c>
      <c r="E1126" s="362"/>
      <c r="F1126" s="275"/>
    </row>
    <row r="1127" hidden="1">
      <c r="A1127" s="193">
        <v>11480.0</v>
      </c>
      <c r="B1127" s="368">
        <f>VLOOKUP(A1127,'Solicitações'!B:B,1,0)</f>
        <v>11480</v>
      </c>
      <c r="C1127" s="368">
        <f t="shared" si="4"/>
        <v>0</v>
      </c>
      <c r="E1127" s="362"/>
      <c r="F1127" s="275"/>
    </row>
    <row r="1128" hidden="1">
      <c r="A1128" s="193">
        <v>11500.0</v>
      </c>
      <c r="B1128" s="368">
        <f>VLOOKUP(A1128,'Solicitações'!B:B,1,0)</f>
        <v>11500</v>
      </c>
      <c r="C1128" s="368">
        <f t="shared" si="4"/>
        <v>0</v>
      </c>
      <c r="E1128" s="362"/>
      <c r="F1128" s="275"/>
    </row>
    <row r="1129" hidden="1">
      <c r="A1129" s="193">
        <v>11520.0</v>
      </c>
      <c r="B1129" s="368">
        <f>VLOOKUP(A1129,'Solicitações'!B:B,1,0)</f>
        <v>11520</v>
      </c>
      <c r="C1129" s="368">
        <f t="shared" si="4"/>
        <v>0</v>
      </c>
      <c r="E1129" s="362"/>
      <c r="F1129" s="275"/>
    </row>
    <row r="1130" hidden="1">
      <c r="A1130" s="193">
        <v>11540.0</v>
      </c>
      <c r="B1130" s="368">
        <f>VLOOKUP(A1130,'Solicitações'!B:B,1,0)</f>
        <v>11540</v>
      </c>
      <c r="C1130" s="368">
        <f t="shared" si="4"/>
        <v>0</v>
      </c>
      <c r="E1130" s="362"/>
      <c r="F1130" s="275"/>
    </row>
    <row r="1131" hidden="1">
      <c r="A1131" s="193">
        <v>11560.0</v>
      </c>
      <c r="B1131" s="368">
        <f>VLOOKUP(A1131,'Solicitações'!B:B,1,0)</f>
        <v>11560</v>
      </c>
      <c r="C1131" s="368">
        <f t="shared" si="4"/>
        <v>0</v>
      </c>
      <c r="E1131" s="362"/>
      <c r="F1131" s="275"/>
    </row>
    <row r="1132" hidden="1">
      <c r="A1132" s="193">
        <v>11580.0</v>
      </c>
      <c r="B1132" s="368">
        <f>VLOOKUP(A1132,'Solicitações'!B:B,1,0)</f>
        <v>11580</v>
      </c>
      <c r="C1132" s="368">
        <f t="shared" si="4"/>
        <v>0</v>
      </c>
      <c r="E1132" s="362"/>
      <c r="F1132" s="275"/>
    </row>
    <row r="1133" hidden="1">
      <c r="A1133" s="193">
        <v>11600.0</v>
      </c>
      <c r="B1133" s="368">
        <f>VLOOKUP(A1133,'Solicitações'!B:B,1,0)</f>
        <v>11600</v>
      </c>
      <c r="C1133" s="368">
        <f t="shared" si="4"/>
        <v>0</v>
      </c>
      <c r="E1133" s="362"/>
      <c r="F1133" s="275"/>
    </row>
    <row r="1134" hidden="1">
      <c r="A1134" s="193">
        <v>11620.0</v>
      </c>
      <c r="B1134" s="368">
        <f>VLOOKUP(A1134,'Solicitações'!B:B,1,0)</f>
        <v>11620</v>
      </c>
      <c r="C1134" s="368">
        <f t="shared" si="4"/>
        <v>0</v>
      </c>
      <c r="E1134" s="362"/>
      <c r="F1134" s="275"/>
    </row>
    <row r="1135" hidden="1">
      <c r="A1135" s="193">
        <v>11640.0</v>
      </c>
      <c r="B1135" s="368">
        <f>VLOOKUP(A1135,'Solicitações'!B:B,1,0)</f>
        <v>11640</v>
      </c>
      <c r="C1135" s="368">
        <f t="shared" si="4"/>
        <v>0</v>
      </c>
      <c r="E1135" s="362"/>
      <c r="F1135" s="275"/>
    </row>
    <row r="1136" hidden="1">
      <c r="A1136" s="193">
        <v>11660.0</v>
      </c>
      <c r="B1136" s="368">
        <f>VLOOKUP(A1136,'Solicitações'!B:B,1,0)</f>
        <v>11660</v>
      </c>
      <c r="C1136" s="368">
        <f t="shared" si="4"/>
        <v>0</v>
      </c>
      <c r="E1136" s="362"/>
      <c r="F1136" s="275"/>
    </row>
    <row r="1137" hidden="1">
      <c r="A1137" s="193">
        <v>11680.0</v>
      </c>
      <c r="B1137" s="368">
        <f>VLOOKUP(A1137,'Solicitações'!B:B,1,0)</f>
        <v>11680</v>
      </c>
      <c r="C1137" s="368">
        <f t="shared" si="4"/>
        <v>0</v>
      </c>
      <c r="E1137" s="362"/>
      <c r="F1137" s="275"/>
    </row>
    <row r="1138" hidden="1">
      <c r="A1138" s="193">
        <v>11700.0</v>
      </c>
      <c r="B1138" s="368">
        <f>VLOOKUP(A1138,'Solicitações'!B:B,1,0)</f>
        <v>11700</v>
      </c>
      <c r="C1138" s="368">
        <f t="shared" si="4"/>
        <v>0</v>
      </c>
      <c r="E1138" s="362"/>
      <c r="F1138" s="275"/>
    </row>
    <row r="1139" hidden="1">
      <c r="A1139" s="193">
        <v>11720.0</v>
      </c>
      <c r="B1139" s="368">
        <f>VLOOKUP(A1139,'Solicitações'!B:B,1,0)</f>
        <v>11720</v>
      </c>
      <c r="C1139" s="368">
        <f t="shared" si="4"/>
        <v>0</v>
      </c>
      <c r="E1139" s="362"/>
      <c r="F1139" s="275"/>
    </row>
    <row r="1140" hidden="1">
      <c r="A1140" s="193">
        <v>11740.0</v>
      </c>
      <c r="B1140" s="368">
        <f>VLOOKUP(A1140,'Solicitações'!B:B,1,0)</f>
        <v>11740</v>
      </c>
      <c r="C1140" s="368">
        <f t="shared" si="4"/>
        <v>0</v>
      </c>
      <c r="E1140" s="362"/>
      <c r="F1140" s="275"/>
    </row>
    <row r="1141" hidden="1">
      <c r="A1141" s="193">
        <v>11760.0</v>
      </c>
      <c r="B1141" s="368">
        <f>VLOOKUP(A1141,'Solicitações'!B:B,1,0)</f>
        <v>11760</v>
      </c>
      <c r="C1141" s="368">
        <f t="shared" si="4"/>
        <v>0</v>
      </c>
      <c r="E1141" s="362"/>
      <c r="F1141" s="275"/>
    </row>
    <row r="1142" hidden="1">
      <c r="A1142" s="193">
        <v>11780.0</v>
      </c>
      <c r="B1142" s="368">
        <f>VLOOKUP(A1142,'Solicitações'!B:B,1,0)</f>
        <v>11780</v>
      </c>
      <c r="C1142" s="368">
        <f t="shared" si="4"/>
        <v>0</v>
      </c>
      <c r="E1142" s="362"/>
      <c r="F1142" s="275"/>
    </row>
    <row r="1143" hidden="1">
      <c r="A1143" s="193">
        <v>11800.0</v>
      </c>
      <c r="B1143" s="368">
        <f>VLOOKUP(A1143,'Solicitações'!B:B,1,0)</f>
        <v>11800</v>
      </c>
      <c r="C1143" s="368">
        <f t="shared" si="4"/>
        <v>0</v>
      </c>
      <c r="E1143" s="362"/>
      <c r="F1143" s="275"/>
    </row>
    <row r="1144" hidden="1">
      <c r="A1144" s="193">
        <v>11820.0</v>
      </c>
      <c r="B1144" s="368">
        <f>VLOOKUP(A1144,'Solicitações'!B:B,1,0)</f>
        <v>11820</v>
      </c>
      <c r="C1144" s="368">
        <f t="shared" si="4"/>
        <v>0</v>
      </c>
      <c r="E1144" s="362"/>
      <c r="F1144" s="275"/>
    </row>
    <row r="1145" hidden="1">
      <c r="A1145" s="193">
        <v>11840.0</v>
      </c>
      <c r="B1145" s="368">
        <f>VLOOKUP(A1145,'Solicitações'!B:B,1,0)</f>
        <v>11840</v>
      </c>
      <c r="C1145" s="368">
        <f t="shared" si="4"/>
        <v>0</v>
      </c>
      <c r="E1145" s="362"/>
      <c r="F1145" s="275"/>
    </row>
    <row r="1146" hidden="1">
      <c r="A1146" s="193">
        <v>11860.0</v>
      </c>
      <c r="B1146" s="368">
        <f>VLOOKUP(A1146,'Solicitações'!B:B,1,0)</f>
        <v>11860</v>
      </c>
      <c r="C1146" s="368">
        <f t="shared" si="4"/>
        <v>0</v>
      </c>
      <c r="E1146" s="362"/>
      <c r="F1146" s="275"/>
    </row>
    <row r="1147" hidden="1">
      <c r="A1147" s="193">
        <v>11880.0</v>
      </c>
      <c r="B1147" s="368">
        <f>VLOOKUP(A1147,'Solicitações'!B:B,1,0)</f>
        <v>11880</v>
      </c>
      <c r="C1147" s="368">
        <f t="shared" si="4"/>
        <v>0</v>
      </c>
      <c r="E1147" s="362"/>
      <c r="F1147" s="275"/>
    </row>
    <row r="1148" hidden="1">
      <c r="A1148" s="193">
        <v>11900.0</v>
      </c>
      <c r="B1148" s="368">
        <f>VLOOKUP(A1148,'Solicitações'!B:B,1,0)</f>
        <v>11900</v>
      </c>
      <c r="C1148" s="368">
        <f t="shared" si="4"/>
        <v>0</v>
      </c>
      <c r="E1148" s="362"/>
      <c r="F1148" s="275"/>
    </row>
    <row r="1149" hidden="1">
      <c r="A1149" s="193">
        <v>11920.0</v>
      </c>
      <c r="B1149" s="368">
        <f>VLOOKUP(A1149,'Solicitações'!B:B,1,0)</f>
        <v>11920</v>
      </c>
      <c r="C1149" s="368">
        <f t="shared" si="4"/>
        <v>0</v>
      </c>
      <c r="E1149" s="362"/>
      <c r="F1149" s="275"/>
    </row>
    <row r="1150" hidden="1">
      <c r="A1150" s="193">
        <v>11921.0</v>
      </c>
      <c r="B1150" s="368">
        <f>VLOOKUP(A1150,'Solicitações'!B:B,1,0)</f>
        <v>11921</v>
      </c>
      <c r="C1150" s="368">
        <f t="shared" si="4"/>
        <v>0</v>
      </c>
      <c r="E1150" s="362"/>
      <c r="F1150" s="275"/>
    </row>
    <row r="1151" hidden="1">
      <c r="A1151" s="193">
        <v>11922.0</v>
      </c>
      <c r="B1151" s="368">
        <f>VLOOKUP(A1151,'Solicitações'!B:B,1,0)</f>
        <v>11922</v>
      </c>
      <c r="C1151" s="368">
        <f t="shared" si="4"/>
        <v>0</v>
      </c>
      <c r="E1151" s="362"/>
      <c r="F1151" s="275"/>
    </row>
    <row r="1152" hidden="1">
      <c r="A1152" s="193">
        <v>11940.0</v>
      </c>
      <c r="B1152" s="368">
        <f>VLOOKUP(A1152,'Solicitações'!B:B,1,0)</f>
        <v>11940</v>
      </c>
      <c r="C1152" s="368">
        <f t="shared" si="4"/>
        <v>0</v>
      </c>
      <c r="E1152" s="362"/>
      <c r="F1152" s="275"/>
    </row>
    <row r="1153" hidden="1">
      <c r="A1153" s="193">
        <v>11960.0</v>
      </c>
      <c r="B1153" s="368">
        <f>VLOOKUP(A1153,'Solicitações'!B:B,1,0)</f>
        <v>11960</v>
      </c>
      <c r="C1153" s="368">
        <f t="shared" si="4"/>
        <v>0</v>
      </c>
      <c r="E1153" s="362"/>
      <c r="F1153" s="275"/>
    </row>
    <row r="1154" hidden="1">
      <c r="A1154" s="193">
        <v>11980.0</v>
      </c>
      <c r="B1154" s="368">
        <f>VLOOKUP(A1154,'Solicitações'!B:B,1,0)</f>
        <v>11980</v>
      </c>
      <c r="C1154" s="368">
        <f t="shared" si="4"/>
        <v>0</v>
      </c>
      <c r="E1154" s="362"/>
      <c r="F1154" s="275"/>
    </row>
    <row r="1155" hidden="1">
      <c r="A1155" s="193">
        <v>12000.0</v>
      </c>
      <c r="B1155" s="368">
        <f>VLOOKUP(A1155,'Solicitações'!B:B,1,0)</f>
        <v>12000</v>
      </c>
      <c r="C1155" s="368">
        <f t="shared" si="4"/>
        <v>0</v>
      </c>
      <c r="E1155" s="362"/>
      <c r="F1155" s="275"/>
    </row>
    <row r="1156" hidden="1">
      <c r="A1156" s="193">
        <v>12001.0</v>
      </c>
      <c r="B1156" s="368">
        <f>VLOOKUP(A1156,'Solicitações'!B:B,1,0)</f>
        <v>12001</v>
      </c>
      <c r="C1156" s="368">
        <f t="shared" si="4"/>
        <v>0</v>
      </c>
      <c r="E1156" s="362"/>
      <c r="F1156" s="275"/>
    </row>
    <row r="1157" hidden="1">
      <c r="A1157" s="193">
        <v>12020.0</v>
      </c>
      <c r="B1157" s="368">
        <f>VLOOKUP(A1157,'Solicitações'!B:B,1,0)</f>
        <v>12020</v>
      </c>
      <c r="C1157" s="368">
        <f t="shared" si="4"/>
        <v>0</v>
      </c>
      <c r="E1157" s="362"/>
      <c r="F1157" s="275"/>
    </row>
    <row r="1158" hidden="1">
      <c r="A1158" s="193">
        <v>12040.0</v>
      </c>
      <c r="B1158" s="368">
        <f>VLOOKUP(A1158,'Solicitações'!B:B,1,0)</f>
        <v>12040</v>
      </c>
      <c r="C1158" s="368">
        <f t="shared" si="4"/>
        <v>0</v>
      </c>
      <c r="E1158" s="362"/>
      <c r="F1158" s="275"/>
    </row>
    <row r="1159" hidden="1">
      <c r="A1159" s="193">
        <v>12060.0</v>
      </c>
      <c r="B1159" s="368">
        <f>VLOOKUP(A1159,'Solicitações'!B:B,1,0)</f>
        <v>12060</v>
      </c>
      <c r="C1159" s="368">
        <f t="shared" si="4"/>
        <v>0</v>
      </c>
      <c r="E1159" s="362"/>
      <c r="F1159" s="275"/>
    </row>
    <row r="1160" hidden="1">
      <c r="A1160" s="193">
        <v>12080.0</v>
      </c>
      <c r="B1160" s="368">
        <f>VLOOKUP(A1160,'Solicitações'!B:B,1,0)</f>
        <v>12080</v>
      </c>
      <c r="C1160" s="368">
        <f t="shared" si="4"/>
        <v>0</v>
      </c>
      <c r="E1160" s="362"/>
      <c r="F1160" s="275"/>
    </row>
    <row r="1161" hidden="1">
      <c r="A1161" s="193">
        <v>12100.0</v>
      </c>
      <c r="B1161" s="368">
        <f>VLOOKUP(A1161,'Solicitações'!B:B,1,0)</f>
        <v>12100</v>
      </c>
      <c r="C1161" s="368">
        <f t="shared" si="4"/>
        <v>0</v>
      </c>
      <c r="E1161" s="362"/>
      <c r="F1161" s="275"/>
    </row>
    <row r="1162" hidden="1">
      <c r="A1162" s="193">
        <v>12120.0</v>
      </c>
      <c r="B1162" s="368">
        <f>VLOOKUP(A1162,'Solicitações'!B:B,1,0)</f>
        <v>12120</v>
      </c>
      <c r="C1162" s="368">
        <f t="shared" si="4"/>
        <v>0</v>
      </c>
      <c r="E1162" s="362"/>
      <c r="F1162" s="275"/>
    </row>
    <row r="1163" hidden="1">
      <c r="A1163" s="193">
        <v>12140.0</v>
      </c>
      <c r="B1163" s="368">
        <f>VLOOKUP(A1163,'Solicitações'!B:B,1,0)</f>
        <v>12140</v>
      </c>
      <c r="C1163" s="368">
        <f t="shared" si="4"/>
        <v>0</v>
      </c>
      <c r="E1163" s="362"/>
      <c r="F1163" s="275"/>
    </row>
    <row r="1164" hidden="1">
      <c r="A1164" s="193">
        <v>12160.0</v>
      </c>
      <c r="B1164" s="368">
        <f>VLOOKUP(A1164,'Solicitações'!B:B,1,0)</f>
        <v>12160</v>
      </c>
      <c r="C1164" s="368">
        <f t="shared" si="4"/>
        <v>0</v>
      </c>
      <c r="E1164" s="362"/>
      <c r="F1164" s="275"/>
    </row>
    <row r="1165" hidden="1">
      <c r="A1165" s="193">
        <v>12180.0</v>
      </c>
      <c r="B1165" s="368">
        <f>VLOOKUP(A1165,'Solicitações'!B:B,1,0)</f>
        <v>12180</v>
      </c>
      <c r="C1165" s="368">
        <f t="shared" si="4"/>
        <v>0</v>
      </c>
      <c r="E1165" s="362"/>
      <c r="F1165" s="275"/>
    </row>
    <row r="1166" hidden="1">
      <c r="A1166" s="193">
        <v>12200.0</v>
      </c>
      <c r="B1166" s="368">
        <f>VLOOKUP(A1166,'Solicitações'!B:B,1,0)</f>
        <v>12200</v>
      </c>
      <c r="C1166" s="368">
        <f t="shared" si="4"/>
        <v>0</v>
      </c>
      <c r="E1166" s="362"/>
      <c r="F1166" s="275"/>
    </row>
    <row r="1167" hidden="1">
      <c r="A1167" s="193">
        <v>12220.0</v>
      </c>
      <c r="B1167" s="368">
        <f>VLOOKUP(A1167,'Solicitações'!B:B,1,0)</f>
        <v>12220</v>
      </c>
      <c r="C1167" s="368">
        <f t="shared" si="4"/>
        <v>0</v>
      </c>
      <c r="E1167" s="362"/>
      <c r="F1167" s="275"/>
    </row>
    <row r="1168" hidden="1">
      <c r="A1168" s="193">
        <v>12240.0</v>
      </c>
      <c r="B1168" s="368">
        <f>VLOOKUP(A1168,'Solicitações'!B:B,1,0)</f>
        <v>12240</v>
      </c>
      <c r="C1168" s="368">
        <f t="shared" si="4"/>
        <v>0</v>
      </c>
      <c r="E1168" s="362"/>
      <c r="F1168" s="275"/>
    </row>
    <row r="1169" hidden="1">
      <c r="A1169" s="193">
        <v>12260.0</v>
      </c>
      <c r="B1169" s="368">
        <f>VLOOKUP(A1169,'Solicitações'!B:B,1,0)</f>
        <v>12260</v>
      </c>
      <c r="C1169" s="368">
        <f t="shared" si="4"/>
        <v>0</v>
      </c>
      <c r="E1169" s="362"/>
      <c r="F1169" s="275"/>
    </row>
    <row r="1170" hidden="1">
      <c r="A1170" s="193">
        <v>12280.0</v>
      </c>
      <c r="B1170" s="368">
        <f>VLOOKUP(A1170,'Solicitações'!B:B,1,0)</f>
        <v>12280</v>
      </c>
      <c r="C1170" s="368">
        <f t="shared" si="4"/>
        <v>0</v>
      </c>
      <c r="E1170" s="362"/>
      <c r="F1170" s="275"/>
    </row>
    <row r="1171" hidden="1">
      <c r="A1171" s="193">
        <v>12300.0</v>
      </c>
      <c r="B1171" s="368">
        <f>VLOOKUP(A1171,'Solicitações'!B:B,1,0)</f>
        <v>12300</v>
      </c>
      <c r="C1171" s="368">
        <f t="shared" si="4"/>
        <v>0</v>
      </c>
      <c r="E1171" s="362"/>
      <c r="F1171" s="275"/>
    </row>
    <row r="1172" hidden="1">
      <c r="A1172" s="193">
        <v>12320.0</v>
      </c>
      <c r="B1172" s="368">
        <f>VLOOKUP(A1172,'Solicitações'!B:B,1,0)</f>
        <v>12320</v>
      </c>
      <c r="C1172" s="368">
        <f t="shared" si="4"/>
        <v>0</v>
      </c>
      <c r="E1172" s="362"/>
      <c r="F1172" s="275"/>
    </row>
    <row r="1173" hidden="1">
      <c r="A1173" s="193">
        <v>12340.0</v>
      </c>
      <c r="B1173" s="368">
        <f>VLOOKUP(A1173,'Solicitações'!B:B,1,0)</f>
        <v>12340</v>
      </c>
      <c r="C1173" s="368">
        <f t="shared" si="4"/>
        <v>0</v>
      </c>
      <c r="E1173" s="362"/>
      <c r="F1173" s="275"/>
    </row>
    <row r="1174" hidden="1">
      <c r="A1174" s="193">
        <v>12360.0</v>
      </c>
      <c r="B1174" s="368">
        <f>VLOOKUP(A1174,'Solicitações'!B:B,1,0)</f>
        <v>12360</v>
      </c>
      <c r="C1174" s="368">
        <f t="shared" si="4"/>
        <v>0</v>
      </c>
      <c r="E1174" s="362"/>
      <c r="F1174" s="275"/>
    </row>
    <row r="1175" hidden="1">
      <c r="A1175" s="193">
        <v>12380.0</v>
      </c>
      <c r="B1175" s="368">
        <f>VLOOKUP(A1175,'Solicitações'!B:B,1,0)</f>
        <v>12380</v>
      </c>
      <c r="C1175" s="368">
        <f t="shared" si="4"/>
        <v>0</v>
      </c>
      <c r="E1175" s="362"/>
      <c r="F1175" s="275"/>
    </row>
    <row r="1176" hidden="1">
      <c r="A1176" s="193">
        <v>12400.0</v>
      </c>
      <c r="B1176" s="368">
        <f>VLOOKUP(A1176,'Solicitações'!B:B,1,0)</f>
        <v>12400</v>
      </c>
      <c r="C1176" s="368">
        <f t="shared" si="4"/>
        <v>0</v>
      </c>
      <c r="E1176" s="362"/>
      <c r="F1176" s="275"/>
    </row>
    <row r="1177" hidden="1">
      <c r="A1177" s="193">
        <v>12420.0</v>
      </c>
      <c r="B1177" s="368">
        <f>VLOOKUP(A1177,'Solicitações'!B:B,1,0)</f>
        <v>12420</v>
      </c>
      <c r="C1177" s="368">
        <f t="shared" si="4"/>
        <v>0</v>
      </c>
      <c r="E1177" s="362"/>
      <c r="F1177" s="275"/>
    </row>
    <row r="1178" hidden="1">
      <c r="A1178" s="193">
        <v>12440.0</v>
      </c>
      <c r="B1178" s="368">
        <f>VLOOKUP(A1178,'Solicitações'!B:B,1,0)</f>
        <v>12440</v>
      </c>
      <c r="C1178" s="368">
        <f t="shared" si="4"/>
        <v>0</v>
      </c>
      <c r="E1178" s="362"/>
      <c r="F1178" s="275"/>
    </row>
    <row r="1179" hidden="1">
      <c r="A1179" s="193">
        <v>12460.0</v>
      </c>
      <c r="B1179" s="368">
        <f>VLOOKUP(A1179,'Solicitações'!B:B,1,0)</f>
        <v>12460</v>
      </c>
      <c r="C1179" s="368">
        <f t="shared" si="4"/>
        <v>0</v>
      </c>
      <c r="E1179" s="362"/>
      <c r="F1179" s="275"/>
    </row>
    <row r="1180" hidden="1">
      <c r="A1180" s="193">
        <v>12480.0</v>
      </c>
      <c r="B1180" s="368">
        <f>VLOOKUP(A1180,'Solicitações'!B:B,1,0)</f>
        <v>12480</v>
      </c>
      <c r="C1180" s="368">
        <f t="shared" si="4"/>
        <v>0</v>
      </c>
      <c r="E1180" s="362"/>
      <c r="F1180" s="275"/>
    </row>
    <row r="1181" hidden="1">
      <c r="A1181" s="193">
        <v>12500.0</v>
      </c>
      <c r="B1181" s="368">
        <f>VLOOKUP(A1181,'Solicitações'!B:B,1,0)</f>
        <v>12500</v>
      </c>
      <c r="C1181" s="368">
        <f t="shared" si="4"/>
        <v>0</v>
      </c>
      <c r="E1181" s="362"/>
      <c r="F1181" s="275"/>
    </row>
    <row r="1182" hidden="1">
      <c r="A1182" s="193">
        <v>12520.0</v>
      </c>
      <c r="B1182" s="368">
        <f>VLOOKUP(A1182,'Solicitações'!B:B,1,0)</f>
        <v>12520</v>
      </c>
      <c r="C1182" s="368">
        <f t="shared" si="4"/>
        <v>0</v>
      </c>
      <c r="E1182" s="362"/>
      <c r="F1182" s="275"/>
    </row>
    <row r="1183" hidden="1">
      <c r="A1183" s="193">
        <v>12540.0</v>
      </c>
      <c r="B1183" s="368">
        <f>VLOOKUP(A1183,'Solicitações'!B:B,1,0)</f>
        <v>12540</v>
      </c>
      <c r="C1183" s="368">
        <f t="shared" si="4"/>
        <v>0</v>
      </c>
      <c r="E1183" s="362"/>
      <c r="F1183" s="275"/>
    </row>
    <row r="1184" hidden="1">
      <c r="A1184" s="193">
        <v>12560.0</v>
      </c>
      <c r="B1184" s="368">
        <f>VLOOKUP(A1184,'Solicitações'!B:B,1,0)</f>
        <v>12560</v>
      </c>
      <c r="C1184" s="368">
        <f t="shared" si="4"/>
        <v>0</v>
      </c>
      <c r="E1184" s="362"/>
      <c r="F1184" s="275"/>
    </row>
    <row r="1185" hidden="1">
      <c r="A1185" s="193">
        <v>12561.0</v>
      </c>
      <c r="B1185" s="368">
        <f>VLOOKUP(A1185,'Solicitações'!B:B,1,0)</f>
        <v>12561</v>
      </c>
      <c r="C1185" s="368">
        <f t="shared" si="4"/>
        <v>0</v>
      </c>
      <c r="E1185" s="362"/>
      <c r="F1185" s="275"/>
    </row>
    <row r="1186" hidden="1">
      <c r="A1186" s="193">
        <v>12562.0</v>
      </c>
      <c r="B1186" s="368">
        <f>VLOOKUP(A1186,'Solicitações'!B:B,1,0)</f>
        <v>12562</v>
      </c>
      <c r="C1186" s="368">
        <f t="shared" si="4"/>
        <v>0</v>
      </c>
      <c r="E1186" s="362"/>
      <c r="F1186" s="275"/>
    </row>
    <row r="1187" hidden="1">
      <c r="A1187" s="193">
        <v>12580.0</v>
      </c>
      <c r="B1187" s="368">
        <f>VLOOKUP(A1187,'Solicitações'!B:B,1,0)</f>
        <v>12580</v>
      </c>
      <c r="C1187" s="368">
        <f t="shared" si="4"/>
        <v>0</v>
      </c>
      <c r="E1187" s="362"/>
      <c r="F1187" s="275"/>
    </row>
    <row r="1188" hidden="1">
      <c r="A1188" s="193">
        <v>12600.0</v>
      </c>
      <c r="B1188" s="368">
        <f>VLOOKUP(A1188,'Solicitações'!B:B,1,0)</f>
        <v>12600</v>
      </c>
      <c r="C1188" s="368">
        <f t="shared" si="4"/>
        <v>0</v>
      </c>
      <c r="E1188" s="362"/>
      <c r="F1188" s="275"/>
    </row>
    <row r="1189" hidden="1">
      <c r="A1189" s="193">
        <v>12620.0</v>
      </c>
      <c r="B1189" s="368">
        <f>VLOOKUP(A1189,'Solicitações'!B:B,1,0)</f>
        <v>12620</v>
      </c>
      <c r="C1189" s="368">
        <f t="shared" si="4"/>
        <v>0</v>
      </c>
      <c r="E1189" s="362"/>
      <c r="F1189" s="275"/>
    </row>
    <row r="1190" hidden="1">
      <c r="A1190" s="193">
        <v>12640.0</v>
      </c>
      <c r="B1190" s="368">
        <f>VLOOKUP(A1190,'Solicitações'!B:B,1,0)</f>
        <v>12640</v>
      </c>
      <c r="C1190" s="368">
        <f t="shared" si="4"/>
        <v>0</v>
      </c>
      <c r="E1190" s="362"/>
      <c r="F1190" s="275"/>
    </row>
    <row r="1191" hidden="1">
      <c r="A1191" s="193">
        <v>12660.0</v>
      </c>
      <c r="B1191" s="368">
        <f>VLOOKUP(A1191,'Solicitações'!B:B,1,0)</f>
        <v>12660</v>
      </c>
      <c r="C1191" s="368">
        <f t="shared" si="4"/>
        <v>0</v>
      </c>
      <c r="E1191" s="362"/>
      <c r="F1191" s="275"/>
    </row>
    <row r="1192" hidden="1">
      <c r="A1192" s="193">
        <v>12680.0</v>
      </c>
      <c r="B1192" s="368">
        <f>VLOOKUP(A1192,'Solicitações'!B:B,1,0)</f>
        <v>12680</v>
      </c>
      <c r="C1192" s="368">
        <f t="shared" si="4"/>
        <v>0</v>
      </c>
      <c r="E1192" s="362"/>
      <c r="F1192" s="275"/>
    </row>
    <row r="1193" hidden="1">
      <c r="A1193" s="193">
        <v>12700.0</v>
      </c>
      <c r="B1193" s="368">
        <f>VLOOKUP(A1193,'Solicitações'!B:B,1,0)</f>
        <v>12700</v>
      </c>
      <c r="C1193" s="368">
        <f t="shared" si="4"/>
        <v>0</v>
      </c>
      <c r="E1193" s="362"/>
      <c r="F1193" s="275"/>
    </row>
    <row r="1194" hidden="1">
      <c r="A1194" s="193">
        <v>12720.0</v>
      </c>
      <c r="B1194" s="368">
        <f>VLOOKUP(A1194,'Solicitações'!B:B,1,0)</f>
        <v>12720</v>
      </c>
      <c r="C1194" s="368">
        <f t="shared" si="4"/>
        <v>0</v>
      </c>
      <c r="E1194" s="362"/>
      <c r="F1194" s="275"/>
    </row>
    <row r="1195" hidden="1">
      <c r="A1195" s="193">
        <v>12740.0</v>
      </c>
      <c r="B1195" s="368">
        <f>VLOOKUP(A1195,'Solicitações'!B:B,1,0)</f>
        <v>12740</v>
      </c>
      <c r="C1195" s="368">
        <f t="shared" si="4"/>
        <v>0</v>
      </c>
      <c r="E1195" s="362"/>
      <c r="F1195" s="275"/>
    </row>
    <row r="1196" hidden="1">
      <c r="A1196" s="193">
        <v>12760.0</v>
      </c>
      <c r="B1196" s="368">
        <f>VLOOKUP(A1196,'Solicitações'!B:B,1,0)</f>
        <v>12760</v>
      </c>
      <c r="C1196" s="368">
        <f t="shared" si="4"/>
        <v>0</v>
      </c>
      <c r="E1196" s="362"/>
      <c r="F1196" s="275"/>
    </row>
    <row r="1197" hidden="1">
      <c r="A1197" s="193">
        <v>12780.0</v>
      </c>
      <c r="B1197" s="368">
        <f>VLOOKUP(A1197,'Solicitações'!B:B,1,0)</f>
        <v>12780</v>
      </c>
      <c r="C1197" s="368">
        <f t="shared" si="4"/>
        <v>0</v>
      </c>
      <c r="E1197" s="362"/>
      <c r="F1197" s="275"/>
    </row>
    <row r="1198" hidden="1">
      <c r="A1198" s="193">
        <v>12800.0</v>
      </c>
      <c r="B1198" s="368">
        <f>VLOOKUP(A1198,'Solicitações'!B:B,1,0)</f>
        <v>12800</v>
      </c>
      <c r="C1198" s="368">
        <f t="shared" si="4"/>
        <v>0</v>
      </c>
      <c r="E1198" s="362"/>
      <c r="F1198" s="275"/>
    </row>
    <row r="1199" hidden="1">
      <c r="A1199" s="193">
        <v>12820.0</v>
      </c>
      <c r="B1199" s="368">
        <f>VLOOKUP(A1199,'Solicitações'!B:B,1,0)</f>
        <v>12820</v>
      </c>
      <c r="C1199" s="368">
        <f t="shared" si="4"/>
        <v>0</v>
      </c>
      <c r="E1199" s="362"/>
      <c r="F1199" s="275"/>
    </row>
    <row r="1200" hidden="1">
      <c r="A1200" s="193">
        <v>12840.0</v>
      </c>
      <c r="B1200" s="368">
        <f>VLOOKUP(A1200,'Solicitações'!B:B,1,0)</f>
        <v>12840</v>
      </c>
      <c r="C1200" s="368">
        <f t="shared" si="4"/>
        <v>0</v>
      </c>
      <c r="E1200" s="362"/>
      <c r="F1200" s="275"/>
    </row>
    <row r="1201" hidden="1">
      <c r="A1201" s="193">
        <v>12860.0</v>
      </c>
      <c r="B1201" s="368">
        <f>VLOOKUP(A1201,'Solicitações'!B:B,1,0)</f>
        <v>12860</v>
      </c>
      <c r="C1201" s="368">
        <f t="shared" si="4"/>
        <v>0</v>
      </c>
      <c r="E1201" s="362"/>
      <c r="F1201" s="275"/>
    </row>
    <row r="1202" hidden="1">
      <c r="A1202" s="193">
        <v>12880.0</v>
      </c>
      <c r="B1202" s="368">
        <f>VLOOKUP(A1202,'Solicitações'!B:B,1,0)</f>
        <v>12880</v>
      </c>
      <c r="C1202" s="368">
        <f t="shared" si="4"/>
        <v>0</v>
      </c>
      <c r="E1202" s="362"/>
      <c r="F1202" s="275"/>
    </row>
    <row r="1203" hidden="1">
      <c r="A1203" s="193">
        <v>12900.0</v>
      </c>
      <c r="B1203" s="368">
        <f>VLOOKUP(A1203,'Solicitações'!B:B,1,0)</f>
        <v>12900</v>
      </c>
      <c r="C1203" s="368">
        <f t="shared" si="4"/>
        <v>0</v>
      </c>
      <c r="E1203" s="362"/>
      <c r="F1203" s="275"/>
    </row>
    <row r="1204" hidden="1">
      <c r="A1204" s="193">
        <v>12920.0</v>
      </c>
      <c r="B1204" s="368">
        <f>VLOOKUP(A1204,'Solicitações'!B:B,1,0)</f>
        <v>12920</v>
      </c>
      <c r="C1204" s="368">
        <f t="shared" si="4"/>
        <v>0</v>
      </c>
      <c r="E1204" s="362"/>
      <c r="F1204" s="275"/>
    </row>
    <row r="1205" hidden="1">
      <c r="A1205" s="193">
        <v>12921.0</v>
      </c>
      <c r="B1205" s="368">
        <f>VLOOKUP(A1205,'Solicitações'!B:B,1,0)</f>
        <v>12921</v>
      </c>
      <c r="C1205" s="368">
        <f t="shared" si="4"/>
        <v>0</v>
      </c>
      <c r="E1205" s="362"/>
      <c r="F1205" s="275"/>
    </row>
    <row r="1206" hidden="1">
      <c r="A1206" s="193">
        <v>12940.0</v>
      </c>
      <c r="B1206" s="368">
        <f>VLOOKUP(A1206,'Solicitações'!B:B,1,0)</f>
        <v>12940</v>
      </c>
      <c r="C1206" s="368">
        <f t="shared" si="4"/>
        <v>0</v>
      </c>
      <c r="E1206" s="362"/>
      <c r="F1206" s="275"/>
    </row>
    <row r="1207" hidden="1">
      <c r="A1207" s="193">
        <v>12960.0</v>
      </c>
      <c r="B1207" s="368">
        <f>VLOOKUP(A1207,'Solicitações'!B:B,1,0)</f>
        <v>12960</v>
      </c>
      <c r="C1207" s="368">
        <f t="shared" si="4"/>
        <v>0</v>
      </c>
      <c r="E1207" s="362"/>
      <c r="F1207" s="275"/>
    </row>
    <row r="1208" hidden="1">
      <c r="A1208" s="193">
        <v>12961.0</v>
      </c>
      <c r="B1208" s="368">
        <f>VLOOKUP(A1208,'Solicitações'!B:B,1,0)</f>
        <v>12961</v>
      </c>
      <c r="C1208" s="368">
        <f t="shared" si="4"/>
        <v>0</v>
      </c>
      <c r="E1208" s="362"/>
      <c r="F1208" s="275"/>
    </row>
    <row r="1209" hidden="1">
      <c r="A1209" s="193">
        <v>12980.0</v>
      </c>
      <c r="B1209" s="368">
        <f>VLOOKUP(A1209,'Solicitações'!B:B,1,0)</f>
        <v>12980</v>
      </c>
      <c r="C1209" s="368">
        <f t="shared" si="4"/>
        <v>0</v>
      </c>
      <c r="E1209" s="362"/>
      <c r="F1209" s="275"/>
    </row>
    <row r="1210" hidden="1">
      <c r="A1210" s="193">
        <v>13000.0</v>
      </c>
      <c r="B1210" s="368">
        <f>VLOOKUP(A1210,'Solicitações'!B:B,1,0)</f>
        <v>13000</v>
      </c>
      <c r="C1210" s="368">
        <f t="shared" si="4"/>
        <v>0</v>
      </c>
      <c r="E1210" s="362"/>
      <c r="F1210" s="275"/>
    </row>
    <row r="1211" hidden="1">
      <c r="A1211" s="193">
        <v>13020.0</v>
      </c>
      <c r="B1211" s="368">
        <f>VLOOKUP(A1211,'Solicitações'!B:B,1,0)</f>
        <v>13020</v>
      </c>
      <c r="C1211" s="368">
        <f t="shared" si="4"/>
        <v>0</v>
      </c>
      <c r="E1211" s="362"/>
      <c r="F1211" s="275"/>
    </row>
    <row r="1212" hidden="1">
      <c r="A1212" s="193">
        <v>13040.0</v>
      </c>
      <c r="B1212" s="368">
        <f>VLOOKUP(A1212,'Solicitações'!B:B,1,0)</f>
        <v>13040</v>
      </c>
      <c r="C1212" s="368">
        <f t="shared" si="4"/>
        <v>0</v>
      </c>
      <c r="E1212" s="362"/>
      <c r="F1212" s="275"/>
    </row>
    <row r="1213" hidden="1">
      <c r="A1213" s="193">
        <v>13060.0</v>
      </c>
      <c r="B1213" s="368">
        <f>VLOOKUP(A1213,'Solicitações'!B:B,1,0)</f>
        <v>13060</v>
      </c>
      <c r="C1213" s="368">
        <f t="shared" si="4"/>
        <v>0</v>
      </c>
      <c r="E1213" s="362"/>
      <c r="F1213" s="275"/>
    </row>
    <row r="1214" hidden="1">
      <c r="A1214" s="193">
        <v>13080.0</v>
      </c>
      <c r="B1214" s="368">
        <f>VLOOKUP(A1214,'Solicitações'!B:B,1,0)</f>
        <v>13080</v>
      </c>
      <c r="C1214" s="368">
        <f t="shared" si="4"/>
        <v>0</v>
      </c>
      <c r="E1214" s="362"/>
      <c r="F1214" s="275"/>
    </row>
    <row r="1215" hidden="1">
      <c r="A1215" s="193">
        <v>13100.0</v>
      </c>
      <c r="B1215" s="368">
        <f>VLOOKUP(A1215,'Solicitações'!B:B,1,0)</f>
        <v>13100</v>
      </c>
      <c r="C1215" s="368">
        <f t="shared" si="4"/>
        <v>0</v>
      </c>
      <c r="E1215" s="362"/>
      <c r="F1215" s="275"/>
    </row>
    <row r="1216" hidden="1">
      <c r="A1216" s="193">
        <v>13101.0</v>
      </c>
      <c r="B1216" s="368">
        <f>VLOOKUP(A1216,'Solicitações'!B:B,1,0)</f>
        <v>13101</v>
      </c>
      <c r="C1216" s="368">
        <f t="shared" si="4"/>
        <v>0</v>
      </c>
      <c r="E1216" s="362"/>
      <c r="F1216" s="275"/>
    </row>
    <row r="1217" hidden="1">
      <c r="A1217" s="193">
        <v>13120.0</v>
      </c>
      <c r="B1217" s="368">
        <f>VLOOKUP(A1217,'Solicitações'!B:B,1,0)</f>
        <v>13120</v>
      </c>
      <c r="C1217" s="368">
        <f t="shared" si="4"/>
        <v>0</v>
      </c>
      <c r="E1217" s="362"/>
      <c r="F1217" s="275"/>
    </row>
    <row r="1218" hidden="1">
      <c r="A1218" s="193">
        <v>13121.0</v>
      </c>
      <c r="B1218" s="368">
        <f>VLOOKUP(A1218,'Solicitações'!B:B,1,0)</f>
        <v>13121</v>
      </c>
      <c r="C1218" s="368">
        <f t="shared" si="4"/>
        <v>0</v>
      </c>
      <c r="E1218" s="362"/>
      <c r="F1218" s="275"/>
    </row>
    <row r="1219" hidden="1">
      <c r="A1219" s="193">
        <v>13122.0</v>
      </c>
      <c r="B1219" s="368">
        <f>VLOOKUP(A1219,'Solicitações'!B:B,1,0)</f>
        <v>13122</v>
      </c>
      <c r="C1219" s="368">
        <f t="shared" si="4"/>
        <v>0</v>
      </c>
      <c r="E1219" s="362"/>
      <c r="F1219" s="275"/>
    </row>
    <row r="1220" hidden="1">
      <c r="A1220" s="193">
        <v>13140.0</v>
      </c>
      <c r="B1220" s="368">
        <f>VLOOKUP(A1220,'Solicitações'!B:B,1,0)</f>
        <v>13140</v>
      </c>
      <c r="C1220" s="368">
        <f t="shared" si="4"/>
        <v>0</v>
      </c>
      <c r="E1220" s="362"/>
      <c r="F1220" s="275"/>
    </row>
    <row r="1221" hidden="1">
      <c r="A1221" s="193">
        <v>13160.0</v>
      </c>
      <c r="B1221" s="368">
        <f>VLOOKUP(A1221,'Solicitações'!B:B,1,0)</f>
        <v>13160</v>
      </c>
      <c r="C1221" s="368">
        <f t="shared" si="4"/>
        <v>0</v>
      </c>
      <c r="E1221" s="362"/>
      <c r="F1221" s="275"/>
    </row>
    <row r="1222" hidden="1">
      <c r="A1222" s="193">
        <v>13180.0</v>
      </c>
      <c r="B1222" s="368">
        <f>VLOOKUP(A1222,'Solicitações'!B:B,1,0)</f>
        <v>13180</v>
      </c>
      <c r="C1222" s="368">
        <f t="shared" si="4"/>
        <v>0</v>
      </c>
      <c r="E1222" s="362"/>
      <c r="F1222" s="275"/>
    </row>
    <row r="1223" hidden="1">
      <c r="A1223" s="193">
        <v>13181.0</v>
      </c>
      <c r="B1223" s="368">
        <f>VLOOKUP(A1223,'Solicitações'!B:B,1,0)</f>
        <v>13181</v>
      </c>
      <c r="C1223" s="368">
        <f t="shared" si="4"/>
        <v>0</v>
      </c>
      <c r="E1223" s="362"/>
      <c r="F1223" s="275"/>
    </row>
    <row r="1224" hidden="1">
      <c r="A1224" s="193">
        <v>13200.0</v>
      </c>
      <c r="B1224" s="368">
        <f>VLOOKUP(A1224,'Solicitações'!B:B,1,0)</f>
        <v>13200</v>
      </c>
      <c r="C1224" s="368">
        <f t="shared" si="4"/>
        <v>0</v>
      </c>
      <c r="E1224" s="362"/>
      <c r="F1224" s="275"/>
    </row>
    <row r="1225" hidden="1">
      <c r="A1225" s="193">
        <v>13220.0</v>
      </c>
      <c r="B1225" s="368">
        <f>VLOOKUP(A1225,'Solicitações'!B:B,1,0)</f>
        <v>13220</v>
      </c>
      <c r="C1225" s="368">
        <f t="shared" si="4"/>
        <v>0</v>
      </c>
      <c r="E1225" s="362"/>
      <c r="F1225" s="275"/>
    </row>
    <row r="1226" hidden="1">
      <c r="A1226" s="193">
        <v>13240.0</v>
      </c>
      <c r="B1226" s="368">
        <f>VLOOKUP(A1226,'Solicitações'!B:B,1,0)</f>
        <v>13240</v>
      </c>
      <c r="C1226" s="368">
        <f t="shared" si="4"/>
        <v>0</v>
      </c>
      <c r="E1226" s="362"/>
      <c r="F1226" s="275"/>
    </row>
    <row r="1227" hidden="1">
      <c r="A1227" s="193">
        <v>13260.0</v>
      </c>
      <c r="B1227" s="368">
        <f>VLOOKUP(A1227,'Solicitações'!B:B,1,0)</f>
        <v>13260</v>
      </c>
      <c r="C1227" s="368">
        <f t="shared" si="4"/>
        <v>0</v>
      </c>
      <c r="E1227" s="362"/>
      <c r="F1227" s="275"/>
    </row>
    <row r="1228" hidden="1">
      <c r="A1228" s="193">
        <v>13280.0</v>
      </c>
      <c r="B1228" s="368">
        <f>VLOOKUP(A1228,'Solicitações'!B:B,1,0)</f>
        <v>13280</v>
      </c>
      <c r="C1228" s="368">
        <f t="shared" si="4"/>
        <v>0</v>
      </c>
      <c r="E1228" s="362"/>
      <c r="F1228" s="275"/>
    </row>
    <row r="1229" hidden="1">
      <c r="A1229" s="193">
        <v>13300.0</v>
      </c>
      <c r="B1229" s="368">
        <f>VLOOKUP(A1229,'Solicitações'!B:B,1,0)</f>
        <v>13300</v>
      </c>
      <c r="C1229" s="368">
        <f t="shared" si="4"/>
        <v>0</v>
      </c>
      <c r="E1229" s="362"/>
      <c r="F1229" s="275"/>
    </row>
    <row r="1230" hidden="1">
      <c r="A1230" s="193">
        <v>13320.0</v>
      </c>
      <c r="B1230" s="368">
        <f>VLOOKUP(A1230,'Solicitações'!B:B,1,0)</f>
        <v>13320</v>
      </c>
      <c r="C1230" s="368">
        <f t="shared" si="4"/>
        <v>0</v>
      </c>
      <c r="E1230" s="362"/>
      <c r="F1230" s="275"/>
    </row>
    <row r="1231" hidden="1">
      <c r="A1231" s="193">
        <v>13340.0</v>
      </c>
      <c r="B1231" s="368">
        <f>VLOOKUP(A1231,'Solicitações'!B:B,1,0)</f>
        <v>13340</v>
      </c>
      <c r="C1231" s="368">
        <f t="shared" si="4"/>
        <v>0</v>
      </c>
      <c r="E1231" s="362"/>
      <c r="F1231" s="275"/>
    </row>
    <row r="1232" hidden="1">
      <c r="A1232" s="193">
        <v>13360.0</v>
      </c>
      <c r="B1232" s="368">
        <f>VLOOKUP(A1232,'Solicitações'!B:B,1,0)</f>
        <v>13360</v>
      </c>
      <c r="C1232" s="368">
        <f t="shared" si="4"/>
        <v>0</v>
      </c>
      <c r="E1232" s="362"/>
      <c r="F1232" s="275"/>
    </row>
    <row r="1233" hidden="1">
      <c r="A1233" s="193">
        <v>13380.0</v>
      </c>
      <c r="B1233" s="368">
        <f>VLOOKUP(A1233,'Solicitações'!B:B,1,0)</f>
        <v>13380</v>
      </c>
      <c r="C1233" s="368">
        <f t="shared" si="4"/>
        <v>0</v>
      </c>
      <c r="E1233" s="362"/>
      <c r="F1233" s="275"/>
    </row>
    <row r="1234" hidden="1">
      <c r="A1234" s="193">
        <v>13400.0</v>
      </c>
      <c r="B1234" s="368">
        <f>VLOOKUP(A1234,'Solicitações'!B:B,1,0)</f>
        <v>13400</v>
      </c>
      <c r="C1234" s="368">
        <f t="shared" si="4"/>
        <v>0</v>
      </c>
      <c r="E1234" s="362"/>
      <c r="F1234" s="275"/>
    </row>
    <row r="1235" hidden="1">
      <c r="A1235" s="193">
        <v>13420.0</v>
      </c>
      <c r="B1235" s="368">
        <f>VLOOKUP(A1235,'Solicitações'!B:B,1,0)</f>
        <v>13420</v>
      </c>
      <c r="C1235" s="368">
        <f t="shared" si="4"/>
        <v>0</v>
      </c>
      <c r="E1235" s="362"/>
      <c r="F1235" s="275"/>
    </row>
    <row r="1236" hidden="1">
      <c r="A1236" s="193">
        <v>13440.0</v>
      </c>
      <c r="B1236" s="368">
        <f>VLOOKUP(A1236,'Solicitações'!B:B,1,0)</f>
        <v>13440</v>
      </c>
      <c r="C1236" s="368">
        <f t="shared" si="4"/>
        <v>0</v>
      </c>
      <c r="E1236" s="362"/>
      <c r="F1236" s="275"/>
    </row>
    <row r="1237" hidden="1">
      <c r="A1237" s="193">
        <v>13460.0</v>
      </c>
      <c r="B1237" s="368">
        <f>VLOOKUP(A1237,'Solicitações'!B:B,1,0)</f>
        <v>13460</v>
      </c>
      <c r="C1237" s="368">
        <f t="shared" si="4"/>
        <v>0</v>
      </c>
      <c r="E1237" s="362"/>
      <c r="F1237" s="275"/>
    </row>
    <row r="1238" hidden="1">
      <c r="A1238" s="193">
        <v>13480.0</v>
      </c>
      <c r="B1238" s="368">
        <f>VLOOKUP(A1238,'Solicitações'!B:B,1,0)</f>
        <v>13480</v>
      </c>
      <c r="C1238" s="368">
        <f t="shared" si="4"/>
        <v>0</v>
      </c>
      <c r="E1238" s="362"/>
      <c r="F1238" s="275"/>
    </row>
    <row r="1239" hidden="1">
      <c r="A1239" s="193">
        <v>13500.0</v>
      </c>
      <c r="B1239" s="368">
        <f>VLOOKUP(A1239,'Solicitações'!B:B,1,0)</f>
        <v>13500</v>
      </c>
      <c r="C1239" s="368">
        <f t="shared" si="4"/>
        <v>0</v>
      </c>
      <c r="E1239" s="362"/>
      <c r="F1239" s="275"/>
    </row>
    <row r="1240" hidden="1">
      <c r="A1240" s="193">
        <v>13520.0</v>
      </c>
      <c r="B1240" s="368">
        <f>VLOOKUP(A1240,'Solicitações'!B:B,1,0)</f>
        <v>13520</v>
      </c>
      <c r="C1240" s="368">
        <f t="shared" si="4"/>
        <v>0</v>
      </c>
      <c r="E1240" s="362"/>
      <c r="F1240" s="275"/>
    </row>
    <row r="1241" hidden="1">
      <c r="A1241" s="193">
        <v>13540.0</v>
      </c>
      <c r="B1241" s="368">
        <f>VLOOKUP(A1241,'Solicitações'!B:B,1,0)</f>
        <v>13540</v>
      </c>
      <c r="C1241" s="368">
        <f t="shared" si="4"/>
        <v>0</v>
      </c>
      <c r="E1241" s="362"/>
      <c r="F1241" s="275"/>
    </row>
    <row r="1242" hidden="1">
      <c r="A1242" s="193">
        <v>13560.0</v>
      </c>
      <c r="B1242" s="368">
        <f>VLOOKUP(A1242,'Solicitações'!B:B,1,0)</f>
        <v>13560</v>
      </c>
      <c r="C1242" s="368">
        <f t="shared" si="4"/>
        <v>0</v>
      </c>
      <c r="E1242" s="362"/>
      <c r="F1242" s="275"/>
    </row>
    <row r="1243" hidden="1">
      <c r="A1243" s="193">
        <v>13561.0</v>
      </c>
      <c r="B1243" s="368">
        <f>VLOOKUP(A1243,'Solicitações'!B:B,1,0)</f>
        <v>13561</v>
      </c>
      <c r="C1243" s="368">
        <f t="shared" si="4"/>
        <v>0</v>
      </c>
      <c r="E1243" s="362"/>
      <c r="F1243" s="275"/>
    </row>
    <row r="1244" hidden="1">
      <c r="A1244" s="193">
        <v>13580.0</v>
      </c>
      <c r="B1244" s="368">
        <f>VLOOKUP(A1244,'Solicitações'!B:B,1,0)</f>
        <v>13580</v>
      </c>
      <c r="C1244" s="368">
        <f t="shared" si="4"/>
        <v>0</v>
      </c>
      <c r="E1244" s="362"/>
      <c r="F1244" s="275"/>
    </row>
    <row r="1245" hidden="1">
      <c r="A1245" s="193">
        <v>13600.0</v>
      </c>
      <c r="B1245" s="368">
        <f>VLOOKUP(A1245,'Solicitações'!B:B,1,0)</f>
        <v>13600</v>
      </c>
      <c r="C1245" s="368">
        <f t="shared" si="4"/>
        <v>0</v>
      </c>
      <c r="E1245" s="362"/>
      <c r="F1245" s="275"/>
    </row>
    <row r="1246" hidden="1">
      <c r="A1246" s="193">
        <v>13620.0</v>
      </c>
      <c r="B1246" s="368">
        <f>VLOOKUP(A1246,'Solicitações'!B:B,1,0)</f>
        <v>13620</v>
      </c>
      <c r="C1246" s="368">
        <f t="shared" si="4"/>
        <v>0</v>
      </c>
      <c r="E1246" s="362"/>
      <c r="F1246" s="275"/>
    </row>
    <row r="1247" hidden="1">
      <c r="A1247" s="193">
        <v>13640.0</v>
      </c>
      <c r="B1247" s="368">
        <f>VLOOKUP(A1247,'Solicitações'!B:B,1,0)</f>
        <v>13640</v>
      </c>
      <c r="C1247" s="368">
        <f t="shared" si="4"/>
        <v>0</v>
      </c>
      <c r="E1247" s="362"/>
      <c r="F1247" s="275"/>
    </row>
    <row r="1248" hidden="1">
      <c r="A1248" s="193">
        <v>13660.0</v>
      </c>
      <c r="B1248" s="368">
        <f>VLOOKUP(A1248,'Solicitações'!B:B,1,0)</f>
        <v>13660</v>
      </c>
      <c r="C1248" s="368">
        <f t="shared" si="4"/>
        <v>0</v>
      </c>
      <c r="E1248" s="362"/>
      <c r="F1248" s="275"/>
    </row>
    <row r="1249" hidden="1">
      <c r="A1249" s="193">
        <v>13680.0</v>
      </c>
      <c r="B1249" s="368">
        <f>VLOOKUP(A1249,'Solicitações'!B:B,1,0)</f>
        <v>13680</v>
      </c>
      <c r="C1249" s="368">
        <f t="shared" si="4"/>
        <v>0</v>
      </c>
      <c r="E1249" s="362"/>
      <c r="F1249" s="275"/>
    </row>
    <row r="1250" hidden="1">
      <c r="A1250" s="193">
        <v>13700.0</v>
      </c>
      <c r="B1250" s="368">
        <f>VLOOKUP(A1250,'Solicitações'!B:B,1,0)</f>
        <v>13700</v>
      </c>
      <c r="C1250" s="368">
        <f t="shared" si="4"/>
        <v>0</v>
      </c>
      <c r="E1250" s="362"/>
      <c r="F1250" s="275"/>
    </row>
    <row r="1251" hidden="1">
      <c r="A1251" s="193">
        <v>13720.0</v>
      </c>
      <c r="B1251" s="368">
        <f>VLOOKUP(A1251,'Solicitações'!B:B,1,0)</f>
        <v>13720</v>
      </c>
      <c r="C1251" s="368">
        <f t="shared" si="4"/>
        <v>0</v>
      </c>
      <c r="E1251" s="362"/>
      <c r="F1251" s="275"/>
    </row>
    <row r="1252" hidden="1">
      <c r="A1252" s="193">
        <v>13740.0</v>
      </c>
      <c r="B1252" s="368">
        <f>VLOOKUP(A1252,'Solicitações'!B:B,1,0)</f>
        <v>13740</v>
      </c>
      <c r="C1252" s="368">
        <f t="shared" si="4"/>
        <v>0</v>
      </c>
      <c r="E1252" s="362"/>
      <c r="F1252" s="275"/>
    </row>
    <row r="1253" hidden="1">
      <c r="A1253" s="193">
        <v>13760.0</v>
      </c>
      <c r="B1253" s="368">
        <f>VLOOKUP(A1253,'Solicitações'!B:B,1,0)</f>
        <v>13760</v>
      </c>
      <c r="C1253" s="368">
        <f t="shared" si="4"/>
        <v>0</v>
      </c>
      <c r="E1253" s="362"/>
      <c r="F1253" s="275"/>
    </row>
    <row r="1254" hidden="1">
      <c r="A1254" s="193">
        <v>13780.0</v>
      </c>
      <c r="B1254" s="368">
        <f>VLOOKUP(A1254,'Solicitações'!B:B,1,0)</f>
        <v>13780</v>
      </c>
      <c r="C1254" s="368">
        <f t="shared" si="4"/>
        <v>0</v>
      </c>
      <c r="E1254" s="362"/>
      <c r="F1254" s="275"/>
    </row>
    <row r="1255" hidden="1">
      <c r="A1255" s="193">
        <v>13800.0</v>
      </c>
      <c r="B1255" s="368">
        <f>VLOOKUP(A1255,'Solicitações'!B:B,1,0)</f>
        <v>13800</v>
      </c>
      <c r="C1255" s="368">
        <f t="shared" si="4"/>
        <v>0</v>
      </c>
      <c r="E1255" s="362"/>
      <c r="F1255" s="275"/>
    </row>
    <row r="1256" hidden="1">
      <c r="A1256" s="193">
        <v>13820.0</v>
      </c>
      <c r="B1256" s="368">
        <f>VLOOKUP(A1256,'Solicitações'!B:B,1,0)</f>
        <v>13820</v>
      </c>
      <c r="C1256" s="368">
        <f t="shared" si="4"/>
        <v>0</v>
      </c>
      <c r="E1256" s="362"/>
      <c r="F1256" s="275"/>
    </row>
    <row r="1257" hidden="1">
      <c r="A1257" s="193">
        <v>13840.0</v>
      </c>
      <c r="B1257" s="368">
        <f>VLOOKUP(A1257,'Solicitações'!B:B,1,0)</f>
        <v>13840</v>
      </c>
      <c r="C1257" s="368">
        <f t="shared" si="4"/>
        <v>0</v>
      </c>
      <c r="E1257" s="362"/>
      <c r="F1257" s="275"/>
    </row>
    <row r="1258" hidden="1">
      <c r="A1258" s="193">
        <v>13841.0</v>
      </c>
      <c r="B1258" s="368">
        <f>VLOOKUP(A1258,'Solicitações'!B:B,1,0)</f>
        <v>13841</v>
      </c>
      <c r="C1258" s="368">
        <f t="shared" si="4"/>
        <v>0</v>
      </c>
      <c r="E1258" s="362"/>
      <c r="F1258" s="275"/>
    </row>
    <row r="1259" hidden="1">
      <c r="A1259" s="193">
        <v>13842.0</v>
      </c>
      <c r="B1259" s="368">
        <f>VLOOKUP(A1259,'Solicitações'!B:B,1,0)</f>
        <v>13842</v>
      </c>
      <c r="C1259" s="368">
        <f t="shared" si="4"/>
        <v>0</v>
      </c>
      <c r="E1259" s="362"/>
      <c r="F1259" s="275"/>
    </row>
    <row r="1260" hidden="1">
      <c r="A1260" s="193">
        <v>13860.0</v>
      </c>
      <c r="B1260" s="368">
        <f>VLOOKUP(A1260,'Solicitações'!B:B,1,0)</f>
        <v>13860</v>
      </c>
      <c r="C1260" s="368">
        <f t="shared" si="4"/>
        <v>0</v>
      </c>
      <c r="E1260" s="362"/>
      <c r="F1260" s="275"/>
    </row>
    <row r="1261" hidden="1">
      <c r="A1261" s="193">
        <v>13880.0</v>
      </c>
      <c r="B1261" s="368">
        <f>VLOOKUP(A1261,'Solicitações'!B:B,1,0)</f>
        <v>13880</v>
      </c>
      <c r="C1261" s="368">
        <f t="shared" si="4"/>
        <v>0</v>
      </c>
      <c r="E1261" s="362"/>
      <c r="F1261" s="275"/>
    </row>
    <row r="1262" hidden="1">
      <c r="A1262" s="193">
        <v>13900.0</v>
      </c>
      <c r="B1262" s="368">
        <f>VLOOKUP(A1262,'Solicitações'!B:B,1,0)</f>
        <v>13900</v>
      </c>
      <c r="C1262" s="368">
        <f t="shared" si="4"/>
        <v>0</v>
      </c>
      <c r="E1262" s="362"/>
      <c r="F1262" s="275"/>
    </row>
    <row r="1263" hidden="1">
      <c r="A1263" s="193">
        <v>13920.0</v>
      </c>
      <c r="B1263" s="368">
        <f>VLOOKUP(A1263,'Solicitações'!B:B,1,0)</f>
        <v>13920</v>
      </c>
      <c r="C1263" s="368">
        <f t="shared" si="4"/>
        <v>0</v>
      </c>
      <c r="E1263" s="362"/>
      <c r="F1263" s="275"/>
    </row>
    <row r="1264" hidden="1">
      <c r="A1264" s="193">
        <v>13921.0</v>
      </c>
      <c r="B1264" s="368">
        <f>VLOOKUP(A1264,'Solicitações'!B:B,1,0)</f>
        <v>13921</v>
      </c>
      <c r="C1264" s="368">
        <f t="shared" si="4"/>
        <v>0</v>
      </c>
      <c r="E1264" s="362"/>
      <c r="F1264" s="275"/>
    </row>
    <row r="1265" hidden="1">
      <c r="A1265" s="193">
        <v>13940.0</v>
      </c>
      <c r="B1265" s="368">
        <f>VLOOKUP(A1265,'Solicitações'!B:B,1,0)</f>
        <v>13940</v>
      </c>
      <c r="C1265" s="368">
        <f t="shared" si="4"/>
        <v>0</v>
      </c>
      <c r="E1265" s="362"/>
      <c r="F1265" s="275"/>
    </row>
    <row r="1266" hidden="1">
      <c r="A1266" s="193">
        <v>13960.0</v>
      </c>
      <c r="B1266" s="368">
        <f>VLOOKUP(A1266,'Solicitações'!B:B,1,0)</f>
        <v>13960</v>
      </c>
      <c r="C1266" s="368">
        <f t="shared" si="4"/>
        <v>0</v>
      </c>
      <c r="E1266" s="362"/>
      <c r="F1266" s="275"/>
    </row>
    <row r="1267" hidden="1">
      <c r="A1267" s="193">
        <v>13980.0</v>
      </c>
      <c r="B1267" s="368">
        <f>VLOOKUP(A1267,'Solicitações'!B:B,1,0)</f>
        <v>13980</v>
      </c>
      <c r="C1267" s="368">
        <f t="shared" si="4"/>
        <v>0</v>
      </c>
      <c r="E1267" s="362"/>
      <c r="F1267" s="275"/>
    </row>
    <row r="1268" hidden="1">
      <c r="A1268" s="193">
        <v>14000.0</v>
      </c>
      <c r="B1268" s="368">
        <f>VLOOKUP(A1268,'Solicitações'!B:B,1,0)</f>
        <v>14000</v>
      </c>
      <c r="C1268" s="368">
        <f t="shared" si="4"/>
        <v>0</v>
      </c>
      <c r="E1268" s="362"/>
      <c r="F1268" s="275"/>
    </row>
    <row r="1269" hidden="1">
      <c r="A1269" s="193">
        <v>14020.0</v>
      </c>
      <c r="B1269" s="368">
        <f>VLOOKUP(A1269,'Solicitações'!B:B,1,0)</f>
        <v>14020</v>
      </c>
      <c r="C1269" s="368">
        <f t="shared" si="4"/>
        <v>0</v>
      </c>
      <c r="E1269" s="362"/>
      <c r="F1269" s="275"/>
    </row>
    <row r="1270" hidden="1">
      <c r="A1270" s="193">
        <v>14040.0</v>
      </c>
      <c r="B1270" s="368">
        <f>VLOOKUP(A1270,'Solicitações'!B:B,1,0)</f>
        <v>14040</v>
      </c>
      <c r="C1270" s="368">
        <f t="shared" si="4"/>
        <v>0</v>
      </c>
      <c r="E1270" s="362"/>
      <c r="F1270" s="275"/>
    </row>
    <row r="1271" hidden="1">
      <c r="A1271" s="193">
        <v>14060.0</v>
      </c>
      <c r="B1271" s="368">
        <f>VLOOKUP(A1271,'Solicitações'!B:B,1,0)</f>
        <v>14060</v>
      </c>
      <c r="C1271" s="368">
        <f t="shared" si="4"/>
        <v>0</v>
      </c>
      <c r="E1271" s="362"/>
      <c r="F1271" s="275"/>
    </row>
    <row r="1272" hidden="1">
      <c r="A1272" s="193">
        <v>14080.0</v>
      </c>
      <c r="B1272" s="368">
        <f>VLOOKUP(A1272,'Solicitações'!B:B,1,0)</f>
        <v>14080</v>
      </c>
      <c r="C1272" s="368">
        <f t="shared" si="4"/>
        <v>0</v>
      </c>
      <c r="E1272" s="362"/>
      <c r="F1272" s="275"/>
    </row>
    <row r="1273" hidden="1">
      <c r="A1273" s="193">
        <v>14100.0</v>
      </c>
      <c r="B1273" s="368">
        <f>VLOOKUP(A1273,'Solicitações'!B:B,1,0)</f>
        <v>14100</v>
      </c>
      <c r="C1273" s="368">
        <f t="shared" si="4"/>
        <v>0</v>
      </c>
      <c r="E1273" s="362"/>
      <c r="F1273" s="275"/>
    </row>
    <row r="1274" hidden="1">
      <c r="A1274" s="193">
        <v>14120.0</v>
      </c>
      <c r="B1274" s="368">
        <f>VLOOKUP(A1274,'Solicitações'!B:B,1,0)</f>
        <v>14120</v>
      </c>
      <c r="C1274" s="368">
        <f t="shared" si="4"/>
        <v>0</v>
      </c>
      <c r="E1274" s="362"/>
      <c r="F1274" s="275"/>
    </row>
    <row r="1275" hidden="1">
      <c r="A1275" s="193">
        <v>14140.0</v>
      </c>
      <c r="B1275" s="368">
        <f>VLOOKUP(A1275,'Solicitações'!B:B,1,0)</f>
        <v>14140</v>
      </c>
      <c r="C1275" s="368">
        <f t="shared" si="4"/>
        <v>0</v>
      </c>
      <c r="E1275" s="362"/>
      <c r="F1275" s="275"/>
    </row>
    <row r="1276" hidden="1">
      <c r="A1276" s="193">
        <v>14160.0</v>
      </c>
      <c r="B1276" s="368">
        <f>VLOOKUP(A1276,'Solicitações'!B:B,1,0)</f>
        <v>14160</v>
      </c>
      <c r="C1276" s="368">
        <f t="shared" si="4"/>
        <v>0</v>
      </c>
      <c r="E1276" s="362"/>
      <c r="F1276" s="275"/>
    </row>
    <row r="1277" hidden="1">
      <c r="A1277" s="193">
        <v>14161.0</v>
      </c>
      <c r="B1277" s="368">
        <f>VLOOKUP(A1277,'Solicitações'!B:B,1,0)</f>
        <v>14161</v>
      </c>
      <c r="C1277" s="368">
        <f t="shared" si="4"/>
        <v>0</v>
      </c>
      <c r="E1277" s="362"/>
      <c r="F1277" s="275"/>
    </row>
    <row r="1278" hidden="1">
      <c r="A1278" s="193">
        <v>14180.0</v>
      </c>
      <c r="B1278" s="368">
        <f>VLOOKUP(A1278,'Solicitações'!B:B,1,0)</f>
        <v>14180</v>
      </c>
      <c r="C1278" s="368">
        <f t="shared" si="4"/>
        <v>0</v>
      </c>
      <c r="E1278" s="362"/>
      <c r="F1278" s="275"/>
    </row>
    <row r="1279" hidden="1">
      <c r="A1279" s="193">
        <v>14200.0</v>
      </c>
      <c r="B1279" s="368">
        <f>VLOOKUP(A1279,'Solicitações'!B:B,1,0)</f>
        <v>14200</v>
      </c>
      <c r="C1279" s="368">
        <f t="shared" si="4"/>
        <v>0</v>
      </c>
      <c r="E1279" s="362"/>
      <c r="F1279" s="275"/>
    </row>
    <row r="1280" hidden="1">
      <c r="A1280" s="193">
        <v>14220.0</v>
      </c>
      <c r="B1280" s="368">
        <f>VLOOKUP(A1280,'Solicitações'!B:B,1,0)</f>
        <v>14220</v>
      </c>
      <c r="C1280" s="368">
        <f t="shared" si="4"/>
        <v>0</v>
      </c>
      <c r="E1280" s="362"/>
      <c r="F1280" s="275"/>
    </row>
    <row r="1281" hidden="1">
      <c r="A1281" s="193">
        <v>14240.0</v>
      </c>
      <c r="B1281" s="368">
        <f>VLOOKUP(A1281,'Solicitações'!B:B,1,0)</f>
        <v>14240</v>
      </c>
      <c r="C1281" s="368">
        <f t="shared" si="4"/>
        <v>0</v>
      </c>
      <c r="E1281" s="362"/>
      <c r="F1281" s="275"/>
    </row>
    <row r="1282" hidden="1">
      <c r="A1282" s="193">
        <v>14260.0</v>
      </c>
      <c r="B1282" s="368">
        <f>VLOOKUP(A1282,'Solicitações'!B:B,1,0)</f>
        <v>14260</v>
      </c>
      <c r="C1282" s="368">
        <f t="shared" si="4"/>
        <v>0</v>
      </c>
      <c r="E1282" s="362"/>
      <c r="F1282" s="275"/>
    </row>
    <row r="1283" hidden="1">
      <c r="A1283" s="193">
        <v>14280.0</v>
      </c>
      <c r="B1283" s="368">
        <f>VLOOKUP(A1283,'Solicitações'!B:B,1,0)</f>
        <v>14280</v>
      </c>
      <c r="C1283" s="368">
        <f t="shared" si="4"/>
        <v>0</v>
      </c>
      <c r="E1283" s="362"/>
      <c r="F1283" s="275"/>
    </row>
    <row r="1284" hidden="1">
      <c r="A1284" s="193">
        <v>14300.0</v>
      </c>
      <c r="B1284" s="368">
        <f>VLOOKUP(A1284,'Solicitações'!B:B,1,0)</f>
        <v>14300</v>
      </c>
      <c r="C1284" s="368">
        <f t="shared" si="4"/>
        <v>0</v>
      </c>
      <c r="E1284" s="362"/>
      <c r="F1284" s="275"/>
    </row>
    <row r="1285" hidden="1">
      <c r="A1285" s="193">
        <v>14320.0</v>
      </c>
      <c r="B1285" s="368">
        <f>VLOOKUP(A1285,'Solicitações'!B:B,1,0)</f>
        <v>14320</v>
      </c>
      <c r="C1285" s="368">
        <f t="shared" si="4"/>
        <v>0</v>
      </c>
      <c r="E1285" s="362"/>
      <c r="F1285" s="275"/>
    </row>
    <row r="1286" hidden="1">
      <c r="A1286" s="193">
        <v>14340.0</v>
      </c>
      <c r="B1286" s="368">
        <f>VLOOKUP(A1286,'Solicitações'!B:B,1,0)</f>
        <v>14340</v>
      </c>
      <c r="C1286" s="368">
        <f t="shared" si="4"/>
        <v>0</v>
      </c>
      <c r="E1286" s="362"/>
      <c r="F1286" s="275"/>
    </row>
    <row r="1287" hidden="1">
      <c r="A1287" s="193">
        <v>14360.0</v>
      </c>
      <c r="B1287" s="368">
        <f>VLOOKUP(A1287,'Solicitações'!B:B,1,0)</f>
        <v>14360</v>
      </c>
      <c r="C1287" s="368">
        <f t="shared" si="4"/>
        <v>0</v>
      </c>
      <c r="E1287" s="362"/>
      <c r="F1287" s="275"/>
    </row>
    <row r="1288" hidden="1">
      <c r="A1288" s="193">
        <v>14380.0</v>
      </c>
      <c r="B1288" s="368">
        <f>VLOOKUP(A1288,'Solicitações'!B:B,1,0)</f>
        <v>14380</v>
      </c>
      <c r="C1288" s="368">
        <f t="shared" si="4"/>
        <v>0</v>
      </c>
      <c r="E1288" s="362"/>
      <c r="F1288" s="275"/>
    </row>
    <row r="1289" hidden="1">
      <c r="A1289" s="193">
        <v>14400.0</v>
      </c>
      <c r="B1289" s="368">
        <f>VLOOKUP(A1289,'Solicitações'!B:B,1,0)</f>
        <v>14400</v>
      </c>
      <c r="C1289" s="368">
        <f t="shared" si="4"/>
        <v>0</v>
      </c>
      <c r="E1289" s="362"/>
      <c r="F1289" s="275"/>
    </row>
    <row r="1290" hidden="1">
      <c r="A1290" s="193">
        <v>14420.0</v>
      </c>
      <c r="B1290" s="368">
        <f>VLOOKUP(A1290,'Solicitações'!B:B,1,0)</f>
        <v>14420</v>
      </c>
      <c r="C1290" s="368">
        <f t="shared" si="4"/>
        <v>0</v>
      </c>
      <c r="E1290" s="362"/>
      <c r="F1290" s="275"/>
    </row>
    <row r="1291" hidden="1">
      <c r="A1291" s="193">
        <v>14440.0</v>
      </c>
      <c r="B1291" s="368">
        <f>VLOOKUP(A1291,'Solicitações'!B:B,1,0)</f>
        <v>14440</v>
      </c>
      <c r="C1291" s="368">
        <f t="shared" si="4"/>
        <v>0</v>
      </c>
      <c r="E1291" s="362"/>
      <c r="F1291" s="275"/>
    </row>
    <row r="1292" hidden="1">
      <c r="A1292" s="193">
        <v>14460.0</v>
      </c>
      <c r="B1292" s="368">
        <f>VLOOKUP(A1292,'Solicitações'!B:B,1,0)</f>
        <v>14460</v>
      </c>
      <c r="C1292" s="368">
        <f t="shared" si="4"/>
        <v>0</v>
      </c>
      <c r="E1292" s="362"/>
      <c r="F1292" s="275"/>
    </row>
    <row r="1293" hidden="1">
      <c r="A1293" s="193">
        <v>14480.0</v>
      </c>
      <c r="B1293" s="368">
        <f>VLOOKUP(A1293,'Solicitações'!B:B,1,0)</f>
        <v>14480</v>
      </c>
      <c r="C1293" s="368">
        <f t="shared" si="4"/>
        <v>0</v>
      </c>
      <c r="E1293" s="362"/>
      <c r="F1293" s="275"/>
    </row>
    <row r="1294" hidden="1">
      <c r="A1294" s="193">
        <v>14500.0</v>
      </c>
      <c r="B1294" s="368">
        <f>VLOOKUP(A1294,'Solicitações'!B:B,1,0)</f>
        <v>14500</v>
      </c>
      <c r="C1294" s="368">
        <f t="shared" si="4"/>
        <v>0</v>
      </c>
      <c r="E1294" s="362"/>
      <c r="F1294" s="275"/>
    </row>
    <row r="1295" hidden="1">
      <c r="A1295" s="193">
        <v>14520.0</v>
      </c>
      <c r="B1295" s="368">
        <f>VLOOKUP(A1295,'Solicitações'!B:B,1,0)</f>
        <v>14520</v>
      </c>
      <c r="C1295" s="368">
        <f t="shared" si="4"/>
        <v>0</v>
      </c>
      <c r="E1295" s="362"/>
      <c r="F1295" s="275"/>
    </row>
    <row r="1296" hidden="1">
      <c r="A1296" s="193">
        <v>14540.0</v>
      </c>
      <c r="B1296" s="368">
        <f>VLOOKUP(A1296,'Solicitações'!B:B,1,0)</f>
        <v>14540</v>
      </c>
      <c r="C1296" s="368">
        <f t="shared" si="4"/>
        <v>0</v>
      </c>
      <c r="E1296" s="362"/>
      <c r="F1296" s="275"/>
    </row>
    <row r="1297" hidden="1">
      <c r="A1297" s="193">
        <v>14560.0</v>
      </c>
      <c r="B1297" s="368">
        <f>VLOOKUP(A1297,'Solicitações'!B:B,1,0)</f>
        <v>14560</v>
      </c>
      <c r="C1297" s="368">
        <f t="shared" si="4"/>
        <v>0</v>
      </c>
      <c r="E1297" s="362"/>
      <c r="F1297" s="275"/>
    </row>
    <row r="1298" hidden="1">
      <c r="A1298" s="193">
        <v>14580.0</v>
      </c>
      <c r="B1298" s="368">
        <f>VLOOKUP(A1298,'Solicitações'!B:B,1,0)</f>
        <v>14580</v>
      </c>
      <c r="C1298" s="368">
        <f t="shared" si="4"/>
        <v>0</v>
      </c>
      <c r="E1298" s="362"/>
      <c r="F1298" s="275"/>
    </row>
    <row r="1299" hidden="1">
      <c r="A1299" s="193">
        <v>14600.0</v>
      </c>
      <c r="B1299" s="368">
        <f>VLOOKUP(A1299,'Solicitações'!B:B,1,0)</f>
        <v>14600</v>
      </c>
      <c r="C1299" s="368">
        <f t="shared" si="4"/>
        <v>0</v>
      </c>
      <c r="E1299" s="362"/>
      <c r="F1299" s="275"/>
    </row>
    <row r="1300" hidden="1">
      <c r="A1300" s="193">
        <v>14601.0</v>
      </c>
      <c r="B1300" s="368">
        <f>VLOOKUP(A1300,'Solicitações'!B:B,1,0)</f>
        <v>14601</v>
      </c>
      <c r="C1300" s="368">
        <f t="shared" si="4"/>
        <v>0</v>
      </c>
      <c r="E1300" s="362"/>
      <c r="F1300" s="275"/>
    </row>
    <row r="1301" hidden="1">
      <c r="A1301" s="193">
        <v>14620.0</v>
      </c>
      <c r="B1301" s="368">
        <f>VLOOKUP(A1301,'Solicitações'!B:B,1,0)</f>
        <v>14620</v>
      </c>
      <c r="C1301" s="368">
        <f t="shared" si="4"/>
        <v>0</v>
      </c>
      <c r="E1301" s="362"/>
      <c r="F1301" s="275"/>
    </row>
    <row r="1302" hidden="1">
      <c r="A1302" s="193">
        <v>14640.0</v>
      </c>
      <c r="B1302" s="368">
        <f>VLOOKUP(A1302,'Solicitações'!B:B,1,0)</f>
        <v>14640</v>
      </c>
      <c r="C1302" s="368">
        <f t="shared" si="4"/>
        <v>0</v>
      </c>
      <c r="E1302" s="362"/>
      <c r="F1302" s="275"/>
    </row>
    <row r="1303" hidden="1">
      <c r="A1303" s="193">
        <v>14660.0</v>
      </c>
      <c r="B1303" s="368">
        <f>VLOOKUP(A1303,'Solicitações'!B:B,1,0)</f>
        <v>14660</v>
      </c>
      <c r="C1303" s="368">
        <f t="shared" si="4"/>
        <v>0</v>
      </c>
      <c r="E1303" s="362"/>
      <c r="F1303" s="275"/>
    </row>
    <row r="1304" hidden="1">
      <c r="A1304" s="193">
        <v>14680.0</v>
      </c>
      <c r="B1304" s="368">
        <f>VLOOKUP(A1304,'Solicitações'!B:B,1,0)</f>
        <v>14680</v>
      </c>
      <c r="C1304" s="368">
        <f t="shared" si="4"/>
        <v>0</v>
      </c>
      <c r="E1304" s="362"/>
      <c r="F1304" s="275"/>
    </row>
    <row r="1305" hidden="1">
      <c r="A1305" s="193">
        <v>14700.0</v>
      </c>
      <c r="B1305" s="368">
        <f>VLOOKUP(A1305,'Solicitações'!B:B,1,0)</f>
        <v>14700</v>
      </c>
      <c r="C1305" s="368">
        <f t="shared" si="4"/>
        <v>0</v>
      </c>
      <c r="E1305" s="362"/>
      <c r="F1305" s="275"/>
    </row>
    <row r="1306" hidden="1">
      <c r="A1306" s="193">
        <v>14720.0</v>
      </c>
      <c r="B1306" s="368">
        <f>VLOOKUP(A1306,'Solicitações'!B:B,1,0)</f>
        <v>14720</v>
      </c>
      <c r="C1306" s="368">
        <f t="shared" si="4"/>
        <v>0</v>
      </c>
      <c r="E1306" s="362"/>
      <c r="F1306" s="275"/>
    </row>
    <row r="1307" hidden="1">
      <c r="A1307" s="193">
        <v>14740.0</v>
      </c>
      <c r="B1307" s="368">
        <f>VLOOKUP(A1307,'Solicitações'!B:B,1,0)</f>
        <v>14740</v>
      </c>
      <c r="C1307" s="368">
        <f t="shared" si="4"/>
        <v>0</v>
      </c>
      <c r="E1307" s="362"/>
      <c r="F1307" s="275"/>
    </row>
    <row r="1308" hidden="1">
      <c r="A1308" s="193">
        <v>14760.0</v>
      </c>
      <c r="B1308" s="368">
        <f>VLOOKUP(A1308,'Solicitações'!B:B,1,0)</f>
        <v>14760</v>
      </c>
      <c r="C1308" s="368">
        <f t="shared" si="4"/>
        <v>0</v>
      </c>
      <c r="E1308" s="362"/>
      <c r="F1308" s="275"/>
    </row>
    <row r="1309" hidden="1">
      <c r="A1309" s="193">
        <v>14780.0</v>
      </c>
      <c r="B1309" s="368">
        <f>VLOOKUP(A1309,'Solicitações'!B:B,1,0)</f>
        <v>14780</v>
      </c>
      <c r="C1309" s="368">
        <f t="shared" si="4"/>
        <v>0</v>
      </c>
      <c r="E1309" s="362"/>
      <c r="F1309" s="275"/>
    </row>
    <row r="1310" hidden="1">
      <c r="A1310" s="193">
        <v>14800.0</v>
      </c>
      <c r="B1310" s="368">
        <f>VLOOKUP(A1310,'Solicitações'!B:B,1,0)</f>
        <v>14800</v>
      </c>
      <c r="C1310" s="368">
        <f t="shared" si="4"/>
        <v>0</v>
      </c>
      <c r="E1310" s="362"/>
      <c r="F1310" s="275"/>
    </row>
    <row r="1311" hidden="1">
      <c r="A1311" s="193">
        <v>14820.0</v>
      </c>
      <c r="B1311" s="368">
        <f>VLOOKUP(A1311,'Solicitações'!B:B,1,0)</f>
        <v>14820</v>
      </c>
      <c r="C1311" s="368">
        <f t="shared" si="4"/>
        <v>0</v>
      </c>
      <c r="E1311" s="362"/>
      <c r="F1311" s="275"/>
    </row>
    <row r="1312" hidden="1">
      <c r="A1312" s="193">
        <v>14821.0</v>
      </c>
      <c r="B1312" s="368">
        <f>VLOOKUP(A1312,'Solicitações'!B:B,1,0)</f>
        <v>14821</v>
      </c>
      <c r="C1312" s="368">
        <f t="shared" si="4"/>
        <v>0</v>
      </c>
      <c r="E1312" s="362"/>
      <c r="F1312" s="275"/>
    </row>
    <row r="1313" hidden="1">
      <c r="A1313" s="193">
        <v>14822.0</v>
      </c>
      <c r="B1313" s="368">
        <f>VLOOKUP(A1313,'Solicitações'!B:B,1,0)</f>
        <v>14822</v>
      </c>
      <c r="C1313" s="368">
        <f t="shared" si="4"/>
        <v>0</v>
      </c>
      <c r="E1313" s="362"/>
      <c r="F1313" s="275"/>
    </row>
    <row r="1314" hidden="1">
      <c r="A1314" s="193">
        <v>14823.0</v>
      </c>
      <c r="B1314" s="368">
        <f>VLOOKUP(A1314,'Solicitações'!B:B,1,0)</f>
        <v>14823</v>
      </c>
      <c r="C1314" s="368">
        <f t="shared" si="4"/>
        <v>0</v>
      </c>
      <c r="E1314" s="362"/>
      <c r="F1314" s="275"/>
    </row>
    <row r="1315" hidden="1">
      <c r="A1315" s="193">
        <v>14824.0</v>
      </c>
      <c r="B1315" s="368">
        <f>VLOOKUP(A1315,'Solicitações'!B:B,1,0)</f>
        <v>14824</v>
      </c>
      <c r="C1315" s="368">
        <f t="shared" si="4"/>
        <v>0</v>
      </c>
      <c r="E1315" s="362"/>
      <c r="F1315" s="275"/>
    </row>
    <row r="1316" hidden="1">
      <c r="A1316" s="193">
        <v>14825.0</v>
      </c>
      <c r="B1316" s="368">
        <f>VLOOKUP(A1316,'Solicitações'!B:B,1,0)</f>
        <v>14825</v>
      </c>
      <c r="C1316" s="368">
        <f t="shared" si="4"/>
        <v>0</v>
      </c>
      <c r="E1316" s="362"/>
      <c r="F1316" s="275"/>
    </row>
    <row r="1317" hidden="1">
      <c r="A1317" s="193">
        <v>14826.0</v>
      </c>
      <c r="B1317" s="368">
        <f>VLOOKUP(A1317,'Solicitações'!B:B,1,0)</f>
        <v>14826</v>
      </c>
      <c r="C1317" s="368">
        <f t="shared" si="4"/>
        <v>0</v>
      </c>
      <c r="E1317" s="362"/>
      <c r="F1317" s="275"/>
    </row>
    <row r="1318" hidden="1">
      <c r="A1318" s="193">
        <v>14827.0</v>
      </c>
      <c r="B1318" s="368">
        <f>VLOOKUP(A1318,'Solicitações'!B:B,1,0)</f>
        <v>14827</v>
      </c>
      <c r="C1318" s="368">
        <f t="shared" si="4"/>
        <v>0</v>
      </c>
      <c r="E1318" s="362"/>
      <c r="F1318" s="275"/>
    </row>
    <row r="1319" hidden="1">
      <c r="A1319" s="193">
        <v>14828.0</v>
      </c>
      <c r="B1319" s="368">
        <f>VLOOKUP(A1319,'Solicitações'!B:B,1,0)</f>
        <v>14828</v>
      </c>
      <c r="C1319" s="368">
        <f t="shared" si="4"/>
        <v>0</v>
      </c>
      <c r="E1319" s="362"/>
      <c r="F1319" s="275"/>
    </row>
    <row r="1320" hidden="1">
      <c r="A1320" s="193">
        <v>14840.0</v>
      </c>
      <c r="B1320" s="368">
        <f>VLOOKUP(A1320,'Solicitações'!B:B,1,0)</f>
        <v>14840</v>
      </c>
      <c r="C1320" s="368">
        <f t="shared" si="4"/>
        <v>0</v>
      </c>
      <c r="E1320" s="362"/>
      <c r="F1320" s="275"/>
    </row>
    <row r="1321" hidden="1">
      <c r="A1321" s="193">
        <v>14860.0</v>
      </c>
      <c r="B1321" s="368">
        <f>VLOOKUP(A1321,'Solicitações'!B:B,1,0)</f>
        <v>14860</v>
      </c>
      <c r="C1321" s="368">
        <f t="shared" si="4"/>
        <v>0</v>
      </c>
      <c r="E1321" s="362"/>
      <c r="F1321" s="275"/>
    </row>
    <row r="1322" hidden="1">
      <c r="A1322" s="193">
        <v>14880.0</v>
      </c>
      <c r="B1322" s="368">
        <f>VLOOKUP(A1322,'Solicitações'!B:B,1,0)</f>
        <v>14880</v>
      </c>
      <c r="C1322" s="368">
        <f t="shared" si="4"/>
        <v>0</v>
      </c>
      <c r="E1322" s="362"/>
      <c r="F1322" s="275"/>
    </row>
    <row r="1323" hidden="1">
      <c r="A1323" s="193">
        <v>14900.0</v>
      </c>
      <c r="B1323" s="368">
        <f>VLOOKUP(A1323,'Solicitações'!B:B,1,0)</f>
        <v>14900</v>
      </c>
      <c r="C1323" s="368">
        <f t="shared" si="4"/>
        <v>0</v>
      </c>
      <c r="E1323" s="362"/>
      <c r="F1323" s="275"/>
    </row>
    <row r="1324" hidden="1">
      <c r="A1324" s="193">
        <v>14920.0</v>
      </c>
      <c r="B1324" s="368">
        <f>VLOOKUP(A1324,'Solicitações'!B:B,1,0)</f>
        <v>14920</v>
      </c>
      <c r="C1324" s="368">
        <f t="shared" si="4"/>
        <v>0</v>
      </c>
      <c r="E1324" s="362"/>
      <c r="F1324" s="275"/>
    </row>
    <row r="1325" hidden="1">
      <c r="A1325" s="193">
        <v>14940.0</v>
      </c>
      <c r="B1325" s="368">
        <f>VLOOKUP(A1325,'Solicitações'!B:B,1,0)</f>
        <v>14940</v>
      </c>
      <c r="C1325" s="368">
        <f t="shared" si="4"/>
        <v>0</v>
      </c>
      <c r="E1325" s="362"/>
      <c r="F1325" s="275"/>
    </row>
    <row r="1326" hidden="1">
      <c r="A1326" s="193">
        <v>14960.0</v>
      </c>
      <c r="B1326" s="368">
        <f>VLOOKUP(A1326,'Solicitações'!B:B,1,0)</f>
        <v>14960</v>
      </c>
      <c r="C1326" s="368">
        <f t="shared" si="4"/>
        <v>0</v>
      </c>
      <c r="E1326" s="362"/>
      <c r="F1326" s="275"/>
    </row>
    <row r="1327" hidden="1">
      <c r="A1327" s="193">
        <v>14980.0</v>
      </c>
      <c r="B1327" s="368">
        <f>VLOOKUP(A1327,'Solicitações'!B:B,1,0)</f>
        <v>14980</v>
      </c>
      <c r="C1327" s="368">
        <f t="shared" si="4"/>
        <v>0</v>
      </c>
      <c r="E1327" s="362"/>
      <c r="F1327" s="275"/>
    </row>
    <row r="1328" hidden="1">
      <c r="A1328" s="193">
        <v>15000.0</v>
      </c>
      <c r="B1328" s="368">
        <f>VLOOKUP(A1328,'Solicitações'!B:B,1,0)</f>
        <v>15000</v>
      </c>
      <c r="C1328" s="368">
        <f t="shared" si="4"/>
        <v>0</v>
      </c>
      <c r="E1328" s="362"/>
      <c r="F1328" s="275"/>
    </row>
    <row r="1329" hidden="1">
      <c r="A1329" s="193">
        <v>15020.0</v>
      </c>
      <c r="B1329" s="368">
        <f>VLOOKUP(A1329,'Solicitações'!B:B,1,0)</f>
        <v>15020</v>
      </c>
      <c r="C1329" s="368">
        <f t="shared" si="4"/>
        <v>0</v>
      </c>
      <c r="E1329" s="362"/>
      <c r="F1329" s="275"/>
    </row>
    <row r="1330" hidden="1">
      <c r="A1330" s="193">
        <v>15040.0</v>
      </c>
      <c r="B1330" s="368">
        <f>VLOOKUP(A1330,'Solicitações'!B:B,1,0)</f>
        <v>15040</v>
      </c>
      <c r="C1330" s="368">
        <f t="shared" si="4"/>
        <v>0</v>
      </c>
      <c r="E1330" s="362"/>
      <c r="F1330" s="275"/>
    </row>
    <row r="1331" hidden="1">
      <c r="A1331" s="193">
        <v>15060.0</v>
      </c>
      <c r="B1331" s="368">
        <f>VLOOKUP(A1331,'Solicitações'!B:B,1,0)</f>
        <v>15060</v>
      </c>
      <c r="C1331" s="368">
        <f t="shared" si="4"/>
        <v>0</v>
      </c>
      <c r="E1331" s="362"/>
      <c r="F1331" s="275"/>
    </row>
    <row r="1332" hidden="1">
      <c r="A1332" s="193">
        <v>15080.0</v>
      </c>
      <c r="B1332" s="368">
        <f>VLOOKUP(A1332,'Solicitações'!B:B,1,0)</f>
        <v>15080</v>
      </c>
      <c r="C1332" s="368">
        <f t="shared" si="4"/>
        <v>0</v>
      </c>
      <c r="E1332" s="362"/>
      <c r="F1332" s="275"/>
    </row>
    <row r="1333" hidden="1">
      <c r="A1333" s="193">
        <v>15100.0</v>
      </c>
      <c r="B1333" s="368">
        <f>VLOOKUP(A1333,'Solicitações'!B:B,1,0)</f>
        <v>15100</v>
      </c>
      <c r="C1333" s="368">
        <f t="shared" si="4"/>
        <v>0</v>
      </c>
      <c r="E1333" s="362"/>
      <c r="F1333" s="275"/>
    </row>
    <row r="1334" hidden="1">
      <c r="A1334" s="193">
        <v>15120.0</v>
      </c>
      <c r="B1334" s="368">
        <f>VLOOKUP(A1334,'Solicitações'!B:B,1,0)</f>
        <v>15120</v>
      </c>
      <c r="C1334" s="368">
        <f t="shared" si="4"/>
        <v>0</v>
      </c>
      <c r="E1334" s="362"/>
      <c r="F1334" s="275"/>
    </row>
    <row r="1335" hidden="1">
      <c r="A1335" s="193">
        <v>15140.0</v>
      </c>
      <c r="B1335" s="368">
        <f>VLOOKUP(A1335,'Solicitações'!B:B,1,0)</f>
        <v>15140</v>
      </c>
      <c r="C1335" s="368">
        <f t="shared" si="4"/>
        <v>0</v>
      </c>
      <c r="E1335" s="362"/>
      <c r="F1335" s="275"/>
    </row>
    <row r="1336" hidden="1">
      <c r="A1336" s="193">
        <v>15160.0</v>
      </c>
      <c r="B1336" s="368">
        <f>VLOOKUP(A1336,'Solicitações'!B:B,1,0)</f>
        <v>15160</v>
      </c>
      <c r="C1336" s="368">
        <f t="shared" si="4"/>
        <v>0</v>
      </c>
      <c r="E1336" s="362"/>
      <c r="F1336" s="275"/>
    </row>
    <row r="1337" hidden="1">
      <c r="A1337" s="193">
        <v>15180.0</v>
      </c>
      <c r="B1337" s="368">
        <f>VLOOKUP(A1337,'Solicitações'!B:B,1,0)</f>
        <v>15180</v>
      </c>
      <c r="C1337" s="368">
        <f t="shared" si="4"/>
        <v>0</v>
      </c>
      <c r="E1337" s="362"/>
      <c r="F1337" s="275"/>
    </row>
    <row r="1338" hidden="1">
      <c r="A1338" s="193">
        <v>15200.0</v>
      </c>
      <c r="B1338" s="368">
        <f>VLOOKUP(A1338,'Solicitações'!B:B,1,0)</f>
        <v>15200</v>
      </c>
      <c r="C1338" s="368">
        <f t="shared" si="4"/>
        <v>0</v>
      </c>
      <c r="E1338" s="362"/>
      <c r="F1338" s="275"/>
    </row>
    <row r="1339" hidden="1">
      <c r="A1339" s="193">
        <v>15220.0</v>
      </c>
      <c r="B1339" s="368">
        <f>VLOOKUP(A1339,'Solicitações'!B:B,1,0)</f>
        <v>15220</v>
      </c>
      <c r="C1339" s="368">
        <f t="shared" si="4"/>
        <v>0</v>
      </c>
      <c r="E1339" s="362"/>
      <c r="F1339" s="275"/>
    </row>
    <row r="1340" hidden="1">
      <c r="A1340" s="193">
        <v>15240.0</v>
      </c>
      <c r="B1340" s="368">
        <f>VLOOKUP(A1340,'Solicitações'!B:B,1,0)</f>
        <v>15240</v>
      </c>
      <c r="C1340" s="368">
        <f t="shared" si="4"/>
        <v>0</v>
      </c>
      <c r="E1340" s="362"/>
      <c r="F1340" s="275"/>
    </row>
    <row r="1341" hidden="1">
      <c r="A1341" s="193">
        <v>15260.0</v>
      </c>
      <c r="B1341" s="368">
        <f>VLOOKUP(A1341,'Solicitações'!B:B,1,0)</f>
        <v>15260</v>
      </c>
      <c r="C1341" s="368">
        <f t="shared" si="4"/>
        <v>0</v>
      </c>
      <c r="E1341" s="362"/>
      <c r="F1341" s="275"/>
    </row>
    <row r="1342" hidden="1">
      <c r="A1342" s="193">
        <v>15280.0</v>
      </c>
      <c r="B1342" s="368">
        <f>VLOOKUP(A1342,'Solicitações'!B:B,1,0)</f>
        <v>15280</v>
      </c>
      <c r="C1342" s="368">
        <f t="shared" si="4"/>
        <v>0</v>
      </c>
      <c r="E1342" s="362"/>
      <c r="F1342" s="275"/>
    </row>
    <row r="1343" hidden="1">
      <c r="A1343" s="193">
        <v>15300.0</v>
      </c>
      <c r="B1343" s="368">
        <f>VLOOKUP(A1343,'Solicitações'!B:B,1,0)</f>
        <v>15300</v>
      </c>
      <c r="C1343" s="368">
        <f t="shared" si="4"/>
        <v>0</v>
      </c>
      <c r="E1343" s="362"/>
      <c r="F1343" s="275"/>
    </row>
    <row r="1344" hidden="1">
      <c r="A1344" s="193">
        <v>15320.0</v>
      </c>
      <c r="B1344" s="368">
        <f>VLOOKUP(A1344,'Solicitações'!B:B,1,0)</f>
        <v>15320</v>
      </c>
      <c r="C1344" s="368">
        <f t="shared" si="4"/>
        <v>0</v>
      </c>
      <c r="E1344" s="362"/>
      <c r="F1344" s="275"/>
    </row>
    <row r="1345" hidden="1">
      <c r="A1345" s="193">
        <v>15340.0</v>
      </c>
      <c r="B1345" s="368">
        <f>VLOOKUP(A1345,'Solicitações'!B:B,1,0)</f>
        <v>15340</v>
      </c>
      <c r="C1345" s="368">
        <f t="shared" si="4"/>
        <v>0</v>
      </c>
      <c r="E1345" s="362"/>
      <c r="F1345" s="275"/>
    </row>
    <row r="1346" hidden="1">
      <c r="A1346" s="193">
        <v>15360.0</v>
      </c>
      <c r="B1346" s="368">
        <f>VLOOKUP(A1346,'Solicitações'!B:B,1,0)</f>
        <v>15360</v>
      </c>
      <c r="C1346" s="368">
        <f t="shared" si="4"/>
        <v>0</v>
      </c>
      <c r="E1346" s="362"/>
      <c r="F1346" s="275"/>
    </row>
    <row r="1347" hidden="1">
      <c r="A1347" s="193">
        <v>15380.0</v>
      </c>
      <c r="B1347" s="368">
        <f>VLOOKUP(A1347,'Solicitações'!B:B,1,0)</f>
        <v>15380</v>
      </c>
      <c r="C1347" s="368">
        <f t="shared" si="4"/>
        <v>0</v>
      </c>
      <c r="E1347" s="362"/>
      <c r="F1347" s="275"/>
    </row>
    <row r="1348" hidden="1">
      <c r="A1348" s="193">
        <v>15400.0</v>
      </c>
      <c r="B1348" s="368">
        <f>VLOOKUP(A1348,'Solicitações'!B:B,1,0)</f>
        <v>15400</v>
      </c>
      <c r="C1348" s="368">
        <f t="shared" si="4"/>
        <v>0</v>
      </c>
      <c r="E1348" s="362"/>
      <c r="F1348" s="275"/>
    </row>
    <row r="1349" hidden="1">
      <c r="A1349" s="193">
        <v>15420.0</v>
      </c>
      <c r="B1349" s="368">
        <f>VLOOKUP(A1349,'Solicitações'!B:B,1,0)</f>
        <v>15420</v>
      </c>
      <c r="C1349" s="368">
        <f t="shared" si="4"/>
        <v>0</v>
      </c>
      <c r="E1349" s="362"/>
      <c r="F1349" s="275"/>
    </row>
    <row r="1350" hidden="1">
      <c r="A1350" s="193">
        <v>15421.0</v>
      </c>
      <c r="B1350" s="368">
        <f>VLOOKUP(A1350,'Solicitações'!B:B,1,0)</f>
        <v>15421</v>
      </c>
      <c r="C1350" s="368">
        <f t="shared" si="4"/>
        <v>0</v>
      </c>
      <c r="E1350" s="362"/>
      <c r="F1350" s="275"/>
    </row>
    <row r="1351" hidden="1">
      <c r="A1351" s="193">
        <v>15440.0</v>
      </c>
      <c r="B1351" s="368">
        <f>VLOOKUP(A1351,'Solicitações'!B:B,1,0)</f>
        <v>15440</v>
      </c>
      <c r="C1351" s="368">
        <f t="shared" si="4"/>
        <v>0</v>
      </c>
      <c r="E1351" s="362"/>
      <c r="F1351" s="275"/>
    </row>
    <row r="1352" hidden="1">
      <c r="A1352" s="193">
        <v>15460.0</v>
      </c>
      <c r="B1352" s="368">
        <f>VLOOKUP(A1352,'Solicitações'!B:B,1,0)</f>
        <v>15460</v>
      </c>
      <c r="C1352" s="368">
        <f t="shared" si="4"/>
        <v>0</v>
      </c>
      <c r="E1352" s="362"/>
      <c r="F1352" s="275"/>
    </row>
    <row r="1353" hidden="1">
      <c r="A1353" s="193">
        <v>15480.0</v>
      </c>
      <c r="B1353" s="368">
        <f>VLOOKUP(A1353,'Solicitações'!B:B,1,0)</f>
        <v>15480</v>
      </c>
      <c r="C1353" s="368">
        <f t="shared" si="4"/>
        <v>0</v>
      </c>
      <c r="E1353" s="362"/>
      <c r="F1353" s="275"/>
    </row>
    <row r="1354" hidden="1">
      <c r="A1354" s="193">
        <v>15500.0</v>
      </c>
      <c r="B1354" s="368">
        <f>VLOOKUP(A1354,'Solicitações'!B:B,1,0)</f>
        <v>15500</v>
      </c>
      <c r="C1354" s="368">
        <f t="shared" si="4"/>
        <v>0</v>
      </c>
      <c r="E1354" s="362"/>
      <c r="F1354" s="275"/>
    </row>
    <row r="1355" hidden="1">
      <c r="A1355" s="193">
        <v>15520.0</v>
      </c>
      <c r="B1355" s="368">
        <f>VLOOKUP(A1355,'Solicitações'!B:B,1,0)</f>
        <v>15520</v>
      </c>
      <c r="C1355" s="368">
        <f t="shared" si="4"/>
        <v>0</v>
      </c>
      <c r="E1355" s="362"/>
      <c r="F1355" s="275"/>
    </row>
    <row r="1356" hidden="1">
      <c r="A1356" s="193">
        <v>15540.0</v>
      </c>
      <c r="B1356" s="368">
        <f>VLOOKUP(A1356,'Solicitações'!B:B,1,0)</f>
        <v>15540</v>
      </c>
      <c r="C1356" s="368">
        <f t="shared" si="4"/>
        <v>0</v>
      </c>
      <c r="E1356" s="362"/>
      <c r="F1356" s="275"/>
    </row>
    <row r="1357" hidden="1">
      <c r="A1357" s="193">
        <v>15560.0</v>
      </c>
      <c r="B1357" s="368">
        <f>VLOOKUP(A1357,'Solicitações'!B:B,1,0)</f>
        <v>15560</v>
      </c>
      <c r="C1357" s="368">
        <f t="shared" si="4"/>
        <v>0</v>
      </c>
      <c r="E1357" s="362"/>
      <c r="F1357" s="275"/>
    </row>
    <row r="1358" hidden="1">
      <c r="A1358" s="193">
        <v>15561.0</v>
      </c>
      <c r="B1358" s="368">
        <f>VLOOKUP(A1358,'Solicitações'!B:B,1,0)</f>
        <v>15561</v>
      </c>
      <c r="C1358" s="368">
        <f t="shared" si="4"/>
        <v>0</v>
      </c>
      <c r="E1358" s="362"/>
      <c r="F1358" s="275"/>
    </row>
    <row r="1359" hidden="1">
      <c r="A1359" s="193">
        <v>15580.0</v>
      </c>
      <c r="B1359" s="368">
        <f>VLOOKUP(A1359,'Solicitações'!B:B,1,0)</f>
        <v>15580</v>
      </c>
      <c r="C1359" s="368">
        <f t="shared" si="4"/>
        <v>0</v>
      </c>
      <c r="E1359" s="362"/>
      <c r="F1359" s="275"/>
    </row>
    <row r="1360" hidden="1">
      <c r="A1360" s="193">
        <v>15600.0</v>
      </c>
      <c r="B1360" s="368">
        <f>VLOOKUP(A1360,'Solicitações'!B:B,1,0)</f>
        <v>15600</v>
      </c>
      <c r="C1360" s="368">
        <f t="shared" si="4"/>
        <v>0</v>
      </c>
      <c r="E1360" s="362"/>
      <c r="F1360" s="275"/>
    </row>
    <row r="1361" hidden="1">
      <c r="A1361" s="193">
        <v>15620.0</v>
      </c>
      <c r="B1361" s="368">
        <f>VLOOKUP(A1361,'Solicitações'!B:B,1,0)</f>
        <v>15620</v>
      </c>
      <c r="C1361" s="368">
        <f t="shared" si="4"/>
        <v>0</v>
      </c>
      <c r="E1361" s="362"/>
      <c r="F1361" s="275"/>
    </row>
    <row r="1362" hidden="1">
      <c r="A1362" s="193">
        <v>15640.0</v>
      </c>
      <c r="B1362" s="368">
        <f>VLOOKUP(A1362,'Solicitações'!B:B,1,0)</f>
        <v>15640</v>
      </c>
      <c r="C1362" s="368">
        <f t="shared" si="4"/>
        <v>0</v>
      </c>
      <c r="E1362" s="362"/>
      <c r="F1362" s="275"/>
    </row>
    <row r="1363" hidden="1">
      <c r="A1363" s="193">
        <v>15660.0</v>
      </c>
      <c r="B1363" s="368">
        <f>VLOOKUP(A1363,'Solicitações'!B:B,1,0)</f>
        <v>15660</v>
      </c>
      <c r="C1363" s="368">
        <f t="shared" si="4"/>
        <v>0</v>
      </c>
      <c r="E1363" s="362"/>
      <c r="F1363" s="275"/>
    </row>
    <row r="1364" hidden="1">
      <c r="A1364" s="193">
        <v>15680.0</v>
      </c>
      <c r="B1364" s="368">
        <f>VLOOKUP(A1364,'Solicitações'!B:B,1,0)</f>
        <v>15680</v>
      </c>
      <c r="C1364" s="368">
        <f t="shared" si="4"/>
        <v>0</v>
      </c>
      <c r="E1364" s="362"/>
      <c r="F1364" s="275"/>
    </row>
    <row r="1365" hidden="1">
      <c r="A1365" s="193">
        <v>15681.0</v>
      </c>
      <c r="B1365" s="368">
        <f>VLOOKUP(A1365,'Solicitações'!B:B,1,0)</f>
        <v>15681</v>
      </c>
      <c r="C1365" s="368">
        <f t="shared" si="4"/>
        <v>0</v>
      </c>
      <c r="E1365" s="362"/>
      <c r="F1365" s="275"/>
    </row>
    <row r="1366" hidden="1">
      <c r="A1366" s="193">
        <v>15700.0</v>
      </c>
      <c r="B1366" s="368">
        <f>VLOOKUP(A1366,'Solicitações'!B:B,1,0)</f>
        <v>15700</v>
      </c>
      <c r="C1366" s="368">
        <f t="shared" si="4"/>
        <v>0</v>
      </c>
      <c r="E1366" s="362"/>
      <c r="F1366" s="275"/>
    </row>
    <row r="1367" hidden="1">
      <c r="A1367" s="193">
        <v>15720.0</v>
      </c>
      <c r="B1367" s="368">
        <f>VLOOKUP(A1367,'Solicitações'!B:B,1,0)</f>
        <v>15720</v>
      </c>
      <c r="C1367" s="368">
        <f t="shared" si="4"/>
        <v>0</v>
      </c>
      <c r="E1367" s="362"/>
      <c r="F1367" s="275"/>
    </row>
    <row r="1368" hidden="1">
      <c r="A1368" s="193">
        <v>15740.0</v>
      </c>
      <c r="B1368" s="368">
        <f>VLOOKUP(A1368,'Solicitações'!B:B,1,0)</f>
        <v>15740</v>
      </c>
      <c r="C1368" s="368">
        <f t="shared" si="4"/>
        <v>0</v>
      </c>
      <c r="E1368" s="362"/>
      <c r="F1368" s="275"/>
    </row>
    <row r="1369" hidden="1">
      <c r="A1369" s="193">
        <v>15760.0</v>
      </c>
      <c r="B1369" s="368">
        <f>VLOOKUP(A1369,'Solicitações'!B:B,1,0)</f>
        <v>15760</v>
      </c>
      <c r="C1369" s="368">
        <f t="shared" si="4"/>
        <v>0</v>
      </c>
      <c r="E1369" s="362"/>
      <c r="F1369" s="275"/>
    </row>
    <row r="1370" hidden="1">
      <c r="A1370" s="193">
        <v>15780.0</v>
      </c>
      <c r="B1370" s="368">
        <f>VLOOKUP(A1370,'Solicitações'!B:B,1,0)</f>
        <v>15780</v>
      </c>
      <c r="C1370" s="368">
        <f t="shared" si="4"/>
        <v>0</v>
      </c>
      <c r="E1370" s="362"/>
      <c r="F1370" s="275"/>
    </row>
    <row r="1371" hidden="1">
      <c r="A1371" s="193">
        <v>15800.0</v>
      </c>
      <c r="B1371" s="368">
        <f>VLOOKUP(A1371,'Solicitações'!B:B,1,0)</f>
        <v>15800</v>
      </c>
      <c r="C1371" s="368">
        <f t="shared" si="4"/>
        <v>0</v>
      </c>
      <c r="E1371" s="362"/>
      <c r="F1371" s="275"/>
    </row>
    <row r="1372" hidden="1">
      <c r="A1372" s="193">
        <v>15820.0</v>
      </c>
      <c r="B1372" s="368">
        <f>VLOOKUP(A1372,'Solicitações'!B:B,1,0)</f>
        <v>15820</v>
      </c>
      <c r="C1372" s="368">
        <f t="shared" si="4"/>
        <v>0</v>
      </c>
      <c r="E1372" s="362"/>
      <c r="F1372" s="275"/>
    </row>
    <row r="1373" hidden="1">
      <c r="A1373" s="193">
        <v>15840.0</v>
      </c>
      <c r="B1373" s="368">
        <f>VLOOKUP(A1373,'Solicitações'!B:B,1,0)</f>
        <v>15840</v>
      </c>
      <c r="C1373" s="368">
        <f t="shared" si="4"/>
        <v>0</v>
      </c>
      <c r="E1373" s="362"/>
      <c r="F1373" s="275"/>
    </row>
    <row r="1374" hidden="1">
      <c r="A1374" s="193">
        <v>15860.0</v>
      </c>
      <c r="B1374" s="368">
        <f>VLOOKUP(A1374,'Solicitações'!B:B,1,0)</f>
        <v>15860</v>
      </c>
      <c r="C1374" s="368">
        <f t="shared" si="4"/>
        <v>0</v>
      </c>
      <c r="E1374" s="362"/>
      <c r="F1374" s="275"/>
    </row>
    <row r="1375" hidden="1">
      <c r="A1375" s="193">
        <v>15880.0</v>
      </c>
      <c r="B1375" s="368">
        <f>VLOOKUP(A1375,'Solicitações'!B:B,1,0)</f>
        <v>15880</v>
      </c>
      <c r="C1375" s="368">
        <f t="shared" si="4"/>
        <v>0</v>
      </c>
      <c r="E1375" s="362"/>
      <c r="F1375" s="275"/>
    </row>
    <row r="1376" hidden="1">
      <c r="A1376" s="193">
        <v>15900.0</v>
      </c>
      <c r="B1376" s="368">
        <f>VLOOKUP(A1376,'Solicitações'!B:B,1,0)</f>
        <v>15900</v>
      </c>
      <c r="C1376" s="368">
        <f t="shared" si="4"/>
        <v>0</v>
      </c>
      <c r="E1376" s="362"/>
      <c r="F1376" s="275"/>
    </row>
    <row r="1377" hidden="1">
      <c r="A1377" s="193">
        <v>15920.0</v>
      </c>
      <c r="B1377" s="368">
        <f>VLOOKUP(A1377,'Solicitações'!B:B,1,0)</f>
        <v>15920</v>
      </c>
      <c r="C1377" s="368">
        <f t="shared" si="4"/>
        <v>0</v>
      </c>
      <c r="E1377" s="362"/>
      <c r="F1377" s="275"/>
    </row>
    <row r="1378" hidden="1">
      <c r="A1378" s="193">
        <v>15940.0</v>
      </c>
      <c r="B1378" s="368">
        <f>VLOOKUP(A1378,'Solicitações'!B:B,1,0)</f>
        <v>15940</v>
      </c>
      <c r="C1378" s="368">
        <f t="shared" si="4"/>
        <v>0</v>
      </c>
      <c r="E1378" s="362"/>
      <c r="F1378" s="275"/>
    </row>
    <row r="1379" hidden="1">
      <c r="A1379" s="193">
        <v>15960.0</v>
      </c>
      <c r="B1379" s="368">
        <f>VLOOKUP(A1379,'Solicitações'!B:B,1,0)</f>
        <v>15960</v>
      </c>
      <c r="C1379" s="368">
        <f t="shared" si="4"/>
        <v>0</v>
      </c>
      <c r="E1379" s="362"/>
      <c r="F1379" s="275"/>
    </row>
    <row r="1380" hidden="1">
      <c r="A1380" s="193">
        <v>15961.0</v>
      </c>
      <c r="B1380" s="368">
        <f>VLOOKUP(A1380,'Solicitações'!B:B,1,0)</f>
        <v>15961</v>
      </c>
      <c r="C1380" s="368">
        <f t="shared" si="4"/>
        <v>0</v>
      </c>
      <c r="E1380" s="362"/>
      <c r="F1380" s="275"/>
    </row>
    <row r="1381" hidden="1">
      <c r="A1381" s="193">
        <v>15962.0</v>
      </c>
      <c r="B1381" s="368">
        <f>VLOOKUP(A1381,'Solicitações'!B:B,1,0)</f>
        <v>15962</v>
      </c>
      <c r="C1381" s="368">
        <f t="shared" si="4"/>
        <v>0</v>
      </c>
      <c r="E1381" s="362"/>
      <c r="F1381" s="275"/>
    </row>
    <row r="1382" hidden="1">
      <c r="A1382" s="193">
        <v>15963.0</v>
      </c>
      <c r="B1382" s="368">
        <f>VLOOKUP(A1382,'Solicitações'!B:B,1,0)</f>
        <v>15963</v>
      </c>
      <c r="C1382" s="368">
        <f t="shared" si="4"/>
        <v>0</v>
      </c>
      <c r="E1382" s="362"/>
      <c r="F1382" s="275"/>
    </row>
    <row r="1383" hidden="1">
      <c r="A1383" s="193">
        <v>15964.0</v>
      </c>
      <c r="B1383" s="368">
        <f>VLOOKUP(A1383,'Solicitações'!B:B,1,0)</f>
        <v>15964</v>
      </c>
      <c r="C1383" s="368">
        <f t="shared" si="4"/>
        <v>0</v>
      </c>
      <c r="E1383" s="362"/>
      <c r="F1383" s="275"/>
    </row>
    <row r="1384" hidden="1">
      <c r="A1384" s="193">
        <v>15965.0</v>
      </c>
      <c r="B1384" s="368">
        <f>VLOOKUP(A1384,'Solicitações'!B:B,1,0)</f>
        <v>15965</v>
      </c>
      <c r="C1384" s="368">
        <f t="shared" si="4"/>
        <v>0</v>
      </c>
      <c r="E1384" s="362"/>
      <c r="F1384" s="275"/>
    </row>
    <row r="1385" hidden="1">
      <c r="A1385" s="193">
        <v>15966.0</v>
      </c>
      <c r="B1385" s="368">
        <f>VLOOKUP(A1385,'Solicitações'!B:B,1,0)</f>
        <v>15966</v>
      </c>
      <c r="C1385" s="368">
        <f t="shared" si="4"/>
        <v>0</v>
      </c>
      <c r="E1385" s="362"/>
      <c r="F1385" s="275"/>
    </row>
    <row r="1386" hidden="1">
      <c r="A1386" s="193">
        <v>15980.0</v>
      </c>
      <c r="B1386" s="368">
        <f>VLOOKUP(A1386,'Solicitações'!B:B,1,0)</f>
        <v>15980</v>
      </c>
      <c r="C1386" s="368">
        <f t="shared" si="4"/>
        <v>0</v>
      </c>
      <c r="E1386" s="362"/>
      <c r="F1386" s="275"/>
    </row>
    <row r="1387" hidden="1">
      <c r="A1387" s="193">
        <v>16000.0</v>
      </c>
      <c r="B1387" s="368">
        <f>VLOOKUP(A1387,'Solicitações'!B:B,1,0)</f>
        <v>16000</v>
      </c>
      <c r="C1387" s="368">
        <f t="shared" si="4"/>
        <v>0</v>
      </c>
      <c r="E1387" s="362"/>
      <c r="F1387" s="275"/>
    </row>
    <row r="1388" hidden="1">
      <c r="A1388" s="193">
        <v>16001.0</v>
      </c>
      <c r="B1388" s="368">
        <f>VLOOKUP(A1388,'Solicitações'!B:B,1,0)</f>
        <v>16001</v>
      </c>
      <c r="C1388" s="368">
        <f t="shared" si="4"/>
        <v>0</v>
      </c>
      <c r="E1388" s="362"/>
      <c r="F1388" s="275"/>
    </row>
    <row r="1389" hidden="1">
      <c r="A1389" s="193">
        <v>16020.0</v>
      </c>
      <c r="B1389" s="368">
        <f>VLOOKUP(A1389,'Solicitações'!B:B,1,0)</f>
        <v>16020</v>
      </c>
      <c r="C1389" s="368">
        <f t="shared" si="4"/>
        <v>0</v>
      </c>
      <c r="E1389" s="362"/>
      <c r="F1389" s="275"/>
    </row>
    <row r="1390" hidden="1">
      <c r="A1390" s="193">
        <v>16040.0</v>
      </c>
      <c r="B1390" s="368">
        <f>VLOOKUP(A1390,'Solicitações'!B:B,1,0)</f>
        <v>16040</v>
      </c>
      <c r="C1390" s="368">
        <f t="shared" si="4"/>
        <v>0</v>
      </c>
      <c r="E1390" s="362"/>
      <c r="F1390" s="275"/>
    </row>
    <row r="1391" hidden="1">
      <c r="A1391" s="193">
        <v>16060.0</v>
      </c>
      <c r="B1391" s="368">
        <f>VLOOKUP(A1391,'Solicitações'!B:B,1,0)</f>
        <v>16060</v>
      </c>
      <c r="C1391" s="368">
        <f t="shared" si="4"/>
        <v>0</v>
      </c>
      <c r="E1391" s="362"/>
      <c r="F1391" s="275"/>
    </row>
    <row r="1392" hidden="1">
      <c r="A1392" s="193">
        <v>16080.0</v>
      </c>
      <c r="B1392" s="368">
        <f>VLOOKUP(A1392,'Solicitações'!B:B,1,0)</f>
        <v>16080</v>
      </c>
      <c r="C1392" s="368">
        <f t="shared" si="4"/>
        <v>0</v>
      </c>
      <c r="E1392" s="362"/>
      <c r="F1392" s="275"/>
    </row>
    <row r="1393" hidden="1">
      <c r="A1393" s="193">
        <v>16100.0</v>
      </c>
      <c r="B1393" s="368">
        <f>VLOOKUP(A1393,'Solicitações'!B:B,1,0)</f>
        <v>16100</v>
      </c>
      <c r="C1393" s="368">
        <f t="shared" si="4"/>
        <v>0</v>
      </c>
      <c r="E1393" s="362"/>
      <c r="F1393" s="275"/>
    </row>
    <row r="1394" hidden="1">
      <c r="A1394" s="193">
        <v>16120.0</v>
      </c>
      <c r="B1394" s="368">
        <f>VLOOKUP(A1394,'Solicitações'!B:B,1,0)</f>
        <v>16120</v>
      </c>
      <c r="C1394" s="368">
        <f t="shared" si="4"/>
        <v>0</v>
      </c>
      <c r="E1394" s="362"/>
      <c r="F1394" s="275"/>
    </row>
    <row r="1395" hidden="1">
      <c r="A1395" s="193">
        <v>16140.0</v>
      </c>
      <c r="B1395" s="368">
        <f>VLOOKUP(A1395,'Solicitações'!B:B,1,0)</f>
        <v>16140</v>
      </c>
      <c r="C1395" s="368">
        <f t="shared" si="4"/>
        <v>0</v>
      </c>
      <c r="E1395" s="362"/>
      <c r="F1395" s="275"/>
    </row>
    <row r="1396" hidden="1">
      <c r="A1396" s="193">
        <v>16160.0</v>
      </c>
      <c r="B1396" s="368">
        <f>VLOOKUP(A1396,'Solicitações'!B:B,1,0)</f>
        <v>16160</v>
      </c>
      <c r="C1396" s="368">
        <f t="shared" si="4"/>
        <v>0</v>
      </c>
      <c r="E1396" s="362"/>
      <c r="F1396" s="275"/>
    </row>
    <row r="1397" hidden="1">
      <c r="A1397" s="193">
        <v>16180.0</v>
      </c>
      <c r="B1397" s="368">
        <f>VLOOKUP(A1397,'Solicitações'!B:B,1,0)</f>
        <v>16180</v>
      </c>
      <c r="C1397" s="368">
        <f t="shared" si="4"/>
        <v>0</v>
      </c>
      <c r="E1397" s="362"/>
      <c r="F1397" s="275"/>
    </row>
    <row r="1398" hidden="1">
      <c r="A1398" s="193">
        <v>16200.0</v>
      </c>
      <c r="B1398" s="368">
        <f>VLOOKUP(A1398,'Solicitações'!B:B,1,0)</f>
        <v>16200</v>
      </c>
      <c r="C1398" s="368">
        <f t="shared" si="4"/>
        <v>0</v>
      </c>
      <c r="E1398" s="362"/>
      <c r="F1398" s="275"/>
    </row>
    <row r="1399" hidden="1">
      <c r="A1399" s="193">
        <v>16220.0</v>
      </c>
      <c r="B1399" s="368">
        <f>VLOOKUP(A1399,'Solicitações'!B:B,1,0)</f>
        <v>16220</v>
      </c>
      <c r="C1399" s="368">
        <f t="shared" si="4"/>
        <v>0</v>
      </c>
      <c r="E1399" s="362"/>
      <c r="F1399" s="275"/>
    </row>
    <row r="1400" hidden="1">
      <c r="A1400" s="193">
        <v>16221.0</v>
      </c>
      <c r="B1400" s="368">
        <f>VLOOKUP(A1400,'Solicitações'!B:B,1,0)</f>
        <v>16221</v>
      </c>
      <c r="C1400" s="368">
        <f t="shared" si="4"/>
        <v>0</v>
      </c>
      <c r="E1400" s="362"/>
      <c r="F1400" s="275"/>
    </row>
    <row r="1401" hidden="1">
      <c r="A1401" s="193">
        <v>16240.0</v>
      </c>
      <c r="B1401" s="368">
        <f>VLOOKUP(A1401,'Solicitações'!B:B,1,0)</f>
        <v>16240</v>
      </c>
      <c r="C1401" s="368">
        <f t="shared" si="4"/>
        <v>0</v>
      </c>
      <c r="E1401" s="362"/>
      <c r="F1401" s="275"/>
    </row>
    <row r="1402" hidden="1">
      <c r="A1402" s="193">
        <v>16260.0</v>
      </c>
      <c r="B1402" s="368">
        <f>VLOOKUP(A1402,'Solicitações'!B:B,1,0)</f>
        <v>16260</v>
      </c>
      <c r="C1402" s="368">
        <f t="shared" si="4"/>
        <v>0</v>
      </c>
      <c r="E1402" s="362"/>
      <c r="F1402" s="275"/>
    </row>
    <row r="1403" hidden="1">
      <c r="A1403" s="193">
        <v>16280.0</v>
      </c>
      <c r="B1403" s="368">
        <f>VLOOKUP(A1403,'Solicitações'!B:B,1,0)</f>
        <v>16280</v>
      </c>
      <c r="C1403" s="368">
        <f t="shared" si="4"/>
        <v>0</v>
      </c>
      <c r="E1403" s="362"/>
      <c r="F1403" s="275"/>
    </row>
    <row r="1404" hidden="1">
      <c r="A1404" s="193">
        <v>16300.0</v>
      </c>
      <c r="B1404" s="368">
        <f>VLOOKUP(A1404,'Solicitações'!B:B,1,0)</f>
        <v>16300</v>
      </c>
      <c r="C1404" s="368">
        <f t="shared" si="4"/>
        <v>0</v>
      </c>
      <c r="E1404" s="362"/>
      <c r="F1404" s="275"/>
    </row>
    <row r="1405" hidden="1">
      <c r="A1405" s="193">
        <v>16320.0</v>
      </c>
      <c r="B1405" s="368">
        <f>VLOOKUP(A1405,'Solicitações'!B:B,1,0)</f>
        <v>16320</v>
      </c>
      <c r="C1405" s="368">
        <f t="shared" si="4"/>
        <v>0</v>
      </c>
      <c r="E1405" s="362"/>
      <c r="F1405" s="275"/>
    </row>
    <row r="1406" hidden="1">
      <c r="A1406" s="193">
        <v>16340.0</v>
      </c>
      <c r="B1406" s="368">
        <f>VLOOKUP(A1406,'Solicitações'!B:B,1,0)</f>
        <v>16340</v>
      </c>
      <c r="C1406" s="368">
        <f t="shared" si="4"/>
        <v>0</v>
      </c>
      <c r="E1406" s="362"/>
      <c r="F1406" s="275"/>
    </row>
    <row r="1407" hidden="1">
      <c r="A1407" s="193">
        <v>16360.0</v>
      </c>
      <c r="B1407" s="368">
        <f>VLOOKUP(A1407,'Solicitações'!B:B,1,0)</f>
        <v>16360</v>
      </c>
      <c r="C1407" s="368">
        <f t="shared" si="4"/>
        <v>0</v>
      </c>
      <c r="E1407" s="362"/>
      <c r="F1407" s="275"/>
    </row>
    <row r="1408" hidden="1">
      <c r="A1408" s="193">
        <v>16380.0</v>
      </c>
      <c r="B1408" s="368">
        <f>VLOOKUP(A1408,'Solicitações'!B:B,1,0)</f>
        <v>16380</v>
      </c>
      <c r="C1408" s="368">
        <f t="shared" si="4"/>
        <v>0</v>
      </c>
      <c r="E1408" s="362"/>
      <c r="F1408" s="275"/>
    </row>
    <row r="1409" hidden="1">
      <c r="A1409" s="193">
        <v>16400.0</v>
      </c>
      <c r="B1409" s="368">
        <f>VLOOKUP(A1409,'Solicitações'!B:B,1,0)</f>
        <v>16400</v>
      </c>
      <c r="C1409" s="368">
        <f t="shared" si="4"/>
        <v>0</v>
      </c>
      <c r="E1409" s="362"/>
      <c r="F1409" s="275"/>
    </row>
    <row r="1410" hidden="1">
      <c r="A1410" s="193">
        <v>16420.0</v>
      </c>
      <c r="B1410" s="368">
        <f>VLOOKUP(A1410,'Solicitações'!B:B,1,0)</f>
        <v>16420</v>
      </c>
      <c r="C1410" s="368">
        <f t="shared" si="4"/>
        <v>0</v>
      </c>
      <c r="E1410" s="362"/>
      <c r="F1410" s="275"/>
    </row>
    <row r="1411" hidden="1">
      <c r="A1411" s="193">
        <v>16440.0</v>
      </c>
      <c r="B1411" s="368">
        <f>VLOOKUP(A1411,'Solicitações'!B:B,1,0)</f>
        <v>16440</v>
      </c>
      <c r="C1411" s="368">
        <f t="shared" si="4"/>
        <v>0</v>
      </c>
      <c r="E1411" s="362"/>
      <c r="F1411" s="275"/>
    </row>
    <row r="1412" hidden="1">
      <c r="A1412" s="193">
        <v>16460.0</v>
      </c>
      <c r="B1412" s="368">
        <f>VLOOKUP(A1412,'Solicitações'!B:B,1,0)</f>
        <v>16460</v>
      </c>
      <c r="C1412" s="368">
        <f t="shared" si="4"/>
        <v>0</v>
      </c>
      <c r="E1412" s="362"/>
      <c r="F1412" s="275"/>
    </row>
    <row r="1413" hidden="1">
      <c r="A1413" s="193">
        <v>16480.0</v>
      </c>
      <c r="B1413" s="368">
        <f>VLOOKUP(A1413,'Solicitações'!B:B,1,0)</f>
        <v>16480</v>
      </c>
      <c r="C1413" s="368">
        <f t="shared" si="4"/>
        <v>0</v>
      </c>
      <c r="E1413" s="362"/>
      <c r="F1413" s="275"/>
    </row>
    <row r="1414" hidden="1">
      <c r="A1414" s="193">
        <v>16500.0</v>
      </c>
      <c r="B1414" s="368">
        <f>VLOOKUP(A1414,'Solicitações'!B:B,1,0)</f>
        <v>16500</v>
      </c>
      <c r="C1414" s="368">
        <f t="shared" si="4"/>
        <v>0</v>
      </c>
      <c r="E1414" s="362"/>
      <c r="F1414" s="275"/>
    </row>
    <row r="1415" hidden="1">
      <c r="A1415" s="193">
        <v>16520.0</v>
      </c>
      <c r="B1415" s="368">
        <f>VLOOKUP(A1415,'Solicitações'!B:B,1,0)</f>
        <v>16520</v>
      </c>
      <c r="C1415" s="368">
        <f t="shared" si="4"/>
        <v>0</v>
      </c>
      <c r="E1415" s="362"/>
      <c r="F1415" s="275"/>
    </row>
    <row r="1416" hidden="1">
      <c r="A1416" s="193">
        <v>16540.0</v>
      </c>
      <c r="B1416" s="368">
        <f>VLOOKUP(A1416,'Solicitações'!B:B,1,0)</f>
        <v>16540</v>
      </c>
      <c r="C1416" s="368">
        <f t="shared" si="4"/>
        <v>0</v>
      </c>
      <c r="E1416" s="362"/>
      <c r="F1416" s="275"/>
    </row>
    <row r="1417" hidden="1">
      <c r="A1417" s="193">
        <v>16560.0</v>
      </c>
      <c r="B1417" s="368">
        <f>VLOOKUP(A1417,'Solicitações'!B:B,1,0)</f>
        <v>16560</v>
      </c>
      <c r="C1417" s="368">
        <f t="shared" si="4"/>
        <v>0</v>
      </c>
      <c r="E1417" s="362"/>
      <c r="F1417" s="275"/>
    </row>
    <row r="1418" hidden="1">
      <c r="A1418" s="193">
        <v>16561.0</v>
      </c>
      <c r="B1418" s="368">
        <f>VLOOKUP(A1418,'Solicitações'!B:B,1,0)</f>
        <v>16561</v>
      </c>
      <c r="C1418" s="368">
        <f t="shared" si="4"/>
        <v>0</v>
      </c>
      <c r="E1418" s="362"/>
      <c r="F1418" s="275"/>
    </row>
    <row r="1419" hidden="1">
      <c r="A1419" s="193">
        <v>16580.0</v>
      </c>
      <c r="B1419" s="368">
        <f>VLOOKUP(A1419,'Solicitações'!B:B,1,0)</f>
        <v>16580</v>
      </c>
      <c r="C1419" s="368">
        <f t="shared" si="4"/>
        <v>0</v>
      </c>
      <c r="E1419" s="362"/>
      <c r="F1419" s="275"/>
    </row>
    <row r="1420" hidden="1">
      <c r="A1420" s="193">
        <v>16600.0</v>
      </c>
      <c r="B1420" s="368">
        <f>VLOOKUP(A1420,'Solicitações'!B:B,1,0)</f>
        <v>16600</v>
      </c>
      <c r="C1420" s="368">
        <f t="shared" si="4"/>
        <v>0</v>
      </c>
      <c r="E1420" s="362"/>
      <c r="F1420" s="275"/>
    </row>
    <row r="1421" hidden="1">
      <c r="A1421" s="193">
        <v>16620.0</v>
      </c>
      <c r="B1421" s="368">
        <f>VLOOKUP(A1421,'Solicitações'!B:B,1,0)</f>
        <v>16620</v>
      </c>
      <c r="C1421" s="368">
        <f t="shared" si="4"/>
        <v>0</v>
      </c>
      <c r="E1421" s="362"/>
      <c r="F1421" s="275"/>
    </row>
    <row r="1422" hidden="1">
      <c r="A1422" s="193">
        <v>16640.0</v>
      </c>
      <c r="B1422" s="368">
        <f>VLOOKUP(A1422,'Solicitações'!B:B,1,0)</f>
        <v>16640</v>
      </c>
      <c r="C1422" s="368">
        <f t="shared" si="4"/>
        <v>0</v>
      </c>
      <c r="E1422" s="362"/>
      <c r="F1422" s="275"/>
    </row>
    <row r="1423" hidden="1">
      <c r="A1423" s="193">
        <v>16660.0</v>
      </c>
      <c r="B1423" s="368">
        <f>VLOOKUP(A1423,'Solicitações'!B:B,1,0)</f>
        <v>16660</v>
      </c>
      <c r="C1423" s="368">
        <f t="shared" si="4"/>
        <v>0</v>
      </c>
      <c r="E1423" s="362"/>
      <c r="F1423" s="275"/>
    </row>
    <row r="1424" hidden="1">
      <c r="A1424" s="193">
        <v>16680.0</v>
      </c>
      <c r="B1424" s="368">
        <f>VLOOKUP(A1424,'Solicitações'!B:B,1,0)</f>
        <v>16680</v>
      </c>
      <c r="C1424" s="368">
        <f t="shared" si="4"/>
        <v>0</v>
      </c>
      <c r="E1424" s="362"/>
      <c r="F1424" s="275"/>
    </row>
    <row r="1425" hidden="1">
      <c r="A1425" s="193">
        <v>16700.0</v>
      </c>
      <c r="B1425" s="368">
        <f>VLOOKUP(A1425,'Solicitações'!B:B,1,0)</f>
        <v>16700</v>
      </c>
      <c r="C1425" s="368">
        <f t="shared" si="4"/>
        <v>0</v>
      </c>
      <c r="E1425" s="362"/>
      <c r="F1425" s="275"/>
    </row>
    <row r="1426" hidden="1">
      <c r="A1426" s="193">
        <v>16720.0</v>
      </c>
      <c r="B1426" s="368">
        <f>VLOOKUP(A1426,'Solicitações'!B:B,1,0)</f>
        <v>16720</v>
      </c>
      <c r="C1426" s="368">
        <f t="shared" si="4"/>
        <v>0</v>
      </c>
      <c r="E1426" s="362"/>
      <c r="F1426" s="275"/>
    </row>
    <row r="1427" hidden="1">
      <c r="A1427" s="193">
        <v>16740.0</v>
      </c>
      <c r="B1427" s="368">
        <f>VLOOKUP(A1427,'Solicitações'!B:B,1,0)</f>
        <v>16740</v>
      </c>
      <c r="C1427" s="368">
        <f t="shared" si="4"/>
        <v>0</v>
      </c>
      <c r="E1427" s="362"/>
      <c r="F1427" s="275"/>
    </row>
    <row r="1428" hidden="1">
      <c r="A1428" s="193">
        <v>16741.0</v>
      </c>
      <c r="B1428" s="368">
        <f>VLOOKUP(A1428,'Solicitações'!B:B,1,0)</f>
        <v>16741</v>
      </c>
      <c r="C1428" s="368">
        <f t="shared" si="4"/>
        <v>0</v>
      </c>
      <c r="E1428" s="362"/>
      <c r="F1428" s="275"/>
    </row>
    <row r="1429" hidden="1">
      <c r="A1429" s="193">
        <v>16760.0</v>
      </c>
      <c r="B1429" s="368">
        <f>VLOOKUP(A1429,'Solicitações'!B:B,1,0)</f>
        <v>16760</v>
      </c>
      <c r="C1429" s="368">
        <f t="shared" si="4"/>
        <v>0</v>
      </c>
      <c r="E1429" s="362"/>
      <c r="F1429" s="275"/>
    </row>
    <row r="1430" hidden="1">
      <c r="A1430" s="193">
        <v>16780.0</v>
      </c>
      <c r="B1430" s="368">
        <f>VLOOKUP(A1430,'Solicitações'!B:B,1,0)</f>
        <v>16780</v>
      </c>
      <c r="C1430" s="368">
        <f t="shared" si="4"/>
        <v>0</v>
      </c>
      <c r="E1430" s="362"/>
      <c r="F1430" s="275"/>
    </row>
    <row r="1431" hidden="1">
      <c r="A1431" s="193">
        <v>16800.0</v>
      </c>
      <c r="B1431" s="368">
        <f>VLOOKUP(A1431,'Solicitações'!B:B,1,0)</f>
        <v>16800</v>
      </c>
      <c r="C1431" s="368">
        <f t="shared" si="4"/>
        <v>0</v>
      </c>
      <c r="E1431" s="362"/>
      <c r="F1431" s="275"/>
    </row>
    <row r="1432" hidden="1">
      <c r="A1432" s="193">
        <v>16820.0</v>
      </c>
      <c r="B1432" s="368">
        <f>VLOOKUP(A1432,'Solicitações'!B:B,1,0)</f>
        <v>16820</v>
      </c>
      <c r="C1432" s="368">
        <f t="shared" si="4"/>
        <v>0</v>
      </c>
      <c r="E1432" s="362"/>
      <c r="F1432" s="275"/>
    </row>
    <row r="1433" hidden="1">
      <c r="A1433" s="193">
        <v>16821.0</v>
      </c>
      <c r="B1433" s="368">
        <f>VLOOKUP(A1433,'Solicitações'!B:B,1,0)</f>
        <v>16821</v>
      </c>
      <c r="C1433" s="368">
        <f t="shared" si="4"/>
        <v>0</v>
      </c>
      <c r="E1433" s="362"/>
      <c r="F1433" s="275"/>
    </row>
    <row r="1434" hidden="1">
      <c r="A1434" s="193">
        <v>16840.0</v>
      </c>
      <c r="B1434" s="368">
        <f>VLOOKUP(A1434,'Solicitações'!B:B,1,0)</f>
        <v>16840</v>
      </c>
      <c r="C1434" s="368">
        <f t="shared" si="4"/>
        <v>0</v>
      </c>
      <c r="E1434" s="362"/>
      <c r="F1434" s="275"/>
    </row>
    <row r="1435" hidden="1">
      <c r="A1435" s="193">
        <v>16860.0</v>
      </c>
      <c r="B1435" s="368">
        <f>VLOOKUP(A1435,'Solicitações'!B:B,1,0)</f>
        <v>16860</v>
      </c>
      <c r="C1435" s="368">
        <f t="shared" si="4"/>
        <v>0</v>
      </c>
      <c r="E1435" s="362"/>
      <c r="F1435" s="275"/>
    </row>
    <row r="1436" hidden="1">
      <c r="A1436" s="193">
        <v>16861.0</v>
      </c>
      <c r="B1436" s="368">
        <f>VLOOKUP(A1436,'Solicitações'!B:B,1,0)</f>
        <v>16861</v>
      </c>
      <c r="C1436" s="368">
        <f t="shared" si="4"/>
        <v>0</v>
      </c>
      <c r="E1436" s="362"/>
      <c r="F1436" s="275"/>
    </row>
    <row r="1437" hidden="1">
      <c r="A1437" s="193">
        <v>16880.0</v>
      </c>
      <c r="B1437" s="368">
        <f>VLOOKUP(A1437,'Solicitações'!B:B,1,0)</f>
        <v>16880</v>
      </c>
      <c r="C1437" s="368">
        <f t="shared" si="4"/>
        <v>0</v>
      </c>
      <c r="E1437" s="362"/>
      <c r="F1437" s="275"/>
    </row>
    <row r="1438" hidden="1">
      <c r="A1438" s="193">
        <v>16900.0</v>
      </c>
      <c r="B1438" s="368">
        <f>VLOOKUP(A1438,'Solicitações'!B:B,1,0)</f>
        <v>16900</v>
      </c>
      <c r="C1438" s="368">
        <f t="shared" si="4"/>
        <v>0</v>
      </c>
      <c r="E1438" s="362"/>
      <c r="F1438" s="275"/>
    </row>
    <row r="1439" hidden="1">
      <c r="A1439" s="193">
        <v>16920.0</v>
      </c>
      <c r="B1439" s="368">
        <f>VLOOKUP(A1439,'Solicitações'!B:B,1,0)</f>
        <v>16920</v>
      </c>
      <c r="C1439" s="368">
        <f t="shared" si="4"/>
        <v>0</v>
      </c>
      <c r="E1439" s="362"/>
      <c r="F1439" s="275"/>
    </row>
    <row r="1440" hidden="1">
      <c r="A1440" s="193">
        <v>16940.0</v>
      </c>
      <c r="B1440" s="368">
        <f>VLOOKUP(A1440,'Solicitações'!B:B,1,0)</f>
        <v>16940</v>
      </c>
      <c r="C1440" s="368">
        <f t="shared" si="4"/>
        <v>0</v>
      </c>
      <c r="E1440" s="362"/>
      <c r="F1440" s="275"/>
    </row>
    <row r="1441" hidden="1">
      <c r="A1441" s="193">
        <v>16960.0</v>
      </c>
      <c r="B1441" s="368">
        <f>VLOOKUP(A1441,'Solicitações'!B:B,1,0)</f>
        <v>16960</v>
      </c>
      <c r="C1441" s="368">
        <f t="shared" si="4"/>
        <v>0</v>
      </c>
      <c r="E1441" s="362"/>
      <c r="F1441" s="275"/>
    </row>
    <row r="1442" hidden="1">
      <c r="A1442" s="193">
        <v>16980.0</v>
      </c>
      <c r="B1442" s="368">
        <f>VLOOKUP(A1442,'Solicitações'!B:B,1,0)</f>
        <v>16980</v>
      </c>
      <c r="C1442" s="368">
        <f t="shared" si="4"/>
        <v>0</v>
      </c>
      <c r="E1442" s="362"/>
      <c r="F1442" s="275"/>
    </row>
    <row r="1443" hidden="1">
      <c r="A1443" s="193">
        <v>17000.0</v>
      </c>
      <c r="B1443" s="368">
        <f>VLOOKUP(A1443,'Solicitações'!B:B,1,0)</f>
        <v>17000</v>
      </c>
      <c r="C1443" s="368">
        <f t="shared" si="4"/>
        <v>0</v>
      </c>
      <c r="E1443" s="362"/>
      <c r="F1443" s="275"/>
    </row>
    <row r="1444" hidden="1">
      <c r="A1444" s="193">
        <v>17020.0</v>
      </c>
      <c r="B1444" s="368">
        <f>VLOOKUP(A1444,'Solicitações'!B:B,1,0)</f>
        <v>17020</v>
      </c>
      <c r="C1444" s="368">
        <f t="shared" si="4"/>
        <v>0</v>
      </c>
      <c r="E1444" s="362"/>
      <c r="F1444" s="275"/>
    </row>
    <row r="1445" hidden="1">
      <c r="A1445" s="193">
        <v>17040.0</v>
      </c>
      <c r="B1445" s="368">
        <f>VLOOKUP(A1445,'Solicitações'!B:B,1,0)</f>
        <v>17040</v>
      </c>
      <c r="C1445" s="368">
        <f t="shared" si="4"/>
        <v>0</v>
      </c>
      <c r="E1445" s="362"/>
      <c r="F1445" s="275"/>
    </row>
    <row r="1446" hidden="1">
      <c r="A1446" s="193">
        <v>17041.0</v>
      </c>
      <c r="B1446" s="368">
        <f>VLOOKUP(A1446,'Solicitações'!B:B,1,0)</f>
        <v>17041</v>
      </c>
      <c r="C1446" s="368">
        <f t="shared" si="4"/>
        <v>0</v>
      </c>
      <c r="E1446" s="362"/>
      <c r="F1446" s="275"/>
    </row>
    <row r="1447" hidden="1">
      <c r="A1447" s="193">
        <v>17060.0</v>
      </c>
      <c r="B1447" s="368">
        <f>VLOOKUP(A1447,'Solicitações'!B:B,1,0)</f>
        <v>17060</v>
      </c>
      <c r="C1447" s="368">
        <f t="shared" si="4"/>
        <v>0</v>
      </c>
      <c r="E1447" s="362"/>
      <c r="F1447" s="275"/>
    </row>
    <row r="1448" hidden="1">
      <c r="A1448" s="193">
        <v>17080.0</v>
      </c>
      <c r="B1448" s="368">
        <f>VLOOKUP(A1448,'Solicitações'!B:B,1,0)</f>
        <v>17080</v>
      </c>
      <c r="C1448" s="368">
        <f t="shared" si="4"/>
        <v>0</v>
      </c>
      <c r="E1448" s="362"/>
      <c r="F1448" s="275"/>
    </row>
    <row r="1449" hidden="1">
      <c r="A1449" s="193">
        <v>17100.0</v>
      </c>
      <c r="B1449" s="368">
        <f>VLOOKUP(A1449,'Solicitações'!B:B,1,0)</f>
        <v>17100</v>
      </c>
      <c r="C1449" s="368">
        <f t="shared" si="4"/>
        <v>0</v>
      </c>
      <c r="E1449" s="362"/>
      <c r="F1449" s="275"/>
    </row>
    <row r="1450" hidden="1">
      <c r="A1450" s="193">
        <v>17120.0</v>
      </c>
      <c r="B1450" s="368">
        <f>VLOOKUP(A1450,'Solicitações'!B:B,1,0)</f>
        <v>17120</v>
      </c>
      <c r="C1450" s="368">
        <f t="shared" si="4"/>
        <v>0</v>
      </c>
      <c r="E1450" s="362"/>
      <c r="F1450" s="275"/>
    </row>
    <row r="1451" hidden="1">
      <c r="A1451" s="193">
        <v>17140.0</v>
      </c>
      <c r="B1451" s="368">
        <f>VLOOKUP(A1451,'Solicitações'!B:B,1,0)</f>
        <v>17140</v>
      </c>
      <c r="C1451" s="368">
        <f t="shared" si="4"/>
        <v>0</v>
      </c>
      <c r="E1451" s="362"/>
      <c r="F1451" s="275"/>
    </row>
    <row r="1452" hidden="1">
      <c r="A1452" s="193">
        <v>17160.0</v>
      </c>
      <c r="B1452" s="368">
        <f>VLOOKUP(A1452,'Solicitações'!B:B,1,0)</f>
        <v>17160</v>
      </c>
      <c r="C1452" s="368">
        <f t="shared" si="4"/>
        <v>0</v>
      </c>
      <c r="E1452" s="362"/>
      <c r="F1452" s="275"/>
    </row>
    <row r="1453" hidden="1">
      <c r="A1453" s="193">
        <v>17180.0</v>
      </c>
      <c r="B1453" s="368">
        <f>VLOOKUP(A1453,'Solicitações'!B:B,1,0)</f>
        <v>17180</v>
      </c>
      <c r="C1453" s="368">
        <f t="shared" si="4"/>
        <v>0</v>
      </c>
      <c r="E1453" s="362"/>
      <c r="F1453" s="275"/>
    </row>
    <row r="1454" hidden="1">
      <c r="A1454" s="193">
        <v>17200.0</v>
      </c>
      <c r="B1454" s="368">
        <f>VLOOKUP(A1454,'Solicitações'!B:B,1,0)</f>
        <v>17200</v>
      </c>
      <c r="C1454" s="368">
        <f t="shared" si="4"/>
        <v>0</v>
      </c>
      <c r="E1454" s="362"/>
      <c r="F1454" s="275"/>
    </row>
    <row r="1455" hidden="1">
      <c r="A1455" s="193">
        <v>17201.0</v>
      </c>
      <c r="B1455" s="368">
        <f>VLOOKUP(A1455,'Solicitações'!B:B,1,0)</f>
        <v>17201</v>
      </c>
      <c r="C1455" s="368">
        <f t="shared" si="4"/>
        <v>0</v>
      </c>
      <c r="E1455" s="362"/>
      <c r="F1455" s="275"/>
    </row>
    <row r="1456" hidden="1">
      <c r="A1456" s="193">
        <v>17220.0</v>
      </c>
      <c r="B1456" s="368">
        <f>VLOOKUP(A1456,'Solicitações'!B:B,1,0)</f>
        <v>17220</v>
      </c>
      <c r="C1456" s="368">
        <f t="shared" si="4"/>
        <v>0</v>
      </c>
      <c r="E1456" s="362"/>
      <c r="F1456" s="275"/>
    </row>
    <row r="1457" hidden="1">
      <c r="A1457" s="193">
        <v>17240.0</v>
      </c>
      <c r="B1457" s="368">
        <f>VLOOKUP(A1457,'Solicitações'!B:B,1,0)</f>
        <v>17240</v>
      </c>
      <c r="C1457" s="368">
        <f t="shared" si="4"/>
        <v>0</v>
      </c>
      <c r="E1457" s="362"/>
      <c r="F1457" s="275"/>
    </row>
    <row r="1458" hidden="1">
      <c r="A1458" s="193">
        <v>17260.0</v>
      </c>
      <c r="B1458" s="368">
        <f>VLOOKUP(A1458,'Solicitações'!B:B,1,0)</f>
        <v>17260</v>
      </c>
      <c r="C1458" s="368">
        <f t="shared" si="4"/>
        <v>0</v>
      </c>
      <c r="E1458" s="362"/>
      <c r="F1458" s="275"/>
    </row>
    <row r="1459" hidden="1">
      <c r="A1459" s="193">
        <v>17261.0</v>
      </c>
      <c r="B1459" s="368">
        <f>VLOOKUP(A1459,'Solicitações'!B:B,1,0)</f>
        <v>17261</v>
      </c>
      <c r="C1459" s="368">
        <f t="shared" si="4"/>
        <v>0</v>
      </c>
      <c r="E1459" s="362"/>
      <c r="F1459" s="275"/>
    </row>
    <row r="1460" hidden="1">
      <c r="A1460" s="193">
        <v>17280.0</v>
      </c>
      <c r="B1460" s="368">
        <f>VLOOKUP(A1460,'Solicitações'!B:B,1,0)</f>
        <v>17280</v>
      </c>
      <c r="C1460" s="368">
        <f t="shared" si="4"/>
        <v>0</v>
      </c>
      <c r="E1460" s="362"/>
      <c r="F1460" s="275"/>
    </row>
    <row r="1461" hidden="1">
      <c r="A1461" s="193">
        <v>17300.0</v>
      </c>
      <c r="B1461" s="368">
        <f>VLOOKUP(A1461,'Solicitações'!B:B,1,0)</f>
        <v>17300</v>
      </c>
      <c r="C1461" s="368">
        <f t="shared" si="4"/>
        <v>0</v>
      </c>
      <c r="E1461" s="362"/>
      <c r="F1461" s="275"/>
    </row>
    <row r="1462" hidden="1">
      <c r="A1462" s="193">
        <v>17320.0</v>
      </c>
      <c r="B1462" s="368">
        <f>VLOOKUP(A1462,'Solicitações'!B:B,1,0)</f>
        <v>17320</v>
      </c>
      <c r="C1462" s="368">
        <f t="shared" si="4"/>
        <v>0</v>
      </c>
      <c r="E1462" s="362"/>
      <c r="F1462" s="275"/>
    </row>
    <row r="1463" hidden="1">
      <c r="A1463" s="193">
        <v>17340.0</v>
      </c>
      <c r="B1463" s="368">
        <f>VLOOKUP(A1463,'Solicitações'!B:B,1,0)</f>
        <v>17340</v>
      </c>
      <c r="C1463" s="368">
        <f t="shared" si="4"/>
        <v>0</v>
      </c>
      <c r="E1463" s="362"/>
      <c r="F1463" s="275"/>
    </row>
    <row r="1464" hidden="1">
      <c r="A1464" s="193">
        <v>17360.0</v>
      </c>
      <c r="B1464" s="368">
        <f>VLOOKUP(A1464,'Solicitações'!B:B,1,0)</f>
        <v>17360</v>
      </c>
      <c r="C1464" s="368">
        <f t="shared" si="4"/>
        <v>0</v>
      </c>
      <c r="E1464" s="362"/>
      <c r="F1464" s="275"/>
    </row>
    <row r="1465" hidden="1">
      <c r="A1465" s="193">
        <v>17380.0</v>
      </c>
      <c r="B1465" s="368">
        <f>VLOOKUP(A1465,'Solicitações'!B:B,1,0)</f>
        <v>17380</v>
      </c>
      <c r="C1465" s="368">
        <f t="shared" si="4"/>
        <v>0</v>
      </c>
      <c r="E1465" s="362"/>
      <c r="F1465" s="275"/>
    </row>
    <row r="1466" hidden="1">
      <c r="A1466" s="193">
        <v>17400.0</v>
      </c>
      <c r="B1466" s="368">
        <f>VLOOKUP(A1466,'Solicitações'!B:B,1,0)</f>
        <v>17400</v>
      </c>
      <c r="C1466" s="368">
        <f t="shared" si="4"/>
        <v>0</v>
      </c>
      <c r="E1466" s="362"/>
      <c r="F1466" s="275"/>
    </row>
    <row r="1467" hidden="1">
      <c r="A1467" s="193">
        <v>17420.0</v>
      </c>
      <c r="B1467" s="368">
        <f>VLOOKUP(A1467,'Solicitações'!B:B,1,0)</f>
        <v>17420</v>
      </c>
      <c r="C1467" s="368">
        <f t="shared" si="4"/>
        <v>0</v>
      </c>
      <c r="E1467" s="362"/>
      <c r="F1467" s="275"/>
    </row>
    <row r="1468" hidden="1">
      <c r="A1468" s="193">
        <v>17440.0</v>
      </c>
      <c r="B1468" s="368">
        <f>VLOOKUP(A1468,'Solicitações'!B:B,1,0)</f>
        <v>17440</v>
      </c>
      <c r="C1468" s="368">
        <f t="shared" si="4"/>
        <v>0</v>
      </c>
      <c r="E1468" s="362"/>
      <c r="F1468" s="275"/>
    </row>
    <row r="1469" hidden="1">
      <c r="A1469" s="193">
        <v>17460.0</v>
      </c>
      <c r="B1469" s="368">
        <f>VLOOKUP(A1469,'Solicitações'!B:B,1,0)</f>
        <v>17460</v>
      </c>
      <c r="C1469" s="368">
        <f t="shared" si="4"/>
        <v>0</v>
      </c>
      <c r="E1469" s="362"/>
      <c r="F1469" s="275"/>
    </row>
    <row r="1470" hidden="1">
      <c r="A1470" s="193">
        <v>17480.0</v>
      </c>
      <c r="B1470" s="368">
        <f>VLOOKUP(A1470,'Solicitações'!B:B,1,0)</f>
        <v>17480</v>
      </c>
      <c r="C1470" s="368">
        <f t="shared" si="4"/>
        <v>0</v>
      </c>
      <c r="E1470" s="362"/>
      <c r="F1470" s="275"/>
    </row>
    <row r="1471" hidden="1">
      <c r="A1471" s="193">
        <v>17500.0</v>
      </c>
      <c r="B1471" s="368">
        <f>VLOOKUP(A1471,'Solicitações'!B:B,1,0)</f>
        <v>17500</v>
      </c>
      <c r="C1471" s="368">
        <f t="shared" si="4"/>
        <v>0</v>
      </c>
      <c r="E1471" s="362"/>
      <c r="F1471" s="275"/>
    </row>
    <row r="1472" hidden="1">
      <c r="A1472" s="193">
        <v>17501.0</v>
      </c>
      <c r="B1472" s="368">
        <f>VLOOKUP(A1472,'Solicitações'!B:B,1,0)</f>
        <v>17501</v>
      </c>
      <c r="C1472" s="368">
        <f t="shared" si="4"/>
        <v>0</v>
      </c>
      <c r="E1472" s="362"/>
      <c r="F1472" s="275"/>
    </row>
    <row r="1473" hidden="1">
      <c r="A1473" s="193">
        <v>17502.0</v>
      </c>
      <c r="B1473" s="368">
        <f>VLOOKUP(A1473,'Solicitações'!B:B,1,0)</f>
        <v>17502</v>
      </c>
      <c r="C1473" s="368">
        <f t="shared" si="4"/>
        <v>0</v>
      </c>
      <c r="E1473" s="362"/>
      <c r="F1473" s="275"/>
    </row>
    <row r="1474" hidden="1">
      <c r="A1474" s="193">
        <v>17520.0</v>
      </c>
      <c r="B1474" s="368">
        <f>VLOOKUP(A1474,'Solicitações'!B:B,1,0)</f>
        <v>17520</v>
      </c>
      <c r="C1474" s="368">
        <f t="shared" si="4"/>
        <v>0</v>
      </c>
      <c r="E1474" s="362"/>
      <c r="F1474" s="275"/>
    </row>
    <row r="1475" hidden="1">
      <c r="A1475" s="193">
        <v>17540.0</v>
      </c>
      <c r="B1475" s="368">
        <f>VLOOKUP(A1475,'Solicitações'!B:B,1,0)</f>
        <v>17540</v>
      </c>
      <c r="C1475" s="368">
        <f t="shared" si="4"/>
        <v>0</v>
      </c>
      <c r="E1475" s="362"/>
      <c r="F1475" s="275"/>
    </row>
    <row r="1476" hidden="1">
      <c r="A1476" s="193">
        <v>17560.0</v>
      </c>
      <c r="B1476" s="368">
        <f>VLOOKUP(A1476,'Solicitações'!B:B,1,0)</f>
        <v>17560</v>
      </c>
      <c r="C1476" s="368">
        <f t="shared" si="4"/>
        <v>0</v>
      </c>
      <c r="E1476" s="362"/>
      <c r="F1476" s="275"/>
    </row>
    <row r="1477" hidden="1">
      <c r="A1477" s="193">
        <v>17580.0</v>
      </c>
      <c r="B1477" s="368">
        <f>VLOOKUP(A1477,'Solicitações'!B:B,1,0)</f>
        <v>17580</v>
      </c>
      <c r="C1477" s="368">
        <f t="shared" si="4"/>
        <v>0</v>
      </c>
      <c r="E1477" s="362"/>
      <c r="F1477" s="275"/>
    </row>
    <row r="1478" hidden="1">
      <c r="A1478" s="193">
        <v>17600.0</v>
      </c>
      <c r="B1478" s="368">
        <f>VLOOKUP(A1478,'Solicitações'!B:B,1,0)</f>
        <v>17600</v>
      </c>
      <c r="C1478" s="368">
        <f t="shared" si="4"/>
        <v>0</v>
      </c>
      <c r="E1478" s="362"/>
      <c r="F1478" s="275"/>
    </row>
    <row r="1479" hidden="1">
      <c r="A1479" s="193">
        <v>17620.0</v>
      </c>
      <c r="B1479" s="368">
        <f>VLOOKUP(A1479,'Solicitações'!B:B,1,0)</f>
        <v>17620</v>
      </c>
      <c r="C1479" s="368">
        <f t="shared" si="4"/>
        <v>0</v>
      </c>
      <c r="E1479" s="362"/>
      <c r="F1479" s="275"/>
    </row>
    <row r="1480" hidden="1">
      <c r="A1480" s="193">
        <v>17640.0</v>
      </c>
      <c r="B1480" s="368">
        <f>VLOOKUP(A1480,'Solicitações'!B:B,1,0)</f>
        <v>17640</v>
      </c>
      <c r="C1480" s="368">
        <f t="shared" si="4"/>
        <v>0</v>
      </c>
      <c r="E1480" s="362"/>
      <c r="F1480" s="275"/>
    </row>
    <row r="1481" hidden="1">
      <c r="A1481" s="193">
        <v>17660.0</v>
      </c>
      <c r="B1481" s="368">
        <f>VLOOKUP(A1481,'Solicitações'!B:B,1,0)</f>
        <v>17660</v>
      </c>
      <c r="C1481" s="368">
        <f t="shared" si="4"/>
        <v>0</v>
      </c>
      <c r="E1481" s="362"/>
      <c r="F1481" s="275"/>
    </row>
    <row r="1482" hidden="1">
      <c r="A1482" s="193">
        <v>17661.0</v>
      </c>
      <c r="B1482" s="368">
        <f>VLOOKUP(A1482,'Solicitações'!B:B,1,0)</f>
        <v>17661</v>
      </c>
      <c r="C1482" s="368">
        <f t="shared" si="4"/>
        <v>0</v>
      </c>
      <c r="E1482" s="362"/>
      <c r="F1482" s="275"/>
    </row>
    <row r="1483" hidden="1">
      <c r="A1483" s="193">
        <v>17662.0</v>
      </c>
      <c r="B1483" s="368">
        <f>VLOOKUP(A1483,'Solicitações'!B:B,1,0)</f>
        <v>17662</v>
      </c>
      <c r="C1483" s="368">
        <f t="shared" si="4"/>
        <v>0</v>
      </c>
      <c r="E1483" s="362"/>
      <c r="F1483" s="275"/>
    </row>
    <row r="1484" hidden="1">
      <c r="A1484" s="193">
        <v>17663.0</v>
      </c>
      <c r="B1484" s="368">
        <f>VLOOKUP(A1484,'Solicitações'!B:B,1,0)</f>
        <v>17663</v>
      </c>
      <c r="C1484" s="368">
        <f t="shared" si="4"/>
        <v>0</v>
      </c>
      <c r="E1484" s="362"/>
      <c r="F1484" s="275"/>
    </row>
    <row r="1485" hidden="1">
      <c r="A1485" s="193">
        <v>17680.0</v>
      </c>
      <c r="B1485" s="368">
        <f>VLOOKUP(A1485,'Solicitações'!B:B,1,0)</f>
        <v>17680</v>
      </c>
      <c r="C1485" s="368">
        <f t="shared" si="4"/>
        <v>0</v>
      </c>
      <c r="E1485" s="362"/>
      <c r="F1485" s="275"/>
    </row>
    <row r="1486" hidden="1">
      <c r="A1486" s="193">
        <v>17700.0</v>
      </c>
      <c r="B1486" s="368">
        <f>VLOOKUP(A1486,'Solicitações'!B:B,1,0)</f>
        <v>17700</v>
      </c>
      <c r="C1486" s="368">
        <f t="shared" si="4"/>
        <v>0</v>
      </c>
      <c r="E1486" s="362"/>
      <c r="F1486" s="275"/>
    </row>
    <row r="1487" hidden="1">
      <c r="A1487" s="193">
        <v>17720.0</v>
      </c>
      <c r="B1487" s="368">
        <f>VLOOKUP(A1487,'Solicitações'!B:B,1,0)</f>
        <v>17720</v>
      </c>
      <c r="C1487" s="368">
        <f t="shared" si="4"/>
        <v>0</v>
      </c>
      <c r="E1487" s="362"/>
      <c r="F1487" s="275"/>
    </row>
    <row r="1488" hidden="1">
      <c r="A1488" s="193">
        <v>17740.0</v>
      </c>
      <c r="B1488" s="368">
        <f>VLOOKUP(A1488,'Solicitações'!B:B,1,0)</f>
        <v>17740</v>
      </c>
      <c r="C1488" s="368">
        <f t="shared" si="4"/>
        <v>0</v>
      </c>
      <c r="E1488" s="362"/>
      <c r="F1488" s="275"/>
    </row>
    <row r="1489" hidden="1">
      <c r="A1489" s="193">
        <v>17760.0</v>
      </c>
      <c r="B1489" s="368">
        <f>VLOOKUP(A1489,'Solicitações'!B:B,1,0)</f>
        <v>17760</v>
      </c>
      <c r="C1489" s="368">
        <f t="shared" si="4"/>
        <v>0</v>
      </c>
      <c r="E1489" s="362"/>
      <c r="F1489" s="275"/>
    </row>
    <row r="1490" hidden="1">
      <c r="A1490" s="193">
        <v>17761.0</v>
      </c>
      <c r="B1490" s="368">
        <f>VLOOKUP(A1490,'Solicitações'!B:B,1,0)</f>
        <v>17761</v>
      </c>
      <c r="C1490" s="368">
        <f t="shared" si="4"/>
        <v>0</v>
      </c>
      <c r="E1490" s="362"/>
      <c r="F1490" s="275"/>
    </row>
    <row r="1491" hidden="1">
      <c r="A1491" s="193">
        <v>17762.0</v>
      </c>
      <c r="B1491" s="368">
        <f>VLOOKUP(A1491,'Solicitações'!B:B,1,0)</f>
        <v>17762</v>
      </c>
      <c r="C1491" s="368">
        <f t="shared" si="4"/>
        <v>0</v>
      </c>
      <c r="E1491" s="362"/>
      <c r="F1491" s="275"/>
    </row>
    <row r="1492" hidden="1">
      <c r="A1492" s="193">
        <v>17763.0</v>
      </c>
      <c r="B1492" s="368">
        <f>VLOOKUP(A1492,'Solicitações'!B:B,1,0)</f>
        <v>17763</v>
      </c>
      <c r="C1492" s="368">
        <f t="shared" si="4"/>
        <v>0</v>
      </c>
      <c r="E1492" s="362"/>
      <c r="F1492" s="275"/>
    </row>
    <row r="1493" hidden="1">
      <c r="A1493" s="193">
        <v>17764.0</v>
      </c>
      <c r="B1493" s="368">
        <f>VLOOKUP(A1493,'Solicitações'!B:B,1,0)</f>
        <v>17764</v>
      </c>
      <c r="C1493" s="368">
        <f t="shared" si="4"/>
        <v>0</v>
      </c>
      <c r="E1493" s="362"/>
      <c r="F1493" s="275"/>
    </row>
    <row r="1494" hidden="1">
      <c r="A1494" s="193">
        <v>17765.0</v>
      </c>
      <c r="B1494" s="368">
        <f>VLOOKUP(A1494,'Solicitações'!B:B,1,0)</f>
        <v>17765</v>
      </c>
      <c r="C1494" s="368">
        <f t="shared" si="4"/>
        <v>0</v>
      </c>
      <c r="E1494" s="362"/>
      <c r="F1494" s="275"/>
    </row>
    <row r="1495" hidden="1">
      <c r="A1495" s="193">
        <v>17780.0</v>
      </c>
      <c r="B1495" s="368">
        <f>VLOOKUP(A1495,'Solicitações'!B:B,1,0)</f>
        <v>17780</v>
      </c>
      <c r="C1495" s="368">
        <f t="shared" si="4"/>
        <v>0</v>
      </c>
      <c r="E1495" s="362"/>
      <c r="F1495" s="275"/>
    </row>
    <row r="1496" hidden="1">
      <c r="A1496" s="193">
        <v>17781.0</v>
      </c>
      <c r="B1496" s="368">
        <f>VLOOKUP(A1496,'Solicitações'!B:B,1,0)</f>
        <v>17781</v>
      </c>
      <c r="C1496" s="368">
        <f t="shared" si="4"/>
        <v>0</v>
      </c>
      <c r="E1496" s="362"/>
      <c r="F1496" s="275"/>
    </row>
    <row r="1497" hidden="1">
      <c r="A1497" s="193">
        <v>17800.0</v>
      </c>
      <c r="B1497" s="368">
        <f>VLOOKUP(A1497,'Solicitações'!B:B,1,0)</f>
        <v>17800</v>
      </c>
      <c r="C1497" s="368">
        <f t="shared" si="4"/>
        <v>0</v>
      </c>
      <c r="E1497" s="362"/>
      <c r="F1497" s="275"/>
    </row>
    <row r="1498" hidden="1">
      <c r="A1498" s="193">
        <v>17820.0</v>
      </c>
      <c r="B1498" s="368">
        <f>VLOOKUP(A1498,'Solicitações'!B:B,1,0)</f>
        <v>17820</v>
      </c>
      <c r="C1498" s="368">
        <f t="shared" si="4"/>
        <v>0</v>
      </c>
      <c r="E1498" s="362"/>
      <c r="F1498" s="275"/>
    </row>
    <row r="1499" hidden="1">
      <c r="A1499" s="193">
        <v>17840.0</v>
      </c>
      <c r="B1499" s="368">
        <f>VLOOKUP(A1499,'Solicitações'!B:B,1,0)</f>
        <v>17840</v>
      </c>
      <c r="C1499" s="368">
        <f t="shared" si="4"/>
        <v>0</v>
      </c>
      <c r="E1499" s="362"/>
      <c r="F1499" s="275"/>
    </row>
    <row r="1500" hidden="1">
      <c r="A1500" s="193">
        <v>17841.0</v>
      </c>
      <c r="B1500" s="368">
        <f>VLOOKUP(A1500,'Solicitações'!B:B,1,0)</f>
        <v>17841</v>
      </c>
      <c r="C1500" s="368">
        <f t="shared" si="4"/>
        <v>0</v>
      </c>
      <c r="E1500" s="362"/>
      <c r="F1500" s="275"/>
    </row>
    <row r="1501" hidden="1">
      <c r="A1501" s="193">
        <v>17860.0</v>
      </c>
      <c r="B1501" s="368">
        <f>VLOOKUP(A1501,'Solicitações'!B:B,1,0)</f>
        <v>17860</v>
      </c>
      <c r="C1501" s="368">
        <f t="shared" si="4"/>
        <v>0</v>
      </c>
      <c r="E1501" s="362"/>
      <c r="F1501" s="275"/>
    </row>
    <row r="1502" hidden="1">
      <c r="A1502" s="193">
        <v>17880.0</v>
      </c>
      <c r="B1502" s="368">
        <f>VLOOKUP(A1502,'Solicitações'!B:B,1,0)</f>
        <v>17880</v>
      </c>
      <c r="C1502" s="368">
        <f t="shared" si="4"/>
        <v>0</v>
      </c>
      <c r="E1502" s="362"/>
      <c r="F1502" s="275"/>
    </row>
    <row r="1503" hidden="1">
      <c r="A1503" s="193">
        <v>17900.0</v>
      </c>
      <c r="B1503" s="368">
        <f>VLOOKUP(A1503,'Solicitações'!B:B,1,0)</f>
        <v>17900</v>
      </c>
      <c r="C1503" s="368">
        <f t="shared" si="4"/>
        <v>0</v>
      </c>
      <c r="E1503" s="362"/>
      <c r="F1503" s="275"/>
    </row>
    <row r="1504" hidden="1">
      <c r="A1504" s="193">
        <v>17920.0</v>
      </c>
      <c r="B1504" s="368">
        <f>VLOOKUP(A1504,'Solicitações'!B:B,1,0)</f>
        <v>17920</v>
      </c>
      <c r="C1504" s="368">
        <f t="shared" si="4"/>
        <v>0</v>
      </c>
      <c r="E1504" s="362"/>
      <c r="F1504" s="275"/>
    </row>
    <row r="1505" hidden="1">
      <c r="A1505" s="193">
        <v>17940.0</v>
      </c>
      <c r="B1505" s="368">
        <f>VLOOKUP(A1505,'Solicitações'!B:B,1,0)</f>
        <v>17940</v>
      </c>
      <c r="C1505" s="368">
        <f t="shared" si="4"/>
        <v>0</v>
      </c>
      <c r="E1505" s="362"/>
      <c r="F1505" s="275"/>
    </row>
    <row r="1506" hidden="1">
      <c r="A1506" s="193">
        <v>17960.0</v>
      </c>
      <c r="B1506" s="368">
        <f>VLOOKUP(A1506,'Solicitações'!B:B,1,0)</f>
        <v>17960</v>
      </c>
      <c r="C1506" s="368">
        <f t="shared" si="4"/>
        <v>0</v>
      </c>
      <c r="E1506" s="362"/>
      <c r="F1506" s="275"/>
    </row>
    <row r="1507" hidden="1">
      <c r="A1507" s="193">
        <v>17980.0</v>
      </c>
      <c r="B1507" s="368">
        <f>VLOOKUP(A1507,'Solicitações'!B:B,1,0)</f>
        <v>17980</v>
      </c>
      <c r="C1507" s="368">
        <f t="shared" si="4"/>
        <v>0</v>
      </c>
      <c r="E1507" s="362"/>
      <c r="F1507" s="275"/>
    </row>
    <row r="1508" hidden="1">
      <c r="A1508" s="193">
        <v>18000.0</v>
      </c>
      <c r="B1508" s="368">
        <f>VLOOKUP(A1508,'Solicitações'!B:B,1,0)</f>
        <v>18000</v>
      </c>
      <c r="C1508" s="368">
        <f t="shared" si="4"/>
        <v>0</v>
      </c>
      <c r="E1508" s="362"/>
      <c r="F1508" s="275"/>
    </row>
    <row r="1509" hidden="1">
      <c r="A1509" s="193">
        <v>18020.0</v>
      </c>
      <c r="B1509" s="368">
        <f>VLOOKUP(A1509,'Solicitações'!B:B,1,0)</f>
        <v>18020</v>
      </c>
      <c r="C1509" s="368">
        <f t="shared" si="4"/>
        <v>0</v>
      </c>
      <c r="E1509" s="362"/>
      <c r="F1509" s="275"/>
    </row>
    <row r="1510" hidden="1">
      <c r="A1510" s="193">
        <v>18040.0</v>
      </c>
      <c r="B1510" s="368">
        <f>VLOOKUP(A1510,'Solicitações'!B:B,1,0)</f>
        <v>18040</v>
      </c>
      <c r="C1510" s="368">
        <f t="shared" si="4"/>
        <v>0</v>
      </c>
      <c r="E1510" s="362"/>
      <c r="F1510" s="275"/>
    </row>
    <row r="1511" hidden="1">
      <c r="A1511" s="193">
        <v>18060.0</v>
      </c>
      <c r="B1511" s="368">
        <f>VLOOKUP(A1511,'Solicitações'!B:B,1,0)</f>
        <v>18060</v>
      </c>
      <c r="C1511" s="368">
        <f t="shared" si="4"/>
        <v>0</v>
      </c>
      <c r="E1511" s="362"/>
      <c r="F1511" s="275"/>
    </row>
    <row r="1512" hidden="1">
      <c r="A1512" s="193">
        <v>18080.0</v>
      </c>
      <c r="B1512" s="368">
        <f>VLOOKUP(A1512,'Solicitações'!B:B,1,0)</f>
        <v>18080</v>
      </c>
      <c r="C1512" s="368">
        <f t="shared" si="4"/>
        <v>0</v>
      </c>
      <c r="E1512" s="362"/>
      <c r="F1512" s="275"/>
    </row>
    <row r="1513" hidden="1">
      <c r="A1513" s="193">
        <v>18081.0</v>
      </c>
      <c r="B1513" s="368">
        <f>VLOOKUP(A1513,'Solicitações'!B:B,1,0)</f>
        <v>18081</v>
      </c>
      <c r="C1513" s="368">
        <f t="shared" si="4"/>
        <v>0</v>
      </c>
      <c r="E1513" s="362"/>
      <c r="F1513" s="275"/>
    </row>
    <row r="1514" hidden="1">
      <c r="A1514" s="193">
        <v>18100.0</v>
      </c>
      <c r="B1514" s="368">
        <f>VLOOKUP(A1514,'Solicitações'!B:B,1,0)</f>
        <v>18100</v>
      </c>
      <c r="C1514" s="368">
        <f t="shared" si="4"/>
        <v>0</v>
      </c>
      <c r="E1514" s="362"/>
      <c r="F1514" s="275"/>
    </row>
    <row r="1515" hidden="1">
      <c r="A1515" s="193">
        <v>18120.0</v>
      </c>
      <c r="B1515" s="368">
        <f>VLOOKUP(A1515,'Solicitações'!B:B,1,0)</f>
        <v>18120</v>
      </c>
      <c r="C1515" s="368">
        <f t="shared" si="4"/>
        <v>0</v>
      </c>
      <c r="E1515" s="362"/>
      <c r="F1515" s="275"/>
    </row>
    <row r="1516" hidden="1">
      <c r="A1516" s="193">
        <v>18140.0</v>
      </c>
      <c r="B1516" s="368">
        <f>VLOOKUP(A1516,'Solicitações'!B:B,1,0)</f>
        <v>18140</v>
      </c>
      <c r="C1516" s="368">
        <f t="shared" si="4"/>
        <v>0</v>
      </c>
      <c r="E1516" s="362"/>
      <c r="F1516" s="275"/>
    </row>
    <row r="1517" hidden="1">
      <c r="A1517" s="193">
        <v>18160.0</v>
      </c>
      <c r="B1517" s="368">
        <f>VLOOKUP(A1517,'Solicitações'!B:B,1,0)</f>
        <v>18160</v>
      </c>
      <c r="C1517" s="368">
        <f t="shared" si="4"/>
        <v>0</v>
      </c>
      <c r="E1517" s="362"/>
      <c r="F1517" s="275"/>
    </row>
    <row r="1518" hidden="1">
      <c r="A1518" s="193">
        <v>18180.0</v>
      </c>
      <c r="B1518" s="368">
        <f>VLOOKUP(A1518,'Solicitações'!B:B,1,0)</f>
        <v>18180</v>
      </c>
      <c r="C1518" s="368">
        <f t="shared" si="4"/>
        <v>0</v>
      </c>
      <c r="E1518" s="362"/>
      <c r="F1518" s="275"/>
    </row>
    <row r="1519" hidden="1">
      <c r="A1519" s="193">
        <v>18200.0</v>
      </c>
      <c r="B1519" s="368">
        <f>VLOOKUP(A1519,'Solicitações'!B:B,1,0)</f>
        <v>18200</v>
      </c>
      <c r="C1519" s="368">
        <f t="shared" si="4"/>
        <v>0</v>
      </c>
      <c r="E1519" s="362"/>
      <c r="F1519" s="275"/>
    </row>
    <row r="1520" hidden="1">
      <c r="A1520" s="193">
        <v>18220.0</v>
      </c>
      <c r="B1520" s="368">
        <f>VLOOKUP(A1520,'Solicitações'!B:B,1,0)</f>
        <v>18220</v>
      </c>
      <c r="C1520" s="368">
        <f t="shared" si="4"/>
        <v>0</v>
      </c>
      <c r="E1520" s="362"/>
      <c r="F1520" s="275"/>
    </row>
    <row r="1521" hidden="1">
      <c r="A1521" s="193">
        <v>18240.0</v>
      </c>
      <c r="B1521" s="368">
        <f>VLOOKUP(A1521,'Solicitações'!B:B,1,0)</f>
        <v>18240</v>
      </c>
      <c r="C1521" s="368">
        <f t="shared" si="4"/>
        <v>0</v>
      </c>
      <c r="E1521" s="362"/>
      <c r="F1521" s="275"/>
    </row>
    <row r="1522" hidden="1">
      <c r="A1522" s="193">
        <v>18260.0</v>
      </c>
      <c r="B1522" s="368">
        <f>VLOOKUP(A1522,'Solicitações'!B:B,1,0)</f>
        <v>18260</v>
      </c>
      <c r="C1522" s="368">
        <f t="shared" si="4"/>
        <v>0</v>
      </c>
      <c r="E1522" s="362"/>
      <c r="F1522" s="275"/>
    </row>
    <row r="1523" hidden="1">
      <c r="A1523" s="193">
        <v>18280.0</v>
      </c>
      <c r="B1523" s="368">
        <f>VLOOKUP(A1523,'Solicitações'!B:B,1,0)</f>
        <v>18280</v>
      </c>
      <c r="C1523" s="368">
        <f t="shared" si="4"/>
        <v>0</v>
      </c>
      <c r="E1523" s="362"/>
      <c r="F1523" s="275"/>
    </row>
    <row r="1524" hidden="1">
      <c r="A1524" s="193">
        <v>18300.0</v>
      </c>
      <c r="B1524" s="368">
        <f>VLOOKUP(A1524,'Solicitações'!B:B,1,0)</f>
        <v>18300</v>
      </c>
      <c r="C1524" s="368">
        <f t="shared" si="4"/>
        <v>0</v>
      </c>
      <c r="E1524" s="362"/>
      <c r="F1524" s="275"/>
    </row>
    <row r="1525" hidden="1">
      <c r="A1525" s="193">
        <v>18320.0</v>
      </c>
      <c r="B1525" s="368">
        <f>VLOOKUP(A1525,'Solicitações'!B:B,1,0)</f>
        <v>18320</v>
      </c>
      <c r="C1525" s="368">
        <f t="shared" si="4"/>
        <v>0</v>
      </c>
      <c r="E1525" s="362"/>
      <c r="F1525" s="275"/>
    </row>
    <row r="1526" hidden="1">
      <c r="A1526" s="193">
        <v>18340.0</v>
      </c>
      <c r="B1526" s="368">
        <f>VLOOKUP(A1526,'Solicitações'!B:B,1,0)</f>
        <v>18340</v>
      </c>
      <c r="C1526" s="368">
        <f t="shared" si="4"/>
        <v>0</v>
      </c>
      <c r="E1526" s="362"/>
      <c r="F1526" s="275"/>
    </row>
    <row r="1527" hidden="1">
      <c r="A1527" s="193">
        <v>18360.0</v>
      </c>
      <c r="B1527" s="368">
        <f>VLOOKUP(A1527,'Solicitações'!B:B,1,0)</f>
        <v>18360</v>
      </c>
      <c r="C1527" s="368">
        <f t="shared" si="4"/>
        <v>0</v>
      </c>
      <c r="E1527" s="362"/>
      <c r="F1527" s="275"/>
    </row>
    <row r="1528" hidden="1">
      <c r="A1528" s="193">
        <v>18380.0</v>
      </c>
      <c r="B1528" s="368">
        <f>VLOOKUP(A1528,'Solicitações'!B:B,1,0)</f>
        <v>18380</v>
      </c>
      <c r="C1528" s="368">
        <f t="shared" si="4"/>
        <v>0</v>
      </c>
      <c r="E1528" s="362"/>
      <c r="F1528" s="275"/>
    </row>
    <row r="1529" hidden="1">
      <c r="A1529" s="193">
        <v>18381.0</v>
      </c>
      <c r="B1529" s="368">
        <f>VLOOKUP(A1529,'Solicitações'!B:B,1,0)</f>
        <v>18381</v>
      </c>
      <c r="C1529" s="368">
        <f t="shared" si="4"/>
        <v>0</v>
      </c>
      <c r="E1529" s="362"/>
      <c r="F1529" s="275"/>
    </row>
    <row r="1530" hidden="1">
      <c r="A1530" s="193">
        <v>18420.0</v>
      </c>
      <c r="B1530" s="368">
        <f>VLOOKUP(A1530,'Solicitações'!B:B,1,0)</f>
        <v>18420</v>
      </c>
      <c r="C1530" s="368">
        <f t="shared" si="4"/>
        <v>0</v>
      </c>
      <c r="E1530" s="362"/>
      <c r="F1530" s="275"/>
    </row>
    <row r="1531" hidden="1">
      <c r="A1531" s="193">
        <v>18440.0</v>
      </c>
      <c r="B1531" s="368">
        <f>VLOOKUP(A1531,'Solicitações'!B:B,1,0)</f>
        <v>18440</v>
      </c>
      <c r="C1531" s="368">
        <f t="shared" si="4"/>
        <v>0</v>
      </c>
      <c r="E1531" s="362"/>
      <c r="F1531" s="275"/>
    </row>
    <row r="1532" hidden="1">
      <c r="A1532" s="193">
        <v>18460.0</v>
      </c>
      <c r="B1532" s="368">
        <f>VLOOKUP(A1532,'Solicitações'!B:B,1,0)</f>
        <v>18460</v>
      </c>
      <c r="C1532" s="368">
        <f t="shared" si="4"/>
        <v>0</v>
      </c>
      <c r="E1532" s="362"/>
      <c r="F1532" s="275"/>
    </row>
    <row r="1533" hidden="1">
      <c r="A1533" s="193">
        <v>18480.0</v>
      </c>
      <c r="B1533" s="368">
        <f>VLOOKUP(A1533,'Solicitações'!B:B,1,0)</f>
        <v>18480</v>
      </c>
      <c r="C1533" s="368">
        <f t="shared" si="4"/>
        <v>0</v>
      </c>
      <c r="E1533" s="362"/>
      <c r="F1533" s="275"/>
    </row>
    <row r="1534" hidden="1">
      <c r="A1534" s="193">
        <v>18500.0</v>
      </c>
      <c r="B1534" s="368">
        <f>VLOOKUP(A1534,'Solicitações'!B:B,1,0)</f>
        <v>18500</v>
      </c>
      <c r="C1534" s="368">
        <f t="shared" si="4"/>
        <v>0</v>
      </c>
      <c r="E1534" s="362"/>
      <c r="F1534" s="275"/>
    </row>
    <row r="1535" hidden="1">
      <c r="A1535" s="193">
        <v>18501.0</v>
      </c>
      <c r="B1535" s="368">
        <f>VLOOKUP(A1535,'Solicitações'!B:B,1,0)</f>
        <v>18501</v>
      </c>
      <c r="C1535" s="368">
        <f t="shared" si="4"/>
        <v>0</v>
      </c>
      <c r="E1535" s="362"/>
      <c r="F1535" s="275"/>
    </row>
    <row r="1536" hidden="1">
      <c r="A1536" s="193">
        <v>18520.0</v>
      </c>
      <c r="B1536" s="368">
        <f>VLOOKUP(A1536,'Solicitações'!B:B,1,0)</f>
        <v>18520</v>
      </c>
      <c r="C1536" s="368">
        <f t="shared" si="4"/>
        <v>0</v>
      </c>
      <c r="E1536" s="362"/>
      <c r="F1536" s="275"/>
    </row>
    <row r="1537" hidden="1">
      <c r="A1537" s="193">
        <v>18540.0</v>
      </c>
      <c r="B1537" s="368">
        <f>VLOOKUP(A1537,'Solicitações'!B:B,1,0)</f>
        <v>18540</v>
      </c>
      <c r="C1537" s="368">
        <f t="shared" si="4"/>
        <v>0</v>
      </c>
      <c r="E1537" s="362"/>
      <c r="F1537" s="275"/>
    </row>
    <row r="1538" hidden="1">
      <c r="A1538" s="193">
        <v>18560.0</v>
      </c>
      <c r="B1538" s="368">
        <f>VLOOKUP(A1538,'Solicitações'!B:B,1,0)</f>
        <v>18560</v>
      </c>
      <c r="C1538" s="368">
        <f t="shared" si="4"/>
        <v>0</v>
      </c>
      <c r="E1538" s="362"/>
      <c r="F1538" s="275"/>
    </row>
    <row r="1539" hidden="1">
      <c r="A1539" s="193">
        <v>18580.0</v>
      </c>
      <c r="B1539" s="368">
        <f>VLOOKUP(A1539,'Solicitações'!B:B,1,0)</f>
        <v>18580</v>
      </c>
      <c r="C1539" s="368">
        <f t="shared" si="4"/>
        <v>0</v>
      </c>
      <c r="E1539" s="362"/>
      <c r="F1539" s="275"/>
    </row>
    <row r="1540" hidden="1">
      <c r="A1540" s="193">
        <v>18600.0</v>
      </c>
      <c r="B1540" s="368">
        <f>VLOOKUP(A1540,'Solicitações'!B:B,1,0)</f>
        <v>18600</v>
      </c>
      <c r="C1540" s="368">
        <f t="shared" si="4"/>
        <v>0</v>
      </c>
      <c r="E1540" s="362"/>
      <c r="F1540" s="275"/>
    </row>
    <row r="1541" hidden="1">
      <c r="A1541" s="193">
        <v>18620.0</v>
      </c>
      <c r="B1541" s="368">
        <f>VLOOKUP(A1541,'Solicitações'!B:B,1,0)</f>
        <v>18620</v>
      </c>
      <c r="C1541" s="368">
        <f t="shared" si="4"/>
        <v>0</v>
      </c>
      <c r="E1541" s="362"/>
      <c r="F1541" s="275"/>
    </row>
    <row r="1542" hidden="1">
      <c r="A1542" s="193">
        <v>18640.0</v>
      </c>
      <c r="B1542" s="368">
        <f>VLOOKUP(A1542,'Solicitações'!B:B,1,0)</f>
        <v>18640</v>
      </c>
      <c r="C1542" s="368">
        <f t="shared" si="4"/>
        <v>0</v>
      </c>
      <c r="E1542" s="362"/>
      <c r="F1542" s="275"/>
    </row>
    <row r="1543" hidden="1">
      <c r="A1543" s="193">
        <v>18660.0</v>
      </c>
      <c r="B1543" s="368">
        <f>VLOOKUP(A1543,'Solicitações'!B:B,1,0)</f>
        <v>18660</v>
      </c>
      <c r="C1543" s="368">
        <f t="shared" si="4"/>
        <v>0</v>
      </c>
      <c r="E1543" s="362"/>
      <c r="F1543" s="275"/>
    </row>
    <row r="1544" hidden="1">
      <c r="A1544" s="193">
        <v>18661.0</v>
      </c>
      <c r="B1544" s="368">
        <f>VLOOKUP(A1544,'Solicitações'!B:B,1,0)</f>
        <v>18661</v>
      </c>
      <c r="C1544" s="368">
        <f t="shared" si="4"/>
        <v>0</v>
      </c>
      <c r="E1544" s="362"/>
      <c r="F1544" s="275"/>
    </row>
    <row r="1545" hidden="1">
      <c r="A1545" s="193">
        <v>18662.0</v>
      </c>
      <c r="B1545" s="368">
        <f>VLOOKUP(A1545,'Solicitações'!B:B,1,0)</f>
        <v>18662</v>
      </c>
      <c r="C1545" s="368">
        <f t="shared" si="4"/>
        <v>0</v>
      </c>
      <c r="E1545" s="362"/>
      <c r="F1545" s="275"/>
    </row>
    <row r="1546" hidden="1">
      <c r="A1546" s="193">
        <v>18663.0</v>
      </c>
      <c r="B1546" s="368">
        <f>VLOOKUP(A1546,'Solicitações'!B:B,1,0)</f>
        <v>18663</v>
      </c>
      <c r="C1546" s="368">
        <f t="shared" si="4"/>
        <v>0</v>
      </c>
      <c r="E1546" s="362"/>
      <c r="F1546" s="275"/>
    </row>
    <row r="1547" hidden="1">
      <c r="A1547" s="193">
        <v>18664.0</v>
      </c>
      <c r="B1547" s="368">
        <f>VLOOKUP(A1547,'Solicitações'!B:B,1,0)</f>
        <v>18664</v>
      </c>
      <c r="C1547" s="368">
        <f t="shared" si="4"/>
        <v>0</v>
      </c>
      <c r="E1547" s="362"/>
      <c r="F1547" s="275"/>
    </row>
    <row r="1548" hidden="1">
      <c r="A1548" s="193">
        <v>18680.0</v>
      </c>
      <c r="B1548" s="368">
        <f>VLOOKUP(A1548,'Solicitações'!B:B,1,0)</f>
        <v>18680</v>
      </c>
      <c r="C1548" s="368">
        <f t="shared" si="4"/>
        <v>0</v>
      </c>
      <c r="E1548" s="362"/>
      <c r="F1548" s="275"/>
    </row>
    <row r="1549" hidden="1">
      <c r="A1549" s="193">
        <v>18700.0</v>
      </c>
      <c r="B1549" s="368">
        <f>VLOOKUP(A1549,'Solicitações'!B:B,1,0)</f>
        <v>18700</v>
      </c>
      <c r="C1549" s="368">
        <f t="shared" si="4"/>
        <v>0</v>
      </c>
      <c r="E1549" s="362"/>
      <c r="F1549" s="275"/>
    </row>
    <row r="1550" hidden="1">
      <c r="A1550" s="193">
        <v>18701.0</v>
      </c>
      <c r="B1550" s="368">
        <f>VLOOKUP(A1550,'Solicitações'!B:B,1,0)</f>
        <v>18701</v>
      </c>
      <c r="C1550" s="368">
        <f t="shared" si="4"/>
        <v>0</v>
      </c>
      <c r="E1550" s="362"/>
      <c r="F1550" s="275"/>
    </row>
    <row r="1551" hidden="1">
      <c r="A1551" s="193">
        <v>18720.0</v>
      </c>
      <c r="B1551" s="368">
        <f>VLOOKUP(A1551,'Solicitações'!B:B,1,0)</f>
        <v>18720</v>
      </c>
      <c r="C1551" s="368">
        <f t="shared" si="4"/>
        <v>0</v>
      </c>
      <c r="E1551" s="362"/>
      <c r="F1551" s="275"/>
    </row>
    <row r="1552" hidden="1">
      <c r="A1552" s="193">
        <v>18740.0</v>
      </c>
      <c r="B1552" s="368">
        <f>VLOOKUP(A1552,'Solicitações'!B:B,1,0)</f>
        <v>18740</v>
      </c>
      <c r="C1552" s="368">
        <f t="shared" si="4"/>
        <v>0</v>
      </c>
      <c r="E1552" s="362"/>
      <c r="F1552" s="275"/>
    </row>
    <row r="1553" hidden="1">
      <c r="A1553" s="193">
        <v>18741.0</v>
      </c>
      <c r="B1553" s="368">
        <f>VLOOKUP(A1553,'Solicitações'!B:B,1,0)</f>
        <v>18741</v>
      </c>
      <c r="C1553" s="368">
        <f t="shared" si="4"/>
        <v>0</v>
      </c>
      <c r="E1553" s="362"/>
      <c r="F1553" s="275"/>
    </row>
    <row r="1554" hidden="1">
      <c r="A1554" s="193">
        <v>18742.0</v>
      </c>
      <c r="B1554" s="368">
        <f>VLOOKUP(A1554,'Solicitações'!B:B,1,0)</f>
        <v>18742</v>
      </c>
      <c r="C1554" s="368">
        <f t="shared" si="4"/>
        <v>0</v>
      </c>
      <c r="E1554" s="362"/>
      <c r="F1554" s="275"/>
    </row>
    <row r="1555" hidden="1">
      <c r="A1555" s="193">
        <v>18743.0</v>
      </c>
      <c r="B1555" s="368">
        <f>VLOOKUP(A1555,'Solicitações'!B:B,1,0)</f>
        <v>18743</v>
      </c>
      <c r="C1555" s="368">
        <f t="shared" si="4"/>
        <v>0</v>
      </c>
      <c r="E1555" s="362"/>
      <c r="F1555" s="275"/>
    </row>
    <row r="1556" hidden="1">
      <c r="A1556" s="193">
        <v>18760.0</v>
      </c>
      <c r="B1556" s="368">
        <f>VLOOKUP(A1556,'Solicitações'!B:B,1,0)</f>
        <v>18760</v>
      </c>
      <c r="C1556" s="368">
        <f t="shared" si="4"/>
        <v>0</v>
      </c>
      <c r="E1556" s="362"/>
      <c r="F1556" s="275"/>
    </row>
    <row r="1557" hidden="1">
      <c r="A1557" s="193">
        <v>18780.0</v>
      </c>
      <c r="B1557" s="368">
        <f>VLOOKUP(A1557,'Solicitações'!B:B,1,0)</f>
        <v>18780</v>
      </c>
      <c r="C1557" s="368">
        <f t="shared" si="4"/>
        <v>0</v>
      </c>
      <c r="E1557" s="362"/>
      <c r="F1557" s="275"/>
    </row>
    <row r="1558" hidden="1">
      <c r="A1558" s="193">
        <v>18800.0</v>
      </c>
      <c r="B1558" s="368">
        <f>VLOOKUP(A1558,'Solicitações'!B:B,1,0)</f>
        <v>18800</v>
      </c>
      <c r="C1558" s="368">
        <f t="shared" si="4"/>
        <v>0</v>
      </c>
      <c r="E1558" s="362"/>
      <c r="F1558" s="275"/>
    </row>
    <row r="1559" hidden="1">
      <c r="A1559" s="193">
        <v>18801.0</v>
      </c>
      <c r="B1559" s="368">
        <f>VLOOKUP(A1559,'Solicitações'!B:B,1,0)</f>
        <v>18801</v>
      </c>
      <c r="C1559" s="368">
        <f t="shared" si="4"/>
        <v>0</v>
      </c>
      <c r="E1559" s="362"/>
      <c r="F1559" s="275"/>
    </row>
    <row r="1560" hidden="1">
      <c r="A1560" s="193">
        <v>18802.0</v>
      </c>
      <c r="B1560" s="368">
        <f>VLOOKUP(A1560,'Solicitações'!B:B,1,0)</f>
        <v>18802</v>
      </c>
      <c r="C1560" s="368">
        <f t="shared" si="4"/>
        <v>0</v>
      </c>
      <c r="E1560" s="362"/>
      <c r="F1560" s="275"/>
    </row>
    <row r="1561" hidden="1">
      <c r="A1561" s="193">
        <v>18803.0</v>
      </c>
      <c r="B1561" s="368">
        <f>VLOOKUP(A1561,'Solicitações'!B:B,1,0)</f>
        <v>18803</v>
      </c>
      <c r="C1561" s="368">
        <f t="shared" si="4"/>
        <v>0</v>
      </c>
      <c r="E1561" s="362"/>
      <c r="F1561" s="275"/>
    </row>
    <row r="1562" hidden="1">
      <c r="A1562" s="193">
        <v>18804.0</v>
      </c>
      <c r="B1562" s="368">
        <f>VLOOKUP(A1562,'Solicitações'!B:B,1,0)</f>
        <v>18804</v>
      </c>
      <c r="C1562" s="368">
        <f t="shared" si="4"/>
        <v>0</v>
      </c>
      <c r="E1562" s="362"/>
      <c r="F1562" s="275"/>
    </row>
    <row r="1563" hidden="1">
      <c r="A1563" s="193">
        <v>18805.0</v>
      </c>
      <c r="B1563" s="368">
        <f>VLOOKUP(A1563,'Solicitações'!B:B,1,0)</f>
        <v>18805</v>
      </c>
      <c r="C1563" s="368">
        <f t="shared" si="4"/>
        <v>0</v>
      </c>
      <c r="E1563" s="362"/>
      <c r="F1563" s="275"/>
    </row>
    <row r="1564" hidden="1">
      <c r="A1564" s="193">
        <v>18806.0</v>
      </c>
      <c r="B1564" s="368">
        <f>VLOOKUP(A1564,'Solicitações'!B:B,1,0)</f>
        <v>18806</v>
      </c>
      <c r="C1564" s="368">
        <f t="shared" si="4"/>
        <v>0</v>
      </c>
      <c r="E1564" s="362"/>
      <c r="F1564" s="275"/>
    </row>
    <row r="1565" hidden="1">
      <c r="A1565" s="193">
        <v>18820.0</v>
      </c>
      <c r="B1565" s="368">
        <f>VLOOKUP(A1565,'Solicitações'!B:B,1,0)</f>
        <v>18820</v>
      </c>
      <c r="C1565" s="368">
        <f t="shared" si="4"/>
        <v>0</v>
      </c>
      <c r="E1565" s="362"/>
      <c r="F1565" s="275"/>
    </row>
    <row r="1566" hidden="1">
      <c r="A1566" s="193">
        <v>18840.0</v>
      </c>
      <c r="B1566" s="368">
        <f>VLOOKUP(A1566,'Solicitações'!B:B,1,0)</f>
        <v>18840</v>
      </c>
      <c r="C1566" s="368">
        <f t="shared" si="4"/>
        <v>0</v>
      </c>
      <c r="E1566" s="362"/>
      <c r="F1566" s="275"/>
    </row>
    <row r="1567" hidden="1">
      <c r="A1567" s="193">
        <v>18841.0</v>
      </c>
      <c r="B1567" s="368">
        <f>VLOOKUP(A1567,'Solicitações'!B:B,1,0)</f>
        <v>18841</v>
      </c>
      <c r="C1567" s="368">
        <f t="shared" si="4"/>
        <v>0</v>
      </c>
      <c r="E1567" s="362"/>
      <c r="F1567" s="275"/>
    </row>
    <row r="1568" hidden="1">
      <c r="A1568" s="193">
        <v>18842.0</v>
      </c>
      <c r="B1568" s="368">
        <f>VLOOKUP(A1568,'Solicitações'!B:B,1,0)</f>
        <v>18842</v>
      </c>
      <c r="C1568" s="368">
        <f t="shared" si="4"/>
        <v>0</v>
      </c>
      <c r="E1568" s="362"/>
      <c r="F1568" s="275"/>
    </row>
    <row r="1569" hidden="1">
      <c r="A1569" s="193">
        <v>18860.0</v>
      </c>
      <c r="B1569" s="368">
        <f>VLOOKUP(A1569,'Solicitações'!B:B,1,0)</f>
        <v>18860</v>
      </c>
      <c r="C1569" s="368">
        <f t="shared" si="4"/>
        <v>0</v>
      </c>
      <c r="E1569" s="362"/>
      <c r="F1569" s="275"/>
    </row>
    <row r="1570" hidden="1">
      <c r="A1570" s="193">
        <v>18880.0</v>
      </c>
      <c r="B1570" s="368">
        <f>VLOOKUP(A1570,'Solicitações'!B:B,1,0)</f>
        <v>18880</v>
      </c>
      <c r="C1570" s="368">
        <f t="shared" si="4"/>
        <v>0</v>
      </c>
      <c r="E1570" s="362"/>
      <c r="F1570" s="275"/>
    </row>
    <row r="1571" hidden="1">
      <c r="A1571" s="193">
        <v>18881.0</v>
      </c>
      <c r="B1571" s="368">
        <f>VLOOKUP(A1571,'Solicitações'!B:B,1,0)</f>
        <v>18881</v>
      </c>
      <c r="C1571" s="368">
        <f t="shared" si="4"/>
        <v>0</v>
      </c>
      <c r="E1571" s="362"/>
      <c r="F1571" s="275"/>
    </row>
    <row r="1572" hidden="1">
      <c r="A1572" s="193">
        <v>18900.0</v>
      </c>
      <c r="B1572" s="368">
        <f>VLOOKUP(A1572,'Solicitações'!B:B,1,0)</f>
        <v>18900</v>
      </c>
      <c r="C1572" s="368">
        <f t="shared" si="4"/>
        <v>0</v>
      </c>
      <c r="E1572" s="362"/>
      <c r="F1572" s="275"/>
    </row>
    <row r="1573" hidden="1">
      <c r="A1573" s="193">
        <v>18920.0</v>
      </c>
      <c r="B1573" s="368">
        <f>VLOOKUP(A1573,'Solicitações'!B:B,1,0)</f>
        <v>18920</v>
      </c>
      <c r="C1573" s="368">
        <f t="shared" si="4"/>
        <v>0</v>
      </c>
      <c r="E1573" s="362"/>
      <c r="F1573" s="275"/>
    </row>
    <row r="1574" hidden="1">
      <c r="A1574" s="193">
        <v>18940.0</v>
      </c>
      <c r="B1574" s="368">
        <f>VLOOKUP(A1574,'Solicitações'!B:B,1,0)</f>
        <v>18940</v>
      </c>
      <c r="C1574" s="368">
        <f t="shared" si="4"/>
        <v>0</v>
      </c>
      <c r="E1574" s="362"/>
      <c r="F1574" s="275"/>
    </row>
    <row r="1575" hidden="1">
      <c r="A1575" s="193">
        <v>18960.0</v>
      </c>
      <c r="B1575" s="368">
        <f>VLOOKUP(A1575,'Solicitações'!B:B,1,0)</f>
        <v>18960</v>
      </c>
      <c r="C1575" s="368">
        <f t="shared" si="4"/>
        <v>0</v>
      </c>
      <c r="E1575" s="362"/>
      <c r="F1575" s="275"/>
    </row>
    <row r="1576" hidden="1">
      <c r="A1576" s="193">
        <v>18980.0</v>
      </c>
      <c r="B1576" s="368">
        <f>VLOOKUP(A1576,'Solicitações'!B:B,1,0)</f>
        <v>18980</v>
      </c>
      <c r="C1576" s="368">
        <f t="shared" si="4"/>
        <v>0</v>
      </c>
      <c r="E1576" s="362"/>
      <c r="F1576" s="275"/>
    </row>
    <row r="1577" hidden="1">
      <c r="A1577" s="193">
        <v>19000.0</v>
      </c>
      <c r="B1577" s="368">
        <f>VLOOKUP(A1577,'Solicitações'!B:B,1,0)</f>
        <v>19000</v>
      </c>
      <c r="C1577" s="368">
        <f t="shared" si="4"/>
        <v>0</v>
      </c>
      <c r="E1577" s="362"/>
      <c r="F1577" s="275"/>
    </row>
    <row r="1578" hidden="1">
      <c r="A1578" s="193">
        <v>19020.0</v>
      </c>
      <c r="B1578" s="368">
        <f>VLOOKUP(A1578,'Solicitações'!B:B,1,0)</f>
        <v>19020</v>
      </c>
      <c r="C1578" s="368">
        <f t="shared" si="4"/>
        <v>0</v>
      </c>
      <c r="E1578" s="362"/>
      <c r="F1578" s="275"/>
    </row>
    <row r="1579" hidden="1">
      <c r="A1579" s="193">
        <v>19040.0</v>
      </c>
      <c r="B1579" s="368">
        <f>VLOOKUP(A1579,'Solicitações'!B:B,1,0)</f>
        <v>19040</v>
      </c>
      <c r="C1579" s="368">
        <f t="shared" si="4"/>
        <v>0</v>
      </c>
      <c r="E1579" s="362"/>
      <c r="F1579" s="275"/>
    </row>
    <row r="1580" hidden="1">
      <c r="A1580" s="193">
        <v>19060.0</v>
      </c>
      <c r="B1580" s="368">
        <f>VLOOKUP(A1580,'Solicitações'!B:B,1,0)</f>
        <v>19060</v>
      </c>
      <c r="C1580" s="368">
        <f t="shared" si="4"/>
        <v>0</v>
      </c>
      <c r="E1580" s="362"/>
      <c r="F1580" s="275"/>
    </row>
    <row r="1581" hidden="1">
      <c r="A1581" s="193">
        <v>19080.0</v>
      </c>
      <c r="B1581" s="368">
        <f>VLOOKUP(A1581,'Solicitações'!B:B,1,0)</f>
        <v>19080</v>
      </c>
      <c r="C1581" s="368">
        <f t="shared" si="4"/>
        <v>0</v>
      </c>
      <c r="E1581" s="362"/>
      <c r="F1581" s="275"/>
    </row>
    <row r="1582" hidden="1">
      <c r="A1582" s="193">
        <v>19100.0</v>
      </c>
      <c r="B1582" s="368">
        <f>VLOOKUP(A1582,'Solicitações'!B:B,1,0)</f>
        <v>19100</v>
      </c>
      <c r="C1582" s="368">
        <f t="shared" si="4"/>
        <v>0</v>
      </c>
      <c r="E1582" s="362"/>
      <c r="F1582" s="275"/>
    </row>
    <row r="1583" hidden="1">
      <c r="A1583" s="193">
        <v>19120.0</v>
      </c>
      <c r="B1583" s="368">
        <f>VLOOKUP(A1583,'Solicitações'!B:B,1,0)</f>
        <v>19120</v>
      </c>
      <c r="C1583" s="368">
        <f t="shared" si="4"/>
        <v>0</v>
      </c>
      <c r="E1583" s="362"/>
      <c r="F1583" s="275"/>
    </row>
    <row r="1584" hidden="1">
      <c r="A1584" s="193">
        <v>19121.0</v>
      </c>
      <c r="B1584" s="368">
        <f>VLOOKUP(A1584,'Solicitações'!B:B,1,0)</f>
        <v>19121</v>
      </c>
      <c r="C1584" s="368">
        <f t="shared" si="4"/>
        <v>0</v>
      </c>
      <c r="E1584" s="362"/>
      <c r="F1584" s="275"/>
    </row>
    <row r="1585" hidden="1">
      <c r="A1585" s="193">
        <v>19140.0</v>
      </c>
      <c r="B1585" s="368">
        <f>VLOOKUP(A1585,'Solicitações'!B:B,1,0)</f>
        <v>19140</v>
      </c>
      <c r="C1585" s="368">
        <f t="shared" si="4"/>
        <v>0</v>
      </c>
      <c r="E1585" s="362"/>
      <c r="F1585" s="275"/>
    </row>
    <row r="1586" hidden="1">
      <c r="A1586" s="193">
        <v>19160.0</v>
      </c>
      <c r="B1586" s="368">
        <f>VLOOKUP(A1586,'Solicitações'!B:B,1,0)</f>
        <v>19160</v>
      </c>
      <c r="C1586" s="368">
        <f t="shared" si="4"/>
        <v>0</v>
      </c>
      <c r="E1586" s="362"/>
      <c r="F1586" s="275"/>
    </row>
    <row r="1587" hidden="1">
      <c r="A1587" s="193">
        <v>19180.0</v>
      </c>
      <c r="B1587" s="368">
        <f>VLOOKUP(A1587,'Solicitações'!B:B,1,0)</f>
        <v>19180</v>
      </c>
      <c r="C1587" s="368">
        <f t="shared" si="4"/>
        <v>0</v>
      </c>
      <c r="E1587" s="362"/>
      <c r="F1587" s="275"/>
    </row>
    <row r="1588" hidden="1">
      <c r="A1588" s="193">
        <v>19200.0</v>
      </c>
      <c r="B1588" s="368">
        <f>VLOOKUP(A1588,'Solicitações'!B:B,1,0)</f>
        <v>19200</v>
      </c>
      <c r="C1588" s="368">
        <f t="shared" si="4"/>
        <v>0</v>
      </c>
      <c r="E1588" s="362"/>
      <c r="F1588" s="275"/>
    </row>
    <row r="1589" hidden="1">
      <c r="A1589" s="193">
        <v>19220.0</v>
      </c>
      <c r="B1589" s="368">
        <f>VLOOKUP(A1589,'Solicitações'!B:B,1,0)</f>
        <v>19220</v>
      </c>
      <c r="C1589" s="368">
        <f t="shared" si="4"/>
        <v>0</v>
      </c>
      <c r="E1589" s="362"/>
      <c r="F1589" s="275"/>
    </row>
    <row r="1590" hidden="1">
      <c r="A1590" s="193">
        <v>19240.0</v>
      </c>
      <c r="B1590" s="368">
        <f>VLOOKUP(A1590,'Solicitações'!B:B,1,0)</f>
        <v>19240</v>
      </c>
      <c r="C1590" s="368">
        <f t="shared" si="4"/>
        <v>0</v>
      </c>
      <c r="E1590" s="362"/>
      <c r="F1590" s="275"/>
    </row>
    <row r="1591" hidden="1">
      <c r="A1591" s="193">
        <v>19241.0</v>
      </c>
      <c r="B1591" s="368">
        <f>VLOOKUP(A1591,'Solicitações'!B:B,1,0)</f>
        <v>19241</v>
      </c>
      <c r="C1591" s="368">
        <f t="shared" si="4"/>
        <v>0</v>
      </c>
      <c r="E1591" s="362"/>
      <c r="F1591" s="275"/>
    </row>
    <row r="1592" hidden="1">
      <c r="A1592" s="193">
        <v>19242.0</v>
      </c>
      <c r="B1592" s="368">
        <f>VLOOKUP(A1592,'Solicitações'!B:B,1,0)</f>
        <v>19242</v>
      </c>
      <c r="C1592" s="368">
        <f t="shared" si="4"/>
        <v>0</v>
      </c>
      <c r="E1592" s="362"/>
      <c r="F1592" s="275"/>
    </row>
    <row r="1593" hidden="1">
      <c r="A1593" s="193">
        <v>19243.0</v>
      </c>
      <c r="B1593" s="368">
        <f>VLOOKUP(A1593,'Solicitações'!B:B,1,0)</f>
        <v>19243</v>
      </c>
      <c r="C1593" s="368">
        <f t="shared" si="4"/>
        <v>0</v>
      </c>
      <c r="E1593" s="362"/>
      <c r="F1593" s="275"/>
    </row>
    <row r="1594" hidden="1">
      <c r="A1594" s="193">
        <v>19260.0</v>
      </c>
      <c r="B1594" s="368">
        <f>VLOOKUP(A1594,'Solicitações'!B:B,1,0)</f>
        <v>19260</v>
      </c>
      <c r="C1594" s="368">
        <f t="shared" si="4"/>
        <v>0</v>
      </c>
      <c r="E1594" s="362"/>
      <c r="F1594" s="275"/>
    </row>
    <row r="1595" hidden="1">
      <c r="A1595" s="193">
        <v>19280.0</v>
      </c>
      <c r="B1595" s="368">
        <f>VLOOKUP(A1595,'Solicitações'!B:B,1,0)</f>
        <v>19280</v>
      </c>
      <c r="C1595" s="368">
        <f t="shared" si="4"/>
        <v>0</v>
      </c>
      <c r="E1595" s="362"/>
      <c r="F1595" s="275"/>
    </row>
    <row r="1596" hidden="1">
      <c r="A1596" s="193">
        <v>19300.0</v>
      </c>
      <c r="B1596" s="368">
        <f>VLOOKUP(A1596,'Solicitações'!B:B,1,0)</f>
        <v>19300</v>
      </c>
      <c r="C1596" s="368">
        <f t="shared" si="4"/>
        <v>0</v>
      </c>
      <c r="E1596" s="362"/>
      <c r="F1596" s="275"/>
    </row>
    <row r="1597" hidden="1">
      <c r="A1597" s="193">
        <v>19320.0</v>
      </c>
      <c r="B1597" s="368">
        <f>VLOOKUP(A1597,'Solicitações'!B:B,1,0)</f>
        <v>19320</v>
      </c>
      <c r="C1597" s="368">
        <f t="shared" si="4"/>
        <v>0</v>
      </c>
      <c r="E1597" s="362"/>
      <c r="F1597" s="275"/>
    </row>
    <row r="1598" hidden="1">
      <c r="A1598" s="193">
        <v>19340.0</v>
      </c>
      <c r="B1598" s="368">
        <f>VLOOKUP(A1598,'Solicitações'!B:B,1,0)</f>
        <v>19340</v>
      </c>
      <c r="C1598" s="368">
        <f t="shared" si="4"/>
        <v>0</v>
      </c>
      <c r="E1598" s="362"/>
      <c r="F1598" s="275"/>
    </row>
    <row r="1599" hidden="1">
      <c r="A1599" s="193">
        <v>19360.0</v>
      </c>
      <c r="B1599" s="368">
        <f>VLOOKUP(A1599,'Solicitações'!B:B,1,0)</f>
        <v>19360</v>
      </c>
      <c r="C1599" s="368">
        <f t="shared" si="4"/>
        <v>0</v>
      </c>
      <c r="E1599" s="362"/>
      <c r="F1599" s="275"/>
    </row>
    <row r="1600" hidden="1">
      <c r="A1600" s="193">
        <v>19380.0</v>
      </c>
      <c r="B1600" s="368">
        <f>VLOOKUP(A1600,'Solicitações'!B:B,1,0)</f>
        <v>19380</v>
      </c>
      <c r="C1600" s="368">
        <f t="shared" si="4"/>
        <v>0</v>
      </c>
      <c r="E1600" s="362"/>
      <c r="F1600" s="275"/>
    </row>
    <row r="1601" hidden="1">
      <c r="A1601" s="193">
        <v>19400.0</v>
      </c>
      <c r="B1601" s="368">
        <f>VLOOKUP(A1601,'Solicitações'!B:B,1,0)</f>
        <v>19400</v>
      </c>
      <c r="C1601" s="368">
        <f t="shared" si="4"/>
        <v>0</v>
      </c>
      <c r="E1601" s="362"/>
      <c r="F1601" s="275"/>
    </row>
    <row r="1602" hidden="1">
      <c r="A1602" s="193">
        <v>19420.0</v>
      </c>
      <c r="B1602" s="368">
        <f>VLOOKUP(A1602,'Solicitações'!B:B,1,0)</f>
        <v>19420</v>
      </c>
      <c r="C1602" s="368">
        <f t="shared" si="4"/>
        <v>0</v>
      </c>
      <c r="E1602" s="362"/>
      <c r="F1602" s="275"/>
    </row>
    <row r="1603" hidden="1">
      <c r="A1603" s="193">
        <v>19421.0</v>
      </c>
      <c r="B1603" s="368">
        <f>VLOOKUP(A1603,'Solicitações'!B:B,1,0)</f>
        <v>19421</v>
      </c>
      <c r="C1603" s="368">
        <f t="shared" si="4"/>
        <v>0</v>
      </c>
      <c r="E1603" s="362"/>
      <c r="F1603" s="275"/>
    </row>
    <row r="1604" hidden="1">
      <c r="A1604" s="193">
        <v>19440.0</v>
      </c>
      <c r="B1604" s="368">
        <f>VLOOKUP(A1604,'Solicitações'!B:B,1,0)</f>
        <v>19440</v>
      </c>
      <c r="C1604" s="368">
        <f t="shared" si="4"/>
        <v>0</v>
      </c>
      <c r="E1604" s="362"/>
      <c r="F1604" s="275"/>
    </row>
    <row r="1605" hidden="1">
      <c r="A1605" s="193">
        <v>19460.0</v>
      </c>
      <c r="B1605" s="368">
        <f>VLOOKUP(A1605,'Solicitações'!B:B,1,0)</f>
        <v>19460</v>
      </c>
      <c r="C1605" s="368">
        <f t="shared" si="4"/>
        <v>0</v>
      </c>
      <c r="E1605" s="362"/>
      <c r="F1605" s="275"/>
    </row>
    <row r="1606" hidden="1">
      <c r="A1606" s="193">
        <v>19480.0</v>
      </c>
      <c r="B1606" s="368">
        <f>VLOOKUP(A1606,'Solicitações'!B:B,1,0)</f>
        <v>19480</v>
      </c>
      <c r="C1606" s="368">
        <f t="shared" si="4"/>
        <v>0</v>
      </c>
      <c r="E1606" s="362"/>
      <c r="F1606" s="275"/>
    </row>
    <row r="1607" hidden="1">
      <c r="A1607" s="193">
        <v>19500.0</v>
      </c>
      <c r="B1607" s="368">
        <f>VLOOKUP(A1607,'Solicitações'!B:B,1,0)</f>
        <v>19500</v>
      </c>
      <c r="C1607" s="368">
        <f t="shared" si="4"/>
        <v>0</v>
      </c>
      <c r="E1607" s="362"/>
      <c r="F1607" s="275"/>
    </row>
    <row r="1608" hidden="1">
      <c r="A1608" s="193">
        <v>19520.0</v>
      </c>
      <c r="B1608" s="368">
        <f>VLOOKUP(A1608,'Solicitações'!B:B,1,0)</f>
        <v>19520</v>
      </c>
      <c r="C1608" s="368">
        <f t="shared" si="4"/>
        <v>0</v>
      </c>
      <c r="E1608" s="362"/>
      <c r="F1608" s="275"/>
    </row>
    <row r="1609" hidden="1">
      <c r="A1609" s="193">
        <v>19540.0</v>
      </c>
      <c r="B1609" s="368">
        <f>VLOOKUP(A1609,'Solicitações'!B:B,1,0)</f>
        <v>19540</v>
      </c>
      <c r="C1609" s="368">
        <f t="shared" si="4"/>
        <v>0</v>
      </c>
      <c r="E1609" s="362"/>
      <c r="F1609" s="275"/>
    </row>
    <row r="1610" hidden="1">
      <c r="A1610" s="193">
        <v>19560.0</v>
      </c>
      <c r="B1610" s="368">
        <f>VLOOKUP(A1610,'Solicitações'!B:B,1,0)</f>
        <v>19560</v>
      </c>
      <c r="C1610" s="368">
        <f t="shared" si="4"/>
        <v>0</v>
      </c>
      <c r="E1610" s="362"/>
      <c r="F1610" s="275"/>
    </row>
    <row r="1611" hidden="1">
      <c r="A1611" s="193">
        <v>19580.0</v>
      </c>
      <c r="B1611" s="368">
        <f>VLOOKUP(A1611,'Solicitações'!B:B,1,0)</f>
        <v>19580</v>
      </c>
      <c r="C1611" s="368">
        <f t="shared" si="4"/>
        <v>0</v>
      </c>
      <c r="E1611" s="362"/>
      <c r="F1611" s="275"/>
    </row>
    <row r="1612" hidden="1">
      <c r="A1612" s="193">
        <v>19581.0</v>
      </c>
      <c r="B1612" s="368">
        <f>VLOOKUP(A1612,'Solicitações'!B:B,1,0)</f>
        <v>19581</v>
      </c>
      <c r="C1612" s="368">
        <f t="shared" si="4"/>
        <v>0</v>
      </c>
      <c r="E1612" s="362"/>
      <c r="F1612" s="275"/>
    </row>
    <row r="1613" hidden="1">
      <c r="A1613" s="193">
        <v>19582.0</v>
      </c>
      <c r="B1613" s="368">
        <f>VLOOKUP(A1613,'Solicitações'!B:B,1,0)</f>
        <v>19582</v>
      </c>
      <c r="C1613" s="368">
        <f t="shared" si="4"/>
        <v>0</v>
      </c>
      <c r="E1613" s="362"/>
      <c r="F1613" s="275"/>
    </row>
    <row r="1614" hidden="1">
      <c r="A1614" s="193">
        <v>19600.0</v>
      </c>
      <c r="B1614" s="368">
        <f>VLOOKUP(A1614,'Solicitações'!B:B,1,0)</f>
        <v>19600</v>
      </c>
      <c r="C1614" s="368">
        <f t="shared" si="4"/>
        <v>0</v>
      </c>
      <c r="E1614" s="362"/>
      <c r="F1614" s="275"/>
    </row>
    <row r="1615" hidden="1">
      <c r="A1615" s="193">
        <v>19620.0</v>
      </c>
      <c r="B1615" s="368">
        <f>VLOOKUP(A1615,'Solicitações'!B:B,1,0)</f>
        <v>19620</v>
      </c>
      <c r="C1615" s="368">
        <f t="shared" si="4"/>
        <v>0</v>
      </c>
      <c r="E1615" s="362"/>
      <c r="F1615" s="275"/>
    </row>
    <row r="1616" hidden="1">
      <c r="A1616" s="193">
        <v>19640.0</v>
      </c>
      <c r="B1616" s="368">
        <f>VLOOKUP(A1616,'Solicitações'!B:B,1,0)</f>
        <v>19640</v>
      </c>
      <c r="C1616" s="368">
        <f t="shared" si="4"/>
        <v>0</v>
      </c>
      <c r="E1616" s="362"/>
      <c r="F1616" s="275"/>
    </row>
    <row r="1617" hidden="1">
      <c r="A1617" s="193">
        <v>19641.0</v>
      </c>
      <c r="B1617" s="368">
        <f>VLOOKUP(A1617,'Solicitações'!B:B,1,0)</f>
        <v>19641</v>
      </c>
      <c r="C1617" s="368">
        <f t="shared" si="4"/>
        <v>0</v>
      </c>
      <c r="E1617" s="362"/>
      <c r="F1617" s="275"/>
    </row>
    <row r="1618" hidden="1">
      <c r="A1618" s="193">
        <v>19642.0</v>
      </c>
      <c r="B1618" s="368">
        <f>VLOOKUP(A1618,'Solicitações'!B:B,1,0)</f>
        <v>19642</v>
      </c>
      <c r="C1618" s="368">
        <f t="shared" si="4"/>
        <v>0</v>
      </c>
      <c r="E1618" s="362"/>
      <c r="F1618" s="275"/>
    </row>
    <row r="1619" hidden="1">
      <c r="A1619" s="193">
        <v>19660.0</v>
      </c>
      <c r="B1619" s="368">
        <f>VLOOKUP(A1619,'Solicitações'!B:B,1,0)</f>
        <v>19660</v>
      </c>
      <c r="C1619" s="368">
        <f t="shared" si="4"/>
        <v>0</v>
      </c>
      <c r="E1619" s="362"/>
      <c r="F1619" s="275"/>
    </row>
    <row r="1620" hidden="1">
      <c r="A1620" s="193">
        <v>19680.0</v>
      </c>
      <c r="B1620" s="368">
        <f>VLOOKUP(A1620,'Solicitações'!B:B,1,0)</f>
        <v>19680</v>
      </c>
      <c r="C1620" s="368">
        <f t="shared" si="4"/>
        <v>0</v>
      </c>
      <c r="E1620" s="362"/>
      <c r="F1620" s="275"/>
    </row>
    <row r="1621" hidden="1">
      <c r="A1621" s="193">
        <v>19700.0</v>
      </c>
      <c r="B1621" s="368">
        <f>VLOOKUP(A1621,'Solicitações'!B:B,1,0)</f>
        <v>19700</v>
      </c>
      <c r="C1621" s="368">
        <f t="shared" si="4"/>
        <v>0</v>
      </c>
      <c r="E1621" s="362"/>
      <c r="F1621" s="275"/>
    </row>
    <row r="1622" hidden="1">
      <c r="A1622" s="193">
        <v>19701.0</v>
      </c>
      <c r="B1622" s="368">
        <f>VLOOKUP(A1622,'Solicitações'!B:B,1,0)</f>
        <v>19701</v>
      </c>
      <c r="C1622" s="368">
        <f t="shared" si="4"/>
        <v>0</v>
      </c>
      <c r="E1622" s="362"/>
      <c r="F1622" s="275"/>
    </row>
    <row r="1623" hidden="1">
      <c r="A1623" s="193">
        <v>19720.0</v>
      </c>
      <c r="B1623" s="368">
        <f>VLOOKUP(A1623,'Solicitações'!B:B,1,0)</f>
        <v>19720</v>
      </c>
      <c r="C1623" s="368">
        <f t="shared" si="4"/>
        <v>0</v>
      </c>
      <c r="E1623" s="362"/>
      <c r="F1623" s="275"/>
    </row>
    <row r="1624" hidden="1">
      <c r="A1624" s="193">
        <v>19721.0</v>
      </c>
      <c r="B1624" s="368">
        <f>VLOOKUP(A1624,'Solicitações'!B:B,1,0)</f>
        <v>19721</v>
      </c>
      <c r="C1624" s="368">
        <f t="shared" si="4"/>
        <v>0</v>
      </c>
      <c r="E1624" s="362"/>
      <c r="F1624" s="275"/>
    </row>
    <row r="1625" hidden="1">
      <c r="A1625" s="193">
        <v>19740.0</v>
      </c>
      <c r="B1625" s="368">
        <f>VLOOKUP(A1625,'Solicitações'!B:B,1,0)</f>
        <v>19740</v>
      </c>
      <c r="C1625" s="368">
        <f t="shared" si="4"/>
        <v>0</v>
      </c>
      <c r="E1625" s="362"/>
      <c r="F1625" s="275"/>
    </row>
    <row r="1626" hidden="1">
      <c r="A1626" s="193">
        <v>19741.0</v>
      </c>
      <c r="B1626" s="368">
        <f>VLOOKUP(A1626,'Solicitações'!B:B,1,0)</f>
        <v>19741</v>
      </c>
      <c r="C1626" s="368">
        <f t="shared" si="4"/>
        <v>0</v>
      </c>
      <c r="E1626" s="362"/>
      <c r="F1626" s="275"/>
    </row>
    <row r="1627" hidden="1">
      <c r="A1627" s="193">
        <v>19742.0</v>
      </c>
      <c r="B1627" s="368">
        <f>VLOOKUP(A1627,'Solicitações'!B:B,1,0)</f>
        <v>19742</v>
      </c>
      <c r="C1627" s="368">
        <f t="shared" si="4"/>
        <v>0</v>
      </c>
      <c r="E1627" s="362"/>
      <c r="F1627" s="275"/>
    </row>
    <row r="1628" hidden="1">
      <c r="A1628" s="193">
        <v>19760.0</v>
      </c>
      <c r="B1628" s="368">
        <f>VLOOKUP(A1628,'Solicitações'!B:B,1,0)</f>
        <v>19760</v>
      </c>
      <c r="C1628" s="368">
        <f t="shared" si="4"/>
        <v>0</v>
      </c>
      <c r="E1628" s="362"/>
      <c r="F1628" s="275"/>
    </row>
    <row r="1629" hidden="1">
      <c r="A1629" s="193">
        <v>19780.0</v>
      </c>
      <c r="B1629" s="368">
        <f>VLOOKUP(A1629,'Solicitações'!B:B,1,0)</f>
        <v>19780</v>
      </c>
      <c r="C1629" s="368">
        <f t="shared" si="4"/>
        <v>0</v>
      </c>
      <c r="E1629" s="362"/>
      <c r="F1629" s="275"/>
    </row>
    <row r="1630" hidden="1">
      <c r="A1630" s="193">
        <v>19800.0</v>
      </c>
      <c r="B1630" s="368">
        <f>VLOOKUP(A1630,'Solicitações'!B:B,1,0)</f>
        <v>19800</v>
      </c>
      <c r="C1630" s="368">
        <f t="shared" si="4"/>
        <v>0</v>
      </c>
      <c r="E1630" s="362"/>
      <c r="F1630" s="275"/>
    </row>
    <row r="1631" hidden="1">
      <c r="A1631" s="193">
        <v>19820.0</v>
      </c>
      <c r="B1631" s="368">
        <f>VLOOKUP(A1631,'Solicitações'!B:B,1,0)</f>
        <v>19820</v>
      </c>
      <c r="C1631" s="368">
        <f t="shared" si="4"/>
        <v>0</v>
      </c>
      <c r="E1631" s="362"/>
      <c r="F1631" s="275"/>
    </row>
    <row r="1632" hidden="1">
      <c r="A1632" s="193">
        <v>19840.0</v>
      </c>
      <c r="B1632" s="368">
        <f>VLOOKUP(A1632,'Solicitações'!B:B,1,0)</f>
        <v>19840</v>
      </c>
      <c r="C1632" s="368">
        <f t="shared" si="4"/>
        <v>0</v>
      </c>
      <c r="E1632" s="362"/>
      <c r="F1632" s="275"/>
    </row>
    <row r="1633" hidden="1">
      <c r="A1633" s="193">
        <v>19860.0</v>
      </c>
      <c r="B1633" s="368">
        <f>VLOOKUP(A1633,'Solicitações'!B:B,1,0)</f>
        <v>19860</v>
      </c>
      <c r="C1633" s="368">
        <f t="shared" si="4"/>
        <v>0</v>
      </c>
      <c r="E1633" s="362"/>
      <c r="F1633" s="275"/>
    </row>
    <row r="1634" hidden="1">
      <c r="A1634" s="193">
        <v>19880.0</v>
      </c>
      <c r="B1634" s="368">
        <f>VLOOKUP(A1634,'Solicitações'!B:B,1,0)</f>
        <v>19880</v>
      </c>
      <c r="C1634" s="368">
        <f t="shared" si="4"/>
        <v>0</v>
      </c>
      <c r="E1634" s="362"/>
      <c r="F1634" s="275"/>
    </row>
    <row r="1635" hidden="1">
      <c r="A1635" s="193">
        <v>19900.0</v>
      </c>
      <c r="B1635" s="368">
        <f>VLOOKUP(A1635,'Solicitações'!B:B,1,0)</f>
        <v>19900</v>
      </c>
      <c r="C1635" s="368">
        <f t="shared" si="4"/>
        <v>0</v>
      </c>
      <c r="E1635" s="362"/>
      <c r="F1635" s="275"/>
    </row>
    <row r="1636" hidden="1">
      <c r="A1636" s="193">
        <v>19920.0</v>
      </c>
      <c r="B1636" s="368">
        <f>VLOOKUP(A1636,'Solicitações'!B:B,1,0)</f>
        <v>19920</v>
      </c>
      <c r="C1636" s="368">
        <f t="shared" si="4"/>
        <v>0</v>
      </c>
      <c r="E1636" s="362"/>
      <c r="F1636" s="275"/>
    </row>
    <row r="1637" hidden="1">
      <c r="A1637" s="193">
        <v>19940.0</v>
      </c>
      <c r="B1637" s="368">
        <f>VLOOKUP(A1637,'Solicitações'!B:B,1,0)</f>
        <v>19940</v>
      </c>
      <c r="C1637" s="368">
        <f t="shared" si="4"/>
        <v>0</v>
      </c>
      <c r="E1637" s="362"/>
      <c r="F1637" s="275"/>
    </row>
    <row r="1638" hidden="1">
      <c r="A1638" s="193">
        <v>19960.0</v>
      </c>
      <c r="B1638" s="368">
        <f>VLOOKUP(A1638,'Solicitações'!B:B,1,0)</f>
        <v>19960</v>
      </c>
      <c r="C1638" s="368">
        <f t="shared" si="4"/>
        <v>0</v>
      </c>
      <c r="E1638" s="362"/>
      <c r="F1638" s="275"/>
    </row>
    <row r="1639" hidden="1">
      <c r="A1639" s="193">
        <v>19980.0</v>
      </c>
      <c r="B1639" s="368">
        <f>VLOOKUP(A1639,'Solicitações'!B:B,1,0)</f>
        <v>19980</v>
      </c>
      <c r="C1639" s="368">
        <f t="shared" si="4"/>
        <v>0</v>
      </c>
      <c r="E1639" s="362"/>
      <c r="F1639" s="275"/>
    </row>
    <row r="1640" hidden="1">
      <c r="A1640" s="193">
        <v>20000.0</v>
      </c>
      <c r="B1640" s="368">
        <f>VLOOKUP(A1640,'Solicitações'!B:B,1,0)</f>
        <v>20000</v>
      </c>
      <c r="C1640" s="368">
        <f t="shared" si="4"/>
        <v>0</v>
      </c>
      <c r="E1640" s="362"/>
      <c r="F1640" s="275"/>
    </row>
    <row r="1641" hidden="1">
      <c r="A1641" s="193">
        <v>20020.0</v>
      </c>
      <c r="B1641" s="368">
        <f>VLOOKUP(A1641,'Solicitações'!B:B,1,0)</f>
        <v>20020</v>
      </c>
      <c r="C1641" s="368">
        <f t="shared" si="4"/>
        <v>0</v>
      </c>
      <c r="E1641" s="362"/>
      <c r="F1641" s="275"/>
    </row>
    <row r="1642" hidden="1">
      <c r="A1642" s="193">
        <v>20040.0</v>
      </c>
      <c r="B1642" s="368">
        <f>VLOOKUP(A1642,'Solicitações'!B:B,1,0)</f>
        <v>20040</v>
      </c>
      <c r="C1642" s="368">
        <f t="shared" si="4"/>
        <v>0</v>
      </c>
      <c r="E1642" s="362"/>
      <c r="F1642" s="275"/>
    </row>
    <row r="1643" hidden="1">
      <c r="A1643" s="193">
        <v>20060.0</v>
      </c>
      <c r="B1643" s="368">
        <f>VLOOKUP(A1643,'Solicitações'!B:B,1,0)</f>
        <v>20060</v>
      </c>
      <c r="C1643" s="368">
        <f t="shared" si="4"/>
        <v>0</v>
      </c>
      <c r="E1643" s="362"/>
      <c r="F1643" s="275"/>
    </row>
    <row r="1644" hidden="1">
      <c r="A1644" s="193">
        <v>20080.0</v>
      </c>
      <c r="B1644" s="368">
        <f>VLOOKUP(A1644,'Solicitações'!B:B,1,0)</f>
        <v>20080</v>
      </c>
      <c r="C1644" s="368">
        <f t="shared" si="4"/>
        <v>0</v>
      </c>
      <c r="E1644" s="362"/>
      <c r="F1644" s="275"/>
    </row>
    <row r="1645" hidden="1">
      <c r="A1645" s="193">
        <v>20100.0</v>
      </c>
      <c r="B1645" s="368">
        <f>VLOOKUP(A1645,'Solicitações'!B:B,1,0)</f>
        <v>20100</v>
      </c>
      <c r="C1645" s="368">
        <f t="shared" si="4"/>
        <v>0</v>
      </c>
      <c r="E1645" s="362"/>
      <c r="F1645" s="275"/>
    </row>
    <row r="1646" hidden="1">
      <c r="A1646" s="193">
        <v>20120.0</v>
      </c>
      <c r="B1646" s="368">
        <f>VLOOKUP(A1646,'Solicitações'!B:B,1,0)</f>
        <v>20120</v>
      </c>
      <c r="C1646" s="368">
        <f t="shared" si="4"/>
        <v>0</v>
      </c>
      <c r="E1646" s="362"/>
      <c r="F1646" s="275"/>
    </row>
    <row r="1647" hidden="1">
      <c r="A1647" s="193">
        <v>20140.0</v>
      </c>
      <c r="B1647" s="368">
        <f>VLOOKUP(A1647,'Solicitações'!B:B,1,0)</f>
        <v>20140</v>
      </c>
      <c r="C1647" s="368">
        <f t="shared" si="4"/>
        <v>0</v>
      </c>
      <c r="E1647" s="362"/>
      <c r="F1647" s="275"/>
    </row>
    <row r="1648" hidden="1">
      <c r="A1648" s="193">
        <v>20160.0</v>
      </c>
      <c r="B1648" s="368">
        <f>VLOOKUP(A1648,'Solicitações'!B:B,1,0)</f>
        <v>20160</v>
      </c>
      <c r="C1648" s="368">
        <f t="shared" si="4"/>
        <v>0</v>
      </c>
      <c r="E1648" s="362"/>
      <c r="F1648" s="275"/>
    </row>
    <row r="1649" hidden="1">
      <c r="A1649" s="193">
        <v>20180.0</v>
      </c>
      <c r="B1649" s="368">
        <f>VLOOKUP(A1649,'Solicitações'!B:B,1,0)</f>
        <v>20180</v>
      </c>
      <c r="C1649" s="368">
        <f t="shared" si="4"/>
        <v>0</v>
      </c>
      <c r="E1649" s="362"/>
      <c r="F1649" s="275"/>
    </row>
    <row r="1650" hidden="1">
      <c r="A1650" s="193">
        <v>20200.0</v>
      </c>
      <c r="B1650" s="368">
        <f>VLOOKUP(A1650,'Solicitações'!B:B,1,0)</f>
        <v>20200</v>
      </c>
      <c r="C1650" s="368">
        <f t="shared" si="4"/>
        <v>0</v>
      </c>
      <c r="E1650" s="362"/>
      <c r="F1650" s="275"/>
    </row>
    <row r="1651" hidden="1">
      <c r="A1651" s="193">
        <v>20220.0</v>
      </c>
      <c r="B1651" s="368">
        <f>VLOOKUP(A1651,'Solicitações'!B:B,1,0)</f>
        <v>20220</v>
      </c>
      <c r="C1651" s="368">
        <f t="shared" si="4"/>
        <v>0</v>
      </c>
      <c r="E1651" s="362"/>
      <c r="F1651" s="275"/>
    </row>
    <row r="1652" hidden="1">
      <c r="A1652" s="193">
        <v>20240.0</v>
      </c>
      <c r="B1652" s="368">
        <f>VLOOKUP(A1652,'Solicitações'!B:B,1,0)</f>
        <v>20240</v>
      </c>
      <c r="C1652" s="368">
        <f t="shared" si="4"/>
        <v>0</v>
      </c>
      <c r="E1652" s="362"/>
      <c r="F1652" s="275"/>
    </row>
    <row r="1653" hidden="1">
      <c r="A1653" s="193">
        <v>20260.0</v>
      </c>
      <c r="B1653" s="368">
        <f>VLOOKUP(A1653,'Solicitações'!B:B,1,0)</f>
        <v>20260</v>
      </c>
      <c r="C1653" s="368">
        <f t="shared" si="4"/>
        <v>0</v>
      </c>
      <c r="E1653" s="362"/>
      <c r="F1653" s="275"/>
    </row>
    <row r="1654" hidden="1">
      <c r="A1654" s="193">
        <v>20280.0</v>
      </c>
      <c r="B1654" s="368">
        <f>VLOOKUP(A1654,'Solicitações'!B:B,1,0)</f>
        <v>20280</v>
      </c>
      <c r="C1654" s="368">
        <f t="shared" si="4"/>
        <v>0</v>
      </c>
      <c r="E1654" s="362"/>
      <c r="F1654" s="275"/>
    </row>
    <row r="1655" hidden="1">
      <c r="A1655" s="193">
        <v>20300.0</v>
      </c>
      <c r="B1655" s="368">
        <f>VLOOKUP(A1655,'Solicitações'!B:B,1,0)</f>
        <v>20300</v>
      </c>
      <c r="C1655" s="368">
        <f t="shared" si="4"/>
        <v>0</v>
      </c>
      <c r="E1655" s="362"/>
      <c r="F1655" s="275"/>
    </row>
    <row r="1656" hidden="1">
      <c r="A1656" s="193">
        <v>20320.0</v>
      </c>
      <c r="B1656" s="368">
        <f>VLOOKUP(A1656,'Solicitações'!B:B,1,0)</f>
        <v>20320</v>
      </c>
      <c r="C1656" s="368">
        <f t="shared" si="4"/>
        <v>0</v>
      </c>
      <c r="E1656" s="362"/>
      <c r="F1656" s="275"/>
    </row>
    <row r="1657" hidden="1">
      <c r="A1657" s="193">
        <v>20340.0</v>
      </c>
      <c r="B1657" s="368">
        <f>VLOOKUP(A1657,'Solicitações'!B:B,1,0)</f>
        <v>20340</v>
      </c>
      <c r="C1657" s="368">
        <f t="shared" si="4"/>
        <v>0</v>
      </c>
      <c r="E1657" s="362"/>
      <c r="F1657" s="275"/>
    </row>
    <row r="1658" hidden="1">
      <c r="A1658" s="193">
        <v>20360.0</v>
      </c>
      <c r="B1658" s="368">
        <f>VLOOKUP(A1658,'Solicitações'!B:B,1,0)</f>
        <v>20360</v>
      </c>
      <c r="C1658" s="368">
        <f t="shared" si="4"/>
        <v>0</v>
      </c>
      <c r="E1658" s="362"/>
      <c r="F1658" s="275"/>
    </row>
    <row r="1659" hidden="1">
      <c r="A1659" s="193">
        <v>20380.0</v>
      </c>
      <c r="B1659" s="368">
        <f>VLOOKUP(A1659,'Solicitações'!B:B,1,0)</f>
        <v>20380</v>
      </c>
      <c r="C1659" s="368">
        <f t="shared" si="4"/>
        <v>0</v>
      </c>
      <c r="E1659" s="362"/>
      <c r="F1659" s="275"/>
    </row>
    <row r="1660" hidden="1">
      <c r="A1660" s="193">
        <v>20400.0</v>
      </c>
      <c r="B1660" s="368">
        <f>VLOOKUP(A1660,'Solicitações'!B:B,1,0)</f>
        <v>20400</v>
      </c>
      <c r="C1660" s="368">
        <f t="shared" si="4"/>
        <v>0</v>
      </c>
      <c r="E1660" s="362"/>
      <c r="F1660" s="275"/>
    </row>
    <row r="1661" hidden="1">
      <c r="A1661" s="193">
        <v>20420.0</v>
      </c>
      <c r="B1661" s="368">
        <f>VLOOKUP(A1661,'Solicitações'!B:B,1,0)</f>
        <v>20420</v>
      </c>
      <c r="C1661" s="368">
        <f t="shared" si="4"/>
        <v>0</v>
      </c>
      <c r="E1661" s="362"/>
      <c r="F1661" s="275"/>
    </row>
    <row r="1662" hidden="1">
      <c r="A1662" s="193">
        <v>20440.0</v>
      </c>
      <c r="B1662" s="368">
        <f>VLOOKUP(A1662,'Solicitações'!B:B,1,0)</f>
        <v>20440</v>
      </c>
      <c r="C1662" s="368">
        <f t="shared" si="4"/>
        <v>0</v>
      </c>
      <c r="E1662" s="362"/>
      <c r="F1662" s="275"/>
    </row>
    <row r="1663" hidden="1">
      <c r="A1663" s="193">
        <v>20460.0</v>
      </c>
      <c r="B1663" s="368">
        <f>VLOOKUP(A1663,'Solicitações'!B:B,1,0)</f>
        <v>20460</v>
      </c>
      <c r="C1663" s="368">
        <f t="shared" si="4"/>
        <v>0</v>
      </c>
      <c r="E1663" s="362"/>
      <c r="F1663" s="275"/>
    </row>
    <row r="1664" hidden="1">
      <c r="A1664" s="193">
        <v>20480.0</v>
      </c>
      <c r="B1664" s="368">
        <f>VLOOKUP(A1664,'Solicitações'!B:B,1,0)</f>
        <v>20480</v>
      </c>
      <c r="C1664" s="368">
        <f t="shared" si="4"/>
        <v>0</v>
      </c>
      <c r="E1664" s="362"/>
      <c r="F1664" s="275"/>
    </row>
    <row r="1665" hidden="1">
      <c r="A1665" s="193">
        <v>20500.0</v>
      </c>
      <c r="B1665" s="368">
        <f>VLOOKUP(A1665,'Solicitações'!B:B,1,0)</f>
        <v>20500</v>
      </c>
      <c r="C1665" s="368">
        <f t="shared" si="4"/>
        <v>0</v>
      </c>
      <c r="E1665" s="362"/>
      <c r="F1665" s="275"/>
    </row>
    <row r="1666" hidden="1">
      <c r="A1666" s="193">
        <v>20520.0</v>
      </c>
      <c r="B1666" s="368">
        <f>VLOOKUP(A1666,'Solicitações'!B:B,1,0)</f>
        <v>20520</v>
      </c>
      <c r="C1666" s="368">
        <f t="shared" si="4"/>
        <v>0</v>
      </c>
      <c r="E1666" s="362"/>
      <c r="F1666" s="275"/>
    </row>
    <row r="1667" hidden="1">
      <c r="A1667" s="193">
        <v>20540.0</v>
      </c>
      <c r="B1667" s="368">
        <f>VLOOKUP(A1667,'Solicitações'!B:B,1,0)</f>
        <v>20540</v>
      </c>
      <c r="C1667" s="368">
        <f t="shared" si="4"/>
        <v>0</v>
      </c>
      <c r="E1667" s="362"/>
      <c r="F1667" s="275"/>
    </row>
    <row r="1668" hidden="1">
      <c r="A1668" s="193">
        <v>20560.0</v>
      </c>
      <c r="B1668" s="368">
        <f>VLOOKUP(A1668,'Solicitações'!B:B,1,0)</f>
        <v>20560</v>
      </c>
      <c r="C1668" s="368">
        <f t="shared" si="4"/>
        <v>0</v>
      </c>
      <c r="E1668" s="362"/>
      <c r="F1668" s="275"/>
    </row>
    <row r="1669" hidden="1">
      <c r="A1669" s="193">
        <v>20580.0</v>
      </c>
      <c r="B1669" s="368">
        <f>VLOOKUP(A1669,'Solicitações'!B:B,1,0)</f>
        <v>20580</v>
      </c>
      <c r="C1669" s="368">
        <f t="shared" si="4"/>
        <v>0</v>
      </c>
      <c r="E1669" s="362"/>
      <c r="F1669" s="275"/>
    </row>
    <row r="1670" hidden="1">
      <c r="A1670" s="193">
        <v>20600.0</v>
      </c>
      <c r="B1670" s="368">
        <f>VLOOKUP(A1670,'Solicitações'!B:B,1,0)</f>
        <v>20600</v>
      </c>
      <c r="C1670" s="368">
        <f t="shared" si="4"/>
        <v>0</v>
      </c>
      <c r="E1670" s="362"/>
      <c r="F1670" s="275"/>
    </row>
    <row r="1671" hidden="1">
      <c r="A1671" s="193">
        <v>20620.0</v>
      </c>
      <c r="B1671" s="368">
        <f>VLOOKUP(A1671,'Solicitações'!B:B,1,0)</f>
        <v>20620</v>
      </c>
      <c r="C1671" s="368">
        <f t="shared" si="4"/>
        <v>0</v>
      </c>
      <c r="E1671" s="362"/>
      <c r="F1671" s="275"/>
    </row>
    <row r="1672" hidden="1">
      <c r="A1672" s="193">
        <v>20640.0</v>
      </c>
      <c r="B1672" s="368">
        <f>VLOOKUP(A1672,'Solicitações'!B:B,1,0)</f>
        <v>20640</v>
      </c>
      <c r="C1672" s="368">
        <f t="shared" si="4"/>
        <v>0</v>
      </c>
      <c r="E1672" s="362"/>
      <c r="F1672" s="275"/>
    </row>
    <row r="1673" hidden="1">
      <c r="A1673" s="193">
        <v>20660.0</v>
      </c>
      <c r="B1673" s="368">
        <f>VLOOKUP(A1673,'Solicitações'!B:B,1,0)</f>
        <v>20660</v>
      </c>
      <c r="C1673" s="368">
        <f t="shared" si="4"/>
        <v>0</v>
      </c>
      <c r="E1673" s="362"/>
      <c r="F1673" s="275"/>
    </row>
    <row r="1674" hidden="1">
      <c r="A1674" s="193">
        <v>20680.0</v>
      </c>
      <c r="B1674" s="368">
        <f>VLOOKUP(A1674,'Solicitações'!B:B,1,0)</f>
        <v>20680</v>
      </c>
      <c r="C1674" s="368">
        <f t="shared" si="4"/>
        <v>0</v>
      </c>
      <c r="E1674" s="362"/>
      <c r="F1674" s="275"/>
    </row>
    <row r="1675" hidden="1">
      <c r="A1675" s="193">
        <v>20700.0</v>
      </c>
      <c r="B1675" s="368">
        <f>VLOOKUP(A1675,'Solicitações'!B:B,1,0)</f>
        <v>20700</v>
      </c>
      <c r="C1675" s="368">
        <f t="shared" si="4"/>
        <v>0</v>
      </c>
      <c r="E1675" s="362"/>
      <c r="F1675" s="275"/>
    </row>
    <row r="1676" hidden="1">
      <c r="A1676" s="193">
        <v>20720.0</v>
      </c>
      <c r="B1676" s="368">
        <f>VLOOKUP(A1676,'Solicitações'!B:B,1,0)</f>
        <v>20720</v>
      </c>
      <c r="C1676" s="368">
        <f t="shared" si="4"/>
        <v>0</v>
      </c>
      <c r="E1676" s="362"/>
      <c r="F1676" s="275"/>
    </row>
    <row r="1677" hidden="1">
      <c r="A1677" s="193">
        <v>20740.0</v>
      </c>
      <c r="B1677" s="368">
        <f>VLOOKUP(A1677,'Solicitações'!B:B,1,0)</f>
        <v>20740</v>
      </c>
      <c r="C1677" s="368">
        <f t="shared" si="4"/>
        <v>0</v>
      </c>
      <c r="E1677" s="362"/>
      <c r="F1677" s="275"/>
    </row>
    <row r="1678" hidden="1">
      <c r="A1678" s="193">
        <v>20760.0</v>
      </c>
      <c r="B1678" s="368">
        <f>VLOOKUP(A1678,'Solicitações'!B:B,1,0)</f>
        <v>20760</v>
      </c>
      <c r="C1678" s="368">
        <f t="shared" si="4"/>
        <v>0</v>
      </c>
      <c r="E1678" s="362"/>
      <c r="F1678" s="275"/>
    </row>
    <row r="1679" hidden="1">
      <c r="A1679" s="193">
        <v>20780.0</v>
      </c>
      <c r="B1679" s="368">
        <f>VLOOKUP(A1679,'Solicitações'!B:B,1,0)</f>
        <v>20780</v>
      </c>
      <c r="C1679" s="368">
        <f t="shared" si="4"/>
        <v>0</v>
      </c>
      <c r="E1679" s="362"/>
      <c r="F1679" s="275"/>
    </row>
    <row r="1680" hidden="1">
      <c r="A1680" s="193">
        <v>20800.0</v>
      </c>
      <c r="B1680" s="368">
        <f>VLOOKUP(A1680,'Solicitações'!B:B,1,0)</f>
        <v>20800</v>
      </c>
      <c r="C1680" s="368">
        <f t="shared" si="4"/>
        <v>0</v>
      </c>
      <c r="E1680" s="362"/>
      <c r="F1680" s="275"/>
    </row>
    <row r="1681" hidden="1">
      <c r="A1681" s="193">
        <v>20820.0</v>
      </c>
      <c r="B1681" s="368">
        <f>VLOOKUP(A1681,'Solicitações'!B:B,1,0)</f>
        <v>20820</v>
      </c>
      <c r="C1681" s="368">
        <f t="shared" si="4"/>
        <v>0</v>
      </c>
      <c r="E1681" s="362"/>
      <c r="F1681" s="275"/>
    </row>
    <row r="1682" hidden="1">
      <c r="A1682" s="193">
        <v>20840.0</v>
      </c>
      <c r="B1682" s="368">
        <f>VLOOKUP(A1682,'Solicitações'!B:B,1,0)</f>
        <v>20840</v>
      </c>
      <c r="C1682" s="368">
        <f t="shared" si="4"/>
        <v>0</v>
      </c>
      <c r="E1682" s="362"/>
      <c r="F1682" s="275"/>
    </row>
    <row r="1683" hidden="1">
      <c r="A1683" s="193">
        <v>20860.0</v>
      </c>
      <c r="B1683" s="368">
        <f>VLOOKUP(A1683,'Solicitações'!B:B,1,0)</f>
        <v>20860</v>
      </c>
      <c r="C1683" s="368">
        <f t="shared" si="4"/>
        <v>0</v>
      </c>
      <c r="E1683" s="362"/>
      <c r="F1683" s="275"/>
    </row>
    <row r="1684" hidden="1">
      <c r="A1684" s="193">
        <v>20880.0</v>
      </c>
      <c r="B1684" s="368">
        <f>VLOOKUP(A1684,'Solicitações'!B:B,1,0)</f>
        <v>20880</v>
      </c>
      <c r="C1684" s="368">
        <f t="shared" si="4"/>
        <v>0</v>
      </c>
      <c r="E1684" s="362"/>
      <c r="F1684" s="275"/>
    </row>
    <row r="1685" hidden="1">
      <c r="A1685" s="193">
        <v>20900.0</v>
      </c>
      <c r="B1685" s="368">
        <f>VLOOKUP(A1685,'Solicitações'!B:B,1,0)</f>
        <v>20900</v>
      </c>
      <c r="C1685" s="368">
        <f t="shared" si="4"/>
        <v>0</v>
      </c>
      <c r="E1685" s="362"/>
      <c r="F1685" s="275"/>
    </row>
    <row r="1686" hidden="1">
      <c r="A1686" s="193">
        <v>20920.0</v>
      </c>
      <c r="B1686" s="368">
        <f>VLOOKUP(A1686,'Solicitações'!B:B,1,0)</f>
        <v>20920</v>
      </c>
      <c r="C1686" s="368">
        <f t="shared" si="4"/>
        <v>0</v>
      </c>
      <c r="E1686" s="362"/>
      <c r="F1686" s="275"/>
    </row>
    <row r="1687" hidden="1">
      <c r="A1687" s="193">
        <v>20940.0</v>
      </c>
      <c r="B1687" s="368">
        <f>VLOOKUP(A1687,'Solicitações'!B:B,1,0)</f>
        <v>20940</v>
      </c>
      <c r="C1687" s="368">
        <f t="shared" si="4"/>
        <v>0</v>
      </c>
      <c r="E1687" s="362"/>
      <c r="F1687" s="275"/>
    </row>
    <row r="1688" hidden="1">
      <c r="A1688" s="193">
        <v>20960.0</v>
      </c>
      <c r="B1688" s="368">
        <f>VLOOKUP(A1688,'Solicitações'!B:B,1,0)</f>
        <v>20960</v>
      </c>
      <c r="C1688" s="368">
        <f t="shared" si="4"/>
        <v>0</v>
      </c>
      <c r="E1688" s="362"/>
      <c r="F1688" s="275"/>
    </row>
    <row r="1689" hidden="1">
      <c r="A1689" s="193">
        <v>20980.0</v>
      </c>
      <c r="B1689" s="368">
        <f>VLOOKUP(A1689,'Solicitações'!B:B,1,0)</f>
        <v>20980</v>
      </c>
      <c r="C1689" s="368">
        <f t="shared" si="4"/>
        <v>0</v>
      </c>
      <c r="E1689" s="362"/>
      <c r="F1689" s="275"/>
    </row>
    <row r="1690" hidden="1">
      <c r="A1690" s="193">
        <v>21000.0</v>
      </c>
      <c r="B1690" s="368">
        <f>VLOOKUP(A1690,'Solicitações'!B:B,1,0)</f>
        <v>21000</v>
      </c>
      <c r="C1690" s="368">
        <f t="shared" si="4"/>
        <v>0</v>
      </c>
      <c r="E1690" s="362"/>
      <c r="F1690" s="275"/>
    </row>
    <row r="1691" hidden="1">
      <c r="A1691" s="193">
        <v>21020.0</v>
      </c>
      <c r="B1691" s="368">
        <f>VLOOKUP(A1691,'Solicitações'!B:B,1,0)</f>
        <v>21020</v>
      </c>
      <c r="C1691" s="368">
        <f t="shared" si="4"/>
        <v>0</v>
      </c>
      <c r="E1691" s="362"/>
      <c r="F1691" s="275"/>
    </row>
    <row r="1692" hidden="1">
      <c r="A1692" s="193">
        <v>21040.0</v>
      </c>
      <c r="B1692" s="368">
        <f>VLOOKUP(A1692,'Solicitações'!B:B,1,0)</f>
        <v>21040</v>
      </c>
      <c r="C1692" s="368">
        <f t="shared" si="4"/>
        <v>0</v>
      </c>
      <c r="E1692" s="362"/>
      <c r="F1692" s="275"/>
    </row>
    <row r="1693" hidden="1">
      <c r="A1693" s="193">
        <v>21060.0</v>
      </c>
      <c r="B1693" s="368">
        <f>VLOOKUP(A1693,'Solicitações'!B:B,1,0)</f>
        <v>21060</v>
      </c>
      <c r="C1693" s="368">
        <f t="shared" si="4"/>
        <v>0</v>
      </c>
      <c r="E1693" s="362"/>
      <c r="F1693" s="275"/>
    </row>
    <row r="1694" hidden="1">
      <c r="A1694" s="193">
        <v>21080.0</v>
      </c>
      <c r="B1694" s="368">
        <f>VLOOKUP(A1694,'Solicitações'!B:B,1,0)</f>
        <v>21080</v>
      </c>
      <c r="C1694" s="368">
        <f t="shared" si="4"/>
        <v>0</v>
      </c>
      <c r="E1694" s="362"/>
      <c r="F1694" s="275"/>
    </row>
    <row r="1695" hidden="1">
      <c r="A1695" s="193">
        <v>21100.0</v>
      </c>
      <c r="B1695" s="368">
        <f>VLOOKUP(A1695,'Solicitações'!B:B,1,0)</f>
        <v>21100</v>
      </c>
      <c r="C1695" s="368">
        <f t="shared" si="4"/>
        <v>0</v>
      </c>
      <c r="E1695" s="362"/>
      <c r="F1695" s="275"/>
    </row>
    <row r="1696" hidden="1">
      <c r="A1696" s="193">
        <v>21120.0</v>
      </c>
      <c r="B1696" s="368">
        <f>VLOOKUP(A1696,'Solicitações'!B:B,1,0)</f>
        <v>21120</v>
      </c>
      <c r="C1696" s="368">
        <f t="shared" si="4"/>
        <v>0</v>
      </c>
      <c r="E1696" s="362"/>
      <c r="F1696" s="275"/>
    </row>
    <row r="1697" hidden="1">
      <c r="A1697" s="193">
        <v>21140.0</v>
      </c>
      <c r="B1697" s="368">
        <f>VLOOKUP(A1697,'Solicitações'!B:B,1,0)</f>
        <v>21140</v>
      </c>
      <c r="C1697" s="368">
        <f t="shared" si="4"/>
        <v>0</v>
      </c>
      <c r="E1697" s="362"/>
      <c r="F1697" s="275"/>
    </row>
    <row r="1698" hidden="1">
      <c r="A1698" s="193">
        <v>21160.0</v>
      </c>
      <c r="B1698" s="368">
        <f>VLOOKUP(A1698,'Solicitações'!B:B,1,0)</f>
        <v>21160</v>
      </c>
      <c r="C1698" s="368">
        <f t="shared" si="4"/>
        <v>0</v>
      </c>
      <c r="E1698" s="362"/>
      <c r="F1698" s="275"/>
    </row>
    <row r="1699" hidden="1">
      <c r="A1699" s="193">
        <v>21180.0</v>
      </c>
      <c r="B1699" s="368">
        <f>VLOOKUP(A1699,'Solicitações'!B:B,1,0)</f>
        <v>21180</v>
      </c>
      <c r="C1699" s="368">
        <f t="shared" si="4"/>
        <v>0</v>
      </c>
      <c r="E1699" s="362"/>
      <c r="F1699" s="275"/>
    </row>
    <row r="1700" hidden="1">
      <c r="A1700" s="193">
        <v>21200.0</v>
      </c>
      <c r="B1700" s="368">
        <f>VLOOKUP(A1700,'Solicitações'!B:B,1,0)</f>
        <v>21200</v>
      </c>
      <c r="C1700" s="368">
        <f t="shared" si="4"/>
        <v>0</v>
      </c>
      <c r="E1700" s="362"/>
      <c r="F1700" s="275"/>
    </row>
    <row r="1701" hidden="1">
      <c r="A1701" s="193">
        <v>21220.0</v>
      </c>
      <c r="B1701" s="368">
        <f>VLOOKUP(A1701,'Solicitações'!B:B,1,0)</f>
        <v>21220</v>
      </c>
      <c r="C1701" s="368">
        <f t="shared" si="4"/>
        <v>0</v>
      </c>
      <c r="E1701" s="362"/>
      <c r="F1701" s="275"/>
    </row>
    <row r="1702" hidden="1">
      <c r="A1702" s="193">
        <v>21240.0</v>
      </c>
      <c r="B1702" s="368">
        <f>VLOOKUP(A1702,'Solicitações'!B:B,1,0)</f>
        <v>21240</v>
      </c>
      <c r="C1702" s="368">
        <f t="shared" si="4"/>
        <v>0</v>
      </c>
      <c r="E1702" s="362"/>
      <c r="F1702" s="275"/>
    </row>
    <row r="1703" hidden="1">
      <c r="A1703" s="193">
        <v>21260.0</v>
      </c>
      <c r="B1703" s="368">
        <f>VLOOKUP(A1703,'Solicitações'!B:B,1,0)</f>
        <v>21260</v>
      </c>
      <c r="C1703" s="368">
        <f t="shared" si="4"/>
        <v>0</v>
      </c>
      <c r="E1703" s="362"/>
      <c r="F1703" s="275"/>
    </row>
    <row r="1704" hidden="1">
      <c r="A1704" s="193">
        <v>21280.0</v>
      </c>
      <c r="B1704" s="368">
        <f>VLOOKUP(A1704,'Solicitações'!B:B,1,0)</f>
        <v>21280</v>
      </c>
      <c r="C1704" s="368">
        <f t="shared" si="4"/>
        <v>0</v>
      </c>
      <c r="E1704" s="362"/>
      <c r="F1704" s="275"/>
    </row>
    <row r="1705" hidden="1">
      <c r="A1705" s="193">
        <v>21300.0</v>
      </c>
      <c r="B1705" s="368">
        <f>VLOOKUP(A1705,'Solicitações'!B:B,1,0)</f>
        <v>21300</v>
      </c>
      <c r="C1705" s="368">
        <f t="shared" si="4"/>
        <v>0</v>
      </c>
      <c r="E1705" s="362"/>
      <c r="F1705" s="275"/>
    </row>
    <row r="1706" hidden="1">
      <c r="A1706" s="193">
        <v>21320.0</v>
      </c>
      <c r="B1706" s="368">
        <f>VLOOKUP(A1706,'Solicitações'!B:B,1,0)</f>
        <v>21320</v>
      </c>
      <c r="C1706" s="368">
        <f t="shared" si="4"/>
        <v>0</v>
      </c>
      <c r="E1706" s="362"/>
      <c r="F1706" s="275"/>
    </row>
    <row r="1707" hidden="1">
      <c r="A1707" s="193">
        <v>21340.0</v>
      </c>
      <c r="B1707" s="368">
        <f>VLOOKUP(A1707,'Solicitações'!B:B,1,0)</f>
        <v>21340</v>
      </c>
      <c r="C1707" s="368">
        <f t="shared" si="4"/>
        <v>0</v>
      </c>
      <c r="E1707" s="362"/>
      <c r="F1707" s="275"/>
    </row>
    <row r="1708" hidden="1">
      <c r="A1708" s="193">
        <v>21360.0</v>
      </c>
      <c r="B1708" s="368">
        <f>VLOOKUP(A1708,'Solicitações'!B:B,1,0)</f>
        <v>21360</v>
      </c>
      <c r="C1708" s="368">
        <f t="shared" si="4"/>
        <v>0</v>
      </c>
      <c r="E1708" s="362"/>
      <c r="F1708" s="275"/>
    </row>
    <row r="1709" hidden="1">
      <c r="A1709" s="193">
        <v>21380.0</v>
      </c>
      <c r="B1709" s="368">
        <f>VLOOKUP(A1709,'Solicitações'!B:B,1,0)</f>
        <v>21380</v>
      </c>
      <c r="C1709" s="368">
        <f t="shared" si="4"/>
        <v>0</v>
      </c>
      <c r="E1709" s="362"/>
      <c r="F1709" s="275"/>
    </row>
    <row r="1710" hidden="1">
      <c r="A1710" s="193">
        <v>21400.0</v>
      </c>
      <c r="B1710" s="368">
        <f>VLOOKUP(A1710,'Solicitações'!B:B,1,0)</f>
        <v>21400</v>
      </c>
      <c r="C1710" s="368">
        <f t="shared" si="4"/>
        <v>0</v>
      </c>
      <c r="E1710" s="362"/>
      <c r="F1710" s="275"/>
    </row>
    <row r="1711" hidden="1">
      <c r="A1711" s="193">
        <v>21420.0</v>
      </c>
      <c r="B1711" s="368">
        <f>VLOOKUP(A1711,'Solicitações'!B:B,1,0)</f>
        <v>21420</v>
      </c>
      <c r="C1711" s="368">
        <f t="shared" si="4"/>
        <v>0</v>
      </c>
      <c r="E1711" s="362"/>
      <c r="F1711" s="275"/>
    </row>
    <row r="1712" hidden="1">
      <c r="A1712" s="193">
        <v>21440.0</v>
      </c>
      <c r="B1712" s="368">
        <f>VLOOKUP(A1712,'Solicitações'!B:B,1,0)</f>
        <v>21440</v>
      </c>
      <c r="C1712" s="368">
        <f t="shared" si="4"/>
        <v>0</v>
      </c>
      <c r="E1712" s="362"/>
      <c r="F1712" s="275"/>
    </row>
    <row r="1713" hidden="1">
      <c r="A1713" s="193">
        <v>21460.0</v>
      </c>
      <c r="B1713" s="368">
        <f>VLOOKUP(A1713,'Solicitações'!B:B,1,0)</f>
        <v>21460</v>
      </c>
      <c r="C1713" s="368">
        <f t="shared" si="4"/>
        <v>0</v>
      </c>
      <c r="E1713" s="362"/>
      <c r="F1713" s="275"/>
    </row>
    <row r="1714" hidden="1">
      <c r="A1714" s="193">
        <v>21480.0</v>
      </c>
      <c r="B1714" s="368">
        <f>VLOOKUP(A1714,'Solicitações'!B:B,1,0)</f>
        <v>21480</v>
      </c>
      <c r="C1714" s="368">
        <f t="shared" si="4"/>
        <v>0</v>
      </c>
      <c r="E1714" s="362"/>
      <c r="F1714" s="275"/>
    </row>
    <row r="1715" hidden="1">
      <c r="A1715" s="193">
        <v>21500.0</v>
      </c>
      <c r="B1715" s="368">
        <f>VLOOKUP(A1715,'Solicitações'!B:B,1,0)</f>
        <v>21500</v>
      </c>
      <c r="C1715" s="368">
        <f t="shared" si="4"/>
        <v>0</v>
      </c>
      <c r="E1715" s="362"/>
      <c r="F1715" s="275"/>
    </row>
    <row r="1716" hidden="1">
      <c r="A1716" s="193">
        <v>21520.0</v>
      </c>
      <c r="B1716" s="368">
        <f>VLOOKUP(A1716,'Solicitações'!B:B,1,0)</f>
        <v>21520</v>
      </c>
      <c r="C1716" s="368">
        <f t="shared" si="4"/>
        <v>0</v>
      </c>
      <c r="E1716" s="362"/>
      <c r="F1716" s="275"/>
    </row>
    <row r="1717" hidden="1">
      <c r="A1717" s="193">
        <v>21540.0</v>
      </c>
      <c r="B1717" s="368">
        <f>VLOOKUP(A1717,'Solicitações'!B:B,1,0)</f>
        <v>21540</v>
      </c>
      <c r="C1717" s="368">
        <f t="shared" si="4"/>
        <v>0</v>
      </c>
      <c r="E1717" s="362"/>
      <c r="F1717" s="275"/>
    </row>
    <row r="1718" hidden="1">
      <c r="A1718" s="193">
        <v>21560.0</v>
      </c>
      <c r="B1718" s="368">
        <f>VLOOKUP(A1718,'Solicitações'!B:B,1,0)</f>
        <v>21560</v>
      </c>
      <c r="C1718" s="368">
        <f t="shared" si="4"/>
        <v>0</v>
      </c>
      <c r="E1718" s="362"/>
      <c r="F1718" s="275"/>
    </row>
    <row r="1719" hidden="1">
      <c r="A1719" s="193">
        <v>21580.0</v>
      </c>
      <c r="B1719" s="368">
        <f>VLOOKUP(A1719,'Solicitações'!B:B,1,0)</f>
        <v>21580</v>
      </c>
      <c r="C1719" s="368">
        <f t="shared" si="4"/>
        <v>0</v>
      </c>
      <c r="E1719" s="362"/>
      <c r="F1719" s="275"/>
    </row>
    <row r="1720" hidden="1">
      <c r="A1720" s="193">
        <v>21600.0</v>
      </c>
      <c r="B1720" s="368">
        <f>VLOOKUP(A1720,'Solicitações'!B:B,1,0)</f>
        <v>21600</v>
      </c>
      <c r="C1720" s="368">
        <f t="shared" si="4"/>
        <v>0</v>
      </c>
      <c r="E1720" s="362"/>
      <c r="F1720" s="275"/>
    </row>
    <row r="1721" hidden="1">
      <c r="A1721" s="193">
        <v>21620.0</v>
      </c>
      <c r="B1721" s="368">
        <f>VLOOKUP(A1721,'Solicitações'!B:B,1,0)</f>
        <v>21620</v>
      </c>
      <c r="C1721" s="368">
        <f t="shared" si="4"/>
        <v>0</v>
      </c>
      <c r="E1721" s="362"/>
      <c r="F1721" s="275"/>
    </row>
    <row r="1722" hidden="1">
      <c r="A1722" s="193">
        <v>21640.0</v>
      </c>
      <c r="B1722" s="368">
        <f>VLOOKUP(A1722,'Solicitações'!B:B,1,0)</f>
        <v>21640</v>
      </c>
      <c r="C1722" s="368">
        <f t="shared" si="4"/>
        <v>0</v>
      </c>
      <c r="E1722" s="362"/>
      <c r="F1722" s="275"/>
    </row>
    <row r="1723" hidden="1">
      <c r="A1723" s="193">
        <v>21660.0</v>
      </c>
      <c r="B1723" s="368">
        <f>VLOOKUP(A1723,'Solicitações'!B:B,1,0)</f>
        <v>21660</v>
      </c>
      <c r="C1723" s="368">
        <f t="shared" si="4"/>
        <v>0</v>
      </c>
      <c r="E1723" s="362"/>
      <c r="F1723" s="275"/>
    </row>
    <row r="1724" hidden="1">
      <c r="A1724" s="193">
        <v>21680.0</v>
      </c>
      <c r="B1724" s="368">
        <f>VLOOKUP(A1724,'Solicitações'!B:B,1,0)</f>
        <v>21680</v>
      </c>
      <c r="C1724" s="368">
        <f t="shared" si="4"/>
        <v>0</v>
      </c>
      <c r="E1724" s="362"/>
      <c r="F1724" s="275"/>
    </row>
    <row r="1725" hidden="1">
      <c r="A1725" s="193">
        <v>21700.0</v>
      </c>
      <c r="B1725" s="368">
        <f>VLOOKUP(A1725,'Solicitações'!B:B,1,0)</f>
        <v>21700</v>
      </c>
      <c r="C1725" s="368">
        <f t="shared" si="4"/>
        <v>0</v>
      </c>
      <c r="E1725" s="362"/>
      <c r="F1725" s="275"/>
    </row>
    <row r="1726" hidden="1">
      <c r="A1726" s="193">
        <v>21720.0</v>
      </c>
      <c r="B1726" s="368">
        <f>VLOOKUP(A1726,'Solicitações'!B:B,1,0)</f>
        <v>21720</v>
      </c>
      <c r="C1726" s="368">
        <f t="shared" si="4"/>
        <v>0</v>
      </c>
      <c r="E1726" s="362"/>
      <c r="F1726" s="275"/>
    </row>
    <row r="1727" hidden="1">
      <c r="A1727" s="193">
        <v>21740.0</v>
      </c>
      <c r="B1727" s="368">
        <f>VLOOKUP(A1727,'Solicitações'!B:B,1,0)</f>
        <v>21740</v>
      </c>
      <c r="C1727" s="368">
        <f t="shared" si="4"/>
        <v>0</v>
      </c>
      <c r="E1727" s="362"/>
      <c r="F1727" s="275"/>
    </row>
    <row r="1728" hidden="1">
      <c r="A1728" s="193">
        <v>21760.0</v>
      </c>
      <c r="B1728" s="368">
        <f>VLOOKUP(A1728,'Solicitações'!B:B,1,0)</f>
        <v>21760</v>
      </c>
      <c r="C1728" s="368">
        <f t="shared" si="4"/>
        <v>0</v>
      </c>
      <c r="E1728" s="362"/>
      <c r="F1728" s="275"/>
    </row>
    <row r="1729" hidden="1">
      <c r="A1729" s="193">
        <v>21780.0</v>
      </c>
      <c r="B1729" s="368">
        <f>VLOOKUP(A1729,'Solicitações'!B:B,1,0)</f>
        <v>21780</v>
      </c>
      <c r="C1729" s="368">
        <f t="shared" si="4"/>
        <v>0</v>
      </c>
      <c r="E1729" s="362"/>
      <c r="F1729" s="275"/>
    </row>
    <row r="1730" hidden="1">
      <c r="A1730" s="193">
        <v>21800.0</v>
      </c>
      <c r="B1730" s="368">
        <f>VLOOKUP(A1730,'Solicitações'!B:B,1,0)</f>
        <v>21800</v>
      </c>
      <c r="C1730" s="368">
        <f t="shared" si="4"/>
        <v>0</v>
      </c>
      <c r="E1730" s="362"/>
      <c r="F1730" s="275"/>
    </row>
    <row r="1731" hidden="1">
      <c r="A1731" s="193">
        <v>21820.0</v>
      </c>
      <c r="B1731" s="368">
        <f>VLOOKUP(A1731,'Solicitações'!B:B,1,0)</f>
        <v>21820</v>
      </c>
      <c r="C1731" s="368">
        <f t="shared" si="4"/>
        <v>0</v>
      </c>
      <c r="E1731" s="362"/>
      <c r="F1731" s="275"/>
    </row>
    <row r="1732" hidden="1">
      <c r="A1732" s="193">
        <v>21840.0</v>
      </c>
      <c r="B1732" s="368">
        <f>VLOOKUP(A1732,'Solicitações'!B:B,1,0)</f>
        <v>21840</v>
      </c>
      <c r="C1732" s="368">
        <f t="shared" si="4"/>
        <v>0</v>
      </c>
      <c r="E1732" s="362"/>
      <c r="F1732" s="275"/>
    </row>
    <row r="1733" hidden="1">
      <c r="A1733" s="193">
        <v>21860.0</v>
      </c>
      <c r="B1733" s="368">
        <f>VLOOKUP(A1733,'Solicitações'!B:B,1,0)</f>
        <v>21860</v>
      </c>
      <c r="C1733" s="368">
        <f t="shared" si="4"/>
        <v>0</v>
      </c>
      <c r="E1733" s="362"/>
      <c r="F1733" s="275"/>
    </row>
    <row r="1734" hidden="1">
      <c r="A1734" s="193">
        <v>21880.0</v>
      </c>
      <c r="B1734" s="368">
        <f>VLOOKUP(A1734,'Solicitações'!B:B,1,0)</f>
        <v>21880</v>
      </c>
      <c r="C1734" s="368">
        <f t="shared" si="4"/>
        <v>0</v>
      </c>
      <c r="E1734" s="362"/>
      <c r="F1734" s="275"/>
    </row>
    <row r="1735" hidden="1">
      <c r="A1735" s="193">
        <v>21900.0</v>
      </c>
      <c r="B1735" s="368">
        <f>VLOOKUP(A1735,'Solicitações'!B:B,1,0)</f>
        <v>21900</v>
      </c>
      <c r="C1735" s="368">
        <f t="shared" si="4"/>
        <v>0</v>
      </c>
      <c r="E1735" s="362"/>
      <c r="F1735" s="275"/>
    </row>
    <row r="1736" hidden="1">
      <c r="A1736" s="193">
        <v>21920.0</v>
      </c>
      <c r="B1736" s="368">
        <f>VLOOKUP(A1736,'Solicitações'!B:B,1,0)</f>
        <v>21920</v>
      </c>
      <c r="C1736" s="368">
        <f t="shared" si="4"/>
        <v>0</v>
      </c>
      <c r="E1736" s="362"/>
      <c r="F1736" s="275"/>
    </row>
    <row r="1737" hidden="1">
      <c r="A1737" s="193">
        <v>21940.0</v>
      </c>
      <c r="B1737" s="368">
        <f>VLOOKUP(A1737,'Solicitações'!B:B,1,0)</f>
        <v>21940</v>
      </c>
      <c r="C1737" s="368">
        <f t="shared" si="4"/>
        <v>0</v>
      </c>
      <c r="E1737" s="362"/>
      <c r="F1737" s="275"/>
    </row>
    <row r="1738" hidden="1">
      <c r="A1738" s="193">
        <v>21960.0</v>
      </c>
      <c r="B1738" s="368">
        <f>VLOOKUP(A1738,'Solicitações'!B:B,1,0)</f>
        <v>21960</v>
      </c>
      <c r="C1738" s="368">
        <f t="shared" si="4"/>
        <v>0</v>
      </c>
      <c r="E1738" s="362"/>
      <c r="F1738" s="275"/>
    </row>
    <row r="1739" hidden="1">
      <c r="A1739" s="193">
        <v>21980.0</v>
      </c>
      <c r="B1739" s="368">
        <f>VLOOKUP(A1739,'Solicitações'!B:B,1,0)</f>
        <v>21980</v>
      </c>
      <c r="C1739" s="368">
        <f t="shared" si="4"/>
        <v>0</v>
      </c>
      <c r="E1739" s="362"/>
      <c r="F1739" s="275"/>
    </row>
    <row r="1740" hidden="1">
      <c r="A1740" s="193">
        <v>22000.0</v>
      </c>
      <c r="B1740" s="368">
        <f>VLOOKUP(A1740,'Solicitações'!B:B,1,0)</f>
        <v>22000</v>
      </c>
      <c r="C1740" s="368">
        <f t="shared" si="4"/>
        <v>0</v>
      </c>
      <c r="E1740" s="362"/>
      <c r="F1740" s="275"/>
    </row>
    <row r="1741" hidden="1">
      <c r="A1741" s="193">
        <v>22020.0</v>
      </c>
      <c r="B1741" s="368">
        <f>VLOOKUP(A1741,'Solicitações'!B:B,1,0)</f>
        <v>22020</v>
      </c>
      <c r="C1741" s="368">
        <f t="shared" si="4"/>
        <v>0</v>
      </c>
      <c r="E1741" s="362"/>
      <c r="F1741" s="275"/>
    </row>
    <row r="1742" hidden="1">
      <c r="A1742" s="193">
        <v>22040.0</v>
      </c>
      <c r="B1742" s="368">
        <f>VLOOKUP(A1742,'Solicitações'!B:B,1,0)</f>
        <v>22040</v>
      </c>
      <c r="C1742" s="368">
        <f t="shared" si="4"/>
        <v>0</v>
      </c>
      <c r="E1742" s="362"/>
      <c r="F1742" s="275"/>
    </row>
    <row r="1743" hidden="1">
      <c r="A1743" s="193">
        <v>22060.0</v>
      </c>
      <c r="B1743" s="368">
        <f>VLOOKUP(A1743,'Solicitações'!B:B,1,0)</f>
        <v>22060</v>
      </c>
      <c r="C1743" s="368">
        <f t="shared" si="4"/>
        <v>0</v>
      </c>
      <c r="E1743" s="362"/>
      <c r="F1743" s="275"/>
    </row>
    <row r="1744" hidden="1">
      <c r="A1744" s="193">
        <v>22080.0</v>
      </c>
      <c r="B1744" s="368">
        <f>VLOOKUP(A1744,'Solicitações'!B:B,1,0)</f>
        <v>22080</v>
      </c>
      <c r="C1744" s="368">
        <f t="shared" si="4"/>
        <v>0</v>
      </c>
      <c r="E1744" s="362"/>
      <c r="F1744" s="275"/>
    </row>
    <row r="1745" hidden="1">
      <c r="A1745" s="193">
        <v>22100.0</v>
      </c>
      <c r="B1745" s="368">
        <f>VLOOKUP(A1745,'Solicitações'!B:B,1,0)</f>
        <v>22100</v>
      </c>
      <c r="C1745" s="368">
        <f t="shared" si="4"/>
        <v>0</v>
      </c>
      <c r="E1745" s="362"/>
      <c r="F1745" s="275"/>
    </row>
    <row r="1746" hidden="1">
      <c r="A1746" s="193">
        <v>22120.0</v>
      </c>
      <c r="B1746" s="368">
        <f>VLOOKUP(A1746,'Solicitações'!B:B,1,0)</f>
        <v>22120</v>
      </c>
      <c r="C1746" s="368">
        <f t="shared" si="4"/>
        <v>0</v>
      </c>
      <c r="E1746" s="362"/>
      <c r="F1746" s="275"/>
    </row>
    <row r="1747" hidden="1">
      <c r="A1747" s="193">
        <v>22140.0</v>
      </c>
      <c r="B1747" s="368">
        <f>VLOOKUP(A1747,'Solicitações'!B:B,1,0)</f>
        <v>22140</v>
      </c>
      <c r="C1747" s="368">
        <f t="shared" si="4"/>
        <v>0</v>
      </c>
      <c r="E1747" s="362"/>
      <c r="F1747" s="275"/>
    </row>
    <row r="1748" hidden="1">
      <c r="A1748" s="193">
        <v>22160.0</v>
      </c>
      <c r="B1748" s="368">
        <f>VLOOKUP(A1748,'Solicitações'!B:B,1,0)</f>
        <v>22160</v>
      </c>
      <c r="C1748" s="368">
        <f t="shared" si="4"/>
        <v>0</v>
      </c>
      <c r="E1748" s="362"/>
      <c r="F1748" s="275"/>
    </row>
    <row r="1749" hidden="1">
      <c r="A1749" s="193">
        <v>22180.0</v>
      </c>
      <c r="B1749" s="368">
        <f>VLOOKUP(A1749,'Solicitações'!B:B,1,0)</f>
        <v>22180</v>
      </c>
      <c r="C1749" s="368">
        <f t="shared" si="4"/>
        <v>0</v>
      </c>
      <c r="E1749" s="362"/>
      <c r="F1749" s="275"/>
    </row>
    <row r="1750" hidden="1">
      <c r="A1750" s="193">
        <v>22200.0</v>
      </c>
      <c r="B1750" s="368">
        <f>VLOOKUP(A1750,'Solicitações'!B:B,1,0)</f>
        <v>22200</v>
      </c>
      <c r="C1750" s="368">
        <f t="shared" si="4"/>
        <v>0</v>
      </c>
      <c r="E1750" s="362"/>
      <c r="F1750" s="275"/>
    </row>
    <row r="1751" hidden="1">
      <c r="A1751" s="193">
        <v>22220.0</v>
      </c>
      <c r="B1751" s="368">
        <f>VLOOKUP(A1751,'Solicitações'!B:B,1,0)</f>
        <v>22220</v>
      </c>
      <c r="C1751" s="368">
        <f t="shared" si="4"/>
        <v>0</v>
      </c>
      <c r="E1751" s="362"/>
      <c r="F1751" s="275"/>
    </row>
    <row r="1752" hidden="1">
      <c r="A1752" s="193">
        <v>22240.0</v>
      </c>
      <c r="B1752" s="368">
        <f>VLOOKUP(A1752,'Solicitações'!B:B,1,0)</f>
        <v>22240</v>
      </c>
      <c r="C1752" s="368">
        <f t="shared" si="4"/>
        <v>0</v>
      </c>
      <c r="E1752" s="362"/>
      <c r="F1752" s="275"/>
    </row>
    <row r="1753" hidden="1">
      <c r="A1753" s="193">
        <v>22260.0</v>
      </c>
      <c r="B1753" s="368">
        <f>VLOOKUP(A1753,'Solicitações'!B:B,1,0)</f>
        <v>22260</v>
      </c>
      <c r="C1753" s="368">
        <f t="shared" si="4"/>
        <v>0</v>
      </c>
      <c r="E1753" s="362"/>
      <c r="F1753" s="275"/>
    </row>
    <row r="1754" hidden="1">
      <c r="A1754" s="193">
        <v>22280.0</v>
      </c>
      <c r="B1754" s="368">
        <f>VLOOKUP(A1754,'Solicitações'!B:B,1,0)</f>
        <v>22280</v>
      </c>
      <c r="C1754" s="368">
        <f t="shared" si="4"/>
        <v>0</v>
      </c>
      <c r="E1754" s="362"/>
      <c r="F1754" s="275"/>
    </row>
    <row r="1755" hidden="1">
      <c r="A1755" s="193">
        <v>22300.0</v>
      </c>
      <c r="B1755" s="368">
        <f>VLOOKUP(A1755,'Solicitações'!B:B,1,0)</f>
        <v>22300</v>
      </c>
      <c r="C1755" s="368">
        <f t="shared" si="4"/>
        <v>0</v>
      </c>
      <c r="E1755" s="362"/>
      <c r="F1755" s="275"/>
    </row>
    <row r="1756" hidden="1">
      <c r="A1756" s="193">
        <v>22320.0</v>
      </c>
      <c r="B1756" s="368">
        <f>VLOOKUP(A1756,'Solicitações'!B:B,1,0)</f>
        <v>22320</v>
      </c>
      <c r="C1756" s="368">
        <f t="shared" si="4"/>
        <v>0</v>
      </c>
      <c r="E1756" s="362"/>
      <c r="F1756" s="275"/>
    </row>
    <row r="1757" hidden="1">
      <c r="A1757" s="193">
        <v>22340.0</v>
      </c>
      <c r="B1757" s="368">
        <f>VLOOKUP(A1757,'Solicitações'!B:B,1,0)</f>
        <v>22340</v>
      </c>
      <c r="C1757" s="368">
        <f t="shared" si="4"/>
        <v>0</v>
      </c>
      <c r="E1757" s="362"/>
      <c r="F1757" s="275"/>
    </row>
    <row r="1758" hidden="1">
      <c r="A1758" s="193">
        <v>22360.0</v>
      </c>
      <c r="B1758" s="368">
        <f>VLOOKUP(A1758,'Solicitações'!B:B,1,0)</f>
        <v>22360</v>
      </c>
      <c r="C1758" s="368">
        <f t="shared" si="4"/>
        <v>0</v>
      </c>
      <c r="E1758" s="362"/>
      <c r="F1758" s="275"/>
    </row>
    <row r="1759" hidden="1">
      <c r="A1759" s="193">
        <v>22380.0</v>
      </c>
      <c r="B1759" s="368">
        <f>VLOOKUP(A1759,'Solicitações'!B:B,1,0)</f>
        <v>22380</v>
      </c>
      <c r="C1759" s="368">
        <f t="shared" si="4"/>
        <v>0</v>
      </c>
      <c r="E1759" s="362"/>
      <c r="F1759" s="275"/>
    </row>
    <row r="1760" hidden="1">
      <c r="A1760" s="193">
        <v>22400.0</v>
      </c>
      <c r="B1760" s="368">
        <f>VLOOKUP(A1760,'Solicitações'!B:B,1,0)</f>
        <v>22400</v>
      </c>
      <c r="C1760" s="368">
        <f t="shared" si="4"/>
        <v>0</v>
      </c>
      <c r="E1760" s="362"/>
      <c r="F1760" s="275"/>
    </row>
    <row r="1761" hidden="1">
      <c r="A1761" s="193">
        <v>22420.0</v>
      </c>
      <c r="B1761" s="368">
        <f>VLOOKUP(A1761,'Solicitações'!B:B,1,0)</f>
        <v>22420</v>
      </c>
      <c r="C1761" s="368">
        <f t="shared" si="4"/>
        <v>0</v>
      </c>
      <c r="E1761" s="362"/>
      <c r="F1761" s="275"/>
    </row>
    <row r="1762" hidden="1">
      <c r="A1762" s="193">
        <v>22440.0</v>
      </c>
      <c r="B1762" s="368">
        <f>VLOOKUP(A1762,'Solicitações'!B:B,1,0)</f>
        <v>22440</v>
      </c>
      <c r="C1762" s="368">
        <f t="shared" si="4"/>
        <v>0</v>
      </c>
      <c r="E1762" s="362"/>
      <c r="F1762" s="275"/>
    </row>
    <row r="1763" hidden="1">
      <c r="A1763" s="193">
        <v>22460.0</v>
      </c>
      <c r="B1763" s="368">
        <f>VLOOKUP(A1763,'Solicitações'!B:B,1,0)</f>
        <v>22460</v>
      </c>
      <c r="C1763" s="368">
        <f t="shared" si="4"/>
        <v>0</v>
      </c>
      <c r="E1763" s="362"/>
      <c r="F1763" s="275"/>
    </row>
    <row r="1764" hidden="1">
      <c r="A1764" s="193">
        <v>22480.0</v>
      </c>
      <c r="B1764" s="368">
        <f>VLOOKUP(A1764,'Solicitações'!B:B,1,0)</f>
        <v>22480</v>
      </c>
      <c r="C1764" s="368">
        <f t="shared" si="4"/>
        <v>0</v>
      </c>
      <c r="E1764" s="362"/>
      <c r="F1764" s="275"/>
    </row>
    <row r="1765" hidden="1">
      <c r="A1765" s="193">
        <v>22500.0</v>
      </c>
      <c r="B1765" s="368">
        <f>VLOOKUP(A1765,'Solicitações'!B:B,1,0)</f>
        <v>22500</v>
      </c>
      <c r="C1765" s="368">
        <f t="shared" si="4"/>
        <v>0</v>
      </c>
      <c r="E1765" s="362"/>
      <c r="F1765" s="275"/>
    </row>
    <row r="1766" hidden="1">
      <c r="A1766" s="193">
        <v>22520.0</v>
      </c>
      <c r="B1766" s="368">
        <f>VLOOKUP(A1766,'Solicitações'!B:B,1,0)</f>
        <v>22520</v>
      </c>
      <c r="C1766" s="368">
        <f t="shared" si="4"/>
        <v>0</v>
      </c>
      <c r="E1766" s="362"/>
      <c r="F1766" s="275"/>
    </row>
    <row r="1767" hidden="1">
      <c r="A1767" s="193">
        <v>22540.0</v>
      </c>
      <c r="B1767" s="368">
        <f>VLOOKUP(A1767,'Solicitações'!B:B,1,0)</f>
        <v>22540</v>
      </c>
      <c r="C1767" s="368">
        <f t="shared" si="4"/>
        <v>0</v>
      </c>
      <c r="E1767" s="362"/>
      <c r="F1767" s="275"/>
    </row>
    <row r="1768" hidden="1">
      <c r="A1768" s="193">
        <v>22560.0</v>
      </c>
      <c r="B1768" s="368">
        <f>VLOOKUP(A1768,'Solicitações'!B:B,1,0)</f>
        <v>22560</v>
      </c>
      <c r="C1768" s="368">
        <f t="shared" si="4"/>
        <v>0</v>
      </c>
      <c r="E1768" s="362"/>
      <c r="F1768" s="275"/>
    </row>
    <row r="1769" hidden="1">
      <c r="A1769" s="193">
        <v>22580.0</v>
      </c>
      <c r="B1769" s="368">
        <f>VLOOKUP(A1769,'Solicitações'!B:B,1,0)</f>
        <v>22580</v>
      </c>
      <c r="C1769" s="368">
        <f t="shared" si="4"/>
        <v>0</v>
      </c>
      <c r="E1769" s="362"/>
      <c r="F1769" s="275"/>
    </row>
    <row r="1770" hidden="1">
      <c r="A1770" s="193">
        <v>22600.0</v>
      </c>
      <c r="B1770" s="368">
        <f>VLOOKUP(A1770,'Solicitações'!B:B,1,0)</f>
        <v>22600</v>
      </c>
      <c r="C1770" s="368">
        <f t="shared" si="4"/>
        <v>0</v>
      </c>
      <c r="E1770" s="362"/>
      <c r="F1770" s="275"/>
    </row>
    <row r="1771" hidden="1">
      <c r="A1771" s="193">
        <v>22620.0</v>
      </c>
      <c r="B1771" s="368">
        <f>VLOOKUP(A1771,'Solicitações'!B:B,1,0)</f>
        <v>22620</v>
      </c>
      <c r="C1771" s="368">
        <f t="shared" si="4"/>
        <v>0</v>
      </c>
      <c r="E1771" s="362"/>
      <c r="F1771" s="275"/>
    </row>
    <row r="1772" hidden="1">
      <c r="A1772" s="193">
        <v>22640.0</v>
      </c>
      <c r="B1772" s="368">
        <f>VLOOKUP(A1772,'Solicitações'!B:B,1,0)</f>
        <v>22640</v>
      </c>
      <c r="C1772" s="368">
        <f t="shared" si="4"/>
        <v>0</v>
      </c>
      <c r="E1772" s="362"/>
      <c r="F1772" s="275"/>
    </row>
    <row r="1773" hidden="1">
      <c r="A1773" s="193">
        <v>22660.0</v>
      </c>
      <c r="B1773" s="368">
        <f>VLOOKUP(A1773,'Solicitações'!B:B,1,0)</f>
        <v>22660</v>
      </c>
      <c r="C1773" s="368">
        <f t="shared" si="4"/>
        <v>0</v>
      </c>
      <c r="E1773" s="362"/>
      <c r="F1773" s="275"/>
    </row>
    <row r="1774" hidden="1">
      <c r="A1774" s="193">
        <v>22680.0</v>
      </c>
      <c r="B1774" s="368">
        <f>VLOOKUP(A1774,'Solicitações'!B:B,1,0)</f>
        <v>22680</v>
      </c>
      <c r="C1774" s="368">
        <f t="shared" si="4"/>
        <v>0</v>
      </c>
      <c r="E1774" s="362"/>
      <c r="F1774" s="275"/>
    </row>
    <row r="1775" hidden="1">
      <c r="A1775" s="193">
        <v>22700.0</v>
      </c>
      <c r="B1775" s="368">
        <f>VLOOKUP(A1775,'Solicitações'!B:B,1,0)</f>
        <v>22700</v>
      </c>
      <c r="C1775" s="368">
        <f t="shared" si="4"/>
        <v>0</v>
      </c>
      <c r="E1775" s="362"/>
      <c r="F1775" s="275"/>
    </row>
    <row r="1776" hidden="1">
      <c r="A1776" s="193">
        <v>22720.0</v>
      </c>
      <c r="B1776" s="368">
        <f>VLOOKUP(A1776,'Solicitações'!B:B,1,0)</f>
        <v>22720</v>
      </c>
      <c r="C1776" s="368">
        <f t="shared" si="4"/>
        <v>0</v>
      </c>
      <c r="E1776" s="362"/>
      <c r="F1776" s="275"/>
    </row>
    <row r="1777" hidden="1">
      <c r="A1777" s="193">
        <v>22740.0</v>
      </c>
      <c r="B1777" s="368">
        <f>VLOOKUP(A1777,'Solicitações'!B:B,1,0)</f>
        <v>22740</v>
      </c>
      <c r="C1777" s="368">
        <f t="shared" si="4"/>
        <v>0</v>
      </c>
      <c r="E1777" s="362"/>
      <c r="F1777" s="275"/>
    </row>
    <row r="1778" hidden="1">
      <c r="A1778" s="193">
        <v>22760.0</v>
      </c>
      <c r="B1778" s="368">
        <f>VLOOKUP(A1778,'Solicitações'!B:B,1,0)</f>
        <v>22760</v>
      </c>
      <c r="C1778" s="368">
        <f t="shared" si="4"/>
        <v>0</v>
      </c>
      <c r="E1778" s="362"/>
      <c r="F1778" s="275"/>
    </row>
    <row r="1779" hidden="1">
      <c r="A1779" s="193">
        <v>22780.0</v>
      </c>
      <c r="B1779" s="368">
        <f>VLOOKUP(A1779,'Solicitações'!B:B,1,0)</f>
        <v>22780</v>
      </c>
      <c r="C1779" s="368">
        <f t="shared" si="4"/>
        <v>0</v>
      </c>
      <c r="E1779" s="362"/>
      <c r="F1779" s="275"/>
    </row>
    <row r="1780" hidden="1">
      <c r="A1780" s="193">
        <v>22800.0</v>
      </c>
      <c r="B1780" s="368">
        <f>VLOOKUP(A1780,'Solicitações'!B:B,1,0)</f>
        <v>22800</v>
      </c>
      <c r="C1780" s="368">
        <f t="shared" si="4"/>
        <v>0</v>
      </c>
      <c r="E1780" s="362"/>
      <c r="F1780" s="275"/>
    </row>
    <row r="1781" hidden="1">
      <c r="A1781" s="193">
        <v>22820.0</v>
      </c>
      <c r="B1781" s="368">
        <f>VLOOKUP(A1781,'Solicitações'!B:B,1,0)</f>
        <v>22820</v>
      </c>
      <c r="C1781" s="368">
        <f t="shared" si="4"/>
        <v>0</v>
      </c>
      <c r="E1781" s="362"/>
      <c r="F1781" s="275"/>
    </row>
    <row r="1782" hidden="1">
      <c r="A1782" s="193">
        <v>22840.0</v>
      </c>
      <c r="B1782" s="368">
        <f>VLOOKUP(A1782,'Solicitações'!B:B,1,0)</f>
        <v>22840</v>
      </c>
      <c r="C1782" s="368">
        <f t="shared" si="4"/>
        <v>0</v>
      </c>
      <c r="E1782" s="362"/>
      <c r="F1782" s="275"/>
    </row>
    <row r="1783" hidden="1">
      <c r="A1783" s="193">
        <v>22860.0</v>
      </c>
      <c r="B1783" s="368">
        <f>VLOOKUP(A1783,'Solicitações'!B:B,1,0)</f>
        <v>22860</v>
      </c>
      <c r="C1783" s="368">
        <f t="shared" si="4"/>
        <v>0</v>
      </c>
      <c r="E1783" s="362"/>
      <c r="F1783" s="275"/>
    </row>
    <row r="1784" hidden="1">
      <c r="A1784" s="193">
        <v>22880.0</v>
      </c>
      <c r="B1784" s="368">
        <f>VLOOKUP(A1784,'Solicitações'!B:B,1,0)</f>
        <v>22880</v>
      </c>
      <c r="C1784" s="368">
        <f t="shared" si="4"/>
        <v>0</v>
      </c>
      <c r="E1784" s="362"/>
      <c r="F1784" s="275"/>
    </row>
    <row r="1785" hidden="1">
      <c r="A1785" s="193">
        <v>22900.0</v>
      </c>
      <c r="B1785" s="368">
        <f>VLOOKUP(A1785,'Solicitações'!B:B,1,0)</f>
        <v>22900</v>
      </c>
      <c r="C1785" s="368">
        <f t="shared" si="4"/>
        <v>0</v>
      </c>
      <c r="E1785" s="362"/>
      <c r="F1785" s="275"/>
    </row>
    <row r="1786" hidden="1">
      <c r="A1786" s="193">
        <v>22920.0</v>
      </c>
      <c r="B1786" s="368">
        <f>VLOOKUP(A1786,'Solicitações'!B:B,1,0)</f>
        <v>22920</v>
      </c>
      <c r="C1786" s="368">
        <f t="shared" si="4"/>
        <v>0</v>
      </c>
      <c r="E1786" s="362"/>
      <c r="F1786" s="275"/>
    </row>
    <row r="1787" hidden="1">
      <c r="A1787" s="193">
        <v>22940.0</v>
      </c>
      <c r="B1787" s="368">
        <f>VLOOKUP(A1787,'Solicitações'!B:B,1,0)</f>
        <v>22940</v>
      </c>
      <c r="C1787" s="368">
        <f t="shared" si="4"/>
        <v>0</v>
      </c>
      <c r="E1787" s="362"/>
      <c r="F1787" s="275"/>
    </row>
    <row r="1788" hidden="1">
      <c r="A1788" s="193">
        <v>22960.0</v>
      </c>
      <c r="B1788" s="368">
        <f>VLOOKUP(A1788,'Solicitações'!B:B,1,0)</f>
        <v>22960</v>
      </c>
      <c r="C1788" s="368">
        <f t="shared" si="4"/>
        <v>0</v>
      </c>
      <c r="E1788" s="362"/>
      <c r="F1788" s="275"/>
    </row>
    <row r="1789" hidden="1">
      <c r="A1789" s="193">
        <v>22980.0</v>
      </c>
      <c r="B1789" s="368">
        <f>VLOOKUP(A1789,'Solicitações'!B:B,1,0)</f>
        <v>22980</v>
      </c>
      <c r="C1789" s="368">
        <f t="shared" si="4"/>
        <v>0</v>
      </c>
      <c r="E1789" s="362"/>
      <c r="F1789" s="275"/>
    </row>
    <row r="1790" hidden="1">
      <c r="A1790" s="193">
        <v>23000.0</v>
      </c>
      <c r="B1790" s="368">
        <f>VLOOKUP(A1790,'Solicitações'!B:B,1,0)</f>
        <v>23000</v>
      </c>
      <c r="C1790" s="368">
        <f t="shared" si="4"/>
        <v>0</v>
      </c>
      <c r="E1790" s="362"/>
      <c r="F1790" s="275"/>
    </row>
    <row r="1791" hidden="1">
      <c r="A1791" s="193">
        <v>23020.0</v>
      </c>
      <c r="B1791" s="368">
        <f>VLOOKUP(A1791,'Solicitações'!B:B,1,0)</f>
        <v>23020</v>
      </c>
      <c r="C1791" s="368">
        <f t="shared" si="4"/>
        <v>0</v>
      </c>
      <c r="E1791" s="362"/>
      <c r="F1791" s="275"/>
    </row>
    <row r="1792" hidden="1">
      <c r="A1792" s="193">
        <v>23040.0</v>
      </c>
      <c r="B1792" s="368">
        <f>VLOOKUP(A1792,'Solicitações'!B:B,1,0)</f>
        <v>23040</v>
      </c>
      <c r="C1792" s="368">
        <f t="shared" si="4"/>
        <v>0</v>
      </c>
      <c r="E1792" s="362"/>
      <c r="F1792" s="275"/>
    </row>
    <row r="1793" hidden="1">
      <c r="A1793" s="193">
        <v>23060.0</v>
      </c>
      <c r="B1793" s="368">
        <f>VLOOKUP(A1793,'Solicitações'!B:B,1,0)</f>
        <v>23060</v>
      </c>
      <c r="C1793" s="368">
        <f t="shared" si="4"/>
        <v>0</v>
      </c>
      <c r="E1793" s="362"/>
      <c r="F1793" s="275"/>
    </row>
    <row r="1794" hidden="1">
      <c r="A1794" s="193">
        <v>23080.0</v>
      </c>
      <c r="B1794" s="368">
        <f>VLOOKUP(A1794,'Solicitações'!B:B,1,0)</f>
        <v>23080</v>
      </c>
      <c r="C1794" s="368">
        <f t="shared" si="4"/>
        <v>0</v>
      </c>
      <c r="E1794" s="362"/>
      <c r="F1794" s="275"/>
    </row>
    <row r="1795" hidden="1">
      <c r="A1795" s="193">
        <v>23100.0</v>
      </c>
      <c r="B1795" s="368">
        <f>VLOOKUP(A1795,'Solicitações'!B:B,1,0)</f>
        <v>23100</v>
      </c>
      <c r="C1795" s="368">
        <f t="shared" si="4"/>
        <v>0</v>
      </c>
      <c r="E1795" s="362"/>
      <c r="F1795" s="275"/>
    </row>
    <row r="1796" hidden="1">
      <c r="A1796" s="193">
        <v>23120.0</v>
      </c>
      <c r="B1796" s="368">
        <f>VLOOKUP(A1796,'Solicitações'!B:B,1,0)</f>
        <v>23120</v>
      </c>
      <c r="C1796" s="368">
        <f t="shared" si="4"/>
        <v>0</v>
      </c>
      <c r="E1796" s="362"/>
      <c r="F1796" s="275"/>
    </row>
    <row r="1797" hidden="1">
      <c r="A1797" s="193">
        <v>23140.0</v>
      </c>
      <c r="B1797" s="368">
        <f>VLOOKUP(A1797,'Solicitações'!B:B,1,0)</f>
        <v>23140</v>
      </c>
      <c r="C1797" s="368">
        <f t="shared" si="4"/>
        <v>0</v>
      </c>
      <c r="E1797" s="362"/>
      <c r="F1797" s="275"/>
    </row>
    <row r="1798" hidden="1">
      <c r="A1798" s="193">
        <v>23160.0</v>
      </c>
      <c r="B1798" s="368">
        <f>VLOOKUP(A1798,'Solicitações'!B:B,1,0)</f>
        <v>23160</v>
      </c>
      <c r="C1798" s="368">
        <f t="shared" si="4"/>
        <v>0</v>
      </c>
      <c r="E1798" s="362"/>
      <c r="F1798" s="275"/>
    </row>
    <row r="1799" hidden="1">
      <c r="A1799" s="193">
        <v>23180.0</v>
      </c>
      <c r="B1799" s="368">
        <f>VLOOKUP(A1799,'Solicitações'!B:B,1,0)</f>
        <v>23180</v>
      </c>
      <c r="C1799" s="368">
        <f t="shared" si="4"/>
        <v>0</v>
      </c>
      <c r="E1799" s="362"/>
      <c r="F1799" s="275"/>
    </row>
    <row r="1800" hidden="1">
      <c r="A1800" s="193">
        <v>23200.0</v>
      </c>
      <c r="B1800" s="368">
        <f>VLOOKUP(A1800,'Solicitações'!B:B,1,0)</f>
        <v>23200</v>
      </c>
      <c r="C1800" s="368">
        <f t="shared" si="4"/>
        <v>0</v>
      </c>
      <c r="E1800" s="362"/>
      <c r="F1800" s="275"/>
    </row>
    <row r="1801" hidden="1">
      <c r="A1801" s="193">
        <v>23220.0</v>
      </c>
      <c r="B1801" s="368">
        <f>VLOOKUP(A1801,'Solicitações'!B:B,1,0)</f>
        <v>23220</v>
      </c>
      <c r="C1801" s="368">
        <f t="shared" si="4"/>
        <v>0</v>
      </c>
      <c r="E1801" s="362"/>
      <c r="F1801" s="275"/>
    </row>
    <row r="1802" hidden="1">
      <c r="A1802" s="193">
        <v>23240.0</v>
      </c>
      <c r="B1802" s="368">
        <f>VLOOKUP(A1802,'Solicitações'!B:B,1,0)</f>
        <v>23240</v>
      </c>
      <c r="C1802" s="368">
        <f t="shared" si="4"/>
        <v>0</v>
      </c>
      <c r="E1802" s="362"/>
      <c r="F1802" s="275"/>
    </row>
    <row r="1803" hidden="1">
      <c r="A1803" s="193">
        <v>23260.0</v>
      </c>
      <c r="B1803" s="368">
        <f>VLOOKUP(A1803,'Solicitações'!B:B,1,0)</f>
        <v>23260</v>
      </c>
      <c r="C1803" s="368">
        <f t="shared" si="4"/>
        <v>0</v>
      </c>
      <c r="E1803" s="362"/>
      <c r="F1803" s="275"/>
    </row>
    <row r="1804" hidden="1">
      <c r="A1804" s="193">
        <v>23280.0</v>
      </c>
      <c r="B1804" s="368">
        <f>VLOOKUP(A1804,'Solicitações'!B:B,1,0)</f>
        <v>23280</v>
      </c>
      <c r="C1804" s="368">
        <f t="shared" si="4"/>
        <v>0</v>
      </c>
      <c r="E1804" s="362"/>
      <c r="F1804" s="275"/>
    </row>
    <row r="1805" hidden="1">
      <c r="A1805" s="193">
        <v>23300.0</v>
      </c>
      <c r="B1805" s="368">
        <f>VLOOKUP(A1805,'Solicitações'!B:B,1,0)</f>
        <v>23300</v>
      </c>
      <c r="C1805" s="368">
        <f t="shared" si="4"/>
        <v>0</v>
      </c>
      <c r="E1805" s="362"/>
      <c r="F1805" s="275"/>
    </row>
    <row r="1806" hidden="1">
      <c r="A1806" s="193">
        <v>23320.0</v>
      </c>
      <c r="B1806" s="368">
        <f>VLOOKUP(A1806,'Solicitações'!B:B,1,0)</f>
        <v>23320</v>
      </c>
      <c r="C1806" s="368">
        <f t="shared" si="4"/>
        <v>0</v>
      </c>
      <c r="E1806" s="362"/>
      <c r="F1806" s="275"/>
    </row>
    <row r="1807" hidden="1">
      <c r="A1807" s="193">
        <v>23340.0</v>
      </c>
      <c r="B1807" s="368">
        <f>VLOOKUP(A1807,'Solicitações'!B:B,1,0)</f>
        <v>23340</v>
      </c>
      <c r="C1807" s="368">
        <f t="shared" si="4"/>
        <v>0</v>
      </c>
      <c r="E1807" s="362"/>
      <c r="F1807" s="275"/>
    </row>
    <row r="1808" hidden="1">
      <c r="A1808" s="193">
        <v>23360.0</v>
      </c>
      <c r="B1808" s="368">
        <f>VLOOKUP(A1808,'Solicitações'!B:B,1,0)</f>
        <v>23360</v>
      </c>
      <c r="C1808" s="368">
        <f t="shared" si="4"/>
        <v>0</v>
      </c>
      <c r="E1808" s="362"/>
      <c r="F1808" s="275"/>
    </row>
    <row r="1809" hidden="1">
      <c r="A1809" s="193">
        <v>23380.0</v>
      </c>
      <c r="B1809" s="368">
        <f>VLOOKUP(A1809,'Solicitações'!B:B,1,0)</f>
        <v>23380</v>
      </c>
      <c r="C1809" s="368">
        <f t="shared" si="4"/>
        <v>0</v>
      </c>
      <c r="E1809" s="362"/>
      <c r="F1809" s="275"/>
    </row>
    <row r="1810" hidden="1">
      <c r="A1810" s="193">
        <v>23400.0</v>
      </c>
      <c r="B1810" s="368">
        <f>VLOOKUP(A1810,'Solicitações'!B:B,1,0)</f>
        <v>23400</v>
      </c>
      <c r="C1810" s="368">
        <f t="shared" si="4"/>
        <v>0</v>
      </c>
      <c r="E1810" s="362"/>
      <c r="F1810" s="275"/>
    </row>
    <row r="1811" hidden="1">
      <c r="A1811" s="193">
        <v>23401.0</v>
      </c>
      <c r="B1811" s="368">
        <f>VLOOKUP(A1811,'Solicitações'!B:B,1,0)</f>
        <v>23401</v>
      </c>
      <c r="C1811" s="368">
        <f t="shared" si="4"/>
        <v>0</v>
      </c>
      <c r="E1811" s="362"/>
      <c r="F1811" s="275"/>
    </row>
    <row r="1812" hidden="1">
      <c r="A1812" s="193">
        <v>23420.0</v>
      </c>
      <c r="B1812" s="368">
        <f>VLOOKUP(A1812,'Solicitações'!B:B,1,0)</f>
        <v>23420</v>
      </c>
      <c r="C1812" s="368">
        <f t="shared" si="4"/>
        <v>0</v>
      </c>
      <c r="E1812" s="362"/>
      <c r="F1812" s="275"/>
    </row>
    <row r="1813" hidden="1">
      <c r="A1813" s="193">
        <v>23440.0</v>
      </c>
      <c r="B1813" s="368">
        <f>VLOOKUP(A1813,'Solicitações'!B:B,1,0)</f>
        <v>23440</v>
      </c>
      <c r="C1813" s="368">
        <f t="shared" si="4"/>
        <v>0</v>
      </c>
      <c r="E1813" s="362"/>
      <c r="F1813" s="275"/>
    </row>
    <row r="1814" hidden="1">
      <c r="A1814" s="193">
        <v>23460.0</v>
      </c>
      <c r="B1814" s="368">
        <f>VLOOKUP(A1814,'Solicitações'!B:B,1,0)</f>
        <v>23460</v>
      </c>
      <c r="C1814" s="368">
        <f t="shared" si="4"/>
        <v>0</v>
      </c>
      <c r="E1814" s="362"/>
      <c r="F1814" s="275"/>
    </row>
    <row r="1815" hidden="1">
      <c r="A1815" s="193">
        <v>23480.0</v>
      </c>
      <c r="B1815" s="368">
        <f>VLOOKUP(A1815,'Solicitações'!B:B,1,0)</f>
        <v>23480</v>
      </c>
      <c r="C1815" s="368">
        <f t="shared" si="4"/>
        <v>0</v>
      </c>
      <c r="E1815" s="362"/>
      <c r="F1815" s="275"/>
    </row>
    <row r="1816" hidden="1">
      <c r="A1816" s="193">
        <v>23500.0</v>
      </c>
      <c r="B1816" s="368">
        <f>VLOOKUP(A1816,'Solicitações'!B:B,1,0)</f>
        <v>23500</v>
      </c>
      <c r="C1816" s="368">
        <f t="shared" si="4"/>
        <v>0</v>
      </c>
      <c r="E1816" s="362"/>
      <c r="F1816" s="275"/>
    </row>
    <row r="1817" hidden="1">
      <c r="A1817" s="193">
        <v>23520.0</v>
      </c>
      <c r="B1817" s="368">
        <f>VLOOKUP(A1817,'Solicitações'!B:B,1,0)</f>
        <v>23520</v>
      </c>
      <c r="C1817" s="368">
        <f t="shared" si="4"/>
        <v>0</v>
      </c>
      <c r="E1817" s="362"/>
      <c r="F1817" s="275"/>
    </row>
    <row r="1818" hidden="1">
      <c r="A1818" s="193">
        <v>23540.0</v>
      </c>
      <c r="B1818" s="368">
        <f>VLOOKUP(A1818,'Solicitações'!B:B,1,0)</f>
        <v>23540</v>
      </c>
      <c r="C1818" s="368">
        <f t="shared" si="4"/>
        <v>0</v>
      </c>
      <c r="E1818" s="362"/>
      <c r="F1818" s="275"/>
    </row>
    <row r="1819" hidden="1">
      <c r="A1819" s="193">
        <v>23560.0</v>
      </c>
      <c r="B1819" s="368">
        <f>VLOOKUP(A1819,'Solicitações'!B:B,1,0)</f>
        <v>23560</v>
      </c>
      <c r="C1819" s="368">
        <f t="shared" si="4"/>
        <v>0</v>
      </c>
      <c r="E1819" s="362"/>
      <c r="F1819" s="275"/>
    </row>
    <row r="1820" hidden="1">
      <c r="A1820" s="193">
        <v>23580.0</v>
      </c>
      <c r="B1820" s="368">
        <f>VLOOKUP(A1820,'Solicitações'!B:B,1,0)</f>
        <v>23580</v>
      </c>
      <c r="C1820" s="368">
        <f t="shared" si="4"/>
        <v>0</v>
      </c>
      <c r="E1820" s="362"/>
      <c r="F1820" s="275"/>
    </row>
    <row r="1821" hidden="1">
      <c r="A1821" s="193">
        <v>23600.0</v>
      </c>
      <c r="B1821" s="368">
        <f>VLOOKUP(A1821,'Solicitações'!B:B,1,0)</f>
        <v>23600</v>
      </c>
      <c r="C1821" s="368">
        <f t="shared" si="4"/>
        <v>0</v>
      </c>
      <c r="E1821" s="362"/>
      <c r="F1821" s="275"/>
    </row>
    <row r="1822" hidden="1">
      <c r="A1822" s="193">
        <v>23620.0</v>
      </c>
      <c r="B1822" s="368">
        <f>VLOOKUP(A1822,'Solicitações'!B:B,1,0)</f>
        <v>23620</v>
      </c>
      <c r="C1822" s="368">
        <f t="shared" si="4"/>
        <v>0</v>
      </c>
      <c r="E1822" s="362"/>
      <c r="F1822" s="275"/>
    </row>
    <row r="1823" hidden="1">
      <c r="A1823" s="193">
        <v>23640.0</v>
      </c>
      <c r="B1823" s="368">
        <f>VLOOKUP(A1823,'Solicitações'!B:B,1,0)</f>
        <v>23640</v>
      </c>
      <c r="C1823" s="368">
        <f t="shared" si="4"/>
        <v>0</v>
      </c>
      <c r="E1823" s="362"/>
      <c r="F1823" s="275"/>
    </row>
    <row r="1824" hidden="1">
      <c r="A1824" s="193">
        <v>23660.0</v>
      </c>
      <c r="B1824" s="368">
        <f>VLOOKUP(A1824,'Solicitações'!B:B,1,0)</f>
        <v>23660</v>
      </c>
      <c r="C1824" s="368">
        <f t="shared" si="4"/>
        <v>0</v>
      </c>
      <c r="E1824" s="362"/>
      <c r="F1824" s="275"/>
    </row>
    <row r="1825" hidden="1">
      <c r="A1825" s="193">
        <v>23680.0</v>
      </c>
      <c r="B1825" s="368">
        <f>VLOOKUP(A1825,'Solicitações'!B:B,1,0)</f>
        <v>23680</v>
      </c>
      <c r="C1825" s="368">
        <f t="shared" si="4"/>
        <v>0</v>
      </c>
      <c r="E1825" s="362"/>
      <c r="F1825" s="275"/>
    </row>
    <row r="1826" hidden="1">
      <c r="A1826" s="193">
        <v>23700.0</v>
      </c>
      <c r="B1826" s="368">
        <f>VLOOKUP(A1826,'Solicitações'!B:B,1,0)</f>
        <v>23700</v>
      </c>
      <c r="C1826" s="368">
        <f t="shared" si="4"/>
        <v>0</v>
      </c>
      <c r="E1826" s="362"/>
      <c r="F1826" s="275"/>
    </row>
    <row r="1827" hidden="1">
      <c r="A1827" s="193">
        <v>23701.0</v>
      </c>
      <c r="B1827" s="368">
        <f>VLOOKUP(A1827,'Solicitações'!B:B,1,0)</f>
        <v>23701</v>
      </c>
      <c r="C1827" s="368">
        <f t="shared" si="4"/>
        <v>0</v>
      </c>
      <c r="E1827" s="362"/>
      <c r="F1827" s="275"/>
    </row>
    <row r="1828" hidden="1">
      <c r="A1828" s="193">
        <v>23702.0</v>
      </c>
      <c r="B1828" s="368">
        <f>VLOOKUP(A1828,'Solicitações'!B:B,1,0)</f>
        <v>23702</v>
      </c>
      <c r="C1828" s="368">
        <f t="shared" si="4"/>
        <v>0</v>
      </c>
      <c r="E1828" s="362"/>
      <c r="F1828" s="275"/>
    </row>
    <row r="1829" hidden="1">
      <c r="A1829" s="193">
        <v>23703.0</v>
      </c>
      <c r="B1829" s="368">
        <f>VLOOKUP(A1829,'Solicitações'!B:B,1,0)</f>
        <v>23703</v>
      </c>
      <c r="C1829" s="368">
        <f t="shared" si="4"/>
        <v>0</v>
      </c>
      <c r="E1829" s="362"/>
      <c r="F1829" s="275"/>
    </row>
    <row r="1830" hidden="1">
      <c r="A1830" s="193">
        <v>23704.0</v>
      </c>
      <c r="B1830" s="368">
        <f>VLOOKUP(A1830,'Solicitações'!B:B,1,0)</f>
        <v>23704</v>
      </c>
      <c r="C1830" s="368">
        <f t="shared" si="4"/>
        <v>0</v>
      </c>
      <c r="E1830" s="362"/>
      <c r="F1830" s="275"/>
    </row>
    <row r="1831" hidden="1">
      <c r="A1831" s="193">
        <v>23705.0</v>
      </c>
      <c r="B1831" s="368">
        <f>VLOOKUP(A1831,'Solicitações'!B:B,1,0)</f>
        <v>23705</v>
      </c>
      <c r="C1831" s="368">
        <f t="shared" si="4"/>
        <v>0</v>
      </c>
      <c r="E1831" s="362"/>
      <c r="F1831" s="275"/>
    </row>
    <row r="1832" hidden="1">
      <c r="A1832" s="193">
        <v>23706.0</v>
      </c>
      <c r="B1832" s="368">
        <f>VLOOKUP(A1832,'Solicitações'!B:B,1,0)</f>
        <v>23706</v>
      </c>
      <c r="C1832" s="368">
        <f t="shared" si="4"/>
        <v>0</v>
      </c>
      <c r="E1832" s="362"/>
      <c r="F1832" s="275"/>
    </row>
    <row r="1833" hidden="1">
      <c r="A1833" s="193">
        <v>23707.0</v>
      </c>
      <c r="B1833" s="368">
        <f>VLOOKUP(A1833,'Solicitações'!B:B,1,0)</f>
        <v>23707</v>
      </c>
      <c r="C1833" s="368">
        <f t="shared" si="4"/>
        <v>0</v>
      </c>
      <c r="E1833" s="362"/>
      <c r="F1833" s="275"/>
    </row>
    <row r="1834" hidden="1">
      <c r="A1834" s="193">
        <v>23720.0</v>
      </c>
      <c r="B1834" s="368">
        <f>VLOOKUP(A1834,'Solicitações'!B:B,1,0)</f>
        <v>23720</v>
      </c>
      <c r="C1834" s="368">
        <f t="shared" si="4"/>
        <v>0</v>
      </c>
      <c r="E1834" s="362"/>
      <c r="F1834" s="275"/>
    </row>
    <row r="1835" hidden="1">
      <c r="A1835" s="193">
        <v>23740.0</v>
      </c>
      <c r="B1835" s="368">
        <f>VLOOKUP(A1835,'Solicitações'!B:B,1,0)</f>
        <v>23740</v>
      </c>
      <c r="C1835" s="368">
        <f t="shared" si="4"/>
        <v>0</v>
      </c>
      <c r="E1835" s="362"/>
      <c r="F1835" s="275"/>
    </row>
    <row r="1836" hidden="1">
      <c r="A1836" s="193">
        <v>23760.0</v>
      </c>
      <c r="B1836" s="368">
        <f>VLOOKUP(A1836,'Solicitações'!B:B,1,0)</f>
        <v>23760</v>
      </c>
      <c r="C1836" s="368">
        <f t="shared" si="4"/>
        <v>0</v>
      </c>
      <c r="E1836" s="362"/>
      <c r="F1836" s="275"/>
    </row>
    <row r="1837" hidden="1">
      <c r="A1837" s="193">
        <v>23761.0</v>
      </c>
      <c r="B1837" s="368">
        <f>VLOOKUP(A1837,'Solicitações'!B:B,1,0)</f>
        <v>23761</v>
      </c>
      <c r="C1837" s="368">
        <f t="shared" si="4"/>
        <v>0</v>
      </c>
      <c r="E1837" s="362"/>
      <c r="F1837" s="275"/>
    </row>
    <row r="1838" hidden="1">
      <c r="A1838" s="193">
        <v>23762.0</v>
      </c>
      <c r="B1838" s="368">
        <f>VLOOKUP(A1838,'Solicitações'!B:B,1,0)</f>
        <v>23762</v>
      </c>
      <c r="C1838" s="368">
        <f t="shared" si="4"/>
        <v>0</v>
      </c>
      <c r="E1838" s="362"/>
      <c r="F1838" s="275"/>
    </row>
    <row r="1839" hidden="1">
      <c r="A1839" s="193">
        <v>23763.0</v>
      </c>
      <c r="B1839" s="368">
        <f>VLOOKUP(A1839,'Solicitações'!B:B,1,0)</f>
        <v>23763</v>
      </c>
      <c r="C1839" s="368">
        <f t="shared" si="4"/>
        <v>0</v>
      </c>
      <c r="E1839" s="362"/>
      <c r="F1839" s="275"/>
    </row>
    <row r="1840" hidden="1">
      <c r="A1840" s="193">
        <v>23780.0</v>
      </c>
      <c r="B1840" s="368">
        <f>VLOOKUP(A1840,'Solicitações'!B:B,1,0)</f>
        <v>23780</v>
      </c>
      <c r="C1840" s="368">
        <f t="shared" si="4"/>
        <v>0</v>
      </c>
      <c r="E1840" s="362"/>
      <c r="F1840" s="275"/>
    </row>
    <row r="1841" hidden="1">
      <c r="A1841" s="193">
        <v>23800.0</v>
      </c>
      <c r="B1841" s="368">
        <f>VLOOKUP(A1841,'Solicitações'!B:B,1,0)</f>
        <v>23800</v>
      </c>
      <c r="C1841" s="368">
        <f t="shared" si="4"/>
        <v>0</v>
      </c>
      <c r="E1841" s="362"/>
      <c r="F1841" s="275"/>
    </row>
    <row r="1842" hidden="1">
      <c r="A1842" s="193">
        <v>23820.0</v>
      </c>
      <c r="B1842" s="368">
        <f>VLOOKUP(A1842,'Solicitações'!B:B,1,0)</f>
        <v>23820</v>
      </c>
      <c r="C1842" s="368">
        <f t="shared" si="4"/>
        <v>0</v>
      </c>
      <c r="E1842" s="362"/>
      <c r="F1842" s="275"/>
    </row>
    <row r="1843" hidden="1">
      <c r="A1843" s="193">
        <v>23840.0</v>
      </c>
      <c r="B1843" s="368">
        <f>VLOOKUP(A1843,'Solicitações'!B:B,1,0)</f>
        <v>23840</v>
      </c>
      <c r="C1843" s="368">
        <f t="shared" si="4"/>
        <v>0</v>
      </c>
      <c r="E1843" s="362"/>
      <c r="F1843" s="275"/>
    </row>
    <row r="1844" hidden="1">
      <c r="A1844" s="193">
        <v>23860.0</v>
      </c>
      <c r="B1844" s="368">
        <f>VLOOKUP(A1844,'Solicitações'!B:B,1,0)</f>
        <v>23860</v>
      </c>
      <c r="C1844" s="368">
        <f t="shared" si="4"/>
        <v>0</v>
      </c>
      <c r="E1844" s="362"/>
      <c r="F1844" s="275"/>
    </row>
    <row r="1845" hidden="1">
      <c r="A1845" s="193">
        <v>23880.0</v>
      </c>
      <c r="B1845" s="368">
        <f>VLOOKUP(A1845,'Solicitações'!B:B,1,0)</f>
        <v>23880</v>
      </c>
      <c r="C1845" s="368">
        <f t="shared" si="4"/>
        <v>0</v>
      </c>
      <c r="E1845" s="362"/>
      <c r="F1845" s="275"/>
    </row>
    <row r="1846" hidden="1">
      <c r="A1846" s="193">
        <v>23900.0</v>
      </c>
      <c r="B1846" s="368">
        <f>VLOOKUP(A1846,'Solicitações'!B:B,1,0)</f>
        <v>23900</v>
      </c>
      <c r="C1846" s="368">
        <f t="shared" si="4"/>
        <v>0</v>
      </c>
      <c r="E1846" s="362"/>
      <c r="F1846" s="275"/>
    </row>
    <row r="1847" hidden="1">
      <c r="A1847" s="193">
        <v>23920.0</v>
      </c>
      <c r="B1847" s="368">
        <f>VLOOKUP(A1847,'Solicitações'!B:B,1,0)</f>
        <v>23920</v>
      </c>
      <c r="C1847" s="368">
        <f t="shared" si="4"/>
        <v>0</v>
      </c>
      <c r="E1847" s="362"/>
      <c r="F1847" s="275"/>
    </row>
    <row r="1848" hidden="1">
      <c r="A1848" s="193">
        <v>23921.0</v>
      </c>
      <c r="B1848" s="368">
        <f>VLOOKUP(A1848,'Solicitações'!B:B,1,0)</f>
        <v>23921</v>
      </c>
      <c r="C1848" s="368">
        <f t="shared" si="4"/>
        <v>0</v>
      </c>
      <c r="E1848" s="362"/>
      <c r="F1848" s="275"/>
    </row>
    <row r="1849" hidden="1">
      <c r="A1849" s="193">
        <v>23940.0</v>
      </c>
      <c r="B1849" s="368">
        <f>VLOOKUP(A1849,'Solicitações'!B:B,1,0)</f>
        <v>23940</v>
      </c>
      <c r="C1849" s="368">
        <f t="shared" si="4"/>
        <v>0</v>
      </c>
      <c r="E1849" s="362"/>
      <c r="F1849" s="275"/>
    </row>
    <row r="1850" hidden="1">
      <c r="A1850" s="193">
        <v>23960.0</v>
      </c>
      <c r="B1850" s="368">
        <f>VLOOKUP(A1850,'Solicitações'!B:B,1,0)</f>
        <v>23960</v>
      </c>
      <c r="C1850" s="368">
        <f t="shared" si="4"/>
        <v>0</v>
      </c>
      <c r="E1850" s="362"/>
      <c r="F1850" s="275"/>
    </row>
    <row r="1851" hidden="1">
      <c r="A1851" s="193">
        <v>23980.0</v>
      </c>
      <c r="B1851" s="368">
        <f>VLOOKUP(A1851,'Solicitações'!B:B,1,0)</f>
        <v>23980</v>
      </c>
      <c r="C1851" s="368">
        <f t="shared" si="4"/>
        <v>0</v>
      </c>
      <c r="E1851" s="362"/>
      <c r="F1851" s="275"/>
    </row>
    <row r="1852" hidden="1">
      <c r="A1852" s="193">
        <v>24000.0</v>
      </c>
      <c r="B1852" s="368">
        <f>VLOOKUP(A1852,'Solicitações'!B:B,1,0)</f>
        <v>24000</v>
      </c>
      <c r="C1852" s="368">
        <f t="shared" si="4"/>
        <v>0</v>
      </c>
      <c r="E1852" s="362"/>
      <c r="F1852" s="275"/>
    </row>
    <row r="1853" hidden="1">
      <c r="A1853" s="193">
        <v>24020.0</v>
      </c>
      <c r="B1853" s="368">
        <f>VLOOKUP(A1853,'Solicitações'!B:B,1,0)</f>
        <v>24020</v>
      </c>
      <c r="C1853" s="368">
        <f t="shared" si="4"/>
        <v>0</v>
      </c>
      <c r="E1853" s="362"/>
      <c r="F1853" s="275"/>
    </row>
    <row r="1854" hidden="1">
      <c r="A1854" s="193">
        <v>24040.0</v>
      </c>
      <c r="B1854" s="368">
        <f>VLOOKUP(A1854,'Solicitações'!B:B,1,0)</f>
        <v>24040</v>
      </c>
      <c r="C1854" s="368">
        <f t="shared" si="4"/>
        <v>0</v>
      </c>
      <c r="E1854" s="362"/>
      <c r="F1854" s="275"/>
    </row>
    <row r="1855" hidden="1">
      <c r="A1855" s="193">
        <v>24060.0</v>
      </c>
      <c r="B1855" s="368">
        <f>VLOOKUP(A1855,'Solicitações'!B:B,1,0)</f>
        <v>24060</v>
      </c>
      <c r="C1855" s="368">
        <f t="shared" si="4"/>
        <v>0</v>
      </c>
      <c r="E1855" s="362"/>
      <c r="F1855" s="275"/>
    </row>
    <row r="1856" hidden="1">
      <c r="A1856" s="193">
        <v>24061.0</v>
      </c>
      <c r="B1856" s="368">
        <f>VLOOKUP(A1856,'Solicitações'!B:B,1,0)</f>
        <v>24061</v>
      </c>
      <c r="C1856" s="368">
        <f t="shared" si="4"/>
        <v>0</v>
      </c>
      <c r="E1856" s="362"/>
      <c r="F1856" s="275"/>
    </row>
    <row r="1857" hidden="1">
      <c r="A1857" s="193">
        <v>24080.0</v>
      </c>
      <c r="B1857" s="368">
        <f>VLOOKUP(A1857,'Solicitações'!B:B,1,0)</f>
        <v>24080</v>
      </c>
      <c r="C1857" s="368">
        <f t="shared" si="4"/>
        <v>0</v>
      </c>
      <c r="E1857" s="362"/>
      <c r="F1857" s="275"/>
    </row>
    <row r="1858" hidden="1">
      <c r="A1858" s="193">
        <v>24100.0</v>
      </c>
      <c r="B1858" s="368">
        <f>VLOOKUP(A1858,'Solicitações'!B:B,1,0)</f>
        <v>24100</v>
      </c>
      <c r="C1858" s="368">
        <f t="shared" si="4"/>
        <v>0</v>
      </c>
      <c r="E1858" s="362"/>
      <c r="F1858" s="275"/>
    </row>
    <row r="1859" hidden="1">
      <c r="A1859" s="193">
        <v>24120.0</v>
      </c>
      <c r="B1859" s="368">
        <f>VLOOKUP(A1859,'Solicitações'!B:B,1,0)</f>
        <v>24120</v>
      </c>
      <c r="C1859" s="368">
        <f t="shared" si="4"/>
        <v>0</v>
      </c>
      <c r="E1859" s="362"/>
      <c r="F1859" s="275"/>
    </row>
    <row r="1860" hidden="1">
      <c r="A1860" s="193">
        <v>24140.0</v>
      </c>
      <c r="B1860" s="368">
        <f>VLOOKUP(A1860,'Solicitações'!B:B,1,0)</f>
        <v>24140</v>
      </c>
      <c r="C1860" s="368">
        <f t="shared" si="4"/>
        <v>0</v>
      </c>
      <c r="E1860" s="362"/>
      <c r="F1860" s="275"/>
    </row>
    <row r="1861" hidden="1">
      <c r="A1861" s="193">
        <v>24160.0</v>
      </c>
      <c r="B1861" s="368">
        <f>VLOOKUP(A1861,'Solicitações'!B:B,1,0)</f>
        <v>24160</v>
      </c>
      <c r="C1861" s="368">
        <f t="shared" si="4"/>
        <v>0</v>
      </c>
      <c r="E1861" s="362"/>
      <c r="F1861" s="275"/>
    </row>
    <row r="1862" hidden="1">
      <c r="A1862" s="193">
        <v>24180.0</v>
      </c>
      <c r="B1862" s="368">
        <f>VLOOKUP(A1862,'Solicitações'!B:B,1,0)</f>
        <v>24180</v>
      </c>
      <c r="C1862" s="368">
        <f t="shared" si="4"/>
        <v>0</v>
      </c>
      <c r="E1862" s="362"/>
      <c r="F1862" s="275"/>
    </row>
    <row r="1863" hidden="1">
      <c r="A1863" s="193">
        <v>24200.0</v>
      </c>
      <c r="B1863" s="368">
        <f>VLOOKUP(A1863,'Solicitações'!B:B,1,0)</f>
        <v>24200</v>
      </c>
      <c r="C1863" s="368">
        <f t="shared" si="4"/>
        <v>0</v>
      </c>
      <c r="E1863" s="362"/>
      <c r="F1863" s="275"/>
    </row>
    <row r="1864" hidden="1">
      <c r="A1864" s="193">
        <v>24220.0</v>
      </c>
      <c r="B1864" s="368">
        <f>VLOOKUP(A1864,'Solicitações'!B:B,1,0)</f>
        <v>24220</v>
      </c>
      <c r="C1864" s="368">
        <f t="shared" si="4"/>
        <v>0</v>
      </c>
      <c r="E1864" s="362"/>
      <c r="F1864" s="275"/>
    </row>
    <row r="1865" hidden="1">
      <c r="A1865" s="193">
        <v>24240.0</v>
      </c>
      <c r="B1865" s="368">
        <f>VLOOKUP(A1865,'Solicitações'!B:B,1,0)</f>
        <v>24240</v>
      </c>
      <c r="C1865" s="368">
        <f t="shared" si="4"/>
        <v>0</v>
      </c>
      <c r="E1865" s="362"/>
      <c r="F1865" s="275"/>
    </row>
    <row r="1866" hidden="1">
      <c r="A1866" s="193">
        <v>24260.0</v>
      </c>
      <c r="B1866" s="368">
        <f>VLOOKUP(A1866,'Solicitações'!B:B,1,0)</f>
        <v>24260</v>
      </c>
      <c r="C1866" s="368">
        <f t="shared" si="4"/>
        <v>0</v>
      </c>
      <c r="E1866" s="362"/>
      <c r="F1866" s="275"/>
    </row>
    <row r="1867" hidden="1">
      <c r="A1867" s="193">
        <v>24280.0</v>
      </c>
      <c r="B1867" s="368">
        <f>VLOOKUP(A1867,'Solicitações'!B:B,1,0)</f>
        <v>24280</v>
      </c>
      <c r="C1867" s="368">
        <f t="shared" si="4"/>
        <v>0</v>
      </c>
      <c r="E1867" s="362"/>
      <c r="F1867" s="275"/>
    </row>
    <row r="1868" hidden="1">
      <c r="A1868" s="193">
        <v>24300.0</v>
      </c>
      <c r="B1868" s="368">
        <f>VLOOKUP(A1868,'Solicitações'!B:B,1,0)</f>
        <v>24300</v>
      </c>
      <c r="C1868" s="368">
        <f t="shared" si="4"/>
        <v>0</v>
      </c>
      <c r="E1868" s="362"/>
      <c r="F1868" s="275"/>
    </row>
    <row r="1869" hidden="1">
      <c r="A1869" s="193">
        <v>24320.0</v>
      </c>
      <c r="B1869" s="368">
        <f>VLOOKUP(A1869,'Solicitações'!B:B,1,0)</f>
        <v>24320</v>
      </c>
      <c r="C1869" s="368">
        <f t="shared" si="4"/>
        <v>0</v>
      </c>
      <c r="E1869" s="362"/>
      <c r="F1869" s="275"/>
    </row>
    <row r="1870" hidden="1">
      <c r="A1870" s="193">
        <v>24340.0</v>
      </c>
      <c r="B1870" s="368">
        <f>VLOOKUP(A1870,'Solicitações'!B:B,1,0)</f>
        <v>24340</v>
      </c>
      <c r="C1870" s="368">
        <f t="shared" si="4"/>
        <v>0</v>
      </c>
      <c r="E1870" s="362"/>
      <c r="F1870" s="275"/>
    </row>
    <row r="1871" hidden="1">
      <c r="A1871" s="193">
        <v>24360.0</v>
      </c>
      <c r="B1871" s="368">
        <f>VLOOKUP(A1871,'Solicitações'!B:B,1,0)</f>
        <v>24360</v>
      </c>
      <c r="C1871" s="368">
        <f t="shared" si="4"/>
        <v>0</v>
      </c>
      <c r="E1871" s="362"/>
      <c r="F1871" s="275"/>
    </row>
    <row r="1872" hidden="1">
      <c r="A1872" s="193">
        <v>24380.0</v>
      </c>
      <c r="B1872" s="368">
        <f>VLOOKUP(A1872,'Solicitações'!B:B,1,0)</f>
        <v>24380</v>
      </c>
      <c r="C1872" s="368">
        <f t="shared" si="4"/>
        <v>0</v>
      </c>
      <c r="E1872" s="362"/>
      <c r="F1872" s="275"/>
    </row>
    <row r="1873" hidden="1">
      <c r="A1873" s="193">
        <v>24400.0</v>
      </c>
      <c r="B1873" s="368">
        <f>VLOOKUP(A1873,'Solicitações'!B:B,1,0)</f>
        <v>24400</v>
      </c>
      <c r="C1873" s="368">
        <f t="shared" si="4"/>
        <v>0</v>
      </c>
      <c r="E1873" s="362"/>
      <c r="F1873" s="275"/>
    </row>
    <row r="1874" hidden="1">
      <c r="A1874" s="193">
        <v>24420.0</v>
      </c>
      <c r="B1874" s="368">
        <f>VLOOKUP(A1874,'Solicitações'!B:B,1,0)</f>
        <v>24420</v>
      </c>
      <c r="C1874" s="368">
        <f t="shared" si="4"/>
        <v>0</v>
      </c>
      <c r="E1874" s="362"/>
      <c r="F1874" s="275"/>
    </row>
    <row r="1875" hidden="1">
      <c r="A1875" s="193">
        <v>24440.0</v>
      </c>
      <c r="B1875" s="368">
        <f>VLOOKUP(A1875,'Solicitações'!B:B,1,0)</f>
        <v>24440</v>
      </c>
      <c r="C1875" s="368">
        <f t="shared" si="4"/>
        <v>0</v>
      </c>
      <c r="E1875" s="362"/>
      <c r="F1875" s="275"/>
    </row>
    <row r="1876" hidden="1">
      <c r="A1876" s="193">
        <v>24460.0</v>
      </c>
      <c r="B1876" s="368">
        <f>VLOOKUP(A1876,'Solicitações'!B:B,1,0)</f>
        <v>24460</v>
      </c>
      <c r="C1876" s="368">
        <f t="shared" si="4"/>
        <v>0</v>
      </c>
      <c r="E1876" s="362"/>
      <c r="F1876" s="275"/>
    </row>
    <row r="1877" hidden="1">
      <c r="A1877" s="193">
        <v>24480.0</v>
      </c>
      <c r="B1877" s="368">
        <f>VLOOKUP(A1877,'Solicitações'!B:B,1,0)</f>
        <v>24480</v>
      </c>
      <c r="C1877" s="368">
        <f t="shared" si="4"/>
        <v>0</v>
      </c>
      <c r="E1877" s="362"/>
      <c r="F1877" s="275"/>
    </row>
    <row r="1878" hidden="1">
      <c r="A1878" s="193">
        <v>24500.0</v>
      </c>
      <c r="B1878" s="368">
        <f>VLOOKUP(A1878,'Solicitações'!B:B,1,0)</f>
        <v>24500</v>
      </c>
      <c r="C1878" s="368">
        <f t="shared" si="4"/>
        <v>0</v>
      </c>
      <c r="E1878" s="362"/>
      <c r="F1878" s="275"/>
    </row>
    <row r="1879" hidden="1">
      <c r="A1879" s="193">
        <v>24520.0</v>
      </c>
      <c r="B1879" s="368">
        <f>VLOOKUP(A1879,'Solicitações'!B:B,1,0)</f>
        <v>24520</v>
      </c>
      <c r="C1879" s="368">
        <f t="shared" si="4"/>
        <v>0</v>
      </c>
      <c r="E1879" s="362"/>
      <c r="F1879" s="275"/>
    </row>
    <row r="1880" hidden="1">
      <c r="A1880" s="193">
        <v>24540.0</v>
      </c>
      <c r="B1880" s="368">
        <f>VLOOKUP(A1880,'Solicitações'!B:B,1,0)</f>
        <v>24540</v>
      </c>
      <c r="C1880" s="368">
        <f t="shared" si="4"/>
        <v>0</v>
      </c>
      <c r="E1880" s="362"/>
      <c r="F1880" s="275"/>
    </row>
    <row r="1881" hidden="1">
      <c r="A1881" s="193">
        <v>24560.0</v>
      </c>
      <c r="B1881" s="368">
        <f>VLOOKUP(A1881,'Solicitações'!B:B,1,0)</f>
        <v>24560</v>
      </c>
      <c r="C1881" s="368">
        <f t="shared" si="4"/>
        <v>0</v>
      </c>
      <c r="E1881" s="362"/>
      <c r="F1881" s="275"/>
    </row>
    <row r="1882" hidden="1">
      <c r="A1882" s="193">
        <v>24580.0</v>
      </c>
      <c r="B1882" s="368">
        <f>VLOOKUP(A1882,'Solicitações'!B:B,1,0)</f>
        <v>24580</v>
      </c>
      <c r="C1882" s="368">
        <f t="shared" si="4"/>
        <v>0</v>
      </c>
      <c r="E1882" s="362"/>
      <c r="F1882" s="275"/>
    </row>
    <row r="1883" hidden="1">
      <c r="A1883" s="193">
        <v>24600.0</v>
      </c>
      <c r="B1883" s="368">
        <f>VLOOKUP(A1883,'Solicitações'!B:B,1,0)</f>
        <v>24600</v>
      </c>
      <c r="C1883" s="368">
        <f t="shared" si="4"/>
        <v>0</v>
      </c>
      <c r="E1883" s="362"/>
      <c r="F1883" s="275"/>
    </row>
    <row r="1884" hidden="1">
      <c r="A1884" s="193">
        <v>24620.0</v>
      </c>
      <c r="B1884" s="368">
        <f>VLOOKUP(A1884,'Solicitações'!B:B,1,0)</f>
        <v>24620</v>
      </c>
      <c r="C1884" s="368">
        <f t="shared" si="4"/>
        <v>0</v>
      </c>
      <c r="E1884" s="362"/>
      <c r="F1884" s="275"/>
    </row>
    <row r="1885" hidden="1">
      <c r="A1885" s="193">
        <v>24640.0</v>
      </c>
      <c r="B1885" s="368">
        <f>VLOOKUP(A1885,'Solicitações'!B:B,1,0)</f>
        <v>24640</v>
      </c>
      <c r="C1885" s="368">
        <f t="shared" si="4"/>
        <v>0</v>
      </c>
      <c r="E1885" s="362"/>
      <c r="F1885" s="275"/>
    </row>
    <row r="1886" hidden="1">
      <c r="A1886" s="193">
        <v>24660.0</v>
      </c>
      <c r="B1886" s="368">
        <f>VLOOKUP(A1886,'Solicitações'!B:B,1,0)</f>
        <v>24660</v>
      </c>
      <c r="C1886" s="368">
        <f t="shared" si="4"/>
        <v>0</v>
      </c>
      <c r="E1886" s="362"/>
      <c r="F1886" s="275"/>
    </row>
    <row r="1887" hidden="1">
      <c r="A1887" s="193">
        <v>24661.0</v>
      </c>
      <c r="B1887" s="368">
        <f>VLOOKUP(A1887,'Solicitações'!B:B,1,0)</f>
        <v>24661</v>
      </c>
      <c r="C1887" s="368">
        <f t="shared" si="4"/>
        <v>0</v>
      </c>
      <c r="E1887" s="362"/>
      <c r="F1887" s="275"/>
    </row>
    <row r="1888" hidden="1">
      <c r="A1888" s="193">
        <v>24680.0</v>
      </c>
      <c r="B1888" s="368">
        <f>VLOOKUP(A1888,'Solicitações'!B:B,1,0)</f>
        <v>24680</v>
      </c>
      <c r="C1888" s="368">
        <f t="shared" si="4"/>
        <v>0</v>
      </c>
      <c r="E1888" s="362"/>
      <c r="F1888" s="275"/>
    </row>
    <row r="1889" hidden="1">
      <c r="A1889" s="193">
        <v>24700.0</v>
      </c>
      <c r="B1889" s="368">
        <f>VLOOKUP(A1889,'Solicitações'!B:B,1,0)</f>
        <v>24700</v>
      </c>
      <c r="C1889" s="368">
        <f t="shared" si="4"/>
        <v>0</v>
      </c>
      <c r="E1889" s="362"/>
      <c r="F1889" s="275"/>
    </row>
    <row r="1890" hidden="1">
      <c r="A1890" s="193">
        <v>24720.0</v>
      </c>
      <c r="B1890" s="368">
        <f>VLOOKUP(A1890,'Solicitações'!B:B,1,0)</f>
        <v>24720</v>
      </c>
      <c r="C1890" s="368">
        <f t="shared" si="4"/>
        <v>0</v>
      </c>
      <c r="E1890" s="362"/>
      <c r="F1890" s="275"/>
    </row>
    <row r="1891" hidden="1">
      <c r="A1891" s="193">
        <v>24740.0</v>
      </c>
      <c r="B1891" s="368">
        <f>VLOOKUP(A1891,'Solicitações'!B:B,1,0)</f>
        <v>24740</v>
      </c>
      <c r="C1891" s="368">
        <f t="shared" si="4"/>
        <v>0</v>
      </c>
      <c r="E1891" s="362"/>
      <c r="F1891" s="275"/>
    </row>
    <row r="1892" hidden="1">
      <c r="A1892" s="193">
        <v>24760.0</v>
      </c>
      <c r="B1892" s="368">
        <f>VLOOKUP(A1892,'Solicitações'!B:B,1,0)</f>
        <v>24760</v>
      </c>
      <c r="C1892" s="368">
        <f t="shared" si="4"/>
        <v>0</v>
      </c>
      <c r="E1892" s="362"/>
      <c r="F1892" s="275"/>
    </row>
    <row r="1893" hidden="1">
      <c r="A1893" s="193">
        <v>24780.0</v>
      </c>
      <c r="B1893" s="368">
        <f>VLOOKUP(A1893,'Solicitações'!B:B,1,0)</f>
        <v>24780</v>
      </c>
      <c r="C1893" s="368">
        <f t="shared" si="4"/>
        <v>0</v>
      </c>
      <c r="E1893" s="362"/>
      <c r="F1893" s="275"/>
    </row>
    <row r="1894" hidden="1">
      <c r="A1894" s="193">
        <v>24800.0</v>
      </c>
      <c r="B1894" s="368">
        <f>VLOOKUP(A1894,'Solicitações'!B:B,1,0)</f>
        <v>24800</v>
      </c>
      <c r="C1894" s="368">
        <f t="shared" si="4"/>
        <v>0</v>
      </c>
      <c r="E1894" s="362"/>
      <c r="F1894" s="275"/>
    </row>
    <row r="1895" hidden="1">
      <c r="A1895" s="193">
        <v>24820.0</v>
      </c>
      <c r="B1895" s="368">
        <f>VLOOKUP(A1895,'Solicitações'!B:B,1,0)</f>
        <v>24820</v>
      </c>
      <c r="C1895" s="368">
        <f t="shared" si="4"/>
        <v>0</v>
      </c>
      <c r="E1895" s="362"/>
      <c r="F1895" s="275"/>
    </row>
    <row r="1896" hidden="1">
      <c r="A1896" s="193">
        <v>24840.0</v>
      </c>
      <c r="B1896" s="368">
        <f>VLOOKUP(A1896,'Solicitações'!B:B,1,0)</f>
        <v>24840</v>
      </c>
      <c r="C1896" s="368">
        <f t="shared" si="4"/>
        <v>0</v>
      </c>
      <c r="E1896" s="362"/>
      <c r="F1896" s="275"/>
    </row>
    <row r="1897" hidden="1">
      <c r="A1897" s="193">
        <v>24860.0</v>
      </c>
      <c r="B1897" s="368">
        <f>VLOOKUP(A1897,'Solicitações'!B:B,1,0)</f>
        <v>24860</v>
      </c>
      <c r="C1897" s="368">
        <f t="shared" si="4"/>
        <v>0</v>
      </c>
      <c r="E1897" s="362"/>
      <c r="F1897" s="275"/>
    </row>
    <row r="1898" hidden="1">
      <c r="A1898" s="193">
        <v>24880.0</v>
      </c>
      <c r="B1898" s="368">
        <f>VLOOKUP(A1898,'Solicitações'!B:B,1,0)</f>
        <v>24880</v>
      </c>
      <c r="C1898" s="368">
        <f t="shared" si="4"/>
        <v>0</v>
      </c>
      <c r="E1898" s="362"/>
      <c r="F1898" s="275"/>
    </row>
    <row r="1899" hidden="1">
      <c r="A1899" s="193">
        <v>24900.0</v>
      </c>
      <c r="B1899" s="368">
        <f>VLOOKUP(A1899,'Solicitações'!B:B,1,0)</f>
        <v>24900</v>
      </c>
      <c r="C1899" s="368">
        <f t="shared" si="4"/>
        <v>0</v>
      </c>
      <c r="E1899" s="362"/>
      <c r="F1899" s="275"/>
    </row>
    <row r="1900" hidden="1">
      <c r="A1900" s="193">
        <v>24920.0</v>
      </c>
      <c r="B1900" s="368">
        <f>VLOOKUP(A1900,'Solicitações'!B:B,1,0)</f>
        <v>24920</v>
      </c>
      <c r="C1900" s="368">
        <f t="shared" si="4"/>
        <v>0</v>
      </c>
      <c r="E1900" s="362"/>
      <c r="F1900" s="275"/>
    </row>
    <row r="1901" hidden="1">
      <c r="A1901" s="193">
        <v>24940.0</v>
      </c>
      <c r="B1901" s="368">
        <f>VLOOKUP(A1901,'Solicitações'!B:B,1,0)</f>
        <v>24940</v>
      </c>
      <c r="C1901" s="368">
        <f t="shared" si="4"/>
        <v>0</v>
      </c>
      <c r="E1901" s="362"/>
      <c r="F1901" s="275"/>
    </row>
    <row r="1902" hidden="1">
      <c r="A1902" s="193">
        <v>24960.0</v>
      </c>
      <c r="B1902" s="368">
        <f>VLOOKUP(A1902,'Solicitações'!B:B,1,0)</f>
        <v>24960</v>
      </c>
      <c r="C1902" s="368">
        <f t="shared" si="4"/>
        <v>0</v>
      </c>
      <c r="E1902" s="362"/>
      <c r="F1902" s="275"/>
    </row>
    <row r="1903" hidden="1">
      <c r="A1903" s="193">
        <v>24980.0</v>
      </c>
      <c r="B1903" s="368">
        <f>VLOOKUP(A1903,'Solicitações'!B:B,1,0)</f>
        <v>24980</v>
      </c>
      <c r="C1903" s="368">
        <f t="shared" si="4"/>
        <v>0</v>
      </c>
      <c r="E1903" s="362"/>
      <c r="F1903" s="275"/>
    </row>
    <row r="1904" hidden="1">
      <c r="A1904" s="193">
        <v>25000.0</v>
      </c>
      <c r="B1904" s="368">
        <f>VLOOKUP(A1904,'Solicitações'!B:B,1,0)</f>
        <v>25000</v>
      </c>
      <c r="C1904" s="368">
        <f t="shared" si="4"/>
        <v>0</v>
      </c>
      <c r="E1904" s="362"/>
      <c r="F1904" s="275"/>
    </row>
    <row r="1905" hidden="1">
      <c r="A1905" s="193">
        <v>25020.0</v>
      </c>
      <c r="B1905" s="368">
        <f>VLOOKUP(A1905,'Solicitações'!B:B,1,0)</f>
        <v>25020</v>
      </c>
      <c r="C1905" s="368">
        <f t="shared" si="4"/>
        <v>0</v>
      </c>
      <c r="E1905" s="362"/>
      <c r="F1905" s="275"/>
    </row>
    <row r="1906" hidden="1">
      <c r="A1906" s="193">
        <v>25040.0</v>
      </c>
      <c r="B1906" s="368">
        <f>VLOOKUP(A1906,'Solicitações'!B:B,1,0)</f>
        <v>25040</v>
      </c>
      <c r="C1906" s="368">
        <f t="shared" si="4"/>
        <v>0</v>
      </c>
      <c r="E1906" s="362"/>
      <c r="F1906" s="275"/>
    </row>
    <row r="1907" hidden="1">
      <c r="A1907" s="193">
        <v>25060.0</v>
      </c>
      <c r="B1907" s="368">
        <f>VLOOKUP(A1907,'Solicitações'!B:B,1,0)</f>
        <v>25060</v>
      </c>
      <c r="C1907" s="368">
        <f t="shared" si="4"/>
        <v>0</v>
      </c>
      <c r="E1907" s="362"/>
      <c r="F1907" s="275"/>
    </row>
    <row r="1908" hidden="1">
      <c r="A1908" s="193">
        <v>25080.0</v>
      </c>
      <c r="B1908" s="368">
        <f>VLOOKUP(A1908,'Solicitações'!B:B,1,0)</f>
        <v>25080</v>
      </c>
      <c r="C1908" s="368">
        <f t="shared" si="4"/>
        <v>0</v>
      </c>
      <c r="E1908" s="362"/>
      <c r="F1908" s="275"/>
    </row>
    <row r="1909" hidden="1">
      <c r="A1909" s="193">
        <v>25100.0</v>
      </c>
      <c r="B1909" s="368">
        <f>VLOOKUP(A1909,'Solicitações'!B:B,1,0)</f>
        <v>25100</v>
      </c>
      <c r="C1909" s="368">
        <f t="shared" si="4"/>
        <v>0</v>
      </c>
      <c r="E1909" s="362"/>
      <c r="F1909" s="275"/>
    </row>
    <row r="1910" hidden="1">
      <c r="A1910" s="193">
        <v>25120.0</v>
      </c>
      <c r="B1910" s="368">
        <f>VLOOKUP(A1910,'Solicitações'!B:B,1,0)</f>
        <v>25120</v>
      </c>
      <c r="C1910" s="368">
        <f t="shared" si="4"/>
        <v>0</v>
      </c>
      <c r="E1910" s="362"/>
      <c r="F1910" s="275"/>
    </row>
    <row r="1911" hidden="1">
      <c r="A1911" s="193">
        <v>25140.0</v>
      </c>
      <c r="B1911" s="368">
        <f>VLOOKUP(A1911,'Solicitações'!B:B,1,0)</f>
        <v>25140</v>
      </c>
      <c r="C1911" s="368">
        <f t="shared" si="4"/>
        <v>0</v>
      </c>
      <c r="E1911" s="362"/>
      <c r="F1911" s="275"/>
    </row>
    <row r="1912" hidden="1">
      <c r="A1912" s="193">
        <v>25160.0</v>
      </c>
      <c r="B1912" s="368">
        <f>VLOOKUP(A1912,'Solicitações'!B:B,1,0)</f>
        <v>25160</v>
      </c>
      <c r="C1912" s="368">
        <f t="shared" si="4"/>
        <v>0</v>
      </c>
      <c r="E1912" s="362"/>
      <c r="F1912" s="275"/>
    </row>
    <row r="1913" hidden="1">
      <c r="A1913" s="193">
        <v>25180.0</v>
      </c>
      <c r="B1913" s="368">
        <f>VLOOKUP(A1913,'Solicitações'!B:B,1,0)</f>
        <v>25180</v>
      </c>
      <c r="C1913" s="368">
        <f t="shared" si="4"/>
        <v>0</v>
      </c>
      <c r="E1913" s="362"/>
      <c r="F1913" s="275"/>
    </row>
    <row r="1914" hidden="1">
      <c r="A1914" s="193">
        <v>25200.0</v>
      </c>
      <c r="B1914" s="368">
        <f>VLOOKUP(A1914,'Solicitações'!B:B,1,0)</f>
        <v>25200</v>
      </c>
      <c r="C1914" s="368">
        <f t="shared" si="4"/>
        <v>0</v>
      </c>
      <c r="E1914" s="362"/>
      <c r="F1914" s="275"/>
    </row>
    <row r="1915" hidden="1">
      <c r="A1915" s="193">
        <v>25220.0</v>
      </c>
      <c r="B1915" s="368">
        <f>VLOOKUP(A1915,'Solicitações'!B:B,1,0)</f>
        <v>25220</v>
      </c>
      <c r="C1915" s="368">
        <f t="shared" si="4"/>
        <v>0</v>
      </c>
      <c r="E1915" s="362"/>
      <c r="F1915" s="275"/>
    </row>
    <row r="1916" hidden="1">
      <c r="A1916" s="193">
        <v>25240.0</v>
      </c>
      <c r="B1916" s="368">
        <f>VLOOKUP(A1916,'Solicitações'!B:B,1,0)</f>
        <v>25240</v>
      </c>
      <c r="C1916" s="368">
        <f t="shared" si="4"/>
        <v>0</v>
      </c>
      <c r="E1916" s="362"/>
      <c r="F1916" s="275"/>
    </row>
    <row r="1917" hidden="1">
      <c r="A1917" s="193">
        <v>25260.0</v>
      </c>
      <c r="B1917" s="368">
        <f>VLOOKUP(A1917,'Solicitações'!B:B,1,0)</f>
        <v>25260</v>
      </c>
      <c r="C1917" s="368">
        <f t="shared" si="4"/>
        <v>0</v>
      </c>
      <c r="E1917" s="362"/>
      <c r="F1917" s="275"/>
    </row>
    <row r="1918" hidden="1">
      <c r="A1918" s="193">
        <v>25280.0</v>
      </c>
      <c r="B1918" s="368">
        <f>VLOOKUP(A1918,'Solicitações'!B:B,1,0)</f>
        <v>25280</v>
      </c>
      <c r="C1918" s="368">
        <f t="shared" si="4"/>
        <v>0</v>
      </c>
      <c r="E1918" s="362"/>
      <c r="F1918" s="275"/>
    </row>
    <row r="1919" hidden="1">
      <c r="A1919" s="193">
        <v>25300.0</v>
      </c>
      <c r="B1919" s="368">
        <f>VLOOKUP(A1919,'Solicitações'!B:B,1,0)</f>
        <v>25300</v>
      </c>
      <c r="C1919" s="368">
        <f t="shared" si="4"/>
        <v>0</v>
      </c>
      <c r="E1919" s="362"/>
      <c r="F1919" s="275"/>
    </row>
    <row r="1920" hidden="1">
      <c r="A1920" s="193">
        <v>25320.0</v>
      </c>
      <c r="B1920" s="368">
        <f>VLOOKUP(A1920,'Solicitações'!B:B,1,0)</f>
        <v>25320</v>
      </c>
      <c r="C1920" s="368">
        <f t="shared" si="4"/>
        <v>0</v>
      </c>
      <c r="E1920" s="362"/>
      <c r="F1920" s="275"/>
    </row>
    <row r="1921" hidden="1">
      <c r="A1921" s="193">
        <v>25340.0</v>
      </c>
      <c r="B1921" s="368">
        <f>VLOOKUP(A1921,'Solicitações'!B:B,1,0)</f>
        <v>25340</v>
      </c>
      <c r="C1921" s="368">
        <f t="shared" si="4"/>
        <v>0</v>
      </c>
      <c r="E1921" s="362"/>
      <c r="F1921" s="275"/>
    </row>
    <row r="1922" hidden="1">
      <c r="A1922" s="193">
        <v>25360.0</v>
      </c>
      <c r="B1922" s="368">
        <f>VLOOKUP(A1922,'Solicitações'!B:B,1,0)</f>
        <v>25360</v>
      </c>
      <c r="C1922" s="368">
        <f t="shared" si="4"/>
        <v>0</v>
      </c>
      <c r="E1922" s="362"/>
      <c r="F1922" s="275"/>
    </row>
    <row r="1923" hidden="1">
      <c r="A1923" s="193">
        <v>25380.0</v>
      </c>
      <c r="B1923" s="368">
        <f>VLOOKUP(A1923,'Solicitações'!B:B,1,0)</f>
        <v>25380</v>
      </c>
      <c r="C1923" s="368">
        <f t="shared" si="4"/>
        <v>0</v>
      </c>
      <c r="E1923" s="362"/>
      <c r="F1923" s="275"/>
    </row>
    <row r="1924" hidden="1">
      <c r="A1924" s="193">
        <v>25400.0</v>
      </c>
      <c r="B1924" s="368">
        <f>VLOOKUP(A1924,'Solicitações'!B:B,1,0)</f>
        <v>25400</v>
      </c>
      <c r="C1924" s="368">
        <f t="shared" si="4"/>
        <v>0</v>
      </c>
      <c r="E1924" s="362"/>
      <c r="F1924" s="275"/>
    </row>
    <row r="1925" hidden="1">
      <c r="A1925" s="193">
        <v>25420.0</v>
      </c>
      <c r="B1925" s="368">
        <f>VLOOKUP(A1925,'Solicitações'!B:B,1,0)</f>
        <v>25420</v>
      </c>
      <c r="C1925" s="368">
        <f t="shared" si="4"/>
        <v>0</v>
      </c>
      <c r="E1925" s="362"/>
      <c r="F1925" s="275"/>
    </row>
    <row r="1926" hidden="1">
      <c r="A1926" s="193">
        <v>25440.0</v>
      </c>
      <c r="B1926" s="368">
        <f>VLOOKUP(A1926,'Solicitações'!B:B,1,0)</f>
        <v>25440</v>
      </c>
      <c r="C1926" s="368">
        <f t="shared" si="4"/>
        <v>0</v>
      </c>
      <c r="E1926" s="362"/>
      <c r="F1926" s="275"/>
    </row>
    <row r="1927" hidden="1">
      <c r="A1927" s="193">
        <v>25460.0</v>
      </c>
      <c r="B1927" s="368">
        <f>VLOOKUP(A1927,'Solicitações'!B:B,1,0)</f>
        <v>25460</v>
      </c>
      <c r="C1927" s="368">
        <f t="shared" si="4"/>
        <v>0</v>
      </c>
      <c r="E1927" s="362"/>
      <c r="F1927" s="275"/>
    </row>
    <row r="1928" hidden="1">
      <c r="A1928" s="193">
        <v>25480.0</v>
      </c>
      <c r="B1928" s="368">
        <f>VLOOKUP(A1928,'Solicitações'!B:B,1,0)</f>
        <v>25480</v>
      </c>
      <c r="C1928" s="368">
        <f t="shared" si="4"/>
        <v>0</v>
      </c>
      <c r="E1928" s="362"/>
      <c r="F1928" s="275"/>
    </row>
    <row r="1929" hidden="1">
      <c r="A1929" s="193">
        <v>25500.0</v>
      </c>
      <c r="B1929" s="368">
        <f>VLOOKUP(A1929,'Solicitações'!B:B,1,0)</f>
        <v>25500</v>
      </c>
      <c r="C1929" s="368">
        <f t="shared" si="4"/>
        <v>0</v>
      </c>
      <c r="E1929" s="362"/>
      <c r="F1929" s="275"/>
    </row>
    <row r="1930" hidden="1">
      <c r="A1930" s="193">
        <v>25520.0</v>
      </c>
      <c r="B1930" s="368">
        <f>VLOOKUP(A1930,'Solicitações'!B:B,1,0)</f>
        <v>25520</v>
      </c>
      <c r="C1930" s="368">
        <f t="shared" si="4"/>
        <v>0</v>
      </c>
      <c r="E1930" s="362"/>
      <c r="F1930" s="275"/>
    </row>
    <row r="1931" hidden="1">
      <c r="A1931" s="193">
        <v>25540.0</v>
      </c>
      <c r="B1931" s="368">
        <f>VLOOKUP(A1931,'Solicitações'!B:B,1,0)</f>
        <v>25540</v>
      </c>
      <c r="C1931" s="368">
        <f t="shared" si="4"/>
        <v>0</v>
      </c>
      <c r="E1931" s="362"/>
      <c r="F1931" s="275"/>
    </row>
    <row r="1932" hidden="1">
      <c r="A1932" s="193">
        <v>25560.0</v>
      </c>
      <c r="B1932" s="368">
        <f>VLOOKUP(A1932,'Solicitações'!B:B,1,0)</f>
        <v>25560</v>
      </c>
      <c r="C1932" s="368">
        <f t="shared" si="4"/>
        <v>0</v>
      </c>
      <c r="E1932" s="362"/>
      <c r="F1932" s="275"/>
    </row>
    <row r="1933" hidden="1">
      <c r="A1933" s="193">
        <v>25580.0</v>
      </c>
      <c r="B1933" s="368">
        <f>VLOOKUP(A1933,'Solicitações'!B:B,1,0)</f>
        <v>25580</v>
      </c>
      <c r="C1933" s="368">
        <f t="shared" si="4"/>
        <v>0</v>
      </c>
      <c r="E1933" s="362"/>
      <c r="F1933" s="275"/>
    </row>
    <row r="1934" hidden="1">
      <c r="A1934" s="193">
        <v>25600.0</v>
      </c>
      <c r="B1934" s="368">
        <f>VLOOKUP(A1934,'Solicitações'!B:B,1,0)</f>
        <v>25600</v>
      </c>
      <c r="C1934" s="368">
        <f t="shared" si="4"/>
        <v>0</v>
      </c>
      <c r="E1934" s="362"/>
      <c r="F1934" s="275"/>
    </row>
    <row r="1935" hidden="1">
      <c r="A1935" s="193">
        <v>25620.0</v>
      </c>
      <c r="B1935" s="368">
        <f>VLOOKUP(A1935,'Solicitações'!B:B,1,0)</f>
        <v>25620</v>
      </c>
      <c r="C1935" s="368">
        <f t="shared" si="4"/>
        <v>0</v>
      </c>
      <c r="E1935" s="362"/>
      <c r="F1935" s="275"/>
    </row>
    <row r="1936" hidden="1">
      <c r="A1936" s="193">
        <v>25640.0</v>
      </c>
      <c r="B1936" s="368">
        <f>VLOOKUP(A1936,'Solicitações'!B:B,1,0)</f>
        <v>25640</v>
      </c>
      <c r="C1936" s="368">
        <f t="shared" si="4"/>
        <v>0</v>
      </c>
      <c r="E1936" s="362"/>
      <c r="F1936" s="275"/>
    </row>
    <row r="1937" hidden="1">
      <c r="A1937" s="193">
        <v>25660.0</v>
      </c>
      <c r="B1937" s="368">
        <f>VLOOKUP(A1937,'Solicitações'!B:B,1,0)</f>
        <v>25660</v>
      </c>
      <c r="C1937" s="368">
        <f t="shared" si="4"/>
        <v>0</v>
      </c>
      <c r="E1937" s="362"/>
      <c r="F1937" s="275"/>
    </row>
    <row r="1938" hidden="1">
      <c r="A1938" s="193">
        <v>25680.0</v>
      </c>
      <c r="B1938" s="368">
        <f>VLOOKUP(A1938,'Solicitações'!B:B,1,0)</f>
        <v>25680</v>
      </c>
      <c r="C1938" s="368">
        <f t="shared" si="4"/>
        <v>0</v>
      </c>
      <c r="E1938" s="362"/>
      <c r="F1938" s="275"/>
    </row>
    <row r="1939" hidden="1">
      <c r="A1939" s="193">
        <v>25700.0</v>
      </c>
      <c r="B1939" s="368">
        <f>VLOOKUP(A1939,'Solicitações'!B:B,1,0)</f>
        <v>25700</v>
      </c>
      <c r="C1939" s="368">
        <f t="shared" si="4"/>
        <v>0</v>
      </c>
      <c r="E1939" s="362"/>
      <c r="F1939" s="275"/>
    </row>
    <row r="1940" hidden="1">
      <c r="A1940" s="193">
        <v>25720.0</v>
      </c>
      <c r="B1940" s="368">
        <f>VLOOKUP(A1940,'Solicitações'!B:B,1,0)</f>
        <v>25720</v>
      </c>
      <c r="C1940" s="368">
        <f t="shared" si="4"/>
        <v>0</v>
      </c>
      <c r="E1940" s="362"/>
      <c r="F1940" s="275"/>
    </row>
    <row r="1941" hidden="1">
      <c r="A1941" s="193">
        <v>25740.0</v>
      </c>
      <c r="B1941" s="368">
        <f>VLOOKUP(A1941,'Solicitações'!B:B,1,0)</f>
        <v>25740</v>
      </c>
      <c r="C1941" s="368">
        <f t="shared" si="4"/>
        <v>0</v>
      </c>
      <c r="E1941" s="362"/>
      <c r="F1941" s="275"/>
    </row>
    <row r="1942" hidden="1">
      <c r="A1942" s="193">
        <v>25760.0</v>
      </c>
      <c r="B1942" s="368">
        <f>VLOOKUP(A1942,'Solicitações'!B:B,1,0)</f>
        <v>25760</v>
      </c>
      <c r="C1942" s="368">
        <f t="shared" si="4"/>
        <v>0</v>
      </c>
      <c r="E1942" s="362"/>
      <c r="F1942" s="275"/>
    </row>
    <row r="1943" hidden="1">
      <c r="A1943" s="193">
        <v>25780.0</v>
      </c>
      <c r="B1943" s="368">
        <f>VLOOKUP(A1943,'Solicitações'!B:B,1,0)</f>
        <v>25780</v>
      </c>
      <c r="C1943" s="368">
        <f t="shared" si="4"/>
        <v>0</v>
      </c>
      <c r="E1943" s="362"/>
      <c r="F1943" s="275"/>
    </row>
    <row r="1944" hidden="1">
      <c r="A1944" s="193">
        <v>25800.0</v>
      </c>
      <c r="B1944" s="368">
        <f>VLOOKUP(A1944,'Solicitações'!B:B,1,0)</f>
        <v>25800</v>
      </c>
      <c r="C1944" s="368">
        <f t="shared" si="4"/>
        <v>0</v>
      </c>
      <c r="E1944" s="362"/>
      <c r="F1944" s="275"/>
    </row>
    <row r="1945" hidden="1">
      <c r="A1945" s="193">
        <v>25820.0</v>
      </c>
      <c r="B1945" s="368">
        <f>VLOOKUP(A1945,'Solicitações'!B:B,1,0)</f>
        <v>25820</v>
      </c>
      <c r="C1945" s="368">
        <f t="shared" si="4"/>
        <v>0</v>
      </c>
      <c r="E1945" s="362"/>
      <c r="F1945" s="275"/>
    </row>
    <row r="1946" hidden="1">
      <c r="A1946" s="193">
        <v>25840.0</v>
      </c>
      <c r="B1946" s="368">
        <f>VLOOKUP(A1946,'Solicitações'!B:B,1,0)</f>
        <v>25840</v>
      </c>
      <c r="C1946" s="368">
        <f t="shared" si="4"/>
        <v>0</v>
      </c>
      <c r="E1946" s="362"/>
      <c r="F1946" s="275"/>
    </row>
    <row r="1947" hidden="1">
      <c r="A1947" s="193">
        <v>25860.0</v>
      </c>
      <c r="B1947" s="368">
        <f>VLOOKUP(A1947,'Solicitações'!B:B,1,0)</f>
        <v>25860</v>
      </c>
      <c r="C1947" s="368">
        <f t="shared" si="4"/>
        <v>0</v>
      </c>
      <c r="E1947" s="362"/>
      <c r="F1947" s="275"/>
    </row>
    <row r="1948" hidden="1">
      <c r="A1948" s="193">
        <v>25880.0</v>
      </c>
      <c r="B1948" s="368">
        <f>VLOOKUP(A1948,'Solicitações'!B:B,1,0)</f>
        <v>25880</v>
      </c>
      <c r="C1948" s="368">
        <f t="shared" si="4"/>
        <v>0</v>
      </c>
      <c r="E1948" s="362"/>
      <c r="F1948" s="275"/>
    </row>
    <row r="1949" hidden="1">
      <c r="A1949" s="193">
        <v>25900.0</v>
      </c>
      <c r="B1949" s="368">
        <f>VLOOKUP(A1949,'Solicitações'!B:B,1,0)</f>
        <v>25900</v>
      </c>
      <c r="C1949" s="368">
        <f t="shared" si="4"/>
        <v>0</v>
      </c>
      <c r="E1949" s="362"/>
      <c r="F1949" s="275"/>
    </row>
    <row r="1950" hidden="1">
      <c r="A1950" s="193">
        <v>25920.0</v>
      </c>
      <c r="B1950" s="368">
        <f>VLOOKUP(A1950,'Solicitações'!B:B,1,0)</f>
        <v>25920</v>
      </c>
      <c r="C1950" s="368">
        <f t="shared" si="4"/>
        <v>0</v>
      </c>
      <c r="E1950" s="362"/>
      <c r="F1950" s="275"/>
    </row>
    <row r="1951" hidden="1">
      <c r="A1951" s="193">
        <v>25940.0</v>
      </c>
      <c r="B1951" s="368">
        <f>VLOOKUP(A1951,'Solicitações'!B:B,1,0)</f>
        <v>25940</v>
      </c>
      <c r="C1951" s="368">
        <f t="shared" si="4"/>
        <v>0</v>
      </c>
      <c r="E1951" s="362"/>
      <c r="F1951" s="275"/>
    </row>
    <row r="1952" hidden="1">
      <c r="A1952" s="193">
        <v>25960.0</v>
      </c>
      <c r="B1952" s="368">
        <f>VLOOKUP(A1952,'Solicitações'!B:B,1,0)</f>
        <v>25960</v>
      </c>
      <c r="C1952" s="368">
        <f t="shared" si="4"/>
        <v>0</v>
      </c>
      <c r="E1952" s="362"/>
      <c r="F1952" s="275"/>
    </row>
    <row r="1953" hidden="1">
      <c r="A1953" s="193">
        <v>25980.0</v>
      </c>
      <c r="B1953" s="368">
        <f>VLOOKUP(A1953,'Solicitações'!B:B,1,0)</f>
        <v>25980</v>
      </c>
      <c r="C1953" s="368">
        <f t="shared" si="4"/>
        <v>0</v>
      </c>
      <c r="E1953" s="362"/>
      <c r="F1953" s="275"/>
    </row>
    <row r="1954" hidden="1">
      <c r="A1954" s="193">
        <v>26000.0</v>
      </c>
      <c r="B1954" s="368">
        <f>VLOOKUP(A1954,'Solicitações'!B:B,1,0)</f>
        <v>26000</v>
      </c>
      <c r="C1954" s="368">
        <f t="shared" si="4"/>
        <v>0</v>
      </c>
      <c r="E1954" s="362"/>
      <c r="F1954" s="275"/>
    </row>
    <row r="1955" hidden="1">
      <c r="A1955" s="193">
        <v>26020.0</v>
      </c>
      <c r="B1955" s="368">
        <f>VLOOKUP(A1955,'Solicitações'!B:B,1,0)</f>
        <v>26020</v>
      </c>
      <c r="C1955" s="368">
        <f t="shared" si="4"/>
        <v>0</v>
      </c>
      <c r="E1955" s="362"/>
      <c r="F1955" s="275"/>
    </row>
    <row r="1956" hidden="1">
      <c r="A1956" s="193">
        <v>62900.0</v>
      </c>
      <c r="B1956" s="368">
        <f>VLOOKUP(A1956,'Solicitações'!B:B,1,0)</f>
        <v>62900</v>
      </c>
      <c r="C1956" s="368">
        <f t="shared" si="4"/>
        <v>0</v>
      </c>
      <c r="E1956" s="362"/>
      <c r="F1956" s="275"/>
    </row>
    <row r="1957" hidden="1">
      <c r="A1957" s="193">
        <v>62920.0</v>
      </c>
      <c r="B1957" s="368">
        <f>VLOOKUP(A1957,'Solicitações'!B:B,1,0)</f>
        <v>62920</v>
      </c>
      <c r="C1957" s="368">
        <f t="shared" si="4"/>
        <v>0</v>
      </c>
      <c r="E1957" s="362"/>
      <c r="F1957" s="275"/>
    </row>
    <row r="1958" hidden="1">
      <c r="A1958" s="193">
        <v>63000.0</v>
      </c>
      <c r="B1958" s="368">
        <f>VLOOKUP(A1958,'Solicitações'!B:B,1,0)</f>
        <v>63000</v>
      </c>
      <c r="C1958" s="368">
        <f t="shared" si="4"/>
        <v>0</v>
      </c>
      <c r="E1958" s="362"/>
      <c r="F1958" s="275"/>
    </row>
    <row r="1959" hidden="1">
      <c r="A1959" s="193">
        <v>63020.0</v>
      </c>
      <c r="B1959" s="368">
        <f>VLOOKUP(A1959,'Solicitações'!B:B,1,0)</f>
        <v>63020</v>
      </c>
      <c r="C1959" s="368">
        <f t="shared" si="4"/>
        <v>0</v>
      </c>
      <c r="E1959" s="362"/>
      <c r="F1959" s="275"/>
    </row>
    <row r="1960" hidden="1">
      <c r="A1960" s="193">
        <v>63040.0</v>
      </c>
      <c r="B1960" s="368">
        <f>VLOOKUP(A1960,'Solicitações'!B:B,1,0)</f>
        <v>63040</v>
      </c>
      <c r="C1960" s="368">
        <f t="shared" si="4"/>
        <v>0</v>
      </c>
      <c r="E1960" s="362"/>
      <c r="F1960" s="275"/>
    </row>
    <row r="1961" hidden="1">
      <c r="A1961" s="193">
        <v>63060.0</v>
      </c>
      <c r="B1961" s="368">
        <f>VLOOKUP(A1961,'Solicitações'!B:B,1,0)</f>
        <v>63060</v>
      </c>
      <c r="C1961" s="368">
        <f t="shared" si="4"/>
        <v>0</v>
      </c>
      <c r="E1961" s="362"/>
      <c r="F1961" s="275"/>
    </row>
    <row r="1962" hidden="1">
      <c r="A1962" s="193">
        <v>63080.0</v>
      </c>
      <c r="B1962" s="368">
        <f>VLOOKUP(A1962,'Solicitações'!B:B,1,0)</f>
        <v>63080</v>
      </c>
      <c r="C1962" s="368">
        <f t="shared" si="4"/>
        <v>0</v>
      </c>
      <c r="E1962" s="362"/>
      <c r="F1962" s="275"/>
    </row>
    <row r="1963" hidden="1">
      <c r="A1963" s="193">
        <v>63100.0</v>
      </c>
      <c r="B1963" s="368">
        <f>VLOOKUP(A1963,'Solicitações'!B:B,1,0)</f>
        <v>63100</v>
      </c>
      <c r="C1963" s="368">
        <f t="shared" si="4"/>
        <v>0</v>
      </c>
      <c r="E1963" s="362"/>
      <c r="F1963" s="275"/>
    </row>
    <row r="1964" hidden="1">
      <c r="A1964" s="193">
        <v>63120.0</v>
      </c>
      <c r="B1964" s="368">
        <f>VLOOKUP(A1964,'Solicitações'!B:B,1,0)</f>
        <v>63120</v>
      </c>
      <c r="C1964" s="368">
        <f t="shared" si="4"/>
        <v>0</v>
      </c>
      <c r="E1964" s="362"/>
      <c r="F1964" s="275"/>
    </row>
    <row r="1965" hidden="1">
      <c r="A1965" s="193">
        <v>63140.0</v>
      </c>
      <c r="B1965" s="368">
        <f>VLOOKUP(A1965,'Solicitações'!B:B,1,0)</f>
        <v>63140</v>
      </c>
      <c r="C1965" s="368">
        <f t="shared" si="4"/>
        <v>0</v>
      </c>
      <c r="E1965" s="362"/>
      <c r="F1965" s="275"/>
    </row>
    <row r="1966" hidden="1">
      <c r="A1966" s="193">
        <v>63200.0</v>
      </c>
      <c r="B1966" s="368">
        <f>VLOOKUP(A1966,'Solicitações'!B:B,1,0)</f>
        <v>63200</v>
      </c>
      <c r="C1966" s="368">
        <f t="shared" si="4"/>
        <v>0</v>
      </c>
      <c r="E1966" s="362"/>
      <c r="F1966" s="275"/>
    </row>
    <row r="1967" hidden="1">
      <c r="A1967" s="193">
        <v>63220.0</v>
      </c>
      <c r="B1967" s="368">
        <f>VLOOKUP(A1967,'Solicitações'!B:B,1,0)</f>
        <v>63220</v>
      </c>
      <c r="C1967" s="368">
        <f t="shared" si="4"/>
        <v>0</v>
      </c>
      <c r="E1967" s="362"/>
      <c r="F1967" s="275"/>
    </row>
    <row r="1968" hidden="1">
      <c r="A1968" s="193">
        <v>63240.0</v>
      </c>
      <c r="B1968" s="368">
        <f>VLOOKUP(A1968,'Solicitações'!B:B,1,0)</f>
        <v>63240</v>
      </c>
      <c r="C1968" s="368">
        <f t="shared" si="4"/>
        <v>0</v>
      </c>
      <c r="E1968" s="362"/>
      <c r="F1968" s="275"/>
    </row>
    <row r="1969" hidden="1">
      <c r="A1969" s="193">
        <v>63260.0</v>
      </c>
      <c r="B1969" s="368">
        <f>VLOOKUP(A1969,'Solicitações'!B:B,1,0)</f>
        <v>63260</v>
      </c>
      <c r="C1969" s="368">
        <f t="shared" si="4"/>
        <v>0</v>
      </c>
      <c r="E1969" s="362"/>
      <c r="F1969" s="275"/>
    </row>
    <row r="1970" hidden="1">
      <c r="A1970" s="193">
        <v>63300.0</v>
      </c>
      <c r="B1970" s="368">
        <f>VLOOKUP(A1970,'Solicitações'!B:B,1,0)</f>
        <v>63300</v>
      </c>
      <c r="C1970" s="368">
        <f t="shared" si="4"/>
        <v>0</v>
      </c>
      <c r="E1970" s="362"/>
      <c r="F1970" s="275"/>
    </row>
    <row r="1971" hidden="1">
      <c r="A1971" s="193">
        <v>63301.0</v>
      </c>
      <c r="B1971" s="368">
        <f>VLOOKUP(A1971,'Solicitações'!B:B,1,0)</f>
        <v>63301</v>
      </c>
      <c r="C1971" s="368">
        <f t="shared" si="4"/>
        <v>0</v>
      </c>
      <c r="E1971" s="362"/>
      <c r="F1971" s="275"/>
    </row>
    <row r="1972" hidden="1">
      <c r="A1972" s="193">
        <v>63320.0</v>
      </c>
      <c r="B1972" s="368">
        <f>VLOOKUP(A1972,'Solicitações'!B:B,1,0)</f>
        <v>63320</v>
      </c>
      <c r="C1972" s="368">
        <f t="shared" si="4"/>
        <v>0</v>
      </c>
      <c r="E1972" s="362"/>
      <c r="F1972" s="275"/>
    </row>
    <row r="1973" hidden="1">
      <c r="A1973" s="193">
        <v>63340.0</v>
      </c>
      <c r="B1973" s="368">
        <f>VLOOKUP(A1973,'Solicitações'!B:B,1,0)</f>
        <v>63340</v>
      </c>
      <c r="C1973" s="368">
        <f t="shared" si="4"/>
        <v>0</v>
      </c>
      <c r="E1973" s="362"/>
      <c r="F1973" s="275"/>
    </row>
    <row r="1974" hidden="1">
      <c r="A1974" s="193">
        <v>63360.0</v>
      </c>
      <c r="B1974" s="368">
        <f>VLOOKUP(A1974,'Solicitações'!B:B,1,0)</f>
        <v>63360</v>
      </c>
      <c r="C1974" s="368">
        <f t="shared" si="4"/>
        <v>0</v>
      </c>
      <c r="E1974" s="362"/>
      <c r="F1974" s="275"/>
    </row>
    <row r="1975" hidden="1">
      <c r="A1975" s="193">
        <v>63380.0</v>
      </c>
      <c r="B1975" s="368">
        <f>VLOOKUP(A1975,'Solicitações'!B:B,1,0)</f>
        <v>63380</v>
      </c>
      <c r="C1975" s="368">
        <f t="shared" si="4"/>
        <v>0</v>
      </c>
      <c r="E1975" s="362"/>
      <c r="F1975" s="275"/>
    </row>
    <row r="1976" hidden="1">
      <c r="A1976" s="193">
        <v>63400.0</v>
      </c>
      <c r="B1976" s="368">
        <f>VLOOKUP(A1976,'Solicitações'!B:B,1,0)</f>
        <v>63400</v>
      </c>
      <c r="C1976" s="368">
        <f t="shared" si="4"/>
        <v>0</v>
      </c>
      <c r="E1976" s="362"/>
      <c r="F1976" s="275"/>
    </row>
    <row r="1977" hidden="1">
      <c r="A1977" s="193">
        <v>63420.0</v>
      </c>
      <c r="B1977" s="368">
        <f>VLOOKUP(A1977,'Solicitações'!B:B,1,0)</f>
        <v>63420</v>
      </c>
      <c r="C1977" s="368">
        <f t="shared" si="4"/>
        <v>0</v>
      </c>
      <c r="E1977" s="362"/>
      <c r="F1977" s="275"/>
    </row>
    <row r="1978" hidden="1">
      <c r="A1978" s="193">
        <v>63440.0</v>
      </c>
      <c r="B1978" s="368">
        <f>VLOOKUP(A1978,'Solicitações'!B:B,1,0)</f>
        <v>63440</v>
      </c>
      <c r="C1978" s="368">
        <f t="shared" si="4"/>
        <v>0</v>
      </c>
      <c r="E1978" s="362"/>
      <c r="F1978" s="275"/>
    </row>
    <row r="1979" hidden="1">
      <c r="A1979" s="193">
        <v>63460.0</v>
      </c>
      <c r="B1979" s="368">
        <f>VLOOKUP(A1979,'Solicitações'!B:B,1,0)</f>
        <v>63460</v>
      </c>
      <c r="C1979" s="368">
        <f t="shared" si="4"/>
        <v>0</v>
      </c>
      <c r="E1979" s="362"/>
      <c r="F1979" s="275"/>
    </row>
    <row r="1980" hidden="1">
      <c r="A1980" s="193">
        <v>63480.0</v>
      </c>
      <c r="B1980" s="368">
        <f>VLOOKUP(A1980,'Solicitações'!B:B,1,0)</f>
        <v>63480</v>
      </c>
      <c r="C1980" s="368">
        <f t="shared" si="4"/>
        <v>0</v>
      </c>
      <c r="E1980" s="362"/>
      <c r="F1980" s="275"/>
    </row>
    <row r="1981" hidden="1">
      <c r="A1981" s="193">
        <v>63500.0</v>
      </c>
      <c r="B1981" s="368">
        <f>VLOOKUP(A1981,'Solicitações'!B:B,1,0)</f>
        <v>63500</v>
      </c>
      <c r="C1981" s="368">
        <f t="shared" si="4"/>
        <v>0</v>
      </c>
      <c r="E1981" s="362"/>
      <c r="F1981" s="275"/>
    </row>
    <row r="1982" hidden="1">
      <c r="A1982" s="193">
        <v>63520.0</v>
      </c>
      <c r="B1982" s="368">
        <f>VLOOKUP(A1982,'Solicitações'!B:B,1,0)</f>
        <v>63520</v>
      </c>
      <c r="C1982" s="368">
        <f t="shared" si="4"/>
        <v>0</v>
      </c>
      <c r="E1982" s="362"/>
      <c r="F1982" s="275"/>
    </row>
    <row r="1983" hidden="1">
      <c r="A1983" s="193">
        <v>63920.0</v>
      </c>
      <c r="B1983" s="368">
        <f>VLOOKUP(A1983,'Solicitações'!B:B,1,0)</f>
        <v>63920</v>
      </c>
      <c r="C1983" s="368">
        <f t="shared" si="4"/>
        <v>0</v>
      </c>
      <c r="E1983" s="362"/>
      <c r="F1983" s="275"/>
    </row>
    <row r="1984" hidden="1">
      <c r="A1984" s="193">
        <v>63940.0</v>
      </c>
      <c r="B1984" s="368">
        <f>VLOOKUP(A1984,'Solicitações'!B:B,1,0)</f>
        <v>63940</v>
      </c>
      <c r="C1984" s="368">
        <f t="shared" si="4"/>
        <v>0</v>
      </c>
      <c r="E1984" s="362"/>
      <c r="F1984" s="275"/>
    </row>
    <row r="1985" hidden="1">
      <c r="A1985" s="193">
        <v>63960.0</v>
      </c>
      <c r="B1985" s="368">
        <f>VLOOKUP(A1985,'Solicitações'!B:B,1,0)</f>
        <v>63960</v>
      </c>
      <c r="C1985" s="368">
        <f t="shared" si="4"/>
        <v>0</v>
      </c>
      <c r="E1985" s="362"/>
      <c r="F1985" s="275"/>
    </row>
    <row r="1986" hidden="1">
      <c r="A1986" s="193">
        <v>64260.0</v>
      </c>
      <c r="B1986" s="368">
        <f>VLOOKUP(A1986,'Solicitações'!B:B,1,0)</f>
        <v>64260</v>
      </c>
      <c r="C1986" s="368">
        <f t="shared" si="4"/>
        <v>0</v>
      </c>
      <c r="E1986" s="362"/>
      <c r="F1986" s="275"/>
    </row>
    <row r="1987" hidden="1">
      <c r="A1987" s="193">
        <v>64340.0</v>
      </c>
      <c r="B1987" s="368">
        <f>VLOOKUP(A1987,'Solicitações'!B:B,1,0)</f>
        <v>64340</v>
      </c>
      <c r="C1987" s="368">
        <f t="shared" si="4"/>
        <v>0</v>
      </c>
      <c r="E1987" s="362"/>
      <c r="F1987" s="275"/>
    </row>
    <row r="1988" hidden="1">
      <c r="A1988" s="193">
        <v>64760.0</v>
      </c>
      <c r="B1988" s="368">
        <f>VLOOKUP(A1988,'Solicitações'!B:B,1,0)</f>
        <v>64760</v>
      </c>
      <c r="C1988" s="368">
        <f t="shared" si="4"/>
        <v>0</v>
      </c>
      <c r="E1988" s="362"/>
      <c r="F1988" s="275"/>
    </row>
    <row r="1989" hidden="1">
      <c r="A1989" s="193">
        <v>64780.0</v>
      </c>
      <c r="B1989" s="368">
        <f>VLOOKUP(A1989,'Solicitações'!B:B,1,0)</f>
        <v>64780</v>
      </c>
      <c r="C1989" s="368">
        <f t="shared" si="4"/>
        <v>0</v>
      </c>
      <c r="E1989" s="362"/>
      <c r="F1989" s="275"/>
    </row>
    <row r="1990" hidden="1">
      <c r="A1990" s="193">
        <v>64800.0</v>
      </c>
      <c r="B1990" s="368">
        <f>VLOOKUP(A1990,'Solicitações'!B:B,1,0)</f>
        <v>64800</v>
      </c>
      <c r="C1990" s="368">
        <f t="shared" si="4"/>
        <v>0</v>
      </c>
      <c r="E1990" s="362"/>
      <c r="F1990" s="275"/>
    </row>
    <row r="1991" hidden="1">
      <c r="A1991" s="193">
        <v>64840.0</v>
      </c>
      <c r="B1991" s="368">
        <f>VLOOKUP(A1991,'Solicitações'!B:B,1,0)</f>
        <v>64840</v>
      </c>
      <c r="C1991" s="368">
        <f t="shared" si="4"/>
        <v>0</v>
      </c>
      <c r="E1991" s="362"/>
      <c r="F1991" s="275"/>
    </row>
    <row r="1992" hidden="1">
      <c r="A1992" s="193">
        <v>64860.0</v>
      </c>
      <c r="B1992" s="368">
        <f>VLOOKUP(A1992,'Solicitações'!B:B,1,0)</f>
        <v>64860</v>
      </c>
      <c r="C1992" s="368">
        <f t="shared" si="4"/>
        <v>0</v>
      </c>
      <c r="E1992" s="362"/>
      <c r="F1992" s="275"/>
    </row>
    <row r="1993" hidden="1">
      <c r="A1993" s="193">
        <v>64880.0</v>
      </c>
      <c r="B1993" s="368">
        <f>VLOOKUP(A1993,'Solicitações'!B:B,1,0)</f>
        <v>64880</v>
      </c>
      <c r="C1993" s="368">
        <f t="shared" si="4"/>
        <v>0</v>
      </c>
      <c r="E1993" s="362"/>
      <c r="F1993" s="275"/>
    </row>
    <row r="1994" hidden="1">
      <c r="A1994" s="193">
        <v>64900.0</v>
      </c>
      <c r="B1994" s="368">
        <f>VLOOKUP(A1994,'Solicitações'!B:B,1,0)</f>
        <v>64900</v>
      </c>
      <c r="C1994" s="368">
        <f t="shared" si="4"/>
        <v>0</v>
      </c>
      <c r="E1994" s="362"/>
      <c r="F1994" s="275"/>
    </row>
    <row r="1995" hidden="1">
      <c r="A1995" s="193">
        <v>64920.0</v>
      </c>
      <c r="B1995" s="368">
        <f>VLOOKUP(A1995,'Solicitações'!B:B,1,0)</f>
        <v>64920</v>
      </c>
      <c r="C1995" s="368">
        <f t="shared" si="4"/>
        <v>0</v>
      </c>
      <c r="E1995" s="362"/>
      <c r="F1995" s="275"/>
    </row>
    <row r="1996" hidden="1">
      <c r="A1996" s="193">
        <v>64940.0</v>
      </c>
      <c r="B1996" s="368">
        <f>VLOOKUP(A1996,'Solicitações'!B:B,1,0)</f>
        <v>64940</v>
      </c>
      <c r="C1996" s="368">
        <f t="shared" si="4"/>
        <v>0</v>
      </c>
      <c r="E1996" s="362"/>
      <c r="F1996" s="275"/>
    </row>
    <row r="1997" hidden="1">
      <c r="A1997" s="193">
        <v>64960.0</v>
      </c>
      <c r="B1997" s="368">
        <f>VLOOKUP(A1997,'Solicitações'!B:B,1,0)</f>
        <v>64960</v>
      </c>
      <c r="C1997" s="368">
        <f t="shared" si="4"/>
        <v>0</v>
      </c>
      <c r="E1997" s="362"/>
      <c r="F1997" s="275"/>
    </row>
    <row r="1998" hidden="1">
      <c r="A1998" s="193">
        <v>64980.0</v>
      </c>
      <c r="B1998" s="368">
        <f>VLOOKUP(A1998,'Solicitações'!B:B,1,0)</f>
        <v>64980</v>
      </c>
      <c r="C1998" s="368">
        <f t="shared" si="4"/>
        <v>0</v>
      </c>
      <c r="E1998" s="362"/>
      <c r="F1998" s="275"/>
    </row>
    <row r="1999" hidden="1">
      <c r="A1999" s="193">
        <v>65000.0</v>
      </c>
      <c r="B1999" s="368">
        <f>VLOOKUP(A1999,'Solicitações'!B:B,1,0)</f>
        <v>65000</v>
      </c>
      <c r="C1999" s="368">
        <f t="shared" si="4"/>
        <v>0</v>
      </c>
      <c r="E1999" s="362"/>
      <c r="F1999" s="275"/>
    </row>
    <row r="2000" hidden="1">
      <c r="A2000" s="193">
        <v>65020.0</v>
      </c>
      <c r="B2000" s="368">
        <f>VLOOKUP(A2000,'Solicitações'!B:B,1,0)</f>
        <v>65020</v>
      </c>
      <c r="C2000" s="368">
        <f t="shared" si="4"/>
        <v>0</v>
      </c>
      <c r="E2000" s="362"/>
      <c r="F2000" s="275"/>
    </row>
    <row r="2001" hidden="1">
      <c r="A2001" s="193">
        <v>65040.0</v>
      </c>
      <c r="B2001" s="368">
        <f>VLOOKUP(A2001,'Solicitações'!B:B,1,0)</f>
        <v>65040</v>
      </c>
      <c r="C2001" s="368">
        <f t="shared" si="4"/>
        <v>0</v>
      </c>
      <c r="E2001" s="362"/>
      <c r="F2001" s="275"/>
    </row>
    <row r="2002" hidden="1">
      <c r="A2002" s="193">
        <v>65060.0</v>
      </c>
      <c r="B2002" s="368">
        <f>VLOOKUP(A2002,'Solicitações'!B:B,1,0)</f>
        <v>65060</v>
      </c>
      <c r="C2002" s="368">
        <f t="shared" si="4"/>
        <v>0</v>
      </c>
      <c r="E2002" s="362"/>
      <c r="F2002" s="275"/>
    </row>
    <row r="2003" hidden="1">
      <c r="A2003" s="193">
        <v>65080.0</v>
      </c>
      <c r="B2003" s="368">
        <f>VLOOKUP(A2003,'Solicitações'!B:B,1,0)</f>
        <v>65080</v>
      </c>
      <c r="C2003" s="368">
        <f t="shared" si="4"/>
        <v>0</v>
      </c>
      <c r="E2003" s="362"/>
      <c r="F2003" s="275"/>
    </row>
    <row r="2004" hidden="1">
      <c r="A2004" s="193">
        <v>66000.0</v>
      </c>
      <c r="B2004" s="368">
        <f>VLOOKUP(A2004,'Solicitações'!B:B,1,0)</f>
        <v>66000</v>
      </c>
      <c r="C2004" s="368">
        <f t="shared" si="4"/>
        <v>0</v>
      </c>
      <c r="E2004" s="362"/>
      <c r="F2004" s="275"/>
    </row>
    <row r="2005" hidden="1">
      <c r="A2005" s="193">
        <v>66020.0</v>
      </c>
      <c r="B2005" s="368">
        <f>VLOOKUP(A2005,'Solicitações'!B:B,1,0)</f>
        <v>66020</v>
      </c>
      <c r="C2005" s="368">
        <f t="shared" si="4"/>
        <v>0</v>
      </c>
      <c r="E2005" s="362"/>
      <c r="F2005" s="275"/>
    </row>
    <row r="2006" hidden="1">
      <c r="A2006" s="193">
        <v>66040.0</v>
      </c>
      <c r="B2006" s="368">
        <f>VLOOKUP(A2006,'Solicitações'!B:B,1,0)</f>
        <v>66040</v>
      </c>
      <c r="C2006" s="368">
        <f t="shared" si="4"/>
        <v>0</v>
      </c>
      <c r="E2006" s="362"/>
      <c r="F2006" s="275"/>
    </row>
    <row r="2007" hidden="1">
      <c r="A2007" s="193">
        <v>66060.0</v>
      </c>
      <c r="B2007" s="368">
        <f>VLOOKUP(A2007,'Solicitações'!B:B,1,0)</f>
        <v>66060</v>
      </c>
      <c r="C2007" s="368">
        <f t="shared" si="4"/>
        <v>0</v>
      </c>
      <c r="E2007" s="362"/>
      <c r="F2007" s="275"/>
    </row>
    <row r="2008" hidden="1">
      <c r="A2008" s="193">
        <v>66080.0</v>
      </c>
      <c r="B2008" s="368">
        <f>VLOOKUP(A2008,'Solicitações'!B:B,1,0)</f>
        <v>66080</v>
      </c>
      <c r="C2008" s="368">
        <f t="shared" si="4"/>
        <v>0</v>
      </c>
      <c r="E2008" s="362"/>
      <c r="F2008" s="275"/>
    </row>
    <row r="2009" hidden="1">
      <c r="A2009" s="193">
        <v>67000.0</v>
      </c>
      <c r="B2009" s="368">
        <f>VLOOKUP(A2009,'Solicitações'!B:B,1,0)</f>
        <v>67000</v>
      </c>
      <c r="C2009" s="368">
        <f t="shared" si="4"/>
        <v>0</v>
      </c>
      <c r="E2009" s="362"/>
      <c r="F2009" s="275"/>
    </row>
    <row r="2010" hidden="1">
      <c r="A2010" s="193">
        <v>67020.0</v>
      </c>
      <c r="B2010" s="368">
        <f>VLOOKUP(A2010,'Solicitações'!B:B,1,0)</f>
        <v>67020</v>
      </c>
      <c r="C2010" s="368">
        <f t="shared" si="4"/>
        <v>0</v>
      </c>
      <c r="E2010" s="362"/>
      <c r="F2010" s="275"/>
    </row>
    <row r="2011" hidden="1">
      <c r="A2011" s="193">
        <v>67040.0</v>
      </c>
      <c r="B2011" s="368">
        <f>VLOOKUP(A2011,'Solicitações'!B:B,1,0)</f>
        <v>67040</v>
      </c>
      <c r="C2011" s="368">
        <f t="shared" si="4"/>
        <v>0</v>
      </c>
      <c r="E2011" s="362"/>
      <c r="F2011" s="275"/>
    </row>
    <row r="2012" hidden="1">
      <c r="A2012" s="193">
        <v>67060.0</v>
      </c>
      <c r="B2012" s="368">
        <f>VLOOKUP(A2012,'Solicitações'!B:B,1,0)</f>
        <v>67060</v>
      </c>
      <c r="C2012" s="368">
        <f t="shared" si="4"/>
        <v>0</v>
      </c>
      <c r="E2012" s="362"/>
      <c r="F2012" s="275"/>
    </row>
    <row r="2013" hidden="1">
      <c r="A2013" s="193">
        <v>67080.0</v>
      </c>
      <c r="B2013" s="368">
        <f>VLOOKUP(A2013,'Solicitações'!B:B,1,0)</f>
        <v>67080</v>
      </c>
      <c r="C2013" s="368">
        <f t="shared" si="4"/>
        <v>0</v>
      </c>
      <c r="E2013" s="362"/>
      <c r="F2013" s="275"/>
    </row>
    <row r="2014" hidden="1">
      <c r="A2014" s="193">
        <v>68000.0</v>
      </c>
      <c r="B2014" s="368">
        <f>VLOOKUP(A2014,'Solicitações'!B:B,1,0)</f>
        <v>68000</v>
      </c>
      <c r="C2014" s="368">
        <f t="shared" si="4"/>
        <v>0</v>
      </c>
      <c r="E2014" s="362"/>
      <c r="F2014" s="275"/>
    </row>
    <row r="2015" hidden="1">
      <c r="A2015" s="193">
        <v>68020.0</v>
      </c>
      <c r="B2015" s="368">
        <f>VLOOKUP(A2015,'Solicitações'!B:B,1,0)</f>
        <v>68020</v>
      </c>
      <c r="C2015" s="368">
        <f t="shared" si="4"/>
        <v>0</v>
      </c>
      <c r="E2015" s="362"/>
      <c r="F2015" s="275"/>
    </row>
    <row r="2016" hidden="1">
      <c r="A2016" s="193">
        <v>68040.0</v>
      </c>
      <c r="B2016" s="368">
        <f>VLOOKUP(A2016,'Solicitações'!B:B,1,0)</f>
        <v>68040</v>
      </c>
      <c r="C2016" s="368">
        <f t="shared" si="4"/>
        <v>0</v>
      </c>
      <c r="E2016" s="362"/>
      <c r="F2016" s="275"/>
    </row>
    <row r="2017" hidden="1">
      <c r="A2017" s="193">
        <v>68060.0</v>
      </c>
      <c r="B2017" s="368">
        <f>VLOOKUP(A2017,'Solicitações'!B:B,1,0)</f>
        <v>68060</v>
      </c>
      <c r="C2017" s="368">
        <f t="shared" si="4"/>
        <v>0</v>
      </c>
      <c r="E2017" s="362"/>
      <c r="F2017" s="275"/>
    </row>
    <row r="2018" hidden="1">
      <c r="A2018" s="193">
        <v>68080.0</v>
      </c>
      <c r="B2018" s="368">
        <f>VLOOKUP(A2018,'Solicitações'!B:B,1,0)</f>
        <v>68080</v>
      </c>
      <c r="C2018" s="368">
        <f t="shared" si="4"/>
        <v>0</v>
      </c>
      <c r="E2018" s="362"/>
      <c r="F2018" s="275"/>
    </row>
    <row r="2019" hidden="1">
      <c r="A2019" s="193">
        <v>68100.0</v>
      </c>
      <c r="B2019" s="368">
        <f>VLOOKUP(A2019,'Solicitações'!B:B,1,0)</f>
        <v>68100</v>
      </c>
      <c r="C2019" s="368">
        <f t="shared" si="4"/>
        <v>0</v>
      </c>
      <c r="E2019" s="362"/>
      <c r="F2019" s="275"/>
    </row>
    <row r="2020" hidden="1">
      <c r="A2020" s="193">
        <v>68120.0</v>
      </c>
      <c r="B2020" s="368">
        <f>VLOOKUP(A2020,'Solicitações'!B:B,1,0)</f>
        <v>68120</v>
      </c>
      <c r="C2020" s="368">
        <f t="shared" si="4"/>
        <v>0</v>
      </c>
      <c r="E2020" s="362"/>
      <c r="F2020" s="275"/>
    </row>
    <row r="2021" hidden="1">
      <c r="A2021" s="193">
        <v>68140.0</v>
      </c>
      <c r="B2021" s="368">
        <f>VLOOKUP(A2021,'Solicitações'!B:B,1,0)</f>
        <v>68140</v>
      </c>
      <c r="C2021" s="368">
        <f t="shared" si="4"/>
        <v>0</v>
      </c>
      <c r="E2021" s="362"/>
      <c r="F2021" s="275"/>
    </row>
    <row r="2022" hidden="1">
      <c r="A2022" s="193">
        <v>68160.0</v>
      </c>
      <c r="B2022" s="368">
        <f>VLOOKUP(A2022,'Solicitações'!B:B,1,0)</f>
        <v>68160</v>
      </c>
      <c r="C2022" s="368">
        <f t="shared" si="4"/>
        <v>0</v>
      </c>
      <c r="E2022" s="362"/>
      <c r="F2022" s="275"/>
    </row>
    <row r="2023" hidden="1">
      <c r="A2023" s="193">
        <v>68180.0</v>
      </c>
      <c r="B2023" s="368">
        <f>VLOOKUP(A2023,'Solicitações'!B:B,1,0)</f>
        <v>68180</v>
      </c>
      <c r="C2023" s="368">
        <f t="shared" si="4"/>
        <v>0</v>
      </c>
      <c r="E2023" s="362"/>
      <c r="F2023" s="275"/>
    </row>
    <row r="2024" hidden="1">
      <c r="A2024" s="193">
        <v>68320.0</v>
      </c>
      <c r="B2024" s="368">
        <f>VLOOKUP(A2024,'Solicitações'!B:B,1,0)</f>
        <v>68320</v>
      </c>
      <c r="C2024" s="368">
        <f t="shared" si="4"/>
        <v>0</v>
      </c>
      <c r="E2024" s="362"/>
      <c r="F2024" s="275"/>
    </row>
    <row r="2025" hidden="1">
      <c r="A2025" s="193">
        <v>68340.0</v>
      </c>
      <c r="B2025" s="368">
        <f>VLOOKUP(A2025,'Solicitações'!B:B,1,0)</f>
        <v>68340</v>
      </c>
      <c r="C2025" s="368">
        <f t="shared" si="4"/>
        <v>0</v>
      </c>
      <c r="E2025" s="362"/>
      <c r="F2025" s="275"/>
    </row>
    <row r="2026">
      <c r="A2026" s="241">
        <v>68341.0</v>
      </c>
      <c r="B2026" s="368">
        <f>VLOOKUP(A2026,'Solicitações'!B:B,1,0)</f>
        <v>68341</v>
      </c>
      <c r="C2026" s="368">
        <f t="shared" si="4"/>
        <v>0</v>
      </c>
      <c r="E2026" s="362"/>
      <c r="F2026" s="275"/>
    </row>
    <row r="2027" hidden="1">
      <c r="A2027" s="193">
        <v>91840.0</v>
      </c>
      <c r="B2027" s="368">
        <f>VLOOKUP(A2027,'Solicitações'!B:B,1,0)</f>
        <v>91840</v>
      </c>
      <c r="C2027" s="368">
        <f t="shared" si="4"/>
        <v>0</v>
      </c>
      <c r="E2027" s="362"/>
      <c r="F2027" s="275"/>
    </row>
    <row r="2028" hidden="1">
      <c r="A2028" s="193">
        <v>91860.0</v>
      </c>
      <c r="B2028" s="368">
        <f>VLOOKUP(A2028,'Solicitações'!B:B,1,0)</f>
        <v>91860</v>
      </c>
      <c r="C2028" s="368">
        <f t="shared" si="4"/>
        <v>0</v>
      </c>
      <c r="E2028" s="362"/>
      <c r="F2028" s="275"/>
    </row>
    <row r="2029" hidden="1">
      <c r="A2029" s="193">
        <v>100240.0</v>
      </c>
      <c r="B2029" s="368">
        <f>VLOOKUP(A2029,'Solicitações'!B:B,1,0)</f>
        <v>100240</v>
      </c>
      <c r="C2029" s="368">
        <f t="shared" si="4"/>
        <v>0</v>
      </c>
      <c r="E2029" s="362"/>
      <c r="F2029" s="275"/>
    </row>
    <row r="2030" hidden="1">
      <c r="A2030" s="193">
        <v>100241.0</v>
      </c>
      <c r="B2030" s="368">
        <f>VLOOKUP(A2030,'Solicitações'!B:B,1,0)</f>
        <v>100241</v>
      </c>
      <c r="C2030" s="368">
        <f t="shared" si="4"/>
        <v>0</v>
      </c>
      <c r="E2030" s="362"/>
      <c r="F2030" s="275"/>
    </row>
    <row r="2031">
      <c r="A2031" s="193">
        <v>100620.0</v>
      </c>
      <c r="B2031" s="368">
        <f>VLOOKUP(A2031,'Solicitações'!B:B,1,0)</f>
        <v>100620</v>
      </c>
      <c r="C2031" s="368">
        <f t="shared" si="4"/>
        <v>0</v>
      </c>
      <c r="E2031" s="362"/>
      <c r="F2031" s="275"/>
    </row>
    <row r="2032">
      <c r="A2032" s="193">
        <v>100640.0</v>
      </c>
      <c r="B2032" s="368">
        <f>VLOOKUP(A2032,'Solicitações'!B:B,1,0)</f>
        <v>100640</v>
      </c>
      <c r="C2032" s="368">
        <f t="shared" si="4"/>
        <v>0</v>
      </c>
      <c r="E2032" s="362"/>
      <c r="F2032" s="275"/>
    </row>
    <row r="2033">
      <c r="A2033" s="193">
        <v>100680.0</v>
      </c>
      <c r="B2033" s="368">
        <f>VLOOKUP(A2033,'Solicitações'!B:B,1,0)</f>
        <v>100680</v>
      </c>
      <c r="C2033" s="368">
        <f t="shared" si="4"/>
        <v>0</v>
      </c>
      <c r="E2033" s="362"/>
      <c r="F2033" s="275"/>
    </row>
    <row r="2034">
      <c r="A2034" s="193">
        <v>100681.0</v>
      </c>
      <c r="B2034" s="368">
        <f>VLOOKUP(A2034,'Solicitações'!B:B,1,0)</f>
        <v>100681</v>
      </c>
      <c r="C2034" s="368">
        <f t="shared" si="4"/>
        <v>0</v>
      </c>
      <c r="E2034" s="362"/>
      <c r="F2034" s="275"/>
    </row>
    <row r="2035">
      <c r="A2035" s="398"/>
      <c r="E2035" s="362"/>
      <c r="F2035" s="275"/>
    </row>
    <row r="2036">
      <c r="A2036" s="398"/>
      <c r="E2036" s="362"/>
      <c r="F2036" s="275"/>
    </row>
    <row r="2037">
      <c r="A2037" s="398"/>
      <c r="E2037" s="362"/>
      <c r="F2037" s="275"/>
    </row>
    <row r="2038">
      <c r="A2038" s="398"/>
      <c r="E2038" s="362"/>
      <c r="F2038" s="275"/>
    </row>
    <row r="2039">
      <c r="A2039" s="398"/>
      <c r="E2039" s="362"/>
      <c r="F2039" s="275"/>
    </row>
    <row r="2040">
      <c r="A2040" s="398"/>
      <c r="E2040" s="362"/>
      <c r="F2040" s="275"/>
    </row>
    <row r="2041">
      <c r="A2041" s="398"/>
      <c r="E2041" s="362"/>
      <c r="F2041" s="275"/>
    </row>
    <row r="2042">
      <c r="A2042" s="398"/>
      <c r="E2042" s="362"/>
      <c r="F2042" s="275"/>
    </row>
    <row r="2043">
      <c r="A2043" s="398"/>
      <c r="E2043" s="362"/>
      <c r="F2043" s="275"/>
    </row>
    <row r="2044">
      <c r="A2044" s="398"/>
      <c r="E2044" s="362"/>
      <c r="F2044" s="275"/>
    </row>
    <row r="2045">
      <c r="A2045" s="398"/>
      <c r="E2045" s="362"/>
      <c r="F2045" s="275"/>
    </row>
    <row r="2046">
      <c r="A2046" s="398"/>
      <c r="E2046" s="362"/>
      <c r="F2046" s="275"/>
    </row>
    <row r="2047">
      <c r="A2047" s="398"/>
      <c r="E2047" s="362"/>
      <c r="F2047" s="275"/>
    </row>
    <row r="2048">
      <c r="A2048" s="398"/>
      <c r="E2048" s="362"/>
      <c r="F2048" s="275"/>
    </row>
    <row r="2049">
      <c r="A2049" s="398"/>
      <c r="E2049" s="362"/>
      <c r="F2049" s="275"/>
    </row>
    <row r="2050">
      <c r="A2050" s="398"/>
      <c r="E2050" s="362"/>
      <c r="F2050" s="275"/>
    </row>
    <row r="2051">
      <c r="A2051" s="398"/>
      <c r="E2051" s="362"/>
      <c r="F2051" s="275"/>
    </row>
    <row r="2052">
      <c r="A2052" s="398"/>
      <c r="E2052" s="362"/>
      <c r="F2052" s="275"/>
    </row>
    <row r="2053">
      <c r="A2053" s="398"/>
      <c r="E2053" s="362"/>
      <c r="F2053" s="275"/>
    </row>
    <row r="2054">
      <c r="A2054" s="398"/>
      <c r="E2054" s="362"/>
      <c r="F2054" s="275"/>
    </row>
    <row r="2055">
      <c r="A2055" s="398"/>
      <c r="E2055" s="362"/>
      <c r="F2055" s="275"/>
    </row>
    <row r="2056">
      <c r="A2056" s="398"/>
      <c r="E2056" s="362"/>
      <c r="F2056" s="275"/>
    </row>
    <row r="2057">
      <c r="A2057" s="398"/>
      <c r="E2057" s="362"/>
      <c r="F2057" s="275"/>
    </row>
    <row r="2058">
      <c r="A2058" s="398"/>
      <c r="E2058" s="362"/>
      <c r="F2058" s="275"/>
    </row>
    <row r="2059">
      <c r="A2059" s="398"/>
      <c r="E2059" s="362"/>
      <c r="F2059" s="275"/>
    </row>
    <row r="2060">
      <c r="A2060" s="398"/>
      <c r="E2060" s="362"/>
      <c r="F2060" s="275"/>
    </row>
    <row r="2061">
      <c r="A2061" s="398"/>
      <c r="E2061" s="362"/>
      <c r="F2061" s="275"/>
    </row>
    <row r="2062">
      <c r="A2062" s="398"/>
      <c r="E2062" s="362"/>
      <c r="F2062" s="275"/>
    </row>
    <row r="2063">
      <c r="A2063" s="398"/>
      <c r="E2063" s="362"/>
      <c r="F2063" s="275"/>
    </row>
    <row r="2064">
      <c r="A2064" s="398"/>
      <c r="E2064" s="362"/>
      <c r="F2064" s="275"/>
    </row>
    <row r="2065">
      <c r="A2065" s="398"/>
      <c r="E2065" s="362"/>
      <c r="F2065" s="275"/>
    </row>
    <row r="2066">
      <c r="A2066" s="398"/>
      <c r="E2066" s="362"/>
      <c r="F2066" s="275"/>
    </row>
    <row r="2067">
      <c r="A2067" s="398"/>
      <c r="E2067" s="362"/>
      <c r="F2067" s="275"/>
    </row>
    <row r="2068">
      <c r="A2068" s="398"/>
      <c r="E2068" s="362"/>
      <c r="F2068" s="275"/>
    </row>
    <row r="2069">
      <c r="A2069" s="398"/>
      <c r="E2069" s="362"/>
      <c r="F2069" s="275"/>
    </row>
    <row r="2070">
      <c r="A2070" s="398"/>
      <c r="E2070" s="362"/>
      <c r="F2070" s="275"/>
    </row>
    <row r="2071">
      <c r="A2071" s="398"/>
      <c r="E2071" s="362"/>
      <c r="F2071" s="275"/>
    </row>
    <row r="2072">
      <c r="A2072" s="398"/>
      <c r="E2072" s="362"/>
      <c r="F2072" s="275"/>
    </row>
    <row r="2073">
      <c r="A2073" s="398"/>
      <c r="E2073" s="362"/>
      <c r="F2073" s="275"/>
    </row>
    <row r="2074">
      <c r="A2074" s="398"/>
      <c r="E2074" s="362"/>
      <c r="F2074" s="275"/>
    </row>
    <row r="2075">
      <c r="A2075" s="398"/>
      <c r="E2075" s="362"/>
      <c r="F2075" s="275"/>
    </row>
    <row r="2076">
      <c r="A2076" s="398"/>
      <c r="E2076" s="362"/>
      <c r="F2076" s="275"/>
    </row>
    <row r="2077">
      <c r="A2077" s="398"/>
      <c r="E2077" s="362"/>
      <c r="F2077" s="275"/>
    </row>
    <row r="2078">
      <c r="A2078" s="398"/>
      <c r="E2078" s="362"/>
      <c r="F2078" s="275"/>
    </row>
    <row r="2079">
      <c r="A2079" s="398"/>
      <c r="E2079" s="362"/>
      <c r="F2079" s="275"/>
    </row>
    <row r="2080">
      <c r="A2080" s="398"/>
      <c r="E2080" s="415"/>
      <c r="F2080" s="415"/>
    </row>
    <row r="2081">
      <c r="A2081" s="398"/>
      <c r="E2081" s="415"/>
      <c r="F2081" s="415"/>
    </row>
    <row r="2082">
      <c r="A2082" s="398"/>
      <c r="E2082" s="415"/>
      <c r="F2082" s="415"/>
    </row>
    <row r="2083">
      <c r="A2083" s="398"/>
      <c r="E2083" s="415"/>
      <c r="F2083" s="415"/>
    </row>
    <row r="2084">
      <c r="A2084" s="398"/>
      <c r="E2084" s="415"/>
      <c r="F2084" s="415"/>
    </row>
    <row r="2085">
      <c r="A2085" s="398"/>
      <c r="E2085" s="415"/>
      <c r="F2085" s="415"/>
    </row>
    <row r="2086">
      <c r="A2086" s="398"/>
      <c r="E2086" s="415"/>
      <c r="F2086" s="415"/>
    </row>
    <row r="2087">
      <c r="A2087" s="398"/>
      <c r="E2087" s="415"/>
      <c r="F2087" s="415"/>
    </row>
    <row r="2088">
      <c r="A2088" s="398"/>
      <c r="E2088" s="415"/>
      <c r="F2088" s="415"/>
    </row>
    <row r="2089">
      <c r="A2089" s="398"/>
      <c r="E2089" s="415"/>
      <c r="F2089" s="415"/>
    </row>
    <row r="2090">
      <c r="A2090" s="398"/>
      <c r="E2090" s="415"/>
      <c r="F2090" s="415"/>
    </row>
    <row r="2091">
      <c r="A2091" s="398"/>
      <c r="E2091" s="415"/>
      <c r="F2091" s="415"/>
    </row>
    <row r="2092">
      <c r="A2092" s="398"/>
      <c r="E2092" s="415"/>
      <c r="F2092" s="415"/>
    </row>
    <row r="2093">
      <c r="A2093" s="398"/>
      <c r="E2093" s="415"/>
      <c r="F2093" s="415"/>
    </row>
    <row r="2094">
      <c r="A2094" s="398"/>
      <c r="E2094" s="415"/>
      <c r="F2094" s="415"/>
    </row>
    <row r="2095">
      <c r="A2095" s="398"/>
      <c r="E2095" s="415"/>
      <c r="F2095" s="415"/>
    </row>
    <row r="2096">
      <c r="A2096" s="398"/>
      <c r="E2096" s="415"/>
      <c r="F2096" s="415"/>
    </row>
    <row r="2097">
      <c r="A2097" s="398"/>
      <c r="E2097" s="415"/>
      <c r="F2097" s="415"/>
    </row>
    <row r="2098">
      <c r="A2098" s="398"/>
      <c r="E2098" s="415"/>
      <c r="F2098" s="415"/>
    </row>
    <row r="2099">
      <c r="A2099" s="398"/>
      <c r="E2099" s="415"/>
      <c r="F2099" s="415"/>
    </row>
    <row r="2100">
      <c r="A2100" s="398"/>
      <c r="E2100" s="415"/>
      <c r="F2100" s="415"/>
    </row>
    <row r="2101">
      <c r="A2101" s="398"/>
      <c r="E2101" s="415"/>
      <c r="F2101" s="415"/>
    </row>
    <row r="2102">
      <c r="A2102" s="398"/>
      <c r="E2102" s="415"/>
      <c r="F2102" s="415"/>
    </row>
    <row r="2103">
      <c r="A2103" s="398"/>
      <c r="E2103" s="415"/>
      <c r="F2103" s="415"/>
    </row>
    <row r="2104">
      <c r="A2104" s="398"/>
      <c r="E2104" s="415"/>
      <c r="F2104" s="415"/>
    </row>
    <row r="2105">
      <c r="A2105" s="398"/>
      <c r="E2105" s="415"/>
      <c r="F2105" s="415"/>
    </row>
    <row r="2106">
      <c r="A2106" s="398"/>
      <c r="E2106" s="415"/>
      <c r="F2106" s="415"/>
    </row>
    <row r="2107">
      <c r="A2107" s="398"/>
      <c r="E2107" s="415"/>
      <c r="F2107" s="415"/>
    </row>
    <row r="2108">
      <c r="A2108" s="398"/>
      <c r="E2108" s="415"/>
      <c r="F2108" s="415"/>
    </row>
    <row r="2109">
      <c r="A2109" s="398"/>
      <c r="E2109" s="415"/>
      <c r="F2109" s="415"/>
    </row>
    <row r="2110">
      <c r="A2110" s="398"/>
      <c r="E2110" s="415"/>
      <c r="F2110" s="415"/>
    </row>
    <row r="2111">
      <c r="A2111" s="398"/>
      <c r="E2111" s="415"/>
      <c r="F2111" s="415"/>
    </row>
    <row r="2112">
      <c r="A2112" s="398"/>
      <c r="E2112" s="415"/>
      <c r="F2112" s="415"/>
    </row>
    <row r="2113">
      <c r="A2113" s="398"/>
      <c r="E2113" s="415"/>
      <c r="F2113" s="415"/>
    </row>
    <row r="2114">
      <c r="A2114" s="398"/>
      <c r="E2114" s="415"/>
      <c r="F2114" s="415"/>
    </row>
    <row r="2115">
      <c r="A2115" s="398"/>
      <c r="E2115" s="415"/>
      <c r="F2115" s="415"/>
    </row>
    <row r="2116">
      <c r="A2116" s="398"/>
      <c r="E2116" s="415"/>
      <c r="F2116" s="415"/>
    </row>
    <row r="2117">
      <c r="A2117" s="398"/>
      <c r="E2117" s="415"/>
      <c r="F2117" s="415"/>
    </row>
    <row r="2118">
      <c r="A2118" s="398"/>
      <c r="E2118" s="415"/>
      <c r="F2118" s="415"/>
    </row>
    <row r="2119">
      <c r="A2119" s="398"/>
      <c r="E2119" s="415"/>
      <c r="F2119" s="415"/>
    </row>
    <row r="2120">
      <c r="A2120" s="398"/>
      <c r="E2120" s="415"/>
      <c r="F2120" s="415"/>
    </row>
    <row r="2121">
      <c r="A2121" s="398"/>
      <c r="E2121" s="415"/>
      <c r="F2121" s="415"/>
    </row>
    <row r="2122">
      <c r="A2122" s="398"/>
      <c r="E2122" s="415"/>
      <c r="F2122" s="415"/>
    </row>
    <row r="2123">
      <c r="A2123" s="398"/>
      <c r="E2123" s="415"/>
      <c r="F2123" s="415"/>
    </row>
    <row r="2124">
      <c r="A2124" s="398"/>
      <c r="E2124" s="415"/>
      <c r="F2124" s="415"/>
    </row>
    <row r="2125">
      <c r="A2125" s="398"/>
      <c r="E2125" s="415"/>
      <c r="F2125" s="415"/>
    </row>
    <row r="2126">
      <c r="A2126" s="398"/>
      <c r="E2126" s="415"/>
      <c r="F2126" s="415"/>
    </row>
    <row r="2127">
      <c r="A2127" s="398"/>
      <c r="E2127" s="415"/>
      <c r="F2127" s="415"/>
    </row>
    <row r="2128">
      <c r="A2128" s="398"/>
      <c r="E2128" s="415"/>
      <c r="F2128" s="415"/>
    </row>
    <row r="2129">
      <c r="A2129" s="398"/>
      <c r="E2129" s="415"/>
      <c r="F2129" s="415"/>
    </row>
    <row r="2130">
      <c r="A2130" s="398"/>
      <c r="E2130" s="415"/>
      <c r="F2130" s="415"/>
    </row>
    <row r="2131">
      <c r="A2131" s="398"/>
      <c r="E2131" s="415"/>
      <c r="F2131" s="415"/>
    </row>
    <row r="2132">
      <c r="A2132" s="398"/>
      <c r="E2132" s="415"/>
      <c r="F2132" s="415"/>
    </row>
    <row r="2133">
      <c r="A2133" s="398"/>
      <c r="E2133" s="415"/>
      <c r="F2133" s="415"/>
    </row>
    <row r="2134">
      <c r="A2134" s="398"/>
      <c r="E2134" s="415"/>
      <c r="F2134" s="415"/>
    </row>
    <row r="2135">
      <c r="A2135" s="398"/>
      <c r="E2135" s="415"/>
      <c r="F2135" s="415"/>
    </row>
    <row r="2136">
      <c r="A2136" s="398"/>
      <c r="E2136" s="415"/>
      <c r="F2136" s="415"/>
    </row>
    <row r="2137">
      <c r="A2137" s="398"/>
      <c r="E2137" s="415"/>
      <c r="F2137" s="415"/>
    </row>
    <row r="2138">
      <c r="A2138" s="398"/>
      <c r="E2138" s="415"/>
      <c r="F2138" s="415"/>
    </row>
    <row r="2139">
      <c r="A2139" s="398"/>
      <c r="E2139" s="415"/>
      <c r="F2139" s="415"/>
    </row>
    <row r="2140">
      <c r="A2140" s="398"/>
      <c r="E2140" s="415"/>
      <c r="F2140" s="415"/>
    </row>
    <row r="2141">
      <c r="A2141" s="398"/>
      <c r="E2141" s="415"/>
      <c r="F2141" s="415"/>
    </row>
    <row r="2142">
      <c r="A2142" s="398"/>
      <c r="E2142" s="415"/>
      <c r="F2142" s="415"/>
    </row>
    <row r="2143">
      <c r="A2143" s="398"/>
      <c r="E2143" s="415"/>
      <c r="F2143" s="415"/>
    </row>
    <row r="2144">
      <c r="A2144" s="398"/>
      <c r="E2144" s="415"/>
      <c r="F2144" s="415"/>
    </row>
    <row r="2145">
      <c r="A2145" s="398"/>
      <c r="E2145" s="415"/>
      <c r="F2145" s="415"/>
    </row>
    <row r="2146">
      <c r="A2146" s="398"/>
      <c r="E2146" s="415"/>
      <c r="F2146" s="415"/>
    </row>
    <row r="2147">
      <c r="A2147" s="398"/>
      <c r="E2147" s="415"/>
      <c r="F2147" s="415"/>
    </row>
    <row r="2148">
      <c r="A2148" s="216"/>
      <c r="E2148" s="415"/>
      <c r="F2148" s="415"/>
    </row>
    <row r="2149">
      <c r="A2149" s="216"/>
      <c r="E2149" s="415"/>
      <c r="F2149" s="415"/>
    </row>
    <row r="2150">
      <c r="A2150" s="216"/>
      <c r="E2150" s="415"/>
      <c r="F2150" s="415"/>
    </row>
    <row r="2151">
      <c r="A2151" s="216"/>
      <c r="E2151" s="415"/>
      <c r="F2151" s="415"/>
    </row>
    <row r="2152">
      <c r="A2152" s="216"/>
      <c r="E2152" s="415"/>
      <c r="F2152" s="415"/>
    </row>
    <row r="2153">
      <c r="A2153" s="216"/>
      <c r="E2153" s="415"/>
      <c r="F2153" s="415"/>
    </row>
    <row r="2154">
      <c r="A2154" s="216"/>
      <c r="E2154" s="415"/>
      <c r="F2154" s="415"/>
    </row>
    <row r="2155">
      <c r="A2155" s="216"/>
      <c r="E2155" s="415"/>
      <c r="F2155" s="415"/>
    </row>
    <row r="2156">
      <c r="A2156" s="216"/>
      <c r="E2156" s="415"/>
      <c r="F2156" s="415"/>
    </row>
    <row r="2157">
      <c r="A2157" s="216"/>
      <c r="E2157" s="415"/>
      <c r="F2157" s="415"/>
    </row>
    <row r="2158">
      <c r="A2158" s="270"/>
      <c r="E2158" s="415"/>
      <c r="F2158" s="415"/>
    </row>
    <row r="2159">
      <c r="A2159" s="216"/>
      <c r="E2159" s="415"/>
      <c r="F2159" s="415"/>
    </row>
    <row r="2160">
      <c r="A2160" s="216"/>
      <c r="E2160" s="415"/>
      <c r="F2160" s="415"/>
    </row>
    <row r="2161">
      <c r="A2161" s="216"/>
      <c r="E2161" s="415"/>
      <c r="F2161" s="415"/>
    </row>
    <row r="2162">
      <c r="A2162" s="216"/>
      <c r="E2162" s="415"/>
      <c r="F2162" s="415"/>
    </row>
    <row r="2163">
      <c r="A2163" s="216"/>
      <c r="E2163" s="415"/>
      <c r="F2163" s="415"/>
    </row>
    <row r="2164">
      <c r="A2164" s="216"/>
      <c r="E2164" s="415"/>
      <c r="F2164" s="415"/>
    </row>
    <row r="2165">
      <c r="A2165" s="216"/>
      <c r="E2165" s="415"/>
      <c r="F2165" s="415"/>
    </row>
    <row r="2166">
      <c r="A2166" s="216"/>
      <c r="E2166" s="415"/>
      <c r="F2166" s="415"/>
    </row>
    <row r="2167">
      <c r="A2167" s="216"/>
      <c r="E2167" s="415"/>
      <c r="F2167" s="415"/>
    </row>
    <row r="2168">
      <c r="A2168" s="216"/>
      <c r="E2168" s="415"/>
      <c r="F2168" s="415"/>
    </row>
    <row r="2169">
      <c r="A2169" s="216"/>
      <c r="E2169" s="415"/>
      <c r="F2169" s="415"/>
    </row>
    <row r="2170">
      <c r="A2170" s="216"/>
      <c r="E2170" s="415"/>
      <c r="F2170" s="415"/>
    </row>
    <row r="2171">
      <c r="A2171" s="216"/>
      <c r="E2171" s="415"/>
      <c r="F2171" s="415"/>
    </row>
    <row r="2172">
      <c r="A2172" s="216"/>
      <c r="E2172" s="415"/>
      <c r="F2172" s="415"/>
    </row>
    <row r="2173">
      <c r="A2173" s="216"/>
      <c r="E2173" s="415"/>
      <c r="F2173" s="415"/>
    </row>
    <row r="2174">
      <c r="A2174" s="216"/>
      <c r="E2174" s="415"/>
      <c r="F2174" s="415"/>
    </row>
    <row r="2175">
      <c r="A2175" s="216"/>
      <c r="E2175" s="415"/>
      <c r="F2175" s="415"/>
    </row>
    <row r="2176">
      <c r="A2176" s="216"/>
      <c r="E2176" s="415"/>
      <c r="F2176" s="415"/>
    </row>
    <row r="2177">
      <c r="A2177" s="216"/>
      <c r="E2177" s="415"/>
      <c r="F2177" s="415"/>
    </row>
    <row r="2178">
      <c r="A2178" s="216"/>
      <c r="E2178" s="415"/>
      <c r="F2178" s="415"/>
    </row>
    <row r="2179">
      <c r="A2179" s="216"/>
      <c r="E2179" s="415"/>
      <c r="F2179" s="415"/>
    </row>
    <row r="2180">
      <c r="A2180" s="216"/>
      <c r="E2180" s="415"/>
      <c r="F2180" s="415"/>
    </row>
    <row r="2181">
      <c r="A2181" s="216"/>
      <c r="E2181" s="415"/>
      <c r="F2181" s="415"/>
    </row>
    <row r="2182">
      <c r="A2182" s="216"/>
      <c r="E2182" s="415"/>
      <c r="F2182" s="415"/>
    </row>
    <row r="2183">
      <c r="A2183" s="216"/>
      <c r="E2183" s="415"/>
      <c r="F2183" s="415"/>
    </row>
    <row r="2184">
      <c r="A2184" s="216"/>
      <c r="E2184" s="415"/>
      <c r="F2184" s="415"/>
    </row>
    <row r="2185">
      <c r="A2185" s="216"/>
      <c r="E2185" s="415"/>
      <c r="F2185" s="415"/>
    </row>
    <row r="2186">
      <c r="A2186" s="216"/>
      <c r="E2186" s="415"/>
      <c r="F2186" s="415"/>
    </row>
    <row r="2187">
      <c r="A2187" s="216"/>
      <c r="E2187" s="415"/>
      <c r="F2187" s="415"/>
    </row>
    <row r="2188">
      <c r="A2188" s="216"/>
      <c r="E2188" s="415"/>
      <c r="F2188" s="415"/>
    </row>
    <row r="2189">
      <c r="A2189" s="216"/>
      <c r="E2189" s="415"/>
      <c r="F2189" s="415"/>
    </row>
    <row r="2190">
      <c r="A2190" s="216"/>
      <c r="E2190" s="415"/>
      <c r="F2190" s="415"/>
    </row>
    <row r="2191">
      <c r="A2191" s="216"/>
      <c r="E2191" s="415"/>
      <c r="F2191" s="415"/>
    </row>
    <row r="2192">
      <c r="A2192" s="216"/>
      <c r="E2192" s="415"/>
      <c r="F2192" s="415"/>
    </row>
    <row r="2193">
      <c r="A2193" s="216"/>
      <c r="E2193" s="415"/>
      <c r="F2193" s="415"/>
    </row>
    <row r="2194">
      <c r="A2194" s="216"/>
      <c r="E2194" s="415"/>
      <c r="F2194" s="415"/>
    </row>
    <row r="2195">
      <c r="A2195" s="216"/>
      <c r="E2195" s="415"/>
      <c r="F2195" s="415"/>
    </row>
    <row r="2196">
      <c r="A2196" s="216"/>
      <c r="E2196" s="415"/>
      <c r="F2196" s="415"/>
    </row>
    <row r="2197">
      <c r="A2197" s="216"/>
      <c r="E2197" s="415"/>
      <c r="F2197" s="415"/>
    </row>
    <row r="2198">
      <c r="A2198" s="216"/>
      <c r="E2198" s="415"/>
      <c r="F2198" s="415"/>
    </row>
    <row r="2199">
      <c r="A2199" s="216"/>
      <c r="E2199" s="415"/>
      <c r="F2199" s="415"/>
    </row>
    <row r="2200">
      <c r="A2200" s="216"/>
      <c r="E2200" s="415"/>
      <c r="F2200" s="415"/>
    </row>
    <row r="2201">
      <c r="A2201" s="216"/>
      <c r="E2201" s="415"/>
      <c r="F2201" s="415"/>
    </row>
    <row r="2202">
      <c r="A2202" s="216"/>
      <c r="E2202" s="415"/>
      <c r="F2202" s="415"/>
    </row>
    <row r="2203">
      <c r="A2203" s="216"/>
      <c r="E2203" s="415"/>
      <c r="F2203" s="415"/>
    </row>
    <row r="2204">
      <c r="A2204" s="216"/>
      <c r="E2204" s="415"/>
      <c r="F2204" s="415"/>
    </row>
    <row r="2205">
      <c r="A2205" s="216"/>
      <c r="E2205" s="415"/>
      <c r="F2205" s="415"/>
    </row>
    <row r="2206">
      <c r="A2206" s="216"/>
      <c r="E2206" s="415"/>
      <c r="F2206" s="415"/>
    </row>
    <row r="2207">
      <c r="A2207" s="216"/>
      <c r="E2207" s="415"/>
      <c r="F2207" s="415"/>
    </row>
    <row r="2208">
      <c r="A2208" s="216"/>
      <c r="E2208" s="415"/>
      <c r="F2208" s="415"/>
    </row>
    <row r="2209">
      <c r="A2209" s="216"/>
      <c r="E2209" s="415"/>
      <c r="F2209" s="415"/>
    </row>
    <row r="2210">
      <c r="A2210" s="216"/>
      <c r="E2210" s="415"/>
      <c r="F2210" s="415"/>
    </row>
    <row r="2211">
      <c r="A2211" s="216"/>
      <c r="E2211" s="415"/>
      <c r="F2211" s="415"/>
    </row>
    <row r="2212">
      <c r="A2212" s="216"/>
      <c r="E2212" s="415"/>
      <c r="F2212" s="415"/>
    </row>
    <row r="2213">
      <c r="A2213" s="216"/>
      <c r="E2213" s="415"/>
      <c r="F2213" s="415"/>
    </row>
    <row r="2214">
      <c r="A2214" s="216"/>
      <c r="E2214" s="415"/>
      <c r="F2214" s="415"/>
    </row>
    <row r="2215">
      <c r="A2215" s="216"/>
      <c r="E2215" s="415"/>
      <c r="F2215" s="415"/>
    </row>
    <row r="2216">
      <c r="A2216" s="216"/>
      <c r="E2216" s="415"/>
      <c r="F2216" s="415"/>
    </row>
    <row r="2217">
      <c r="A2217" s="216"/>
      <c r="E2217" s="415"/>
      <c r="F2217" s="415"/>
    </row>
    <row r="2218">
      <c r="A2218" s="216"/>
      <c r="E2218" s="415"/>
      <c r="F2218" s="415"/>
    </row>
    <row r="2219">
      <c r="A2219" s="216"/>
      <c r="E2219" s="415"/>
      <c r="F2219" s="415"/>
    </row>
    <row r="2220">
      <c r="A2220" s="216"/>
      <c r="E2220" s="415"/>
      <c r="F2220" s="415"/>
    </row>
    <row r="2221">
      <c r="A2221" s="216"/>
      <c r="E2221" s="415"/>
      <c r="F2221" s="415"/>
    </row>
    <row r="2222">
      <c r="A2222" s="216"/>
      <c r="E2222" s="415"/>
      <c r="F2222" s="415"/>
    </row>
    <row r="2223">
      <c r="A2223" s="216"/>
      <c r="E2223" s="415"/>
      <c r="F2223" s="415"/>
    </row>
    <row r="2224">
      <c r="A2224" s="216"/>
      <c r="E2224" s="415"/>
      <c r="F2224" s="415"/>
    </row>
    <row r="2225">
      <c r="A2225" s="216"/>
      <c r="E2225" s="415"/>
      <c r="F2225" s="415"/>
    </row>
    <row r="2226">
      <c r="A2226" s="216"/>
      <c r="E2226" s="415"/>
      <c r="F2226" s="415"/>
    </row>
    <row r="2227">
      <c r="A2227" s="216"/>
      <c r="E2227" s="415"/>
      <c r="F2227" s="415"/>
    </row>
    <row r="2228">
      <c r="A2228" s="216"/>
      <c r="E2228" s="415"/>
      <c r="F2228" s="415"/>
    </row>
    <row r="2229">
      <c r="A2229" s="216"/>
      <c r="E2229" s="415"/>
      <c r="F2229" s="415"/>
    </row>
    <row r="2230">
      <c r="A2230" s="216"/>
      <c r="E2230" s="415"/>
      <c r="F2230" s="415"/>
    </row>
    <row r="2231">
      <c r="A2231" s="216"/>
      <c r="E2231" s="415"/>
      <c r="F2231" s="415"/>
    </row>
    <row r="2232">
      <c r="A2232" s="216"/>
      <c r="E2232" s="415"/>
      <c r="F2232" s="415"/>
    </row>
    <row r="2233">
      <c r="A2233" s="216"/>
      <c r="E2233" s="415"/>
      <c r="F2233" s="415"/>
    </row>
    <row r="2234">
      <c r="A2234" s="216"/>
      <c r="E2234" s="415"/>
      <c r="F2234" s="415"/>
    </row>
    <row r="2235">
      <c r="A2235" s="216"/>
      <c r="E2235" s="415"/>
      <c r="F2235" s="415"/>
    </row>
    <row r="2236">
      <c r="A2236" s="216"/>
      <c r="E2236" s="415"/>
      <c r="F2236" s="415"/>
    </row>
    <row r="2237">
      <c r="A2237" s="216"/>
      <c r="E2237" s="415"/>
      <c r="F2237" s="415"/>
    </row>
    <row r="2238">
      <c r="A2238" s="216"/>
      <c r="E2238" s="415"/>
      <c r="F2238" s="415"/>
    </row>
    <row r="2239">
      <c r="A2239" s="216"/>
      <c r="E2239" s="415"/>
      <c r="F2239" s="415"/>
    </row>
    <row r="2240">
      <c r="A2240" s="216"/>
      <c r="E2240" s="415"/>
      <c r="F2240" s="415"/>
    </row>
    <row r="2241">
      <c r="A2241" s="216"/>
      <c r="E2241" s="415"/>
      <c r="F2241" s="415"/>
    </row>
    <row r="2242">
      <c r="A2242" s="216"/>
      <c r="E2242" s="415"/>
      <c r="F2242" s="415"/>
    </row>
    <row r="2243">
      <c r="A2243" s="216"/>
      <c r="E2243" s="415"/>
      <c r="F2243" s="415"/>
    </row>
    <row r="2244">
      <c r="A2244" s="216"/>
      <c r="E2244" s="415"/>
      <c r="F2244" s="415"/>
    </row>
    <row r="2245">
      <c r="A2245" s="216"/>
      <c r="E2245" s="415"/>
      <c r="F2245" s="415"/>
    </row>
    <row r="2246">
      <c r="A2246" s="216"/>
      <c r="E2246" s="415"/>
      <c r="F2246" s="415"/>
    </row>
    <row r="2247">
      <c r="A2247" s="216"/>
      <c r="E2247" s="415"/>
      <c r="F2247" s="415"/>
    </row>
    <row r="2248">
      <c r="A2248" s="216"/>
      <c r="E2248" s="415"/>
      <c r="F2248" s="415"/>
    </row>
    <row r="2249">
      <c r="A2249" s="216"/>
      <c r="E2249" s="415"/>
      <c r="F2249" s="415"/>
    </row>
    <row r="2250">
      <c r="A2250" s="216"/>
      <c r="E2250" s="415"/>
      <c r="F2250" s="415"/>
    </row>
    <row r="2251">
      <c r="A2251" s="216"/>
      <c r="E2251" s="415"/>
      <c r="F2251" s="415"/>
    </row>
    <row r="2252">
      <c r="A2252" s="216"/>
      <c r="E2252" s="415"/>
      <c r="F2252" s="415"/>
    </row>
    <row r="2253">
      <c r="A2253" s="216"/>
      <c r="E2253" s="415"/>
      <c r="F2253" s="415"/>
    </row>
    <row r="2254">
      <c r="A2254" s="216"/>
      <c r="E2254" s="415"/>
      <c r="F2254" s="415"/>
    </row>
    <row r="2255">
      <c r="A2255" s="216"/>
      <c r="E2255" s="415"/>
      <c r="F2255" s="415"/>
    </row>
    <row r="2256">
      <c r="A2256" s="216"/>
      <c r="E2256" s="415"/>
      <c r="F2256" s="415"/>
    </row>
    <row r="2257">
      <c r="A2257" s="216"/>
      <c r="E2257" s="415"/>
      <c r="F2257" s="415"/>
    </row>
    <row r="2258">
      <c r="A2258" s="216"/>
      <c r="E2258" s="415"/>
      <c r="F2258" s="415"/>
    </row>
    <row r="2259">
      <c r="A2259" s="216"/>
      <c r="E2259" s="415"/>
      <c r="F2259" s="415"/>
    </row>
    <row r="2260">
      <c r="A2260" s="216"/>
      <c r="E2260" s="415"/>
      <c r="F2260" s="415"/>
    </row>
    <row r="2261">
      <c r="A2261" s="216"/>
      <c r="E2261" s="415"/>
      <c r="F2261" s="415"/>
    </row>
    <row r="2262">
      <c r="A2262" s="216"/>
      <c r="E2262" s="415"/>
      <c r="F2262" s="415"/>
    </row>
    <row r="2263">
      <c r="A2263" s="216"/>
      <c r="E2263" s="415"/>
      <c r="F2263" s="415"/>
    </row>
    <row r="2264">
      <c r="A2264" s="216"/>
      <c r="E2264" s="415"/>
      <c r="F2264" s="415"/>
    </row>
    <row r="2265">
      <c r="A2265" s="216"/>
      <c r="E2265" s="415"/>
      <c r="F2265" s="415"/>
    </row>
    <row r="2266">
      <c r="A2266" s="216"/>
      <c r="E2266" s="415"/>
      <c r="F2266" s="415"/>
    </row>
    <row r="2267">
      <c r="A2267" s="216"/>
      <c r="E2267" s="415"/>
      <c r="F2267" s="415"/>
    </row>
    <row r="2268">
      <c r="A2268" s="216"/>
      <c r="E2268" s="415"/>
      <c r="F2268" s="415"/>
    </row>
    <row r="2269">
      <c r="A2269" s="216"/>
      <c r="E2269" s="415"/>
      <c r="F2269" s="415"/>
    </row>
    <row r="2270">
      <c r="A2270" s="216"/>
      <c r="E2270" s="415"/>
      <c r="F2270" s="415"/>
    </row>
    <row r="2271">
      <c r="A2271" s="216"/>
      <c r="E2271" s="415"/>
      <c r="F2271" s="415"/>
    </row>
    <row r="2272">
      <c r="A2272" s="216"/>
      <c r="E2272" s="415"/>
      <c r="F2272" s="415"/>
    </row>
    <row r="2273">
      <c r="A2273" s="216"/>
      <c r="E2273" s="415"/>
      <c r="F2273" s="415"/>
    </row>
    <row r="2274">
      <c r="A2274" s="216"/>
      <c r="E2274" s="415"/>
      <c r="F2274" s="415"/>
    </row>
    <row r="2275">
      <c r="A2275" s="216"/>
      <c r="E2275" s="415"/>
      <c r="F2275" s="415"/>
    </row>
    <row r="2276">
      <c r="A2276" s="216"/>
      <c r="E2276" s="415"/>
      <c r="F2276" s="415"/>
    </row>
    <row r="2277">
      <c r="A2277" s="216"/>
      <c r="E2277" s="415"/>
      <c r="F2277" s="415"/>
    </row>
    <row r="2278">
      <c r="A2278" s="216"/>
      <c r="E2278" s="415"/>
      <c r="F2278" s="415"/>
    </row>
    <row r="2279">
      <c r="A2279" s="216"/>
      <c r="E2279" s="415"/>
      <c r="F2279" s="415"/>
    </row>
    <row r="2280">
      <c r="A2280" s="216"/>
      <c r="E2280" s="415"/>
      <c r="F2280" s="415"/>
    </row>
    <row r="2281">
      <c r="A2281" s="216"/>
      <c r="E2281" s="415"/>
      <c r="F2281" s="415"/>
    </row>
    <row r="2282">
      <c r="A2282" s="216"/>
      <c r="E2282" s="415"/>
      <c r="F2282" s="415"/>
    </row>
    <row r="2283">
      <c r="A2283" s="216"/>
      <c r="E2283" s="415"/>
      <c r="F2283" s="415"/>
    </row>
    <row r="2284">
      <c r="A2284" s="216"/>
      <c r="E2284" s="415"/>
      <c r="F2284" s="415"/>
    </row>
    <row r="2285">
      <c r="A2285" s="216"/>
      <c r="E2285" s="415"/>
      <c r="F2285" s="415"/>
    </row>
    <row r="2286">
      <c r="A2286" s="216"/>
      <c r="E2286" s="415"/>
      <c r="F2286" s="415"/>
    </row>
    <row r="2287">
      <c r="A2287" s="216"/>
      <c r="E2287" s="415"/>
      <c r="F2287" s="415"/>
    </row>
    <row r="2288">
      <c r="A2288" s="216"/>
      <c r="E2288" s="415"/>
      <c r="F2288" s="415"/>
    </row>
    <row r="2289">
      <c r="A2289" s="216"/>
      <c r="E2289" s="415"/>
      <c r="F2289" s="415"/>
    </row>
    <row r="2290">
      <c r="A2290" s="216"/>
      <c r="E2290" s="415"/>
      <c r="F2290" s="415"/>
    </row>
    <row r="2291">
      <c r="A2291" s="216"/>
      <c r="E2291" s="415"/>
      <c r="F2291" s="415"/>
    </row>
    <row r="2292">
      <c r="A2292" s="216"/>
      <c r="E2292" s="415"/>
      <c r="F2292" s="415"/>
    </row>
    <row r="2293">
      <c r="A2293" s="216"/>
      <c r="E2293" s="415"/>
      <c r="F2293" s="415"/>
    </row>
    <row r="2294">
      <c r="A2294" s="216"/>
      <c r="E2294" s="415"/>
      <c r="F2294" s="415"/>
    </row>
    <row r="2295">
      <c r="A2295" s="216"/>
      <c r="E2295" s="415"/>
      <c r="F2295" s="415"/>
    </row>
    <row r="2296">
      <c r="A2296" s="216"/>
      <c r="E2296" s="415"/>
      <c r="F2296" s="415"/>
    </row>
    <row r="2297">
      <c r="A2297" s="216"/>
      <c r="E2297" s="415"/>
      <c r="F2297" s="415"/>
    </row>
    <row r="2298">
      <c r="A2298" s="216"/>
      <c r="E2298" s="415"/>
      <c r="F2298" s="415"/>
    </row>
    <row r="2299">
      <c r="A2299" s="216"/>
      <c r="E2299" s="415"/>
      <c r="F2299" s="415"/>
    </row>
    <row r="2300">
      <c r="A2300" s="216"/>
      <c r="E2300" s="415"/>
      <c r="F2300" s="415"/>
    </row>
    <row r="2301">
      <c r="A2301" s="216"/>
      <c r="E2301" s="415"/>
      <c r="F2301" s="415"/>
    </row>
    <row r="2302">
      <c r="A2302" s="216"/>
      <c r="E2302" s="415"/>
      <c r="F2302" s="415"/>
    </row>
    <row r="2303">
      <c r="A2303" s="216"/>
      <c r="E2303" s="415"/>
      <c r="F2303" s="415"/>
    </row>
    <row r="2304">
      <c r="A2304" s="216"/>
      <c r="E2304" s="415"/>
      <c r="F2304" s="415"/>
    </row>
    <row r="2305">
      <c r="A2305" s="216"/>
      <c r="E2305" s="415"/>
      <c r="F2305" s="415"/>
    </row>
    <row r="2306">
      <c r="A2306" s="216"/>
      <c r="E2306" s="415"/>
      <c r="F2306" s="415"/>
    </row>
    <row r="2307">
      <c r="A2307" s="216"/>
      <c r="E2307" s="415"/>
      <c r="F2307" s="415"/>
    </row>
    <row r="2308">
      <c r="A2308" s="216"/>
      <c r="E2308" s="415"/>
      <c r="F2308" s="415"/>
    </row>
    <row r="2309">
      <c r="A2309" s="216"/>
      <c r="E2309" s="415"/>
      <c r="F2309" s="415"/>
    </row>
    <row r="2310">
      <c r="A2310" s="216"/>
      <c r="E2310" s="415"/>
      <c r="F2310" s="415"/>
    </row>
    <row r="2311">
      <c r="A2311" s="216"/>
      <c r="E2311" s="415"/>
      <c r="F2311" s="415"/>
    </row>
    <row r="2312">
      <c r="A2312" s="216"/>
      <c r="E2312" s="415"/>
      <c r="F2312" s="415"/>
    </row>
    <row r="2313">
      <c r="A2313" s="216"/>
      <c r="E2313" s="415"/>
      <c r="F2313" s="415"/>
    </row>
    <row r="2314">
      <c r="A2314" s="216"/>
      <c r="E2314" s="415"/>
      <c r="F2314" s="415"/>
    </row>
    <row r="2315">
      <c r="A2315" s="216"/>
      <c r="E2315" s="415"/>
      <c r="F2315" s="415"/>
    </row>
    <row r="2316">
      <c r="A2316" s="216"/>
      <c r="E2316" s="415"/>
      <c r="F2316" s="415"/>
    </row>
    <row r="2317">
      <c r="A2317" s="216"/>
      <c r="E2317" s="415"/>
      <c r="F2317" s="415"/>
    </row>
    <row r="2318">
      <c r="A2318" s="216"/>
      <c r="E2318" s="415"/>
      <c r="F2318" s="415"/>
    </row>
    <row r="2319">
      <c r="A2319" s="216"/>
      <c r="E2319" s="415"/>
      <c r="F2319" s="415"/>
    </row>
    <row r="2320">
      <c r="A2320" s="216"/>
      <c r="E2320" s="415"/>
      <c r="F2320" s="415"/>
    </row>
    <row r="2321">
      <c r="A2321" s="216"/>
      <c r="E2321" s="415"/>
      <c r="F2321" s="415"/>
    </row>
    <row r="2322">
      <c r="A2322" s="216"/>
      <c r="E2322" s="415"/>
      <c r="F2322" s="415"/>
    </row>
    <row r="2323">
      <c r="A2323" s="216"/>
      <c r="E2323" s="415"/>
      <c r="F2323" s="415"/>
    </row>
    <row r="2324">
      <c r="A2324" s="216"/>
      <c r="E2324" s="415"/>
      <c r="F2324" s="415"/>
    </row>
    <row r="2325">
      <c r="A2325" s="216"/>
      <c r="E2325" s="415"/>
      <c r="F2325" s="415"/>
    </row>
    <row r="2326">
      <c r="A2326" s="216"/>
      <c r="E2326" s="415"/>
      <c r="F2326" s="415"/>
    </row>
    <row r="2327">
      <c r="A2327" s="216"/>
      <c r="E2327" s="415"/>
      <c r="F2327" s="415"/>
    </row>
    <row r="2328">
      <c r="A2328" s="216"/>
      <c r="E2328" s="415"/>
      <c r="F2328" s="415"/>
    </row>
    <row r="2329">
      <c r="A2329" s="216"/>
      <c r="E2329" s="415"/>
      <c r="F2329" s="415"/>
    </row>
    <row r="2330">
      <c r="A2330" s="216"/>
      <c r="E2330" s="415"/>
      <c r="F2330" s="415"/>
    </row>
    <row r="2331">
      <c r="A2331" s="216"/>
      <c r="E2331" s="415"/>
      <c r="F2331" s="415"/>
    </row>
    <row r="2332">
      <c r="A2332" s="216"/>
      <c r="E2332" s="415"/>
      <c r="F2332" s="415"/>
    </row>
    <row r="2333">
      <c r="A2333" s="216"/>
      <c r="E2333" s="415"/>
      <c r="F2333" s="415"/>
    </row>
    <row r="2334">
      <c r="A2334" s="216"/>
      <c r="E2334" s="415"/>
      <c r="F2334" s="415"/>
    </row>
    <row r="2335">
      <c r="A2335" s="216"/>
      <c r="E2335" s="415"/>
      <c r="F2335" s="415"/>
    </row>
    <row r="2336">
      <c r="A2336" s="216"/>
      <c r="E2336" s="415"/>
      <c r="F2336" s="415"/>
    </row>
    <row r="2337">
      <c r="A2337" s="216"/>
      <c r="E2337" s="415"/>
      <c r="F2337" s="415"/>
    </row>
    <row r="2338">
      <c r="A2338" s="216"/>
      <c r="E2338" s="415"/>
      <c r="F2338" s="415"/>
    </row>
    <row r="2339">
      <c r="A2339" s="216"/>
      <c r="E2339" s="415"/>
      <c r="F2339" s="415"/>
    </row>
    <row r="2340">
      <c r="A2340" s="216"/>
      <c r="E2340" s="415"/>
      <c r="F2340" s="415"/>
    </row>
    <row r="2341">
      <c r="A2341" s="216"/>
      <c r="E2341" s="415"/>
      <c r="F2341" s="415"/>
    </row>
    <row r="2342">
      <c r="A2342" s="216"/>
      <c r="E2342" s="415"/>
      <c r="F2342" s="415"/>
    </row>
    <row r="2343">
      <c r="A2343" s="216"/>
      <c r="E2343" s="415"/>
      <c r="F2343" s="415"/>
    </row>
    <row r="2344">
      <c r="A2344" s="216"/>
      <c r="E2344" s="415"/>
      <c r="F2344" s="415"/>
    </row>
    <row r="2345">
      <c r="A2345" s="216"/>
      <c r="E2345" s="415"/>
      <c r="F2345" s="415"/>
    </row>
    <row r="2346">
      <c r="A2346" s="216"/>
      <c r="E2346" s="415"/>
      <c r="F2346" s="415"/>
    </row>
    <row r="2347">
      <c r="A2347" s="216"/>
      <c r="E2347" s="415"/>
      <c r="F2347" s="415"/>
    </row>
    <row r="2348">
      <c r="A2348" s="216"/>
      <c r="E2348" s="415"/>
      <c r="F2348" s="415"/>
    </row>
    <row r="2349">
      <c r="A2349" s="216"/>
      <c r="E2349" s="415"/>
      <c r="F2349" s="415"/>
    </row>
    <row r="2350">
      <c r="A2350" s="216"/>
      <c r="E2350" s="415"/>
      <c r="F2350" s="415"/>
    </row>
    <row r="2351">
      <c r="A2351" s="216"/>
      <c r="E2351" s="415"/>
      <c r="F2351" s="415"/>
    </row>
    <row r="2352">
      <c r="A2352" s="216"/>
      <c r="E2352" s="415"/>
      <c r="F2352" s="415"/>
    </row>
    <row r="2353">
      <c r="A2353" s="216"/>
      <c r="E2353" s="415"/>
      <c r="F2353" s="415"/>
    </row>
    <row r="2354">
      <c r="A2354" s="216"/>
      <c r="E2354" s="415"/>
      <c r="F2354" s="415"/>
    </row>
    <row r="2355">
      <c r="A2355" s="216"/>
      <c r="E2355" s="415"/>
      <c r="F2355" s="415"/>
    </row>
    <row r="2356">
      <c r="A2356" s="216"/>
      <c r="E2356" s="415"/>
      <c r="F2356" s="415"/>
    </row>
    <row r="2357">
      <c r="A2357" s="216"/>
      <c r="E2357" s="415"/>
      <c r="F2357" s="415"/>
    </row>
    <row r="2358">
      <c r="A2358" s="216"/>
      <c r="E2358" s="415"/>
      <c r="F2358" s="415"/>
    </row>
    <row r="2359">
      <c r="A2359" s="216"/>
      <c r="E2359" s="415"/>
      <c r="F2359" s="415"/>
    </row>
    <row r="2360">
      <c r="A2360" s="216"/>
      <c r="E2360" s="415"/>
      <c r="F2360" s="415"/>
    </row>
    <row r="2361">
      <c r="A2361" s="216"/>
      <c r="E2361" s="415"/>
      <c r="F2361" s="415"/>
    </row>
    <row r="2362">
      <c r="A2362" s="216"/>
      <c r="E2362" s="415"/>
      <c r="F2362" s="415"/>
    </row>
    <row r="2363">
      <c r="A2363" s="216"/>
      <c r="E2363" s="415"/>
      <c r="F2363" s="415"/>
    </row>
    <row r="2364">
      <c r="A2364" s="216"/>
      <c r="E2364" s="415"/>
      <c r="F2364" s="415"/>
    </row>
    <row r="2365">
      <c r="A2365" s="216"/>
      <c r="E2365" s="415"/>
      <c r="F2365" s="415"/>
    </row>
    <row r="2366">
      <c r="A2366" s="216"/>
      <c r="E2366" s="415"/>
      <c r="F2366" s="415"/>
    </row>
    <row r="2367">
      <c r="A2367" s="216"/>
      <c r="E2367" s="415"/>
      <c r="F2367" s="415"/>
    </row>
    <row r="2368">
      <c r="A2368" s="216"/>
      <c r="E2368" s="415"/>
      <c r="F2368" s="415"/>
    </row>
    <row r="2369">
      <c r="A2369" s="216"/>
      <c r="E2369" s="415"/>
      <c r="F2369" s="415"/>
    </row>
    <row r="2370">
      <c r="A2370" s="216"/>
      <c r="E2370" s="415"/>
      <c r="F2370" s="415"/>
    </row>
    <row r="2371">
      <c r="A2371" s="216"/>
      <c r="E2371" s="415"/>
      <c r="F2371" s="415"/>
    </row>
    <row r="2372">
      <c r="A2372" s="216"/>
      <c r="E2372" s="415"/>
      <c r="F2372" s="415"/>
    </row>
    <row r="2373">
      <c r="A2373" s="216"/>
      <c r="E2373" s="415"/>
      <c r="F2373" s="415"/>
    </row>
    <row r="2374">
      <c r="A2374" s="216"/>
      <c r="E2374" s="415"/>
      <c r="F2374" s="415"/>
    </row>
    <row r="2375">
      <c r="A2375" s="216"/>
      <c r="E2375" s="415"/>
      <c r="F2375" s="415"/>
    </row>
    <row r="2376">
      <c r="A2376" s="216"/>
      <c r="E2376" s="415"/>
      <c r="F2376" s="415"/>
    </row>
    <row r="2377">
      <c r="A2377" s="216"/>
      <c r="E2377" s="415"/>
      <c r="F2377" s="415"/>
    </row>
    <row r="2378">
      <c r="A2378" s="216"/>
      <c r="E2378" s="415"/>
      <c r="F2378" s="415"/>
    </row>
    <row r="2379">
      <c r="A2379" s="216"/>
      <c r="E2379" s="415"/>
      <c r="F2379" s="415"/>
    </row>
    <row r="2380">
      <c r="A2380" s="216"/>
      <c r="E2380" s="415"/>
      <c r="F2380" s="415"/>
    </row>
    <row r="2381">
      <c r="A2381" s="216"/>
      <c r="E2381" s="415"/>
      <c r="F2381" s="415"/>
    </row>
    <row r="2382">
      <c r="A2382" s="216"/>
      <c r="E2382" s="415"/>
      <c r="F2382" s="415"/>
    </row>
    <row r="2383">
      <c r="A2383" s="216"/>
      <c r="E2383" s="415"/>
      <c r="F2383" s="415"/>
    </row>
    <row r="2384">
      <c r="A2384" s="216"/>
      <c r="E2384" s="415"/>
      <c r="F2384" s="415"/>
    </row>
    <row r="2385">
      <c r="A2385" s="216"/>
      <c r="E2385" s="415"/>
      <c r="F2385" s="415"/>
    </row>
    <row r="2386">
      <c r="A2386" s="216"/>
      <c r="E2386" s="415"/>
      <c r="F2386" s="415"/>
    </row>
    <row r="2387">
      <c r="A2387" s="216"/>
      <c r="E2387" s="415"/>
      <c r="F2387" s="415"/>
    </row>
    <row r="2388">
      <c r="A2388" s="216"/>
      <c r="E2388" s="415"/>
      <c r="F2388" s="415"/>
    </row>
    <row r="2389">
      <c r="A2389" s="216"/>
      <c r="E2389" s="415"/>
      <c r="F2389" s="415"/>
    </row>
    <row r="2390">
      <c r="A2390" s="216"/>
      <c r="E2390" s="415"/>
      <c r="F2390" s="415"/>
    </row>
    <row r="2391">
      <c r="A2391" s="216"/>
      <c r="E2391" s="415"/>
      <c r="F2391" s="415"/>
    </row>
    <row r="2392">
      <c r="A2392" s="216"/>
      <c r="E2392" s="415"/>
      <c r="F2392" s="415"/>
    </row>
    <row r="2393">
      <c r="A2393" s="216"/>
      <c r="E2393" s="415"/>
      <c r="F2393" s="415"/>
    </row>
    <row r="2394">
      <c r="A2394" s="216"/>
      <c r="E2394" s="415"/>
      <c r="F2394" s="415"/>
    </row>
    <row r="2395">
      <c r="A2395" s="216"/>
      <c r="E2395" s="415"/>
      <c r="F2395" s="415"/>
    </row>
    <row r="2396">
      <c r="A2396" s="216"/>
      <c r="E2396" s="415"/>
      <c r="F2396" s="415"/>
    </row>
    <row r="2397">
      <c r="A2397" s="216"/>
      <c r="E2397" s="415"/>
      <c r="F2397" s="415"/>
    </row>
    <row r="2398">
      <c r="A2398" s="216"/>
      <c r="E2398" s="415"/>
      <c r="F2398" s="415"/>
    </row>
    <row r="2399">
      <c r="A2399" s="216"/>
      <c r="E2399" s="415"/>
      <c r="F2399" s="415"/>
    </row>
    <row r="2400">
      <c r="A2400" s="216"/>
      <c r="E2400" s="415"/>
      <c r="F2400" s="415"/>
    </row>
    <row r="2401">
      <c r="A2401" s="216"/>
      <c r="E2401" s="415"/>
      <c r="F2401" s="415"/>
    </row>
    <row r="2402">
      <c r="A2402" s="216"/>
      <c r="E2402" s="415"/>
      <c r="F2402" s="415"/>
    </row>
    <row r="2403">
      <c r="A2403" s="216"/>
      <c r="E2403" s="415"/>
      <c r="F2403" s="415"/>
    </row>
    <row r="2404">
      <c r="A2404" s="216"/>
      <c r="E2404" s="415"/>
      <c r="F2404" s="415"/>
    </row>
    <row r="2405">
      <c r="A2405" s="216"/>
      <c r="E2405" s="415"/>
      <c r="F2405" s="415"/>
    </row>
    <row r="2406">
      <c r="A2406" s="216"/>
      <c r="E2406" s="415"/>
      <c r="F2406" s="415"/>
    </row>
    <row r="2407">
      <c r="A2407" s="216"/>
      <c r="E2407" s="415"/>
      <c r="F2407" s="415"/>
    </row>
    <row r="2408">
      <c r="A2408" s="216"/>
      <c r="E2408" s="415"/>
      <c r="F2408" s="415"/>
    </row>
    <row r="2409">
      <c r="A2409" s="216"/>
      <c r="E2409" s="415"/>
      <c r="F2409" s="415"/>
    </row>
    <row r="2410">
      <c r="A2410" s="216"/>
      <c r="E2410" s="415"/>
      <c r="F2410" s="415"/>
    </row>
    <row r="2411">
      <c r="A2411" s="216"/>
      <c r="E2411" s="415"/>
      <c r="F2411" s="415"/>
    </row>
    <row r="2412">
      <c r="A2412" s="216"/>
      <c r="E2412" s="415"/>
      <c r="F2412" s="415"/>
    </row>
    <row r="2413">
      <c r="A2413" s="216"/>
      <c r="E2413" s="415"/>
      <c r="F2413" s="415"/>
    </row>
    <row r="2414">
      <c r="A2414" s="216"/>
      <c r="E2414" s="415"/>
      <c r="F2414" s="415"/>
    </row>
    <row r="2415">
      <c r="A2415" s="216"/>
      <c r="E2415" s="415"/>
      <c r="F2415" s="415"/>
    </row>
    <row r="2416">
      <c r="A2416" s="216"/>
      <c r="E2416" s="415"/>
      <c r="F2416" s="415"/>
    </row>
    <row r="2417">
      <c r="A2417" s="216"/>
      <c r="E2417" s="415"/>
      <c r="F2417" s="415"/>
    </row>
    <row r="2418">
      <c r="A2418" s="216"/>
      <c r="E2418" s="415"/>
      <c r="F2418" s="415"/>
    </row>
    <row r="2419">
      <c r="A2419" s="216"/>
      <c r="E2419" s="415"/>
      <c r="F2419" s="415"/>
    </row>
    <row r="2420">
      <c r="A2420" s="216"/>
      <c r="E2420" s="415"/>
      <c r="F2420" s="415"/>
    </row>
    <row r="2421">
      <c r="A2421" s="216"/>
      <c r="E2421" s="415"/>
      <c r="F2421" s="415"/>
    </row>
    <row r="2422">
      <c r="A2422" s="216"/>
      <c r="E2422" s="415"/>
      <c r="F2422" s="415"/>
    </row>
    <row r="2423">
      <c r="A2423" s="216"/>
      <c r="E2423" s="415"/>
      <c r="F2423" s="415"/>
    </row>
    <row r="2424">
      <c r="A2424" s="216"/>
      <c r="E2424" s="415"/>
      <c r="F2424" s="415"/>
    </row>
    <row r="2425">
      <c r="A2425" s="216"/>
      <c r="E2425" s="415"/>
      <c r="F2425" s="415"/>
    </row>
    <row r="2426">
      <c r="A2426" s="216"/>
      <c r="E2426" s="415"/>
      <c r="F2426" s="415"/>
    </row>
    <row r="2427">
      <c r="A2427" s="216"/>
      <c r="E2427" s="415"/>
      <c r="F2427" s="415"/>
    </row>
    <row r="2428">
      <c r="A2428" s="216"/>
      <c r="E2428" s="415"/>
      <c r="F2428" s="415"/>
    </row>
    <row r="2429">
      <c r="A2429" s="216"/>
      <c r="E2429" s="415"/>
      <c r="F2429" s="415"/>
    </row>
    <row r="2430">
      <c r="A2430" s="216"/>
      <c r="E2430" s="415"/>
      <c r="F2430" s="415"/>
    </row>
    <row r="2431">
      <c r="A2431" s="216"/>
      <c r="E2431" s="415"/>
      <c r="F2431" s="415"/>
    </row>
    <row r="2432">
      <c r="A2432" s="216"/>
      <c r="E2432" s="415"/>
      <c r="F2432" s="415"/>
    </row>
    <row r="2433">
      <c r="A2433" s="216"/>
      <c r="E2433" s="415"/>
      <c r="F2433" s="415"/>
    </row>
    <row r="2434">
      <c r="A2434" s="216"/>
      <c r="E2434" s="415"/>
      <c r="F2434" s="415"/>
    </row>
    <row r="2435">
      <c r="A2435" s="216"/>
      <c r="E2435" s="415"/>
      <c r="F2435" s="415"/>
    </row>
    <row r="2436">
      <c r="A2436" s="216"/>
      <c r="E2436" s="415"/>
      <c r="F2436" s="415"/>
    </row>
    <row r="2437">
      <c r="A2437" s="216"/>
      <c r="E2437" s="415"/>
      <c r="F2437" s="415"/>
    </row>
    <row r="2438">
      <c r="A2438" s="216"/>
      <c r="E2438" s="415"/>
      <c r="F2438" s="415"/>
    </row>
    <row r="2439">
      <c r="A2439" s="216"/>
      <c r="E2439" s="415"/>
      <c r="F2439" s="415"/>
    </row>
    <row r="2440">
      <c r="A2440" s="216"/>
      <c r="E2440" s="415"/>
      <c r="F2440" s="415"/>
    </row>
    <row r="2441">
      <c r="A2441" s="216"/>
      <c r="E2441" s="415"/>
      <c r="F2441" s="415"/>
    </row>
    <row r="2442">
      <c r="A2442" s="216"/>
      <c r="E2442" s="415"/>
      <c r="F2442" s="415"/>
    </row>
    <row r="2443">
      <c r="A2443" s="216"/>
      <c r="E2443" s="415"/>
      <c r="F2443" s="415"/>
    </row>
    <row r="2444">
      <c r="A2444" s="216"/>
      <c r="E2444" s="415"/>
      <c r="F2444" s="415"/>
    </row>
    <row r="2445">
      <c r="A2445" s="216"/>
      <c r="E2445" s="415"/>
      <c r="F2445" s="415"/>
    </row>
    <row r="2446">
      <c r="A2446" s="216"/>
      <c r="E2446" s="415"/>
      <c r="F2446" s="415"/>
    </row>
    <row r="2447">
      <c r="A2447" s="216"/>
      <c r="E2447" s="415"/>
      <c r="F2447" s="415"/>
    </row>
    <row r="2448">
      <c r="A2448" s="216"/>
      <c r="E2448" s="415"/>
      <c r="F2448" s="415"/>
    </row>
    <row r="2449">
      <c r="A2449" s="216"/>
      <c r="E2449" s="415"/>
      <c r="F2449" s="415"/>
    </row>
    <row r="2450">
      <c r="A2450" s="216"/>
      <c r="E2450" s="415"/>
      <c r="F2450" s="415"/>
    </row>
    <row r="2451">
      <c r="A2451" s="216"/>
      <c r="E2451" s="415"/>
      <c r="F2451" s="415"/>
    </row>
    <row r="2452">
      <c r="A2452" s="216"/>
      <c r="E2452" s="415"/>
      <c r="F2452" s="415"/>
    </row>
    <row r="2453">
      <c r="A2453" s="216"/>
      <c r="E2453" s="415"/>
      <c r="F2453" s="415"/>
    </row>
    <row r="2454">
      <c r="A2454" s="216"/>
      <c r="E2454" s="415"/>
      <c r="F2454" s="415"/>
    </row>
    <row r="2455">
      <c r="A2455" s="216"/>
      <c r="E2455" s="415"/>
      <c r="F2455" s="415"/>
    </row>
    <row r="2456">
      <c r="A2456" s="216"/>
      <c r="E2456" s="415"/>
      <c r="F2456" s="415"/>
    </row>
    <row r="2457">
      <c r="A2457" s="216"/>
      <c r="E2457" s="415"/>
      <c r="F2457" s="415"/>
    </row>
    <row r="2458">
      <c r="A2458" s="216"/>
      <c r="E2458" s="415"/>
      <c r="F2458" s="415"/>
    </row>
    <row r="2459">
      <c r="A2459" s="216"/>
      <c r="E2459" s="415"/>
      <c r="F2459" s="415"/>
    </row>
    <row r="2460">
      <c r="A2460" s="216"/>
      <c r="E2460" s="415"/>
      <c r="F2460" s="415"/>
    </row>
    <row r="2461">
      <c r="A2461" s="216"/>
      <c r="E2461" s="415"/>
      <c r="F2461" s="415"/>
    </row>
    <row r="2462">
      <c r="A2462" s="216"/>
      <c r="E2462" s="415"/>
      <c r="F2462" s="415"/>
    </row>
    <row r="2463">
      <c r="A2463" s="216"/>
      <c r="E2463" s="415"/>
      <c r="F2463" s="415"/>
    </row>
    <row r="2464">
      <c r="A2464" s="216"/>
      <c r="E2464" s="415"/>
      <c r="F2464" s="415"/>
    </row>
    <row r="2465">
      <c r="A2465" s="216"/>
      <c r="E2465" s="415"/>
      <c r="F2465" s="415"/>
    </row>
    <row r="2466">
      <c r="A2466" s="216"/>
      <c r="E2466" s="415"/>
      <c r="F2466" s="415"/>
    </row>
    <row r="2467">
      <c r="A2467" s="216"/>
      <c r="E2467" s="415"/>
      <c r="F2467" s="415"/>
    </row>
    <row r="2468">
      <c r="A2468" s="216"/>
      <c r="E2468" s="415"/>
      <c r="F2468" s="415"/>
    </row>
    <row r="2469">
      <c r="A2469" s="216"/>
      <c r="E2469" s="415"/>
      <c r="F2469" s="415"/>
    </row>
    <row r="2470">
      <c r="A2470" s="216"/>
      <c r="E2470" s="415"/>
      <c r="F2470" s="415"/>
    </row>
    <row r="2471">
      <c r="A2471" s="216"/>
      <c r="E2471" s="415"/>
      <c r="F2471" s="415"/>
    </row>
    <row r="2472">
      <c r="A2472" s="216"/>
      <c r="E2472" s="415"/>
      <c r="F2472" s="415"/>
    </row>
    <row r="2473">
      <c r="A2473" s="216"/>
      <c r="E2473" s="415"/>
      <c r="F2473" s="415"/>
    </row>
    <row r="2474">
      <c r="A2474" s="216"/>
      <c r="E2474" s="415"/>
      <c r="F2474" s="415"/>
    </row>
    <row r="2475">
      <c r="A2475" s="216"/>
      <c r="E2475" s="415"/>
      <c r="F2475" s="415"/>
    </row>
    <row r="2476">
      <c r="A2476" s="216"/>
      <c r="E2476" s="415"/>
      <c r="F2476" s="415"/>
    </row>
    <row r="2477">
      <c r="A2477" s="216"/>
      <c r="E2477" s="415"/>
      <c r="F2477" s="415"/>
    </row>
    <row r="2478">
      <c r="A2478" s="216"/>
      <c r="E2478" s="415"/>
      <c r="F2478" s="415"/>
    </row>
    <row r="2479">
      <c r="A2479" s="216"/>
      <c r="E2479" s="415"/>
      <c r="F2479" s="415"/>
    </row>
    <row r="2480">
      <c r="A2480" s="216"/>
      <c r="E2480" s="415"/>
      <c r="F2480" s="415"/>
    </row>
    <row r="2481">
      <c r="A2481" s="216"/>
      <c r="E2481" s="415"/>
      <c r="F2481" s="415"/>
    </row>
    <row r="2482">
      <c r="A2482" s="216"/>
      <c r="E2482" s="415"/>
      <c r="F2482" s="415"/>
    </row>
    <row r="2483">
      <c r="A2483" s="216"/>
      <c r="E2483" s="415"/>
      <c r="F2483" s="415"/>
    </row>
    <row r="2484">
      <c r="A2484" s="216"/>
      <c r="E2484" s="415"/>
      <c r="F2484" s="415"/>
    </row>
    <row r="2485">
      <c r="A2485" s="216"/>
      <c r="E2485" s="415"/>
      <c r="F2485" s="415"/>
    </row>
    <row r="2486">
      <c r="A2486" s="216"/>
      <c r="E2486" s="415"/>
      <c r="F2486" s="415"/>
    </row>
    <row r="2487">
      <c r="A2487" s="216"/>
      <c r="E2487" s="415"/>
      <c r="F2487" s="415"/>
    </row>
    <row r="2488">
      <c r="A2488" s="216"/>
      <c r="E2488" s="415"/>
      <c r="F2488" s="415"/>
    </row>
    <row r="2489">
      <c r="A2489" s="216"/>
      <c r="E2489" s="415"/>
      <c r="F2489" s="415"/>
    </row>
    <row r="2490">
      <c r="A2490" s="216"/>
      <c r="E2490" s="415"/>
      <c r="F2490" s="415"/>
    </row>
    <row r="2491">
      <c r="A2491" s="216"/>
      <c r="E2491" s="415"/>
      <c r="F2491" s="415"/>
    </row>
    <row r="2492">
      <c r="A2492" s="216"/>
      <c r="E2492" s="415"/>
      <c r="F2492" s="415"/>
    </row>
    <row r="2493">
      <c r="A2493" s="216"/>
      <c r="E2493" s="415"/>
      <c r="F2493" s="415"/>
    </row>
    <row r="2494">
      <c r="A2494" s="216"/>
      <c r="E2494" s="415"/>
      <c r="F2494" s="415"/>
    </row>
    <row r="2495">
      <c r="A2495" s="216"/>
      <c r="E2495" s="415"/>
      <c r="F2495" s="415"/>
    </row>
    <row r="2496">
      <c r="A2496" s="216"/>
      <c r="E2496" s="415"/>
      <c r="F2496" s="415"/>
    </row>
    <row r="2497">
      <c r="A2497" s="216"/>
      <c r="E2497" s="415"/>
      <c r="F2497" s="415"/>
    </row>
    <row r="2498">
      <c r="A2498" s="216"/>
      <c r="E2498" s="415"/>
      <c r="F2498" s="415"/>
    </row>
    <row r="2499">
      <c r="A2499" s="216"/>
      <c r="E2499" s="415"/>
      <c r="F2499" s="415"/>
    </row>
    <row r="2500">
      <c r="A2500" s="216"/>
      <c r="E2500" s="415"/>
      <c r="F2500" s="415"/>
    </row>
    <row r="2501">
      <c r="A2501" s="216"/>
      <c r="E2501" s="415"/>
      <c r="F2501" s="415"/>
    </row>
    <row r="2502">
      <c r="A2502" s="216"/>
      <c r="E2502" s="415"/>
      <c r="F2502" s="415"/>
    </row>
    <row r="2503">
      <c r="A2503" s="216"/>
      <c r="E2503" s="415"/>
      <c r="F2503" s="415"/>
    </row>
    <row r="2504">
      <c r="A2504" s="216"/>
      <c r="E2504" s="415"/>
      <c r="F2504" s="415"/>
    </row>
    <row r="2505">
      <c r="A2505" s="216"/>
      <c r="E2505" s="415"/>
      <c r="F2505" s="415"/>
    </row>
    <row r="2506">
      <c r="A2506" s="216"/>
      <c r="E2506" s="415"/>
      <c r="F2506" s="415"/>
    </row>
    <row r="2507">
      <c r="A2507" s="216"/>
      <c r="E2507" s="415"/>
      <c r="F2507" s="415"/>
    </row>
    <row r="2508">
      <c r="A2508" s="270"/>
      <c r="E2508" s="415"/>
      <c r="F2508" s="415"/>
    </row>
    <row r="2509">
      <c r="A2509" s="270"/>
      <c r="E2509" s="415"/>
      <c r="F2509" s="415"/>
    </row>
    <row r="2510">
      <c r="A2510" s="270"/>
      <c r="E2510" s="415"/>
      <c r="F2510" s="415"/>
    </row>
    <row r="2511">
      <c r="A2511" s="270"/>
      <c r="E2511" s="415"/>
      <c r="F2511" s="415"/>
    </row>
    <row r="2512">
      <c r="A2512" s="270"/>
      <c r="E2512" s="415"/>
      <c r="F2512" s="415"/>
    </row>
    <row r="2513">
      <c r="A2513" s="270"/>
      <c r="E2513" s="415"/>
      <c r="F2513" s="415"/>
    </row>
    <row r="2514">
      <c r="A2514" s="270"/>
      <c r="E2514" s="415"/>
      <c r="F2514" s="415"/>
    </row>
    <row r="2515">
      <c r="A2515" s="270"/>
      <c r="E2515" s="415"/>
      <c r="F2515" s="415"/>
    </row>
    <row r="2516">
      <c r="A2516" s="270"/>
      <c r="E2516" s="415"/>
      <c r="F2516" s="415"/>
    </row>
    <row r="2517">
      <c r="A2517" s="270"/>
      <c r="E2517" s="415"/>
      <c r="F2517" s="415"/>
    </row>
    <row r="2518">
      <c r="A2518" s="270"/>
      <c r="E2518" s="415"/>
      <c r="F2518" s="415"/>
    </row>
    <row r="2519">
      <c r="A2519" s="270"/>
      <c r="E2519" s="415"/>
      <c r="F2519" s="415"/>
    </row>
    <row r="2520">
      <c r="A2520" s="270"/>
      <c r="E2520" s="415"/>
      <c r="F2520" s="415"/>
    </row>
    <row r="2521">
      <c r="A2521" s="270"/>
      <c r="E2521" s="415"/>
      <c r="F2521" s="415"/>
    </row>
    <row r="2522">
      <c r="A2522" s="270"/>
      <c r="E2522" s="415"/>
      <c r="F2522" s="415"/>
    </row>
    <row r="2523">
      <c r="A2523" s="270"/>
      <c r="E2523" s="415"/>
      <c r="F2523" s="415"/>
    </row>
    <row r="2524">
      <c r="A2524" s="270"/>
      <c r="E2524" s="415"/>
      <c r="F2524" s="415"/>
    </row>
    <row r="2525">
      <c r="A2525" s="216"/>
      <c r="E2525" s="415"/>
      <c r="F2525" s="415"/>
    </row>
    <row r="2526">
      <c r="A2526" s="216"/>
      <c r="E2526" s="415"/>
      <c r="F2526" s="415"/>
    </row>
    <row r="2527">
      <c r="A2527" s="270"/>
      <c r="E2527" s="415"/>
      <c r="F2527" s="415"/>
    </row>
    <row r="2528">
      <c r="A2528" s="270"/>
      <c r="E2528" s="415"/>
      <c r="F2528" s="415"/>
    </row>
    <row r="2529">
      <c r="A2529" s="270"/>
      <c r="E2529" s="415"/>
      <c r="F2529" s="415"/>
    </row>
    <row r="2530">
      <c r="A2530" s="270"/>
      <c r="E2530" s="415"/>
      <c r="F2530" s="415"/>
    </row>
    <row r="2531">
      <c r="A2531" s="216"/>
      <c r="E2531" s="415"/>
      <c r="F2531" s="415"/>
    </row>
    <row r="2532">
      <c r="A2532" s="216"/>
      <c r="E2532" s="415"/>
      <c r="F2532" s="415"/>
    </row>
    <row r="2533">
      <c r="A2533" s="270"/>
      <c r="E2533" s="415"/>
      <c r="F2533" s="415"/>
    </row>
    <row r="2534">
      <c r="A2534" s="216"/>
      <c r="E2534" s="415"/>
      <c r="F2534" s="415"/>
    </row>
    <row r="2535">
      <c r="A2535" s="270"/>
      <c r="E2535" s="415"/>
      <c r="F2535" s="415"/>
    </row>
    <row r="2536">
      <c r="A2536" s="270"/>
      <c r="E2536" s="415"/>
      <c r="F2536" s="415"/>
    </row>
    <row r="2537">
      <c r="A2537" s="270"/>
      <c r="E2537" s="415"/>
      <c r="F2537" s="415"/>
    </row>
    <row r="2538">
      <c r="A2538" s="270"/>
      <c r="E2538" s="415"/>
      <c r="F2538" s="415"/>
    </row>
    <row r="2539">
      <c r="A2539" s="270"/>
      <c r="E2539" s="415"/>
      <c r="F2539" s="415"/>
    </row>
    <row r="2540">
      <c r="A2540" s="270"/>
      <c r="E2540" s="415"/>
      <c r="F2540" s="415"/>
    </row>
    <row r="2541">
      <c r="A2541" s="270"/>
      <c r="E2541" s="415"/>
      <c r="F2541" s="415"/>
    </row>
    <row r="2542">
      <c r="A2542" s="270"/>
      <c r="E2542" s="415"/>
      <c r="F2542" s="415"/>
    </row>
    <row r="2543">
      <c r="A2543" s="270"/>
      <c r="E2543" s="415"/>
      <c r="F2543" s="415"/>
    </row>
    <row r="2544">
      <c r="A2544" s="270"/>
      <c r="E2544" s="415"/>
      <c r="F2544" s="415"/>
    </row>
    <row r="2545">
      <c r="A2545" s="270"/>
      <c r="E2545" s="415"/>
      <c r="F2545" s="415"/>
    </row>
    <row r="2546">
      <c r="A2546" s="270"/>
      <c r="E2546" s="415"/>
      <c r="F2546" s="415"/>
    </row>
    <row r="2547">
      <c r="A2547" s="270"/>
      <c r="E2547" s="415"/>
      <c r="F2547" s="415"/>
    </row>
    <row r="2548">
      <c r="A2548" s="270"/>
      <c r="E2548" s="415"/>
      <c r="F2548" s="415"/>
    </row>
    <row r="2549">
      <c r="A2549" s="270"/>
      <c r="E2549" s="415"/>
      <c r="F2549" s="415"/>
    </row>
    <row r="2550">
      <c r="A2550" s="270"/>
      <c r="E2550" s="415"/>
      <c r="F2550" s="415"/>
    </row>
    <row r="2551">
      <c r="A2551" s="270"/>
      <c r="E2551" s="415"/>
      <c r="F2551" s="415"/>
    </row>
    <row r="2552">
      <c r="A2552" s="270"/>
      <c r="E2552" s="415"/>
      <c r="F2552" s="415"/>
    </row>
    <row r="2553">
      <c r="A2553" s="270"/>
      <c r="E2553" s="415"/>
      <c r="F2553" s="415"/>
    </row>
    <row r="2554">
      <c r="A2554" s="270"/>
      <c r="E2554" s="415"/>
      <c r="F2554" s="415"/>
    </row>
    <row r="2555">
      <c r="A2555" s="270"/>
      <c r="E2555" s="415"/>
      <c r="F2555" s="415"/>
    </row>
    <row r="2556">
      <c r="A2556" s="270"/>
      <c r="E2556" s="415"/>
      <c r="F2556" s="415"/>
    </row>
    <row r="2557">
      <c r="A2557" s="270"/>
      <c r="E2557" s="415"/>
      <c r="F2557" s="415"/>
    </row>
    <row r="2558">
      <c r="A2558" s="270"/>
      <c r="E2558" s="415"/>
      <c r="F2558" s="415"/>
    </row>
    <row r="2559">
      <c r="A2559" s="270"/>
      <c r="E2559" s="415"/>
      <c r="F2559" s="415"/>
    </row>
    <row r="2560">
      <c r="A2560" s="270"/>
      <c r="E2560" s="415"/>
      <c r="F2560" s="415"/>
    </row>
    <row r="2561">
      <c r="A2561" s="270"/>
      <c r="E2561" s="415"/>
      <c r="F2561" s="415"/>
    </row>
    <row r="2562">
      <c r="A2562" s="270"/>
      <c r="E2562" s="415"/>
      <c r="F2562" s="415"/>
    </row>
    <row r="2563">
      <c r="A2563" s="270"/>
      <c r="E2563" s="415"/>
      <c r="F2563" s="415"/>
    </row>
    <row r="2564">
      <c r="A2564" s="270"/>
      <c r="E2564" s="415"/>
      <c r="F2564" s="415"/>
    </row>
    <row r="2565">
      <c r="A2565" s="270"/>
      <c r="E2565" s="415"/>
      <c r="F2565" s="415"/>
    </row>
    <row r="2566">
      <c r="A2566" s="270"/>
      <c r="E2566" s="415"/>
      <c r="F2566" s="415"/>
    </row>
    <row r="2567">
      <c r="A2567" s="270"/>
      <c r="E2567" s="415"/>
      <c r="F2567" s="415"/>
    </row>
    <row r="2568">
      <c r="A2568" s="270"/>
      <c r="E2568" s="415"/>
      <c r="F2568" s="415"/>
    </row>
    <row r="2569">
      <c r="A2569" s="270"/>
      <c r="E2569" s="415"/>
      <c r="F2569" s="415"/>
    </row>
    <row r="2570">
      <c r="A2570" s="270"/>
      <c r="E2570" s="415"/>
      <c r="F2570" s="415"/>
    </row>
    <row r="2571">
      <c r="A2571" s="270"/>
      <c r="E2571" s="415"/>
      <c r="F2571" s="415"/>
    </row>
    <row r="2572">
      <c r="A2572" s="270"/>
      <c r="E2572" s="415"/>
      <c r="F2572" s="415"/>
    </row>
    <row r="2573">
      <c r="A2573" s="270"/>
      <c r="E2573" s="415"/>
      <c r="F2573" s="415"/>
    </row>
    <row r="2574">
      <c r="A2574" s="216"/>
      <c r="E2574" s="415"/>
      <c r="F2574" s="415"/>
    </row>
    <row r="2575">
      <c r="A2575" s="270"/>
      <c r="E2575" s="415"/>
      <c r="F2575" s="415"/>
    </row>
    <row r="2576">
      <c r="A2576" s="270"/>
      <c r="E2576" s="415"/>
      <c r="F2576" s="415"/>
    </row>
    <row r="2577">
      <c r="A2577" s="270"/>
      <c r="E2577" s="415"/>
      <c r="F2577" s="415"/>
    </row>
    <row r="2578">
      <c r="A2578" s="270"/>
      <c r="E2578" s="415"/>
      <c r="F2578" s="415"/>
    </row>
    <row r="2579">
      <c r="A2579" s="270"/>
      <c r="E2579" s="415"/>
      <c r="F2579" s="415"/>
    </row>
    <row r="2580">
      <c r="A2580" s="270"/>
      <c r="E2580" s="415"/>
      <c r="F2580" s="415"/>
    </row>
    <row r="2581">
      <c r="A2581" s="270"/>
      <c r="E2581" s="415"/>
      <c r="F2581" s="415"/>
    </row>
    <row r="2582">
      <c r="A2582" s="270"/>
      <c r="E2582" s="415"/>
      <c r="F2582" s="415"/>
    </row>
    <row r="2583">
      <c r="A2583" s="270"/>
      <c r="E2583" s="415"/>
      <c r="F2583" s="415"/>
    </row>
    <row r="2584">
      <c r="A2584" s="270"/>
      <c r="E2584" s="415"/>
      <c r="F2584" s="415"/>
    </row>
    <row r="2585">
      <c r="A2585" s="270"/>
      <c r="E2585" s="415"/>
      <c r="F2585" s="415"/>
    </row>
    <row r="2586">
      <c r="A2586" s="270"/>
      <c r="E2586" s="415"/>
      <c r="F2586" s="415"/>
    </row>
    <row r="2587">
      <c r="A2587" s="270"/>
      <c r="E2587" s="415"/>
      <c r="F2587" s="415"/>
    </row>
    <row r="2588">
      <c r="A2588" s="270"/>
      <c r="E2588" s="415"/>
      <c r="F2588" s="415"/>
    </row>
    <row r="2589">
      <c r="A2589" s="270"/>
      <c r="E2589" s="415"/>
      <c r="F2589" s="415"/>
    </row>
    <row r="2590">
      <c r="A2590" s="270"/>
      <c r="E2590" s="415"/>
      <c r="F2590" s="415"/>
    </row>
    <row r="2591">
      <c r="A2591" s="270"/>
      <c r="E2591" s="415"/>
      <c r="F2591" s="415"/>
    </row>
    <row r="2592">
      <c r="A2592" s="270"/>
      <c r="E2592" s="415"/>
      <c r="F2592" s="415"/>
    </row>
    <row r="2593">
      <c r="A2593" s="270"/>
      <c r="E2593" s="415"/>
      <c r="F2593" s="415"/>
    </row>
    <row r="2594">
      <c r="A2594" s="270"/>
      <c r="E2594" s="415"/>
      <c r="F2594" s="415"/>
    </row>
    <row r="2595">
      <c r="A2595" s="270"/>
      <c r="E2595" s="415"/>
      <c r="F2595" s="415"/>
    </row>
    <row r="2596">
      <c r="A2596" s="270"/>
      <c r="E2596" s="415"/>
      <c r="F2596" s="415"/>
    </row>
    <row r="2597">
      <c r="A2597" s="270"/>
      <c r="E2597" s="415"/>
      <c r="F2597" s="415"/>
    </row>
    <row r="2598">
      <c r="A2598" s="270"/>
      <c r="E2598" s="415"/>
      <c r="F2598" s="415"/>
    </row>
    <row r="2599">
      <c r="A2599" s="270"/>
      <c r="E2599" s="415"/>
      <c r="F2599" s="415"/>
    </row>
    <row r="2600">
      <c r="A2600" s="270"/>
      <c r="E2600" s="415"/>
      <c r="F2600" s="415"/>
    </row>
    <row r="2601">
      <c r="A2601" s="270"/>
      <c r="E2601" s="415"/>
      <c r="F2601" s="415"/>
    </row>
    <row r="2602">
      <c r="A2602" s="270"/>
      <c r="E2602" s="415"/>
      <c r="F2602" s="415"/>
    </row>
    <row r="2603">
      <c r="A2603" s="270"/>
      <c r="E2603" s="415"/>
      <c r="F2603" s="415"/>
    </row>
    <row r="2604">
      <c r="A2604" s="270"/>
      <c r="E2604" s="415"/>
      <c r="F2604" s="415"/>
    </row>
    <row r="2605">
      <c r="A2605" s="270"/>
      <c r="E2605" s="415"/>
      <c r="F2605" s="415"/>
    </row>
    <row r="2606">
      <c r="A2606" s="270"/>
      <c r="E2606" s="415"/>
      <c r="F2606" s="415"/>
    </row>
    <row r="2607">
      <c r="A2607" s="270"/>
      <c r="E2607" s="415"/>
      <c r="F2607" s="415"/>
    </row>
    <row r="2608">
      <c r="A2608" s="270"/>
      <c r="E2608" s="415"/>
      <c r="F2608" s="415"/>
    </row>
    <row r="2609">
      <c r="A2609" s="270"/>
      <c r="E2609" s="415"/>
      <c r="F2609" s="415"/>
    </row>
    <row r="2610">
      <c r="A2610" s="270"/>
      <c r="E2610" s="415"/>
      <c r="F2610" s="415"/>
    </row>
    <row r="2611">
      <c r="A2611" s="270"/>
      <c r="E2611" s="415"/>
      <c r="F2611" s="415"/>
    </row>
    <row r="2612">
      <c r="A2612" s="270"/>
      <c r="E2612" s="415"/>
      <c r="F2612" s="415"/>
    </row>
    <row r="2613">
      <c r="A2613" s="270"/>
      <c r="E2613" s="415"/>
      <c r="F2613" s="415"/>
    </row>
    <row r="2614">
      <c r="A2614" s="270"/>
      <c r="E2614" s="415"/>
      <c r="F2614" s="415"/>
    </row>
    <row r="2615">
      <c r="A2615" s="270"/>
      <c r="E2615" s="415"/>
      <c r="F2615" s="415"/>
    </row>
    <row r="2616">
      <c r="A2616" s="270"/>
      <c r="E2616" s="415"/>
      <c r="F2616" s="415"/>
    </row>
    <row r="2617">
      <c r="A2617" s="270"/>
      <c r="E2617" s="415"/>
      <c r="F2617" s="415"/>
    </row>
    <row r="2618">
      <c r="A2618" s="270"/>
      <c r="E2618" s="415"/>
      <c r="F2618" s="415"/>
    </row>
    <row r="2619">
      <c r="A2619" s="270"/>
      <c r="E2619" s="415"/>
      <c r="F2619" s="415"/>
    </row>
    <row r="2620">
      <c r="A2620" s="270"/>
      <c r="E2620" s="415"/>
      <c r="F2620" s="415"/>
    </row>
    <row r="2621">
      <c r="A2621" s="270"/>
      <c r="E2621" s="415"/>
      <c r="F2621" s="415"/>
    </row>
    <row r="2622">
      <c r="A2622" s="270"/>
      <c r="E2622" s="415"/>
      <c r="F2622" s="415"/>
    </row>
    <row r="2623">
      <c r="A2623" s="270"/>
      <c r="E2623" s="415"/>
      <c r="F2623" s="415"/>
    </row>
    <row r="2624">
      <c r="A2624" s="270"/>
      <c r="E2624" s="415"/>
      <c r="F2624" s="415"/>
    </row>
    <row r="2625">
      <c r="A2625" s="270"/>
      <c r="E2625" s="415"/>
      <c r="F2625" s="415"/>
    </row>
    <row r="2626">
      <c r="A2626" s="270"/>
      <c r="E2626" s="415"/>
      <c r="F2626" s="415"/>
    </row>
    <row r="2627">
      <c r="A2627" s="270"/>
      <c r="E2627" s="415"/>
      <c r="F2627" s="415"/>
    </row>
    <row r="2628">
      <c r="A2628" s="270"/>
      <c r="E2628" s="415"/>
      <c r="F2628" s="415"/>
    </row>
    <row r="2629">
      <c r="A2629" s="270"/>
      <c r="E2629" s="415"/>
      <c r="F2629" s="415"/>
    </row>
    <row r="2630">
      <c r="A2630" s="270"/>
      <c r="E2630" s="415"/>
      <c r="F2630" s="415"/>
    </row>
    <row r="2631">
      <c r="A2631" s="270"/>
      <c r="E2631" s="415"/>
      <c r="F2631" s="415"/>
    </row>
    <row r="2632">
      <c r="A2632" s="270"/>
      <c r="E2632" s="415"/>
      <c r="F2632" s="415"/>
    </row>
    <row r="2633">
      <c r="A2633" s="270"/>
      <c r="E2633" s="415"/>
      <c r="F2633" s="415"/>
    </row>
    <row r="2634">
      <c r="A2634" s="270"/>
      <c r="E2634" s="415"/>
      <c r="F2634" s="415"/>
    </row>
    <row r="2635">
      <c r="A2635" s="270"/>
      <c r="E2635" s="415"/>
      <c r="F2635" s="415"/>
    </row>
    <row r="2636">
      <c r="A2636" s="270"/>
      <c r="E2636" s="415"/>
      <c r="F2636" s="415"/>
    </row>
    <row r="2637">
      <c r="A2637" s="270"/>
      <c r="E2637" s="415"/>
      <c r="F2637" s="415"/>
    </row>
    <row r="2638">
      <c r="A2638" s="270"/>
      <c r="E2638" s="415"/>
      <c r="F2638" s="415"/>
    </row>
    <row r="2639">
      <c r="A2639" s="270"/>
      <c r="E2639" s="415"/>
      <c r="F2639" s="415"/>
    </row>
    <row r="2640">
      <c r="A2640" s="270"/>
      <c r="E2640" s="415"/>
      <c r="F2640" s="415"/>
    </row>
    <row r="2641">
      <c r="A2641" s="270"/>
      <c r="E2641" s="415"/>
      <c r="F2641" s="415"/>
    </row>
    <row r="2642">
      <c r="A2642" s="270"/>
      <c r="E2642" s="415"/>
      <c r="F2642" s="415"/>
    </row>
    <row r="2643">
      <c r="A2643" s="270"/>
      <c r="E2643" s="415"/>
      <c r="F2643" s="415"/>
    </row>
    <row r="2644">
      <c r="A2644" s="216"/>
      <c r="E2644" s="415"/>
      <c r="F2644" s="415"/>
    </row>
    <row r="2645">
      <c r="A2645" s="216"/>
      <c r="E2645" s="415"/>
      <c r="F2645" s="415"/>
    </row>
    <row r="2646">
      <c r="A2646" s="270"/>
      <c r="E2646" s="415"/>
      <c r="F2646" s="415"/>
    </row>
    <row r="2647">
      <c r="A2647" s="270"/>
      <c r="E2647" s="415"/>
      <c r="F2647" s="415"/>
    </row>
    <row r="2648">
      <c r="A2648" s="270"/>
      <c r="E2648" s="415"/>
      <c r="F2648" s="415"/>
    </row>
    <row r="2649">
      <c r="A2649" s="270"/>
      <c r="E2649" s="415"/>
      <c r="F2649" s="415"/>
    </row>
    <row r="2650">
      <c r="A2650" s="270"/>
      <c r="E2650" s="415"/>
      <c r="F2650" s="415"/>
    </row>
    <row r="2651">
      <c r="A2651" s="270"/>
      <c r="E2651" s="415"/>
      <c r="F2651" s="415"/>
    </row>
    <row r="2652">
      <c r="A2652" s="270"/>
      <c r="E2652" s="415"/>
      <c r="F2652" s="415"/>
    </row>
    <row r="2653">
      <c r="A2653" s="270"/>
      <c r="E2653" s="415"/>
      <c r="F2653" s="415"/>
    </row>
    <row r="2654">
      <c r="A2654" s="270"/>
      <c r="E2654" s="415"/>
      <c r="F2654" s="415"/>
    </row>
    <row r="2655">
      <c r="A2655" s="270"/>
      <c r="E2655" s="415"/>
      <c r="F2655" s="415"/>
    </row>
    <row r="2656">
      <c r="A2656" s="270"/>
      <c r="E2656" s="415"/>
      <c r="F2656" s="415"/>
    </row>
    <row r="2657">
      <c r="A2657" s="216"/>
      <c r="E2657" s="415"/>
      <c r="F2657" s="415"/>
    </row>
    <row r="2658">
      <c r="A2658" s="216"/>
      <c r="E2658" s="415"/>
      <c r="F2658" s="415"/>
    </row>
    <row r="2659">
      <c r="A2659" s="216"/>
      <c r="E2659" s="415"/>
      <c r="F2659" s="415"/>
    </row>
    <row r="2660">
      <c r="A2660" s="216"/>
      <c r="E2660" s="415"/>
      <c r="F2660" s="415"/>
    </row>
    <row r="2661">
      <c r="A2661" s="270"/>
      <c r="E2661" s="415"/>
      <c r="F2661" s="415"/>
    </row>
    <row r="2662">
      <c r="A2662" s="270"/>
      <c r="E2662" s="415"/>
      <c r="F2662" s="415"/>
    </row>
    <row r="2663">
      <c r="A2663" s="270"/>
      <c r="E2663" s="415"/>
      <c r="F2663" s="415"/>
    </row>
    <row r="2664">
      <c r="A2664" s="270"/>
      <c r="E2664" s="415"/>
      <c r="F2664" s="415"/>
    </row>
    <row r="2665">
      <c r="A2665" s="270"/>
      <c r="E2665" s="415"/>
      <c r="F2665" s="415"/>
    </row>
    <row r="2666">
      <c r="A2666" s="270"/>
      <c r="E2666" s="415"/>
      <c r="F2666" s="415"/>
    </row>
    <row r="2667">
      <c r="A2667" s="270"/>
      <c r="E2667" s="415"/>
      <c r="F2667" s="415"/>
    </row>
    <row r="2668">
      <c r="A2668" s="270"/>
      <c r="E2668" s="415"/>
      <c r="F2668" s="415"/>
    </row>
    <row r="2669">
      <c r="A2669" s="270"/>
      <c r="E2669" s="415"/>
      <c r="F2669" s="415"/>
    </row>
    <row r="2670">
      <c r="A2670" s="270"/>
      <c r="E2670" s="415"/>
      <c r="F2670" s="415"/>
    </row>
    <row r="2671">
      <c r="A2671" s="270"/>
      <c r="E2671" s="415"/>
      <c r="F2671" s="415"/>
    </row>
    <row r="2672">
      <c r="A2672" s="270"/>
      <c r="E2672" s="415"/>
      <c r="F2672" s="415"/>
    </row>
    <row r="2673">
      <c r="A2673" s="270"/>
      <c r="E2673" s="415"/>
      <c r="F2673" s="415"/>
    </row>
    <row r="2674">
      <c r="A2674" s="270"/>
      <c r="E2674" s="415"/>
      <c r="F2674" s="415"/>
    </row>
    <row r="2675">
      <c r="A2675" s="416"/>
      <c r="E2675" s="415"/>
      <c r="F2675" s="415"/>
    </row>
    <row r="2676">
      <c r="A2676" s="416"/>
      <c r="E2676" s="415"/>
      <c r="F2676" s="415"/>
    </row>
    <row r="2677">
      <c r="A2677" s="416"/>
      <c r="E2677" s="415"/>
      <c r="F2677" s="415"/>
    </row>
    <row r="2678">
      <c r="A2678" s="416"/>
      <c r="E2678" s="415"/>
      <c r="F2678" s="415"/>
    </row>
    <row r="2679">
      <c r="A2679" s="416"/>
      <c r="E2679" s="415"/>
      <c r="F2679" s="415"/>
    </row>
    <row r="2680">
      <c r="A2680" s="416"/>
      <c r="E2680" s="415"/>
      <c r="F2680" s="415"/>
    </row>
    <row r="2681">
      <c r="A2681" s="416"/>
      <c r="E2681" s="415"/>
      <c r="F2681" s="415"/>
    </row>
    <row r="2682">
      <c r="A2682" s="416"/>
      <c r="E2682" s="415"/>
      <c r="F2682" s="415"/>
    </row>
    <row r="2683">
      <c r="A2683" s="416"/>
      <c r="E2683" s="415"/>
      <c r="F2683" s="415"/>
    </row>
    <row r="2684">
      <c r="A2684" s="270"/>
      <c r="E2684" s="415"/>
      <c r="F2684" s="415"/>
    </row>
    <row r="2685">
      <c r="A2685" s="270"/>
      <c r="E2685" s="415"/>
      <c r="F2685" s="415"/>
    </row>
    <row r="2686">
      <c r="A2686" s="270"/>
      <c r="E2686" s="415"/>
      <c r="F2686" s="415"/>
    </row>
    <row r="2687">
      <c r="A2687" s="270"/>
      <c r="E2687" s="415"/>
      <c r="F2687" s="415"/>
    </row>
    <row r="2688">
      <c r="A2688" s="416"/>
      <c r="E2688" s="415"/>
      <c r="F2688" s="415"/>
    </row>
    <row r="2689">
      <c r="A2689" s="416"/>
      <c r="E2689" s="415"/>
      <c r="F2689" s="415"/>
    </row>
    <row r="2690">
      <c r="A2690" s="416"/>
      <c r="E2690" s="415"/>
      <c r="F2690" s="415"/>
    </row>
    <row r="2691">
      <c r="A2691" s="416"/>
      <c r="E2691" s="415"/>
      <c r="F2691" s="415"/>
    </row>
    <row r="2692">
      <c r="A2692" s="416"/>
      <c r="E2692" s="415"/>
      <c r="F2692" s="415"/>
    </row>
    <row r="2693">
      <c r="A2693" s="416"/>
      <c r="E2693" s="415"/>
      <c r="F2693" s="415"/>
    </row>
    <row r="2694">
      <c r="A2694" s="416"/>
      <c r="E2694" s="415"/>
      <c r="F2694" s="415"/>
    </row>
    <row r="2695">
      <c r="A2695" s="416"/>
      <c r="F2695" s="417"/>
    </row>
    <row r="2696">
      <c r="A2696" s="193">
        <v>100240.0</v>
      </c>
      <c r="C2696" s="214">
        <f>A2697-B2697</f>
        <v>0</v>
      </c>
    </row>
    <row r="2697">
      <c r="A2697" s="193">
        <v>100241.0</v>
      </c>
      <c r="B2697" s="214">
        <f>VLOOKUP(A2697,'Solicitações'!B:B,1,0)</f>
        <v>100241</v>
      </c>
      <c r="C2697" s="214">
        <f>A2700-B2700</f>
        <v>0</v>
      </c>
    </row>
    <row r="2698">
      <c r="A2698" s="193">
        <v>100620.0</v>
      </c>
    </row>
    <row r="2699">
      <c r="A2699" s="193">
        <v>100640.0</v>
      </c>
    </row>
  </sheetData>
  <autoFilter ref="$C$1:$C$2695">
    <filterColumn colId="0">
      <filters blank="1"/>
    </filterColumn>
  </autoFilter>
  <customSheetViews>
    <customSheetView guid="{E2DA4580-85C8-4F38-9252-AEB856D7987F}" filter="1" showAutoFilter="1">
      <autoFilter ref="$A$1:$V$2699">
        <filterColumn colId="1">
          <filters blank="1">
            <filter val="17040"/>
            <filter val="17041"/>
            <filter val="11980"/>
            <filter val="11740"/>
            <filter val="11500"/>
            <filter val="13921"/>
            <filter val="20220"/>
            <filter val="22880"/>
            <filter val="18140"/>
            <filter val="24820"/>
            <filter val="10660"/>
            <filter val="12840"/>
            <filter val="10420"/>
            <filter val="12600"/>
            <filter val="23702"/>
            <filter val="23703"/>
            <filter val="23704"/>
            <filter val="23705"/>
            <filter val="17020"/>
            <filter val="23706"/>
            <filter val="19440"/>
            <filter val="21760"/>
            <filter val="23707"/>
            <filter val="19200"/>
            <filter val="17260"/>
            <filter val="17261"/>
            <filter val="23700"/>
            <filter val="23701"/>
            <filter val="11960"/>
            <filter val="11720"/>
            <filter val="13900"/>
            <filter val="66000"/>
            <filter val="18120"/>
            <filter val="18360"/>
            <filter val="22620"/>
            <filter val="16180"/>
            <filter val="10880"/>
            <filter val="10640"/>
            <filter val="10881"/>
            <filter val="10400"/>
            <filter val="21740"/>
            <filter val="17240"/>
            <filter val="19660"/>
            <filter val="19421"/>
            <filter val="19420"/>
            <filter val="15060"/>
            <filter val="23920"/>
            <filter val="23921"/>
            <filter val="11940"/>
            <filter val="11700"/>
            <filter val="18340"/>
            <filter val="18100"/>
            <filter val="18580"/>
            <filter val="62900"/>
            <filter val="10860"/>
            <filter val="10620"/>
            <filter val="66020"/>
            <filter val="12800"/>
            <filter val="10621"/>
            <filter val="19642"/>
            <filter val="21960"/>
            <filter val="17460"/>
            <filter val="19641"/>
            <filter val="15280"/>
            <filter val="11922"/>
            <filter val="11921"/>
            <filter val="11920"/>
            <filter val="20400"/>
            <filter val="16140"/>
            <filter val="18560"/>
            <filter val="62920"/>
            <filter val="22820"/>
            <filter val="10840"/>
            <filter val="10600"/>
            <filter val="66040"/>
            <filter val="10841"/>
            <filter val="63340"/>
            <filter val="11580"/>
            <filter val="63100"/>
            <filter val="13760"/>
            <filter val="11340"/>
            <filter val="25500"/>
            <filter val="23560"/>
            <filter val="25980"/>
            <filter val="11100"/>
            <filter val="15700"/>
            <filter val="21140"/>
            <filter val="21380"/>
            <filter val="10260"/>
            <filter val="14860"/>
            <filter val="10020"/>
            <filter val="10261"/>
            <filter val="12680"/>
            <filter val="22000"/>
            <filter val="24420"/>
            <filter val="24661"/>
            <filter val="12200"/>
            <filter val="16800"/>
            <filter val="14620"/>
            <filter val="63360"/>
            <filter val="63120"/>
            <filter val="11560"/>
            <filter val="19040"/>
            <filter val="25960"/>
            <filter val="23300"/>
            <filter val="25720"/>
            <filter val="11328"/>
            <filter val="11327"/>
            <filter val="23780"/>
            <filter val="11320"/>
            <filter val="15920"/>
            <filter val="11322"/>
            <filter val="11321"/>
            <filter val="11324"/>
            <filter val="11323"/>
            <filter val="11326"/>
            <filter val="11325"/>
            <filter val="10480"/>
            <filter val="12660"/>
            <filter val="10240"/>
            <filter val="24640"/>
            <filter val="22460"/>
            <filter val="10000"/>
            <filter val="10242"/>
            <filter val="10241"/>
            <filter val="20040"/>
            <filter val="10001"/>
            <filter val="12420"/>
            <filter val="14840"/>
            <filter val="20280"/>
            <filter val="14601"/>
            <filter val="63140"/>
            <filter val="11780"/>
            <filter val="21340"/>
            <filter val="19260"/>
            <filter val="23761"/>
            <filter val="23762"/>
            <filter val="23763"/>
            <filter val="17080"/>
            <filter val="11540"/>
            <filter val="13720"/>
            <filter val="21580"/>
            <filter val="11300"/>
            <filter val="15900"/>
            <filter val="63380"/>
            <filter val="12880"/>
            <filter val="10460"/>
            <filter val="91840"/>
            <filter val="24860"/>
            <filter val="22200"/>
            <filter val="14827"/>
            <filter val="14828"/>
            <filter val="14825"/>
            <filter val="14826"/>
            <filter val="10220"/>
            <filter val="12400"/>
            <filter val="14820"/>
            <filter val="20260"/>
            <filter val="10221"/>
            <filter val="12640"/>
            <filter val="14823"/>
            <filter val="14824"/>
            <filter val="14821"/>
            <filter val="14822"/>
            <filter val="19243"/>
            <filter val="19000"/>
            <filter val="19242"/>
            <filter val="23980"/>
            <filter val="19480"/>
            <filter val="19241"/>
            <filter val="23740"/>
            <filter val="19240"/>
            <filter val="25920"/>
            <filter val="11760"/>
            <filter val="13940"/>
            <filter val="11520"/>
            <filter val="91860"/>
            <filter val="10680"/>
            <filter val="18160"/>
            <filter val="22660"/>
            <filter val="24600"/>
            <filter val="10440"/>
            <filter val="12620"/>
            <filter val="10200"/>
            <filter val="10201"/>
            <filter val="14800"/>
            <filter val="64260"/>
            <filter val="13480"/>
            <filter val="11061"/>
            <filter val="17841"/>
            <filter val="11063"/>
            <filter val="13000"/>
            <filter val="15421"/>
            <filter val="11062"/>
            <filter val="15660"/>
            <filter val="63500"/>
            <filter val="23040"/>
            <filter val="25220"/>
            <filter val="17600"/>
            <filter val="14580"/>
            <filter val="18940"/>
            <filter val="12160"/>
            <filter val="14100"/>
            <filter val="16520"/>
            <filter val="14340"/>
            <filter val="16760"/>
            <filter val="64840"/>
            <filter val="24380"/>
            <filter val="24140"/>
            <filter val="18701"/>
            <filter val="11280"/>
            <filter val="13220"/>
            <filter val="13460"/>
            <filter val="63520"/>
            <filter val="25680"/>
            <filter val="23260"/>
            <filter val="25440"/>
            <filter val="25200"/>
            <filter val="17820"/>
            <filter val="21080"/>
            <filter val="12380"/>
            <filter val="16741"/>
            <filter val="12140"/>
            <filter val="16740"/>
            <filter val="64860"/>
            <filter val="16980"/>
            <filter val="18920"/>
            <filter val="11260"/>
            <filter val="15860"/>
            <filter val="13680"/>
            <filter val="63300"/>
            <filter val="63301"/>
            <filter val="25420"/>
            <filter val="64880"/>
            <filter val="14540"/>
            <filter val="16960"/>
            <filter val="12120"/>
            <filter val="24340"/>
            <filter val="24100"/>
            <filter val="16720"/>
            <filter val="63320"/>
            <filter val="11480"/>
            <filter val="11240"/>
            <filter val="25880"/>
            <filter val="25640"/>
            <filter val="13420"/>
            <filter val="21040"/>
            <filter val="15840"/>
            <filter val="12340"/>
            <filter val="14760"/>
            <filter val="22140"/>
            <filter val="12100"/>
            <filter val="14520"/>
            <filter val="17200"/>
            <filter val="15020"/>
            <filter val="17201"/>
            <filter val="19620"/>
            <filter val="15260"/>
            <filter val="19860"/>
            <filter val="13080"/>
            <filter val="65080"/>
            <filter val="25060"/>
            <filter val="67020"/>
            <filter val="18300"/>
            <filter val="20620"/>
            <filter val="16360"/>
            <filter val="20860"/>
            <filter val="18780"/>
            <filter val="14180"/>
            <filter val="10820"/>
            <filter val="68120"/>
            <filter val="17420"/>
            <filter val="17662"/>
            <filter val="17663"/>
            <filter val="19600"/>
            <filter val="17660"/>
            <filter val="15000"/>
            <filter val="17661"/>
            <filter val="63920"/>
            <filter val="21920"/>
            <filter val="67040"/>
            <filter val="18520"/>
            <filter val="16340"/>
            <filter val="14160"/>
            <filter val="14161"/>
            <filter val="10800"/>
            <filter val="68140"/>
            <filter val="13040"/>
            <filter val="17640"/>
            <filter val="17400"/>
            <filter val="19820"/>
            <filter val="63940"/>
            <filter val="25260"/>
            <filter val="25020"/>
            <filter val="67060"/>
            <filter val="14140"/>
            <filter val="16561"/>
            <filter val="16560"/>
            <filter val="18741"/>
            <filter val="18742"/>
            <filter val="18501"/>
            <filter val="18743"/>
            <filter val="18980"/>
            <filter val="64800"/>
            <filter val="68160"/>
            <filter val="24180"/>
            <filter val="13260"/>
            <filter val="15681"/>
            <filter val="17860"/>
            <filter val="15200"/>
            <filter val="15440"/>
            <filter val="63960"/>
            <filter val="25480"/>
            <filter val="67080"/>
            <filter val="14360"/>
            <filter val="16300"/>
            <filter val="14120"/>
            <filter val="68180"/>
            <filter val="65000"/>
            <filter val="21420"/>
            <filter val="17160"/>
            <filter val="19582"/>
            <filter val="19581"/>
            <filter val="11860"/>
            <filter val="11620"/>
            <filter val="63060"/>
            <filter val="20100"/>
            <filter val="20340"/>
            <filter val="16080"/>
            <filter val="18260"/>
            <filter val="22760"/>
            <filter val="24940"/>
            <filter val="18020"/>
            <filter val="20580"/>
            <filter val="10780"/>
            <filter val="12961"/>
            <filter val="10540"/>
            <filter val="14900"/>
            <filter val="10300"/>
            <filter val="12720"/>
            <filter val="100680"/>
            <filter val="100681"/>
            <filter val="19560"/>
            <filter val="17140"/>
            <filter val="23820"/>
            <filter val="63080"/>
            <filter val="11840"/>
            <filter val="65020"/>
            <filter val="11600"/>
            <filter val="20320"/>
            <filter val="18480"/>
            <filter val="18240"/>
            <filter val="22500"/>
            <filter val="10760"/>
            <filter val="12700"/>
            <filter val="10520"/>
            <filter val="12940"/>
            <filter val="19540"/>
            <filter val="21860"/>
            <filter val="19300"/>
            <filter val="19780"/>
            <filter val="17360"/>
            <filter val="15180"/>
            <filter val="65040"/>
            <filter val="20540"/>
            <filter val="18220"/>
            <filter val="20780"/>
            <filter val="18460"/>
            <filter val="16040"/>
            <filter val="22720"/>
            <filter val="16280"/>
            <filter val="24900"/>
            <filter val="10741"/>
            <filter val="12920"/>
            <filter val="68320"/>
            <filter val="10740"/>
            <filter val="12921"/>
            <filter val="10500"/>
            <filter val="21840"/>
            <filter val="19760"/>
            <filter val="17340"/>
            <filter val="100240"/>
            <filter val="100241"/>
            <filter val="17580"/>
            <filter val="11800"/>
            <filter val="65060"/>
            <filter val="67000"/>
            <filter val="16020"/>
            <filter val="18200"/>
            <filter val="18680"/>
            <filter val="22940"/>
            <filter val="14080"/>
            <filter val="68100"/>
            <filter val="68341"/>
            <filter val="68340"/>
            <filter val="10720"/>
            <filter val="63460"/>
            <filter val="63220"/>
            <filter val="13880"/>
            <filter val="11461"/>
            <filter val="11460"/>
            <filter val="11221"/>
            <filter val="13400"/>
            <filter val="11220"/>
            <filter val="13640"/>
            <filter val="12560"/>
            <filter val="10380"/>
            <filter val="12561"/>
            <filter val="24300"/>
            <filter val="24540"/>
            <filter val="12320"/>
            <filter val="16920"/>
            <filter val="12562"/>
            <filter val="20180"/>
            <filter val="63240"/>
            <filter val="63000"/>
            <filter val="11680"/>
            <filter val="25840"/>
            <filter val="25600"/>
            <filter val="19160"/>
            <filter val="23660"/>
            <filter val="11441"/>
            <filter val="21240"/>
            <filter val="11440"/>
            <filter val="11200"/>
            <filter val="15800"/>
            <filter val="63480"/>
            <filter val="64340"/>
            <filter val="12780"/>
            <filter val="10360"/>
            <filter val="22100"/>
            <filter val="18080"/>
            <filter val="18081"/>
            <filter val="22580"/>
            <filter val="24760"/>
            <filter val="10121"/>
            <filter val="14720"/>
            <filter val="12540"/>
            <filter val="14960"/>
            <filter val="10122"/>
            <filter val="16900"/>
            <filter val="63020"/>
            <filter val="23400"/>
            <filter val="23401"/>
            <filter val="19380"/>
            <filter val="13840"/>
            <filter val="21460"/>
            <filter val="11660"/>
            <filter val="13841"/>
            <filter val="13600"/>
            <filter val="13842"/>
            <filter val="63260"/>
            <filter val="10580"/>
            <filter val="18060"/>
            <filter val="24980"/>
            <filter val="10341"/>
            <filter val="20140"/>
            <filter val="10340"/>
            <filter val="14700"/>
            <filter val="19121"/>
            <filter val="19360"/>
            <filter val="23860"/>
            <filter val="23620"/>
            <filter val="25800"/>
            <filter val="21680"/>
            <filter val="11880"/>
            <filter val="11640"/>
            <filter val="11400"/>
            <filter val="13820"/>
            <filter val="63040"/>
            <filter val="18040"/>
            <filter val="22540"/>
            <filter val="24720"/>
            <filter val="22300"/>
            <filter val="22780"/>
            <filter val="10561"/>
            <filter val="10560"/>
            <filter val="10321"/>
            <filter val="12980"/>
            <filter val="10320"/>
            <filter val="10322"/>
            <filter val="12500"/>
            <filter val="14920"/>
            <filter val="11180"/>
            <filter val="13360"/>
            <filter val="17720"/>
            <filter val="13121"/>
            <filter val="13122"/>
            <filter val="25100"/>
            <filter val="19900"/>
            <filter val="12280"/>
            <filter val="16880"/>
            <filter val="14460"/>
            <filter val="18820"/>
            <filter val="16400"/>
            <filter val="64960"/>
            <filter val="16640"/>
            <filter val="14220"/>
            <filter val="20900"/>
            <filter val="24260"/>
            <filter val="68080"/>
            <filter val="11160"/>
            <filter val="17940"/>
            <filter val="13100"/>
            <filter val="15760"/>
            <filter val="13340"/>
            <filter val="63400"/>
            <filter val="25560"/>
            <filter val="25320"/>
            <filter val="13101"/>
            <filter val="17700"/>
            <filter val="10080"/>
            <filter val="12260"/>
            <filter val="64980"/>
            <filter val="10081"/>
            <filter val="12020"/>
            <filter val="16861"/>
            <filter val="16860"/>
            <filter val="22060"/>
            <filter val="18803"/>
            <filter val="18804"/>
            <filter val="18805"/>
            <filter val="18806"/>
            <filter val="18801"/>
            <filter val="18802"/>
            <filter val="11380"/>
            <filter val="11140"/>
            <filter val="11382"/>
            <filter val="13561"/>
            <filter val="15740"/>
            <filter val="11381"/>
            <filter val="63420"/>
            <filter val="15980"/>
            <filter val="11141"/>
            <filter val="13560"/>
            <filter val="25300"/>
            <filter val="23360"/>
            <filter val="25540"/>
            <filter val="15500"/>
            <filter val="17920"/>
            <filter val="12480"/>
            <filter val="64760"/>
            <filter val="10062"/>
            <filter val="16840"/>
            <filter val="10061"/>
            <filter val="14420"/>
            <filter val="12000"/>
            <filter val="14660"/>
            <filter val="24220"/>
            <filter val="12001"/>
            <filter val="16600"/>
            <filter val="63440"/>
            <filter val="15960"/>
            <filter val="13540"/>
            <filter val="63200"/>
            <filter val="13780"/>
            <filter val="23100"/>
            <filter val="19080"/>
            <filter val="23340"/>
            <filter val="25760"/>
            <filter val="15964"/>
            <filter val="11121"/>
            <filter val="15963"/>
            <filter val="15720"/>
            <filter val="15962"/>
            <filter val="13300"/>
            <filter val="15961"/>
            <filter val="15966"/>
            <filter val="15965"/>
            <filter val="17900"/>
            <filter val="64780"/>
            <filter val="10280"/>
            <filter val="10281"/>
            <filter val="12220"/>
            <filter val="12460"/>
            <filter val="14880"/>
            <filter val="24680"/>
            <filter val="22020"/>
            <filter val="16821"/>
            <filter val="16820"/>
            <filter val="14400"/>
            <filter val="20080"/>
            <filter val="19500"/>
            <filter val="19742"/>
            <filter val="19741"/>
            <filter val="15140"/>
            <filter val="19980"/>
            <filter val="17320"/>
            <filter val="16000"/>
            <filter val="18663"/>
            <filter val="18664"/>
            <filter val="20740"/>
            <filter val="18661"/>
            <filter val="16001"/>
            <filter val="18420"/>
            <filter val="18662"/>
            <filter val="16480"/>
            <filter val="10700"/>
            <filter val="66060"/>
            <filter val="100620"/>
            <filter val="68000"/>
            <filter val="10941"/>
            <filter val="15120"/>
            <filter val="19720"/>
            <filter val="13181"/>
            <filter val="15360"/>
            <filter val="19721"/>
            <filter val="17780"/>
            <filter val="17781"/>
            <filter val="17540"/>
            <filter val="13180"/>
            <filter val="21800"/>
            <filter val="25160"/>
            <filter val="16220"/>
            <filter val="20720"/>
            <filter val="16460"/>
            <filter val="20960"/>
            <filter val="14040"/>
            <filter val="18880"/>
            <filter val="18881"/>
            <filter val="16221"/>
            <filter val="64900"/>
            <filter val="14280"/>
            <filter val="26020"/>
            <filter val="66080"/>
            <filter val="68020"/>
            <filter val="17761"/>
            <filter val="17762"/>
            <filter val="17763"/>
            <filter val="19700"/>
            <filter val="17764"/>
            <filter val="15100"/>
            <filter val="17760"/>
            <filter val="25380"/>
            <filter val="25140"/>
            <filter val="17765"/>
            <filter val="19701"/>
            <filter val="16440"/>
            <filter val="20940"/>
            <filter val="18620"/>
            <filter val="16680"/>
            <filter val="18860"/>
            <filter val="64920"/>
            <filter val="12080"/>
            <filter val="24061"/>
            <filter val="10900"/>
            <filter val="68040"/>
            <filter val="17500"/>
            <filter val="15320"/>
            <filter val="15561"/>
            <filter val="17980"/>
            <filter val="25360"/>
            <filter val="17501"/>
            <filter val="17502"/>
            <filter val="12060"/>
            <filter val="18841"/>
            <filter val="14480"/>
            <filter val="18842"/>
            <filter val="16420"/>
            <filter val="64940"/>
            <filter val="100640"/>
            <filter val="68060"/>
          </filters>
        </filterColumn>
      </autoFilter>
    </customSheetView>
    <customSheetView guid="{A2A50DF2-D631-4154-84B9-4F77C2A463C6}" filter="1" showAutoFilter="1">
      <autoFilter ref="$A$1:$V$2699">
        <filterColumn colId="1">
          <filters blank="1">
            <filter val="19220"/>
            <filter val="21540"/>
            <filter val="17280"/>
            <filter val="17041"/>
            <filter val="19460"/>
            <filter val="23720"/>
            <filter val="13921"/>
            <filter val="20220"/>
            <filter val="20460"/>
            <filter val="18380"/>
            <filter val="22880"/>
            <filter val="18381"/>
            <filter val="18140"/>
            <filter val="22640"/>
            <filter val="22400"/>
            <filter val="24820"/>
            <filter val="10660"/>
            <filter val="10420"/>
            <filter val="23702"/>
            <filter val="23703"/>
            <filter val="23704"/>
            <filter val="21520"/>
            <filter val="23705"/>
            <filter val="17020"/>
            <filter val="23706"/>
            <filter val="19440"/>
            <filter val="21760"/>
            <filter val="23707"/>
            <filter val="19200"/>
            <filter val="17260"/>
            <filter val="17261"/>
            <filter val="19680"/>
            <filter val="23940"/>
            <filter val="23700"/>
            <filter val="15080"/>
            <filter val="23701"/>
            <filter val="66000"/>
            <filter val="18120"/>
            <filter val="20440"/>
            <filter val="22860"/>
            <filter val="16180"/>
            <filter val="24800"/>
            <filter val="10880"/>
            <filter val="10640"/>
            <filter val="10881"/>
            <filter val="10400"/>
            <filter val="21740"/>
            <filter val="19660"/>
            <filter val="19421"/>
            <filter val="15060"/>
            <filter val="23921"/>
            <filter val="11940"/>
            <filter val="11700"/>
            <filter val="20420"/>
            <filter val="18340"/>
            <filter val="20660"/>
            <filter val="62900"/>
            <filter val="22600"/>
            <filter val="10860"/>
            <filter val="66020"/>
            <filter val="10621"/>
            <filter val="19642"/>
            <filter val="15040"/>
            <filter val="21960"/>
            <filter val="17460"/>
            <filter val="19880"/>
            <filter val="17220"/>
            <filter val="19641"/>
            <filter val="19640"/>
            <filter val="11922"/>
            <filter val="11921"/>
            <filter val="25080"/>
            <filter val="11920"/>
            <filter val="20400"/>
            <filter val="16140"/>
            <filter val="20640"/>
            <filter val="18560"/>
            <filter val="20880"/>
            <filter val="18320"/>
            <filter val="62920"/>
            <filter val="16380"/>
            <filter val="22820"/>
            <filter val="10840"/>
            <filter val="66040"/>
            <filter val="10841"/>
            <filter val="63340"/>
            <filter val="63100"/>
            <filter val="11340"/>
            <filter val="23320"/>
            <filter val="25740"/>
            <filter val="19060"/>
            <filter val="25980"/>
            <filter val="11100"/>
            <filter val="15700"/>
            <filter val="21140"/>
            <filter val="15940"/>
            <filter val="12440"/>
            <filter val="14860"/>
            <filter val="24420"/>
            <filter val="22480"/>
            <filter val="24661"/>
            <filter val="24660"/>
            <filter val="16800"/>
            <filter val="20060"/>
            <filter val="63360"/>
            <filter val="63120"/>
            <filter val="21120"/>
            <filter val="23540"/>
            <filter val="19040"/>
            <filter val="25960"/>
            <filter val="23300"/>
            <filter val="19280"/>
            <filter val="11328"/>
            <filter val="11327"/>
            <filter val="23780"/>
            <filter val="15920"/>
            <filter val="21360"/>
            <filter val="11322"/>
            <filter val="11321"/>
            <filter val="11324"/>
            <filter val="11323"/>
            <filter val="11326"/>
            <filter val="11325"/>
            <filter val="10480"/>
            <filter val="10240"/>
            <filter val="24640"/>
            <filter val="24400"/>
            <filter val="22460"/>
            <filter val="24880"/>
            <filter val="10000"/>
            <filter val="10242"/>
            <filter val="10241"/>
            <filter val="14600"/>
            <filter val="10001"/>
            <filter val="14601"/>
            <filter val="63140"/>
            <filter val="19260"/>
            <filter val="23520"/>
            <filter val="23762"/>
            <filter val="19020"/>
            <filter val="23763"/>
            <filter val="25940"/>
            <filter val="25700"/>
            <filter val="11540"/>
            <filter val="21580"/>
            <filter val="15900"/>
            <filter val="63380"/>
            <filter val="12880"/>
            <filter val="10460"/>
            <filter val="91840"/>
            <filter val="20020"/>
            <filter val="22440"/>
            <filter val="22200"/>
            <filter val="14827"/>
            <filter val="14828"/>
            <filter val="14825"/>
            <filter val="14826"/>
            <filter val="10220"/>
            <filter val="12400"/>
            <filter val="14820"/>
            <filter val="20260"/>
            <filter val="10221"/>
            <filter val="14823"/>
            <filter val="14824"/>
            <filter val="14821"/>
            <filter val="14822"/>
            <filter val="19243"/>
            <filter val="19000"/>
            <filter val="19242"/>
            <filter val="21560"/>
            <filter val="17060"/>
            <filter val="23980"/>
            <filter val="19480"/>
            <filter val="19241"/>
            <filter val="23740"/>
            <filter val="19240"/>
            <filter val="23500"/>
            <filter val="11520"/>
            <filter val="91860"/>
            <filter val="10680"/>
            <filter val="20240"/>
            <filter val="18160"/>
            <filter val="22660"/>
            <filter val="24840"/>
            <filter val="10440"/>
            <filter val="12620"/>
            <filter val="10200"/>
            <filter val="10201"/>
            <filter val="14800"/>
            <filter val="64260"/>
            <filter val="11061"/>
            <filter val="17840"/>
            <filter val="17841"/>
            <filter val="11063"/>
            <filter val="13000"/>
            <filter val="15421"/>
            <filter val="11062"/>
            <filter val="15420"/>
            <filter val="15660"/>
            <filter val="63500"/>
            <filter val="23280"/>
            <filter val="23040"/>
            <filter val="17600"/>
            <filter val="18940"/>
            <filter val="14100"/>
            <filter val="16520"/>
            <filter val="14340"/>
            <filter val="64840"/>
            <filter val="24140"/>
            <filter val="18700"/>
            <filter val="18701"/>
            <filter val="11280"/>
            <filter val="15640"/>
            <filter val="63520"/>
            <filter val="15880"/>
            <filter val="25680"/>
            <filter val="23260"/>
            <filter val="23020"/>
            <filter val="17820"/>
            <filter val="14320"/>
            <filter val="16741"/>
            <filter val="64860"/>
            <filter val="14560"/>
            <filter val="16980"/>
            <filter val="24360"/>
            <filter val="16500"/>
            <filter val="18920"/>
            <filter val="13440"/>
            <filter val="11260"/>
            <filter val="15860"/>
            <filter val="63300"/>
            <filter val="11020"/>
            <filter val="63301"/>
            <filter val="25660"/>
            <filter val="23240"/>
            <filter val="25420"/>
            <filter val="15620"/>
            <filter val="21060"/>
            <filter val="17800"/>
            <filter val="10180"/>
            <filter val="64880"/>
            <filter val="14540"/>
            <filter val="16960"/>
            <filter val="12360"/>
            <filter val="14780"/>
            <filter val="24580"/>
            <filter val="22160"/>
            <filter val="24340"/>
            <filter val="24100"/>
            <filter val="16720"/>
            <filter val="18900"/>
            <filter val="63320"/>
            <filter val="11480"/>
            <filter val="25880"/>
            <filter val="23460"/>
            <filter val="25640"/>
            <filter val="11000"/>
            <filter val="15600"/>
            <filter val="21040"/>
            <filter val="21280"/>
            <filter val="14760"/>
            <filter val="10160"/>
            <filter val="22380"/>
            <filter val="22140"/>
            <filter val="24320"/>
            <filter val="12100"/>
            <filter val="16700"/>
            <filter val="14520"/>
            <filter val="17200"/>
            <filter val="17201"/>
            <filter val="19620"/>
            <filter val="21940"/>
            <filter val="17680"/>
            <filter val="17440"/>
            <filter val="19860"/>
            <filter val="13080"/>
            <filter val="21700"/>
            <filter val="11900"/>
            <filter val="65080"/>
            <filter val="25060"/>
            <filter val="67020"/>
            <filter val="18300"/>
            <filter val="22800"/>
            <filter val="16120"/>
            <filter val="20620"/>
            <filter val="18780"/>
            <filter val="18540"/>
            <filter val="14180"/>
            <filter val="10820"/>
            <filter val="68120"/>
            <filter val="17420"/>
            <filter val="17662"/>
            <filter val="15240"/>
            <filter val="17663"/>
            <filter val="13060"/>
            <filter val="15480"/>
            <filter val="19600"/>
            <filter val="17661"/>
            <filter val="63920"/>
            <filter val="21920"/>
            <filter val="25040"/>
            <filter val="67040"/>
            <filter val="25280"/>
            <filter val="18520"/>
            <filter val="16340"/>
            <filter val="14160"/>
            <filter val="14161"/>
            <filter val="16580"/>
            <filter val="16100"/>
            <filter val="68140"/>
            <filter val="13040"/>
            <filter val="17640"/>
            <filter val="15460"/>
            <filter val="13280"/>
            <filter val="17400"/>
            <filter val="19820"/>
            <filter val="63940"/>
            <filter val="25020"/>
            <filter val="67060"/>
            <filter val="23080"/>
            <filter val="14140"/>
            <filter val="16561"/>
            <filter val="18740"/>
            <filter val="16560"/>
            <filter val="18741"/>
            <filter val="14380"/>
            <filter val="18742"/>
            <filter val="18743"/>
            <filter val="18980"/>
            <filter val="16320"/>
            <filter val="64800"/>
            <filter val="20820"/>
            <filter val="68160"/>
            <filter val="24180"/>
            <filter val="15681"/>
            <filter val="17860"/>
            <filter val="11080"/>
            <filter val="15680"/>
            <filter val="17620"/>
            <filter val="15200"/>
            <filter val="13020"/>
            <filter val="15440"/>
            <filter val="63960"/>
            <filter val="25480"/>
            <filter val="25240"/>
            <filter val="67080"/>
            <filter val="14360"/>
            <filter val="16780"/>
            <filter val="18720"/>
            <filter val="16300"/>
            <filter val="14120"/>
            <filter val="16540"/>
            <filter val="20800"/>
            <filter val="24160"/>
            <filter val="68180"/>
            <filter val="65000"/>
            <filter val="19100"/>
            <filter val="21420"/>
            <filter val="21660"/>
            <filter val="19580"/>
            <filter val="17160"/>
            <filter val="19340"/>
            <filter val="19582"/>
            <filter val="19581"/>
            <filter val="23600"/>
            <filter val="11860"/>
            <filter val="11620"/>
            <filter val="63060"/>
            <filter val="20340"/>
            <filter val="16080"/>
            <filter val="18260"/>
            <filter val="22760"/>
            <filter val="24940"/>
            <filter val="18020"/>
            <filter val="22520"/>
            <filter val="24700"/>
            <filter val="12960"/>
            <filter val="20580"/>
            <filter val="12961"/>
            <filter val="10540"/>
            <filter val="14900"/>
            <filter val="10300"/>
            <filter val="21400"/>
            <filter val="19320"/>
            <filter val="21640"/>
            <filter val="100680"/>
            <filter val="21880"/>
            <filter val="100681"/>
            <filter val="17380"/>
            <filter val="19560"/>
            <filter val="63080"/>
            <filter val="65020"/>
            <filter val="11600"/>
            <filter val="18000"/>
            <filter val="20560"/>
            <filter val="18480"/>
            <filter val="22980"/>
            <filter val="18240"/>
            <filter val="22740"/>
            <filter val="22500"/>
            <filter val="10760"/>
            <filter val="10520"/>
            <filter val="12940"/>
            <filter val="21860"/>
            <filter val="17120"/>
            <filter val="19300"/>
            <filter val="19780"/>
            <filter val="17360"/>
            <filter val="15180"/>
            <filter val="23800"/>
            <filter val="65040"/>
            <filter val="20300"/>
            <filter val="18220"/>
            <filter val="20780"/>
            <filter val="18460"/>
            <filter val="22960"/>
            <filter val="16040"/>
            <filter val="22720"/>
            <filter val="16280"/>
            <filter val="10980"/>
            <filter val="10741"/>
            <filter val="12920"/>
            <filter val="68320"/>
            <filter val="10740"/>
            <filter val="12921"/>
            <filter val="10500"/>
            <filter val="21600"/>
            <filter val="21840"/>
            <filter val="19760"/>
            <filter val="17340"/>
            <filter val="100240"/>
            <filter val="19520"/>
            <filter val="100241"/>
            <filter val="65060"/>
            <filter val="67000"/>
            <filter val="20520"/>
            <filter val="20760"/>
            <filter val="18440"/>
            <filter val="18200"/>
            <filter val="18680"/>
            <filter val="16260"/>
            <filter val="14080"/>
            <filter val="22700"/>
            <filter val="12900"/>
            <filter val="68100"/>
            <filter val="10960"/>
            <filter val="68341"/>
            <filter val="68340"/>
            <filter val="10720"/>
            <filter val="63460"/>
            <filter val="63220"/>
            <filter val="11461"/>
            <filter val="25620"/>
            <filter val="23680"/>
            <filter val="23440"/>
            <filter val="11221"/>
            <filter val="13400"/>
            <filter val="11220"/>
            <filter val="15820"/>
            <filter val="21260"/>
            <filter val="12560"/>
            <filter val="14980"/>
            <filter val="12561"/>
            <filter val="10140"/>
            <filter val="22360"/>
            <filter val="24540"/>
            <filter val="22120"/>
            <filter val="14500"/>
            <filter val="12562"/>
            <filter val="14740"/>
            <filter val="20180"/>
            <filter val="63240"/>
            <filter val="63000"/>
            <filter val="21000"/>
            <filter val="11680"/>
            <filter val="23420"/>
            <filter val="19160"/>
            <filter val="23660"/>
            <filter val="11441"/>
            <filter val="21240"/>
            <filter val="11200"/>
            <filter val="15800"/>
            <filter val="63480"/>
            <filter val="64340"/>
            <filter val="10360"/>
            <filter val="24520"/>
            <filter val="22100"/>
            <filter val="18080"/>
            <filter val="18081"/>
            <filter val="22580"/>
            <filter val="24760"/>
            <filter val="22340"/>
            <filter val="14960"/>
            <filter val="10122"/>
            <filter val="16900"/>
            <filter val="63020"/>
            <filter val="21220"/>
            <filter val="19140"/>
            <filter val="23640"/>
            <filter val="25820"/>
            <filter val="23400"/>
            <filter val="23401"/>
            <filter val="19380"/>
            <filter val="23880"/>
            <filter val="21460"/>
            <filter val="13841"/>
            <filter val="13842"/>
            <filter val="63260"/>
            <filter val="10580"/>
            <filter val="22320"/>
            <filter val="18060"/>
            <filter val="22560"/>
            <filter val="10341"/>
            <filter val="12520"/>
            <filter val="14940"/>
            <filter val="20140"/>
            <filter val="10340"/>
            <filter val="12760"/>
            <filter val="10100"/>
            <filter val="14700"/>
            <filter val="21440"/>
            <filter val="19360"/>
            <filter val="23860"/>
            <filter val="23620"/>
            <filter val="21680"/>
            <filter val="63040"/>
            <filter val="20120"/>
            <filter val="24960"/>
            <filter val="18040"/>
            <filter val="24720"/>
            <filter val="18280"/>
            <filter val="10561"/>
            <filter val="20360"/>
            <filter val="10560"/>
            <filter val="10321"/>
            <filter val="10320"/>
            <filter val="10322"/>
            <filter val="11180"/>
            <filter val="15780"/>
            <filter val="13360"/>
            <filter val="17960"/>
            <filter val="17720"/>
            <filter val="13121"/>
            <filter val="15300"/>
            <filter val="13122"/>
            <filter val="15540"/>
            <filter val="23160"/>
            <filter val="25340"/>
            <filter val="19900"/>
            <filter val="16880"/>
            <filter val="18820"/>
            <filter val="16400"/>
            <filter val="64960"/>
            <filter val="16640"/>
            <filter val="14220"/>
            <filter val="20900"/>
            <filter val="22080"/>
            <filter val="24260"/>
            <filter val="68080"/>
            <filter val="11160"/>
            <filter val="17940"/>
            <filter val="15520"/>
            <filter val="13100"/>
            <filter val="13340"/>
            <filter val="63400"/>
            <filter val="25560"/>
            <filter val="25320"/>
            <filter val="13101"/>
            <filter val="17700"/>
            <filter val="14680"/>
            <filter val="64980"/>
            <filter val="10081"/>
            <filter val="12020"/>
            <filter val="16620"/>
            <filter val="14200"/>
            <filter val="16861"/>
            <filter val="16860"/>
            <filter val="14440"/>
            <filter val="24480"/>
            <filter val="24240"/>
            <filter val="18803"/>
            <filter val="18804"/>
            <filter val="18805"/>
            <filter val="18806"/>
            <filter val="18800"/>
            <filter val="18801"/>
            <filter val="18802"/>
            <filter val="11382"/>
            <filter val="13561"/>
            <filter val="15740"/>
            <filter val="11381"/>
            <filter val="13320"/>
            <filter val="63420"/>
            <filter val="15980"/>
            <filter val="11141"/>
            <filter val="25300"/>
            <filter val="23360"/>
            <filter val="23120"/>
            <filter val="15500"/>
            <filter val="17920"/>
            <filter val="21180"/>
            <filter val="10060"/>
            <filter val="64760"/>
            <filter val="10062"/>
            <filter val="10061"/>
            <filter val="14660"/>
            <filter val="22280"/>
            <filter val="22040"/>
            <filter val="24220"/>
            <filter val="12001"/>
            <filter val="16600"/>
            <filter val="63440"/>
            <filter val="15960"/>
            <filter val="63200"/>
            <filter val="23100"/>
            <filter val="25520"/>
            <filter val="19080"/>
            <filter val="23580"/>
            <filter val="25760"/>
            <filter val="15964"/>
            <filter val="11121"/>
            <filter val="15963"/>
            <filter val="15720"/>
            <filter val="15962"/>
            <filter val="13300"/>
            <filter val="15961"/>
            <filter val="21160"/>
            <filter val="15966"/>
            <filter val="15965"/>
            <filter val="17900"/>
            <filter val="64780"/>
            <filter val="10280"/>
            <filter val="10040"/>
            <filter val="10281"/>
            <filter val="14640"/>
            <filter val="14880"/>
            <filter val="22260"/>
            <filter val="24440"/>
            <filter val="16821"/>
            <filter val="16820"/>
            <filter val="14400"/>
            <filter val="20080"/>
            <filter val="19500"/>
            <filter val="19742"/>
            <filter val="21820"/>
            <filter val="19741"/>
            <filter val="15140"/>
            <filter val="19980"/>
            <filter val="17560"/>
            <filter val="19740"/>
            <filter val="17320"/>
            <filter val="16000"/>
            <filter val="18663"/>
            <filter val="20500"/>
            <filter val="18664"/>
            <filter val="16240"/>
            <filter val="20740"/>
            <filter val="20980"/>
            <filter val="18660"/>
            <filter val="18661"/>
            <filter val="16001"/>
            <filter val="18420"/>
            <filter val="18662"/>
            <filter val="16480"/>
            <filter val="22920"/>
            <filter val="10700"/>
            <filter val="66060"/>
            <filter val="100620"/>
            <filter val="68000"/>
            <filter val="10941"/>
            <filter val="10940"/>
            <filter val="15120"/>
            <filter val="13181"/>
            <filter val="15360"/>
            <filter val="17780"/>
            <filter val="17781"/>
            <filter val="17540"/>
            <filter val="21800"/>
            <filter val="16220"/>
            <filter val="20720"/>
            <filter val="20960"/>
            <filter val="18881"/>
            <filter val="16221"/>
            <filter val="18640"/>
            <filter val="64900"/>
            <filter val="14280"/>
            <filter val="10920"/>
            <filter val="26020"/>
            <filter val="66080"/>
            <filter val="24080"/>
            <filter val="68020"/>
            <filter val="15340"/>
            <filter val="17761"/>
            <filter val="19940"/>
            <filter val="17762"/>
            <filter val="15580"/>
            <filter val="17763"/>
            <filter val="19700"/>
            <filter val="17764"/>
            <filter val="17760"/>
            <filter val="25380"/>
            <filter val="25140"/>
            <filter val="17765"/>
            <filter val="19701"/>
            <filter val="16440"/>
            <filter val="18620"/>
            <filter val="14260"/>
            <filter val="16200"/>
            <filter val="18860"/>
            <filter val="64920"/>
            <filter val="20700"/>
            <filter val="24060"/>
            <filter val="24061"/>
            <filter val="10900"/>
            <filter val="68040"/>
            <filter val="15560"/>
            <filter val="13140"/>
            <filter val="19920"/>
            <filter val="13380"/>
            <filter val="17500"/>
            <filter val="15561"/>
            <filter val="17980"/>
            <filter val="23180"/>
            <filter val="25360"/>
            <filter val="17501"/>
            <filter val="17502"/>
            <filter val="12060"/>
            <filter val="16660"/>
            <filter val="14240"/>
            <filter val="18840"/>
            <filter val="18841"/>
            <filter val="14480"/>
            <filter val="18600"/>
            <filter val="18842"/>
            <filter val="16420"/>
            <filter val="64940"/>
            <filter val="20920"/>
            <filter val="24280"/>
            <filter val="24040"/>
            <filter val="100640"/>
            <filter val="68060"/>
          </filters>
        </filterColumn>
      </autoFilter>
    </customSheetView>
    <customSheetView guid="{F940DA81-AF26-435A-B6B5-52C5FCBCC8C6}" filter="1" showAutoFilter="1">
      <autoFilter ref="$A$1:$V$2699">
        <filterColumn colId="1">
          <filters blank="1">
            <filter val="19220"/>
            <filter val="21540"/>
            <filter val="17280"/>
            <filter val="17041"/>
            <filter val="19460"/>
            <filter val="23720"/>
            <filter val="13921"/>
            <filter val="20220"/>
            <filter val="20460"/>
            <filter val="18380"/>
            <filter val="22880"/>
            <filter val="18381"/>
            <filter val="18140"/>
            <filter val="22640"/>
            <filter val="22400"/>
            <filter val="24820"/>
            <filter val="10660"/>
            <filter val="10420"/>
            <filter val="23702"/>
            <filter val="23703"/>
            <filter val="23704"/>
            <filter val="21520"/>
            <filter val="23705"/>
            <filter val="17020"/>
            <filter val="23706"/>
            <filter val="19440"/>
            <filter val="21760"/>
            <filter val="23707"/>
            <filter val="19200"/>
            <filter val="17260"/>
            <filter val="17261"/>
            <filter val="19680"/>
            <filter val="23940"/>
            <filter val="23700"/>
            <filter val="15080"/>
            <filter val="23701"/>
            <filter val="66000"/>
            <filter val="18120"/>
            <filter val="20440"/>
            <filter val="22860"/>
            <filter val="16180"/>
            <filter val="24800"/>
            <filter val="10880"/>
            <filter val="10640"/>
            <filter val="10881"/>
            <filter val="10400"/>
            <filter val="21740"/>
            <filter val="19660"/>
            <filter val="19421"/>
            <filter val="15060"/>
            <filter val="23921"/>
            <filter val="11940"/>
            <filter val="11700"/>
            <filter val="20420"/>
            <filter val="18340"/>
            <filter val="20660"/>
            <filter val="62900"/>
            <filter val="22600"/>
            <filter val="10860"/>
            <filter val="66020"/>
            <filter val="10621"/>
            <filter val="19642"/>
            <filter val="15040"/>
            <filter val="21960"/>
            <filter val="17460"/>
            <filter val="19880"/>
            <filter val="17220"/>
            <filter val="19641"/>
            <filter val="19640"/>
            <filter val="11922"/>
            <filter val="11921"/>
            <filter val="25080"/>
            <filter val="11920"/>
            <filter val="20400"/>
            <filter val="16140"/>
            <filter val="20640"/>
            <filter val="18560"/>
            <filter val="20880"/>
            <filter val="18320"/>
            <filter val="62920"/>
            <filter val="16380"/>
            <filter val="22820"/>
            <filter val="10840"/>
            <filter val="66040"/>
            <filter val="10841"/>
            <filter val="63340"/>
            <filter val="63100"/>
            <filter val="11340"/>
            <filter val="23320"/>
            <filter val="25740"/>
            <filter val="19060"/>
            <filter val="25980"/>
            <filter val="11100"/>
            <filter val="15700"/>
            <filter val="21140"/>
            <filter val="15940"/>
            <filter val="12440"/>
            <filter val="14860"/>
            <filter val="24420"/>
            <filter val="22480"/>
            <filter val="24661"/>
            <filter val="24660"/>
            <filter val="16800"/>
            <filter val="20060"/>
            <filter val="63360"/>
            <filter val="63120"/>
            <filter val="21120"/>
            <filter val="23540"/>
            <filter val="19040"/>
            <filter val="25960"/>
            <filter val="23300"/>
            <filter val="19280"/>
            <filter val="11328"/>
            <filter val="11327"/>
            <filter val="23780"/>
            <filter val="15920"/>
            <filter val="21360"/>
            <filter val="11322"/>
            <filter val="11321"/>
            <filter val="11324"/>
            <filter val="11323"/>
            <filter val="11326"/>
            <filter val="11325"/>
            <filter val="10480"/>
            <filter val="10240"/>
            <filter val="24640"/>
            <filter val="24400"/>
            <filter val="22460"/>
            <filter val="24880"/>
            <filter val="10000"/>
            <filter val="10242"/>
            <filter val="10241"/>
            <filter val="14600"/>
            <filter val="10001"/>
            <filter val="14601"/>
            <filter val="63140"/>
            <filter val="19260"/>
            <filter val="23520"/>
            <filter val="23762"/>
            <filter val="19020"/>
            <filter val="23763"/>
            <filter val="25940"/>
            <filter val="25700"/>
            <filter val="11540"/>
            <filter val="21580"/>
            <filter val="15900"/>
            <filter val="63380"/>
            <filter val="12880"/>
            <filter val="10460"/>
            <filter val="91840"/>
            <filter val="20020"/>
            <filter val="22440"/>
            <filter val="22200"/>
            <filter val="14827"/>
            <filter val="14828"/>
            <filter val="14825"/>
            <filter val="14826"/>
            <filter val="10220"/>
            <filter val="12400"/>
            <filter val="14820"/>
            <filter val="20260"/>
            <filter val="10221"/>
            <filter val="14823"/>
            <filter val="14824"/>
            <filter val="14821"/>
            <filter val="14822"/>
            <filter val="19243"/>
            <filter val="19000"/>
            <filter val="19242"/>
            <filter val="21560"/>
            <filter val="17060"/>
            <filter val="23980"/>
            <filter val="19480"/>
            <filter val="19241"/>
            <filter val="23740"/>
            <filter val="19240"/>
            <filter val="23500"/>
            <filter val="11520"/>
            <filter val="91860"/>
            <filter val="10680"/>
            <filter val="20240"/>
            <filter val="18160"/>
            <filter val="22660"/>
            <filter val="24840"/>
            <filter val="10440"/>
            <filter val="12620"/>
            <filter val="10200"/>
            <filter val="10201"/>
            <filter val="14800"/>
            <filter val="64260"/>
            <filter val="11061"/>
            <filter val="17840"/>
            <filter val="17841"/>
            <filter val="11063"/>
            <filter val="13000"/>
            <filter val="15421"/>
            <filter val="11062"/>
            <filter val="15420"/>
            <filter val="15660"/>
            <filter val="63500"/>
            <filter val="23280"/>
            <filter val="23040"/>
            <filter val="17600"/>
            <filter val="18940"/>
            <filter val="14100"/>
            <filter val="16520"/>
            <filter val="14340"/>
            <filter val="64840"/>
            <filter val="24140"/>
            <filter val="18700"/>
            <filter val="18701"/>
            <filter val="11280"/>
            <filter val="15640"/>
            <filter val="63520"/>
            <filter val="15880"/>
            <filter val="25680"/>
            <filter val="23260"/>
            <filter val="23020"/>
            <filter val="17820"/>
            <filter val="14320"/>
            <filter val="16741"/>
            <filter val="64860"/>
            <filter val="14560"/>
            <filter val="16980"/>
            <filter val="24360"/>
            <filter val="16500"/>
            <filter val="18920"/>
            <filter val="13440"/>
            <filter val="11260"/>
            <filter val="15860"/>
            <filter val="63300"/>
            <filter val="11020"/>
            <filter val="63301"/>
            <filter val="25660"/>
            <filter val="23240"/>
            <filter val="25420"/>
            <filter val="15620"/>
            <filter val="21060"/>
            <filter val="17800"/>
            <filter val="10180"/>
            <filter val="64880"/>
            <filter val="14540"/>
            <filter val="16960"/>
            <filter val="12360"/>
            <filter val="14780"/>
            <filter val="24580"/>
            <filter val="22160"/>
            <filter val="24340"/>
            <filter val="24100"/>
            <filter val="16720"/>
            <filter val="18900"/>
            <filter val="63320"/>
            <filter val="11480"/>
            <filter val="25880"/>
            <filter val="23460"/>
            <filter val="25640"/>
            <filter val="11000"/>
            <filter val="15600"/>
            <filter val="21040"/>
            <filter val="21280"/>
            <filter val="14760"/>
            <filter val="10160"/>
            <filter val="22380"/>
            <filter val="22140"/>
            <filter val="24320"/>
            <filter val="12100"/>
            <filter val="16700"/>
            <filter val="14520"/>
            <filter val="17200"/>
            <filter val="17201"/>
            <filter val="19620"/>
            <filter val="21940"/>
            <filter val="17680"/>
            <filter val="17440"/>
            <filter val="19860"/>
            <filter val="13080"/>
            <filter val="21700"/>
            <filter val="11900"/>
            <filter val="65080"/>
            <filter val="25060"/>
            <filter val="67020"/>
            <filter val="18300"/>
            <filter val="22800"/>
            <filter val="16120"/>
            <filter val="20620"/>
            <filter val="18780"/>
            <filter val="18540"/>
            <filter val="14180"/>
            <filter val="10820"/>
            <filter val="68120"/>
            <filter val="17420"/>
            <filter val="17662"/>
            <filter val="15240"/>
            <filter val="17663"/>
            <filter val="13060"/>
            <filter val="15480"/>
            <filter val="19600"/>
            <filter val="17661"/>
            <filter val="63920"/>
            <filter val="21920"/>
            <filter val="25040"/>
            <filter val="67040"/>
            <filter val="25280"/>
            <filter val="18520"/>
            <filter val="16340"/>
            <filter val="14160"/>
            <filter val="14161"/>
            <filter val="16580"/>
            <filter val="16100"/>
            <filter val="68140"/>
            <filter val="13040"/>
            <filter val="17640"/>
            <filter val="15460"/>
            <filter val="13280"/>
            <filter val="17400"/>
            <filter val="19820"/>
            <filter val="63940"/>
            <filter val="25020"/>
            <filter val="67060"/>
            <filter val="23080"/>
            <filter val="14140"/>
            <filter val="16561"/>
            <filter val="18740"/>
            <filter val="16560"/>
            <filter val="18741"/>
            <filter val="14380"/>
            <filter val="18742"/>
            <filter val="18743"/>
            <filter val="18980"/>
            <filter val="16320"/>
            <filter val="64800"/>
            <filter val="20820"/>
            <filter val="68160"/>
            <filter val="24180"/>
            <filter val="15681"/>
            <filter val="17860"/>
            <filter val="11080"/>
            <filter val="15680"/>
            <filter val="17620"/>
            <filter val="15200"/>
            <filter val="13020"/>
            <filter val="15440"/>
            <filter val="63960"/>
            <filter val="25480"/>
            <filter val="25240"/>
            <filter val="67080"/>
            <filter val="14360"/>
            <filter val="16780"/>
            <filter val="18720"/>
            <filter val="16300"/>
            <filter val="14120"/>
            <filter val="16540"/>
            <filter val="20800"/>
            <filter val="24160"/>
            <filter val="68180"/>
            <filter val="65000"/>
            <filter val="19100"/>
            <filter val="21420"/>
            <filter val="21660"/>
            <filter val="19580"/>
            <filter val="17160"/>
            <filter val="19340"/>
            <filter val="19582"/>
            <filter val="19581"/>
            <filter val="23600"/>
            <filter val="11860"/>
            <filter val="11620"/>
            <filter val="63060"/>
            <filter val="20340"/>
            <filter val="16080"/>
            <filter val="18260"/>
            <filter val="22760"/>
            <filter val="24940"/>
            <filter val="18020"/>
            <filter val="22520"/>
            <filter val="24700"/>
            <filter val="12960"/>
            <filter val="20580"/>
            <filter val="12961"/>
            <filter val="10540"/>
            <filter val="14900"/>
            <filter val="10300"/>
            <filter val="21400"/>
            <filter val="19320"/>
            <filter val="21640"/>
            <filter val="100680"/>
            <filter val="21880"/>
            <filter val="100681"/>
            <filter val="17380"/>
            <filter val="19560"/>
            <filter val="63080"/>
            <filter val="65020"/>
            <filter val="11600"/>
            <filter val="18000"/>
            <filter val="20560"/>
            <filter val="18480"/>
            <filter val="22980"/>
            <filter val="18240"/>
            <filter val="22740"/>
            <filter val="22500"/>
            <filter val="10760"/>
            <filter val="10520"/>
            <filter val="12940"/>
            <filter val="21860"/>
            <filter val="17120"/>
            <filter val="19300"/>
            <filter val="19780"/>
            <filter val="17360"/>
            <filter val="15180"/>
            <filter val="23800"/>
            <filter val="65040"/>
            <filter val="20300"/>
            <filter val="18220"/>
            <filter val="20780"/>
            <filter val="18460"/>
            <filter val="22960"/>
            <filter val="16040"/>
            <filter val="22720"/>
            <filter val="16280"/>
            <filter val="10980"/>
            <filter val="10741"/>
            <filter val="12920"/>
            <filter val="68320"/>
            <filter val="10740"/>
            <filter val="12921"/>
            <filter val="10500"/>
            <filter val="21600"/>
            <filter val="21840"/>
            <filter val="19760"/>
            <filter val="17340"/>
            <filter val="100240"/>
            <filter val="19520"/>
            <filter val="100241"/>
            <filter val="65060"/>
            <filter val="67000"/>
            <filter val="20520"/>
            <filter val="20760"/>
            <filter val="18440"/>
            <filter val="18200"/>
            <filter val="18680"/>
            <filter val="16260"/>
            <filter val="14080"/>
            <filter val="22700"/>
            <filter val="12900"/>
            <filter val="68100"/>
            <filter val="10960"/>
            <filter val="68341"/>
            <filter val="68340"/>
            <filter val="10720"/>
            <filter val="63460"/>
            <filter val="63220"/>
            <filter val="11461"/>
            <filter val="25620"/>
            <filter val="23680"/>
            <filter val="23440"/>
            <filter val="11221"/>
            <filter val="13400"/>
            <filter val="11220"/>
            <filter val="15820"/>
            <filter val="21260"/>
            <filter val="12560"/>
            <filter val="14980"/>
            <filter val="12561"/>
            <filter val="10140"/>
            <filter val="22360"/>
            <filter val="24540"/>
            <filter val="22120"/>
            <filter val="14500"/>
            <filter val="12562"/>
            <filter val="14740"/>
            <filter val="20180"/>
            <filter val="63240"/>
            <filter val="63000"/>
            <filter val="21000"/>
            <filter val="11680"/>
            <filter val="23420"/>
            <filter val="19160"/>
            <filter val="23660"/>
            <filter val="11441"/>
            <filter val="21240"/>
            <filter val="11200"/>
            <filter val="15800"/>
            <filter val="63480"/>
            <filter val="64340"/>
            <filter val="10360"/>
            <filter val="24520"/>
            <filter val="22100"/>
            <filter val="18080"/>
            <filter val="18081"/>
            <filter val="22580"/>
            <filter val="24760"/>
            <filter val="22340"/>
            <filter val="14960"/>
            <filter val="10122"/>
            <filter val="16900"/>
            <filter val="63020"/>
            <filter val="21220"/>
            <filter val="19140"/>
            <filter val="23640"/>
            <filter val="25820"/>
            <filter val="23400"/>
            <filter val="23401"/>
            <filter val="19380"/>
            <filter val="23880"/>
            <filter val="21460"/>
            <filter val="13841"/>
            <filter val="13842"/>
            <filter val="63260"/>
            <filter val="10580"/>
            <filter val="22320"/>
            <filter val="18060"/>
            <filter val="22560"/>
            <filter val="10341"/>
            <filter val="12520"/>
            <filter val="14940"/>
            <filter val="20140"/>
            <filter val="10340"/>
            <filter val="12760"/>
            <filter val="10100"/>
            <filter val="14700"/>
            <filter val="21440"/>
            <filter val="19360"/>
            <filter val="23860"/>
            <filter val="23620"/>
            <filter val="21680"/>
            <filter val="63040"/>
            <filter val="20120"/>
            <filter val="24960"/>
            <filter val="18040"/>
            <filter val="24720"/>
            <filter val="18280"/>
            <filter val="10561"/>
            <filter val="20360"/>
            <filter val="10560"/>
            <filter val="10321"/>
            <filter val="10320"/>
            <filter val="10322"/>
            <filter val="11180"/>
            <filter val="15780"/>
            <filter val="13360"/>
            <filter val="17960"/>
            <filter val="17720"/>
            <filter val="13121"/>
            <filter val="15300"/>
            <filter val="13122"/>
            <filter val="15540"/>
            <filter val="23160"/>
            <filter val="25340"/>
            <filter val="19900"/>
            <filter val="16880"/>
            <filter val="18820"/>
            <filter val="16400"/>
            <filter val="64960"/>
            <filter val="16640"/>
            <filter val="14220"/>
            <filter val="20900"/>
            <filter val="22080"/>
            <filter val="24260"/>
            <filter val="68080"/>
            <filter val="11160"/>
            <filter val="17940"/>
            <filter val="15520"/>
            <filter val="13100"/>
            <filter val="13340"/>
            <filter val="63400"/>
            <filter val="25560"/>
            <filter val="25320"/>
            <filter val="13101"/>
            <filter val="17700"/>
            <filter val="14680"/>
            <filter val="64980"/>
            <filter val="10081"/>
            <filter val="12020"/>
            <filter val="16620"/>
            <filter val="14200"/>
            <filter val="16861"/>
            <filter val="16860"/>
            <filter val="14440"/>
            <filter val="24480"/>
            <filter val="24240"/>
            <filter val="18803"/>
            <filter val="18804"/>
            <filter val="18805"/>
            <filter val="18806"/>
            <filter val="18800"/>
            <filter val="18801"/>
            <filter val="18802"/>
            <filter val="11382"/>
            <filter val="13561"/>
            <filter val="15740"/>
            <filter val="11381"/>
            <filter val="13320"/>
            <filter val="63420"/>
            <filter val="15980"/>
            <filter val="11141"/>
            <filter val="25300"/>
            <filter val="23360"/>
            <filter val="23120"/>
            <filter val="15500"/>
            <filter val="17920"/>
            <filter val="21180"/>
            <filter val="10060"/>
            <filter val="64760"/>
            <filter val="10062"/>
            <filter val="10061"/>
            <filter val="14660"/>
            <filter val="22280"/>
            <filter val="22040"/>
            <filter val="24220"/>
            <filter val="12001"/>
            <filter val="16600"/>
            <filter val="63440"/>
            <filter val="15960"/>
            <filter val="63200"/>
            <filter val="23100"/>
            <filter val="25520"/>
            <filter val="19080"/>
            <filter val="23580"/>
            <filter val="25760"/>
            <filter val="15964"/>
            <filter val="11121"/>
            <filter val="15963"/>
            <filter val="15720"/>
            <filter val="15962"/>
            <filter val="13300"/>
            <filter val="15961"/>
            <filter val="21160"/>
            <filter val="15966"/>
            <filter val="15965"/>
            <filter val="17900"/>
            <filter val="64780"/>
            <filter val="10280"/>
            <filter val="10040"/>
            <filter val="10281"/>
            <filter val="14640"/>
            <filter val="14880"/>
            <filter val="22260"/>
            <filter val="24440"/>
            <filter val="16821"/>
            <filter val="16820"/>
            <filter val="14400"/>
            <filter val="20080"/>
            <filter val="19500"/>
            <filter val="19742"/>
            <filter val="21820"/>
            <filter val="19741"/>
            <filter val="15140"/>
            <filter val="19980"/>
            <filter val="17560"/>
            <filter val="19740"/>
            <filter val="17320"/>
            <filter val="16000"/>
            <filter val="18663"/>
            <filter val="20500"/>
            <filter val="18664"/>
            <filter val="16240"/>
            <filter val="20740"/>
            <filter val="20980"/>
            <filter val="18660"/>
            <filter val="18661"/>
            <filter val="16001"/>
            <filter val="18420"/>
            <filter val="18662"/>
            <filter val="16480"/>
            <filter val="22920"/>
            <filter val="10700"/>
            <filter val="66060"/>
            <filter val="100620"/>
            <filter val="68000"/>
            <filter val="10941"/>
            <filter val="10940"/>
            <filter val="15120"/>
            <filter val="13181"/>
            <filter val="15360"/>
            <filter val="17780"/>
            <filter val="17781"/>
            <filter val="17540"/>
            <filter val="21800"/>
            <filter val="16220"/>
            <filter val="20720"/>
            <filter val="20960"/>
            <filter val="18881"/>
            <filter val="16221"/>
            <filter val="18640"/>
            <filter val="64900"/>
            <filter val="14280"/>
            <filter val="10920"/>
            <filter val="26020"/>
            <filter val="66080"/>
            <filter val="24080"/>
            <filter val="68020"/>
            <filter val="15340"/>
            <filter val="17761"/>
            <filter val="19940"/>
            <filter val="17762"/>
            <filter val="15580"/>
            <filter val="17763"/>
            <filter val="19700"/>
            <filter val="17764"/>
            <filter val="17760"/>
            <filter val="25380"/>
            <filter val="25140"/>
            <filter val="17765"/>
            <filter val="19701"/>
            <filter val="16440"/>
            <filter val="18620"/>
            <filter val="14260"/>
            <filter val="16200"/>
            <filter val="18860"/>
            <filter val="64920"/>
            <filter val="20700"/>
            <filter val="24060"/>
            <filter val="24061"/>
            <filter val="10900"/>
            <filter val="68040"/>
            <filter val="15560"/>
            <filter val="13140"/>
            <filter val="19920"/>
            <filter val="13380"/>
            <filter val="17500"/>
            <filter val="15561"/>
            <filter val="17980"/>
            <filter val="23180"/>
            <filter val="25360"/>
            <filter val="17501"/>
            <filter val="17502"/>
            <filter val="12060"/>
            <filter val="16660"/>
            <filter val="14240"/>
            <filter val="18840"/>
            <filter val="18841"/>
            <filter val="14480"/>
            <filter val="18600"/>
            <filter val="18842"/>
            <filter val="16420"/>
            <filter val="64940"/>
            <filter val="20920"/>
            <filter val="24280"/>
            <filter val="24040"/>
            <filter val="100640"/>
            <filter val="68060"/>
          </filters>
        </filterColumn>
      </autoFilter>
    </customSheetView>
    <customSheetView guid="{EA39167F-EE8A-47A8-A55A-7401F35D6ACC}" filter="1" showAutoFilter="1">
      <autoFilter ref="$A$1:$V$2699">
        <filterColumn colId="1">
          <filters blank="1">
            <filter val="19220"/>
            <filter val="21540"/>
            <filter val="17280"/>
            <filter val="17041"/>
            <filter val="19460"/>
            <filter val="23720"/>
            <filter val="13921"/>
            <filter val="20220"/>
            <filter val="20460"/>
            <filter val="18380"/>
            <filter val="22880"/>
            <filter val="18381"/>
            <filter val="18140"/>
            <filter val="22640"/>
            <filter val="22400"/>
            <filter val="24820"/>
            <filter val="10660"/>
            <filter val="10420"/>
            <filter val="23702"/>
            <filter val="23703"/>
            <filter val="23704"/>
            <filter val="21520"/>
            <filter val="23705"/>
            <filter val="17020"/>
            <filter val="23706"/>
            <filter val="19440"/>
            <filter val="21760"/>
            <filter val="23707"/>
            <filter val="19200"/>
            <filter val="17260"/>
            <filter val="17261"/>
            <filter val="19680"/>
            <filter val="23940"/>
            <filter val="23700"/>
            <filter val="15080"/>
            <filter val="23701"/>
            <filter val="66000"/>
            <filter val="18120"/>
            <filter val="20440"/>
            <filter val="22860"/>
            <filter val="16180"/>
            <filter val="24800"/>
            <filter val="10880"/>
            <filter val="10640"/>
            <filter val="10881"/>
            <filter val="10400"/>
            <filter val="21740"/>
            <filter val="19660"/>
            <filter val="19421"/>
            <filter val="15060"/>
            <filter val="23921"/>
            <filter val="11940"/>
            <filter val="11700"/>
            <filter val="20420"/>
            <filter val="18340"/>
            <filter val="20660"/>
            <filter val="62900"/>
            <filter val="22600"/>
            <filter val="10860"/>
            <filter val="66020"/>
            <filter val="10621"/>
            <filter val="19642"/>
            <filter val="15040"/>
            <filter val="21960"/>
            <filter val="17460"/>
            <filter val="19880"/>
            <filter val="17220"/>
            <filter val="19641"/>
            <filter val="19640"/>
            <filter val="11922"/>
            <filter val="11921"/>
            <filter val="25080"/>
            <filter val="11920"/>
            <filter val="20400"/>
            <filter val="16140"/>
            <filter val="20640"/>
            <filter val="18560"/>
            <filter val="20880"/>
            <filter val="18320"/>
            <filter val="62920"/>
            <filter val="16380"/>
            <filter val="22820"/>
            <filter val="10840"/>
            <filter val="66040"/>
            <filter val="10841"/>
            <filter val="63340"/>
            <filter val="63100"/>
            <filter val="11340"/>
            <filter val="23320"/>
            <filter val="25740"/>
            <filter val="19060"/>
            <filter val="25980"/>
            <filter val="11100"/>
            <filter val="15700"/>
            <filter val="21140"/>
            <filter val="15940"/>
            <filter val="12440"/>
            <filter val="14860"/>
            <filter val="24420"/>
            <filter val="22480"/>
            <filter val="24661"/>
            <filter val="24660"/>
            <filter val="16800"/>
            <filter val="20060"/>
            <filter val="63360"/>
            <filter val="63120"/>
            <filter val="21120"/>
            <filter val="23540"/>
            <filter val="19040"/>
            <filter val="25960"/>
            <filter val="23300"/>
            <filter val="19280"/>
            <filter val="11328"/>
            <filter val="11327"/>
            <filter val="23780"/>
            <filter val="15920"/>
            <filter val="21360"/>
            <filter val="11322"/>
            <filter val="11321"/>
            <filter val="11324"/>
            <filter val="11323"/>
            <filter val="11326"/>
            <filter val="11325"/>
            <filter val="10480"/>
            <filter val="10240"/>
            <filter val="24640"/>
            <filter val="24400"/>
            <filter val="22460"/>
            <filter val="24880"/>
            <filter val="10000"/>
            <filter val="10242"/>
            <filter val="10241"/>
            <filter val="14600"/>
            <filter val="10001"/>
            <filter val="14601"/>
            <filter val="63140"/>
            <filter val="19260"/>
            <filter val="23520"/>
            <filter val="23762"/>
            <filter val="19020"/>
            <filter val="23763"/>
            <filter val="25940"/>
            <filter val="25700"/>
            <filter val="11540"/>
            <filter val="21580"/>
            <filter val="15900"/>
            <filter val="63380"/>
            <filter val="12880"/>
            <filter val="10460"/>
            <filter val="91840"/>
            <filter val="20020"/>
            <filter val="22440"/>
            <filter val="22200"/>
            <filter val="14827"/>
            <filter val="14828"/>
            <filter val="14825"/>
            <filter val="14826"/>
            <filter val="10220"/>
            <filter val="12400"/>
            <filter val="14820"/>
            <filter val="20260"/>
            <filter val="10221"/>
            <filter val="14823"/>
            <filter val="14824"/>
            <filter val="14821"/>
            <filter val="14822"/>
            <filter val="19243"/>
            <filter val="19000"/>
            <filter val="19242"/>
            <filter val="21560"/>
            <filter val="17060"/>
            <filter val="23980"/>
            <filter val="19480"/>
            <filter val="19241"/>
            <filter val="23740"/>
            <filter val="19240"/>
            <filter val="23500"/>
            <filter val="11520"/>
            <filter val="91860"/>
            <filter val="10680"/>
            <filter val="20240"/>
            <filter val="18160"/>
            <filter val="22660"/>
            <filter val="24840"/>
            <filter val="10440"/>
            <filter val="12620"/>
            <filter val="10200"/>
            <filter val="10201"/>
            <filter val="14800"/>
            <filter val="64260"/>
            <filter val="11061"/>
            <filter val="17840"/>
            <filter val="17841"/>
            <filter val="11063"/>
            <filter val="13000"/>
            <filter val="15421"/>
            <filter val="11062"/>
            <filter val="15420"/>
            <filter val="15660"/>
            <filter val="63500"/>
            <filter val="23280"/>
            <filter val="23040"/>
            <filter val="17600"/>
            <filter val="18940"/>
            <filter val="14100"/>
            <filter val="16520"/>
            <filter val="14340"/>
            <filter val="64840"/>
            <filter val="24140"/>
            <filter val="18700"/>
            <filter val="18701"/>
            <filter val="11280"/>
            <filter val="15640"/>
            <filter val="63520"/>
            <filter val="15880"/>
            <filter val="25680"/>
            <filter val="23260"/>
            <filter val="23020"/>
            <filter val="17820"/>
            <filter val="14320"/>
            <filter val="16741"/>
            <filter val="64860"/>
            <filter val="14560"/>
            <filter val="16980"/>
            <filter val="24360"/>
            <filter val="16500"/>
            <filter val="18920"/>
            <filter val="13440"/>
            <filter val="11260"/>
            <filter val="15860"/>
            <filter val="63300"/>
            <filter val="11020"/>
            <filter val="63301"/>
            <filter val="25660"/>
            <filter val="23240"/>
            <filter val="25420"/>
            <filter val="15620"/>
            <filter val="21060"/>
            <filter val="17800"/>
            <filter val="10180"/>
            <filter val="64880"/>
            <filter val="14540"/>
            <filter val="16960"/>
            <filter val="12360"/>
            <filter val="14780"/>
            <filter val="24580"/>
            <filter val="22160"/>
            <filter val="24340"/>
            <filter val="24100"/>
            <filter val="16720"/>
            <filter val="18900"/>
            <filter val="63320"/>
            <filter val="11480"/>
            <filter val="25880"/>
            <filter val="23460"/>
            <filter val="25640"/>
            <filter val="11000"/>
            <filter val="15600"/>
            <filter val="21040"/>
            <filter val="21280"/>
            <filter val="14760"/>
            <filter val="10160"/>
            <filter val="22380"/>
            <filter val="22140"/>
            <filter val="24320"/>
            <filter val="12100"/>
            <filter val="16700"/>
            <filter val="14520"/>
            <filter val="17200"/>
            <filter val="17201"/>
            <filter val="19620"/>
            <filter val="21940"/>
            <filter val="17680"/>
            <filter val="17440"/>
            <filter val="19860"/>
            <filter val="13080"/>
            <filter val="21700"/>
            <filter val="11900"/>
            <filter val="65080"/>
            <filter val="25060"/>
            <filter val="67020"/>
            <filter val="18300"/>
            <filter val="22800"/>
            <filter val="16120"/>
            <filter val="20620"/>
            <filter val="18780"/>
            <filter val="18540"/>
            <filter val="14180"/>
            <filter val="10820"/>
            <filter val="68120"/>
            <filter val="17420"/>
            <filter val="17662"/>
            <filter val="15240"/>
            <filter val="17663"/>
            <filter val="13060"/>
            <filter val="15480"/>
            <filter val="19600"/>
            <filter val="17661"/>
            <filter val="63920"/>
            <filter val="21920"/>
            <filter val="25040"/>
            <filter val="67040"/>
            <filter val="25280"/>
            <filter val="18520"/>
            <filter val="16340"/>
            <filter val="14160"/>
            <filter val="14161"/>
            <filter val="16580"/>
            <filter val="16100"/>
            <filter val="68140"/>
            <filter val="13040"/>
            <filter val="17640"/>
            <filter val="15460"/>
            <filter val="13280"/>
            <filter val="17400"/>
            <filter val="19820"/>
            <filter val="63940"/>
            <filter val="25020"/>
            <filter val="67060"/>
            <filter val="23080"/>
            <filter val="14140"/>
            <filter val="16561"/>
            <filter val="18740"/>
            <filter val="16560"/>
            <filter val="18741"/>
            <filter val="14380"/>
            <filter val="18742"/>
            <filter val="18743"/>
            <filter val="18980"/>
            <filter val="16320"/>
            <filter val="64800"/>
            <filter val="20820"/>
            <filter val="68160"/>
            <filter val="24180"/>
            <filter val="15681"/>
            <filter val="17860"/>
            <filter val="11080"/>
            <filter val="15680"/>
            <filter val="17620"/>
            <filter val="15200"/>
            <filter val="13020"/>
            <filter val="15440"/>
            <filter val="63960"/>
            <filter val="25480"/>
            <filter val="25240"/>
            <filter val="67080"/>
            <filter val="14360"/>
            <filter val="16780"/>
            <filter val="18720"/>
            <filter val="16300"/>
            <filter val="14120"/>
            <filter val="16540"/>
            <filter val="20800"/>
            <filter val="24160"/>
            <filter val="68180"/>
            <filter val="65000"/>
            <filter val="19100"/>
            <filter val="21420"/>
            <filter val="21660"/>
            <filter val="19580"/>
            <filter val="17160"/>
            <filter val="19340"/>
            <filter val="19582"/>
            <filter val="19581"/>
            <filter val="23600"/>
            <filter val="11860"/>
            <filter val="11620"/>
            <filter val="63060"/>
            <filter val="20340"/>
            <filter val="16080"/>
            <filter val="18260"/>
            <filter val="22760"/>
            <filter val="24940"/>
            <filter val="18020"/>
            <filter val="22520"/>
            <filter val="24700"/>
            <filter val="12960"/>
            <filter val="20580"/>
            <filter val="12961"/>
            <filter val="10540"/>
            <filter val="14900"/>
            <filter val="10300"/>
            <filter val="21400"/>
            <filter val="19320"/>
            <filter val="21640"/>
            <filter val="100680"/>
            <filter val="21880"/>
            <filter val="100681"/>
            <filter val="17380"/>
            <filter val="19560"/>
            <filter val="63080"/>
            <filter val="65020"/>
            <filter val="11600"/>
            <filter val="18000"/>
            <filter val="20560"/>
            <filter val="18480"/>
            <filter val="22980"/>
            <filter val="18240"/>
            <filter val="22740"/>
            <filter val="22500"/>
            <filter val="10760"/>
            <filter val="10520"/>
            <filter val="12940"/>
            <filter val="21860"/>
            <filter val="17120"/>
            <filter val="19300"/>
            <filter val="19780"/>
            <filter val="17360"/>
            <filter val="15180"/>
            <filter val="23800"/>
            <filter val="65040"/>
            <filter val="20300"/>
            <filter val="18220"/>
            <filter val="20780"/>
            <filter val="18460"/>
            <filter val="22960"/>
            <filter val="16040"/>
            <filter val="22720"/>
            <filter val="16280"/>
            <filter val="10980"/>
            <filter val="10741"/>
            <filter val="12920"/>
            <filter val="68320"/>
            <filter val="10740"/>
            <filter val="12921"/>
            <filter val="10500"/>
            <filter val="21600"/>
            <filter val="21840"/>
            <filter val="19760"/>
            <filter val="17340"/>
            <filter val="100240"/>
            <filter val="19520"/>
            <filter val="100241"/>
            <filter val="65060"/>
            <filter val="67000"/>
            <filter val="20520"/>
            <filter val="20760"/>
            <filter val="18440"/>
            <filter val="18200"/>
            <filter val="18680"/>
            <filter val="16260"/>
            <filter val="14080"/>
            <filter val="22700"/>
            <filter val="12900"/>
            <filter val="68100"/>
            <filter val="10960"/>
            <filter val="68341"/>
            <filter val="68340"/>
            <filter val="10720"/>
            <filter val="63460"/>
            <filter val="63220"/>
            <filter val="11461"/>
            <filter val="25620"/>
            <filter val="23680"/>
            <filter val="23440"/>
            <filter val="11221"/>
            <filter val="13400"/>
            <filter val="11220"/>
            <filter val="15820"/>
            <filter val="21260"/>
            <filter val="12560"/>
            <filter val="14980"/>
            <filter val="12561"/>
            <filter val="10140"/>
            <filter val="22360"/>
            <filter val="24540"/>
            <filter val="22120"/>
            <filter val="14500"/>
            <filter val="12562"/>
            <filter val="14740"/>
            <filter val="20180"/>
            <filter val="63240"/>
            <filter val="63000"/>
            <filter val="21000"/>
            <filter val="11680"/>
            <filter val="23420"/>
            <filter val="19160"/>
            <filter val="23660"/>
            <filter val="11441"/>
            <filter val="21240"/>
            <filter val="11200"/>
            <filter val="15800"/>
            <filter val="63480"/>
            <filter val="64340"/>
            <filter val="10360"/>
            <filter val="24520"/>
            <filter val="22100"/>
            <filter val="18080"/>
            <filter val="18081"/>
            <filter val="22580"/>
            <filter val="24760"/>
            <filter val="22340"/>
            <filter val="14960"/>
            <filter val="10122"/>
            <filter val="16900"/>
            <filter val="63020"/>
            <filter val="21220"/>
            <filter val="19140"/>
            <filter val="23640"/>
            <filter val="25820"/>
            <filter val="23400"/>
            <filter val="23401"/>
            <filter val="19380"/>
            <filter val="23880"/>
            <filter val="21460"/>
            <filter val="13841"/>
            <filter val="13842"/>
            <filter val="63260"/>
            <filter val="10580"/>
            <filter val="22320"/>
            <filter val="18060"/>
            <filter val="22560"/>
            <filter val="10341"/>
            <filter val="12520"/>
            <filter val="14940"/>
            <filter val="20140"/>
            <filter val="10340"/>
            <filter val="12760"/>
            <filter val="10100"/>
            <filter val="14700"/>
            <filter val="21440"/>
            <filter val="19360"/>
            <filter val="23860"/>
            <filter val="23620"/>
            <filter val="21680"/>
            <filter val="63040"/>
            <filter val="20120"/>
            <filter val="24960"/>
            <filter val="18040"/>
            <filter val="24720"/>
            <filter val="18280"/>
            <filter val="10561"/>
            <filter val="20360"/>
            <filter val="10560"/>
            <filter val="10321"/>
            <filter val="10320"/>
            <filter val="10322"/>
            <filter val="11180"/>
            <filter val="15780"/>
            <filter val="13360"/>
            <filter val="17960"/>
            <filter val="17720"/>
            <filter val="13121"/>
            <filter val="15300"/>
            <filter val="13122"/>
            <filter val="15540"/>
            <filter val="23160"/>
            <filter val="25340"/>
            <filter val="19900"/>
            <filter val="16880"/>
            <filter val="18820"/>
            <filter val="16400"/>
            <filter val="64960"/>
            <filter val="16640"/>
            <filter val="14220"/>
            <filter val="20900"/>
            <filter val="22080"/>
            <filter val="24260"/>
            <filter val="68080"/>
            <filter val="11160"/>
            <filter val="17940"/>
            <filter val="15520"/>
            <filter val="13100"/>
            <filter val="13340"/>
            <filter val="63400"/>
            <filter val="25560"/>
            <filter val="25320"/>
            <filter val="13101"/>
            <filter val="17700"/>
            <filter val="14680"/>
            <filter val="64980"/>
            <filter val="10081"/>
            <filter val="12020"/>
            <filter val="16620"/>
            <filter val="14200"/>
            <filter val="16861"/>
            <filter val="16860"/>
            <filter val="14440"/>
            <filter val="24480"/>
            <filter val="24240"/>
            <filter val="18803"/>
            <filter val="18804"/>
            <filter val="18805"/>
            <filter val="18806"/>
            <filter val="18800"/>
            <filter val="18801"/>
            <filter val="18802"/>
            <filter val="11382"/>
            <filter val="13561"/>
            <filter val="15740"/>
            <filter val="11381"/>
            <filter val="13320"/>
            <filter val="63420"/>
            <filter val="15980"/>
            <filter val="11141"/>
            <filter val="25300"/>
            <filter val="23360"/>
            <filter val="23120"/>
            <filter val="15500"/>
            <filter val="17920"/>
            <filter val="21180"/>
            <filter val="10060"/>
            <filter val="64760"/>
            <filter val="10062"/>
            <filter val="10061"/>
            <filter val="14660"/>
            <filter val="22280"/>
            <filter val="22040"/>
            <filter val="24220"/>
            <filter val="12001"/>
            <filter val="16600"/>
            <filter val="63440"/>
            <filter val="15960"/>
            <filter val="63200"/>
            <filter val="23100"/>
            <filter val="25520"/>
            <filter val="19080"/>
            <filter val="23580"/>
            <filter val="25760"/>
            <filter val="15964"/>
            <filter val="11121"/>
            <filter val="15963"/>
            <filter val="15720"/>
            <filter val="15962"/>
            <filter val="13300"/>
            <filter val="15961"/>
            <filter val="21160"/>
            <filter val="15966"/>
            <filter val="15965"/>
            <filter val="17900"/>
            <filter val="64780"/>
            <filter val="10280"/>
            <filter val="10040"/>
            <filter val="10281"/>
            <filter val="14640"/>
            <filter val="14880"/>
            <filter val="22260"/>
            <filter val="24440"/>
            <filter val="16821"/>
            <filter val="16820"/>
            <filter val="14400"/>
            <filter val="20080"/>
            <filter val="19500"/>
            <filter val="19742"/>
            <filter val="21820"/>
            <filter val="19741"/>
            <filter val="15140"/>
            <filter val="19980"/>
            <filter val="17560"/>
            <filter val="19740"/>
            <filter val="17320"/>
            <filter val="16000"/>
            <filter val="18663"/>
            <filter val="20500"/>
            <filter val="18664"/>
            <filter val="16240"/>
            <filter val="20740"/>
            <filter val="20980"/>
            <filter val="18660"/>
            <filter val="18661"/>
            <filter val="16001"/>
            <filter val="18420"/>
            <filter val="18662"/>
            <filter val="16480"/>
            <filter val="22920"/>
            <filter val="10700"/>
            <filter val="66060"/>
            <filter val="100620"/>
            <filter val="68000"/>
            <filter val="10941"/>
            <filter val="10940"/>
            <filter val="15120"/>
            <filter val="13181"/>
            <filter val="15360"/>
            <filter val="17780"/>
            <filter val="17781"/>
            <filter val="17540"/>
            <filter val="21800"/>
            <filter val="16220"/>
            <filter val="20720"/>
            <filter val="20960"/>
            <filter val="18881"/>
            <filter val="16221"/>
            <filter val="18640"/>
            <filter val="64900"/>
            <filter val="14280"/>
            <filter val="10920"/>
            <filter val="26020"/>
            <filter val="66080"/>
            <filter val="24080"/>
            <filter val="68020"/>
            <filter val="15340"/>
            <filter val="17761"/>
            <filter val="19940"/>
            <filter val="17762"/>
            <filter val="15580"/>
            <filter val="17763"/>
            <filter val="19700"/>
            <filter val="17764"/>
            <filter val="17760"/>
            <filter val="25380"/>
            <filter val="25140"/>
            <filter val="17765"/>
            <filter val="19701"/>
            <filter val="16440"/>
            <filter val="18620"/>
            <filter val="14260"/>
            <filter val="16200"/>
            <filter val="18860"/>
            <filter val="64920"/>
            <filter val="20700"/>
            <filter val="24060"/>
            <filter val="24061"/>
            <filter val="10900"/>
            <filter val="68040"/>
            <filter val="15560"/>
            <filter val="13140"/>
            <filter val="19920"/>
            <filter val="13380"/>
            <filter val="17500"/>
            <filter val="15561"/>
            <filter val="17980"/>
            <filter val="23180"/>
            <filter val="25360"/>
            <filter val="17501"/>
            <filter val="17502"/>
            <filter val="12060"/>
            <filter val="16660"/>
            <filter val="14240"/>
            <filter val="18840"/>
            <filter val="18841"/>
            <filter val="14480"/>
            <filter val="18600"/>
            <filter val="18842"/>
            <filter val="16420"/>
            <filter val="64940"/>
            <filter val="20920"/>
            <filter val="24280"/>
            <filter val="24040"/>
            <filter val="100640"/>
            <filter val="68060"/>
          </filters>
        </filterColumn>
      </autoFilter>
    </customSheetView>
    <customSheetView guid="{383FC807-906E-4F0B-B431-CFA2479E5802}" filter="1" showAutoFilter="1">
      <autoFilter ref="$A$1:$V$2699">
        <filterColumn colId="1">
          <filters blank="1">
            <filter val="19220"/>
            <filter val="21540"/>
            <filter val="17280"/>
            <filter val="17041"/>
            <filter val="19460"/>
            <filter val="23720"/>
            <filter val="13921"/>
            <filter val="20220"/>
            <filter val="20460"/>
            <filter val="18380"/>
            <filter val="22880"/>
            <filter val="18381"/>
            <filter val="18140"/>
            <filter val="22640"/>
            <filter val="22400"/>
            <filter val="24820"/>
            <filter val="10660"/>
            <filter val="10420"/>
            <filter val="23702"/>
            <filter val="23703"/>
            <filter val="23704"/>
            <filter val="21520"/>
            <filter val="23705"/>
            <filter val="17020"/>
            <filter val="23706"/>
            <filter val="19440"/>
            <filter val="21760"/>
            <filter val="23707"/>
            <filter val="19200"/>
            <filter val="17260"/>
            <filter val="17261"/>
            <filter val="19680"/>
            <filter val="23940"/>
            <filter val="23700"/>
            <filter val="15080"/>
            <filter val="23701"/>
            <filter val="66000"/>
            <filter val="18120"/>
            <filter val="20440"/>
            <filter val="22860"/>
            <filter val="16180"/>
            <filter val="24800"/>
            <filter val="10880"/>
            <filter val="10640"/>
            <filter val="10881"/>
            <filter val="10400"/>
            <filter val="21740"/>
            <filter val="19660"/>
            <filter val="19421"/>
            <filter val="15060"/>
            <filter val="23921"/>
            <filter val="11940"/>
            <filter val="11700"/>
            <filter val="20420"/>
            <filter val="18340"/>
            <filter val="20660"/>
            <filter val="62900"/>
            <filter val="22600"/>
            <filter val="10860"/>
            <filter val="66020"/>
            <filter val="10621"/>
            <filter val="19642"/>
            <filter val="15040"/>
            <filter val="21960"/>
            <filter val="17460"/>
            <filter val="19880"/>
            <filter val="17220"/>
            <filter val="19641"/>
            <filter val="19640"/>
            <filter val="11922"/>
            <filter val="11921"/>
            <filter val="25080"/>
            <filter val="11920"/>
            <filter val="20400"/>
            <filter val="16140"/>
            <filter val="20640"/>
            <filter val="18560"/>
            <filter val="20880"/>
            <filter val="18320"/>
            <filter val="62920"/>
            <filter val="16380"/>
            <filter val="22820"/>
            <filter val="10840"/>
            <filter val="66040"/>
            <filter val="10841"/>
            <filter val="63340"/>
            <filter val="63100"/>
            <filter val="11340"/>
            <filter val="23320"/>
            <filter val="25740"/>
            <filter val="19060"/>
            <filter val="25980"/>
            <filter val="11100"/>
            <filter val="15700"/>
            <filter val="21140"/>
            <filter val="15940"/>
            <filter val="12440"/>
            <filter val="14860"/>
            <filter val="24420"/>
            <filter val="22480"/>
            <filter val="24661"/>
            <filter val="24660"/>
            <filter val="16800"/>
            <filter val="20060"/>
            <filter val="63360"/>
            <filter val="63120"/>
            <filter val="21120"/>
            <filter val="23540"/>
            <filter val="19040"/>
            <filter val="25960"/>
            <filter val="23300"/>
            <filter val="19280"/>
            <filter val="11328"/>
            <filter val="11327"/>
            <filter val="23780"/>
            <filter val="15920"/>
            <filter val="21360"/>
            <filter val="11322"/>
            <filter val="11321"/>
            <filter val="11324"/>
            <filter val="11323"/>
            <filter val="11326"/>
            <filter val="11325"/>
            <filter val="10480"/>
            <filter val="10240"/>
            <filter val="24640"/>
            <filter val="24400"/>
            <filter val="22460"/>
            <filter val="24880"/>
            <filter val="10000"/>
            <filter val="10242"/>
            <filter val="10241"/>
            <filter val="14600"/>
            <filter val="10001"/>
            <filter val="14601"/>
            <filter val="63140"/>
            <filter val="19260"/>
            <filter val="23520"/>
            <filter val="23762"/>
            <filter val="19020"/>
            <filter val="23763"/>
            <filter val="25940"/>
            <filter val="25700"/>
            <filter val="11540"/>
            <filter val="21580"/>
            <filter val="15900"/>
            <filter val="63380"/>
            <filter val="12880"/>
            <filter val="10460"/>
            <filter val="91840"/>
            <filter val="20020"/>
            <filter val="22440"/>
            <filter val="22200"/>
            <filter val="14827"/>
            <filter val="14828"/>
            <filter val="14825"/>
            <filter val="14826"/>
            <filter val="10220"/>
            <filter val="12400"/>
            <filter val="14820"/>
            <filter val="20260"/>
            <filter val="10221"/>
            <filter val="14823"/>
            <filter val="14824"/>
            <filter val="14821"/>
            <filter val="14822"/>
            <filter val="19243"/>
            <filter val="19000"/>
            <filter val="19242"/>
            <filter val="21560"/>
            <filter val="17060"/>
            <filter val="23980"/>
            <filter val="19480"/>
            <filter val="19241"/>
            <filter val="23740"/>
            <filter val="19240"/>
            <filter val="23500"/>
            <filter val="11520"/>
            <filter val="91860"/>
            <filter val="10680"/>
            <filter val="20240"/>
            <filter val="18160"/>
            <filter val="22660"/>
            <filter val="24840"/>
            <filter val="10440"/>
            <filter val="12620"/>
            <filter val="10200"/>
            <filter val="10201"/>
            <filter val="14800"/>
            <filter val="64260"/>
            <filter val="11061"/>
            <filter val="17840"/>
            <filter val="17841"/>
            <filter val="11063"/>
            <filter val="13000"/>
            <filter val="15421"/>
            <filter val="11062"/>
            <filter val="15420"/>
            <filter val="15660"/>
            <filter val="63500"/>
            <filter val="23280"/>
            <filter val="23040"/>
            <filter val="17600"/>
            <filter val="18940"/>
            <filter val="14100"/>
            <filter val="16520"/>
            <filter val="14340"/>
            <filter val="64840"/>
            <filter val="24140"/>
            <filter val="18700"/>
            <filter val="18701"/>
            <filter val="11280"/>
            <filter val="15640"/>
            <filter val="63520"/>
            <filter val="15880"/>
            <filter val="25680"/>
            <filter val="23260"/>
            <filter val="23020"/>
            <filter val="17820"/>
            <filter val="14320"/>
            <filter val="16741"/>
            <filter val="64860"/>
            <filter val="14560"/>
            <filter val="16980"/>
            <filter val="24360"/>
            <filter val="16500"/>
            <filter val="18920"/>
            <filter val="13440"/>
            <filter val="11260"/>
            <filter val="15860"/>
            <filter val="63300"/>
            <filter val="11020"/>
            <filter val="63301"/>
            <filter val="25660"/>
            <filter val="23240"/>
            <filter val="25420"/>
            <filter val="15620"/>
            <filter val="21060"/>
            <filter val="17800"/>
            <filter val="10180"/>
            <filter val="64880"/>
            <filter val="14540"/>
            <filter val="16960"/>
            <filter val="12360"/>
            <filter val="14780"/>
            <filter val="24580"/>
            <filter val="22160"/>
            <filter val="24340"/>
            <filter val="24100"/>
            <filter val="16720"/>
            <filter val="18900"/>
            <filter val="63320"/>
            <filter val="11480"/>
            <filter val="25880"/>
            <filter val="23460"/>
            <filter val="25640"/>
            <filter val="11000"/>
            <filter val="15600"/>
            <filter val="21040"/>
            <filter val="21280"/>
            <filter val="14760"/>
            <filter val="10160"/>
            <filter val="22380"/>
            <filter val="22140"/>
            <filter val="24320"/>
            <filter val="12100"/>
            <filter val="16700"/>
            <filter val="14520"/>
            <filter val="17200"/>
            <filter val="17201"/>
            <filter val="19620"/>
            <filter val="21940"/>
            <filter val="17680"/>
            <filter val="17440"/>
            <filter val="19860"/>
            <filter val="13080"/>
            <filter val="21700"/>
            <filter val="11900"/>
            <filter val="65080"/>
            <filter val="25060"/>
            <filter val="67020"/>
            <filter val="18300"/>
            <filter val="22800"/>
            <filter val="16120"/>
            <filter val="20620"/>
            <filter val="18780"/>
            <filter val="18540"/>
            <filter val="14180"/>
            <filter val="10820"/>
            <filter val="68120"/>
            <filter val="17420"/>
            <filter val="17662"/>
            <filter val="15240"/>
            <filter val="17663"/>
            <filter val="13060"/>
            <filter val="15480"/>
            <filter val="19600"/>
            <filter val="17661"/>
            <filter val="63920"/>
            <filter val="21920"/>
            <filter val="25040"/>
            <filter val="67040"/>
            <filter val="25280"/>
            <filter val="18520"/>
            <filter val="16340"/>
            <filter val="14160"/>
            <filter val="14161"/>
            <filter val="16580"/>
            <filter val="16100"/>
            <filter val="68140"/>
            <filter val="13040"/>
            <filter val="17640"/>
            <filter val="15460"/>
            <filter val="13280"/>
            <filter val="17400"/>
            <filter val="19820"/>
            <filter val="63940"/>
            <filter val="25020"/>
            <filter val="67060"/>
            <filter val="23080"/>
            <filter val="14140"/>
            <filter val="16561"/>
            <filter val="18740"/>
            <filter val="16560"/>
            <filter val="18741"/>
            <filter val="14380"/>
            <filter val="18742"/>
            <filter val="18743"/>
            <filter val="18980"/>
            <filter val="16320"/>
            <filter val="64800"/>
            <filter val="20820"/>
            <filter val="68160"/>
            <filter val="24180"/>
            <filter val="15681"/>
            <filter val="17860"/>
            <filter val="11080"/>
            <filter val="15680"/>
            <filter val="17620"/>
            <filter val="15200"/>
            <filter val="13020"/>
            <filter val="15440"/>
            <filter val="63960"/>
            <filter val="25480"/>
            <filter val="25240"/>
            <filter val="67080"/>
            <filter val="14360"/>
            <filter val="16780"/>
            <filter val="18720"/>
            <filter val="16300"/>
            <filter val="14120"/>
            <filter val="16540"/>
            <filter val="20800"/>
            <filter val="24160"/>
            <filter val="68180"/>
            <filter val="65000"/>
            <filter val="19100"/>
            <filter val="21420"/>
            <filter val="21660"/>
            <filter val="19580"/>
            <filter val="17160"/>
            <filter val="19340"/>
            <filter val="19582"/>
            <filter val="19581"/>
            <filter val="23600"/>
            <filter val="11860"/>
            <filter val="11620"/>
            <filter val="63060"/>
            <filter val="20340"/>
            <filter val="16080"/>
            <filter val="18260"/>
            <filter val="22760"/>
            <filter val="24940"/>
            <filter val="18020"/>
            <filter val="22520"/>
            <filter val="24700"/>
            <filter val="12960"/>
            <filter val="20580"/>
            <filter val="12961"/>
            <filter val="10540"/>
            <filter val="14900"/>
            <filter val="10300"/>
            <filter val="21400"/>
            <filter val="19320"/>
            <filter val="21640"/>
            <filter val="100680"/>
            <filter val="21880"/>
            <filter val="100681"/>
            <filter val="17380"/>
            <filter val="19560"/>
            <filter val="63080"/>
            <filter val="65020"/>
            <filter val="11600"/>
            <filter val="18000"/>
            <filter val="20560"/>
            <filter val="18480"/>
            <filter val="22980"/>
            <filter val="18240"/>
            <filter val="22740"/>
            <filter val="22500"/>
            <filter val="10760"/>
            <filter val="10520"/>
            <filter val="12940"/>
            <filter val="21860"/>
            <filter val="17120"/>
            <filter val="19300"/>
            <filter val="19780"/>
            <filter val="17360"/>
            <filter val="15180"/>
            <filter val="23800"/>
            <filter val="65040"/>
            <filter val="20300"/>
            <filter val="18220"/>
            <filter val="20780"/>
            <filter val="18460"/>
            <filter val="22960"/>
            <filter val="16040"/>
            <filter val="22720"/>
            <filter val="16280"/>
            <filter val="10980"/>
            <filter val="10741"/>
            <filter val="12920"/>
            <filter val="68320"/>
            <filter val="10740"/>
            <filter val="12921"/>
            <filter val="10500"/>
            <filter val="21600"/>
            <filter val="21840"/>
            <filter val="19760"/>
            <filter val="17340"/>
            <filter val="100240"/>
            <filter val="19520"/>
            <filter val="100241"/>
            <filter val="65060"/>
            <filter val="67000"/>
            <filter val="20520"/>
            <filter val="20760"/>
            <filter val="18440"/>
            <filter val="18200"/>
            <filter val="18680"/>
            <filter val="16260"/>
            <filter val="14080"/>
            <filter val="22700"/>
            <filter val="12900"/>
            <filter val="68100"/>
            <filter val="10960"/>
            <filter val="68341"/>
            <filter val="68340"/>
            <filter val="10720"/>
            <filter val="63460"/>
            <filter val="63220"/>
            <filter val="11461"/>
            <filter val="25620"/>
            <filter val="23680"/>
            <filter val="23440"/>
            <filter val="11221"/>
            <filter val="13400"/>
            <filter val="11220"/>
            <filter val="15820"/>
            <filter val="21260"/>
            <filter val="12560"/>
            <filter val="14980"/>
            <filter val="12561"/>
            <filter val="10140"/>
            <filter val="22360"/>
            <filter val="24540"/>
            <filter val="22120"/>
            <filter val="14500"/>
            <filter val="12562"/>
            <filter val="14740"/>
            <filter val="20180"/>
            <filter val="63240"/>
            <filter val="63000"/>
            <filter val="21000"/>
            <filter val="11680"/>
            <filter val="23420"/>
            <filter val="19160"/>
            <filter val="23660"/>
            <filter val="11441"/>
            <filter val="21240"/>
            <filter val="11200"/>
            <filter val="15800"/>
            <filter val="63480"/>
            <filter val="64340"/>
            <filter val="10360"/>
            <filter val="24520"/>
            <filter val="22100"/>
            <filter val="18080"/>
            <filter val="18081"/>
            <filter val="22580"/>
            <filter val="24760"/>
            <filter val="22340"/>
            <filter val="14960"/>
            <filter val="10122"/>
            <filter val="16900"/>
            <filter val="63020"/>
            <filter val="21220"/>
            <filter val="19140"/>
            <filter val="23640"/>
            <filter val="25820"/>
            <filter val="23400"/>
            <filter val="23401"/>
            <filter val="19380"/>
            <filter val="23880"/>
            <filter val="21460"/>
            <filter val="13841"/>
            <filter val="13842"/>
            <filter val="63260"/>
            <filter val="10580"/>
            <filter val="22320"/>
            <filter val="18060"/>
            <filter val="22560"/>
            <filter val="10341"/>
            <filter val="12520"/>
            <filter val="14940"/>
            <filter val="20140"/>
            <filter val="10340"/>
            <filter val="12760"/>
            <filter val="10100"/>
            <filter val="14700"/>
            <filter val="21440"/>
            <filter val="19360"/>
            <filter val="23860"/>
            <filter val="23620"/>
            <filter val="21680"/>
            <filter val="63040"/>
            <filter val="20120"/>
            <filter val="24960"/>
            <filter val="18040"/>
            <filter val="24720"/>
            <filter val="18280"/>
            <filter val="10561"/>
            <filter val="20360"/>
            <filter val="10560"/>
            <filter val="10321"/>
            <filter val="10320"/>
            <filter val="10322"/>
            <filter val="11180"/>
            <filter val="15780"/>
            <filter val="13360"/>
            <filter val="17960"/>
            <filter val="17720"/>
            <filter val="13121"/>
            <filter val="15300"/>
            <filter val="13122"/>
            <filter val="15540"/>
            <filter val="23160"/>
            <filter val="25340"/>
            <filter val="19900"/>
            <filter val="16880"/>
            <filter val="18820"/>
            <filter val="16400"/>
            <filter val="64960"/>
            <filter val="16640"/>
            <filter val="14220"/>
            <filter val="20900"/>
            <filter val="22080"/>
            <filter val="24260"/>
            <filter val="68080"/>
            <filter val="11160"/>
            <filter val="17940"/>
            <filter val="15520"/>
            <filter val="13100"/>
            <filter val="13340"/>
            <filter val="63400"/>
            <filter val="25560"/>
            <filter val="25320"/>
            <filter val="13101"/>
            <filter val="17700"/>
            <filter val="14680"/>
            <filter val="64980"/>
            <filter val="10081"/>
            <filter val="12020"/>
            <filter val="16620"/>
            <filter val="14200"/>
            <filter val="16861"/>
            <filter val="16860"/>
            <filter val="14440"/>
            <filter val="24480"/>
            <filter val="24240"/>
            <filter val="18803"/>
            <filter val="18804"/>
            <filter val="18805"/>
            <filter val="18806"/>
            <filter val="18800"/>
            <filter val="18801"/>
            <filter val="18802"/>
            <filter val="11382"/>
            <filter val="13561"/>
            <filter val="15740"/>
            <filter val="11381"/>
            <filter val="13320"/>
            <filter val="63420"/>
            <filter val="15980"/>
            <filter val="11141"/>
            <filter val="25300"/>
            <filter val="23360"/>
            <filter val="23120"/>
            <filter val="15500"/>
            <filter val="17920"/>
            <filter val="21180"/>
            <filter val="10060"/>
            <filter val="64760"/>
            <filter val="10062"/>
            <filter val="10061"/>
            <filter val="14660"/>
            <filter val="22280"/>
            <filter val="22040"/>
            <filter val="24220"/>
            <filter val="12001"/>
            <filter val="16600"/>
            <filter val="63440"/>
            <filter val="15960"/>
            <filter val="63200"/>
            <filter val="23100"/>
            <filter val="25520"/>
            <filter val="19080"/>
            <filter val="23580"/>
            <filter val="25760"/>
            <filter val="15964"/>
            <filter val="11121"/>
            <filter val="15963"/>
            <filter val="15720"/>
            <filter val="15962"/>
            <filter val="13300"/>
            <filter val="15961"/>
            <filter val="21160"/>
            <filter val="15966"/>
            <filter val="15965"/>
            <filter val="17900"/>
            <filter val="64780"/>
            <filter val="10280"/>
            <filter val="10040"/>
            <filter val="10281"/>
            <filter val="14640"/>
            <filter val="14880"/>
            <filter val="22260"/>
            <filter val="24440"/>
            <filter val="16821"/>
            <filter val="16820"/>
            <filter val="14400"/>
            <filter val="20080"/>
            <filter val="19500"/>
            <filter val="19742"/>
            <filter val="21820"/>
            <filter val="19741"/>
            <filter val="15140"/>
            <filter val="19980"/>
            <filter val="17560"/>
            <filter val="19740"/>
            <filter val="17320"/>
            <filter val="16000"/>
            <filter val="18663"/>
            <filter val="20500"/>
            <filter val="18664"/>
            <filter val="16240"/>
            <filter val="20740"/>
            <filter val="20980"/>
            <filter val="18660"/>
            <filter val="18661"/>
            <filter val="16001"/>
            <filter val="18420"/>
            <filter val="18662"/>
            <filter val="16480"/>
            <filter val="22920"/>
            <filter val="10700"/>
            <filter val="66060"/>
            <filter val="100620"/>
            <filter val="68000"/>
            <filter val="10941"/>
            <filter val="10940"/>
            <filter val="15120"/>
            <filter val="13181"/>
            <filter val="15360"/>
            <filter val="17780"/>
            <filter val="17781"/>
            <filter val="17540"/>
            <filter val="21800"/>
            <filter val="16220"/>
            <filter val="20720"/>
            <filter val="20960"/>
            <filter val="18881"/>
            <filter val="16221"/>
            <filter val="18640"/>
            <filter val="64900"/>
            <filter val="14280"/>
            <filter val="10920"/>
            <filter val="26020"/>
            <filter val="66080"/>
            <filter val="24080"/>
            <filter val="68020"/>
            <filter val="15340"/>
            <filter val="17761"/>
            <filter val="19940"/>
            <filter val="17762"/>
            <filter val="15580"/>
            <filter val="17763"/>
            <filter val="19700"/>
            <filter val="17764"/>
            <filter val="17760"/>
            <filter val="25380"/>
            <filter val="25140"/>
            <filter val="17765"/>
            <filter val="19701"/>
            <filter val="16440"/>
            <filter val="18620"/>
            <filter val="14260"/>
            <filter val="16200"/>
            <filter val="18860"/>
            <filter val="64920"/>
            <filter val="20700"/>
            <filter val="24060"/>
            <filter val="24061"/>
            <filter val="10900"/>
            <filter val="68040"/>
            <filter val="15560"/>
            <filter val="13140"/>
            <filter val="19920"/>
            <filter val="13380"/>
            <filter val="17500"/>
            <filter val="15561"/>
            <filter val="17980"/>
            <filter val="23180"/>
            <filter val="25360"/>
            <filter val="17501"/>
            <filter val="17502"/>
            <filter val="12060"/>
            <filter val="16660"/>
            <filter val="14240"/>
            <filter val="18840"/>
            <filter val="18841"/>
            <filter val="14480"/>
            <filter val="18600"/>
            <filter val="18842"/>
            <filter val="16420"/>
            <filter val="64940"/>
            <filter val="20920"/>
            <filter val="24280"/>
            <filter val="24040"/>
            <filter val="100640"/>
            <filter val="68060"/>
          </filters>
        </filterColumn>
      </autoFilter>
    </customSheetView>
    <customSheetView guid="{37CE52F4-DC25-47C7-A784-E0D0D3310A06}" filter="1" showAutoFilter="1">
      <autoFilter ref="$A$1:$V$2699">
        <filterColumn colId="1">
          <filters blank="1">
            <filter val="17040"/>
            <filter val="17041"/>
            <filter val="11980"/>
            <filter val="11740"/>
            <filter val="11500"/>
            <filter val="13921"/>
            <filter val="20220"/>
            <filter val="22880"/>
            <filter val="18140"/>
            <filter val="24820"/>
            <filter val="10660"/>
            <filter val="12840"/>
            <filter val="10420"/>
            <filter val="12600"/>
            <filter val="23702"/>
            <filter val="23703"/>
            <filter val="23704"/>
            <filter val="23705"/>
            <filter val="17020"/>
            <filter val="23706"/>
            <filter val="19440"/>
            <filter val="21760"/>
            <filter val="23707"/>
            <filter val="19200"/>
            <filter val="17260"/>
            <filter val="17261"/>
            <filter val="23700"/>
            <filter val="23701"/>
            <filter val="11960"/>
            <filter val="11720"/>
            <filter val="13900"/>
            <filter val="66000"/>
            <filter val="18120"/>
            <filter val="18360"/>
            <filter val="22620"/>
            <filter val="16180"/>
            <filter val="10880"/>
            <filter val="10640"/>
            <filter val="10881"/>
            <filter val="10400"/>
            <filter val="21740"/>
            <filter val="17240"/>
            <filter val="19660"/>
            <filter val="19421"/>
            <filter val="19420"/>
            <filter val="15060"/>
            <filter val="23920"/>
            <filter val="23921"/>
            <filter val="11940"/>
            <filter val="11700"/>
            <filter val="18340"/>
            <filter val="18100"/>
            <filter val="18580"/>
            <filter val="62900"/>
            <filter val="10860"/>
            <filter val="10620"/>
            <filter val="66020"/>
            <filter val="12800"/>
            <filter val="10621"/>
            <filter val="19642"/>
            <filter val="21960"/>
            <filter val="17460"/>
            <filter val="19641"/>
            <filter val="15280"/>
            <filter val="11922"/>
            <filter val="11921"/>
            <filter val="11920"/>
            <filter val="20400"/>
            <filter val="16140"/>
            <filter val="18560"/>
            <filter val="62920"/>
            <filter val="22820"/>
            <filter val="10840"/>
            <filter val="10600"/>
            <filter val="66040"/>
            <filter val="10841"/>
            <filter val="63340"/>
            <filter val="11580"/>
            <filter val="63100"/>
            <filter val="13760"/>
            <filter val="11340"/>
            <filter val="25500"/>
            <filter val="23560"/>
            <filter val="25980"/>
            <filter val="11100"/>
            <filter val="15700"/>
            <filter val="21140"/>
            <filter val="21380"/>
            <filter val="10260"/>
            <filter val="14860"/>
            <filter val="10020"/>
            <filter val="10261"/>
            <filter val="12680"/>
            <filter val="22000"/>
            <filter val="24420"/>
            <filter val="24661"/>
            <filter val="12200"/>
            <filter val="16800"/>
            <filter val="14620"/>
            <filter val="63360"/>
            <filter val="63120"/>
            <filter val="11560"/>
            <filter val="19040"/>
            <filter val="25960"/>
            <filter val="23300"/>
            <filter val="25720"/>
            <filter val="11328"/>
            <filter val="11327"/>
            <filter val="23780"/>
            <filter val="11320"/>
            <filter val="15920"/>
            <filter val="11322"/>
            <filter val="11321"/>
            <filter val="11324"/>
            <filter val="11323"/>
            <filter val="11326"/>
            <filter val="11325"/>
            <filter val="10480"/>
            <filter val="12660"/>
            <filter val="10240"/>
            <filter val="24640"/>
            <filter val="22460"/>
            <filter val="10000"/>
            <filter val="10242"/>
            <filter val="10241"/>
            <filter val="20040"/>
            <filter val="10001"/>
            <filter val="12420"/>
            <filter val="14840"/>
            <filter val="20280"/>
            <filter val="14601"/>
            <filter val="63140"/>
            <filter val="11780"/>
            <filter val="21340"/>
            <filter val="19260"/>
            <filter val="23761"/>
            <filter val="23762"/>
            <filter val="23763"/>
            <filter val="17080"/>
            <filter val="11540"/>
            <filter val="13720"/>
            <filter val="21580"/>
            <filter val="11300"/>
            <filter val="15900"/>
            <filter val="63380"/>
            <filter val="12880"/>
            <filter val="10460"/>
            <filter val="91840"/>
            <filter val="24860"/>
            <filter val="22200"/>
            <filter val="14827"/>
            <filter val="14828"/>
            <filter val="14825"/>
            <filter val="14826"/>
            <filter val="10220"/>
            <filter val="12400"/>
            <filter val="14820"/>
            <filter val="20260"/>
            <filter val="10221"/>
            <filter val="12640"/>
            <filter val="14823"/>
            <filter val="14824"/>
            <filter val="14821"/>
            <filter val="14822"/>
            <filter val="19243"/>
            <filter val="19000"/>
            <filter val="19242"/>
            <filter val="23980"/>
            <filter val="19480"/>
            <filter val="19241"/>
            <filter val="23740"/>
            <filter val="19240"/>
            <filter val="25920"/>
            <filter val="11760"/>
            <filter val="13940"/>
            <filter val="11520"/>
            <filter val="91860"/>
            <filter val="10680"/>
            <filter val="18160"/>
            <filter val="22660"/>
            <filter val="24600"/>
            <filter val="10440"/>
            <filter val="12620"/>
            <filter val="10200"/>
            <filter val="10201"/>
            <filter val="14800"/>
            <filter val="64260"/>
            <filter val="13480"/>
            <filter val="11061"/>
            <filter val="17841"/>
            <filter val="11063"/>
            <filter val="13000"/>
            <filter val="15421"/>
            <filter val="11062"/>
            <filter val="15660"/>
            <filter val="63500"/>
            <filter val="23040"/>
            <filter val="25220"/>
            <filter val="17600"/>
            <filter val="14580"/>
            <filter val="18940"/>
            <filter val="12160"/>
            <filter val="14100"/>
            <filter val="16520"/>
            <filter val="14340"/>
            <filter val="16760"/>
            <filter val="64840"/>
            <filter val="24380"/>
            <filter val="24140"/>
            <filter val="18701"/>
            <filter val="11280"/>
            <filter val="13220"/>
            <filter val="13460"/>
            <filter val="63520"/>
            <filter val="25680"/>
            <filter val="23260"/>
            <filter val="25440"/>
            <filter val="25200"/>
            <filter val="17820"/>
            <filter val="21080"/>
            <filter val="12380"/>
            <filter val="16741"/>
            <filter val="12140"/>
            <filter val="16740"/>
            <filter val="64860"/>
            <filter val="16980"/>
            <filter val="18920"/>
            <filter val="11260"/>
            <filter val="15860"/>
            <filter val="13680"/>
            <filter val="63300"/>
            <filter val="63301"/>
            <filter val="25420"/>
            <filter val="64880"/>
            <filter val="14540"/>
            <filter val="16960"/>
            <filter val="12120"/>
            <filter val="24340"/>
            <filter val="24100"/>
            <filter val="16720"/>
            <filter val="63320"/>
            <filter val="11480"/>
            <filter val="11240"/>
            <filter val="25880"/>
            <filter val="25640"/>
            <filter val="13420"/>
            <filter val="21040"/>
            <filter val="15840"/>
            <filter val="12340"/>
            <filter val="14760"/>
            <filter val="22140"/>
            <filter val="12100"/>
            <filter val="14520"/>
            <filter val="17200"/>
            <filter val="15020"/>
            <filter val="17201"/>
            <filter val="19620"/>
            <filter val="15260"/>
            <filter val="19860"/>
            <filter val="13080"/>
            <filter val="65080"/>
            <filter val="25060"/>
            <filter val="67020"/>
            <filter val="18300"/>
            <filter val="20620"/>
            <filter val="16360"/>
            <filter val="20860"/>
            <filter val="18780"/>
            <filter val="14180"/>
            <filter val="10820"/>
            <filter val="68120"/>
            <filter val="17420"/>
            <filter val="17662"/>
            <filter val="17663"/>
            <filter val="19600"/>
            <filter val="17660"/>
            <filter val="15000"/>
            <filter val="17661"/>
            <filter val="63920"/>
            <filter val="21920"/>
            <filter val="67040"/>
            <filter val="18520"/>
            <filter val="16340"/>
            <filter val="14160"/>
            <filter val="14161"/>
            <filter val="10800"/>
            <filter val="68140"/>
            <filter val="13040"/>
            <filter val="17640"/>
            <filter val="17400"/>
            <filter val="19820"/>
            <filter val="63940"/>
            <filter val="25260"/>
            <filter val="25020"/>
            <filter val="67060"/>
            <filter val="14140"/>
            <filter val="16561"/>
            <filter val="16560"/>
            <filter val="18741"/>
            <filter val="18742"/>
            <filter val="18501"/>
            <filter val="18743"/>
            <filter val="18980"/>
            <filter val="64800"/>
            <filter val="68160"/>
            <filter val="24180"/>
            <filter val="13260"/>
            <filter val="15681"/>
            <filter val="17860"/>
            <filter val="15200"/>
            <filter val="15440"/>
            <filter val="63960"/>
            <filter val="25480"/>
            <filter val="67080"/>
            <filter val="14360"/>
            <filter val="16300"/>
            <filter val="14120"/>
            <filter val="68180"/>
            <filter val="65000"/>
            <filter val="21420"/>
            <filter val="17160"/>
            <filter val="19582"/>
            <filter val="19581"/>
            <filter val="11860"/>
            <filter val="11620"/>
            <filter val="63060"/>
            <filter val="20100"/>
            <filter val="20340"/>
            <filter val="16080"/>
            <filter val="18260"/>
            <filter val="22760"/>
            <filter val="24940"/>
            <filter val="18020"/>
            <filter val="20580"/>
            <filter val="10780"/>
            <filter val="12961"/>
            <filter val="10540"/>
            <filter val="14900"/>
            <filter val="10300"/>
            <filter val="12720"/>
            <filter val="100680"/>
            <filter val="100681"/>
            <filter val="19560"/>
            <filter val="17140"/>
            <filter val="23820"/>
            <filter val="63080"/>
            <filter val="11840"/>
            <filter val="65020"/>
            <filter val="11600"/>
            <filter val="20320"/>
            <filter val="18480"/>
            <filter val="18240"/>
            <filter val="22500"/>
            <filter val="10760"/>
            <filter val="12700"/>
            <filter val="10520"/>
            <filter val="12940"/>
            <filter val="19540"/>
            <filter val="21860"/>
            <filter val="19300"/>
            <filter val="19780"/>
            <filter val="17360"/>
            <filter val="15180"/>
            <filter val="65040"/>
            <filter val="20540"/>
            <filter val="18220"/>
            <filter val="20780"/>
            <filter val="18460"/>
            <filter val="16040"/>
            <filter val="22720"/>
            <filter val="16280"/>
            <filter val="24900"/>
            <filter val="10741"/>
            <filter val="12920"/>
            <filter val="68320"/>
            <filter val="10740"/>
            <filter val="12921"/>
            <filter val="10500"/>
            <filter val="21840"/>
            <filter val="19760"/>
            <filter val="17340"/>
            <filter val="100240"/>
            <filter val="100241"/>
            <filter val="17580"/>
            <filter val="11800"/>
            <filter val="65060"/>
            <filter val="67000"/>
            <filter val="16020"/>
            <filter val="18200"/>
            <filter val="18680"/>
            <filter val="22940"/>
            <filter val="14080"/>
            <filter val="68100"/>
            <filter val="68341"/>
            <filter val="68340"/>
            <filter val="10720"/>
            <filter val="63460"/>
            <filter val="63220"/>
            <filter val="13880"/>
            <filter val="11461"/>
            <filter val="11460"/>
            <filter val="11221"/>
            <filter val="13400"/>
            <filter val="11220"/>
            <filter val="13640"/>
            <filter val="12560"/>
            <filter val="10380"/>
            <filter val="12561"/>
            <filter val="24300"/>
            <filter val="24540"/>
            <filter val="12320"/>
            <filter val="16920"/>
            <filter val="12562"/>
            <filter val="20180"/>
            <filter val="63240"/>
            <filter val="63000"/>
            <filter val="11680"/>
            <filter val="25840"/>
            <filter val="25600"/>
            <filter val="19160"/>
            <filter val="23660"/>
            <filter val="11441"/>
            <filter val="21240"/>
            <filter val="11440"/>
            <filter val="11200"/>
            <filter val="15800"/>
            <filter val="63480"/>
            <filter val="64340"/>
            <filter val="12780"/>
            <filter val="10360"/>
            <filter val="22100"/>
            <filter val="18080"/>
            <filter val="18081"/>
            <filter val="22580"/>
            <filter val="24760"/>
            <filter val="10121"/>
            <filter val="14720"/>
            <filter val="12540"/>
            <filter val="14960"/>
            <filter val="10122"/>
            <filter val="16900"/>
            <filter val="63020"/>
            <filter val="23400"/>
            <filter val="23401"/>
            <filter val="19380"/>
            <filter val="13840"/>
            <filter val="21460"/>
            <filter val="11660"/>
            <filter val="13841"/>
            <filter val="13600"/>
            <filter val="13842"/>
            <filter val="63260"/>
            <filter val="10580"/>
            <filter val="18060"/>
            <filter val="24980"/>
            <filter val="10341"/>
            <filter val="20140"/>
            <filter val="10340"/>
            <filter val="14700"/>
            <filter val="19121"/>
            <filter val="19360"/>
            <filter val="23860"/>
            <filter val="23620"/>
            <filter val="25800"/>
            <filter val="21680"/>
            <filter val="11880"/>
            <filter val="11640"/>
            <filter val="11400"/>
            <filter val="13820"/>
            <filter val="63040"/>
            <filter val="18040"/>
            <filter val="22540"/>
            <filter val="24720"/>
            <filter val="22300"/>
            <filter val="22780"/>
            <filter val="10561"/>
            <filter val="10560"/>
            <filter val="10321"/>
            <filter val="12980"/>
            <filter val="10320"/>
            <filter val="10322"/>
            <filter val="12500"/>
            <filter val="14920"/>
            <filter val="11180"/>
            <filter val="13360"/>
            <filter val="17720"/>
            <filter val="13121"/>
            <filter val="13122"/>
            <filter val="25100"/>
            <filter val="19900"/>
            <filter val="12280"/>
            <filter val="16880"/>
            <filter val="14460"/>
            <filter val="18820"/>
            <filter val="16400"/>
            <filter val="64960"/>
            <filter val="16640"/>
            <filter val="14220"/>
            <filter val="20900"/>
            <filter val="24260"/>
            <filter val="68080"/>
            <filter val="11160"/>
            <filter val="17940"/>
            <filter val="13100"/>
            <filter val="15760"/>
            <filter val="13340"/>
            <filter val="63400"/>
            <filter val="25560"/>
            <filter val="25320"/>
            <filter val="13101"/>
            <filter val="17700"/>
            <filter val="10080"/>
            <filter val="12260"/>
            <filter val="64980"/>
            <filter val="10081"/>
            <filter val="12020"/>
            <filter val="16861"/>
            <filter val="16860"/>
            <filter val="22060"/>
            <filter val="18803"/>
            <filter val="18804"/>
            <filter val="18805"/>
            <filter val="18806"/>
            <filter val="18801"/>
            <filter val="18802"/>
            <filter val="11380"/>
            <filter val="11140"/>
            <filter val="11382"/>
            <filter val="13561"/>
            <filter val="15740"/>
            <filter val="11381"/>
            <filter val="63420"/>
            <filter val="15980"/>
            <filter val="11141"/>
            <filter val="13560"/>
            <filter val="25300"/>
            <filter val="23360"/>
            <filter val="25540"/>
            <filter val="15500"/>
            <filter val="17920"/>
            <filter val="12480"/>
            <filter val="64760"/>
            <filter val="10062"/>
            <filter val="16840"/>
            <filter val="10061"/>
            <filter val="14420"/>
            <filter val="12000"/>
            <filter val="14660"/>
            <filter val="24220"/>
            <filter val="12001"/>
            <filter val="16600"/>
            <filter val="63440"/>
            <filter val="15960"/>
            <filter val="13540"/>
            <filter val="63200"/>
            <filter val="13780"/>
            <filter val="23100"/>
            <filter val="19080"/>
            <filter val="23340"/>
            <filter val="25760"/>
            <filter val="15964"/>
            <filter val="11121"/>
            <filter val="15963"/>
            <filter val="15720"/>
            <filter val="15962"/>
            <filter val="13300"/>
            <filter val="15961"/>
            <filter val="15966"/>
            <filter val="15965"/>
            <filter val="17900"/>
            <filter val="64780"/>
            <filter val="10280"/>
            <filter val="10281"/>
            <filter val="12220"/>
            <filter val="12460"/>
            <filter val="14880"/>
            <filter val="24680"/>
            <filter val="22020"/>
            <filter val="16821"/>
            <filter val="16820"/>
            <filter val="14400"/>
            <filter val="20080"/>
            <filter val="19500"/>
            <filter val="19742"/>
            <filter val="19741"/>
            <filter val="15140"/>
            <filter val="19980"/>
            <filter val="17320"/>
            <filter val="16000"/>
            <filter val="18663"/>
            <filter val="18664"/>
            <filter val="20740"/>
            <filter val="18661"/>
            <filter val="16001"/>
            <filter val="18420"/>
            <filter val="18662"/>
            <filter val="16480"/>
            <filter val="10700"/>
            <filter val="66060"/>
            <filter val="100620"/>
            <filter val="68000"/>
            <filter val="10941"/>
            <filter val="15120"/>
            <filter val="19720"/>
            <filter val="13181"/>
            <filter val="15360"/>
            <filter val="19721"/>
            <filter val="17780"/>
            <filter val="17781"/>
            <filter val="17540"/>
            <filter val="13180"/>
            <filter val="21800"/>
            <filter val="25160"/>
            <filter val="16220"/>
            <filter val="20720"/>
            <filter val="16460"/>
            <filter val="20960"/>
            <filter val="14040"/>
            <filter val="18880"/>
            <filter val="18881"/>
            <filter val="16221"/>
            <filter val="64900"/>
            <filter val="14280"/>
            <filter val="26020"/>
            <filter val="66080"/>
            <filter val="68020"/>
            <filter val="17761"/>
            <filter val="17762"/>
            <filter val="17763"/>
            <filter val="19700"/>
            <filter val="17764"/>
            <filter val="15100"/>
            <filter val="17760"/>
            <filter val="25380"/>
            <filter val="25140"/>
            <filter val="17765"/>
            <filter val="19701"/>
            <filter val="16440"/>
            <filter val="20940"/>
            <filter val="18620"/>
            <filter val="16680"/>
            <filter val="18860"/>
            <filter val="64920"/>
            <filter val="12080"/>
            <filter val="24061"/>
            <filter val="10900"/>
            <filter val="68040"/>
            <filter val="17500"/>
            <filter val="15320"/>
            <filter val="15561"/>
            <filter val="17980"/>
            <filter val="25360"/>
            <filter val="17501"/>
            <filter val="17502"/>
            <filter val="12060"/>
            <filter val="18841"/>
            <filter val="14480"/>
            <filter val="18842"/>
            <filter val="16420"/>
            <filter val="64940"/>
            <filter val="100640"/>
            <filter val="68060"/>
          </filters>
        </filterColumn>
      </autoFilter>
    </customSheetView>
    <customSheetView guid="{F9F45A3A-6773-4340-B18E-D88D41C0E938}" filter="1" showAutoFilter="1">
      <autoFilter ref="$A$1:$V$2699">
        <filterColumn colId="1">
          <filters blank="1">
            <filter val="17040"/>
            <filter val="17041"/>
            <filter val="11980"/>
            <filter val="11740"/>
            <filter val="11500"/>
            <filter val="13921"/>
            <filter val="20220"/>
            <filter val="22880"/>
            <filter val="18140"/>
            <filter val="24820"/>
            <filter val="10660"/>
            <filter val="12840"/>
            <filter val="10420"/>
            <filter val="12600"/>
            <filter val="23702"/>
            <filter val="23703"/>
            <filter val="23704"/>
            <filter val="23705"/>
            <filter val="17020"/>
            <filter val="23706"/>
            <filter val="19440"/>
            <filter val="21760"/>
            <filter val="23707"/>
            <filter val="19200"/>
            <filter val="17260"/>
            <filter val="17261"/>
            <filter val="23700"/>
            <filter val="23701"/>
            <filter val="11960"/>
            <filter val="11720"/>
            <filter val="13900"/>
            <filter val="66000"/>
            <filter val="18120"/>
            <filter val="18360"/>
            <filter val="22620"/>
            <filter val="16180"/>
            <filter val="10880"/>
            <filter val="10640"/>
            <filter val="10881"/>
            <filter val="10400"/>
            <filter val="21740"/>
            <filter val="17240"/>
            <filter val="19660"/>
            <filter val="19421"/>
            <filter val="19420"/>
            <filter val="15060"/>
            <filter val="23920"/>
            <filter val="23921"/>
            <filter val="11940"/>
            <filter val="11700"/>
            <filter val="18340"/>
            <filter val="18100"/>
            <filter val="18580"/>
            <filter val="62900"/>
            <filter val="10860"/>
            <filter val="10620"/>
            <filter val="66020"/>
            <filter val="12800"/>
            <filter val="10621"/>
            <filter val="19642"/>
            <filter val="21960"/>
            <filter val="17460"/>
            <filter val="19641"/>
            <filter val="15280"/>
            <filter val="11922"/>
            <filter val="11921"/>
            <filter val="11920"/>
            <filter val="20400"/>
            <filter val="16140"/>
            <filter val="18560"/>
            <filter val="62920"/>
            <filter val="22820"/>
            <filter val="10840"/>
            <filter val="10600"/>
            <filter val="66040"/>
            <filter val="10841"/>
            <filter val="63340"/>
            <filter val="11580"/>
            <filter val="63100"/>
            <filter val="13760"/>
            <filter val="11340"/>
            <filter val="25500"/>
            <filter val="23560"/>
            <filter val="25980"/>
            <filter val="11100"/>
            <filter val="15700"/>
            <filter val="21140"/>
            <filter val="21380"/>
            <filter val="10260"/>
            <filter val="14860"/>
            <filter val="10020"/>
            <filter val="10261"/>
            <filter val="12680"/>
            <filter val="22000"/>
            <filter val="24420"/>
            <filter val="24661"/>
            <filter val="12200"/>
            <filter val="16800"/>
            <filter val="14620"/>
            <filter val="63360"/>
            <filter val="63120"/>
            <filter val="11560"/>
            <filter val="19040"/>
            <filter val="25960"/>
            <filter val="23300"/>
            <filter val="25720"/>
            <filter val="11328"/>
            <filter val="11327"/>
            <filter val="23780"/>
            <filter val="11320"/>
            <filter val="15920"/>
            <filter val="11322"/>
            <filter val="11321"/>
            <filter val="11324"/>
            <filter val="11323"/>
            <filter val="11326"/>
            <filter val="11325"/>
            <filter val="10480"/>
            <filter val="12660"/>
            <filter val="10240"/>
            <filter val="24640"/>
            <filter val="22460"/>
            <filter val="10000"/>
            <filter val="10242"/>
            <filter val="10241"/>
            <filter val="20040"/>
            <filter val="10001"/>
            <filter val="12420"/>
            <filter val="14840"/>
            <filter val="20280"/>
            <filter val="14601"/>
            <filter val="63140"/>
            <filter val="11780"/>
            <filter val="21340"/>
            <filter val="19260"/>
            <filter val="23761"/>
            <filter val="23762"/>
            <filter val="23763"/>
            <filter val="17080"/>
            <filter val="11540"/>
            <filter val="13720"/>
            <filter val="21580"/>
            <filter val="11300"/>
            <filter val="15900"/>
            <filter val="63380"/>
            <filter val="12880"/>
            <filter val="10460"/>
            <filter val="91840"/>
            <filter val="24860"/>
            <filter val="22200"/>
            <filter val="14827"/>
            <filter val="14828"/>
            <filter val="14825"/>
            <filter val="14826"/>
            <filter val="10220"/>
            <filter val="12400"/>
            <filter val="14820"/>
            <filter val="20260"/>
            <filter val="10221"/>
            <filter val="12640"/>
            <filter val="14823"/>
            <filter val="14824"/>
            <filter val="14821"/>
            <filter val="14822"/>
            <filter val="19243"/>
            <filter val="19000"/>
            <filter val="19242"/>
            <filter val="23980"/>
            <filter val="19480"/>
            <filter val="19241"/>
            <filter val="23740"/>
            <filter val="19240"/>
            <filter val="25920"/>
            <filter val="11760"/>
            <filter val="13940"/>
            <filter val="11520"/>
            <filter val="91860"/>
            <filter val="10680"/>
            <filter val="18160"/>
            <filter val="22660"/>
            <filter val="24600"/>
            <filter val="10440"/>
            <filter val="12620"/>
            <filter val="10200"/>
            <filter val="10201"/>
            <filter val="14800"/>
            <filter val="64260"/>
            <filter val="13480"/>
            <filter val="11061"/>
            <filter val="17841"/>
            <filter val="11063"/>
            <filter val="13000"/>
            <filter val="15421"/>
            <filter val="11062"/>
            <filter val="15660"/>
            <filter val="63500"/>
            <filter val="23040"/>
            <filter val="25220"/>
            <filter val="17600"/>
            <filter val="14580"/>
            <filter val="18940"/>
            <filter val="12160"/>
            <filter val="14100"/>
            <filter val="16520"/>
            <filter val="14340"/>
            <filter val="16760"/>
            <filter val="64840"/>
            <filter val="24380"/>
            <filter val="24140"/>
            <filter val="18701"/>
            <filter val="11280"/>
            <filter val="13220"/>
            <filter val="13460"/>
            <filter val="63520"/>
            <filter val="25680"/>
            <filter val="23260"/>
            <filter val="25440"/>
            <filter val="25200"/>
            <filter val="17820"/>
            <filter val="21080"/>
            <filter val="12380"/>
            <filter val="16741"/>
            <filter val="12140"/>
            <filter val="16740"/>
            <filter val="64860"/>
            <filter val="16980"/>
            <filter val="18920"/>
            <filter val="11260"/>
            <filter val="15860"/>
            <filter val="13680"/>
            <filter val="63300"/>
            <filter val="63301"/>
            <filter val="25420"/>
            <filter val="64880"/>
            <filter val="14540"/>
            <filter val="16960"/>
            <filter val="12120"/>
            <filter val="24340"/>
            <filter val="24100"/>
            <filter val="16720"/>
            <filter val="63320"/>
            <filter val="11480"/>
            <filter val="11240"/>
            <filter val="25880"/>
            <filter val="25640"/>
            <filter val="13420"/>
            <filter val="21040"/>
            <filter val="15840"/>
            <filter val="12340"/>
            <filter val="14760"/>
            <filter val="22140"/>
            <filter val="12100"/>
            <filter val="14520"/>
            <filter val="17200"/>
            <filter val="15020"/>
            <filter val="17201"/>
            <filter val="19620"/>
            <filter val="15260"/>
            <filter val="19860"/>
            <filter val="13080"/>
            <filter val="65080"/>
            <filter val="25060"/>
            <filter val="67020"/>
            <filter val="18300"/>
            <filter val="20620"/>
            <filter val="16360"/>
            <filter val="20860"/>
            <filter val="18780"/>
            <filter val="14180"/>
            <filter val="10820"/>
            <filter val="68120"/>
            <filter val="17420"/>
            <filter val="17662"/>
            <filter val="17663"/>
            <filter val="19600"/>
            <filter val="17660"/>
            <filter val="15000"/>
            <filter val="17661"/>
            <filter val="63920"/>
            <filter val="21920"/>
            <filter val="67040"/>
            <filter val="18520"/>
            <filter val="16340"/>
            <filter val="14160"/>
            <filter val="14161"/>
            <filter val="10800"/>
            <filter val="68140"/>
            <filter val="13040"/>
            <filter val="17640"/>
            <filter val="17400"/>
            <filter val="19820"/>
            <filter val="63940"/>
            <filter val="25260"/>
            <filter val="25020"/>
            <filter val="67060"/>
            <filter val="14140"/>
            <filter val="16561"/>
            <filter val="16560"/>
            <filter val="18741"/>
            <filter val="18742"/>
            <filter val="18501"/>
            <filter val="18743"/>
            <filter val="18980"/>
            <filter val="64800"/>
            <filter val="68160"/>
            <filter val="24180"/>
            <filter val="13260"/>
            <filter val="15681"/>
            <filter val="17860"/>
            <filter val="15200"/>
            <filter val="15440"/>
            <filter val="63960"/>
            <filter val="25480"/>
            <filter val="67080"/>
            <filter val="14360"/>
            <filter val="16300"/>
            <filter val="14120"/>
            <filter val="68180"/>
            <filter val="65000"/>
            <filter val="21420"/>
            <filter val="17160"/>
            <filter val="19582"/>
            <filter val="19581"/>
            <filter val="11860"/>
            <filter val="11620"/>
            <filter val="63060"/>
            <filter val="20100"/>
            <filter val="20340"/>
            <filter val="16080"/>
            <filter val="18260"/>
            <filter val="22760"/>
            <filter val="24940"/>
            <filter val="18020"/>
            <filter val="20580"/>
            <filter val="10780"/>
            <filter val="12961"/>
            <filter val="10540"/>
            <filter val="14900"/>
            <filter val="10300"/>
            <filter val="12720"/>
            <filter val="100680"/>
            <filter val="100681"/>
            <filter val="19560"/>
            <filter val="17140"/>
            <filter val="23820"/>
            <filter val="63080"/>
            <filter val="11840"/>
            <filter val="65020"/>
            <filter val="11600"/>
            <filter val="20320"/>
            <filter val="18480"/>
            <filter val="18240"/>
            <filter val="22500"/>
            <filter val="10760"/>
            <filter val="12700"/>
            <filter val="10520"/>
            <filter val="12940"/>
            <filter val="19540"/>
            <filter val="21860"/>
            <filter val="19300"/>
            <filter val="19780"/>
            <filter val="17360"/>
            <filter val="15180"/>
            <filter val="65040"/>
            <filter val="20540"/>
            <filter val="18220"/>
            <filter val="20780"/>
            <filter val="18460"/>
            <filter val="16040"/>
            <filter val="22720"/>
            <filter val="16280"/>
            <filter val="24900"/>
            <filter val="10741"/>
            <filter val="12920"/>
            <filter val="68320"/>
            <filter val="10740"/>
            <filter val="12921"/>
            <filter val="10500"/>
            <filter val="21840"/>
            <filter val="19760"/>
            <filter val="17340"/>
            <filter val="100240"/>
            <filter val="100241"/>
            <filter val="17580"/>
            <filter val="11800"/>
            <filter val="65060"/>
            <filter val="67000"/>
            <filter val="16020"/>
            <filter val="18200"/>
            <filter val="18680"/>
            <filter val="22940"/>
            <filter val="14080"/>
            <filter val="68100"/>
            <filter val="68341"/>
            <filter val="68340"/>
            <filter val="10720"/>
            <filter val="63460"/>
            <filter val="63220"/>
            <filter val="13880"/>
            <filter val="11461"/>
            <filter val="11460"/>
            <filter val="11221"/>
            <filter val="13400"/>
            <filter val="11220"/>
            <filter val="13640"/>
            <filter val="12560"/>
            <filter val="10380"/>
            <filter val="12561"/>
            <filter val="24300"/>
            <filter val="24540"/>
            <filter val="12320"/>
            <filter val="16920"/>
            <filter val="12562"/>
            <filter val="20180"/>
            <filter val="63240"/>
            <filter val="63000"/>
            <filter val="11680"/>
            <filter val="25840"/>
            <filter val="25600"/>
            <filter val="19160"/>
            <filter val="23660"/>
            <filter val="11441"/>
            <filter val="21240"/>
            <filter val="11440"/>
            <filter val="11200"/>
            <filter val="15800"/>
            <filter val="63480"/>
            <filter val="64340"/>
            <filter val="12780"/>
            <filter val="10360"/>
            <filter val="22100"/>
            <filter val="18080"/>
            <filter val="18081"/>
            <filter val="22580"/>
            <filter val="24760"/>
            <filter val="10121"/>
            <filter val="14720"/>
            <filter val="12540"/>
            <filter val="14960"/>
            <filter val="10122"/>
            <filter val="16900"/>
            <filter val="63020"/>
            <filter val="23400"/>
            <filter val="23401"/>
            <filter val="19380"/>
            <filter val="13840"/>
            <filter val="21460"/>
            <filter val="11660"/>
            <filter val="13841"/>
            <filter val="13600"/>
            <filter val="13842"/>
            <filter val="63260"/>
            <filter val="10580"/>
            <filter val="18060"/>
            <filter val="24980"/>
            <filter val="10341"/>
            <filter val="20140"/>
            <filter val="10340"/>
            <filter val="14700"/>
            <filter val="19121"/>
            <filter val="19360"/>
            <filter val="23860"/>
            <filter val="23620"/>
            <filter val="25800"/>
            <filter val="21680"/>
            <filter val="11880"/>
            <filter val="11640"/>
            <filter val="11400"/>
            <filter val="13820"/>
            <filter val="63040"/>
            <filter val="18040"/>
            <filter val="22540"/>
            <filter val="24720"/>
            <filter val="22300"/>
            <filter val="22780"/>
            <filter val="10561"/>
            <filter val="10560"/>
            <filter val="10321"/>
            <filter val="12980"/>
            <filter val="10320"/>
            <filter val="10322"/>
            <filter val="12500"/>
            <filter val="14920"/>
            <filter val="11180"/>
            <filter val="13360"/>
            <filter val="17720"/>
            <filter val="13121"/>
            <filter val="13122"/>
            <filter val="25100"/>
            <filter val="19900"/>
            <filter val="12280"/>
            <filter val="16880"/>
            <filter val="14460"/>
            <filter val="18820"/>
            <filter val="16400"/>
            <filter val="64960"/>
            <filter val="16640"/>
            <filter val="14220"/>
            <filter val="20900"/>
            <filter val="24260"/>
            <filter val="68080"/>
            <filter val="11160"/>
            <filter val="17940"/>
            <filter val="13100"/>
            <filter val="15760"/>
            <filter val="13340"/>
            <filter val="63400"/>
            <filter val="25560"/>
            <filter val="25320"/>
            <filter val="13101"/>
            <filter val="17700"/>
            <filter val="10080"/>
            <filter val="12260"/>
            <filter val="64980"/>
            <filter val="10081"/>
            <filter val="12020"/>
            <filter val="16861"/>
            <filter val="16860"/>
            <filter val="22060"/>
            <filter val="18803"/>
            <filter val="18804"/>
            <filter val="18805"/>
            <filter val="18806"/>
            <filter val="18801"/>
            <filter val="18802"/>
            <filter val="11380"/>
            <filter val="11140"/>
            <filter val="11382"/>
            <filter val="13561"/>
            <filter val="15740"/>
            <filter val="11381"/>
            <filter val="63420"/>
            <filter val="15980"/>
            <filter val="11141"/>
            <filter val="13560"/>
            <filter val="25300"/>
            <filter val="23360"/>
            <filter val="25540"/>
            <filter val="15500"/>
            <filter val="17920"/>
            <filter val="12480"/>
            <filter val="64760"/>
            <filter val="10062"/>
            <filter val="16840"/>
            <filter val="10061"/>
            <filter val="14420"/>
            <filter val="12000"/>
            <filter val="14660"/>
            <filter val="24220"/>
            <filter val="12001"/>
            <filter val="16600"/>
            <filter val="63440"/>
            <filter val="15960"/>
            <filter val="13540"/>
            <filter val="63200"/>
            <filter val="13780"/>
            <filter val="23100"/>
            <filter val="19080"/>
            <filter val="23340"/>
            <filter val="25760"/>
            <filter val="15964"/>
            <filter val="11121"/>
            <filter val="15963"/>
            <filter val="15720"/>
            <filter val="15962"/>
            <filter val="13300"/>
            <filter val="15961"/>
            <filter val="15966"/>
            <filter val="15965"/>
            <filter val="17900"/>
            <filter val="64780"/>
            <filter val="10280"/>
            <filter val="10281"/>
            <filter val="12220"/>
            <filter val="12460"/>
            <filter val="14880"/>
            <filter val="24680"/>
            <filter val="22020"/>
            <filter val="16821"/>
            <filter val="16820"/>
            <filter val="14400"/>
            <filter val="20080"/>
            <filter val="19500"/>
            <filter val="19742"/>
            <filter val="19741"/>
            <filter val="15140"/>
            <filter val="19980"/>
            <filter val="17320"/>
            <filter val="16000"/>
            <filter val="18663"/>
            <filter val="18664"/>
            <filter val="20740"/>
            <filter val="18661"/>
            <filter val="16001"/>
            <filter val="18420"/>
            <filter val="18662"/>
            <filter val="16480"/>
            <filter val="10700"/>
            <filter val="66060"/>
            <filter val="100620"/>
            <filter val="68000"/>
            <filter val="10941"/>
            <filter val="15120"/>
            <filter val="19720"/>
            <filter val="13181"/>
            <filter val="15360"/>
            <filter val="19721"/>
            <filter val="17780"/>
            <filter val="17781"/>
            <filter val="17540"/>
            <filter val="13180"/>
            <filter val="21800"/>
            <filter val="25160"/>
            <filter val="16220"/>
            <filter val="20720"/>
            <filter val="16460"/>
            <filter val="20960"/>
            <filter val="14040"/>
            <filter val="18880"/>
            <filter val="18881"/>
            <filter val="16221"/>
            <filter val="64900"/>
            <filter val="14280"/>
            <filter val="26020"/>
            <filter val="66080"/>
            <filter val="68020"/>
            <filter val="17761"/>
            <filter val="17762"/>
            <filter val="17763"/>
            <filter val="19700"/>
            <filter val="17764"/>
            <filter val="15100"/>
            <filter val="17760"/>
            <filter val="25380"/>
            <filter val="25140"/>
            <filter val="17765"/>
            <filter val="19701"/>
            <filter val="16440"/>
            <filter val="20940"/>
            <filter val="18620"/>
            <filter val="16680"/>
            <filter val="18860"/>
            <filter val="64920"/>
            <filter val="12080"/>
            <filter val="24061"/>
            <filter val="10900"/>
            <filter val="68040"/>
            <filter val="17500"/>
            <filter val="15320"/>
            <filter val="15561"/>
            <filter val="17980"/>
            <filter val="25360"/>
            <filter val="17501"/>
            <filter val="17502"/>
            <filter val="12060"/>
            <filter val="18841"/>
            <filter val="14480"/>
            <filter val="18842"/>
            <filter val="16420"/>
            <filter val="64940"/>
            <filter val="100640"/>
            <filter val="68060"/>
          </filters>
        </filterColumn>
      </autoFilter>
    </customSheetView>
    <customSheetView guid="{56D0FCDC-0A6C-44EB-8E57-3BE9A60F9788}" filter="1" showAutoFilter="1">
      <autoFilter ref="$A$1:$V$2699">
        <filterColumn colId="1">
          <filters blank="1">
            <filter val="17040"/>
            <filter val="17041"/>
            <filter val="11980"/>
            <filter val="11740"/>
            <filter val="11500"/>
            <filter val="13921"/>
            <filter val="20220"/>
            <filter val="22880"/>
            <filter val="18140"/>
            <filter val="24820"/>
            <filter val="10660"/>
            <filter val="12840"/>
            <filter val="10420"/>
            <filter val="12600"/>
            <filter val="23702"/>
            <filter val="23703"/>
            <filter val="23704"/>
            <filter val="23705"/>
            <filter val="17020"/>
            <filter val="23706"/>
            <filter val="19440"/>
            <filter val="21760"/>
            <filter val="23707"/>
            <filter val="19200"/>
            <filter val="17260"/>
            <filter val="17261"/>
            <filter val="23700"/>
            <filter val="23701"/>
            <filter val="11960"/>
            <filter val="11720"/>
            <filter val="13900"/>
            <filter val="66000"/>
            <filter val="18120"/>
            <filter val="18360"/>
            <filter val="22620"/>
            <filter val="16180"/>
            <filter val="10880"/>
            <filter val="10640"/>
            <filter val="10881"/>
            <filter val="10400"/>
            <filter val="21740"/>
            <filter val="17240"/>
            <filter val="19660"/>
            <filter val="19421"/>
            <filter val="19420"/>
            <filter val="15060"/>
            <filter val="23920"/>
            <filter val="23921"/>
            <filter val="11940"/>
            <filter val="11700"/>
            <filter val="18340"/>
            <filter val="18100"/>
            <filter val="18580"/>
            <filter val="62900"/>
            <filter val="10860"/>
            <filter val="10620"/>
            <filter val="66020"/>
            <filter val="12800"/>
            <filter val="10621"/>
            <filter val="19642"/>
            <filter val="21960"/>
            <filter val="17460"/>
            <filter val="19641"/>
            <filter val="15280"/>
            <filter val="11922"/>
            <filter val="11921"/>
            <filter val="11920"/>
            <filter val="20400"/>
            <filter val="16140"/>
            <filter val="18560"/>
            <filter val="62920"/>
            <filter val="22820"/>
            <filter val="10840"/>
            <filter val="10600"/>
            <filter val="66040"/>
            <filter val="10841"/>
            <filter val="63340"/>
            <filter val="11580"/>
            <filter val="63100"/>
            <filter val="13760"/>
            <filter val="11340"/>
            <filter val="25500"/>
            <filter val="23560"/>
            <filter val="25980"/>
            <filter val="11100"/>
            <filter val="15700"/>
            <filter val="21140"/>
            <filter val="21380"/>
            <filter val="10260"/>
            <filter val="14860"/>
            <filter val="10020"/>
            <filter val="10261"/>
            <filter val="12680"/>
            <filter val="22000"/>
            <filter val="24420"/>
            <filter val="24661"/>
            <filter val="12200"/>
            <filter val="16800"/>
            <filter val="14620"/>
            <filter val="63360"/>
            <filter val="63120"/>
            <filter val="11560"/>
            <filter val="19040"/>
            <filter val="25960"/>
            <filter val="23300"/>
            <filter val="25720"/>
            <filter val="11328"/>
            <filter val="11327"/>
            <filter val="23780"/>
            <filter val="11320"/>
            <filter val="15920"/>
            <filter val="11322"/>
            <filter val="11321"/>
            <filter val="11324"/>
            <filter val="11323"/>
            <filter val="11326"/>
            <filter val="11325"/>
            <filter val="10480"/>
            <filter val="12660"/>
            <filter val="10240"/>
            <filter val="24640"/>
            <filter val="22460"/>
            <filter val="10000"/>
            <filter val="10242"/>
            <filter val="10241"/>
            <filter val="20040"/>
            <filter val="10001"/>
            <filter val="12420"/>
            <filter val="14840"/>
            <filter val="20280"/>
            <filter val="14601"/>
            <filter val="63140"/>
            <filter val="11780"/>
            <filter val="21340"/>
            <filter val="19260"/>
            <filter val="23761"/>
            <filter val="23762"/>
            <filter val="23763"/>
            <filter val="17080"/>
            <filter val="11540"/>
            <filter val="13720"/>
            <filter val="21580"/>
            <filter val="11300"/>
            <filter val="15900"/>
            <filter val="63380"/>
            <filter val="12880"/>
            <filter val="10460"/>
            <filter val="91840"/>
            <filter val="24860"/>
            <filter val="22200"/>
            <filter val="14827"/>
            <filter val="14828"/>
            <filter val="14825"/>
            <filter val="14826"/>
            <filter val="10220"/>
            <filter val="12400"/>
            <filter val="14820"/>
            <filter val="20260"/>
            <filter val="10221"/>
            <filter val="12640"/>
            <filter val="14823"/>
            <filter val="14824"/>
            <filter val="14821"/>
            <filter val="14822"/>
            <filter val="19243"/>
            <filter val="19000"/>
            <filter val="19242"/>
            <filter val="23980"/>
            <filter val="19480"/>
            <filter val="19241"/>
            <filter val="23740"/>
            <filter val="19240"/>
            <filter val="25920"/>
            <filter val="11760"/>
            <filter val="13940"/>
            <filter val="11520"/>
            <filter val="91860"/>
            <filter val="10680"/>
            <filter val="18160"/>
            <filter val="22660"/>
            <filter val="24600"/>
            <filter val="10440"/>
            <filter val="12620"/>
            <filter val="10200"/>
            <filter val="10201"/>
            <filter val="14800"/>
            <filter val="64260"/>
            <filter val="13480"/>
            <filter val="11061"/>
            <filter val="17841"/>
            <filter val="11063"/>
            <filter val="13000"/>
            <filter val="15421"/>
            <filter val="11062"/>
            <filter val="15660"/>
            <filter val="63500"/>
            <filter val="23040"/>
            <filter val="25220"/>
            <filter val="17600"/>
            <filter val="14580"/>
            <filter val="18940"/>
            <filter val="12160"/>
            <filter val="14100"/>
            <filter val="16520"/>
            <filter val="14340"/>
            <filter val="16760"/>
            <filter val="64840"/>
            <filter val="24380"/>
            <filter val="24140"/>
            <filter val="18701"/>
            <filter val="11280"/>
            <filter val="13220"/>
            <filter val="13460"/>
            <filter val="63520"/>
            <filter val="25680"/>
            <filter val="23260"/>
            <filter val="25440"/>
            <filter val="25200"/>
            <filter val="17820"/>
            <filter val="21080"/>
            <filter val="12380"/>
            <filter val="16741"/>
            <filter val="12140"/>
            <filter val="16740"/>
            <filter val="64860"/>
            <filter val="16980"/>
            <filter val="18920"/>
            <filter val="11260"/>
            <filter val="15860"/>
            <filter val="13680"/>
            <filter val="63300"/>
            <filter val="63301"/>
            <filter val="25420"/>
            <filter val="64880"/>
            <filter val="14540"/>
            <filter val="16960"/>
            <filter val="12120"/>
            <filter val="24340"/>
            <filter val="24100"/>
            <filter val="16720"/>
            <filter val="63320"/>
            <filter val="11480"/>
            <filter val="11240"/>
            <filter val="25880"/>
            <filter val="25640"/>
            <filter val="13420"/>
            <filter val="21040"/>
            <filter val="15840"/>
            <filter val="12340"/>
            <filter val="14760"/>
            <filter val="22140"/>
            <filter val="12100"/>
            <filter val="14520"/>
            <filter val="17200"/>
            <filter val="15020"/>
            <filter val="17201"/>
            <filter val="19620"/>
            <filter val="15260"/>
            <filter val="19860"/>
            <filter val="13080"/>
            <filter val="65080"/>
            <filter val="25060"/>
            <filter val="67020"/>
            <filter val="18300"/>
            <filter val="20620"/>
            <filter val="16360"/>
            <filter val="20860"/>
            <filter val="18780"/>
            <filter val="14180"/>
            <filter val="10820"/>
            <filter val="68120"/>
            <filter val="17420"/>
            <filter val="17662"/>
            <filter val="17663"/>
            <filter val="19600"/>
            <filter val="17660"/>
            <filter val="15000"/>
            <filter val="17661"/>
            <filter val="63920"/>
            <filter val="21920"/>
            <filter val="67040"/>
            <filter val="18520"/>
            <filter val="16340"/>
            <filter val="14160"/>
            <filter val="14161"/>
            <filter val="10800"/>
            <filter val="68140"/>
            <filter val="13040"/>
            <filter val="17640"/>
            <filter val="17400"/>
            <filter val="19820"/>
            <filter val="63940"/>
            <filter val="25260"/>
            <filter val="25020"/>
            <filter val="67060"/>
            <filter val="14140"/>
            <filter val="16561"/>
            <filter val="16560"/>
            <filter val="18741"/>
            <filter val="18742"/>
            <filter val="18501"/>
            <filter val="18743"/>
            <filter val="18980"/>
            <filter val="64800"/>
            <filter val="68160"/>
            <filter val="24180"/>
            <filter val="13260"/>
            <filter val="15681"/>
            <filter val="17860"/>
            <filter val="15200"/>
            <filter val="15440"/>
            <filter val="63960"/>
            <filter val="25480"/>
            <filter val="67080"/>
            <filter val="14360"/>
            <filter val="16300"/>
            <filter val="14120"/>
            <filter val="68180"/>
            <filter val="65000"/>
            <filter val="21420"/>
            <filter val="17160"/>
            <filter val="19582"/>
            <filter val="19581"/>
            <filter val="11860"/>
            <filter val="11620"/>
            <filter val="63060"/>
            <filter val="20100"/>
            <filter val="20340"/>
            <filter val="16080"/>
            <filter val="18260"/>
            <filter val="22760"/>
            <filter val="24940"/>
            <filter val="18020"/>
            <filter val="20580"/>
            <filter val="10780"/>
            <filter val="12961"/>
            <filter val="10540"/>
            <filter val="14900"/>
            <filter val="10300"/>
            <filter val="12720"/>
            <filter val="100680"/>
            <filter val="100681"/>
            <filter val="19560"/>
            <filter val="17140"/>
            <filter val="23820"/>
            <filter val="63080"/>
            <filter val="11840"/>
            <filter val="65020"/>
            <filter val="11600"/>
            <filter val="20320"/>
            <filter val="18480"/>
            <filter val="18240"/>
            <filter val="22500"/>
            <filter val="10760"/>
            <filter val="12700"/>
            <filter val="10520"/>
            <filter val="12940"/>
            <filter val="19540"/>
            <filter val="21860"/>
            <filter val="19300"/>
            <filter val="19780"/>
            <filter val="17360"/>
            <filter val="15180"/>
            <filter val="65040"/>
            <filter val="20540"/>
            <filter val="18220"/>
            <filter val="20780"/>
            <filter val="18460"/>
            <filter val="16040"/>
            <filter val="22720"/>
            <filter val="16280"/>
            <filter val="24900"/>
            <filter val="10741"/>
            <filter val="12920"/>
            <filter val="68320"/>
            <filter val="10740"/>
            <filter val="12921"/>
            <filter val="10500"/>
            <filter val="21840"/>
            <filter val="19760"/>
            <filter val="17340"/>
            <filter val="100240"/>
            <filter val="100241"/>
            <filter val="17580"/>
            <filter val="11800"/>
            <filter val="65060"/>
            <filter val="67000"/>
            <filter val="16020"/>
            <filter val="18200"/>
            <filter val="18680"/>
            <filter val="22940"/>
            <filter val="14080"/>
            <filter val="68100"/>
            <filter val="68341"/>
            <filter val="68340"/>
            <filter val="10720"/>
            <filter val="63460"/>
            <filter val="63220"/>
            <filter val="13880"/>
            <filter val="11461"/>
            <filter val="11460"/>
            <filter val="11221"/>
            <filter val="13400"/>
            <filter val="11220"/>
            <filter val="13640"/>
            <filter val="12560"/>
            <filter val="10380"/>
            <filter val="12561"/>
            <filter val="24300"/>
            <filter val="24540"/>
            <filter val="12320"/>
            <filter val="16920"/>
            <filter val="12562"/>
            <filter val="20180"/>
            <filter val="63240"/>
            <filter val="63000"/>
            <filter val="11680"/>
            <filter val="25840"/>
            <filter val="25600"/>
            <filter val="19160"/>
            <filter val="23660"/>
            <filter val="11441"/>
            <filter val="21240"/>
            <filter val="11440"/>
            <filter val="11200"/>
            <filter val="15800"/>
            <filter val="63480"/>
            <filter val="64340"/>
            <filter val="12780"/>
            <filter val="10360"/>
            <filter val="22100"/>
            <filter val="18080"/>
            <filter val="18081"/>
            <filter val="22580"/>
            <filter val="24760"/>
            <filter val="10121"/>
            <filter val="14720"/>
            <filter val="12540"/>
            <filter val="14960"/>
            <filter val="10122"/>
            <filter val="16900"/>
            <filter val="63020"/>
            <filter val="23400"/>
            <filter val="23401"/>
            <filter val="19380"/>
            <filter val="13840"/>
            <filter val="21460"/>
            <filter val="11660"/>
            <filter val="13841"/>
            <filter val="13600"/>
            <filter val="13842"/>
            <filter val="63260"/>
            <filter val="10580"/>
            <filter val="18060"/>
            <filter val="24980"/>
            <filter val="10341"/>
            <filter val="20140"/>
            <filter val="10340"/>
            <filter val="14700"/>
            <filter val="19121"/>
            <filter val="19360"/>
            <filter val="23860"/>
            <filter val="23620"/>
            <filter val="25800"/>
            <filter val="21680"/>
            <filter val="11880"/>
            <filter val="11640"/>
            <filter val="11400"/>
            <filter val="13820"/>
            <filter val="63040"/>
            <filter val="18040"/>
            <filter val="22540"/>
            <filter val="24720"/>
            <filter val="22300"/>
            <filter val="22780"/>
            <filter val="10561"/>
            <filter val="10560"/>
            <filter val="10321"/>
            <filter val="12980"/>
            <filter val="10320"/>
            <filter val="10322"/>
            <filter val="12500"/>
            <filter val="14920"/>
            <filter val="11180"/>
            <filter val="13360"/>
            <filter val="17720"/>
            <filter val="13121"/>
            <filter val="13122"/>
            <filter val="25100"/>
            <filter val="19900"/>
            <filter val="12280"/>
            <filter val="16880"/>
            <filter val="14460"/>
            <filter val="18820"/>
            <filter val="16400"/>
            <filter val="64960"/>
            <filter val="16640"/>
            <filter val="14220"/>
            <filter val="20900"/>
            <filter val="24260"/>
            <filter val="68080"/>
            <filter val="11160"/>
            <filter val="17940"/>
            <filter val="13100"/>
            <filter val="15760"/>
            <filter val="13340"/>
            <filter val="63400"/>
            <filter val="25560"/>
            <filter val="25320"/>
            <filter val="13101"/>
            <filter val="17700"/>
            <filter val="10080"/>
            <filter val="12260"/>
            <filter val="64980"/>
            <filter val="10081"/>
            <filter val="12020"/>
            <filter val="16861"/>
            <filter val="16860"/>
            <filter val="22060"/>
            <filter val="18803"/>
            <filter val="18804"/>
            <filter val="18805"/>
            <filter val="18806"/>
            <filter val="18801"/>
            <filter val="18802"/>
            <filter val="11380"/>
            <filter val="11140"/>
            <filter val="11382"/>
            <filter val="13561"/>
            <filter val="15740"/>
            <filter val="11381"/>
            <filter val="63420"/>
            <filter val="15980"/>
            <filter val="11141"/>
            <filter val="13560"/>
            <filter val="25300"/>
            <filter val="23360"/>
            <filter val="25540"/>
            <filter val="15500"/>
            <filter val="17920"/>
            <filter val="12480"/>
            <filter val="64760"/>
            <filter val="10062"/>
            <filter val="16840"/>
            <filter val="10061"/>
            <filter val="14420"/>
            <filter val="12000"/>
            <filter val="14660"/>
            <filter val="24220"/>
            <filter val="12001"/>
            <filter val="16600"/>
            <filter val="63440"/>
            <filter val="15960"/>
            <filter val="13540"/>
            <filter val="63200"/>
            <filter val="13780"/>
            <filter val="23100"/>
            <filter val="19080"/>
            <filter val="23340"/>
            <filter val="25760"/>
            <filter val="15964"/>
            <filter val="11121"/>
            <filter val="15963"/>
            <filter val="15720"/>
            <filter val="15962"/>
            <filter val="13300"/>
            <filter val="15961"/>
            <filter val="15966"/>
            <filter val="15965"/>
            <filter val="17900"/>
            <filter val="64780"/>
            <filter val="10280"/>
            <filter val="10281"/>
            <filter val="12220"/>
            <filter val="12460"/>
            <filter val="14880"/>
            <filter val="24680"/>
            <filter val="22020"/>
            <filter val="16821"/>
            <filter val="16820"/>
            <filter val="14400"/>
            <filter val="20080"/>
            <filter val="19500"/>
            <filter val="19742"/>
            <filter val="19741"/>
            <filter val="15140"/>
            <filter val="19980"/>
            <filter val="17320"/>
            <filter val="16000"/>
            <filter val="18663"/>
            <filter val="18664"/>
            <filter val="20740"/>
            <filter val="18661"/>
            <filter val="16001"/>
            <filter val="18420"/>
            <filter val="18662"/>
            <filter val="16480"/>
            <filter val="10700"/>
            <filter val="66060"/>
            <filter val="100620"/>
            <filter val="68000"/>
            <filter val="10941"/>
            <filter val="15120"/>
            <filter val="19720"/>
            <filter val="13181"/>
            <filter val="15360"/>
            <filter val="19721"/>
            <filter val="17780"/>
            <filter val="17781"/>
            <filter val="17540"/>
            <filter val="13180"/>
            <filter val="21800"/>
            <filter val="25160"/>
            <filter val="16220"/>
            <filter val="20720"/>
            <filter val="16460"/>
            <filter val="20960"/>
            <filter val="14040"/>
            <filter val="18880"/>
            <filter val="18881"/>
            <filter val="16221"/>
            <filter val="64900"/>
            <filter val="14280"/>
            <filter val="26020"/>
            <filter val="66080"/>
            <filter val="68020"/>
            <filter val="17761"/>
            <filter val="17762"/>
            <filter val="17763"/>
            <filter val="19700"/>
            <filter val="17764"/>
            <filter val="15100"/>
            <filter val="17760"/>
            <filter val="25380"/>
            <filter val="25140"/>
            <filter val="17765"/>
            <filter val="19701"/>
            <filter val="16440"/>
            <filter val="20940"/>
            <filter val="18620"/>
            <filter val="16680"/>
            <filter val="18860"/>
            <filter val="64920"/>
            <filter val="12080"/>
            <filter val="24061"/>
            <filter val="10900"/>
            <filter val="68040"/>
            <filter val="17500"/>
            <filter val="15320"/>
            <filter val="15561"/>
            <filter val="17980"/>
            <filter val="25360"/>
            <filter val="17501"/>
            <filter val="17502"/>
            <filter val="12060"/>
            <filter val="18841"/>
            <filter val="14480"/>
            <filter val="18842"/>
            <filter val="16420"/>
            <filter val="64940"/>
            <filter val="100640"/>
            <filter val="68060"/>
          </filters>
        </filterColumn>
      </autoFilter>
    </customSheetView>
  </customSheetView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7" width="8.63"/>
    <col customWidth="1" min="8" max="9" width="45.75"/>
    <col customWidth="1" min="10" max="10" width="15.13"/>
    <col customWidth="1" min="11" max="11" width="8.63"/>
    <col customWidth="1" min="12" max="12" width="12.5"/>
    <col customWidth="1" min="13" max="13" width="9.38"/>
    <col customWidth="1" min="14" max="14" width="18.0"/>
    <col customWidth="1" min="15" max="15" width="11.13"/>
    <col customWidth="1" min="16" max="16" width="16.63"/>
    <col customWidth="1" min="17" max="19" width="17.13"/>
    <col customWidth="1" min="20" max="20" width="45.75"/>
  </cols>
  <sheetData>
    <row r="1">
      <c r="A1" s="300" t="s">
        <v>642</v>
      </c>
      <c r="U1" s="301"/>
      <c r="V1" s="301"/>
      <c r="W1" s="301"/>
      <c r="X1" s="301"/>
      <c r="Y1" s="301"/>
      <c r="Z1" s="301"/>
    </row>
    <row r="2">
      <c r="A2" s="302" t="s">
        <v>643</v>
      </c>
      <c r="U2" s="301"/>
      <c r="V2" s="301"/>
      <c r="W2" s="301"/>
      <c r="X2" s="301"/>
      <c r="Y2" s="301"/>
      <c r="Z2" s="301"/>
    </row>
    <row r="3">
      <c r="A3" s="303" t="s">
        <v>644</v>
      </c>
      <c r="U3" s="301"/>
      <c r="V3" s="301"/>
      <c r="W3" s="301"/>
      <c r="X3" s="301"/>
      <c r="Y3" s="301"/>
      <c r="Z3" s="301"/>
    </row>
    <row r="4">
      <c r="A4" s="304"/>
      <c r="B4" s="305"/>
      <c r="C4" s="304"/>
      <c r="D4" s="304"/>
      <c r="E4" s="304"/>
      <c r="F4" s="304"/>
      <c r="G4" s="304"/>
      <c r="H4" s="306"/>
      <c r="I4" s="306"/>
      <c r="J4" s="304"/>
      <c r="K4" s="304"/>
      <c r="L4" s="304"/>
      <c r="M4" s="304"/>
      <c r="N4" s="304"/>
      <c r="O4" s="304"/>
      <c r="P4" s="304"/>
      <c r="Q4" s="304"/>
      <c r="R4" s="304"/>
      <c r="S4" s="304"/>
      <c r="T4" s="307"/>
      <c r="U4" s="301"/>
      <c r="V4" s="301"/>
      <c r="W4" s="301"/>
      <c r="X4" s="301"/>
      <c r="Y4" s="301"/>
      <c r="Z4" s="301"/>
    </row>
    <row r="5">
      <c r="A5" s="308"/>
      <c r="B5" s="309"/>
      <c r="C5" s="308"/>
      <c r="D5" s="308"/>
      <c r="E5" s="308"/>
      <c r="F5" s="308"/>
      <c r="G5" s="308"/>
      <c r="H5" s="310"/>
      <c r="I5" s="310"/>
      <c r="J5" s="308"/>
      <c r="K5" s="308"/>
      <c r="L5" s="308"/>
      <c r="M5" s="308"/>
      <c r="N5" s="308"/>
      <c r="O5" s="308"/>
      <c r="P5" s="308"/>
      <c r="Q5" s="311" t="s">
        <v>645</v>
      </c>
      <c r="U5" s="301"/>
      <c r="V5" s="301"/>
      <c r="W5" s="301"/>
      <c r="X5" s="301"/>
      <c r="Y5" s="301"/>
      <c r="Z5" s="301"/>
    </row>
    <row r="6">
      <c r="A6" s="312" t="s">
        <v>646</v>
      </c>
      <c r="B6" s="313"/>
      <c r="C6" s="314"/>
      <c r="D6" s="314"/>
      <c r="E6" s="314"/>
      <c r="F6" s="314"/>
      <c r="G6" s="314"/>
      <c r="H6" s="315"/>
      <c r="I6" s="316" t="s">
        <v>647</v>
      </c>
      <c r="J6" s="317"/>
      <c r="K6" s="317"/>
      <c r="L6" s="317"/>
      <c r="M6" s="317"/>
      <c r="N6" s="317"/>
      <c r="O6" s="317"/>
      <c r="P6" s="317"/>
      <c r="Q6" s="317"/>
      <c r="R6" s="317"/>
      <c r="S6" s="317"/>
      <c r="T6" s="318"/>
      <c r="U6" s="301"/>
      <c r="V6" s="301"/>
      <c r="W6" s="301"/>
      <c r="X6" s="301"/>
      <c r="Y6" s="301"/>
      <c r="Z6" s="301"/>
    </row>
    <row r="7">
      <c r="A7" s="308"/>
      <c r="B7" s="319" t="s">
        <v>648</v>
      </c>
      <c r="D7" s="320" t="s">
        <v>649</v>
      </c>
      <c r="F7" s="320" t="s">
        <v>650</v>
      </c>
      <c r="H7" s="310"/>
      <c r="I7" s="321"/>
      <c r="T7" s="322"/>
      <c r="U7" s="301"/>
      <c r="V7" s="301"/>
      <c r="W7" s="301"/>
      <c r="X7" s="301"/>
      <c r="Y7" s="301"/>
      <c r="Z7" s="301"/>
    </row>
    <row r="8">
      <c r="A8" s="323"/>
      <c r="B8" s="309"/>
      <c r="C8" s="308"/>
      <c r="D8" s="308"/>
      <c r="E8" s="308"/>
      <c r="F8" s="308"/>
      <c r="G8" s="308"/>
      <c r="H8" s="310"/>
      <c r="I8" s="321"/>
      <c r="T8" s="322"/>
      <c r="U8" s="301"/>
      <c r="V8" s="301"/>
      <c r="W8" s="301"/>
      <c r="X8" s="301"/>
      <c r="Y8" s="301"/>
      <c r="Z8" s="301"/>
    </row>
    <row r="9">
      <c r="A9" s="323"/>
      <c r="B9" s="319" t="s">
        <v>651</v>
      </c>
      <c r="D9" s="320" t="s">
        <v>652</v>
      </c>
      <c r="F9" s="308"/>
      <c r="G9" s="308"/>
      <c r="H9" s="310"/>
      <c r="I9" s="321"/>
      <c r="T9" s="322"/>
      <c r="U9" s="301"/>
      <c r="V9" s="301"/>
      <c r="W9" s="301"/>
      <c r="X9" s="301"/>
      <c r="Y9" s="301"/>
      <c r="Z9" s="301"/>
    </row>
    <row r="10">
      <c r="A10" s="324"/>
      <c r="B10" s="325"/>
      <c r="C10" s="326"/>
      <c r="D10" s="326"/>
      <c r="E10" s="326"/>
      <c r="F10" s="326"/>
      <c r="G10" s="326"/>
      <c r="H10" s="327"/>
      <c r="I10" s="328"/>
      <c r="J10" s="329"/>
      <c r="K10" s="329"/>
      <c r="L10" s="329"/>
      <c r="M10" s="329"/>
      <c r="N10" s="329"/>
      <c r="O10" s="329"/>
      <c r="P10" s="329"/>
      <c r="Q10" s="329"/>
      <c r="R10" s="329"/>
      <c r="S10" s="329"/>
      <c r="T10" s="330"/>
      <c r="U10" s="301"/>
      <c r="V10" s="301"/>
      <c r="W10" s="301"/>
      <c r="X10" s="301"/>
      <c r="Y10" s="301"/>
      <c r="Z10" s="301"/>
    </row>
    <row r="11">
      <c r="A11" s="308"/>
      <c r="B11" s="309"/>
      <c r="C11" s="308"/>
      <c r="D11" s="308"/>
      <c r="E11" s="308"/>
      <c r="F11" s="308"/>
      <c r="G11" s="308"/>
      <c r="H11" s="310"/>
      <c r="I11" s="310"/>
      <c r="J11" s="308"/>
      <c r="K11" s="308"/>
      <c r="L11" s="308"/>
      <c r="M11" s="308"/>
      <c r="N11" s="308"/>
      <c r="O11" s="308"/>
      <c r="P11" s="308"/>
      <c r="Q11" s="308"/>
      <c r="R11" s="308"/>
      <c r="S11" s="308"/>
      <c r="T11" s="307"/>
      <c r="U11" s="301"/>
      <c r="V11" s="301"/>
      <c r="W11" s="301"/>
      <c r="X11" s="301"/>
      <c r="Y11" s="301"/>
      <c r="Z11" s="301"/>
    </row>
    <row r="12">
      <c r="A12" s="331" t="s">
        <v>653</v>
      </c>
      <c r="B12" s="332" t="s">
        <v>654</v>
      </c>
      <c r="C12" s="331" t="s">
        <v>182</v>
      </c>
      <c r="D12" s="331" t="s">
        <v>655</v>
      </c>
      <c r="E12" s="331" t="s">
        <v>656</v>
      </c>
      <c r="F12" s="331" t="s">
        <v>29</v>
      </c>
      <c r="G12" s="331" t="s">
        <v>187</v>
      </c>
      <c r="H12" s="331" t="s">
        <v>188</v>
      </c>
      <c r="I12" s="331" t="s">
        <v>189</v>
      </c>
      <c r="J12" s="331" t="s">
        <v>657</v>
      </c>
      <c r="K12" s="331" t="s">
        <v>191</v>
      </c>
      <c r="L12" s="331" t="s">
        <v>658</v>
      </c>
      <c r="M12" s="331" t="s">
        <v>659</v>
      </c>
      <c r="N12" s="331" t="s">
        <v>660</v>
      </c>
      <c r="O12" s="331" t="s">
        <v>195</v>
      </c>
      <c r="P12" s="331" t="s">
        <v>661</v>
      </c>
      <c r="Q12" s="331" t="s">
        <v>662</v>
      </c>
      <c r="R12" s="331" t="s">
        <v>663</v>
      </c>
      <c r="S12" s="331" t="s">
        <v>199</v>
      </c>
      <c r="T12" s="333" t="s">
        <v>200</v>
      </c>
      <c r="U12" s="334"/>
      <c r="V12" s="334"/>
      <c r="W12" s="334"/>
      <c r="X12" s="334"/>
      <c r="Y12" s="334"/>
      <c r="Z12" s="334"/>
    </row>
    <row r="13">
      <c r="A13" s="335">
        <v>1.0</v>
      </c>
      <c r="B13" s="336">
        <v>16911.0</v>
      </c>
      <c r="C13" s="337" t="str">
        <f t="array" ref="C13">INDEX('MTA 28-09'!N:N,MATCH(B13,'MTA 28-09'!A:A,0))</f>
        <v>#N/A</v>
      </c>
      <c r="D13" s="337" t="str">
        <f t="array" ref="D13">INDEX('MTA 28-09'!P:P,MATCH(B13,'MTA 28-09'!A:A,0))</f>
        <v>#N/A</v>
      </c>
      <c r="E13" s="337" t="str">
        <f t="array" ref="E13">INDEX('MTA 28-09'!P:P,MATCH(B13,'MTA 28-09'!A:A,0))</f>
        <v>#N/A</v>
      </c>
      <c r="F13" s="337" t="str">
        <f t="array" ref="F13">INDEX(#REF!,MATCH(B13,'MTA 28-09'!A:A,0))</f>
        <v>#N/A</v>
      </c>
      <c r="G13" s="337" t="str">
        <f t="array" ref="G13">INDEX('MTA 28-09'!R:R,MATCH(B13,'MTA 28-09'!A:A,0))</f>
        <v>#N/A</v>
      </c>
      <c r="H13" s="338" t="str">
        <f t="array" ref="H13">INDEX('MTA 28-09'!S:S,MATCH(B13,'MTA 28-09'!A:A,0))</f>
        <v>#N/A</v>
      </c>
      <c r="I13" s="338" t="str">
        <f t="array" ref="I13">INDEX('MTA 28-09'!T:T,MATCH(B13,'MTA 28-09'!A:A,0))</f>
        <v>#N/A</v>
      </c>
      <c r="J13" s="337" t="str">
        <f t="array" ref="J13">INDEX('MTA 28-09'!U:U,MATCH(B13,'MTA 28-09'!A:A,0))</f>
        <v>#N/A</v>
      </c>
      <c r="K13" s="337" t="str">
        <f t="array" ref="K13">INDEX('MTA 28-09'!V:V,MATCH(B13,'MTA 28-09'!A:A,0))</f>
        <v>#N/A</v>
      </c>
      <c r="L13" s="337" t="str">
        <f t="array" ref="L13">INDEX('MTA 28-09'!W:W,MATCH(B13,'MTA 28-09'!A:A,0))</f>
        <v>#N/A</v>
      </c>
      <c r="M13" s="339" t="str">
        <f t="array" ref="M13">INDEX('MTA 28-09'!X:X,MATCH(B13,'MTA 28-09'!A:A,0))</f>
        <v>#N/A</v>
      </c>
      <c r="N13" s="337" t="str">
        <f t="array" ref="N13">INDEX('MTA 28-09'!L:L,MATCH(B13,'MTA 28-09'!A:A,0))</f>
        <v>#N/A</v>
      </c>
      <c r="O13" s="337" t="str">
        <f t="array" ref="O13">INDEX('MTA 28-09'!Y:Y,MATCH(B13,'MTA 28-09'!A:A,0))</f>
        <v>#N/A</v>
      </c>
      <c r="P13" s="340" t="str">
        <f t="array" ref="P13">INDEX('MTA 28-09'!Z:Z,MATCH(B13,'MTA 28-09'!A:A,0))</f>
        <v>#N/A</v>
      </c>
      <c r="Q13" s="335" t="s">
        <v>665</v>
      </c>
      <c r="R13" s="335" t="s">
        <v>665</v>
      </c>
      <c r="S13" s="341">
        <v>45683.0</v>
      </c>
      <c r="T13" s="342" t="str">
        <f t="array" ref="T13">INDEX('Solicitações'!I:I,MATCH(B13,'Solicitações'!B:B,0))</f>
        <v>#N/A</v>
      </c>
      <c r="U13" s="301"/>
      <c r="V13" s="301"/>
      <c r="W13" s="301"/>
      <c r="X13" s="301"/>
      <c r="Y13" s="301"/>
      <c r="Z13" s="301"/>
    </row>
    <row r="14">
      <c r="A14" s="335">
        <v>2.0</v>
      </c>
      <c r="B14" s="336">
        <v>17350.0</v>
      </c>
      <c r="C14" s="337" t="str">
        <f t="array" ref="C14">INDEX('MTA 28-09'!N:N,MATCH(B14,'MTA 28-09'!A:A,0))</f>
        <v>#N/A</v>
      </c>
      <c r="D14" s="337" t="str">
        <f t="array" ref="D14">INDEX('MTA 28-09'!P:P,MATCH(B14,'MTA 28-09'!A:A,0))</f>
        <v>#N/A</v>
      </c>
      <c r="E14" s="337" t="str">
        <f t="array" ref="E14">INDEX('MTA 28-09'!P:P,MATCH(B14,'MTA 28-09'!A:A,0))</f>
        <v>#N/A</v>
      </c>
      <c r="F14" s="337" t="str">
        <f t="array" ref="F14">INDEX(#REF!,MATCH(B14,'MTA 28-09'!A:A,0))</f>
        <v>#N/A</v>
      </c>
      <c r="G14" s="337" t="str">
        <f t="array" ref="G14">INDEX('MTA 28-09'!R:R,MATCH(B14,'MTA 28-09'!A:A,0))</f>
        <v>#N/A</v>
      </c>
      <c r="H14" s="338" t="str">
        <f t="array" ref="H14">INDEX('MTA 28-09'!S:S,MATCH(B14,'MTA 28-09'!A:A,0))</f>
        <v>#N/A</v>
      </c>
      <c r="I14" s="338" t="str">
        <f t="array" ref="I14">INDEX('MTA 28-09'!T:T,MATCH(B14,'MTA 28-09'!A:A,0))</f>
        <v>#N/A</v>
      </c>
      <c r="J14" s="337" t="str">
        <f t="array" ref="J14">INDEX('MTA 28-09'!U:U,MATCH(B14,'MTA 28-09'!A:A,0))</f>
        <v>#N/A</v>
      </c>
      <c r="K14" s="337" t="str">
        <f t="array" ref="K14">INDEX('MTA 28-09'!V:V,MATCH(B14,'MTA 28-09'!A:A,0))</f>
        <v>#N/A</v>
      </c>
      <c r="L14" s="337" t="str">
        <f t="array" ref="L14">INDEX('MTA 28-09'!W:W,MATCH(B14,'MTA 28-09'!A:A,0))</f>
        <v>#N/A</v>
      </c>
      <c r="M14" s="339" t="str">
        <f t="array" ref="M14">INDEX('MTA 28-09'!X:X,MATCH(B14,'MTA 28-09'!A:A,0))</f>
        <v>#N/A</v>
      </c>
      <c r="N14" s="337" t="str">
        <f t="array" ref="N14">INDEX('MTA 28-09'!L:L,MATCH(B14,'MTA 28-09'!A:A,0))</f>
        <v>#N/A</v>
      </c>
      <c r="O14" s="337" t="str">
        <f t="array" ref="O14">INDEX('MTA 28-09'!Y:Y,MATCH(B14,'MTA 28-09'!A:A,0))</f>
        <v>#N/A</v>
      </c>
      <c r="P14" s="347">
        <v>400000.0</v>
      </c>
      <c r="Q14" s="335" t="s">
        <v>665</v>
      </c>
      <c r="R14" s="335" t="s">
        <v>665</v>
      </c>
      <c r="S14" s="341">
        <v>45683.0</v>
      </c>
      <c r="T14" s="342" t="str">
        <f t="array" ref="T14">INDEX('Solicitações'!I:I,MATCH(B14,'Solicitações'!B:B,0))</f>
        <v>#N/A</v>
      </c>
      <c r="U14" s="301"/>
      <c r="V14" s="301"/>
      <c r="W14" s="301"/>
      <c r="X14" s="301"/>
      <c r="Y14" s="301"/>
      <c r="Z14" s="301"/>
    </row>
    <row r="15">
      <c r="A15" s="335">
        <v>3.0</v>
      </c>
      <c r="B15" s="336">
        <v>18700.0</v>
      </c>
      <c r="C15" s="337" t="str">
        <f t="array" ref="C15">INDEX('MTA 28-09'!N:N,MATCH(B15,'MTA 28-09'!A:A,0))</f>
        <v>CABW</v>
      </c>
      <c r="D15" s="337" t="str">
        <f t="array" ref="D15">INDEX('MTA 28-09'!P:P,MATCH(B15,'MTA 28-09'!A:A,0))</f>
        <v>PAMALS</v>
      </c>
      <c r="E15" s="337" t="str">
        <f t="array" ref="E15">INDEX('MTA 28-09'!P:P,MATCH(B15,'MTA 28-09'!A:A,0))</f>
        <v>PAMALS</v>
      </c>
      <c r="F15" s="337" t="str">
        <f t="array" ref="F15">INDEX(#REF!,MATCH(B15,'MTA 28-09'!A:A,0))</f>
        <v>#REF!</v>
      </c>
      <c r="G15" s="337" t="str">
        <f t="array" ref="G15">INDEX('MTA 28-09'!R:R,MATCH(B15,'MTA 28-09'!A:A,0))</f>
        <v>CA0802PJC97</v>
      </c>
      <c r="H15" s="338" t="str">
        <f t="array" ref="H15">INDEX('MTA 28-09'!S:S,MATCH(B15,'MTA 28-09'!A:A,0))</f>
        <v>C-97</v>
      </c>
      <c r="I15" s="338" t="str">
        <f t="array" ref="I15">INDEX('MTA 28-09'!T:T,MATCH(B15,'MTA 28-09'!A:A,0))</f>
        <v>CTT 039/CABW-PAMALS/2024 - Modernização</v>
      </c>
      <c r="J15" s="337" t="str">
        <f t="array" ref="J15">INDEX('MTA 28-09'!U:U,MATCH(B15,'MTA 28-09'!A:A,0))</f>
        <v>KIT AERONAVE BR (3ANV)</v>
      </c>
      <c r="K15" s="337" t="str">
        <f t="array" ref="K15">INDEX('MTA 28-09'!V:V,MATCH(B15,'MTA 28-09'!A:A,0))</f>
        <v>MODERNIZAÇÃO</v>
      </c>
      <c r="L15" s="337" t="str">
        <f t="array" ref="L15">INDEX('MTA 28-09'!W:W,MATCH(B15,'MTA 28-09'!A:A,0))</f>
        <v>Não</v>
      </c>
      <c r="M15" s="339" t="str">
        <f t="array" ref="M15">INDEX('MTA 28-09'!X:X,MATCH(B15,'MTA 28-09'!A:A,0))</f>
        <v>PARCELA FIXA</v>
      </c>
      <c r="N15" s="337" t="str">
        <f t="array" ref="N15">INDEX('MTA 28-09'!L:L,MATCH(B15,'MTA 28-09'!A:A,0))</f>
        <v>D</v>
      </c>
      <c r="O15" s="349">
        <f t="array" ref="O15">INDEX('MTA 28-09'!Y:Y,MATCH(B15,'MTA 28-09'!A:A,0))</f>
        <v>3</v>
      </c>
      <c r="P15" s="347">
        <v>179905.0</v>
      </c>
      <c r="Q15" s="335" t="s">
        <v>665</v>
      </c>
      <c r="R15" s="335" t="s">
        <v>665</v>
      </c>
      <c r="S15" s="341">
        <v>45683.0</v>
      </c>
      <c r="T15" s="342" t="str">
        <f t="array" ref="T15">INDEX('Solicitações'!I:I,MATCH(B15,'Solicitações'!B:B,0))</f>
        <v/>
      </c>
      <c r="U15" s="301"/>
      <c r="V15" s="301"/>
      <c r="W15" s="301"/>
      <c r="X15" s="301"/>
      <c r="Y15" s="301"/>
      <c r="Z15" s="301"/>
    </row>
    <row r="16">
      <c r="A16" s="335">
        <v>4.0</v>
      </c>
      <c r="B16" s="336">
        <v>18860.0</v>
      </c>
      <c r="C16" s="337" t="str">
        <f t="array" ref="C16">INDEX('MTA 28-09'!N:N,MATCH(B16,'MTA 28-09'!A:A,0))</f>
        <v>CELOG</v>
      </c>
      <c r="D16" s="337" t="str">
        <f t="array" ref="D16">INDEX('MTA 28-09'!P:P,MATCH(B16,'MTA 28-09'!A:A,0))</f>
        <v>PAMALS</v>
      </c>
      <c r="E16" s="337" t="str">
        <f t="array" ref="E16">INDEX('MTA 28-09'!P:P,MATCH(B16,'MTA 28-09'!A:A,0))</f>
        <v>PAMALS</v>
      </c>
      <c r="F16" s="337" t="str">
        <f t="array" ref="F16">INDEX(#REF!,MATCH(B16,'MTA 28-09'!A:A,0))</f>
        <v>#REF!</v>
      </c>
      <c r="G16" s="337" t="str">
        <f t="array" ref="G16">INDEX('MTA 28-09'!R:R,MATCH(B16,'MTA 28-09'!A:A,0))</f>
        <v>CA0802PJT25</v>
      </c>
      <c r="H16" s="338" t="str">
        <f t="array" ref="H16">INDEX('MTA 28-09'!S:S,MATCH(B16,'MTA 28-09'!A:A,0))</f>
        <v>T-25</v>
      </c>
      <c r="I16" s="338" t="str">
        <f t="array" ref="I16">INDEX('MTA 28-09'!T:T,MATCH(B16,'MTA 28-09'!A:A,0))</f>
        <v>CTT Modernização</v>
      </c>
      <c r="J16" s="337" t="str">
        <f t="array" ref="J16">INDEX('MTA 28-09'!U:U,MATCH(B16,'MTA 28-09'!A:A,0))</f>
        <v>Modernização 2/6</v>
      </c>
      <c r="K16" s="337" t="str">
        <f t="array" ref="K16">INDEX('MTA 28-09'!V:V,MATCH(B16,'MTA 28-09'!A:A,0))</f>
        <v>MODERNIZAÇÃO</v>
      </c>
      <c r="L16" s="337" t="str">
        <f t="array" ref="L16">INDEX('MTA 28-09'!W:W,MATCH(B16,'MTA 28-09'!A:A,0))</f>
        <v>Não</v>
      </c>
      <c r="M16" s="339" t="str">
        <f t="array" ref="M16">INDEX('MTA 28-09'!X:X,MATCH(B16,'MTA 28-09'!A:A,0))</f>
        <v>PARCELA FIXA</v>
      </c>
      <c r="N16" s="337" t="str">
        <f t="array" ref="N16">INDEX('MTA 28-09'!L:L,MATCH(B16,'MTA 28-09'!A:A,0))</f>
        <v>D</v>
      </c>
      <c r="O16" s="349">
        <f t="array" ref="O16">INDEX('MTA 28-09'!Y:Y,MATCH(B16,'MTA 28-09'!A:A,0))</f>
        <v>3</v>
      </c>
      <c r="P16" s="347">
        <v>646695.61</v>
      </c>
      <c r="Q16" s="335" t="s">
        <v>665</v>
      </c>
      <c r="R16" s="335" t="s">
        <v>665</v>
      </c>
      <c r="S16" s="341">
        <v>45683.0</v>
      </c>
      <c r="T16" s="350" t="str">
        <f t="array" ref="T16">INDEX('Solicitações'!I:I,MATCH(B16,'Solicitações'!B:B,0))</f>
        <v/>
      </c>
      <c r="U16" s="301"/>
      <c r="V16" s="301"/>
      <c r="W16" s="301"/>
      <c r="X16" s="301"/>
      <c r="Y16" s="301"/>
      <c r="Z16" s="301"/>
    </row>
    <row r="17">
      <c r="A17" s="335">
        <v>35.0</v>
      </c>
      <c r="B17" s="336">
        <v>19490.0</v>
      </c>
      <c r="C17" s="337" t="str">
        <f t="array" ref="C17">INDEX('MTA 28-09'!N:N,MATCH(B17,'MTA 28-09'!A:A,0))</f>
        <v>#N/A</v>
      </c>
      <c r="D17" s="337" t="str">
        <f t="array" ref="D17">INDEX('MTA 28-09'!P:P,MATCH(B17,'MTA 28-09'!A:A,0))</f>
        <v>#N/A</v>
      </c>
      <c r="E17" s="337" t="str">
        <f t="array" ref="E17">INDEX('MTA 28-09'!P:P,MATCH(B17,'MTA 28-09'!A:A,0))</f>
        <v>#N/A</v>
      </c>
      <c r="F17" s="337" t="str">
        <f t="array" ref="F17">INDEX(#REF!,MATCH(B17,'MTA 28-09'!A:A,0))</f>
        <v>#N/A</v>
      </c>
      <c r="G17" s="337" t="str">
        <f t="array" ref="G17">INDEX('MTA 28-09'!R:R,MATCH(B17,'MTA 28-09'!A:A,0))</f>
        <v>#N/A</v>
      </c>
      <c r="H17" s="338" t="str">
        <f t="array" ref="H17">INDEX('MTA 28-09'!S:S,MATCH(B17,'MTA 28-09'!A:A,0))</f>
        <v>#N/A</v>
      </c>
      <c r="I17" s="338" t="str">
        <f t="array" ref="I17">INDEX('MTA 28-09'!T:T,MATCH(B17,'MTA 28-09'!A:A,0))</f>
        <v>#N/A</v>
      </c>
      <c r="J17" s="337" t="str">
        <f t="array" ref="J17">INDEX('MTA 28-09'!U:U,MATCH(B17,'MTA 28-09'!A:A,0))</f>
        <v>#N/A</v>
      </c>
      <c r="K17" s="337" t="str">
        <f t="array" ref="K17">INDEX('MTA 28-09'!V:V,MATCH(B17,'MTA 28-09'!A:A,0))</f>
        <v>#N/A</v>
      </c>
      <c r="L17" s="337" t="str">
        <f t="array" ref="L17">INDEX('MTA 28-09'!W:W,MATCH(B17,'MTA 28-09'!A:A,0))</f>
        <v>#N/A</v>
      </c>
      <c r="M17" s="339" t="str">
        <f t="array" ref="M17">INDEX('MTA 28-09'!X:X,MATCH(B17,'MTA 28-09'!A:A,0))</f>
        <v>#N/A</v>
      </c>
      <c r="N17" s="337" t="str">
        <f t="array" ref="N17">INDEX('MTA 28-09'!L:L,MATCH(B17,'MTA 28-09'!A:A,0))</f>
        <v>#N/A</v>
      </c>
      <c r="O17" s="337" t="str">
        <f t="array" ref="O17">INDEX('MTA 28-09'!Y:Y,MATCH(B17,'MTA 28-09'!A:A,0))</f>
        <v>#N/A</v>
      </c>
      <c r="P17" s="340" t="str">
        <f t="array" ref="P17">INDEX('MTA 28-09'!Z:Z,MATCH(B17,'MTA 28-09'!A:A,0))</f>
        <v>#N/A</v>
      </c>
      <c r="Q17" s="335" t="s">
        <v>665</v>
      </c>
      <c r="R17" s="335" t="s">
        <v>665</v>
      </c>
      <c r="S17" s="335" t="s">
        <v>704</v>
      </c>
      <c r="T17" s="342" t="str">
        <f t="array" ref="T17">INDEX('Solicitações'!I:I,MATCH(B17,'Solicitações'!B:B,0))</f>
        <v>#N/A</v>
      </c>
      <c r="U17" s="301"/>
      <c r="V17" s="301"/>
      <c r="W17" s="301"/>
      <c r="X17" s="301"/>
      <c r="Y17" s="301"/>
      <c r="Z17" s="301"/>
    </row>
    <row r="18">
      <c r="A18" s="335">
        <v>5.0</v>
      </c>
      <c r="B18" s="336">
        <v>20320.0</v>
      </c>
      <c r="C18" s="337" t="str">
        <f t="array" ref="C18">INDEX('MTA 28-09'!N:N,MATCH(B18,'MTA 28-09'!A:A,0))</f>
        <v>CABW</v>
      </c>
      <c r="D18" s="337" t="str">
        <f t="array" ref="D18">INDEX('MTA 28-09'!P:P,MATCH(B18,'MTA 28-09'!A:A,0))</f>
        <v>BACG</v>
      </c>
      <c r="E18" s="337" t="str">
        <f t="array" ref="E18">INDEX('MTA 28-09'!P:P,MATCH(B18,'MTA 28-09'!A:A,0))</f>
        <v>BACG</v>
      </c>
      <c r="F18" s="337" t="str">
        <f t="array" ref="F18">INDEX(#REF!,MATCH(B18,'MTA 28-09'!A:A,0))</f>
        <v>#REF!</v>
      </c>
      <c r="G18" s="337" t="str">
        <f t="array" ref="G18">INDEX('MTA 28-09'!R:R,MATCH(B18,'MTA 28-09'!A:A,0))</f>
        <v>CA0802FIGHT</v>
      </c>
      <c r="H18" s="338" t="str">
        <f t="array" ref="H18">INDEX('MTA 28-09'!S:S,MATCH(B18,'MTA 28-09'!A:A,0))</f>
        <v>A-29</v>
      </c>
      <c r="I18" s="338" t="str">
        <f t="array" ref="I18">INDEX('MTA 28-09'!T:T,MATCH(B18,'MTA 28-09'!A:A,0))</f>
        <v>2025-BACG-15</v>
      </c>
      <c r="J18" s="337" t="str">
        <f t="array" ref="J18">INDEX('MTA 28-09'!U:U,MATCH(B18,'MTA 28-09'!A:A,0))</f>
        <v>PN PWC65422 - DCU T-HARNESS</v>
      </c>
      <c r="K18" s="337" t="str">
        <f t="array" ref="K18">INDEX('MTA 28-09'!V:V,MATCH(B18,'MTA 28-09'!A:A,0))</f>
        <v>APOIO</v>
      </c>
      <c r="L18" s="337" t="str">
        <f t="array" ref="L18">INDEX('MTA 28-09'!W:W,MATCH(B18,'MTA 28-09'!A:A,0))</f>
        <v>Não</v>
      </c>
      <c r="M18" s="339" t="str">
        <f t="array" ref="M18">INDEX('MTA 28-09'!X:X,MATCH(B18,'MTA 28-09'!A:A,0))</f>
        <v>REQUISIÇÃO</v>
      </c>
      <c r="N18" s="337" t="str">
        <f t="array" ref="N18">INDEX('MTA 28-09'!L:L,MATCH(B18,'MTA 28-09'!A:A,0))</f>
        <v>C</v>
      </c>
      <c r="O18" s="349">
        <f t="array" ref="O18">INDEX('MTA 28-09'!Y:Y,MATCH(B18,'MTA 28-09'!A:A,0))</f>
        <v>4</v>
      </c>
      <c r="P18" s="340" t="str">
        <f t="array" ref="P18">INDEX('MTA 28-09'!Z:Z,MATCH(B18,'MTA 28-09'!A:A,0))</f>
        <v>449052</v>
      </c>
      <c r="Q18" s="335" t="s">
        <v>665</v>
      </c>
      <c r="R18" s="335" t="s">
        <v>665</v>
      </c>
      <c r="S18" s="341">
        <v>45683.0</v>
      </c>
      <c r="T18" s="350" t="str">
        <f t="array" ref="T18">INDEX('Solicitações'!I:I,MATCH(B18,'Solicitações'!B:B,0))</f>
        <v/>
      </c>
      <c r="U18" s="301"/>
      <c r="V18" s="301"/>
      <c r="W18" s="301"/>
      <c r="X18" s="301"/>
      <c r="Y18" s="301"/>
      <c r="Z18" s="301"/>
    </row>
    <row r="19">
      <c r="A19" s="335">
        <v>6.0</v>
      </c>
      <c r="B19" s="336">
        <v>20640.0</v>
      </c>
      <c r="C19" s="337" t="str">
        <f t="array" ref="C19">INDEX('MTA 28-09'!N:N,MATCH(B19,'MTA 28-09'!A:A,0))</f>
        <v>FMS</v>
      </c>
      <c r="D19" s="337" t="str">
        <f t="array" ref="D19">INDEX('MTA 28-09'!P:P,MATCH(B19,'MTA 28-09'!A:A,0))</f>
        <v>BAPV</v>
      </c>
      <c r="E19" s="337" t="str">
        <f t="array" ref="E19">INDEX('MTA 28-09'!P:P,MATCH(B19,'MTA 28-09'!A:A,0))</f>
        <v>BAPV</v>
      </c>
      <c r="F19" s="337" t="str">
        <f t="array" ref="F19">INDEX(#REF!,MATCH(B19,'MTA 28-09'!A:A,0))</f>
        <v>#REF!</v>
      </c>
      <c r="G19" s="337" t="str">
        <f t="array" ref="G19">INDEX('MTA 28-09'!R:R,MATCH(B19,'MTA 28-09'!A:A,0))</f>
        <v>CA0802FIGHT</v>
      </c>
      <c r="H19" s="338" t="str">
        <f t="array" ref="H19">INDEX('MTA 28-09'!S:S,MATCH(B19,'MTA 28-09'!A:A,0))</f>
        <v>A-29</v>
      </c>
      <c r="I19" s="338" t="str">
        <f t="array" ref="I19">INDEX('MTA 28-09'!T:T,MATCH(B19,'MTA 28-09'!A:A,0))</f>
        <v>2025-BAPV-12</v>
      </c>
      <c r="J19" s="337" t="str">
        <f t="array" ref="J19">INDEX('MTA 28-09'!U:U,MATCH(B19,'MTA 28-09'!A:A,0))</f>
        <v>PN AGE-02559-401 - CONJUNTO TESTE ANEMOMÉTRICO DA TOMADA ESTÁTICA</v>
      </c>
      <c r="K19" s="337" t="str">
        <f t="array" ref="K19">INDEX('MTA 28-09'!V:V,MATCH(B19,'MTA 28-09'!A:A,0))</f>
        <v>APOIO</v>
      </c>
      <c r="L19" s="337" t="str">
        <f t="array" ref="L19">INDEX('MTA 28-09'!W:W,MATCH(B19,'MTA 28-09'!A:A,0))</f>
        <v>Não</v>
      </c>
      <c r="M19" s="351" t="s">
        <v>214</v>
      </c>
      <c r="N19" s="337" t="str">
        <f t="array" ref="N19">INDEX('MTA 28-09'!L:L,MATCH(B19,'MTA 28-09'!A:A,0))</f>
        <v>C</v>
      </c>
      <c r="O19" s="349">
        <f t="array" ref="O19">INDEX('MTA 28-09'!Y:Y,MATCH(B19,'MTA 28-09'!A:A,0))</f>
        <v>4</v>
      </c>
      <c r="P19" s="340" t="str">
        <f t="array" ref="P19">INDEX('MTA 28-09'!Z:Z,MATCH(B19,'MTA 28-09'!A:A,0))</f>
        <v>449052</v>
      </c>
      <c r="Q19" s="335" t="s">
        <v>665</v>
      </c>
      <c r="R19" s="335" t="s">
        <v>665</v>
      </c>
      <c r="S19" s="341">
        <v>45683.0</v>
      </c>
      <c r="T19" s="350" t="str">
        <f t="array" ref="T19">INDEX('Solicitações'!I:I,MATCH(B19,'Solicitações'!B:B,0))</f>
        <v/>
      </c>
      <c r="U19" s="301"/>
      <c r="V19" s="301"/>
      <c r="W19" s="301"/>
      <c r="X19" s="301"/>
      <c r="Y19" s="301"/>
      <c r="Z19" s="301"/>
    </row>
    <row r="20">
      <c r="A20" s="335">
        <v>36.0</v>
      </c>
      <c r="B20" s="336">
        <v>21010.0</v>
      </c>
      <c r="C20" s="337" t="str">
        <f t="array" ref="C20">INDEX('MTA 28-09'!N:N,MATCH(B20,'MTA 28-09'!A:A,0))</f>
        <v>#N/A</v>
      </c>
      <c r="D20" s="337" t="str">
        <f t="array" ref="D20">INDEX('MTA 28-09'!P:P,MATCH(B20,'MTA 28-09'!A:A,0))</f>
        <v>#N/A</v>
      </c>
      <c r="E20" s="337" t="str">
        <f t="array" ref="E20">INDEX('MTA 28-09'!P:P,MATCH(B20,'MTA 28-09'!A:A,0))</f>
        <v>#N/A</v>
      </c>
      <c r="F20" s="337" t="str">
        <f t="array" ref="F20">INDEX(#REF!,MATCH(B20,'MTA 28-09'!A:A,0))</f>
        <v>#N/A</v>
      </c>
      <c r="G20" s="337" t="str">
        <f t="array" ref="G20">INDEX('MTA 28-09'!R:R,MATCH(B20,'MTA 28-09'!A:A,0))</f>
        <v>#N/A</v>
      </c>
      <c r="H20" s="338" t="str">
        <f t="array" ref="H20">INDEX('MTA 28-09'!S:S,MATCH(B20,'MTA 28-09'!A:A,0))</f>
        <v>#N/A</v>
      </c>
      <c r="I20" s="338" t="str">
        <f t="array" ref="I20">INDEX('MTA 28-09'!T:T,MATCH(B20,'MTA 28-09'!A:A,0))</f>
        <v>#N/A</v>
      </c>
      <c r="J20" s="337" t="str">
        <f t="array" ref="J20">INDEX('MTA 28-09'!U:U,MATCH(B20,'MTA 28-09'!A:A,0))</f>
        <v>#N/A</v>
      </c>
      <c r="K20" s="337" t="str">
        <f t="array" ref="K20">INDEX('MTA 28-09'!V:V,MATCH(B20,'MTA 28-09'!A:A,0))</f>
        <v>#N/A</v>
      </c>
      <c r="L20" s="337" t="str">
        <f t="array" ref="L20">INDEX('MTA 28-09'!W:W,MATCH(B20,'MTA 28-09'!A:A,0))</f>
        <v>#N/A</v>
      </c>
      <c r="M20" s="339" t="str">
        <f t="array" ref="M20">INDEX('MTA 28-09'!X:X,MATCH(B20,'MTA 28-09'!A:A,0))</f>
        <v>#N/A</v>
      </c>
      <c r="N20" s="337" t="str">
        <f t="array" ref="N20">INDEX('MTA 28-09'!L:L,MATCH(B20,'MTA 28-09'!A:A,0))</f>
        <v>#N/A</v>
      </c>
      <c r="O20" s="337" t="str">
        <f t="array" ref="O20">INDEX('MTA 28-09'!Y:Y,MATCH(B20,'MTA 28-09'!A:A,0))</f>
        <v>#N/A</v>
      </c>
      <c r="P20" s="347">
        <v>1500000.0</v>
      </c>
      <c r="Q20" s="335" t="s">
        <v>665</v>
      </c>
      <c r="R20" s="335" t="s">
        <v>665</v>
      </c>
      <c r="S20" s="335" t="s">
        <v>704</v>
      </c>
      <c r="T20" s="342" t="str">
        <f t="array" ref="T20">INDEX('Solicitações'!I:I,MATCH(B20,'Solicitações'!B:B,0))</f>
        <v>#N/A</v>
      </c>
      <c r="U20" s="301"/>
      <c r="V20" s="301"/>
      <c r="W20" s="301"/>
      <c r="X20" s="301"/>
      <c r="Y20" s="301"/>
      <c r="Z20" s="301"/>
    </row>
    <row r="21">
      <c r="A21" s="335">
        <v>18.0</v>
      </c>
      <c r="B21" s="336">
        <v>21050.0</v>
      </c>
      <c r="C21" s="337" t="str">
        <f t="array" ref="C21">INDEX('MTA 28-09'!N:N,MATCH(B21,'MTA 28-09'!A:A,0))</f>
        <v>#N/A</v>
      </c>
      <c r="D21" s="337" t="str">
        <f t="array" ref="D21">INDEX('MTA 28-09'!P:P,MATCH(B21,'MTA 28-09'!A:A,0))</f>
        <v>#N/A</v>
      </c>
      <c r="E21" s="337" t="str">
        <f t="array" ref="E21">INDEX('MTA 28-09'!P:P,MATCH(B21,'MTA 28-09'!A:A,0))</f>
        <v>#N/A</v>
      </c>
      <c r="F21" s="337" t="str">
        <f t="array" ref="F21">INDEX(#REF!,MATCH(B21,'MTA 28-09'!A:A,0))</f>
        <v>#N/A</v>
      </c>
      <c r="G21" s="337" t="str">
        <f t="array" ref="G21">INDEX('MTA 28-09'!R:R,MATCH(B21,'MTA 28-09'!A:A,0))</f>
        <v>#N/A</v>
      </c>
      <c r="H21" s="338" t="str">
        <f t="array" ref="H21">INDEX('MTA 28-09'!S:S,MATCH(B21,'MTA 28-09'!A:A,0))</f>
        <v>#N/A</v>
      </c>
      <c r="I21" s="338" t="str">
        <f t="array" ref="I21">INDEX('MTA 28-09'!T:T,MATCH(B21,'MTA 28-09'!A:A,0))</f>
        <v>#N/A</v>
      </c>
      <c r="J21" s="337" t="str">
        <f t="array" ref="J21">INDEX('MTA 28-09'!U:U,MATCH(B21,'MTA 28-09'!A:A,0))</f>
        <v>#N/A</v>
      </c>
      <c r="K21" s="337" t="str">
        <f t="array" ref="K21">INDEX('MTA 28-09'!V:V,MATCH(B21,'MTA 28-09'!A:A,0))</f>
        <v>#N/A</v>
      </c>
      <c r="L21" s="337" t="str">
        <f t="array" ref="L21">INDEX('MTA 28-09'!W:W,MATCH(B21,'MTA 28-09'!A:A,0))</f>
        <v>#N/A</v>
      </c>
      <c r="M21" s="339" t="str">
        <f t="array" ref="M21">INDEX('MTA 28-09'!X:X,MATCH(B21,'MTA 28-09'!A:A,0))</f>
        <v>#N/A</v>
      </c>
      <c r="N21" s="337" t="str">
        <f t="array" ref="N21">INDEX('MTA 28-09'!L:L,MATCH(B21,'MTA 28-09'!A:A,0))</f>
        <v>#N/A</v>
      </c>
      <c r="O21" s="337" t="str">
        <f t="array" ref="O21">INDEX('MTA 28-09'!Y:Y,MATCH(B21,'MTA 28-09'!A:A,0))</f>
        <v>#N/A</v>
      </c>
      <c r="P21" s="347">
        <v>293679.4</v>
      </c>
      <c r="Q21" s="335" t="s">
        <v>665</v>
      </c>
      <c r="R21" s="335" t="s">
        <v>665</v>
      </c>
      <c r="S21" s="335" t="s">
        <v>704</v>
      </c>
      <c r="T21" s="342" t="str">
        <f t="array" ref="T21">INDEX('Solicitações'!I:I,MATCH(B21,'Solicitações'!B:B,0))</f>
        <v>#N/A</v>
      </c>
      <c r="U21" s="301"/>
      <c r="V21" s="301"/>
      <c r="W21" s="301"/>
      <c r="X21" s="301"/>
      <c r="Y21" s="301"/>
      <c r="Z21" s="301"/>
    </row>
    <row r="22">
      <c r="A22" s="335">
        <v>19.0</v>
      </c>
      <c r="B22" s="336">
        <v>21150.0</v>
      </c>
      <c r="C22" s="337" t="str">
        <f t="array" ref="C22">INDEX('MTA 28-09'!N:N,MATCH(B22,'MTA 28-09'!A:A,0))</f>
        <v>#N/A</v>
      </c>
      <c r="D22" s="337" t="str">
        <f t="array" ref="D22">INDEX('MTA 28-09'!P:P,MATCH(B22,'MTA 28-09'!A:A,0))</f>
        <v>#N/A</v>
      </c>
      <c r="E22" s="337" t="str">
        <f t="array" ref="E22">INDEX('MTA 28-09'!P:P,MATCH(B22,'MTA 28-09'!A:A,0))</f>
        <v>#N/A</v>
      </c>
      <c r="F22" s="337" t="str">
        <f t="array" ref="F22">INDEX(#REF!,MATCH(B22,'MTA 28-09'!A:A,0))</f>
        <v>#N/A</v>
      </c>
      <c r="G22" s="337" t="str">
        <f t="array" ref="G22">INDEX('MTA 28-09'!R:R,MATCH(B22,'MTA 28-09'!A:A,0))</f>
        <v>#N/A</v>
      </c>
      <c r="H22" s="338" t="str">
        <f t="array" ref="H22">INDEX('MTA 28-09'!S:S,MATCH(B22,'MTA 28-09'!A:A,0))</f>
        <v>#N/A</v>
      </c>
      <c r="I22" s="338" t="str">
        <f t="array" ref="I22">INDEX('MTA 28-09'!T:T,MATCH(B22,'MTA 28-09'!A:A,0))</f>
        <v>#N/A</v>
      </c>
      <c r="J22" s="337" t="str">
        <f t="array" ref="J22">INDEX('MTA 28-09'!U:U,MATCH(B22,'MTA 28-09'!A:A,0))</f>
        <v>#N/A</v>
      </c>
      <c r="K22" s="337" t="str">
        <f t="array" ref="K22">INDEX('MTA 28-09'!V:V,MATCH(B22,'MTA 28-09'!A:A,0))</f>
        <v>#N/A</v>
      </c>
      <c r="L22" s="337" t="str">
        <f t="array" ref="L22">INDEX('MTA 28-09'!W:W,MATCH(B22,'MTA 28-09'!A:A,0))</f>
        <v>#N/A</v>
      </c>
      <c r="M22" s="339" t="str">
        <f t="array" ref="M22">INDEX('MTA 28-09'!X:X,MATCH(B22,'MTA 28-09'!A:A,0))</f>
        <v>#N/A</v>
      </c>
      <c r="N22" s="337" t="str">
        <f t="array" ref="N22">INDEX('MTA 28-09'!L:L,MATCH(B22,'MTA 28-09'!A:A,0))</f>
        <v>#N/A</v>
      </c>
      <c r="O22" s="337" t="str">
        <f t="array" ref="O22">INDEX('MTA 28-09'!Y:Y,MATCH(B22,'MTA 28-09'!A:A,0))</f>
        <v>#N/A</v>
      </c>
      <c r="P22" s="340" t="str">
        <f t="array" ref="P22">INDEX('MTA 28-09'!Z:Z,MATCH(B22,'MTA 28-09'!A:A,0))</f>
        <v>#N/A</v>
      </c>
      <c r="Q22" s="335" t="s">
        <v>665</v>
      </c>
      <c r="R22" s="335" t="s">
        <v>665</v>
      </c>
      <c r="S22" s="335" t="s">
        <v>704</v>
      </c>
      <c r="T22" s="342" t="str">
        <f t="array" ref="T22">INDEX('Solicitações'!I:I,MATCH(B22,'Solicitações'!B:B,0))</f>
        <v>#N/A</v>
      </c>
      <c r="U22" s="353"/>
      <c r="V22" s="353"/>
      <c r="W22" s="353"/>
      <c r="X22" s="353"/>
      <c r="Y22" s="353"/>
      <c r="Z22" s="353"/>
    </row>
    <row r="23">
      <c r="A23" s="335">
        <v>23.0</v>
      </c>
      <c r="B23" s="336">
        <v>21261.0</v>
      </c>
      <c r="C23" s="337" t="str">
        <f t="array" ref="C23">INDEX('MTA 28-09'!N:N,MATCH(B23,'MTA 28-09'!A:A,0))</f>
        <v>#N/A</v>
      </c>
      <c r="D23" s="337" t="str">
        <f t="array" ref="D23">INDEX('MTA 28-09'!P:P,MATCH(B23,'MTA 28-09'!A:A,0))</f>
        <v>#N/A</v>
      </c>
      <c r="E23" s="337" t="str">
        <f t="array" ref="E23">INDEX('MTA 28-09'!P:P,MATCH(B23,'MTA 28-09'!A:A,0))</f>
        <v>#N/A</v>
      </c>
      <c r="F23" s="337" t="str">
        <f t="array" ref="F23">INDEX(#REF!,MATCH(B23,'MTA 28-09'!A:A,0))</f>
        <v>#N/A</v>
      </c>
      <c r="G23" s="337" t="str">
        <f t="array" ref="G23">INDEX('MTA 28-09'!R:R,MATCH(B23,'MTA 28-09'!A:A,0))</f>
        <v>#N/A</v>
      </c>
      <c r="H23" s="338" t="str">
        <f t="array" ref="H23">INDEX('MTA 28-09'!S:S,MATCH(B23,'MTA 28-09'!A:A,0))</f>
        <v>#N/A</v>
      </c>
      <c r="I23" s="338" t="str">
        <f t="array" ref="I23">INDEX('MTA 28-09'!T:T,MATCH(B23,'MTA 28-09'!A:A,0))</f>
        <v>#N/A</v>
      </c>
      <c r="J23" s="337" t="str">
        <f t="array" ref="J23">INDEX('MTA 28-09'!U:U,MATCH(B23,'MTA 28-09'!A:A,0))</f>
        <v>#N/A</v>
      </c>
      <c r="K23" s="337" t="str">
        <f t="array" ref="K23">INDEX('MTA 28-09'!V:V,MATCH(B23,'MTA 28-09'!A:A,0))</f>
        <v>#N/A</v>
      </c>
      <c r="L23" s="337" t="str">
        <f t="array" ref="L23">INDEX('MTA 28-09'!W:W,MATCH(B23,'MTA 28-09'!A:A,0))</f>
        <v>#N/A</v>
      </c>
      <c r="M23" s="339" t="str">
        <f t="array" ref="M23">INDEX('MTA 28-09'!X:X,MATCH(B23,'MTA 28-09'!A:A,0))</f>
        <v>#N/A</v>
      </c>
      <c r="N23" s="337" t="str">
        <f t="array" ref="N23">INDEX('MTA 28-09'!L:L,MATCH(B23,'MTA 28-09'!A:A,0))</f>
        <v>#N/A</v>
      </c>
      <c r="O23" s="337" t="str">
        <f t="array" ref="O23">INDEX('MTA 28-09'!Y:Y,MATCH(B23,'MTA 28-09'!A:A,0))</f>
        <v>#N/A</v>
      </c>
      <c r="P23" s="340" t="str">
        <f t="array" ref="P23">INDEX('MTA 28-09'!Z:Z,MATCH(B23,'MTA 28-09'!A:A,0))</f>
        <v>#N/A</v>
      </c>
      <c r="Q23" s="335" t="s">
        <v>665</v>
      </c>
      <c r="R23" s="335" t="s">
        <v>665</v>
      </c>
      <c r="S23" s="335" t="s">
        <v>704</v>
      </c>
      <c r="T23" s="342" t="str">
        <f t="array" ref="T23">INDEX('Solicitações'!I:I,MATCH(B23,'Solicitações'!B:B,0))</f>
        <v>#N/A</v>
      </c>
      <c r="U23" s="353"/>
      <c r="V23" s="353"/>
      <c r="W23" s="353"/>
      <c r="X23" s="353"/>
      <c r="Y23" s="353"/>
      <c r="Z23" s="353"/>
    </row>
    <row r="24">
      <c r="A24" s="335">
        <v>20.0</v>
      </c>
      <c r="B24" s="336">
        <v>22060.0</v>
      </c>
      <c r="C24" s="337" t="str">
        <f t="array" ref="C24">INDEX('MTA 28-09'!N:N,MATCH(B24,'MTA 28-09'!A:A,0))</f>
        <v>CABW</v>
      </c>
      <c r="D24" s="337" t="str">
        <f t="array" ref="D24">INDEX('MTA 28-09'!P:P,MATCH(B24,'MTA 28-09'!A:A,0))</f>
        <v>PAMALS</v>
      </c>
      <c r="E24" s="337" t="str">
        <f t="array" ref="E24">INDEX('MTA 28-09'!P:P,MATCH(B24,'MTA 28-09'!A:A,0))</f>
        <v>PAMALS</v>
      </c>
      <c r="F24" s="337" t="str">
        <f t="array" ref="F24">INDEX(#REF!,MATCH(B24,'MTA 28-09'!A:A,0))</f>
        <v>#REF!</v>
      </c>
      <c r="G24" s="337" t="str">
        <f t="array" ref="G24">INDEX('MTA 28-09'!R:R,MATCH(B24,'MTA 28-09'!A:A,0))</f>
        <v>CA0802APOIO</v>
      </c>
      <c r="H24" s="338" t="str">
        <f t="array" ref="H24">INDEX('MTA 28-09'!S:S,MATCH(B24,'MTA 28-09'!A:A,0))</f>
        <v>APOIO</v>
      </c>
      <c r="I24" s="338" t="str">
        <f t="array" ref="I24">INDEX('MTA 28-09'!T:T,MATCH(B24,'MTA 28-09'!A:A,0))</f>
        <v>2025-PAMALS-11</v>
      </c>
      <c r="J24" s="337" t="str">
        <f t="array" ref="J24">INDEX('MTA 28-09'!U:U,MATCH(B24,'MTA 28-09'!A:A,0))</f>
        <v>PN 420815-1 - TRANSDUCER,MOTIONALPICKUP</v>
      </c>
      <c r="K24" s="337" t="str">
        <f t="array" ref="K24">INDEX('MTA 28-09'!V:V,MATCH(B24,'MTA 28-09'!A:A,0))</f>
        <v>APOIO</v>
      </c>
      <c r="L24" s="337" t="str">
        <f t="array" ref="L24">INDEX('MTA 28-09'!W:W,MATCH(B24,'MTA 28-09'!A:A,0))</f>
        <v>Não</v>
      </c>
      <c r="M24" s="339" t="str">
        <f t="array" ref="M24">INDEX('MTA 28-09'!X:X,MATCH(B24,'MTA 28-09'!A:A,0))</f>
        <v>REQUISIÇÃO</v>
      </c>
      <c r="N24" s="337" t="str">
        <f t="array" ref="N24">INDEX('MTA 28-09'!L:L,MATCH(B24,'MTA 28-09'!A:A,0))</f>
        <v>C</v>
      </c>
      <c r="O24" s="349">
        <f t="array" ref="O24">INDEX('MTA 28-09'!Y:Y,MATCH(B24,'MTA 28-09'!A:A,0))</f>
        <v>4</v>
      </c>
      <c r="P24" s="340" t="str">
        <f t="array" ref="P24">INDEX('MTA 28-09'!Z:Z,MATCH(B24,'MTA 28-09'!A:A,0))</f>
        <v>449052</v>
      </c>
      <c r="Q24" s="335" t="s">
        <v>665</v>
      </c>
      <c r="R24" s="335" t="s">
        <v>665</v>
      </c>
      <c r="S24" s="335" t="s">
        <v>704</v>
      </c>
      <c r="T24" s="350" t="str">
        <f t="array" ref="T24">INDEX('Solicitações'!I:I,MATCH(B24,'Solicitações'!B:B,0))</f>
        <v/>
      </c>
      <c r="U24" s="353"/>
      <c r="V24" s="353"/>
      <c r="W24" s="353"/>
      <c r="X24" s="353"/>
      <c r="Y24" s="353"/>
      <c r="Z24" s="353"/>
    </row>
    <row r="25">
      <c r="A25" s="335">
        <v>21.0</v>
      </c>
      <c r="B25" s="336">
        <v>22061.0</v>
      </c>
      <c r="C25" s="337" t="str">
        <f t="array" ref="C25">INDEX('MTA 28-09'!N:N,MATCH(B25,'MTA 28-09'!A:A,0))</f>
        <v>#N/A</v>
      </c>
      <c r="D25" s="337" t="str">
        <f t="array" ref="D25">INDEX('MTA 28-09'!P:P,MATCH(B25,'MTA 28-09'!A:A,0))</f>
        <v>#N/A</v>
      </c>
      <c r="E25" s="337" t="str">
        <f t="array" ref="E25">INDEX('MTA 28-09'!P:P,MATCH(B25,'MTA 28-09'!A:A,0))</f>
        <v>#N/A</v>
      </c>
      <c r="F25" s="337" t="str">
        <f t="array" ref="F25">INDEX(#REF!,MATCH(B25,'MTA 28-09'!A:A,0))</f>
        <v>#N/A</v>
      </c>
      <c r="G25" s="337" t="str">
        <f t="array" ref="G25">INDEX('MTA 28-09'!R:R,MATCH(B25,'MTA 28-09'!A:A,0))</f>
        <v>#N/A</v>
      </c>
      <c r="H25" s="338" t="str">
        <f t="array" ref="H25">INDEX('MTA 28-09'!S:S,MATCH(B25,'MTA 28-09'!A:A,0))</f>
        <v>#N/A</v>
      </c>
      <c r="I25" s="338" t="str">
        <f t="array" ref="I25">INDEX('MTA 28-09'!T:T,MATCH(B25,'MTA 28-09'!A:A,0))</f>
        <v>#N/A</v>
      </c>
      <c r="J25" s="337" t="str">
        <f t="array" ref="J25">INDEX('MTA 28-09'!U:U,MATCH(B25,'MTA 28-09'!A:A,0))</f>
        <v>#N/A</v>
      </c>
      <c r="K25" s="337" t="str">
        <f t="array" ref="K25">INDEX('MTA 28-09'!V:V,MATCH(B25,'MTA 28-09'!A:A,0))</f>
        <v>#N/A</v>
      </c>
      <c r="L25" s="337" t="str">
        <f t="array" ref="L25">INDEX('MTA 28-09'!W:W,MATCH(B25,'MTA 28-09'!A:A,0))</f>
        <v>#N/A</v>
      </c>
      <c r="M25" s="339" t="str">
        <f t="array" ref="M25">INDEX('MTA 28-09'!X:X,MATCH(B25,'MTA 28-09'!A:A,0))</f>
        <v>#N/A</v>
      </c>
      <c r="N25" s="337" t="str">
        <f t="array" ref="N25">INDEX('MTA 28-09'!L:L,MATCH(B25,'MTA 28-09'!A:A,0))</f>
        <v>#N/A</v>
      </c>
      <c r="O25" s="337" t="str">
        <f t="array" ref="O25">INDEX('MTA 28-09'!Y:Y,MATCH(B25,'MTA 28-09'!A:A,0))</f>
        <v>#N/A</v>
      </c>
      <c r="P25" s="340" t="str">
        <f t="array" ref="P25">INDEX('MTA 28-09'!Z:Z,MATCH(B25,'MTA 28-09'!A:A,0))</f>
        <v>#N/A</v>
      </c>
      <c r="Q25" s="335" t="s">
        <v>665</v>
      </c>
      <c r="R25" s="335" t="s">
        <v>665</v>
      </c>
      <c r="S25" s="335" t="s">
        <v>704</v>
      </c>
      <c r="T25" s="342" t="str">
        <f t="array" ref="T25">INDEX('Solicitações'!I:I,MATCH(B25,'Solicitações'!B:B,0))</f>
        <v>#N/A</v>
      </c>
      <c r="U25" s="353"/>
      <c r="V25" s="353"/>
      <c r="W25" s="353"/>
      <c r="X25" s="353"/>
      <c r="Y25" s="353"/>
      <c r="Z25" s="353"/>
    </row>
    <row r="26">
      <c r="A26" s="335">
        <v>22.0</v>
      </c>
      <c r="B26" s="336">
        <v>22062.0</v>
      </c>
      <c r="C26" s="337" t="str">
        <f t="array" ref="C26">INDEX('MTA 28-09'!N:N,MATCH(B26,'MTA 28-09'!A:A,0))</f>
        <v>#N/A</v>
      </c>
      <c r="D26" s="337" t="str">
        <f t="array" ref="D26">INDEX('MTA 28-09'!P:P,MATCH(B26,'MTA 28-09'!A:A,0))</f>
        <v>#N/A</v>
      </c>
      <c r="E26" s="337" t="str">
        <f t="array" ref="E26">INDEX('MTA 28-09'!P:P,MATCH(B26,'MTA 28-09'!A:A,0))</f>
        <v>#N/A</v>
      </c>
      <c r="F26" s="337" t="str">
        <f t="array" ref="F26">INDEX(#REF!,MATCH(B26,'MTA 28-09'!A:A,0))</f>
        <v>#N/A</v>
      </c>
      <c r="G26" s="337" t="str">
        <f t="array" ref="G26">INDEX('MTA 28-09'!R:R,MATCH(B26,'MTA 28-09'!A:A,0))</f>
        <v>#N/A</v>
      </c>
      <c r="H26" s="338" t="str">
        <f t="array" ref="H26">INDEX('MTA 28-09'!S:S,MATCH(B26,'MTA 28-09'!A:A,0))</f>
        <v>#N/A</v>
      </c>
      <c r="I26" s="338" t="str">
        <f t="array" ref="I26">INDEX('MTA 28-09'!T:T,MATCH(B26,'MTA 28-09'!A:A,0))</f>
        <v>#N/A</v>
      </c>
      <c r="J26" s="337" t="str">
        <f t="array" ref="J26">INDEX('MTA 28-09'!U:U,MATCH(B26,'MTA 28-09'!A:A,0))</f>
        <v>#N/A</v>
      </c>
      <c r="K26" s="337" t="str">
        <f t="array" ref="K26">INDEX('MTA 28-09'!V:V,MATCH(B26,'MTA 28-09'!A:A,0))</f>
        <v>#N/A</v>
      </c>
      <c r="L26" s="337" t="str">
        <f t="array" ref="L26">INDEX('MTA 28-09'!W:W,MATCH(B26,'MTA 28-09'!A:A,0))</f>
        <v>#N/A</v>
      </c>
      <c r="M26" s="339" t="str">
        <f t="array" ref="M26">INDEX('MTA 28-09'!X:X,MATCH(B26,'MTA 28-09'!A:A,0))</f>
        <v>#N/A</v>
      </c>
      <c r="N26" s="337" t="str">
        <f t="array" ref="N26">INDEX('MTA 28-09'!L:L,MATCH(B26,'MTA 28-09'!A:A,0))</f>
        <v>#N/A</v>
      </c>
      <c r="O26" s="337" t="str">
        <f t="array" ref="O26">INDEX('MTA 28-09'!Y:Y,MATCH(B26,'MTA 28-09'!A:A,0))</f>
        <v>#N/A</v>
      </c>
      <c r="P26" s="340" t="str">
        <f t="array" ref="P26">INDEX('MTA 28-09'!Z:Z,MATCH(B26,'MTA 28-09'!A:A,0))</f>
        <v>#N/A</v>
      </c>
      <c r="Q26" s="335" t="s">
        <v>665</v>
      </c>
      <c r="R26" s="335" t="s">
        <v>665</v>
      </c>
      <c r="S26" s="335" t="s">
        <v>704</v>
      </c>
      <c r="T26" s="342" t="str">
        <f t="array" ref="T26">INDEX('Solicitações'!I:I,MATCH(B26,'Solicitações'!B:B,0))</f>
        <v>#N/A</v>
      </c>
      <c r="U26" s="301"/>
      <c r="V26" s="301"/>
      <c r="W26" s="301"/>
      <c r="X26" s="301"/>
      <c r="Y26" s="301"/>
      <c r="Z26" s="301"/>
    </row>
    <row r="27">
      <c r="A27" s="335">
        <v>7.0</v>
      </c>
      <c r="B27" s="336">
        <v>22180.0</v>
      </c>
      <c r="C27" s="337" t="str">
        <f t="array" ref="C27">INDEX('MTA 28-09'!N:N,MATCH(B27,'MTA 28-09'!A:A,0))</f>
        <v>CABW</v>
      </c>
      <c r="D27" s="337" t="str">
        <f t="array" ref="D27">INDEX('MTA 28-09'!P:P,MATCH(B27,'MTA 28-09'!A:A,0))</f>
        <v>PAMALS</v>
      </c>
      <c r="E27" s="337" t="str">
        <f t="array" ref="E27">INDEX('MTA 28-09'!P:P,MATCH(B27,'MTA 28-09'!A:A,0))</f>
        <v>PAMALS</v>
      </c>
      <c r="F27" s="337" t="str">
        <f t="array" ref="F27">INDEX(#REF!,MATCH(B27,'MTA 28-09'!A:A,0))</f>
        <v>#REF!</v>
      </c>
      <c r="G27" s="337" t="str">
        <f t="array" ref="G27">INDEX('MTA 28-09'!R:R,MATCH(B27,'MTA 28-09'!A:A,0))</f>
        <v>CA0802APOIO</v>
      </c>
      <c r="H27" s="338" t="str">
        <f t="array" ref="H27">INDEX('MTA 28-09'!S:S,MATCH(B27,'MTA 28-09'!A:A,0))</f>
        <v>APOIO</v>
      </c>
      <c r="I27" s="338" t="str">
        <f t="array" ref="I27">INDEX('MTA 28-09'!T:T,MATCH(B27,'MTA 28-09'!A:A,0))</f>
        <v>2025-PAMALS-17</v>
      </c>
      <c r="J27" s="337" t="str">
        <f t="array" ref="J27">INDEX('MTA 28-09'!U:U,MATCH(B27,'MTA 28-09'!A:A,0))</f>
        <v>PN BST2950 - BEARING PULLER</v>
      </c>
      <c r="K27" s="337" t="str">
        <f t="array" ref="K27">INDEX('MTA 28-09'!V:V,MATCH(B27,'MTA 28-09'!A:A,0))</f>
        <v>APOIO</v>
      </c>
      <c r="L27" s="337" t="str">
        <f t="array" ref="L27">INDEX('MTA 28-09'!W:W,MATCH(B27,'MTA 28-09'!A:A,0))</f>
        <v>Não</v>
      </c>
      <c r="M27" s="339" t="str">
        <f t="array" ref="M27">INDEX('MTA 28-09'!X:X,MATCH(B27,'MTA 28-09'!A:A,0))</f>
        <v>REQUISIÇÃO</v>
      </c>
      <c r="N27" s="337" t="str">
        <f t="array" ref="N27">INDEX('MTA 28-09'!L:L,MATCH(B27,'MTA 28-09'!A:A,0))</f>
        <v>C</v>
      </c>
      <c r="O27" s="349">
        <f t="array" ref="O27">INDEX('MTA 28-09'!Y:Y,MATCH(B27,'MTA 28-09'!A:A,0))</f>
        <v>4</v>
      </c>
      <c r="P27" s="347">
        <v>329598.06</v>
      </c>
      <c r="Q27" s="335" t="s">
        <v>665</v>
      </c>
      <c r="R27" s="335" t="s">
        <v>665</v>
      </c>
      <c r="S27" s="341">
        <v>45683.0</v>
      </c>
      <c r="T27" s="350" t="str">
        <f t="array" ref="T27">INDEX('Solicitações'!I:I,MATCH(B27,'Solicitações'!B:B,0))</f>
        <v/>
      </c>
      <c r="U27" s="301"/>
      <c r="V27" s="301"/>
      <c r="W27" s="301"/>
      <c r="X27" s="301"/>
      <c r="Y27" s="301"/>
      <c r="Z27" s="301"/>
    </row>
    <row r="28">
      <c r="A28" s="335">
        <v>8.0</v>
      </c>
      <c r="B28" s="336">
        <v>22961.0</v>
      </c>
      <c r="C28" s="337" t="str">
        <f t="array" ref="C28">INDEX('MTA 28-09'!N:N,MATCH(B28,'MTA 28-09'!A:A,0))</f>
        <v>#N/A</v>
      </c>
      <c r="D28" s="337" t="str">
        <f t="array" ref="D28">INDEX('MTA 28-09'!P:P,MATCH(B28,'MTA 28-09'!A:A,0))</f>
        <v>#N/A</v>
      </c>
      <c r="E28" s="337" t="str">
        <f t="array" ref="E28">INDEX('MTA 28-09'!P:P,MATCH(B28,'MTA 28-09'!A:A,0))</f>
        <v>#N/A</v>
      </c>
      <c r="F28" s="337" t="str">
        <f t="array" ref="F28">INDEX(#REF!,MATCH(B28,'MTA 28-09'!A:A,0))</f>
        <v>#N/A</v>
      </c>
      <c r="G28" s="337" t="str">
        <f t="array" ref="G28">INDEX('MTA 28-09'!R:R,MATCH(B28,'MTA 28-09'!A:A,0))</f>
        <v>#N/A</v>
      </c>
      <c r="H28" s="338" t="str">
        <f t="array" ref="H28">INDEX('MTA 28-09'!S:S,MATCH(B28,'MTA 28-09'!A:A,0))</f>
        <v>#N/A</v>
      </c>
      <c r="I28" s="338" t="str">
        <f t="array" ref="I28">INDEX('MTA 28-09'!T:T,MATCH(B28,'MTA 28-09'!A:A,0))</f>
        <v>#N/A</v>
      </c>
      <c r="J28" s="337" t="str">
        <f t="array" ref="J28">INDEX('MTA 28-09'!U:U,MATCH(B28,'MTA 28-09'!A:A,0))</f>
        <v>#N/A</v>
      </c>
      <c r="K28" s="337" t="str">
        <f t="array" ref="K28">INDEX('MTA 28-09'!V:V,MATCH(B28,'MTA 28-09'!A:A,0))</f>
        <v>#N/A</v>
      </c>
      <c r="L28" s="337" t="str">
        <f t="array" ref="L28">INDEX('MTA 28-09'!W:W,MATCH(B28,'MTA 28-09'!A:A,0))</f>
        <v>#N/A</v>
      </c>
      <c r="M28" s="339" t="str">
        <f t="array" ref="M28">INDEX('MTA 28-09'!X:X,MATCH(B28,'MTA 28-09'!A:A,0))</f>
        <v>#N/A</v>
      </c>
      <c r="N28" s="337" t="str">
        <f t="array" ref="N28">INDEX('MTA 28-09'!L:L,MATCH(B28,'MTA 28-09'!A:A,0))</f>
        <v>#N/A</v>
      </c>
      <c r="O28" s="337" t="str">
        <f t="array" ref="O28">INDEX('MTA 28-09'!Y:Y,MATCH(B28,'MTA 28-09'!A:A,0))</f>
        <v>#N/A</v>
      </c>
      <c r="P28" s="347">
        <v>21248.15</v>
      </c>
      <c r="Q28" s="335" t="s">
        <v>665</v>
      </c>
      <c r="R28" s="335" t="s">
        <v>665</v>
      </c>
      <c r="S28" s="341">
        <v>45683.0</v>
      </c>
      <c r="T28" s="342" t="str">
        <f t="array" ref="T28">INDEX('Solicitações'!I:I,MATCH(B28,'Solicitações'!B:B,0))</f>
        <v>#N/A</v>
      </c>
      <c r="U28" s="301"/>
      <c r="V28" s="301"/>
      <c r="W28" s="301"/>
      <c r="X28" s="301"/>
      <c r="Y28" s="301"/>
      <c r="Z28" s="301"/>
    </row>
    <row r="29">
      <c r="A29" s="335">
        <v>37.0</v>
      </c>
      <c r="B29" s="336">
        <v>23380.0</v>
      </c>
      <c r="C29" s="337" t="str">
        <f t="array" ref="C29">INDEX('MTA 28-09'!N:N,MATCH(B29,'MTA 28-09'!A:A,0))</f>
        <v>CELOG</v>
      </c>
      <c r="D29" s="337" t="str">
        <f t="array" ref="D29">INDEX('MTA 28-09'!P:P,MATCH(B29,'MTA 28-09'!A:A,0))</f>
        <v>PAMALS</v>
      </c>
      <c r="E29" s="337" t="str">
        <f t="array" ref="E29">INDEX('MTA 28-09'!P:P,MATCH(B29,'MTA 28-09'!A:A,0))</f>
        <v>PAMALS</v>
      </c>
      <c r="F29" s="337" t="str">
        <f t="array" ref="F29">INDEX(#REF!,MATCH(B29,'MTA 28-09'!A:A,0))</f>
        <v>#REF!</v>
      </c>
      <c r="G29" s="337" t="str">
        <f t="array" ref="G29">INDEX('MTA 28-09'!R:R,MATCH(B29,'MTA 28-09'!A:A,0))</f>
        <v>CA0802TRNSP</v>
      </c>
      <c r="H29" s="338" t="str">
        <f t="array" ref="H29">INDEX('MTA 28-09'!S:S,MATCH(B29,'MTA 28-09'!A:A,0))</f>
        <v>C-97</v>
      </c>
      <c r="I29" s="338" t="str">
        <f t="array" ref="I29">INDEX('MTA 28-09'!T:T,MATCH(B29,'MTA 28-09'!A:A,0))</f>
        <v>CTT 096/CAE-PAMALS/2021 - CLS C-97</v>
      </c>
      <c r="J29" s="337" t="str">
        <f t="array" ref="J29">INDEX('MTA 28-09'!U:U,MATCH(B29,'MTA 28-09'!A:A,0))</f>
        <v>Manutenção na empresa - Inspeção C</v>
      </c>
      <c r="K29" s="337" t="str">
        <f t="array" ref="K29">INDEX('MTA 28-09'!V:V,MATCH(B29,'MTA 28-09'!A:A,0))</f>
        <v>DIVERSOS</v>
      </c>
      <c r="L29" s="337" t="str">
        <f t="array" ref="L29">INDEX('MTA 28-09'!W:W,MATCH(B29,'MTA 28-09'!A:A,0))</f>
        <v>Não</v>
      </c>
      <c r="M29" s="339" t="str">
        <f t="array" ref="M29">INDEX('MTA 28-09'!X:X,MATCH(B29,'MTA 28-09'!A:A,0))</f>
        <v>SOB DEMANDA</v>
      </c>
      <c r="N29" s="337" t="str">
        <f t="array" ref="N29">INDEX('MTA 28-09'!L:L,MATCH(B29,'MTA 28-09'!A:A,0))</f>
        <v>C</v>
      </c>
      <c r="O29" s="349">
        <f t="array" ref="O29">INDEX('MTA 28-09'!Y:Y,MATCH(B29,'MTA 28-09'!A:A,0))</f>
        <v>3</v>
      </c>
      <c r="P29" s="347">
        <v>150000.0</v>
      </c>
      <c r="Q29" s="335" t="s">
        <v>665</v>
      </c>
      <c r="R29" s="335" t="s">
        <v>665</v>
      </c>
      <c r="S29" s="335" t="s">
        <v>704</v>
      </c>
      <c r="T29" s="350" t="str">
        <f t="array" ref="T29">INDEX('Solicitações'!I:I,MATCH(B29,'Solicitações'!B:B,0))</f>
        <v/>
      </c>
      <c r="U29" s="301"/>
      <c r="V29" s="301"/>
      <c r="W29" s="301"/>
      <c r="X29" s="301"/>
      <c r="Y29" s="301"/>
      <c r="Z29" s="301"/>
    </row>
    <row r="30">
      <c r="A30" s="335">
        <v>38.0</v>
      </c>
      <c r="B30" s="336">
        <v>23390.0</v>
      </c>
      <c r="C30" s="337" t="str">
        <f t="array" ref="C30">INDEX('MTA 28-09'!N:N,MATCH(B30,'MTA 28-09'!A:A,0))</f>
        <v>#N/A</v>
      </c>
      <c r="D30" s="337" t="str">
        <f t="array" ref="D30">INDEX('MTA 28-09'!P:P,MATCH(B30,'MTA 28-09'!A:A,0))</f>
        <v>#N/A</v>
      </c>
      <c r="E30" s="337" t="str">
        <f t="array" ref="E30">INDEX('MTA 28-09'!P:P,MATCH(B30,'MTA 28-09'!A:A,0))</f>
        <v>#N/A</v>
      </c>
      <c r="F30" s="337" t="str">
        <f t="array" ref="F30">INDEX(#REF!,MATCH(B30,'MTA 28-09'!A:A,0))</f>
        <v>#N/A</v>
      </c>
      <c r="G30" s="337" t="str">
        <f t="array" ref="G30">INDEX('MTA 28-09'!R:R,MATCH(B30,'MTA 28-09'!A:A,0))</f>
        <v>#N/A</v>
      </c>
      <c r="H30" s="338" t="str">
        <f t="array" ref="H30">INDEX('MTA 28-09'!S:S,MATCH(B30,'MTA 28-09'!A:A,0))</f>
        <v>#N/A</v>
      </c>
      <c r="I30" s="338" t="str">
        <f t="array" ref="I30">INDEX('MTA 28-09'!T:T,MATCH(B30,'MTA 28-09'!A:A,0))</f>
        <v>#N/A</v>
      </c>
      <c r="J30" s="337" t="str">
        <f t="array" ref="J30">INDEX('MTA 28-09'!U:U,MATCH(B30,'MTA 28-09'!A:A,0))</f>
        <v>#N/A</v>
      </c>
      <c r="K30" s="337" t="str">
        <f t="array" ref="K30">INDEX('MTA 28-09'!V:V,MATCH(B30,'MTA 28-09'!A:A,0))</f>
        <v>#N/A</v>
      </c>
      <c r="L30" s="337" t="str">
        <f t="array" ref="L30">INDEX('MTA 28-09'!W:W,MATCH(B30,'MTA 28-09'!A:A,0))</f>
        <v>#N/A</v>
      </c>
      <c r="M30" s="339" t="str">
        <f t="array" ref="M30">INDEX('MTA 28-09'!X:X,MATCH(B30,'MTA 28-09'!A:A,0))</f>
        <v>#N/A</v>
      </c>
      <c r="N30" s="337" t="str">
        <f t="array" ref="N30">INDEX('MTA 28-09'!L:L,MATCH(B30,'MTA 28-09'!A:A,0))</f>
        <v>#N/A</v>
      </c>
      <c r="O30" s="337" t="str">
        <f t="array" ref="O30">INDEX('MTA 28-09'!Y:Y,MATCH(B30,'MTA 28-09'!A:A,0))</f>
        <v>#N/A</v>
      </c>
      <c r="P30" s="347">
        <v>105059.0</v>
      </c>
      <c r="Q30" s="335" t="s">
        <v>665</v>
      </c>
      <c r="R30" s="335" t="s">
        <v>665</v>
      </c>
      <c r="S30" s="335" t="s">
        <v>704</v>
      </c>
      <c r="T30" s="342" t="str">
        <f t="array" ref="T30">INDEX('Solicitações'!I:I,MATCH(B30,'Solicitações'!B:B,0))</f>
        <v>#N/A</v>
      </c>
      <c r="U30" s="301"/>
      <c r="V30" s="301"/>
      <c r="W30" s="301"/>
      <c r="X30" s="301"/>
      <c r="Y30" s="301"/>
      <c r="Z30" s="301"/>
    </row>
    <row r="31">
      <c r="A31" s="335">
        <v>24.0</v>
      </c>
      <c r="B31" s="336">
        <v>23890.0</v>
      </c>
      <c r="C31" s="337" t="str">
        <f t="array" ref="C31">INDEX('MTA 28-09'!N:N,MATCH(B31,'MTA 28-09'!A:A,0))</f>
        <v>#N/A</v>
      </c>
      <c r="D31" s="337" t="str">
        <f t="array" ref="D31">INDEX('MTA 28-09'!P:P,MATCH(B31,'MTA 28-09'!A:A,0))</f>
        <v>#N/A</v>
      </c>
      <c r="E31" s="337" t="str">
        <f t="array" ref="E31">INDEX('MTA 28-09'!P:P,MATCH(B31,'MTA 28-09'!A:A,0))</f>
        <v>#N/A</v>
      </c>
      <c r="F31" s="337" t="str">
        <f t="array" ref="F31">INDEX(#REF!,MATCH(B31,'MTA 28-09'!A:A,0))</f>
        <v>#N/A</v>
      </c>
      <c r="G31" s="337" t="str">
        <f t="array" ref="G31">INDEX('MTA 28-09'!R:R,MATCH(B31,'MTA 28-09'!A:A,0))</f>
        <v>#N/A</v>
      </c>
      <c r="H31" s="338" t="str">
        <f t="array" ref="H31">INDEX('MTA 28-09'!S:S,MATCH(B31,'MTA 28-09'!A:A,0))</f>
        <v>#N/A</v>
      </c>
      <c r="I31" s="338" t="str">
        <f t="array" ref="I31">INDEX('MTA 28-09'!T:T,MATCH(B31,'MTA 28-09'!A:A,0))</f>
        <v>#N/A</v>
      </c>
      <c r="J31" s="337" t="str">
        <f t="array" ref="J31">INDEX('MTA 28-09'!U:U,MATCH(B31,'MTA 28-09'!A:A,0))</f>
        <v>#N/A</v>
      </c>
      <c r="K31" s="337" t="str">
        <f t="array" ref="K31">INDEX('MTA 28-09'!V:V,MATCH(B31,'MTA 28-09'!A:A,0))</f>
        <v>#N/A</v>
      </c>
      <c r="L31" s="337" t="str">
        <f t="array" ref="L31">INDEX('MTA 28-09'!W:W,MATCH(B31,'MTA 28-09'!A:A,0))</f>
        <v>#N/A</v>
      </c>
      <c r="M31" s="339" t="str">
        <f t="array" ref="M31">INDEX('MTA 28-09'!X:X,MATCH(B31,'MTA 28-09'!A:A,0))</f>
        <v>#N/A</v>
      </c>
      <c r="N31" s="337" t="str">
        <f t="array" ref="N31">INDEX('MTA 28-09'!L:L,MATCH(B31,'MTA 28-09'!A:A,0))</f>
        <v>#N/A</v>
      </c>
      <c r="O31" s="337" t="str">
        <f t="array" ref="O31">INDEX('MTA 28-09'!Y:Y,MATCH(B31,'MTA 28-09'!A:A,0))</f>
        <v>#N/A</v>
      </c>
      <c r="P31" s="347">
        <v>600000.0</v>
      </c>
      <c r="Q31" s="335" t="s">
        <v>665</v>
      </c>
      <c r="R31" s="335" t="s">
        <v>665</v>
      </c>
      <c r="S31" s="335" t="s">
        <v>704</v>
      </c>
      <c r="T31" s="342" t="str">
        <f t="array" ref="T31">INDEX('Solicitações'!I:I,MATCH(B31,'Solicitações'!B:B,0))</f>
        <v>#N/A</v>
      </c>
      <c r="U31" s="301"/>
      <c r="V31" s="301"/>
      <c r="W31" s="301"/>
      <c r="X31" s="301"/>
      <c r="Y31" s="301"/>
      <c r="Z31" s="301"/>
    </row>
    <row r="32">
      <c r="A32" s="335">
        <v>9.0</v>
      </c>
      <c r="B32" s="336">
        <v>24480.0</v>
      </c>
      <c r="C32" s="337" t="str">
        <f t="array" ref="C32">INDEX('MTA 28-09'!N:N,MATCH(B32,'MTA 28-09'!A:A,0))</f>
        <v>CABW</v>
      </c>
      <c r="D32" s="337" t="str">
        <f t="array" ref="D32">INDEX('MTA 28-09'!P:P,MATCH(B32,'MTA 28-09'!A:A,0))</f>
        <v>PAMALS</v>
      </c>
      <c r="E32" s="337" t="str">
        <f t="array" ref="E32">INDEX('MTA 28-09'!P:P,MATCH(B32,'MTA 28-09'!A:A,0))</f>
        <v>PAMALS</v>
      </c>
      <c r="F32" s="337" t="str">
        <f t="array" ref="F32">INDEX(#REF!,MATCH(B32,'MTA 28-09'!A:A,0))</f>
        <v>#REF!</v>
      </c>
      <c r="G32" s="337" t="str">
        <f t="array" ref="G32">INDEX('MTA 28-09'!R:R,MATCH(B32,'MTA 28-09'!A:A,0))</f>
        <v>CA0802INSTR</v>
      </c>
      <c r="H32" s="338" t="str">
        <f t="array" ref="H32">INDEX('MTA 28-09'!S:S,MATCH(B32,'MTA 28-09'!A:A,0))</f>
        <v>T-25</v>
      </c>
      <c r="I32" s="338" t="str">
        <f t="array" ref="I32">INDEX('MTA 28-09'!T:T,MATCH(B32,'MTA 28-09'!A:A,0))</f>
        <v>Requisição CABW</v>
      </c>
      <c r="J32" s="337" t="str">
        <f t="array" ref="J32">INDEX('MTA 28-09'!U:U,MATCH(B32,'MTA 28-09'!A:A,0))</f>
        <v>Requisições FDAMP 2/2</v>
      </c>
      <c r="K32" s="337" t="str">
        <f t="array" ref="K32">INDEX('MTA 28-09'!V:V,MATCH(B32,'MTA 28-09'!A:A,0))</f>
        <v>APOIO</v>
      </c>
      <c r="L32" s="337" t="str">
        <f t="array" ref="L32">INDEX('MTA 28-09'!W:W,MATCH(B32,'MTA 28-09'!A:A,0))</f>
        <v>Não</v>
      </c>
      <c r="M32" s="339" t="str">
        <f t="array" ref="M32">INDEX('MTA 28-09'!X:X,MATCH(B32,'MTA 28-09'!A:A,0))</f>
        <v>REQUISIÇÃO</v>
      </c>
      <c r="N32" s="337" t="str">
        <f t="array" ref="N32">INDEX('MTA 28-09'!L:L,MATCH(B32,'MTA 28-09'!A:A,0))</f>
        <v>C</v>
      </c>
      <c r="O32" s="349">
        <f t="array" ref="O32">INDEX('MTA 28-09'!Y:Y,MATCH(B32,'MTA 28-09'!A:A,0))</f>
        <v>4</v>
      </c>
      <c r="P32" s="347">
        <v>2791735.32</v>
      </c>
      <c r="Q32" s="335" t="s">
        <v>665</v>
      </c>
      <c r="R32" s="335" t="s">
        <v>665</v>
      </c>
      <c r="S32" s="341">
        <v>45683.0</v>
      </c>
      <c r="T32" s="350" t="str">
        <f t="array" ref="T32">INDEX('Solicitações'!I:I,MATCH(B32,'Solicitações'!B:B,0))</f>
        <v/>
      </c>
      <c r="U32" s="301"/>
      <c r="V32" s="301"/>
      <c r="W32" s="301"/>
      <c r="X32" s="301"/>
      <c r="Y32" s="301"/>
      <c r="Z32" s="301"/>
    </row>
    <row r="33">
      <c r="A33" s="335">
        <v>10.0</v>
      </c>
      <c r="B33" s="336">
        <v>24620.0</v>
      </c>
      <c r="C33" s="337" t="str">
        <f t="array" ref="C33">INDEX('MTA 28-09'!N:N,MATCH(B33,'MTA 28-09'!A:A,0))</f>
        <v>CABW</v>
      </c>
      <c r="D33" s="337" t="str">
        <f t="array" ref="D33">INDEX('MTA 28-09'!P:P,MATCH(B33,'MTA 28-09'!A:A,0))</f>
        <v>PAMALS</v>
      </c>
      <c r="E33" s="337" t="str">
        <f t="array" ref="E33">INDEX('MTA 28-09'!P:P,MATCH(B33,'MTA 28-09'!A:A,0))</f>
        <v>PAMALS</v>
      </c>
      <c r="F33" s="337" t="str">
        <f t="array" ref="F33">INDEX(#REF!,MATCH(B33,'MTA 28-09'!A:A,0))</f>
        <v>#REF!</v>
      </c>
      <c r="G33" s="337" t="str">
        <f t="array" ref="G33">INDEX('MTA 28-09'!R:R,MATCH(B33,'MTA 28-09'!A:A,0))</f>
        <v>CA0802TRNSP</v>
      </c>
      <c r="H33" s="338" t="str">
        <f t="array" ref="H33">INDEX('MTA 28-09'!S:S,MATCH(B33,'MTA 28-09'!A:A,0))</f>
        <v>C-97</v>
      </c>
      <c r="I33" s="338" t="str">
        <f t="array" ref="I33">INDEX('MTA 28-09'!T:T,MATCH(B33,'MTA 28-09'!A:A,0))</f>
        <v>Requisição CABW</v>
      </c>
      <c r="J33" s="337" t="str">
        <f t="array" ref="J33">INDEX('MTA 28-09'!U:U,MATCH(B33,'MTA 28-09'!A:A,0))</f>
        <v>Requisições Consumíveis 4/4</v>
      </c>
      <c r="K33" s="337" t="str">
        <f t="array" ref="K33">INDEX('MTA 28-09'!V:V,MATCH(B33,'MTA 28-09'!A:A,0))</f>
        <v>CONSUMO</v>
      </c>
      <c r="L33" s="337" t="str">
        <f t="array" ref="L33">INDEX('MTA 28-09'!W:W,MATCH(B33,'MTA 28-09'!A:A,0))</f>
        <v>Não</v>
      </c>
      <c r="M33" s="339" t="str">
        <f t="array" ref="M33">INDEX('MTA 28-09'!X:X,MATCH(B33,'MTA 28-09'!A:A,0))</f>
        <v>REQUISIÇÃO</v>
      </c>
      <c r="N33" s="337" t="str">
        <f t="array" ref="N33">INDEX('MTA 28-09'!L:L,MATCH(B33,'MTA 28-09'!A:A,0))</f>
        <v>C</v>
      </c>
      <c r="O33" s="349">
        <f t="array" ref="O33">INDEX('MTA 28-09'!Y:Y,MATCH(B33,'MTA 28-09'!A:A,0))</f>
        <v>3</v>
      </c>
      <c r="P33" s="347">
        <v>817087.37</v>
      </c>
      <c r="Q33" s="335" t="s">
        <v>665</v>
      </c>
      <c r="R33" s="335" t="s">
        <v>665</v>
      </c>
      <c r="S33" s="341">
        <v>45683.0</v>
      </c>
      <c r="T33" s="350" t="str">
        <f t="array" ref="T33">INDEX('Solicitações'!I:I,MATCH(B33,'Solicitações'!B:B,0))</f>
        <v/>
      </c>
      <c r="U33" s="301"/>
      <c r="V33" s="301"/>
      <c r="W33" s="301"/>
      <c r="X33" s="301"/>
      <c r="Y33" s="301"/>
      <c r="Z33" s="301"/>
    </row>
    <row r="34">
      <c r="A34" s="335">
        <v>11.0</v>
      </c>
      <c r="B34" s="336">
        <v>24720.0</v>
      </c>
      <c r="C34" s="337" t="str">
        <f t="array" ref="C34">INDEX('MTA 28-09'!N:N,MATCH(B34,'MTA 28-09'!A:A,0))</f>
        <v>FMS</v>
      </c>
      <c r="D34" s="337" t="str">
        <f t="array" ref="D34">INDEX('MTA 28-09'!P:P,MATCH(B34,'MTA 28-09'!A:A,0))</f>
        <v>PAMALS</v>
      </c>
      <c r="E34" s="337" t="str">
        <f t="array" ref="E34">INDEX('MTA 28-09'!P:P,MATCH(B34,'MTA 28-09'!A:A,0))</f>
        <v>PAMALS</v>
      </c>
      <c r="F34" s="337" t="str">
        <f t="array" ref="F34">INDEX(#REF!,MATCH(B34,'MTA 28-09'!A:A,0))</f>
        <v>#REF!</v>
      </c>
      <c r="G34" s="337" t="str">
        <f t="array" ref="G34">INDEX('MTA 28-09'!R:R,MATCH(B34,'MTA 28-09'!A:A,0))</f>
        <v>CA0802TRNSP</v>
      </c>
      <c r="H34" s="338" t="str">
        <f t="array" ref="H34">INDEX('MTA 28-09'!S:S,MATCH(B34,'MTA 28-09'!A:A,0))</f>
        <v>C-98</v>
      </c>
      <c r="I34" s="338" t="str">
        <f t="array" ref="I34">INDEX('MTA 28-09'!T:T,MATCH(B34,'MTA 28-09'!A:A,0))</f>
        <v>Requisição FMS</v>
      </c>
      <c r="J34" s="337" t="str">
        <f t="array" ref="J34">INDEX('MTA 28-09'!U:U,MATCH(B34,'MTA 28-09'!A:A,0))</f>
        <v>Requisições Consumíveis 4/4</v>
      </c>
      <c r="K34" s="337" t="str">
        <f t="array" ref="K34">INDEX('MTA 28-09'!V:V,MATCH(B34,'MTA 28-09'!A:A,0))</f>
        <v>CONSUMO</v>
      </c>
      <c r="L34" s="337" t="str">
        <f t="array" ref="L34">INDEX('MTA 28-09'!W:W,MATCH(B34,'MTA 28-09'!A:A,0))</f>
        <v>Não</v>
      </c>
      <c r="M34" s="339" t="str">
        <f t="array" ref="M34">INDEX('MTA 28-09'!X:X,MATCH(B34,'MTA 28-09'!A:A,0))</f>
        <v>REQUISIÇÃO</v>
      </c>
      <c r="N34" s="337" t="str">
        <f t="array" ref="N34">INDEX('MTA 28-09'!L:L,MATCH(B34,'MTA 28-09'!A:A,0))</f>
        <v>C</v>
      </c>
      <c r="O34" s="349">
        <f t="array" ref="O34">INDEX('MTA 28-09'!Y:Y,MATCH(B34,'MTA 28-09'!A:A,0))</f>
        <v>3</v>
      </c>
      <c r="P34" s="347">
        <v>1493185.87</v>
      </c>
      <c r="Q34" s="335" t="s">
        <v>665</v>
      </c>
      <c r="R34" s="335" t="s">
        <v>665</v>
      </c>
      <c r="S34" s="341">
        <v>45683.0</v>
      </c>
      <c r="T34" s="350" t="str">
        <f t="array" ref="T34">INDEX('Solicitações'!I:I,MATCH(B34,'Solicitações'!B:B,0))</f>
        <v/>
      </c>
      <c r="U34" s="301"/>
      <c r="V34" s="301"/>
      <c r="W34" s="301"/>
      <c r="X34" s="301"/>
      <c r="Y34" s="301"/>
      <c r="Z34" s="301"/>
    </row>
    <row r="35">
      <c r="A35" s="335">
        <v>12.0</v>
      </c>
      <c r="B35" s="336">
        <v>24810.0</v>
      </c>
      <c r="C35" s="337" t="str">
        <f t="array" ref="C35">INDEX('MTA 28-09'!N:N,MATCH(B35,'MTA 28-09'!A:A,0))</f>
        <v>#N/A</v>
      </c>
      <c r="D35" s="337" t="str">
        <f t="array" ref="D35">INDEX('MTA 28-09'!P:P,MATCH(B35,'MTA 28-09'!A:A,0))</f>
        <v>#N/A</v>
      </c>
      <c r="E35" s="337" t="str">
        <f t="array" ref="E35">INDEX('MTA 28-09'!P:P,MATCH(B35,'MTA 28-09'!A:A,0))</f>
        <v>#N/A</v>
      </c>
      <c r="F35" s="337" t="str">
        <f t="array" ref="F35">INDEX(#REF!,MATCH(B35,'MTA 28-09'!A:A,0))</f>
        <v>#N/A</v>
      </c>
      <c r="G35" s="337" t="str">
        <f t="array" ref="G35">INDEX('MTA 28-09'!R:R,MATCH(B35,'MTA 28-09'!A:A,0))</f>
        <v>#N/A</v>
      </c>
      <c r="H35" s="338" t="str">
        <f t="array" ref="H35">INDEX('MTA 28-09'!S:S,MATCH(B35,'MTA 28-09'!A:A,0))</f>
        <v>#N/A</v>
      </c>
      <c r="I35" s="338" t="str">
        <f t="array" ref="I35">INDEX('MTA 28-09'!T:T,MATCH(B35,'MTA 28-09'!A:A,0))</f>
        <v>#N/A</v>
      </c>
      <c r="J35" s="337" t="str">
        <f t="array" ref="J35">INDEX('MTA 28-09'!U:U,MATCH(B35,'MTA 28-09'!A:A,0))</f>
        <v>#N/A</v>
      </c>
      <c r="K35" s="337" t="str">
        <f t="array" ref="K35">INDEX('MTA 28-09'!V:V,MATCH(B35,'MTA 28-09'!A:A,0))</f>
        <v>#N/A</v>
      </c>
      <c r="L35" s="337" t="str">
        <f t="array" ref="L35">INDEX('MTA 28-09'!W:W,MATCH(B35,'MTA 28-09'!A:A,0))</f>
        <v>#N/A</v>
      </c>
      <c r="M35" s="339" t="str">
        <f t="array" ref="M35">INDEX('MTA 28-09'!X:X,MATCH(B35,'MTA 28-09'!A:A,0))</f>
        <v>#N/A</v>
      </c>
      <c r="N35" s="337" t="str">
        <f t="array" ref="N35">INDEX('MTA 28-09'!L:L,MATCH(B35,'MTA 28-09'!A:A,0))</f>
        <v>#N/A</v>
      </c>
      <c r="O35" s="337" t="str">
        <f t="array" ref="O35">INDEX('MTA 28-09'!Y:Y,MATCH(B35,'MTA 28-09'!A:A,0))</f>
        <v>#N/A</v>
      </c>
      <c r="P35" s="347">
        <v>2185792.785</v>
      </c>
      <c r="Q35" s="335" t="s">
        <v>665</v>
      </c>
      <c r="R35" s="335" t="s">
        <v>665</v>
      </c>
      <c r="S35" s="341">
        <v>45683.0</v>
      </c>
      <c r="T35" s="342" t="str">
        <f t="array" ref="T35">INDEX('Solicitações'!I:I,MATCH(B35,'Solicitações'!B:B,0))</f>
        <v>#N/A</v>
      </c>
      <c r="U35" s="301"/>
      <c r="V35" s="301"/>
      <c r="W35" s="301"/>
      <c r="X35" s="301"/>
      <c r="Y35" s="301"/>
      <c r="Z35" s="301"/>
    </row>
    <row r="36">
      <c r="A36" s="335">
        <v>25.0</v>
      </c>
      <c r="B36" s="336">
        <v>24830.0</v>
      </c>
      <c r="C36" s="337" t="str">
        <f t="array" ref="C36">INDEX('MTA 28-09'!N:N,MATCH(B36,'MTA 28-09'!A:A,0))</f>
        <v>#N/A</v>
      </c>
      <c r="D36" s="337" t="str">
        <f t="array" ref="D36">INDEX('MTA 28-09'!P:P,MATCH(B36,'MTA 28-09'!A:A,0))</f>
        <v>#N/A</v>
      </c>
      <c r="E36" s="337" t="str">
        <f t="array" ref="E36">INDEX('MTA 28-09'!P:P,MATCH(B36,'MTA 28-09'!A:A,0))</f>
        <v>#N/A</v>
      </c>
      <c r="F36" s="337" t="str">
        <f t="array" ref="F36">INDEX(#REF!,MATCH(B36,'MTA 28-09'!A:A,0))</f>
        <v>#N/A</v>
      </c>
      <c r="G36" s="337" t="str">
        <f t="array" ref="G36">INDEX('MTA 28-09'!R:R,MATCH(B36,'MTA 28-09'!A:A,0))</f>
        <v>#N/A</v>
      </c>
      <c r="H36" s="338" t="str">
        <f t="array" ref="H36">INDEX('MTA 28-09'!S:S,MATCH(B36,'MTA 28-09'!A:A,0))</f>
        <v>#N/A</v>
      </c>
      <c r="I36" s="338" t="str">
        <f t="array" ref="I36">INDEX('MTA 28-09'!T:T,MATCH(B36,'MTA 28-09'!A:A,0))</f>
        <v>#N/A</v>
      </c>
      <c r="J36" s="337" t="str">
        <f t="array" ref="J36">INDEX('MTA 28-09'!U:U,MATCH(B36,'MTA 28-09'!A:A,0))</f>
        <v>#N/A</v>
      </c>
      <c r="K36" s="337" t="str">
        <f t="array" ref="K36">INDEX('MTA 28-09'!V:V,MATCH(B36,'MTA 28-09'!A:A,0))</f>
        <v>#N/A</v>
      </c>
      <c r="L36" s="337" t="str">
        <f t="array" ref="L36">INDEX('MTA 28-09'!W:W,MATCH(B36,'MTA 28-09'!A:A,0))</f>
        <v>#N/A</v>
      </c>
      <c r="M36" s="339" t="str">
        <f t="array" ref="M36">INDEX('MTA 28-09'!X:X,MATCH(B36,'MTA 28-09'!A:A,0))</f>
        <v>#N/A</v>
      </c>
      <c r="N36" s="337" t="str">
        <f t="array" ref="N36">INDEX('MTA 28-09'!L:L,MATCH(B36,'MTA 28-09'!A:A,0))</f>
        <v>#N/A</v>
      </c>
      <c r="O36" s="337" t="str">
        <f t="array" ref="O36">INDEX('MTA 28-09'!Y:Y,MATCH(B36,'MTA 28-09'!A:A,0))</f>
        <v>#N/A</v>
      </c>
      <c r="P36" s="340" t="str">
        <f t="array" ref="P36">INDEX('MTA 28-09'!Z:Z,MATCH(B36,'MTA 28-09'!A:A,0))</f>
        <v>#N/A</v>
      </c>
      <c r="Q36" s="335" t="s">
        <v>665</v>
      </c>
      <c r="R36" s="335" t="s">
        <v>665</v>
      </c>
      <c r="S36" s="335" t="s">
        <v>704</v>
      </c>
      <c r="T36" s="342" t="str">
        <f t="array" ref="T36">INDEX('Solicitações'!I:I,MATCH(B36,'Solicitações'!B:B,0))</f>
        <v>#N/A</v>
      </c>
      <c r="U36" s="301"/>
      <c r="V36" s="301"/>
      <c r="W36" s="301"/>
      <c r="X36" s="301"/>
      <c r="Y36" s="301"/>
      <c r="Z36" s="301"/>
    </row>
    <row r="37">
      <c r="A37" s="335">
        <v>26.0</v>
      </c>
      <c r="B37" s="336">
        <v>24840.0</v>
      </c>
      <c r="C37" s="337" t="str">
        <f t="array" ref="C37">INDEX('MTA 28-09'!N:N,MATCH(B37,'MTA 28-09'!A:A,0))</f>
        <v>CABW</v>
      </c>
      <c r="D37" s="337" t="str">
        <f t="array" ref="D37">INDEX('MTA 28-09'!P:P,MATCH(B37,'MTA 28-09'!A:A,0))</f>
        <v>PAMALS</v>
      </c>
      <c r="E37" s="337" t="str">
        <f t="array" ref="E37">INDEX('MTA 28-09'!P:P,MATCH(B37,'MTA 28-09'!A:A,0))</f>
        <v>PAMALS</v>
      </c>
      <c r="F37" s="337" t="str">
        <f t="array" ref="F37">INDEX(#REF!,MATCH(B37,'MTA 28-09'!A:A,0))</f>
        <v>#REF!</v>
      </c>
      <c r="G37" s="337" t="str">
        <f t="array" ref="G37">INDEX('MTA 28-09'!R:R,MATCH(B37,'MTA 28-09'!A:A,0))</f>
        <v>CA0802INSTR</v>
      </c>
      <c r="H37" s="338" t="str">
        <f t="array" ref="H37">INDEX('MTA 28-09'!S:S,MATCH(B37,'MTA 28-09'!A:A,0))</f>
        <v>G-19</v>
      </c>
      <c r="I37" s="338" t="str">
        <f t="array" ref="I37">INDEX('MTA 28-09'!T:T,MATCH(B37,'MTA 28-09'!A:A,0))</f>
        <v>Requisição CABW</v>
      </c>
      <c r="J37" s="337" t="str">
        <f t="array" ref="J37">INDEX('MTA 28-09'!U:U,MATCH(B37,'MTA 28-09'!A:A,0))</f>
        <v>Requisições Consumíveis 6/8</v>
      </c>
      <c r="K37" s="337" t="str">
        <f t="array" ref="K37">INDEX('MTA 28-09'!V:V,MATCH(B37,'MTA 28-09'!A:A,0))</f>
        <v>CONSUMO</v>
      </c>
      <c r="L37" s="337" t="str">
        <f t="array" ref="L37">INDEX('MTA 28-09'!W:W,MATCH(B37,'MTA 28-09'!A:A,0))</f>
        <v>Não</v>
      </c>
      <c r="M37" s="339" t="str">
        <f t="array" ref="M37">INDEX('MTA 28-09'!X:X,MATCH(B37,'MTA 28-09'!A:A,0))</f>
        <v>REQUISIÇÃO</v>
      </c>
      <c r="N37" s="337" t="str">
        <f t="array" ref="N37">INDEX('MTA 28-09'!L:L,MATCH(B37,'MTA 28-09'!A:A,0))</f>
        <v>C</v>
      </c>
      <c r="O37" s="349">
        <f t="array" ref="O37">INDEX('MTA 28-09'!Y:Y,MATCH(B37,'MTA 28-09'!A:A,0))</f>
        <v>3</v>
      </c>
      <c r="P37" s="340" t="str">
        <f t="array" ref="P37">INDEX('MTA 28-09'!Z:Z,MATCH(B37,'MTA 28-09'!A:A,0))</f>
        <v>339030</v>
      </c>
      <c r="Q37" s="335" t="s">
        <v>665</v>
      </c>
      <c r="R37" s="335" t="s">
        <v>665</v>
      </c>
      <c r="S37" s="335" t="s">
        <v>704</v>
      </c>
      <c r="T37" s="350" t="str">
        <f t="array" ref="T37">INDEX('Solicitações'!I:I,MATCH(B37,'Solicitações'!B:B,0))</f>
        <v/>
      </c>
      <c r="U37" s="301"/>
      <c r="V37" s="301"/>
      <c r="W37" s="301"/>
      <c r="X37" s="301"/>
      <c r="Y37" s="301"/>
      <c r="Z37" s="301"/>
    </row>
    <row r="38">
      <c r="A38" s="335">
        <v>27.0</v>
      </c>
      <c r="B38" s="336">
        <v>24850.0</v>
      </c>
      <c r="C38" s="337" t="str">
        <f t="array" ref="C38">INDEX('MTA 28-09'!N:N,MATCH(B38,'MTA 28-09'!A:A,0))</f>
        <v>#N/A</v>
      </c>
      <c r="D38" s="337" t="str">
        <f t="array" ref="D38">INDEX('MTA 28-09'!P:P,MATCH(B38,'MTA 28-09'!A:A,0))</f>
        <v>#N/A</v>
      </c>
      <c r="E38" s="337" t="str">
        <f t="array" ref="E38">INDEX('MTA 28-09'!P:P,MATCH(B38,'MTA 28-09'!A:A,0))</f>
        <v>#N/A</v>
      </c>
      <c r="F38" s="337" t="str">
        <f t="array" ref="F38">INDEX(#REF!,MATCH(B38,'MTA 28-09'!A:A,0))</f>
        <v>#N/A</v>
      </c>
      <c r="G38" s="337" t="str">
        <f t="array" ref="G38">INDEX('MTA 28-09'!R:R,MATCH(B38,'MTA 28-09'!A:A,0))</f>
        <v>#N/A</v>
      </c>
      <c r="H38" s="338" t="str">
        <f t="array" ref="H38">INDEX('MTA 28-09'!S:S,MATCH(B38,'MTA 28-09'!A:A,0))</f>
        <v>#N/A</v>
      </c>
      <c r="I38" s="338" t="str">
        <f t="array" ref="I38">INDEX('MTA 28-09'!T:T,MATCH(B38,'MTA 28-09'!A:A,0))</f>
        <v>#N/A</v>
      </c>
      <c r="J38" s="337" t="str">
        <f t="array" ref="J38">INDEX('MTA 28-09'!U:U,MATCH(B38,'MTA 28-09'!A:A,0))</f>
        <v>#N/A</v>
      </c>
      <c r="K38" s="337" t="str">
        <f t="array" ref="K38">INDEX('MTA 28-09'!V:V,MATCH(B38,'MTA 28-09'!A:A,0))</f>
        <v>#N/A</v>
      </c>
      <c r="L38" s="337" t="str">
        <f t="array" ref="L38">INDEX('MTA 28-09'!W:W,MATCH(B38,'MTA 28-09'!A:A,0))</f>
        <v>#N/A</v>
      </c>
      <c r="M38" s="339" t="str">
        <f t="array" ref="M38">INDEX('MTA 28-09'!X:X,MATCH(B38,'MTA 28-09'!A:A,0))</f>
        <v>#N/A</v>
      </c>
      <c r="N38" s="337" t="str">
        <f t="array" ref="N38">INDEX('MTA 28-09'!L:L,MATCH(B38,'MTA 28-09'!A:A,0))</f>
        <v>#N/A</v>
      </c>
      <c r="O38" s="337" t="str">
        <f t="array" ref="O38">INDEX('MTA 28-09'!Y:Y,MATCH(B38,'MTA 28-09'!A:A,0))</f>
        <v>#N/A</v>
      </c>
      <c r="P38" s="340" t="str">
        <f t="array" ref="P38">INDEX('MTA 28-09'!Z:Z,MATCH(B38,'MTA 28-09'!A:A,0))</f>
        <v>#N/A</v>
      </c>
      <c r="Q38" s="335" t="s">
        <v>665</v>
      </c>
      <c r="R38" s="335" t="s">
        <v>665</v>
      </c>
      <c r="S38" s="335" t="s">
        <v>704</v>
      </c>
      <c r="T38" s="342" t="str">
        <f t="array" ref="T38">INDEX('Solicitações'!I:I,MATCH(B38,'Solicitações'!B:B,0))</f>
        <v>#N/A</v>
      </c>
      <c r="U38" s="301"/>
      <c r="V38" s="301"/>
      <c r="W38" s="301"/>
      <c r="X38" s="301"/>
      <c r="Y38" s="301"/>
      <c r="Z38" s="301"/>
    </row>
    <row r="39">
      <c r="A39" s="335">
        <v>28.0</v>
      </c>
      <c r="B39" s="336">
        <v>24860.0</v>
      </c>
      <c r="C39" s="337" t="str">
        <f t="array" ref="C39">INDEX('MTA 28-09'!N:N,MATCH(B39,'MTA 28-09'!A:A,0))</f>
        <v>CABW</v>
      </c>
      <c r="D39" s="337" t="str">
        <f t="array" ref="D39">INDEX('MTA 28-09'!P:P,MATCH(B39,'MTA 28-09'!A:A,0))</f>
        <v>PAMALS</v>
      </c>
      <c r="E39" s="337" t="str">
        <f t="array" ref="E39">INDEX('MTA 28-09'!P:P,MATCH(B39,'MTA 28-09'!A:A,0))</f>
        <v>PAMALS</v>
      </c>
      <c r="F39" s="337" t="str">
        <f t="array" ref="F39">INDEX(#REF!,MATCH(B39,'MTA 28-09'!A:A,0))</f>
        <v>#REF!</v>
      </c>
      <c r="G39" s="337" t="str">
        <f t="array" ref="G39">INDEX('MTA 28-09'!R:R,MATCH(B39,'MTA 28-09'!A:A,0))</f>
        <v>CA0802INSTR</v>
      </c>
      <c r="H39" s="338" t="str">
        <f t="array" ref="H39">INDEX('MTA 28-09'!S:S,MATCH(B39,'MTA 28-09'!A:A,0))</f>
        <v>G-19</v>
      </c>
      <c r="I39" s="338" t="str">
        <f t="array" ref="I39">INDEX('MTA 28-09'!T:T,MATCH(B39,'MTA 28-09'!A:A,0))</f>
        <v>Requisição CABW</v>
      </c>
      <c r="J39" s="337" t="str">
        <f t="array" ref="J39">INDEX('MTA 28-09'!U:U,MATCH(B39,'MTA 28-09'!A:A,0))</f>
        <v>Requisições Consumíveis 8/8</v>
      </c>
      <c r="K39" s="337" t="str">
        <f t="array" ref="K39">INDEX('MTA 28-09'!V:V,MATCH(B39,'MTA 28-09'!A:A,0))</f>
        <v>CONSUMO</v>
      </c>
      <c r="L39" s="337" t="str">
        <f t="array" ref="L39">INDEX('MTA 28-09'!W:W,MATCH(B39,'MTA 28-09'!A:A,0))</f>
        <v>Não</v>
      </c>
      <c r="M39" s="339" t="str">
        <f t="array" ref="M39">INDEX('MTA 28-09'!X:X,MATCH(B39,'MTA 28-09'!A:A,0))</f>
        <v>REQUISIÇÃO</v>
      </c>
      <c r="N39" s="337" t="str">
        <f t="array" ref="N39">INDEX('MTA 28-09'!L:L,MATCH(B39,'MTA 28-09'!A:A,0))</f>
        <v>C</v>
      </c>
      <c r="O39" s="349">
        <f t="array" ref="O39">INDEX('MTA 28-09'!Y:Y,MATCH(B39,'MTA 28-09'!A:A,0))</f>
        <v>3</v>
      </c>
      <c r="P39" s="340" t="str">
        <f t="array" ref="P39">INDEX('MTA 28-09'!Z:Z,MATCH(B39,'MTA 28-09'!A:A,0))</f>
        <v>339030</v>
      </c>
      <c r="Q39" s="335" t="s">
        <v>665</v>
      </c>
      <c r="R39" s="335" t="s">
        <v>665</v>
      </c>
      <c r="S39" s="335" t="s">
        <v>704</v>
      </c>
      <c r="T39" s="350" t="str">
        <f t="array" ref="T39">INDEX('Solicitações'!I:I,MATCH(B39,'Solicitações'!B:B,0))</f>
        <v/>
      </c>
      <c r="U39" s="301"/>
      <c r="V39" s="301"/>
      <c r="W39" s="301"/>
      <c r="X39" s="301"/>
      <c r="Y39" s="301"/>
      <c r="Z39" s="301"/>
    </row>
    <row r="40">
      <c r="A40" s="335">
        <v>29.0</v>
      </c>
      <c r="B40" s="336">
        <v>24870.0</v>
      </c>
      <c r="C40" s="337" t="str">
        <f t="array" ref="C40">INDEX('MTA 28-09'!N:N,MATCH(B40,'MTA 28-09'!A:A,0))</f>
        <v>#N/A</v>
      </c>
      <c r="D40" s="337" t="str">
        <f t="array" ref="D40">INDEX('MTA 28-09'!P:P,MATCH(B40,'MTA 28-09'!A:A,0))</f>
        <v>#N/A</v>
      </c>
      <c r="E40" s="337" t="str">
        <f t="array" ref="E40">INDEX('MTA 28-09'!P:P,MATCH(B40,'MTA 28-09'!A:A,0))</f>
        <v>#N/A</v>
      </c>
      <c r="F40" s="337" t="str">
        <f t="array" ref="F40">INDEX(#REF!,MATCH(B40,'MTA 28-09'!A:A,0))</f>
        <v>#N/A</v>
      </c>
      <c r="G40" s="337" t="str">
        <f t="array" ref="G40">INDEX('MTA 28-09'!R:R,MATCH(B40,'MTA 28-09'!A:A,0))</f>
        <v>#N/A</v>
      </c>
      <c r="H40" s="338" t="str">
        <f t="array" ref="H40">INDEX('MTA 28-09'!S:S,MATCH(B40,'MTA 28-09'!A:A,0))</f>
        <v>#N/A</v>
      </c>
      <c r="I40" s="338" t="str">
        <f t="array" ref="I40">INDEX('MTA 28-09'!T:T,MATCH(B40,'MTA 28-09'!A:A,0))</f>
        <v>#N/A</v>
      </c>
      <c r="J40" s="337" t="str">
        <f t="array" ref="J40">INDEX('MTA 28-09'!U:U,MATCH(B40,'MTA 28-09'!A:A,0))</f>
        <v>#N/A</v>
      </c>
      <c r="K40" s="337" t="str">
        <f t="array" ref="K40">INDEX('MTA 28-09'!V:V,MATCH(B40,'MTA 28-09'!A:A,0))</f>
        <v>#N/A</v>
      </c>
      <c r="L40" s="337" t="str">
        <f t="array" ref="L40">INDEX('MTA 28-09'!W:W,MATCH(B40,'MTA 28-09'!A:A,0))</f>
        <v>#N/A</v>
      </c>
      <c r="M40" s="339" t="str">
        <f t="array" ref="M40">INDEX('MTA 28-09'!X:X,MATCH(B40,'MTA 28-09'!A:A,0))</f>
        <v>#N/A</v>
      </c>
      <c r="N40" s="337" t="str">
        <f t="array" ref="N40">INDEX('MTA 28-09'!L:L,MATCH(B40,'MTA 28-09'!A:A,0))</f>
        <v>#N/A</v>
      </c>
      <c r="O40" s="337" t="str">
        <f t="array" ref="O40">INDEX('MTA 28-09'!Y:Y,MATCH(B40,'MTA 28-09'!A:A,0))</f>
        <v>#N/A</v>
      </c>
      <c r="P40" s="340" t="str">
        <f t="array" ref="P40">INDEX('MTA 28-09'!Z:Z,MATCH(B40,'MTA 28-09'!A:A,0))</f>
        <v>#N/A</v>
      </c>
      <c r="Q40" s="335" t="s">
        <v>665</v>
      </c>
      <c r="R40" s="335" t="s">
        <v>665</v>
      </c>
      <c r="S40" s="335" t="s">
        <v>704</v>
      </c>
      <c r="T40" s="342" t="str">
        <f t="array" ref="T40">INDEX('Solicitações'!I:I,MATCH(B40,'Solicitações'!B:B,0))</f>
        <v>#N/A</v>
      </c>
      <c r="U40" s="301"/>
      <c r="V40" s="301"/>
      <c r="W40" s="301"/>
      <c r="X40" s="301"/>
      <c r="Y40" s="301"/>
      <c r="Z40" s="301"/>
    </row>
    <row r="41">
      <c r="A41" s="335">
        <v>30.0</v>
      </c>
      <c r="B41" s="336">
        <v>24880.0</v>
      </c>
      <c r="C41" s="337" t="str">
        <f t="array" ref="C41">INDEX('MTA 28-09'!N:N,MATCH(B41,'MTA 28-09'!A:A,0))</f>
        <v>CABW</v>
      </c>
      <c r="D41" s="337" t="str">
        <f t="array" ref="D41">INDEX('MTA 28-09'!P:P,MATCH(B41,'MTA 28-09'!A:A,0))</f>
        <v>PAMALS</v>
      </c>
      <c r="E41" s="337" t="str">
        <f t="array" ref="E41">INDEX('MTA 28-09'!P:P,MATCH(B41,'MTA 28-09'!A:A,0))</f>
        <v>PAMALS</v>
      </c>
      <c r="F41" s="337" t="str">
        <f t="array" ref="F41">INDEX(#REF!,MATCH(B41,'MTA 28-09'!A:A,0))</f>
        <v>#REF!</v>
      </c>
      <c r="G41" s="337" t="str">
        <f t="array" ref="G41">INDEX('MTA 28-09'!R:R,MATCH(B41,'MTA 28-09'!A:A,0))</f>
        <v>CA0802APOIO</v>
      </c>
      <c r="H41" s="338" t="str">
        <f t="array" ref="H41">INDEX('MTA 28-09'!S:S,MATCH(B41,'MTA 28-09'!A:A,0))</f>
        <v>APOIO</v>
      </c>
      <c r="I41" s="338" t="str">
        <f t="array" ref="I41">INDEX('MTA 28-09'!T:T,MATCH(B41,'MTA 28-09'!A:A,0))</f>
        <v>Requisição CABW</v>
      </c>
      <c r="J41" s="337" t="str">
        <f t="array" ref="J41">INDEX('MTA 28-09'!U:U,MATCH(B41,'MTA 28-09'!A:A,0))</f>
        <v>Requisições Consumíveis 4/4</v>
      </c>
      <c r="K41" s="337" t="str">
        <f t="array" ref="K41">INDEX('MTA 28-09'!V:V,MATCH(B41,'MTA 28-09'!A:A,0))</f>
        <v>APOIO</v>
      </c>
      <c r="L41" s="337" t="str">
        <f t="array" ref="L41">INDEX('MTA 28-09'!W:W,MATCH(B41,'MTA 28-09'!A:A,0))</f>
        <v>NÃO</v>
      </c>
      <c r="M41" s="339" t="str">
        <f t="array" ref="M41">INDEX('MTA 28-09'!X:X,MATCH(B41,'MTA 28-09'!A:A,0))</f>
        <v>REQUISIÇÃO</v>
      </c>
      <c r="N41" s="337" t="str">
        <f t="array" ref="N41">INDEX('MTA 28-09'!L:L,MATCH(B41,'MTA 28-09'!A:A,0))</f>
        <v>C</v>
      </c>
      <c r="O41" s="349">
        <f t="array" ref="O41">INDEX('MTA 28-09'!Y:Y,MATCH(B41,'MTA 28-09'!A:A,0))</f>
        <v>3</v>
      </c>
      <c r="P41" s="340" t="str">
        <f t="array" ref="P41">INDEX('MTA 28-09'!Z:Z,MATCH(B41,'MTA 28-09'!A:A,0))</f>
        <v>339030</v>
      </c>
      <c r="Q41" s="335" t="s">
        <v>665</v>
      </c>
      <c r="R41" s="335" t="s">
        <v>665</v>
      </c>
      <c r="S41" s="335" t="s">
        <v>704</v>
      </c>
      <c r="T41" s="350" t="str">
        <f t="array" ref="T41">INDEX('Solicitações'!I:I,MATCH(B41,'Solicitações'!B:B,0))</f>
        <v/>
      </c>
      <c r="U41" s="353"/>
      <c r="V41" s="353"/>
      <c r="W41" s="353"/>
      <c r="X41" s="353"/>
      <c r="Y41" s="353"/>
      <c r="Z41" s="353"/>
    </row>
    <row r="42">
      <c r="A42" s="335">
        <v>31.0</v>
      </c>
      <c r="B42" s="336">
        <v>24890.0</v>
      </c>
      <c r="C42" s="337" t="str">
        <f t="array" ref="C42">INDEX('MTA 28-09'!N:N,MATCH(B42,'MTA 28-09'!A:A,0))</f>
        <v>#N/A</v>
      </c>
      <c r="D42" s="337" t="str">
        <f t="array" ref="D42">INDEX('MTA 28-09'!P:P,MATCH(B42,'MTA 28-09'!A:A,0))</f>
        <v>#N/A</v>
      </c>
      <c r="E42" s="337" t="str">
        <f t="array" ref="E42">INDEX('MTA 28-09'!P:P,MATCH(B42,'MTA 28-09'!A:A,0))</f>
        <v>#N/A</v>
      </c>
      <c r="F42" s="337" t="str">
        <f t="array" ref="F42">INDEX(#REF!,MATCH(B42,'MTA 28-09'!A:A,0))</f>
        <v>#N/A</v>
      </c>
      <c r="G42" s="337" t="str">
        <f t="array" ref="G42">INDEX('MTA 28-09'!R:R,MATCH(B42,'MTA 28-09'!A:A,0))</f>
        <v>#N/A</v>
      </c>
      <c r="H42" s="338" t="str">
        <f t="array" ref="H42">INDEX('MTA 28-09'!S:S,MATCH(B42,'MTA 28-09'!A:A,0))</f>
        <v>#N/A</v>
      </c>
      <c r="I42" s="338" t="str">
        <f t="array" ref="I42">INDEX('MTA 28-09'!T:T,MATCH(B42,'MTA 28-09'!A:A,0))</f>
        <v>#N/A</v>
      </c>
      <c r="J42" s="337" t="str">
        <f t="array" ref="J42">INDEX('MTA 28-09'!U:U,MATCH(B42,'MTA 28-09'!A:A,0))</f>
        <v>#N/A</v>
      </c>
      <c r="K42" s="337" t="str">
        <f t="array" ref="K42">INDEX('MTA 28-09'!V:V,MATCH(B42,'MTA 28-09'!A:A,0))</f>
        <v>#N/A</v>
      </c>
      <c r="L42" s="337" t="str">
        <f t="array" ref="L42">INDEX('MTA 28-09'!W:W,MATCH(B42,'MTA 28-09'!A:A,0))</f>
        <v>#N/A</v>
      </c>
      <c r="M42" s="339" t="str">
        <f t="array" ref="M42">INDEX('MTA 28-09'!X:X,MATCH(B42,'MTA 28-09'!A:A,0))</f>
        <v>#N/A</v>
      </c>
      <c r="N42" s="337" t="str">
        <f t="array" ref="N42">INDEX('MTA 28-09'!L:L,MATCH(B42,'MTA 28-09'!A:A,0))</f>
        <v>#N/A</v>
      </c>
      <c r="O42" s="337" t="str">
        <f t="array" ref="O42">INDEX('MTA 28-09'!Y:Y,MATCH(B42,'MTA 28-09'!A:A,0))</f>
        <v>#N/A</v>
      </c>
      <c r="P42" s="340" t="str">
        <f t="array" ref="P42">INDEX('MTA 28-09'!Z:Z,MATCH(B42,'MTA 28-09'!A:A,0))</f>
        <v>#N/A</v>
      </c>
      <c r="Q42" s="335" t="s">
        <v>665</v>
      </c>
      <c r="R42" s="335" t="s">
        <v>665</v>
      </c>
      <c r="S42" s="335" t="s">
        <v>704</v>
      </c>
      <c r="T42" s="342" t="str">
        <f t="array" ref="T42">INDEX('Solicitações'!I:I,MATCH(B42,'Solicitações'!B:B,0))</f>
        <v>#N/A</v>
      </c>
      <c r="U42" s="301"/>
      <c r="V42" s="301"/>
      <c r="W42" s="301"/>
      <c r="X42" s="301"/>
      <c r="Y42" s="301"/>
      <c r="Z42" s="301"/>
    </row>
    <row r="43">
      <c r="A43" s="335">
        <v>32.0</v>
      </c>
      <c r="B43" s="336">
        <v>24900.0</v>
      </c>
      <c r="C43" s="337" t="str">
        <f t="array" ref="C43">INDEX('MTA 28-09'!N:N,MATCH(B43,'MTA 28-09'!A:A,0))</f>
        <v>CABW</v>
      </c>
      <c r="D43" s="337" t="str">
        <f t="array" ref="D43">INDEX('MTA 28-09'!P:P,MATCH(B43,'MTA 28-09'!A:A,0))</f>
        <v>PAMALS</v>
      </c>
      <c r="E43" s="337" t="str">
        <f t="array" ref="E43">INDEX('MTA 28-09'!P:P,MATCH(B43,'MTA 28-09'!A:A,0))</f>
        <v>PAMALS</v>
      </c>
      <c r="F43" s="337" t="str">
        <f t="array" ref="F43">INDEX(#REF!,MATCH(B43,'MTA 28-09'!A:A,0))</f>
        <v>#REF!</v>
      </c>
      <c r="G43" s="337" t="str">
        <f t="array" ref="G43">INDEX('MTA 28-09'!R:R,MATCH(B43,'MTA 28-09'!A:A,0))</f>
        <v>CA0802APOIO</v>
      </c>
      <c r="H43" s="338" t="str">
        <f t="array" ref="H43">INDEX('MTA 28-09'!S:S,MATCH(B43,'MTA 28-09'!A:A,0))</f>
        <v>APOIO</v>
      </c>
      <c r="I43" s="338" t="str">
        <f t="array" ref="I43">INDEX('MTA 28-09'!T:T,MATCH(B43,'MTA 28-09'!A:A,0))</f>
        <v>Requisição CABW</v>
      </c>
      <c r="J43" s="337" t="str">
        <f t="array" ref="J43">INDEX('MTA 28-09'!U:U,MATCH(B43,'MTA 28-09'!A:A,0))</f>
        <v>Requisições Consumíveis 4/4</v>
      </c>
      <c r="K43" s="337" t="str">
        <f t="array" ref="K43">INDEX('MTA 28-09'!V:V,MATCH(B43,'MTA 28-09'!A:A,0))</f>
        <v>APOIO</v>
      </c>
      <c r="L43" s="337" t="str">
        <f t="array" ref="L43">INDEX('MTA 28-09'!W:W,MATCH(B43,'MTA 28-09'!A:A,0))</f>
        <v>NÃO</v>
      </c>
      <c r="M43" s="339" t="str">
        <f t="array" ref="M43">INDEX('MTA 28-09'!X:X,MATCH(B43,'MTA 28-09'!A:A,0))</f>
        <v>REQUISIÇÃO</v>
      </c>
      <c r="N43" s="337" t="str">
        <f t="array" ref="N43">INDEX('MTA 28-09'!L:L,MATCH(B43,'MTA 28-09'!A:A,0))</f>
        <v>C</v>
      </c>
      <c r="O43" s="349">
        <f t="array" ref="O43">INDEX('MTA 28-09'!Y:Y,MATCH(B43,'MTA 28-09'!A:A,0))</f>
        <v>3</v>
      </c>
      <c r="P43" s="340" t="str">
        <f t="array" ref="P43">INDEX('MTA 28-09'!Z:Z,MATCH(B43,'MTA 28-09'!A:A,0))</f>
        <v>339030</v>
      </c>
      <c r="Q43" s="335" t="s">
        <v>665</v>
      </c>
      <c r="R43" s="335" t="s">
        <v>665</v>
      </c>
      <c r="S43" s="335" t="s">
        <v>704</v>
      </c>
      <c r="T43" s="350" t="str">
        <f t="array" ref="T43">INDEX('Solicitações'!I:I,MATCH(B43,'Solicitações'!B:B,0))</f>
        <v/>
      </c>
      <c r="U43" s="301"/>
      <c r="V43" s="301"/>
      <c r="W43" s="301"/>
      <c r="X43" s="301"/>
      <c r="Y43" s="301"/>
      <c r="Z43" s="301"/>
    </row>
    <row r="44">
      <c r="A44" s="335">
        <v>33.0</v>
      </c>
      <c r="B44" s="336">
        <v>24910.0</v>
      </c>
      <c r="C44" s="337" t="str">
        <f t="array" ref="C44">INDEX('MTA 28-09'!N:N,MATCH(B44,'MTA 28-09'!A:A,0))</f>
        <v>#N/A</v>
      </c>
      <c r="D44" s="337" t="str">
        <f t="array" ref="D44">INDEX('MTA 28-09'!P:P,MATCH(B44,'MTA 28-09'!A:A,0))</f>
        <v>#N/A</v>
      </c>
      <c r="E44" s="337" t="str">
        <f t="array" ref="E44">INDEX('MTA 28-09'!P:P,MATCH(B44,'MTA 28-09'!A:A,0))</f>
        <v>#N/A</v>
      </c>
      <c r="F44" s="337" t="str">
        <f t="array" ref="F44">INDEX(#REF!,MATCH(B44,'MTA 28-09'!A:A,0))</f>
        <v>#N/A</v>
      </c>
      <c r="G44" s="337" t="str">
        <f t="array" ref="G44">INDEX('MTA 28-09'!R:R,MATCH(B44,'MTA 28-09'!A:A,0))</f>
        <v>#N/A</v>
      </c>
      <c r="H44" s="338" t="str">
        <f t="array" ref="H44">INDEX('MTA 28-09'!S:S,MATCH(B44,'MTA 28-09'!A:A,0))</f>
        <v>#N/A</v>
      </c>
      <c r="I44" s="338" t="str">
        <f t="array" ref="I44">INDEX('MTA 28-09'!T:T,MATCH(B44,'MTA 28-09'!A:A,0))</f>
        <v>#N/A</v>
      </c>
      <c r="J44" s="337" t="str">
        <f t="array" ref="J44">INDEX('MTA 28-09'!U:U,MATCH(B44,'MTA 28-09'!A:A,0))</f>
        <v>#N/A</v>
      </c>
      <c r="K44" s="337" t="str">
        <f t="array" ref="K44">INDEX('MTA 28-09'!V:V,MATCH(B44,'MTA 28-09'!A:A,0))</f>
        <v>#N/A</v>
      </c>
      <c r="L44" s="337" t="str">
        <f t="array" ref="L44">INDEX('MTA 28-09'!W:W,MATCH(B44,'MTA 28-09'!A:A,0))</f>
        <v>#N/A</v>
      </c>
      <c r="M44" s="339" t="str">
        <f t="array" ref="M44">INDEX('MTA 28-09'!X:X,MATCH(B44,'MTA 28-09'!A:A,0))</f>
        <v>#N/A</v>
      </c>
      <c r="N44" s="337" t="str">
        <f t="array" ref="N44">INDEX('MTA 28-09'!L:L,MATCH(B44,'MTA 28-09'!A:A,0))</f>
        <v>#N/A</v>
      </c>
      <c r="O44" s="337" t="str">
        <f t="array" ref="O44">INDEX('MTA 28-09'!Y:Y,MATCH(B44,'MTA 28-09'!A:A,0))</f>
        <v>#N/A</v>
      </c>
      <c r="P44" s="340" t="str">
        <f t="array" ref="P44">INDEX('MTA 28-09'!Z:Z,MATCH(B44,'MTA 28-09'!A:A,0))</f>
        <v>#N/A</v>
      </c>
      <c r="Q44" s="335" t="s">
        <v>665</v>
      </c>
      <c r="R44" s="335" t="s">
        <v>665</v>
      </c>
      <c r="S44" s="335" t="s">
        <v>704</v>
      </c>
      <c r="T44" s="342" t="str">
        <f t="array" ref="T44">INDEX('Solicitações'!I:I,MATCH(B44,'Solicitações'!B:B,0))</f>
        <v>#N/A</v>
      </c>
      <c r="U44" s="301"/>
      <c r="V44" s="301"/>
      <c r="W44" s="301"/>
      <c r="X44" s="301"/>
      <c r="Y44" s="301"/>
      <c r="Z44" s="301"/>
    </row>
    <row r="45">
      <c r="A45" s="335">
        <v>34.0</v>
      </c>
      <c r="B45" s="336">
        <v>24920.0</v>
      </c>
      <c r="C45" s="337" t="str">
        <f t="array" ref="C45">INDEX('MTA 28-09'!N:N,MATCH(B45,'MTA 28-09'!A:A,0))</f>
        <v>CABW</v>
      </c>
      <c r="D45" s="337" t="str">
        <f t="array" ref="D45">INDEX('MTA 28-09'!P:P,MATCH(B45,'MTA 28-09'!A:A,0))</f>
        <v>PAMALS</v>
      </c>
      <c r="E45" s="337" t="str">
        <f t="array" ref="E45">INDEX('MTA 28-09'!P:P,MATCH(B45,'MTA 28-09'!A:A,0))</f>
        <v>PAMALS</v>
      </c>
      <c r="F45" s="337" t="str">
        <f t="array" ref="F45">INDEX(#REF!,MATCH(B45,'MTA 28-09'!A:A,0))</f>
        <v>#REF!</v>
      </c>
      <c r="G45" s="337" t="str">
        <f t="array" ref="G45">INDEX('MTA 28-09'!R:R,MATCH(B45,'MTA 28-09'!A:A,0))</f>
        <v>CA0802APOIO</v>
      </c>
      <c r="H45" s="338" t="str">
        <f t="array" ref="H45">INDEX('MTA 28-09'!S:S,MATCH(B45,'MTA 28-09'!A:A,0))</f>
        <v>APOIO</v>
      </c>
      <c r="I45" s="338" t="str">
        <f t="array" ref="I45">INDEX('MTA 28-09'!T:T,MATCH(B45,'MTA 28-09'!A:A,0))</f>
        <v>Requisição CABW</v>
      </c>
      <c r="J45" s="337" t="str">
        <f t="array" ref="J45">INDEX('MTA 28-09'!U:U,MATCH(B45,'MTA 28-09'!A:A,0))</f>
        <v>Requisições Consumíveis 4/4</v>
      </c>
      <c r="K45" s="337" t="str">
        <f t="array" ref="K45">INDEX('MTA 28-09'!V:V,MATCH(B45,'MTA 28-09'!A:A,0))</f>
        <v>APOIO</v>
      </c>
      <c r="L45" s="337" t="str">
        <f t="array" ref="L45">INDEX('MTA 28-09'!W:W,MATCH(B45,'MTA 28-09'!A:A,0))</f>
        <v>NÃO</v>
      </c>
      <c r="M45" s="339" t="str">
        <f t="array" ref="M45">INDEX('MTA 28-09'!X:X,MATCH(B45,'MTA 28-09'!A:A,0))</f>
        <v>REQUISIÇÃO</v>
      </c>
      <c r="N45" s="337" t="str">
        <f t="array" ref="N45">INDEX('MTA 28-09'!L:L,MATCH(B45,'MTA 28-09'!A:A,0))</f>
        <v>C</v>
      </c>
      <c r="O45" s="349">
        <f t="array" ref="O45">INDEX('MTA 28-09'!Y:Y,MATCH(B45,'MTA 28-09'!A:A,0))</f>
        <v>3</v>
      </c>
      <c r="P45" s="340" t="str">
        <f t="array" ref="P45">INDEX('MTA 28-09'!Z:Z,MATCH(B45,'MTA 28-09'!A:A,0))</f>
        <v>339030</v>
      </c>
      <c r="Q45" s="335" t="s">
        <v>665</v>
      </c>
      <c r="R45" s="335" t="s">
        <v>665</v>
      </c>
      <c r="S45" s="335" t="s">
        <v>704</v>
      </c>
      <c r="T45" s="350" t="str">
        <f t="array" ref="T45">INDEX('Solicitações'!I:I,MATCH(B45,'Solicitações'!B:B,0))</f>
        <v/>
      </c>
      <c r="U45" s="301"/>
      <c r="V45" s="301"/>
      <c r="W45" s="301"/>
      <c r="X45" s="301"/>
      <c r="Y45" s="301"/>
      <c r="Z45" s="301"/>
    </row>
    <row r="46">
      <c r="A46" s="335">
        <v>13.0</v>
      </c>
      <c r="B46" s="336">
        <v>24990.0</v>
      </c>
      <c r="C46" s="337" t="str">
        <f t="array" ref="C46">INDEX('MTA 28-09'!N:N,MATCH(B46,'MTA 28-09'!A:A,0))</f>
        <v>#N/A</v>
      </c>
      <c r="D46" s="337" t="str">
        <f t="array" ref="D46">INDEX('MTA 28-09'!P:P,MATCH(B46,'MTA 28-09'!A:A,0))</f>
        <v>#N/A</v>
      </c>
      <c r="E46" s="337" t="str">
        <f t="array" ref="E46">INDEX('MTA 28-09'!P:P,MATCH(B46,'MTA 28-09'!A:A,0))</f>
        <v>#N/A</v>
      </c>
      <c r="F46" s="337" t="str">
        <f t="array" ref="F46">INDEX(#REF!,MATCH(B46,'MTA 28-09'!A:A,0))</f>
        <v>#N/A</v>
      </c>
      <c r="G46" s="337" t="str">
        <f t="array" ref="G46">INDEX('MTA 28-09'!R:R,MATCH(B46,'MTA 28-09'!A:A,0))</f>
        <v>#N/A</v>
      </c>
      <c r="H46" s="338" t="str">
        <f t="array" ref="H46">INDEX('MTA 28-09'!S:S,MATCH(B46,'MTA 28-09'!A:A,0))</f>
        <v>#N/A</v>
      </c>
      <c r="I46" s="338" t="str">
        <f t="array" ref="I46">INDEX('MTA 28-09'!T:T,MATCH(B46,'MTA 28-09'!A:A,0))</f>
        <v>#N/A</v>
      </c>
      <c r="J46" s="337" t="str">
        <f t="array" ref="J46">INDEX('MTA 28-09'!U:U,MATCH(B46,'MTA 28-09'!A:A,0))</f>
        <v>#N/A</v>
      </c>
      <c r="K46" s="337" t="str">
        <f t="array" ref="K46">INDEX('MTA 28-09'!V:V,MATCH(B46,'MTA 28-09'!A:A,0))</f>
        <v>#N/A</v>
      </c>
      <c r="L46" s="337" t="str">
        <f t="array" ref="L46">INDEX('MTA 28-09'!W:W,MATCH(B46,'MTA 28-09'!A:A,0))</f>
        <v>#N/A</v>
      </c>
      <c r="M46" s="339" t="str">
        <f t="array" ref="M46">INDEX('MTA 28-09'!X:X,MATCH(B46,'MTA 28-09'!A:A,0))</f>
        <v>#N/A</v>
      </c>
      <c r="N46" s="337" t="str">
        <f t="array" ref="N46">INDEX('MTA 28-09'!L:L,MATCH(B46,'MTA 28-09'!A:A,0))</f>
        <v>#N/A</v>
      </c>
      <c r="O46" s="337" t="str">
        <f t="array" ref="O46">INDEX('MTA 28-09'!Y:Y,MATCH(B46,'MTA 28-09'!A:A,0))</f>
        <v>#N/A</v>
      </c>
      <c r="P46" s="340" t="str">
        <f t="array" ref="P46">INDEX('MTA 28-09'!Z:Z,MATCH(B46,'MTA 28-09'!A:A,0))</f>
        <v>#N/A</v>
      </c>
      <c r="Q46" s="335" t="s">
        <v>665</v>
      </c>
      <c r="R46" s="335" t="s">
        <v>665</v>
      </c>
      <c r="S46" s="341">
        <v>45683.0</v>
      </c>
      <c r="T46" s="342" t="str">
        <f t="array" ref="T46">INDEX('Solicitações'!I:I,MATCH(B46,'Solicitações'!B:B,0))</f>
        <v>#N/A</v>
      </c>
      <c r="U46" s="301"/>
      <c r="V46" s="301"/>
      <c r="W46" s="301"/>
      <c r="X46" s="301"/>
      <c r="Y46" s="301"/>
      <c r="Z46" s="301"/>
    </row>
    <row r="47">
      <c r="A47" s="335">
        <v>14.0</v>
      </c>
      <c r="B47" s="336">
        <v>25000.0</v>
      </c>
      <c r="C47" s="337" t="str">
        <f t="array" ref="C47">INDEX('MTA 28-09'!N:N,MATCH(B47,'MTA 28-09'!A:A,0))</f>
        <v>CELOG</v>
      </c>
      <c r="D47" s="337" t="str">
        <f t="array" ref="D47">INDEX('MTA 28-09'!P:P,MATCH(B47,'MTA 28-09'!A:A,0))</f>
        <v>PAMALS</v>
      </c>
      <c r="E47" s="337" t="str">
        <f t="array" ref="E47">INDEX('MTA 28-09'!P:P,MATCH(B47,'MTA 28-09'!A:A,0))</f>
        <v>PAMALS</v>
      </c>
      <c r="F47" s="337" t="str">
        <f t="array" ref="F47">INDEX(#REF!,MATCH(B47,'MTA 28-09'!A:A,0))</f>
        <v>#REF!</v>
      </c>
      <c r="G47" s="337" t="str">
        <f t="array" ref="G47">INDEX('MTA 28-09'!R:R,MATCH(B47,'MTA 28-09'!A:A,0))</f>
        <v>CA0802APOIO</v>
      </c>
      <c r="H47" s="338" t="str">
        <f t="array" ref="H47">INDEX('MTA 28-09'!S:S,MATCH(B47,'MTA 28-09'!A:A,0))</f>
        <v>APOIO</v>
      </c>
      <c r="I47" s="338" t="str">
        <f t="array" ref="I47">INDEX('MTA 28-09'!T:T,MATCH(B47,'MTA 28-09'!A:A,0))</f>
        <v>CTT XXX/CELOG-PAMALS/2026 – Aquisição de Consumíveis</v>
      </c>
      <c r="J47" s="337" t="str">
        <f t="array" ref="J47">INDEX('MTA 28-09'!U:U,MATCH(B47,'MTA 28-09'!A:A,0))</f>
        <v>Aquisição de consumíveis 4/4</v>
      </c>
      <c r="K47" s="337" t="str">
        <f t="array" ref="K47">INDEX('MTA 28-09'!V:V,MATCH(B47,'MTA 28-09'!A:A,0))</f>
        <v>APOIO</v>
      </c>
      <c r="L47" s="337" t="str">
        <f t="array" ref="L47">INDEX('MTA 28-09'!W:W,MATCH(B47,'MTA 28-09'!A:A,0))</f>
        <v>NÃO</v>
      </c>
      <c r="M47" s="339" t="str">
        <f t="array" ref="M47">INDEX('MTA 28-09'!X:X,MATCH(B47,'MTA 28-09'!A:A,0))</f>
        <v>SOB DEMANDA</v>
      </c>
      <c r="N47" s="337" t="str">
        <f t="array" ref="N47">INDEX('MTA 28-09'!L:L,MATCH(B47,'MTA 28-09'!A:A,0))</f>
        <v>C</v>
      </c>
      <c r="O47" s="349">
        <f t="array" ref="O47">INDEX('MTA 28-09'!Y:Y,MATCH(B47,'MTA 28-09'!A:A,0))</f>
        <v>3</v>
      </c>
      <c r="P47" s="340" t="str">
        <f t="array" ref="P47">INDEX('MTA 28-09'!Z:Z,MATCH(B47,'MTA 28-09'!A:A,0))</f>
        <v>339030</v>
      </c>
      <c r="Q47" s="335" t="s">
        <v>665</v>
      </c>
      <c r="R47" s="335" t="s">
        <v>665</v>
      </c>
      <c r="S47" s="341">
        <v>45683.0</v>
      </c>
      <c r="T47" s="350" t="str">
        <f t="array" ref="T47">INDEX('Solicitações'!I:I,MATCH(B47,'Solicitações'!B:B,0))</f>
        <v/>
      </c>
      <c r="U47" s="301"/>
      <c r="V47" s="301"/>
      <c r="W47" s="301"/>
      <c r="X47" s="301"/>
      <c r="Y47" s="301"/>
      <c r="Z47" s="301"/>
    </row>
    <row r="48">
      <c r="A48" s="335">
        <v>39.0</v>
      </c>
      <c r="B48" s="336">
        <v>25020.0</v>
      </c>
      <c r="C48" s="337" t="str">
        <f t="array" ref="C48">INDEX('MTA 28-09'!N:N,MATCH(B48,'MTA 28-09'!A:A,0))</f>
        <v>CELOG</v>
      </c>
      <c r="D48" s="337" t="str">
        <f t="array" ref="D48">INDEX('MTA 28-09'!P:P,MATCH(B48,'MTA 28-09'!A:A,0))</f>
        <v>PAMALS</v>
      </c>
      <c r="E48" s="337" t="str">
        <f t="array" ref="E48">INDEX('MTA 28-09'!P:P,MATCH(B48,'MTA 28-09'!A:A,0))</f>
        <v>PAMALS</v>
      </c>
      <c r="F48" s="337" t="str">
        <f t="array" ref="F48">INDEX(#REF!,MATCH(B48,'MTA 28-09'!A:A,0))</f>
        <v>#REF!</v>
      </c>
      <c r="G48" s="337" t="str">
        <f t="array" ref="G48">INDEX('MTA 28-09'!R:R,MATCH(B48,'MTA 28-09'!A:A,0))</f>
        <v>CA0802APOIO</v>
      </c>
      <c r="H48" s="338" t="str">
        <f t="array" ref="H48">INDEX('MTA 28-09'!S:S,MATCH(B48,'MTA 28-09'!A:A,0))</f>
        <v>APOIO</v>
      </c>
      <c r="I48" s="338" t="str">
        <f t="array" ref="I48">INDEX('MTA 28-09'!T:T,MATCH(B48,'MTA 28-09'!A:A,0))</f>
        <v>CTT XXX/CELOG-PAMALS/2026 – Aquisição de Consumíveis</v>
      </c>
      <c r="J48" s="337" t="str">
        <f t="array" ref="J48">INDEX('MTA 28-09'!U:U,MATCH(B48,'MTA 28-09'!A:A,0))</f>
        <v>Aquisição de consumíveis 4/4</v>
      </c>
      <c r="K48" s="337" t="str">
        <f t="array" ref="K48">INDEX('MTA 28-09'!V:V,MATCH(B48,'MTA 28-09'!A:A,0))</f>
        <v>APOIO</v>
      </c>
      <c r="L48" s="337" t="str">
        <f t="array" ref="L48">INDEX('MTA 28-09'!W:W,MATCH(B48,'MTA 28-09'!A:A,0))</f>
        <v>NÃO</v>
      </c>
      <c r="M48" s="339" t="str">
        <f t="array" ref="M48">INDEX('MTA 28-09'!X:X,MATCH(B48,'MTA 28-09'!A:A,0))</f>
        <v>SOB DEMANDA</v>
      </c>
      <c r="N48" s="337" t="str">
        <f t="array" ref="N48">INDEX('MTA 28-09'!L:L,MATCH(B48,'MTA 28-09'!A:A,0))</f>
        <v>C</v>
      </c>
      <c r="O48" s="349">
        <f t="array" ref="O48">INDEX('MTA 28-09'!Y:Y,MATCH(B48,'MTA 28-09'!A:A,0))</f>
        <v>3</v>
      </c>
      <c r="P48" s="340" t="str">
        <f t="array" ref="P48">INDEX('MTA 28-09'!Z:Z,MATCH(B48,'MTA 28-09'!A:A,0))</f>
        <v>339030</v>
      </c>
      <c r="Q48" s="335" t="s">
        <v>665</v>
      </c>
      <c r="R48" s="335" t="s">
        <v>665</v>
      </c>
      <c r="S48" s="335" t="s">
        <v>704</v>
      </c>
      <c r="T48" s="350" t="str">
        <f t="array" ref="T48">INDEX('Solicitações'!I:I,MATCH(B48,'Solicitações'!B:B,0))</f>
        <v/>
      </c>
      <c r="U48" s="301"/>
      <c r="V48" s="301"/>
      <c r="W48" s="301"/>
      <c r="X48" s="301"/>
      <c r="Y48" s="301"/>
      <c r="Z48" s="301"/>
    </row>
    <row r="49">
      <c r="A49" s="335">
        <v>15.0</v>
      </c>
      <c r="B49" s="336">
        <v>25450.0</v>
      </c>
      <c r="C49" s="337" t="str">
        <f t="array" ref="C49">INDEX('MTA 28-09'!N:N,MATCH(B49,'MTA 28-09'!A:A,0))</f>
        <v>#N/A</v>
      </c>
      <c r="D49" s="337" t="str">
        <f t="array" ref="D49">INDEX('MTA 28-09'!P:P,MATCH(B49,'MTA 28-09'!A:A,0))</f>
        <v>#N/A</v>
      </c>
      <c r="E49" s="337" t="str">
        <f t="array" ref="E49">INDEX('MTA 28-09'!P:P,MATCH(B49,'MTA 28-09'!A:A,0))</f>
        <v>#N/A</v>
      </c>
      <c r="F49" s="337" t="str">
        <f t="array" ref="F49">INDEX(#REF!,MATCH(B49,'MTA 28-09'!A:A,0))</f>
        <v>#N/A</v>
      </c>
      <c r="G49" s="337" t="str">
        <f t="array" ref="G49">INDEX('MTA 28-09'!R:R,MATCH(B49,'MTA 28-09'!A:A,0))</f>
        <v>#N/A</v>
      </c>
      <c r="H49" s="338" t="str">
        <f t="array" ref="H49">INDEX('MTA 28-09'!S:S,MATCH(B49,'MTA 28-09'!A:A,0))</f>
        <v>#N/A</v>
      </c>
      <c r="I49" s="338" t="str">
        <f t="array" ref="I49">INDEX('MTA 28-09'!T:T,MATCH(B49,'MTA 28-09'!A:A,0))</f>
        <v>#N/A</v>
      </c>
      <c r="J49" s="337" t="str">
        <f t="array" ref="J49">INDEX('MTA 28-09'!U:U,MATCH(B49,'MTA 28-09'!A:A,0))</f>
        <v>#N/A</v>
      </c>
      <c r="K49" s="337" t="str">
        <f t="array" ref="K49">INDEX('MTA 28-09'!V:V,MATCH(B49,'MTA 28-09'!A:A,0))</f>
        <v>#N/A</v>
      </c>
      <c r="L49" s="337" t="str">
        <f t="array" ref="L49">INDEX('MTA 28-09'!W:W,MATCH(B49,'MTA 28-09'!A:A,0))</f>
        <v>#N/A</v>
      </c>
      <c r="M49" s="339" t="str">
        <f t="array" ref="M49">INDEX('MTA 28-09'!X:X,MATCH(B49,'MTA 28-09'!A:A,0))</f>
        <v>#N/A</v>
      </c>
      <c r="N49" s="337" t="str">
        <f t="array" ref="N49">INDEX('MTA 28-09'!L:L,MATCH(B49,'MTA 28-09'!A:A,0))</f>
        <v>#N/A</v>
      </c>
      <c r="O49" s="337" t="str">
        <f t="array" ref="O49">INDEX('MTA 28-09'!Y:Y,MATCH(B49,'MTA 28-09'!A:A,0))</f>
        <v>#N/A</v>
      </c>
      <c r="P49" s="340" t="str">
        <f t="array" ref="P49">INDEX('MTA 28-09'!Z:Z,MATCH(B49,'MTA 28-09'!A:A,0))</f>
        <v>#N/A</v>
      </c>
      <c r="Q49" s="335" t="s">
        <v>665</v>
      </c>
      <c r="R49" s="335" t="s">
        <v>665</v>
      </c>
      <c r="S49" s="341">
        <v>45683.0</v>
      </c>
      <c r="T49" s="342" t="str">
        <f t="array" ref="T49">INDEX('Solicitações'!I:I,MATCH(B49,'Solicitações'!B:B,0))</f>
        <v>#N/A</v>
      </c>
      <c r="U49" s="301"/>
      <c r="V49" s="301"/>
      <c r="W49" s="301"/>
      <c r="X49" s="301"/>
      <c r="Y49" s="301"/>
      <c r="Z49" s="301"/>
    </row>
    <row r="50">
      <c r="A50" s="335">
        <v>16.0</v>
      </c>
      <c r="B50" s="336">
        <v>26292.0</v>
      </c>
      <c r="C50" s="337" t="str">
        <f t="array" ref="C50">INDEX('MTA 28-09'!N:N,MATCH(B50,'MTA 28-09'!A:A,0))</f>
        <v>#N/A</v>
      </c>
      <c r="D50" s="337" t="str">
        <f t="array" ref="D50">INDEX('MTA 28-09'!P:P,MATCH(B50,'MTA 28-09'!A:A,0))</f>
        <v>#N/A</v>
      </c>
      <c r="E50" s="337" t="str">
        <f t="array" ref="E50">INDEX('MTA 28-09'!P:P,MATCH(B50,'MTA 28-09'!A:A,0))</f>
        <v>#N/A</v>
      </c>
      <c r="F50" s="337" t="str">
        <f t="array" ref="F50">INDEX(#REF!,MATCH(B50,'MTA 28-09'!A:A,0))</f>
        <v>#N/A</v>
      </c>
      <c r="G50" s="337" t="str">
        <f t="array" ref="G50">INDEX('MTA 28-09'!R:R,MATCH(B50,'MTA 28-09'!A:A,0))</f>
        <v>#N/A</v>
      </c>
      <c r="H50" s="338" t="str">
        <f t="array" ref="H50">INDEX('MTA 28-09'!S:S,MATCH(B50,'MTA 28-09'!A:A,0))</f>
        <v>#N/A</v>
      </c>
      <c r="I50" s="338" t="str">
        <f t="array" ref="I50">INDEX('MTA 28-09'!T:T,MATCH(B50,'MTA 28-09'!A:A,0))</f>
        <v>#N/A</v>
      </c>
      <c r="J50" s="337" t="str">
        <f t="array" ref="J50">INDEX('MTA 28-09'!U:U,MATCH(B50,'MTA 28-09'!A:A,0))</f>
        <v>#N/A</v>
      </c>
      <c r="K50" s="337" t="str">
        <f t="array" ref="K50">INDEX('MTA 28-09'!V:V,MATCH(B50,'MTA 28-09'!A:A,0))</f>
        <v>#N/A</v>
      </c>
      <c r="L50" s="337" t="str">
        <f t="array" ref="L50">INDEX('MTA 28-09'!W:W,MATCH(B50,'MTA 28-09'!A:A,0))</f>
        <v>#N/A</v>
      </c>
      <c r="M50" s="339" t="str">
        <f t="array" ref="M50">INDEX('MTA 28-09'!X:X,MATCH(B50,'MTA 28-09'!A:A,0))</f>
        <v>#N/A</v>
      </c>
      <c r="N50" s="337" t="str">
        <f t="array" ref="N50">INDEX('MTA 28-09'!L:L,MATCH(B50,'MTA 28-09'!A:A,0))</f>
        <v>#N/A</v>
      </c>
      <c r="O50" s="337" t="str">
        <f t="array" ref="O50">INDEX('MTA 28-09'!Y:Y,MATCH(B50,'MTA 28-09'!A:A,0))</f>
        <v>#N/A</v>
      </c>
      <c r="P50" s="347">
        <v>314600.0</v>
      </c>
      <c r="Q50" s="335" t="s">
        <v>665</v>
      </c>
      <c r="R50" s="335" t="s">
        <v>665</v>
      </c>
      <c r="S50" s="341">
        <v>45683.0</v>
      </c>
      <c r="T50" s="342" t="str">
        <f t="array" ref="T50">INDEX('Solicitações'!I:I,MATCH(B50,'Solicitações'!B:B,0))</f>
        <v>#N/A</v>
      </c>
      <c r="U50" s="301"/>
      <c r="V50" s="301"/>
      <c r="W50" s="301"/>
      <c r="X50" s="301"/>
      <c r="Y50" s="301"/>
      <c r="Z50" s="301"/>
    </row>
    <row r="51">
      <c r="A51" s="335">
        <v>17.0</v>
      </c>
      <c r="B51" s="336">
        <v>26700.0</v>
      </c>
      <c r="C51" s="337" t="str">
        <f t="array" ref="C51">INDEX('MTA 28-09'!N:N,MATCH(B51,'MTA 28-09'!A:A,0))</f>
        <v>#N/A</v>
      </c>
      <c r="D51" s="337" t="str">
        <f t="array" ref="D51">INDEX('MTA 28-09'!P:P,MATCH(B51,'MTA 28-09'!A:A,0))</f>
        <v>#N/A</v>
      </c>
      <c r="E51" s="337" t="str">
        <f t="array" ref="E51">INDEX('MTA 28-09'!P:P,MATCH(B51,'MTA 28-09'!A:A,0))</f>
        <v>#N/A</v>
      </c>
      <c r="F51" s="337" t="str">
        <f t="array" ref="F51">INDEX(#REF!,MATCH(B51,'MTA 28-09'!A:A,0))</f>
        <v>#N/A</v>
      </c>
      <c r="G51" s="337" t="str">
        <f t="array" ref="G51">INDEX('MTA 28-09'!R:R,MATCH(B51,'MTA 28-09'!A:A,0))</f>
        <v>#N/A</v>
      </c>
      <c r="H51" s="338" t="str">
        <f t="array" ref="H51">INDEX('MTA 28-09'!S:S,MATCH(B51,'MTA 28-09'!A:A,0))</f>
        <v>#N/A</v>
      </c>
      <c r="I51" s="338" t="str">
        <f t="array" ref="I51">INDEX('MTA 28-09'!T:T,MATCH(B51,'MTA 28-09'!A:A,0))</f>
        <v>#N/A</v>
      </c>
      <c r="J51" s="337" t="str">
        <f t="array" ref="J51">INDEX('MTA 28-09'!U:U,MATCH(B51,'MTA 28-09'!A:A,0))</f>
        <v>#N/A</v>
      </c>
      <c r="K51" s="337" t="str">
        <f t="array" ref="K51">INDEX('MTA 28-09'!V:V,MATCH(B51,'MTA 28-09'!A:A,0))</f>
        <v>#N/A</v>
      </c>
      <c r="L51" s="337" t="str">
        <f t="array" ref="L51">INDEX('MTA 28-09'!W:W,MATCH(B51,'MTA 28-09'!A:A,0))</f>
        <v>#N/A</v>
      </c>
      <c r="M51" s="339" t="str">
        <f t="array" ref="M51">INDEX('MTA 28-09'!X:X,MATCH(B51,'MTA 28-09'!A:A,0))</f>
        <v>#N/A</v>
      </c>
      <c r="N51" s="337" t="str">
        <f t="array" ref="N51">INDEX('MTA 28-09'!L:L,MATCH(B51,'MTA 28-09'!A:A,0))</f>
        <v>#N/A</v>
      </c>
      <c r="O51" s="337" t="str">
        <f t="array" ref="O51">INDEX('MTA 28-09'!Y:Y,MATCH(B51,'MTA 28-09'!A:A,0))</f>
        <v>#N/A</v>
      </c>
      <c r="P51" s="347">
        <v>59903.195</v>
      </c>
      <c r="Q51" s="335" t="s">
        <v>665</v>
      </c>
      <c r="R51" s="335" t="s">
        <v>665</v>
      </c>
      <c r="S51" s="341">
        <v>45683.0</v>
      </c>
      <c r="T51" s="342" t="str">
        <f t="array" ref="T51">INDEX('Solicitações'!I:I,MATCH(B51,'Solicitações'!B:B,0))</f>
        <v>#N/A</v>
      </c>
      <c r="U51" s="301"/>
      <c r="V51" s="301"/>
      <c r="W51" s="301"/>
      <c r="X51" s="301"/>
      <c r="Y51" s="301"/>
      <c r="Z51" s="301"/>
    </row>
    <row r="52">
      <c r="A52" s="363"/>
      <c r="B52" s="309"/>
      <c r="C52" s="308"/>
      <c r="D52" s="308"/>
      <c r="E52" s="308"/>
      <c r="F52" s="308"/>
      <c r="G52" s="308"/>
      <c r="H52" s="310"/>
      <c r="I52" s="310"/>
      <c r="J52" s="308"/>
      <c r="K52" s="308"/>
      <c r="L52" s="308"/>
      <c r="M52" s="308"/>
      <c r="N52" s="308"/>
      <c r="O52" s="308"/>
      <c r="P52" s="364" t="s">
        <v>1347</v>
      </c>
      <c r="U52" s="301"/>
      <c r="V52" s="301"/>
      <c r="W52" s="301"/>
      <c r="X52" s="301"/>
      <c r="Y52" s="301"/>
      <c r="Z52" s="301"/>
    </row>
    <row r="53">
      <c r="A53" s="363"/>
      <c r="B53" s="309"/>
      <c r="C53" s="308"/>
      <c r="D53" s="308"/>
      <c r="E53" s="308"/>
      <c r="F53" s="308"/>
      <c r="G53" s="308"/>
      <c r="H53" s="310"/>
      <c r="I53" s="310"/>
      <c r="J53" s="308"/>
      <c r="K53" s="308"/>
      <c r="L53" s="308"/>
      <c r="M53" s="308"/>
      <c r="N53" s="308"/>
      <c r="O53" s="308"/>
      <c r="P53" s="308"/>
      <c r="Q53" s="308"/>
      <c r="R53" s="308"/>
      <c r="S53" s="308"/>
      <c r="T53" s="307"/>
      <c r="U53" s="301"/>
      <c r="V53" s="301"/>
      <c r="W53" s="301"/>
      <c r="X53" s="301"/>
      <c r="Y53" s="301"/>
      <c r="Z53" s="301"/>
    </row>
    <row r="54">
      <c r="A54" s="308"/>
      <c r="B54" s="309"/>
      <c r="C54" s="308"/>
      <c r="D54" s="308"/>
      <c r="E54" s="308"/>
      <c r="F54" s="308"/>
      <c r="G54" s="308"/>
      <c r="H54" s="310"/>
      <c r="I54" s="310"/>
      <c r="J54" s="308"/>
      <c r="K54" s="308"/>
      <c r="L54" s="308"/>
      <c r="M54" s="308"/>
      <c r="N54" s="308"/>
      <c r="O54" s="308"/>
      <c r="P54" s="308"/>
      <c r="Q54" s="308"/>
      <c r="R54" s="308"/>
      <c r="S54" s="308"/>
      <c r="T54" s="307"/>
      <c r="U54" s="301"/>
      <c r="V54" s="301"/>
      <c r="W54" s="301"/>
      <c r="X54" s="301"/>
      <c r="Y54" s="301"/>
      <c r="Z54" s="301"/>
    </row>
    <row r="55">
      <c r="A55" s="303" t="s">
        <v>1348</v>
      </c>
      <c r="U55" s="301"/>
      <c r="V55" s="301"/>
      <c r="W55" s="301"/>
      <c r="X55" s="301"/>
      <c r="Y55" s="301"/>
      <c r="Z55" s="301"/>
    </row>
    <row r="56">
      <c r="A56" s="308"/>
      <c r="B56" s="309"/>
      <c r="C56" s="308"/>
      <c r="D56" s="308"/>
      <c r="E56" s="308"/>
      <c r="F56" s="308"/>
      <c r="G56" s="308"/>
      <c r="H56" s="310"/>
      <c r="I56" s="310"/>
      <c r="J56" s="308"/>
      <c r="K56" s="308"/>
      <c r="L56" s="308"/>
      <c r="M56" s="308"/>
      <c r="N56" s="308"/>
      <c r="O56" s="308"/>
      <c r="P56" s="308"/>
      <c r="Q56" s="308"/>
      <c r="R56" s="308"/>
      <c r="S56" s="308"/>
      <c r="T56" s="307"/>
      <c r="U56" s="301"/>
      <c r="V56" s="301"/>
      <c r="W56" s="301"/>
      <c r="X56" s="301"/>
      <c r="Y56" s="301"/>
      <c r="Z56" s="301"/>
    </row>
    <row r="57">
      <c r="A57" s="308"/>
      <c r="B57" s="309"/>
      <c r="C57" s="308"/>
      <c r="D57" s="308"/>
      <c r="E57" s="308"/>
      <c r="F57" s="308"/>
      <c r="G57" s="308"/>
      <c r="H57" s="310"/>
      <c r="I57" s="310"/>
      <c r="J57" s="308"/>
      <c r="K57" s="308"/>
      <c r="L57" s="308"/>
      <c r="M57" s="308"/>
      <c r="N57" s="308"/>
      <c r="O57" s="308"/>
      <c r="P57" s="308"/>
      <c r="Q57" s="308"/>
      <c r="R57" s="308"/>
      <c r="S57" s="308"/>
      <c r="T57" s="307"/>
      <c r="U57" s="301"/>
      <c r="V57" s="301"/>
      <c r="W57" s="301"/>
      <c r="X57" s="301"/>
      <c r="Y57" s="301"/>
      <c r="Z57" s="301"/>
    </row>
    <row r="58">
      <c r="A58" s="308"/>
      <c r="B58" s="309"/>
      <c r="C58" s="308"/>
      <c r="D58" s="308"/>
      <c r="E58" s="308"/>
      <c r="F58" s="308"/>
      <c r="G58" s="308"/>
      <c r="H58" s="310"/>
      <c r="I58" s="310"/>
      <c r="J58" s="308"/>
      <c r="K58" s="308"/>
      <c r="L58" s="308"/>
      <c r="M58" s="308"/>
      <c r="N58" s="308"/>
      <c r="O58" s="308"/>
      <c r="P58" s="308"/>
      <c r="Q58" s="308"/>
      <c r="R58" s="308"/>
      <c r="S58" s="308"/>
      <c r="T58" s="307"/>
      <c r="U58" s="301"/>
      <c r="V58" s="301"/>
      <c r="W58" s="301"/>
      <c r="X58" s="301"/>
      <c r="Y58" s="301"/>
      <c r="Z58" s="301"/>
    </row>
    <row r="59">
      <c r="A59" s="303" t="s">
        <v>1349</v>
      </c>
      <c r="U59" s="301"/>
      <c r="V59" s="301"/>
      <c r="W59" s="301"/>
      <c r="X59" s="301"/>
      <c r="Y59" s="301"/>
      <c r="Z59" s="301"/>
    </row>
    <row r="60">
      <c r="A60" s="301"/>
      <c r="B60" s="365"/>
      <c r="C60" s="301"/>
      <c r="D60" s="301"/>
      <c r="E60" s="301"/>
      <c r="F60" s="301"/>
      <c r="G60" s="301"/>
      <c r="H60" s="334"/>
      <c r="I60" s="334"/>
      <c r="J60" s="301"/>
      <c r="K60" s="301"/>
      <c r="L60" s="301"/>
      <c r="M60" s="301"/>
      <c r="N60" s="301"/>
      <c r="O60" s="301"/>
      <c r="P60" s="301"/>
      <c r="Q60" s="301"/>
      <c r="R60" s="301"/>
      <c r="S60" s="301"/>
      <c r="T60" s="366"/>
      <c r="U60" s="301"/>
      <c r="V60" s="301"/>
      <c r="W60" s="301"/>
      <c r="X60" s="301"/>
      <c r="Y60" s="301"/>
      <c r="Z60" s="301"/>
    </row>
    <row r="61">
      <c r="A61" s="301"/>
      <c r="B61" s="365"/>
      <c r="C61" s="301"/>
      <c r="D61" s="301"/>
      <c r="E61" s="301"/>
      <c r="F61" s="301"/>
      <c r="G61" s="301"/>
      <c r="H61" s="334"/>
      <c r="I61" s="334"/>
      <c r="J61" s="301"/>
      <c r="K61" s="301"/>
      <c r="L61" s="301"/>
      <c r="M61" s="301"/>
      <c r="N61" s="301"/>
      <c r="O61" s="301"/>
      <c r="P61" s="301"/>
      <c r="Q61" s="301"/>
      <c r="R61" s="301"/>
      <c r="S61" s="301"/>
      <c r="T61" s="366"/>
      <c r="U61" s="301"/>
      <c r="V61" s="301"/>
      <c r="W61" s="301"/>
      <c r="X61" s="301"/>
      <c r="Y61" s="301"/>
      <c r="Z61" s="301"/>
    </row>
    <row r="62">
      <c r="A62" s="301"/>
      <c r="B62" s="365"/>
      <c r="C62" s="301"/>
      <c r="D62" s="301"/>
      <c r="E62" s="301"/>
      <c r="F62" s="301"/>
      <c r="G62" s="301"/>
      <c r="H62" s="334"/>
      <c r="I62" s="334"/>
      <c r="J62" s="301"/>
      <c r="K62" s="301"/>
      <c r="L62" s="301"/>
      <c r="M62" s="301"/>
      <c r="N62" s="301"/>
      <c r="O62" s="301"/>
      <c r="P62" s="301"/>
      <c r="Q62" s="301"/>
      <c r="R62" s="301"/>
      <c r="S62" s="301"/>
      <c r="T62" s="366"/>
      <c r="U62" s="301"/>
      <c r="V62" s="301"/>
      <c r="W62" s="301"/>
      <c r="X62" s="301"/>
      <c r="Y62" s="301"/>
      <c r="Z62" s="301"/>
    </row>
    <row r="63">
      <c r="A63" s="301"/>
      <c r="B63" s="365"/>
      <c r="C63" s="301"/>
      <c r="D63" s="301"/>
      <c r="E63" s="301"/>
      <c r="F63" s="301"/>
      <c r="G63" s="301"/>
      <c r="H63" s="334"/>
      <c r="I63" s="334"/>
      <c r="J63" s="301"/>
      <c r="K63" s="301"/>
      <c r="L63" s="301"/>
      <c r="M63" s="301"/>
      <c r="N63" s="301"/>
      <c r="O63" s="301"/>
      <c r="P63" s="301"/>
      <c r="Q63" s="301"/>
      <c r="R63" s="301"/>
      <c r="S63" s="301"/>
      <c r="T63" s="366"/>
      <c r="U63" s="301"/>
      <c r="V63" s="301"/>
      <c r="W63" s="301"/>
      <c r="X63" s="301"/>
      <c r="Y63" s="301"/>
      <c r="Z63" s="301"/>
    </row>
    <row r="64">
      <c r="A64" s="301"/>
      <c r="B64" s="365"/>
      <c r="C64" s="301"/>
      <c r="D64" s="301"/>
      <c r="E64" s="301"/>
      <c r="F64" s="301"/>
      <c r="G64" s="301"/>
      <c r="H64" s="334"/>
      <c r="I64" s="334"/>
      <c r="J64" s="301"/>
      <c r="K64" s="301"/>
      <c r="L64" s="301"/>
      <c r="M64" s="301"/>
      <c r="N64" s="301"/>
      <c r="O64" s="301"/>
      <c r="P64" s="301"/>
      <c r="Q64" s="301"/>
      <c r="R64" s="301"/>
      <c r="S64" s="301"/>
      <c r="T64" s="366"/>
      <c r="U64" s="301"/>
      <c r="V64" s="301"/>
      <c r="W64" s="301"/>
      <c r="X64" s="301"/>
      <c r="Y64" s="301"/>
      <c r="Z64" s="301"/>
    </row>
    <row r="65">
      <c r="A65" s="301"/>
      <c r="B65" s="365"/>
      <c r="C65" s="301"/>
      <c r="D65" s="301"/>
      <c r="E65" s="301"/>
      <c r="F65" s="301"/>
      <c r="G65" s="301"/>
      <c r="H65" s="334"/>
      <c r="I65" s="334"/>
      <c r="J65" s="301"/>
      <c r="K65" s="301"/>
      <c r="L65" s="301"/>
      <c r="M65" s="301"/>
      <c r="N65" s="301"/>
      <c r="O65" s="301"/>
      <c r="P65" s="301"/>
      <c r="Q65" s="301"/>
      <c r="R65" s="301"/>
      <c r="S65" s="301"/>
      <c r="T65" s="366"/>
      <c r="U65" s="301"/>
      <c r="V65" s="301"/>
      <c r="W65" s="301"/>
      <c r="X65" s="301"/>
      <c r="Y65" s="301"/>
      <c r="Z65" s="301"/>
    </row>
    <row r="66">
      <c r="A66" s="301"/>
      <c r="B66" s="365"/>
      <c r="C66" s="301"/>
      <c r="D66" s="301"/>
      <c r="E66" s="301"/>
      <c r="F66" s="301"/>
      <c r="G66" s="301"/>
      <c r="H66" s="334"/>
      <c r="I66" s="334"/>
      <c r="J66" s="301"/>
      <c r="K66" s="301"/>
      <c r="L66" s="301"/>
      <c r="M66" s="301"/>
      <c r="N66" s="301"/>
      <c r="O66" s="301"/>
      <c r="P66" s="301"/>
      <c r="Q66" s="301"/>
      <c r="R66" s="301"/>
      <c r="S66" s="301"/>
      <c r="T66" s="366"/>
      <c r="U66" s="301"/>
      <c r="V66" s="301"/>
      <c r="W66" s="301"/>
      <c r="X66" s="301"/>
      <c r="Y66" s="301"/>
      <c r="Z66" s="301"/>
    </row>
    <row r="67">
      <c r="A67" s="301"/>
      <c r="B67" s="365"/>
      <c r="C67" s="301"/>
      <c r="D67" s="301"/>
      <c r="E67" s="301"/>
      <c r="F67" s="301"/>
      <c r="G67" s="301"/>
      <c r="H67" s="334"/>
      <c r="I67" s="334"/>
      <c r="J67" s="301"/>
      <c r="K67" s="301"/>
      <c r="L67" s="301"/>
      <c r="M67" s="301"/>
      <c r="N67" s="301"/>
      <c r="O67" s="301"/>
      <c r="P67" s="301"/>
      <c r="Q67" s="301"/>
      <c r="R67" s="301"/>
      <c r="S67" s="301"/>
      <c r="T67" s="366"/>
      <c r="U67" s="301"/>
      <c r="V67" s="301"/>
      <c r="W67" s="301"/>
      <c r="X67" s="301"/>
      <c r="Y67" s="301"/>
      <c r="Z67" s="301"/>
    </row>
    <row r="68">
      <c r="A68" s="301"/>
      <c r="B68" s="365"/>
      <c r="C68" s="301"/>
      <c r="D68" s="301"/>
      <c r="E68" s="301"/>
      <c r="F68" s="301"/>
      <c r="G68" s="301"/>
      <c r="H68" s="334"/>
      <c r="I68" s="334"/>
      <c r="J68" s="301"/>
      <c r="K68" s="301"/>
      <c r="L68" s="301"/>
      <c r="M68" s="301"/>
      <c r="N68" s="301"/>
      <c r="O68" s="301"/>
      <c r="P68" s="301"/>
      <c r="Q68" s="301"/>
      <c r="R68" s="301"/>
      <c r="S68" s="301"/>
      <c r="T68" s="366"/>
      <c r="U68" s="301"/>
      <c r="V68" s="301"/>
      <c r="W68" s="301"/>
      <c r="X68" s="301"/>
      <c r="Y68" s="301"/>
      <c r="Z68" s="301"/>
    </row>
    <row r="69">
      <c r="A69" s="301"/>
      <c r="B69" s="365"/>
      <c r="C69" s="301"/>
      <c r="D69" s="301"/>
      <c r="E69" s="301"/>
      <c r="F69" s="301"/>
      <c r="G69" s="301"/>
      <c r="H69" s="334"/>
      <c r="I69" s="334"/>
      <c r="J69" s="301"/>
      <c r="K69" s="301"/>
      <c r="L69" s="301"/>
      <c r="M69" s="301"/>
      <c r="N69" s="301"/>
      <c r="O69" s="301"/>
      <c r="P69" s="301"/>
      <c r="Q69" s="301"/>
      <c r="R69" s="301"/>
      <c r="S69" s="301"/>
      <c r="T69" s="366"/>
      <c r="U69" s="301"/>
      <c r="V69" s="301"/>
      <c r="W69" s="301"/>
      <c r="X69" s="301"/>
      <c r="Y69" s="301"/>
      <c r="Z69" s="301"/>
    </row>
    <row r="70">
      <c r="A70" s="301"/>
      <c r="B70" s="365"/>
      <c r="C70" s="301"/>
      <c r="D70" s="301"/>
      <c r="E70" s="301"/>
      <c r="F70" s="301"/>
      <c r="G70" s="301"/>
      <c r="H70" s="334"/>
      <c r="I70" s="334"/>
      <c r="J70" s="301"/>
      <c r="K70" s="301"/>
      <c r="L70" s="301"/>
      <c r="M70" s="301"/>
      <c r="N70" s="301"/>
      <c r="O70" s="301"/>
      <c r="P70" s="301"/>
      <c r="Q70" s="301"/>
      <c r="R70" s="301"/>
      <c r="S70" s="301"/>
      <c r="T70" s="366"/>
      <c r="U70" s="301"/>
      <c r="V70" s="301"/>
      <c r="W70" s="301"/>
      <c r="X70" s="301"/>
      <c r="Y70" s="301"/>
      <c r="Z70" s="301"/>
    </row>
    <row r="71">
      <c r="A71" s="301"/>
      <c r="B71" s="365"/>
      <c r="C71" s="301"/>
      <c r="D71" s="301"/>
      <c r="E71" s="301"/>
      <c r="F71" s="301"/>
      <c r="G71" s="301"/>
      <c r="H71" s="334"/>
      <c r="I71" s="334"/>
      <c r="J71" s="301"/>
      <c r="K71" s="301"/>
      <c r="L71" s="301"/>
      <c r="M71" s="301"/>
      <c r="N71" s="301"/>
      <c r="O71" s="301"/>
      <c r="P71" s="301"/>
      <c r="Q71" s="301"/>
      <c r="R71" s="301"/>
      <c r="S71" s="301"/>
      <c r="T71" s="366"/>
      <c r="U71" s="301"/>
      <c r="V71" s="301"/>
      <c r="W71" s="301"/>
      <c r="X71" s="301"/>
      <c r="Y71" s="301"/>
      <c r="Z71" s="301"/>
    </row>
    <row r="72">
      <c r="A72" s="301"/>
      <c r="B72" s="365"/>
      <c r="C72" s="301"/>
      <c r="D72" s="301"/>
      <c r="E72" s="301"/>
      <c r="F72" s="301"/>
      <c r="G72" s="301"/>
      <c r="H72" s="334"/>
      <c r="I72" s="334"/>
      <c r="J72" s="301"/>
      <c r="K72" s="301"/>
      <c r="L72" s="301"/>
      <c r="M72" s="301"/>
      <c r="N72" s="301"/>
      <c r="O72" s="301"/>
      <c r="P72" s="301"/>
      <c r="Q72" s="301"/>
      <c r="R72" s="301"/>
      <c r="S72" s="301"/>
      <c r="T72" s="366"/>
      <c r="U72" s="301"/>
      <c r="V72" s="301"/>
      <c r="W72" s="301"/>
      <c r="X72" s="301"/>
      <c r="Y72" s="301"/>
      <c r="Z72" s="301"/>
    </row>
    <row r="73">
      <c r="A73" s="301"/>
      <c r="B73" s="365"/>
      <c r="C73" s="301"/>
      <c r="D73" s="301"/>
      <c r="E73" s="301"/>
      <c r="F73" s="301"/>
      <c r="G73" s="301"/>
      <c r="H73" s="334"/>
      <c r="I73" s="334"/>
      <c r="J73" s="301"/>
      <c r="K73" s="301"/>
      <c r="L73" s="301"/>
      <c r="M73" s="301"/>
      <c r="N73" s="301"/>
      <c r="O73" s="301"/>
      <c r="P73" s="301"/>
      <c r="Q73" s="301"/>
      <c r="R73" s="301"/>
      <c r="S73" s="301"/>
      <c r="T73" s="366"/>
      <c r="U73" s="301"/>
      <c r="V73" s="301"/>
      <c r="W73" s="301"/>
      <c r="X73" s="301"/>
      <c r="Y73" s="301"/>
      <c r="Z73" s="301"/>
    </row>
    <row r="74">
      <c r="A74" s="301"/>
      <c r="B74" s="365"/>
      <c r="C74" s="301"/>
      <c r="D74" s="301"/>
      <c r="E74" s="301"/>
      <c r="F74" s="301"/>
      <c r="G74" s="301"/>
      <c r="H74" s="334"/>
      <c r="I74" s="334"/>
      <c r="J74" s="301"/>
      <c r="K74" s="301"/>
      <c r="L74" s="301"/>
      <c r="M74" s="301"/>
      <c r="N74" s="301"/>
      <c r="O74" s="301"/>
      <c r="P74" s="301"/>
      <c r="Q74" s="301"/>
      <c r="R74" s="301"/>
      <c r="S74" s="301"/>
      <c r="T74" s="366"/>
      <c r="U74" s="301"/>
      <c r="V74" s="301"/>
      <c r="W74" s="301"/>
      <c r="X74" s="301"/>
      <c r="Y74" s="301"/>
      <c r="Z74" s="301"/>
    </row>
    <row r="75">
      <c r="A75" s="301"/>
      <c r="B75" s="365"/>
      <c r="C75" s="301"/>
      <c r="D75" s="301"/>
      <c r="E75" s="301"/>
      <c r="F75" s="301"/>
      <c r="G75" s="301"/>
      <c r="H75" s="334"/>
      <c r="I75" s="334"/>
      <c r="J75" s="301"/>
      <c r="K75" s="301"/>
      <c r="L75" s="301"/>
      <c r="M75" s="301"/>
      <c r="N75" s="301"/>
      <c r="O75" s="301"/>
      <c r="P75" s="301"/>
      <c r="Q75" s="301"/>
      <c r="R75" s="301"/>
      <c r="S75" s="301"/>
      <c r="T75" s="366"/>
      <c r="U75" s="301"/>
      <c r="V75" s="301"/>
      <c r="W75" s="301"/>
      <c r="X75" s="301"/>
      <c r="Y75" s="301"/>
      <c r="Z75" s="301"/>
    </row>
    <row r="76">
      <c r="A76" s="301"/>
      <c r="B76" s="365"/>
      <c r="C76" s="301"/>
      <c r="D76" s="301"/>
      <c r="E76" s="301"/>
      <c r="F76" s="301"/>
      <c r="G76" s="301"/>
      <c r="H76" s="334"/>
      <c r="I76" s="334"/>
      <c r="J76" s="301"/>
      <c r="K76" s="301"/>
      <c r="L76" s="301"/>
      <c r="M76" s="301"/>
      <c r="N76" s="301"/>
      <c r="O76" s="301"/>
      <c r="P76" s="301"/>
      <c r="Q76" s="301"/>
      <c r="R76" s="301"/>
      <c r="S76" s="301"/>
      <c r="T76" s="366"/>
      <c r="U76" s="301"/>
      <c r="V76" s="301"/>
      <c r="W76" s="301"/>
      <c r="X76" s="301"/>
      <c r="Y76" s="301"/>
      <c r="Z76" s="301"/>
    </row>
    <row r="77">
      <c r="A77" s="301"/>
      <c r="B77" s="365"/>
      <c r="C77" s="301"/>
      <c r="D77" s="301"/>
      <c r="E77" s="301"/>
      <c r="F77" s="301"/>
      <c r="G77" s="301"/>
      <c r="H77" s="334"/>
      <c r="I77" s="334"/>
      <c r="J77" s="301"/>
      <c r="K77" s="301"/>
      <c r="L77" s="301"/>
      <c r="M77" s="301"/>
      <c r="N77" s="301"/>
      <c r="O77" s="301"/>
      <c r="P77" s="301"/>
      <c r="Q77" s="301"/>
      <c r="R77" s="301"/>
      <c r="S77" s="301"/>
      <c r="T77" s="366"/>
      <c r="U77" s="301"/>
      <c r="V77" s="301"/>
      <c r="W77" s="301"/>
      <c r="X77" s="301"/>
      <c r="Y77" s="301"/>
      <c r="Z77" s="301"/>
    </row>
    <row r="78">
      <c r="A78" s="301"/>
      <c r="B78" s="365"/>
      <c r="C78" s="301"/>
      <c r="D78" s="301"/>
      <c r="E78" s="301"/>
      <c r="F78" s="301"/>
      <c r="G78" s="301"/>
      <c r="H78" s="334"/>
      <c r="I78" s="334"/>
      <c r="J78" s="301"/>
      <c r="K78" s="301"/>
      <c r="L78" s="301"/>
      <c r="M78" s="301"/>
      <c r="N78" s="301"/>
      <c r="O78" s="301"/>
      <c r="P78" s="301"/>
      <c r="Q78" s="301"/>
      <c r="R78" s="301"/>
      <c r="S78" s="301"/>
      <c r="T78" s="366"/>
      <c r="U78" s="301"/>
      <c r="V78" s="301"/>
      <c r="W78" s="301"/>
      <c r="X78" s="301"/>
      <c r="Y78" s="301"/>
      <c r="Z78" s="301"/>
    </row>
    <row r="79">
      <c r="A79" s="301"/>
      <c r="B79" s="365"/>
      <c r="C79" s="301"/>
      <c r="D79" s="301"/>
      <c r="E79" s="301"/>
      <c r="F79" s="301"/>
      <c r="G79" s="301"/>
      <c r="H79" s="334"/>
      <c r="I79" s="334"/>
      <c r="J79" s="301"/>
      <c r="K79" s="301"/>
      <c r="L79" s="301"/>
      <c r="M79" s="301"/>
      <c r="N79" s="301"/>
      <c r="O79" s="301"/>
      <c r="P79" s="301"/>
      <c r="Q79" s="301"/>
      <c r="R79" s="301"/>
      <c r="S79" s="301"/>
      <c r="T79" s="366"/>
      <c r="U79" s="301"/>
      <c r="V79" s="301"/>
      <c r="W79" s="301"/>
      <c r="X79" s="301"/>
      <c r="Y79" s="301"/>
      <c r="Z79" s="301"/>
    </row>
    <row r="80">
      <c r="A80" s="301"/>
      <c r="B80" s="365"/>
      <c r="C80" s="301"/>
      <c r="D80" s="301"/>
      <c r="E80" s="301"/>
      <c r="F80" s="301"/>
      <c r="G80" s="301"/>
      <c r="H80" s="334"/>
      <c r="I80" s="334"/>
      <c r="J80" s="301"/>
      <c r="K80" s="301"/>
      <c r="L80" s="301"/>
      <c r="M80" s="301"/>
      <c r="N80" s="301"/>
      <c r="O80" s="301"/>
      <c r="P80" s="301"/>
      <c r="Q80" s="301"/>
      <c r="R80" s="301"/>
      <c r="S80" s="301"/>
      <c r="T80" s="366"/>
      <c r="U80" s="301"/>
      <c r="V80" s="301"/>
      <c r="W80" s="301"/>
      <c r="X80" s="301"/>
      <c r="Y80" s="301"/>
      <c r="Z80" s="301"/>
    </row>
    <row r="81">
      <c r="A81" s="301"/>
      <c r="B81" s="365"/>
      <c r="C81" s="301"/>
      <c r="D81" s="301"/>
      <c r="E81" s="301"/>
      <c r="F81" s="301"/>
      <c r="G81" s="301"/>
      <c r="H81" s="334"/>
      <c r="I81" s="334"/>
      <c r="J81" s="301"/>
      <c r="K81" s="301"/>
      <c r="L81" s="301"/>
      <c r="M81" s="301"/>
      <c r="N81" s="301"/>
      <c r="O81" s="301"/>
      <c r="P81" s="301"/>
      <c r="Q81" s="301"/>
      <c r="R81" s="301"/>
      <c r="S81" s="301"/>
      <c r="T81" s="366"/>
      <c r="U81" s="301"/>
      <c r="V81" s="301"/>
      <c r="W81" s="301"/>
      <c r="X81" s="301"/>
      <c r="Y81" s="301"/>
      <c r="Z81" s="301"/>
    </row>
    <row r="82">
      <c r="A82" s="301"/>
      <c r="B82" s="365"/>
      <c r="C82" s="301"/>
      <c r="D82" s="301"/>
      <c r="E82" s="301"/>
      <c r="F82" s="301"/>
      <c r="G82" s="301"/>
      <c r="H82" s="334"/>
      <c r="I82" s="334"/>
      <c r="J82" s="301"/>
      <c r="K82" s="301"/>
      <c r="L82" s="301"/>
      <c r="M82" s="301"/>
      <c r="N82" s="301"/>
      <c r="O82" s="301"/>
      <c r="P82" s="301"/>
      <c r="Q82" s="301"/>
      <c r="R82" s="301"/>
      <c r="S82" s="301"/>
      <c r="T82" s="366"/>
      <c r="U82" s="301"/>
      <c r="V82" s="301"/>
      <c r="W82" s="301"/>
      <c r="X82" s="301"/>
      <c r="Y82" s="301"/>
      <c r="Z82" s="301"/>
    </row>
    <row r="83">
      <c r="A83" s="301"/>
      <c r="B83" s="365"/>
      <c r="C83" s="301"/>
      <c r="D83" s="301"/>
      <c r="E83" s="301"/>
      <c r="F83" s="301"/>
      <c r="G83" s="301"/>
      <c r="H83" s="334"/>
      <c r="I83" s="334"/>
      <c r="J83" s="301"/>
      <c r="K83" s="301"/>
      <c r="L83" s="301"/>
      <c r="M83" s="301"/>
      <c r="N83" s="301"/>
      <c r="O83" s="301"/>
      <c r="P83" s="301"/>
      <c r="Q83" s="301"/>
      <c r="R83" s="301"/>
      <c r="S83" s="301"/>
      <c r="T83" s="366"/>
      <c r="U83" s="301"/>
      <c r="V83" s="301"/>
      <c r="W83" s="301"/>
      <c r="X83" s="301"/>
      <c r="Y83" s="301"/>
      <c r="Z83" s="301"/>
    </row>
    <row r="84">
      <c r="A84" s="301"/>
      <c r="B84" s="365"/>
      <c r="C84" s="301"/>
      <c r="D84" s="301"/>
      <c r="E84" s="301"/>
      <c r="F84" s="301"/>
      <c r="G84" s="301"/>
      <c r="H84" s="334"/>
      <c r="I84" s="334"/>
      <c r="J84" s="301"/>
      <c r="K84" s="301"/>
      <c r="L84" s="301"/>
      <c r="M84" s="301"/>
      <c r="N84" s="301"/>
      <c r="O84" s="301"/>
      <c r="P84" s="301"/>
      <c r="Q84" s="301"/>
      <c r="R84" s="301"/>
      <c r="S84" s="301"/>
      <c r="T84" s="366"/>
      <c r="U84" s="301"/>
      <c r="V84" s="301"/>
      <c r="W84" s="301"/>
      <c r="X84" s="301"/>
      <c r="Y84" s="301"/>
      <c r="Z84" s="301"/>
    </row>
    <row r="85">
      <c r="A85" s="301"/>
      <c r="B85" s="365"/>
      <c r="C85" s="301"/>
      <c r="D85" s="301"/>
      <c r="E85" s="301"/>
      <c r="F85" s="301"/>
      <c r="G85" s="301"/>
      <c r="H85" s="334"/>
      <c r="I85" s="334"/>
      <c r="J85" s="301"/>
      <c r="K85" s="301"/>
      <c r="L85" s="301"/>
      <c r="M85" s="301"/>
      <c r="N85" s="301"/>
      <c r="O85" s="301"/>
      <c r="P85" s="301"/>
      <c r="Q85" s="301"/>
      <c r="R85" s="301"/>
      <c r="S85" s="301"/>
      <c r="T85" s="366"/>
      <c r="U85" s="301"/>
      <c r="V85" s="301"/>
      <c r="W85" s="301"/>
      <c r="X85" s="301"/>
      <c r="Y85" s="301"/>
      <c r="Z85" s="301"/>
    </row>
    <row r="86">
      <c r="A86" s="301"/>
      <c r="B86" s="365"/>
      <c r="C86" s="301"/>
      <c r="D86" s="301"/>
      <c r="E86" s="301"/>
      <c r="F86" s="301"/>
      <c r="G86" s="301"/>
      <c r="H86" s="334"/>
      <c r="I86" s="334"/>
      <c r="J86" s="301"/>
      <c r="K86" s="301"/>
      <c r="L86" s="301"/>
      <c r="M86" s="301"/>
      <c r="N86" s="301"/>
      <c r="O86" s="301"/>
      <c r="P86" s="301"/>
      <c r="Q86" s="301"/>
      <c r="R86" s="301"/>
      <c r="S86" s="301"/>
      <c r="T86" s="366"/>
      <c r="U86" s="301"/>
      <c r="V86" s="301"/>
      <c r="W86" s="301"/>
      <c r="X86" s="301"/>
      <c r="Y86" s="301"/>
      <c r="Z86" s="301"/>
    </row>
    <row r="87">
      <c r="A87" s="301"/>
      <c r="B87" s="365"/>
      <c r="C87" s="301"/>
      <c r="D87" s="301"/>
      <c r="E87" s="301"/>
      <c r="F87" s="301"/>
      <c r="G87" s="301"/>
      <c r="H87" s="334"/>
      <c r="I87" s="334"/>
      <c r="J87" s="301"/>
      <c r="K87" s="301"/>
      <c r="L87" s="301"/>
      <c r="M87" s="301"/>
      <c r="N87" s="301"/>
      <c r="O87" s="301"/>
      <c r="P87" s="301"/>
      <c r="Q87" s="301"/>
      <c r="R87" s="301"/>
      <c r="S87" s="301"/>
      <c r="T87" s="366"/>
      <c r="U87" s="301"/>
      <c r="V87" s="301"/>
      <c r="W87" s="301"/>
      <c r="X87" s="301"/>
      <c r="Y87" s="301"/>
      <c r="Z87" s="301"/>
    </row>
    <row r="88">
      <c r="A88" s="301"/>
      <c r="B88" s="365"/>
      <c r="C88" s="301"/>
      <c r="D88" s="301"/>
      <c r="E88" s="301"/>
      <c r="F88" s="301"/>
      <c r="G88" s="301"/>
      <c r="H88" s="334"/>
      <c r="I88" s="334"/>
      <c r="J88" s="301"/>
      <c r="K88" s="301"/>
      <c r="L88" s="301"/>
      <c r="M88" s="301"/>
      <c r="N88" s="301"/>
      <c r="O88" s="301"/>
      <c r="P88" s="301"/>
      <c r="Q88" s="301"/>
      <c r="R88" s="301"/>
      <c r="S88" s="301"/>
      <c r="T88" s="366"/>
      <c r="U88" s="301"/>
      <c r="V88" s="301"/>
      <c r="W88" s="301"/>
      <c r="X88" s="301"/>
      <c r="Y88" s="301"/>
      <c r="Z88" s="301"/>
    </row>
    <row r="89">
      <c r="A89" s="301"/>
      <c r="B89" s="365"/>
      <c r="C89" s="301"/>
      <c r="D89" s="301"/>
      <c r="E89" s="301"/>
      <c r="F89" s="301"/>
      <c r="G89" s="301"/>
      <c r="H89" s="334"/>
      <c r="I89" s="334"/>
      <c r="J89" s="301"/>
      <c r="K89" s="301"/>
      <c r="L89" s="301"/>
      <c r="M89" s="301"/>
      <c r="N89" s="301"/>
      <c r="O89" s="301"/>
      <c r="P89" s="301"/>
      <c r="Q89" s="301"/>
      <c r="R89" s="301"/>
      <c r="S89" s="301"/>
      <c r="T89" s="366"/>
      <c r="U89" s="301"/>
      <c r="V89" s="301"/>
      <c r="W89" s="301"/>
      <c r="X89" s="301"/>
      <c r="Y89" s="301"/>
      <c r="Z89" s="301"/>
    </row>
    <row r="90">
      <c r="A90" s="301"/>
      <c r="B90" s="365"/>
      <c r="C90" s="301"/>
      <c r="D90" s="301"/>
      <c r="E90" s="301"/>
      <c r="F90" s="301"/>
      <c r="G90" s="301"/>
      <c r="H90" s="334"/>
      <c r="I90" s="334"/>
      <c r="J90" s="301"/>
      <c r="K90" s="301"/>
      <c r="L90" s="301"/>
      <c r="M90" s="301"/>
      <c r="N90" s="301"/>
      <c r="O90" s="301"/>
      <c r="P90" s="301"/>
      <c r="Q90" s="301"/>
      <c r="R90" s="301"/>
      <c r="S90" s="301"/>
      <c r="T90" s="366"/>
      <c r="U90" s="301"/>
      <c r="V90" s="301"/>
      <c r="W90" s="301"/>
      <c r="X90" s="301"/>
      <c r="Y90" s="301"/>
      <c r="Z90" s="301"/>
    </row>
    <row r="91">
      <c r="A91" s="301"/>
      <c r="B91" s="365"/>
      <c r="C91" s="301"/>
      <c r="D91" s="301"/>
      <c r="E91" s="301"/>
      <c r="F91" s="301"/>
      <c r="G91" s="301"/>
      <c r="H91" s="334"/>
      <c r="I91" s="334"/>
      <c r="J91" s="301"/>
      <c r="K91" s="301"/>
      <c r="L91" s="301"/>
      <c r="M91" s="301"/>
      <c r="N91" s="301"/>
      <c r="O91" s="301"/>
      <c r="P91" s="301"/>
      <c r="Q91" s="301"/>
      <c r="R91" s="301"/>
      <c r="S91" s="301"/>
      <c r="T91" s="366"/>
      <c r="U91" s="301"/>
      <c r="V91" s="301"/>
      <c r="W91" s="301"/>
      <c r="X91" s="301"/>
      <c r="Y91" s="301"/>
      <c r="Z91" s="301"/>
    </row>
    <row r="92">
      <c r="A92" s="301"/>
      <c r="B92" s="365"/>
      <c r="C92" s="301"/>
      <c r="D92" s="301"/>
      <c r="E92" s="301"/>
      <c r="F92" s="301"/>
      <c r="G92" s="301"/>
      <c r="H92" s="334"/>
      <c r="I92" s="334"/>
      <c r="J92" s="301"/>
      <c r="K92" s="301"/>
      <c r="L92" s="301"/>
      <c r="M92" s="301"/>
      <c r="N92" s="301"/>
      <c r="O92" s="301"/>
      <c r="P92" s="301"/>
      <c r="Q92" s="301"/>
      <c r="R92" s="301"/>
      <c r="S92" s="301"/>
      <c r="T92" s="366"/>
      <c r="U92" s="301"/>
      <c r="V92" s="301"/>
      <c r="W92" s="301"/>
      <c r="X92" s="301"/>
      <c r="Y92" s="301"/>
      <c r="Z92" s="301"/>
    </row>
    <row r="93">
      <c r="A93" s="301"/>
      <c r="B93" s="365"/>
      <c r="C93" s="301"/>
      <c r="D93" s="301"/>
      <c r="E93" s="301"/>
      <c r="F93" s="301"/>
      <c r="G93" s="301"/>
      <c r="H93" s="334"/>
      <c r="I93" s="334"/>
      <c r="J93" s="301"/>
      <c r="K93" s="301"/>
      <c r="L93" s="301"/>
      <c r="M93" s="301"/>
      <c r="N93" s="301"/>
      <c r="O93" s="301"/>
      <c r="P93" s="301"/>
      <c r="Q93" s="301"/>
      <c r="R93" s="301"/>
      <c r="S93" s="301"/>
      <c r="T93" s="366"/>
      <c r="U93" s="301"/>
      <c r="V93" s="301"/>
      <c r="W93" s="301"/>
      <c r="X93" s="301"/>
      <c r="Y93" s="301"/>
      <c r="Z93" s="301"/>
    </row>
    <row r="94">
      <c r="A94" s="301"/>
      <c r="B94" s="365"/>
      <c r="C94" s="301"/>
      <c r="D94" s="301"/>
      <c r="E94" s="301"/>
      <c r="F94" s="301"/>
      <c r="G94" s="301"/>
      <c r="H94" s="334"/>
      <c r="I94" s="334"/>
      <c r="J94" s="301"/>
      <c r="K94" s="301"/>
      <c r="L94" s="301"/>
      <c r="M94" s="301"/>
      <c r="N94" s="301"/>
      <c r="O94" s="301"/>
      <c r="P94" s="301"/>
      <c r="Q94" s="301"/>
      <c r="R94" s="301"/>
      <c r="S94" s="301"/>
      <c r="T94" s="366"/>
      <c r="U94" s="301"/>
      <c r="V94" s="301"/>
      <c r="W94" s="301"/>
      <c r="X94" s="301"/>
      <c r="Y94" s="301"/>
      <c r="Z94" s="301"/>
    </row>
    <row r="95">
      <c r="A95" s="301"/>
      <c r="B95" s="365"/>
      <c r="C95" s="301"/>
      <c r="D95" s="301"/>
      <c r="E95" s="301"/>
      <c r="F95" s="301"/>
      <c r="G95" s="301"/>
      <c r="H95" s="334"/>
      <c r="I95" s="334"/>
      <c r="J95" s="301"/>
      <c r="K95" s="301"/>
      <c r="L95" s="301"/>
      <c r="M95" s="301"/>
      <c r="N95" s="301"/>
      <c r="O95" s="301"/>
      <c r="P95" s="301"/>
      <c r="Q95" s="301"/>
      <c r="R95" s="301"/>
      <c r="S95" s="301"/>
      <c r="T95" s="366"/>
      <c r="U95" s="301"/>
      <c r="V95" s="301"/>
      <c r="W95" s="301"/>
      <c r="X95" s="301"/>
      <c r="Y95" s="301"/>
      <c r="Z95" s="301"/>
    </row>
    <row r="96">
      <c r="A96" s="301"/>
      <c r="B96" s="365"/>
      <c r="C96" s="301"/>
      <c r="D96" s="301"/>
      <c r="E96" s="301"/>
      <c r="F96" s="301"/>
      <c r="G96" s="301"/>
      <c r="H96" s="334"/>
      <c r="I96" s="334"/>
      <c r="J96" s="301"/>
      <c r="K96" s="301"/>
      <c r="L96" s="301"/>
      <c r="M96" s="301"/>
      <c r="N96" s="301"/>
      <c r="O96" s="301"/>
      <c r="P96" s="301"/>
      <c r="Q96" s="301"/>
      <c r="R96" s="301"/>
      <c r="S96" s="301"/>
      <c r="T96" s="366"/>
      <c r="U96" s="301"/>
      <c r="V96" s="301"/>
      <c r="W96" s="301"/>
      <c r="X96" s="301"/>
      <c r="Y96" s="301"/>
      <c r="Z96" s="301"/>
    </row>
    <row r="97">
      <c r="A97" s="301"/>
      <c r="B97" s="365"/>
      <c r="C97" s="301"/>
      <c r="D97" s="301"/>
      <c r="E97" s="301"/>
      <c r="F97" s="301"/>
      <c r="G97" s="301"/>
      <c r="H97" s="334"/>
      <c r="I97" s="334"/>
      <c r="J97" s="301"/>
      <c r="K97" s="301"/>
      <c r="L97" s="301"/>
      <c r="M97" s="301"/>
      <c r="N97" s="301"/>
      <c r="O97" s="301"/>
      <c r="P97" s="301"/>
      <c r="Q97" s="301"/>
      <c r="R97" s="301"/>
      <c r="S97" s="301"/>
      <c r="T97" s="366"/>
      <c r="U97" s="301"/>
      <c r="V97" s="301"/>
      <c r="W97" s="301"/>
      <c r="X97" s="301"/>
      <c r="Y97" s="301"/>
      <c r="Z97" s="301"/>
    </row>
    <row r="98">
      <c r="A98" s="301"/>
      <c r="B98" s="365"/>
      <c r="C98" s="301"/>
      <c r="D98" s="301"/>
      <c r="E98" s="301"/>
      <c r="F98" s="301"/>
      <c r="G98" s="301"/>
      <c r="H98" s="334"/>
      <c r="I98" s="334"/>
      <c r="J98" s="301"/>
      <c r="K98" s="301"/>
      <c r="L98" s="301"/>
      <c r="M98" s="301"/>
      <c r="N98" s="301"/>
      <c r="O98" s="301"/>
      <c r="P98" s="301"/>
      <c r="Q98" s="301"/>
      <c r="R98" s="301"/>
      <c r="S98" s="301"/>
      <c r="T98" s="366"/>
      <c r="U98" s="301"/>
      <c r="V98" s="301"/>
      <c r="W98" s="301"/>
      <c r="X98" s="301"/>
      <c r="Y98" s="301"/>
      <c r="Z98" s="301"/>
    </row>
    <row r="99">
      <c r="A99" s="301"/>
      <c r="B99" s="365"/>
      <c r="C99" s="301"/>
      <c r="D99" s="301"/>
      <c r="E99" s="301"/>
      <c r="F99" s="301"/>
      <c r="G99" s="301"/>
      <c r="H99" s="334"/>
      <c r="I99" s="334"/>
      <c r="J99" s="301"/>
      <c r="K99" s="301"/>
      <c r="L99" s="301"/>
      <c r="M99" s="301"/>
      <c r="N99" s="301"/>
      <c r="O99" s="301"/>
      <c r="P99" s="301"/>
      <c r="Q99" s="301"/>
      <c r="R99" s="301"/>
      <c r="S99" s="301"/>
      <c r="T99" s="366"/>
      <c r="U99" s="301"/>
      <c r="V99" s="301"/>
      <c r="W99" s="301"/>
      <c r="X99" s="301"/>
      <c r="Y99" s="301"/>
      <c r="Z99" s="301"/>
    </row>
    <row r="100">
      <c r="A100" s="301"/>
      <c r="B100" s="365"/>
      <c r="C100" s="301"/>
      <c r="D100" s="301"/>
      <c r="E100" s="301"/>
      <c r="F100" s="301"/>
      <c r="G100" s="301"/>
      <c r="H100" s="334"/>
      <c r="I100" s="334"/>
      <c r="J100" s="301"/>
      <c r="K100" s="301"/>
      <c r="L100" s="301"/>
      <c r="M100" s="301"/>
      <c r="N100" s="301"/>
      <c r="O100" s="301"/>
      <c r="P100" s="301"/>
      <c r="Q100" s="301"/>
      <c r="R100" s="301"/>
      <c r="S100" s="301"/>
      <c r="T100" s="366"/>
      <c r="U100" s="301"/>
      <c r="V100" s="301"/>
      <c r="W100" s="301"/>
      <c r="X100" s="301"/>
      <c r="Y100" s="301"/>
      <c r="Z100" s="301"/>
    </row>
    <row r="101">
      <c r="A101" s="301"/>
      <c r="B101" s="365"/>
      <c r="C101" s="301"/>
      <c r="D101" s="301"/>
      <c r="E101" s="301"/>
      <c r="F101" s="301"/>
      <c r="G101" s="301"/>
      <c r="H101" s="334"/>
      <c r="I101" s="334"/>
      <c r="J101" s="301"/>
      <c r="K101" s="301"/>
      <c r="L101" s="301"/>
      <c r="M101" s="301"/>
      <c r="N101" s="301"/>
      <c r="O101" s="301"/>
      <c r="P101" s="301"/>
      <c r="Q101" s="301"/>
      <c r="R101" s="301"/>
      <c r="S101" s="301"/>
      <c r="T101" s="366"/>
      <c r="U101" s="301"/>
      <c r="V101" s="301"/>
      <c r="W101" s="301"/>
      <c r="X101" s="301"/>
      <c r="Y101" s="301"/>
      <c r="Z101" s="301"/>
    </row>
    <row r="102">
      <c r="A102" s="301"/>
      <c r="B102" s="365"/>
      <c r="C102" s="301"/>
      <c r="D102" s="301"/>
      <c r="E102" s="301"/>
      <c r="F102" s="301"/>
      <c r="G102" s="301"/>
      <c r="H102" s="334"/>
      <c r="I102" s="334"/>
      <c r="J102" s="301"/>
      <c r="K102" s="301"/>
      <c r="L102" s="301"/>
      <c r="M102" s="301"/>
      <c r="N102" s="301"/>
      <c r="O102" s="301"/>
      <c r="P102" s="301"/>
      <c r="Q102" s="301"/>
      <c r="R102" s="301"/>
      <c r="S102" s="301"/>
      <c r="T102" s="366"/>
      <c r="U102" s="301"/>
      <c r="V102" s="301"/>
      <c r="W102" s="301"/>
      <c r="X102" s="301"/>
      <c r="Y102" s="301"/>
      <c r="Z102" s="301"/>
    </row>
    <row r="103">
      <c r="A103" s="301"/>
      <c r="B103" s="365"/>
      <c r="C103" s="301"/>
      <c r="D103" s="301"/>
      <c r="E103" s="301"/>
      <c r="F103" s="301"/>
      <c r="G103" s="301"/>
      <c r="H103" s="334"/>
      <c r="I103" s="334"/>
      <c r="J103" s="301"/>
      <c r="K103" s="301"/>
      <c r="L103" s="301"/>
      <c r="M103" s="301"/>
      <c r="N103" s="301"/>
      <c r="O103" s="301"/>
      <c r="P103" s="301"/>
      <c r="Q103" s="301"/>
      <c r="R103" s="301"/>
      <c r="S103" s="301"/>
      <c r="T103" s="366"/>
      <c r="U103" s="301"/>
      <c r="V103" s="301"/>
      <c r="W103" s="301"/>
      <c r="X103" s="301"/>
      <c r="Y103" s="301"/>
      <c r="Z103" s="301"/>
    </row>
    <row r="104">
      <c r="A104" s="301"/>
      <c r="B104" s="365"/>
      <c r="C104" s="301"/>
      <c r="D104" s="301"/>
      <c r="E104" s="301"/>
      <c r="F104" s="301"/>
      <c r="G104" s="301"/>
      <c r="H104" s="334"/>
      <c r="I104" s="334"/>
      <c r="J104" s="301"/>
      <c r="K104" s="301"/>
      <c r="L104" s="301"/>
      <c r="M104" s="301"/>
      <c r="N104" s="301"/>
      <c r="O104" s="301"/>
      <c r="P104" s="301"/>
      <c r="Q104" s="301"/>
      <c r="R104" s="301"/>
      <c r="S104" s="301"/>
      <c r="T104" s="366"/>
      <c r="U104" s="301"/>
      <c r="V104" s="301"/>
      <c r="W104" s="301"/>
      <c r="X104" s="301"/>
      <c r="Y104" s="301"/>
      <c r="Z104" s="301"/>
    </row>
    <row r="105">
      <c r="A105" s="301"/>
      <c r="B105" s="365"/>
      <c r="C105" s="301"/>
      <c r="D105" s="301"/>
      <c r="E105" s="301"/>
      <c r="F105" s="301"/>
      <c r="G105" s="301"/>
      <c r="H105" s="334"/>
      <c r="I105" s="334"/>
      <c r="J105" s="301"/>
      <c r="K105" s="301"/>
      <c r="L105" s="301"/>
      <c r="M105" s="301"/>
      <c r="N105" s="301"/>
      <c r="O105" s="301"/>
      <c r="P105" s="301"/>
      <c r="Q105" s="301"/>
      <c r="R105" s="301"/>
      <c r="S105" s="301"/>
      <c r="T105" s="366"/>
      <c r="U105" s="301"/>
      <c r="V105" s="301"/>
      <c r="W105" s="301"/>
      <c r="X105" s="301"/>
      <c r="Y105" s="301"/>
      <c r="Z105" s="301"/>
    </row>
    <row r="106">
      <c r="A106" s="301"/>
      <c r="B106" s="365"/>
      <c r="C106" s="301"/>
      <c r="D106" s="301"/>
      <c r="E106" s="301"/>
      <c r="F106" s="301"/>
      <c r="G106" s="301"/>
      <c r="H106" s="334"/>
      <c r="I106" s="334"/>
      <c r="J106" s="301"/>
      <c r="K106" s="301"/>
      <c r="L106" s="301"/>
      <c r="M106" s="301"/>
      <c r="N106" s="301"/>
      <c r="O106" s="301"/>
      <c r="P106" s="301"/>
      <c r="Q106" s="301"/>
      <c r="R106" s="301"/>
      <c r="S106" s="301"/>
      <c r="T106" s="366"/>
      <c r="U106" s="301"/>
      <c r="V106" s="301"/>
      <c r="W106" s="301"/>
      <c r="X106" s="301"/>
      <c r="Y106" s="301"/>
      <c r="Z106" s="301"/>
    </row>
    <row r="107">
      <c r="A107" s="301"/>
      <c r="B107" s="365"/>
      <c r="C107" s="301"/>
      <c r="D107" s="301"/>
      <c r="E107" s="301"/>
      <c r="F107" s="301"/>
      <c r="G107" s="301"/>
      <c r="H107" s="334"/>
      <c r="I107" s="334"/>
      <c r="J107" s="301"/>
      <c r="K107" s="301"/>
      <c r="L107" s="301"/>
      <c r="M107" s="301"/>
      <c r="N107" s="301"/>
      <c r="O107" s="301"/>
      <c r="P107" s="301"/>
      <c r="Q107" s="301"/>
      <c r="R107" s="301"/>
      <c r="S107" s="301"/>
      <c r="T107" s="366"/>
      <c r="U107" s="301"/>
      <c r="V107" s="301"/>
      <c r="W107" s="301"/>
      <c r="X107" s="301"/>
      <c r="Y107" s="301"/>
      <c r="Z107" s="301"/>
    </row>
    <row r="108">
      <c r="A108" s="301"/>
      <c r="B108" s="365"/>
      <c r="C108" s="301"/>
      <c r="D108" s="301"/>
      <c r="E108" s="301"/>
      <c r="F108" s="301"/>
      <c r="G108" s="301"/>
      <c r="H108" s="334"/>
      <c r="I108" s="334"/>
      <c r="J108" s="301"/>
      <c r="K108" s="301"/>
      <c r="L108" s="301"/>
      <c r="M108" s="301"/>
      <c r="N108" s="301"/>
      <c r="O108" s="301"/>
      <c r="P108" s="301"/>
      <c r="Q108" s="301"/>
      <c r="R108" s="301"/>
      <c r="S108" s="301"/>
      <c r="T108" s="366"/>
      <c r="U108" s="301"/>
      <c r="V108" s="301"/>
      <c r="W108" s="301"/>
      <c r="X108" s="301"/>
      <c r="Y108" s="301"/>
      <c r="Z108" s="301"/>
    </row>
    <row r="109">
      <c r="A109" s="301"/>
      <c r="B109" s="365"/>
      <c r="C109" s="301"/>
      <c r="D109" s="301"/>
      <c r="E109" s="301"/>
      <c r="F109" s="301"/>
      <c r="G109" s="301"/>
      <c r="H109" s="334"/>
      <c r="I109" s="334"/>
      <c r="J109" s="301"/>
      <c r="K109" s="301"/>
      <c r="L109" s="301"/>
      <c r="M109" s="301"/>
      <c r="N109" s="301"/>
      <c r="O109" s="301"/>
      <c r="P109" s="301"/>
      <c r="Q109" s="301"/>
      <c r="R109" s="301"/>
      <c r="S109" s="301"/>
      <c r="T109" s="366"/>
      <c r="U109" s="301"/>
      <c r="V109" s="301"/>
      <c r="W109" s="301"/>
      <c r="X109" s="301"/>
      <c r="Y109" s="301"/>
      <c r="Z109" s="301"/>
    </row>
    <row r="110">
      <c r="A110" s="301"/>
      <c r="B110" s="365"/>
      <c r="C110" s="301"/>
      <c r="D110" s="301"/>
      <c r="E110" s="301"/>
      <c r="F110" s="301"/>
      <c r="G110" s="301"/>
      <c r="H110" s="334"/>
      <c r="I110" s="334"/>
      <c r="J110" s="301"/>
      <c r="K110" s="301"/>
      <c r="L110" s="301"/>
      <c r="M110" s="301"/>
      <c r="N110" s="301"/>
      <c r="O110" s="301"/>
      <c r="P110" s="301"/>
      <c r="Q110" s="301"/>
      <c r="R110" s="301"/>
      <c r="S110" s="301"/>
      <c r="T110" s="366"/>
      <c r="U110" s="301"/>
      <c r="V110" s="301"/>
      <c r="W110" s="301"/>
      <c r="X110" s="301"/>
      <c r="Y110" s="301"/>
      <c r="Z110" s="301"/>
    </row>
    <row r="111">
      <c r="A111" s="301"/>
      <c r="B111" s="365"/>
      <c r="C111" s="301"/>
      <c r="D111" s="301"/>
      <c r="E111" s="301"/>
      <c r="F111" s="301"/>
      <c r="G111" s="301"/>
      <c r="H111" s="334"/>
      <c r="I111" s="334"/>
      <c r="J111" s="301"/>
      <c r="K111" s="301"/>
      <c r="L111" s="301"/>
      <c r="M111" s="301"/>
      <c r="N111" s="301"/>
      <c r="O111" s="301"/>
      <c r="P111" s="301"/>
      <c r="Q111" s="301"/>
      <c r="R111" s="301"/>
      <c r="S111" s="301"/>
      <c r="T111" s="366"/>
      <c r="U111" s="301"/>
      <c r="V111" s="301"/>
      <c r="W111" s="301"/>
      <c r="X111" s="301"/>
      <c r="Y111" s="301"/>
      <c r="Z111" s="301"/>
    </row>
    <row r="112">
      <c r="A112" s="301"/>
      <c r="B112" s="365"/>
      <c r="C112" s="301"/>
      <c r="D112" s="301"/>
      <c r="E112" s="301"/>
      <c r="F112" s="301"/>
      <c r="G112" s="301"/>
      <c r="H112" s="334"/>
      <c r="I112" s="334"/>
      <c r="J112" s="301"/>
      <c r="K112" s="301"/>
      <c r="L112" s="301"/>
      <c r="M112" s="301"/>
      <c r="N112" s="301"/>
      <c r="O112" s="301"/>
      <c r="P112" s="301"/>
      <c r="Q112" s="301"/>
      <c r="R112" s="301"/>
      <c r="S112" s="301"/>
      <c r="T112" s="366"/>
      <c r="U112" s="301"/>
      <c r="V112" s="301"/>
      <c r="W112" s="301"/>
      <c r="X112" s="301"/>
      <c r="Y112" s="301"/>
      <c r="Z112" s="301"/>
    </row>
    <row r="113">
      <c r="A113" s="301"/>
      <c r="B113" s="365"/>
      <c r="C113" s="301"/>
      <c r="D113" s="301"/>
      <c r="E113" s="301"/>
      <c r="F113" s="301"/>
      <c r="G113" s="301"/>
      <c r="H113" s="334"/>
      <c r="I113" s="334"/>
      <c r="J113" s="301"/>
      <c r="K113" s="301"/>
      <c r="L113" s="301"/>
      <c r="M113" s="301"/>
      <c r="N113" s="301"/>
      <c r="O113" s="301"/>
      <c r="P113" s="301"/>
      <c r="Q113" s="301"/>
      <c r="R113" s="301"/>
      <c r="S113" s="301"/>
      <c r="T113" s="366"/>
      <c r="U113" s="301"/>
      <c r="V113" s="301"/>
      <c r="W113" s="301"/>
      <c r="X113" s="301"/>
      <c r="Y113" s="301"/>
      <c r="Z113" s="301"/>
    </row>
    <row r="114">
      <c r="A114" s="301"/>
      <c r="B114" s="365"/>
      <c r="C114" s="301"/>
      <c r="D114" s="301"/>
      <c r="E114" s="301"/>
      <c r="F114" s="301"/>
      <c r="G114" s="301"/>
      <c r="H114" s="334"/>
      <c r="I114" s="334"/>
      <c r="J114" s="301"/>
      <c r="K114" s="301"/>
      <c r="L114" s="301"/>
      <c r="M114" s="301"/>
      <c r="N114" s="301"/>
      <c r="O114" s="301"/>
      <c r="P114" s="301"/>
      <c r="Q114" s="301"/>
      <c r="R114" s="301"/>
      <c r="S114" s="301"/>
      <c r="T114" s="366"/>
      <c r="U114" s="301"/>
      <c r="V114" s="301"/>
      <c r="W114" s="301"/>
      <c r="X114" s="301"/>
      <c r="Y114" s="301"/>
      <c r="Z114" s="301"/>
    </row>
    <row r="115">
      <c r="A115" s="301"/>
      <c r="B115" s="365"/>
      <c r="C115" s="301"/>
      <c r="D115" s="301"/>
      <c r="E115" s="301"/>
      <c r="F115" s="301"/>
      <c r="G115" s="301"/>
      <c r="H115" s="334"/>
      <c r="I115" s="334"/>
      <c r="J115" s="301"/>
      <c r="K115" s="301"/>
      <c r="L115" s="301"/>
      <c r="M115" s="301"/>
      <c r="N115" s="301"/>
      <c r="O115" s="301"/>
      <c r="P115" s="301"/>
      <c r="Q115" s="301"/>
      <c r="R115" s="301"/>
      <c r="S115" s="301"/>
      <c r="T115" s="366"/>
      <c r="U115" s="301"/>
      <c r="V115" s="301"/>
      <c r="W115" s="301"/>
      <c r="X115" s="301"/>
      <c r="Y115" s="301"/>
      <c r="Z115" s="301"/>
    </row>
    <row r="116">
      <c r="A116" s="301"/>
      <c r="B116" s="365"/>
      <c r="C116" s="301"/>
      <c r="D116" s="301"/>
      <c r="E116" s="301"/>
      <c r="F116" s="301"/>
      <c r="G116" s="301"/>
      <c r="H116" s="334"/>
      <c r="I116" s="334"/>
      <c r="J116" s="301"/>
      <c r="K116" s="301"/>
      <c r="L116" s="301"/>
      <c r="M116" s="301"/>
      <c r="N116" s="301"/>
      <c r="O116" s="301"/>
      <c r="P116" s="301"/>
      <c r="Q116" s="301"/>
      <c r="R116" s="301"/>
      <c r="S116" s="301"/>
      <c r="T116" s="366"/>
      <c r="U116" s="301"/>
      <c r="V116" s="301"/>
      <c r="W116" s="301"/>
      <c r="X116" s="301"/>
      <c r="Y116" s="301"/>
      <c r="Z116" s="301"/>
    </row>
    <row r="117">
      <c r="A117" s="301"/>
      <c r="B117" s="365"/>
      <c r="C117" s="301"/>
      <c r="D117" s="301"/>
      <c r="E117" s="301"/>
      <c r="F117" s="301"/>
      <c r="G117" s="301"/>
      <c r="H117" s="334"/>
      <c r="I117" s="334"/>
      <c r="J117" s="301"/>
      <c r="K117" s="301"/>
      <c r="L117" s="301"/>
      <c r="M117" s="301"/>
      <c r="N117" s="301"/>
      <c r="O117" s="301"/>
      <c r="P117" s="301"/>
      <c r="Q117" s="301"/>
      <c r="R117" s="301"/>
      <c r="S117" s="301"/>
      <c r="T117" s="366"/>
      <c r="U117" s="301"/>
      <c r="V117" s="301"/>
      <c r="W117" s="301"/>
      <c r="X117" s="301"/>
      <c r="Y117" s="301"/>
      <c r="Z117" s="301"/>
    </row>
    <row r="118">
      <c r="A118" s="301"/>
      <c r="B118" s="365"/>
      <c r="C118" s="301"/>
      <c r="D118" s="301"/>
      <c r="E118" s="301"/>
      <c r="F118" s="301"/>
      <c r="G118" s="301"/>
      <c r="H118" s="334"/>
      <c r="I118" s="334"/>
      <c r="J118" s="301"/>
      <c r="K118" s="301"/>
      <c r="L118" s="301"/>
      <c r="M118" s="301"/>
      <c r="N118" s="301"/>
      <c r="O118" s="301"/>
      <c r="P118" s="301"/>
      <c r="Q118" s="301"/>
      <c r="R118" s="301"/>
      <c r="S118" s="301"/>
      <c r="T118" s="366"/>
      <c r="U118" s="301"/>
      <c r="V118" s="301"/>
      <c r="W118" s="301"/>
      <c r="X118" s="301"/>
      <c r="Y118" s="301"/>
      <c r="Z118" s="301"/>
    </row>
    <row r="119">
      <c r="A119" s="301"/>
      <c r="B119" s="365"/>
      <c r="C119" s="301"/>
      <c r="D119" s="301"/>
      <c r="E119" s="301"/>
      <c r="F119" s="301"/>
      <c r="G119" s="301"/>
      <c r="H119" s="334"/>
      <c r="I119" s="334"/>
      <c r="J119" s="301"/>
      <c r="K119" s="301"/>
      <c r="L119" s="301"/>
      <c r="M119" s="301"/>
      <c r="N119" s="301"/>
      <c r="O119" s="301"/>
      <c r="P119" s="301"/>
      <c r="Q119" s="301"/>
      <c r="R119" s="301"/>
      <c r="S119" s="301"/>
      <c r="T119" s="366"/>
      <c r="U119" s="301"/>
      <c r="V119" s="301"/>
      <c r="W119" s="301"/>
      <c r="X119" s="301"/>
      <c r="Y119" s="301"/>
      <c r="Z119" s="301"/>
    </row>
    <row r="120">
      <c r="A120" s="301"/>
      <c r="B120" s="365"/>
      <c r="C120" s="301"/>
      <c r="D120" s="301"/>
      <c r="E120" s="301"/>
      <c r="F120" s="301"/>
      <c r="G120" s="301"/>
      <c r="H120" s="334"/>
      <c r="I120" s="334"/>
      <c r="J120" s="301"/>
      <c r="K120" s="301"/>
      <c r="L120" s="301"/>
      <c r="M120" s="301"/>
      <c r="N120" s="301"/>
      <c r="O120" s="301"/>
      <c r="P120" s="301"/>
      <c r="Q120" s="301"/>
      <c r="R120" s="301"/>
      <c r="S120" s="301"/>
      <c r="T120" s="366"/>
      <c r="U120" s="301"/>
      <c r="V120" s="301"/>
      <c r="W120" s="301"/>
      <c r="X120" s="301"/>
      <c r="Y120" s="301"/>
      <c r="Z120" s="301"/>
    </row>
    <row r="121">
      <c r="A121" s="301"/>
      <c r="B121" s="365"/>
      <c r="C121" s="301"/>
      <c r="D121" s="301"/>
      <c r="E121" s="301"/>
      <c r="F121" s="301"/>
      <c r="G121" s="301"/>
      <c r="H121" s="334"/>
      <c r="I121" s="334"/>
      <c r="J121" s="301"/>
      <c r="K121" s="301"/>
      <c r="L121" s="301"/>
      <c r="M121" s="301"/>
      <c r="N121" s="301"/>
      <c r="O121" s="301"/>
      <c r="P121" s="301"/>
      <c r="Q121" s="301"/>
      <c r="R121" s="301"/>
      <c r="S121" s="301"/>
      <c r="T121" s="366"/>
      <c r="U121" s="301"/>
      <c r="V121" s="301"/>
      <c r="W121" s="301"/>
      <c r="X121" s="301"/>
      <c r="Y121" s="301"/>
      <c r="Z121" s="301"/>
    </row>
    <row r="122">
      <c r="A122" s="301"/>
      <c r="B122" s="365"/>
      <c r="C122" s="301"/>
      <c r="D122" s="301"/>
      <c r="E122" s="301"/>
      <c r="F122" s="301"/>
      <c r="G122" s="301"/>
      <c r="H122" s="334"/>
      <c r="I122" s="334"/>
      <c r="J122" s="301"/>
      <c r="K122" s="301"/>
      <c r="L122" s="301"/>
      <c r="M122" s="301"/>
      <c r="N122" s="301"/>
      <c r="O122" s="301"/>
      <c r="P122" s="301"/>
      <c r="Q122" s="301"/>
      <c r="R122" s="301"/>
      <c r="S122" s="301"/>
      <c r="T122" s="366"/>
      <c r="U122" s="301"/>
      <c r="V122" s="301"/>
      <c r="W122" s="301"/>
      <c r="X122" s="301"/>
      <c r="Y122" s="301"/>
      <c r="Z122" s="301"/>
    </row>
    <row r="123">
      <c r="A123" s="301"/>
      <c r="B123" s="365"/>
      <c r="C123" s="301"/>
      <c r="D123" s="301"/>
      <c r="E123" s="301"/>
      <c r="F123" s="301"/>
      <c r="G123" s="301"/>
      <c r="H123" s="334"/>
      <c r="I123" s="334"/>
      <c r="J123" s="301"/>
      <c r="K123" s="301"/>
      <c r="L123" s="301"/>
      <c r="M123" s="301"/>
      <c r="N123" s="301"/>
      <c r="O123" s="301"/>
      <c r="P123" s="301"/>
      <c r="Q123" s="301"/>
      <c r="R123" s="301"/>
      <c r="S123" s="301"/>
      <c r="T123" s="366"/>
      <c r="U123" s="301"/>
      <c r="V123" s="301"/>
      <c r="W123" s="301"/>
      <c r="X123" s="301"/>
      <c r="Y123" s="301"/>
      <c r="Z123" s="301"/>
    </row>
    <row r="124">
      <c r="A124" s="301"/>
      <c r="B124" s="365"/>
      <c r="C124" s="301"/>
      <c r="D124" s="301"/>
      <c r="E124" s="301"/>
      <c r="F124" s="301"/>
      <c r="G124" s="301"/>
      <c r="H124" s="334"/>
      <c r="I124" s="334"/>
      <c r="J124" s="301"/>
      <c r="K124" s="301"/>
      <c r="L124" s="301"/>
      <c r="M124" s="301"/>
      <c r="N124" s="301"/>
      <c r="O124" s="301"/>
      <c r="P124" s="301"/>
      <c r="Q124" s="301"/>
      <c r="R124" s="301"/>
      <c r="S124" s="301"/>
      <c r="T124" s="366"/>
      <c r="U124" s="301"/>
      <c r="V124" s="301"/>
      <c r="W124" s="301"/>
      <c r="X124" s="301"/>
      <c r="Y124" s="301"/>
      <c r="Z124" s="301"/>
    </row>
    <row r="125">
      <c r="A125" s="301"/>
      <c r="B125" s="365"/>
      <c r="C125" s="301"/>
      <c r="D125" s="301"/>
      <c r="E125" s="301"/>
      <c r="F125" s="301"/>
      <c r="G125" s="301"/>
      <c r="H125" s="334"/>
      <c r="I125" s="334"/>
      <c r="J125" s="301"/>
      <c r="K125" s="301"/>
      <c r="L125" s="301"/>
      <c r="M125" s="301"/>
      <c r="N125" s="301"/>
      <c r="O125" s="301"/>
      <c r="P125" s="301"/>
      <c r="Q125" s="301"/>
      <c r="R125" s="301"/>
      <c r="S125" s="301"/>
      <c r="T125" s="366"/>
      <c r="U125" s="301"/>
      <c r="V125" s="301"/>
      <c r="W125" s="301"/>
      <c r="X125" s="301"/>
      <c r="Y125" s="301"/>
      <c r="Z125" s="301"/>
    </row>
    <row r="126">
      <c r="A126" s="301"/>
      <c r="B126" s="365"/>
      <c r="C126" s="301"/>
      <c r="D126" s="301"/>
      <c r="E126" s="301"/>
      <c r="F126" s="301"/>
      <c r="G126" s="301"/>
      <c r="H126" s="334"/>
      <c r="I126" s="334"/>
      <c r="J126" s="301"/>
      <c r="K126" s="301"/>
      <c r="L126" s="301"/>
      <c r="M126" s="301"/>
      <c r="N126" s="301"/>
      <c r="O126" s="301"/>
      <c r="P126" s="301"/>
      <c r="Q126" s="301"/>
      <c r="R126" s="301"/>
      <c r="S126" s="301"/>
      <c r="T126" s="366"/>
      <c r="U126" s="301"/>
      <c r="V126" s="301"/>
      <c r="W126" s="301"/>
      <c r="X126" s="301"/>
      <c r="Y126" s="301"/>
      <c r="Z126" s="301"/>
    </row>
    <row r="127">
      <c r="A127" s="301"/>
      <c r="B127" s="365"/>
      <c r="C127" s="301"/>
      <c r="D127" s="301"/>
      <c r="E127" s="301"/>
      <c r="F127" s="301"/>
      <c r="G127" s="301"/>
      <c r="H127" s="334"/>
      <c r="I127" s="334"/>
      <c r="J127" s="301"/>
      <c r="K127" s="301"/>
      <c r="L127" s="301"/>
      <c r="M127" s="301"/>
      <c r="N127" s="301"/>
      <c r="O127" s="301"/>
      <c r="P127" s="301"/>
      <c r="Q127" s="301"/>
      <c r="R127" s="301"/>
      <c r="S127" s="301"/>
      <c r="T127" s="366"/>
      <c r="U127" s="301"/>
      <c r="V127" s="301"/>
      <c r="W127" s="301"/>
      <c r="X127" s="301"/>
      <c r="Y127" s="301"/>
      <c r="Z127" s="301"/>
    </row>
    <row r="128">
      <c r="A128" s="301"/>
      <c r="B128" s="365"/>
      <c r="C128" s="301"/>
      <c r="D128" s="301"/>
      <c r="E128" s="301"/>
      <c r="F128" s="301"/>
      <c r="G128" s="301"/>
      <c r="H128" s="334"/>
      <c r="I128" s="334"/>
      <c r="J128" s="301"/>
      <c r="K128" s="301"/>
      <c r="L128" s="301"/>
      <c r="M128" s="301"/>
      <c r="N128" s="301"/>
      <c r="O128" s="301"/>
      <c r="P128" s="301"/>
      <c r="Q128" s="301"/>
      <c r="R128" s="301"/>
      <c r="S128" s="301"/>
      <c r="T128" s="366"/>
      <c r="U128" s="301"/>
      <c r="V128" s="301"/>
      <c r="W128" s="301"/>
      <c r="X128" s="301"/>
      <c r="Y128" s="301"/>
      <c r="Z128" s="301"/>
    </row>
    <row r="129">
      <c r="A129" s="301"/>
      <c r="B129" s="365"/>
      <c r="C129" s="301"/>
      <c r="D129" s="301"/>
      <c r="E129" s="301"/>
      <c r="F129" s="301"/>
      <c r="G129" s="301"/>
      <c r="H129" s="334"/>
      <c r="I129" s="334"/>
      <c r="J129" s="301"/>
      <c r="K129" s="301"/>
      <c r="L129" s="301"/>
      <c r="M129" s="301"/>
      <c r="N129" s="301"/>
      <c r="O129" s="301"/>
      <c r="P129" s="301"/>
      <c r="Q129" s="301"/>
      <c r="R129" s="301"/>
      <c r="S129" s="301"/>
      <c r="T129" s="366"/>
      <c r="U129" s="301"/>
      <c r="V129" s="301"/>
      <c r="W129" s="301"/>
      <c r="X129" s="301"/>
      <c r="Y129" s="301"/>
      <c r="Z129" s="301"/>
    </row>
    <row r="130">
      <c r="A130" s="301"/>
      <c r="B130" s="365"/>
      <c r="C130" s="301"/>
      <c r="D130" s="301"/>
      <c r="E130" s="301"/>
      <c r="F130" s="301"/>
      <c r="G130" s="301"/>
      <c r="H130" s="334"/>
      <c r="I130" s="334"/>
      <c r="J130" s="301"/>
      <c r="K130" s="301"/>
      <c r="L130" s="301"/>
      <c r="M130" s="301"/>
      <c r="N130" s="301"/>
      <c r="O130" s="301"/>
      <c r="P130" s="301"/>
      <c r="Q130" s="301"/>
      <c r="R130" s="301"/>
      <c r="S130" s="301"/>
      <c r="T130" s="366"/>
      <c r="U130" s="301"/>
      <c r="V130" s="301"/>
      <c r="W130" s="301"/>
      <c r="X130" s="301"/>
      <c r="Y130" s="301"/>
      <c r="Z130" s="301"/>
    </row>
    <row r="131">
      <c r="A131" s="301"/>
      <c r="B131" s="365"/>
      <c r="C131" s="301"/>
      <c r="D131" s="301"/>
      <c r="E131" s="301"/>
      <c r="F131" s="301"/>
      <c r="G131" s="301"/>
      <c r="H131" s="334"/>
      <c r="I131" s="334"/>
      <c r="J131" s="301"/>
      <c r="K131" s="301"/>
      <c r="L131" s="301"/>
      <c r="M131" s="301"/>
      <c r="N131" s="301"/>
      <c r="O131" s="301"/>
      <c r="P131" s="301"/>
      <c r="Q131" s="301"/>
      <c r="R131" s="301"/>
      <c r="S131" s="301"/>
      <c r="T131" s="366"/>
      <c r="U131" s="301"/>
      <c r="V131" s="301"/>
      <c r="W131" s="301"/>
      <c r="X131" s="301"/>
      <c r="Y131" s="301"/>
      <c r="Z131" s="301"/>
    </row>
    <row r="132">
      <c r="A132" s="301"/>
      <c r="B132" s="365"/>
      <c r="C132" s="301"/>
      <c r="D132" s="301"/>
      <c r="E132" s="301"/>
      <c r="F132" s="301"/>
      <c r="G132" s="301"/>
      <c r="H132" s="334"/>
      <c r="I132" s="334"/>
      <c r="J132" s="301"/>
      <c r="K132" s="301"/>
      <c r="L132" s="301"/>
      <c r="M132" s="301"/>
      <c r="N132" s="301"/>
      <c r="O132" s="301"/>
      <c r="P132" s="301"/>
      <c r="Q132" s="301"/>
      <c r="R132" s="301"/>
      <c r="S132" s="301"/>
      <c r="T132" s="366"/>
      <c r="U132" s="301"/>
      <c r="V132" s="301"/>
      <c r="W132" s="301"/>
      <c r="X132" s="301"/>
      <c r="Y132" s="301"/>
      <c r="Z132" s="301"/>
    </row>
    <row r="133">
      <c r="A133" s="301"/>
      <c r="B133" s="365"/>
      <c r="C133" s="301"/>
      <c r="D133" s="301"/>
      <c r="E133" s="301"/>
      <c r="F133" s="301"/>
      <c r="G133" s="301"/>
      <c r="H133" s="334"/>
      <c r="I133" s="334"/>
      <c r="J133" s="301"/>
      <c r="K133" s="301"/>
      <c r="L133" s="301"/>
      <c r="M133" s="301"/>
      <c r="N133" s="301"/>
      <c r="O133" s="301"/>
      <c r="P133" s="301"/>
      <c r="Q133" s="301"/>
      <c r="R133" s="301"/>
      <c r="S133" s="301"/>
      <c r="T133" s="366"/>
      <c r="U133" s="301"/>
      <c r="V133" s="301"/>
      <c r="W133" s="301"/>
      <c r="X133" s="301"/>
      <c r="Y133" s="301"/>
      <c r="Z133" s="301"/>
    </row>
    <row r="134">
      <c r="A134" s="301"/>
      <c r="B134" s="365"/>
      <c r="C134" s="301"/>
      <c r="D134" s="301"/>
      <c r="E134" s="301"/>
      <c r="F134" s="301"/>
      <c r="G134" s="301"/>
      <c r="H134" s="334"/>
      <c r="I134" s="334"/>
      <c r="J134" s="301"/>
      <c r="K134" s="301"/>
      <c r="L134" s="301"/>
      <c r="M134" s="301"/>
      <c r="N134" s="301"/>
      <c r="O134" s="301"/>
      <c r="P134" s="301"/>
      <c r="Q134" s="301"/>
      <c r="R134" s="301"/>
      <c r="S134" s="301"/>
      <c r="T134" s="366"/>
      <c r="U134" s="301"/>
      <c r="V134" s="301"/>
      <c r="W134" s="301"/>
      <c r="X134" s="301"/>
      <c r="Y134" s="301"/>
      <c r="Z134" s="301"/>
    </row>
    <row r="135">
      <c r="A135" s="301"/>
      <c r="B135" s="365"/>
      <c r="C135" s="301"/>
      <c r="D135" s="301"/>
      <c r="E135" s="301"/>
      <c r="F135" s="301"/>
      <c r="G135" s="301"/>
      <c r="H135" s="334"/>
      <c r="I135" s="334"/>
      <c r="J135" s="301"/>
      <c r="K135" s="301"/>
      <c r="L135" s="301"/>
      <c r="M135" s="301"/>
      <c r="N135" s="301"/>
      <c r="O135" s="301"/>
      <c r="P135" s="301"/>
      <c r="Q135" s="301"/>
      <c r="R135" s="301"/>
      <c r="S135" s="301"/>
      <c r="T135" s="366"/>
      <c r="U135" s="301"/>
      <c r="V135" s="301"/>
      <c r="W135" s="301"/>
      <c r="X135" s="301"/>
      <c r="Y135" s="301"/>
      <c r="Z135" s="301"/>
    </row>
    <row r="136">
      <c r="A136" s="301"/>
      <c r="B136" s="365"/>
      <c r="C136" s="301"/>
      <c r="D136" s="301"/>
      <c r="E136" s="301"/>
      <c r="F136" s="301"/>
      <c r="G136" s="301"/>
      <c r="H136" s="334"/>
      <c r="I136" s="334"/>
      <c r="J136" s="301"/>
      <c r="K136" s="301"/>
      <c r="L136" s="301"/>
      <c r="M136" s="301"/>
      <c r="N136" s="301"/>
      <c r="O136" s="301"/>
      <c r="P136" s="301"/>
      <c r="Q136" s="301"/>
      <c r="R136" s="301"/>
      <c r="S136" s="301"/>
      <c r="T136" s="366"/>
      <c r="U136" s="301"/>
      <c r="V136" s="301"/>
      <c r="W136" s="301"/>
      <c r="X136" s="301"/>
      <c r="Y136" s="301"/>
      <c r="Z136" s="301"/>
    </row>
    <row r="137">
      <c r="A137" s="301"/>
      <c r="B137" s="365"/>
      <c r="C137" s="301"/>
      <c r="D137" s="301"/>
      <c r="E137" s="301"/>
      <c r="F137" s="301"/>
      <c r="G137" s="301"/>
      <c r="H137" s="334"/>
      <c r="I137" s="334"/>
      <c r="J137" s="301"/>
      <c r="K137" s="301"/>
      <c r="L137" s="301"/>
      <c r="M137" s="301"/>
      <c r="N137" s="301"/>
      <c r="O137" s="301"/>
      <c r="P137" s="301"/>
      <c r="Q137" s="301"/>
      <c r="R137" s="301"/>
      <c r="S137" s="301"/>
      <c r="T137" s="366"/>
      <c r="U137" s="301"/>
      <c r="V137" s="301"/>
      <c r="W137" s="301"/>
      <c r="X137" s="301"/>
      <c r="Y137" s="301"/>
      <c r="Z137" s="301"/>
    </row>
    <row r="138">
      <c r="A138" s="301"/>
      <c r="B138" s="365"/>
      <c r="C138" s="301"/>
      <c r="D138" s="301"/>
      <c r="E138" s="301"/>
      <c r="F138" s="301"/>
      <c r="G138" s="301"/>
      <c r="H138" s="334"/>
      <c r="I138" s="334"/>
      <c r="J138" s="301"/>
      <c r="K138" s="301"/>
      <c r="L138" s="301"/>
      <c r="M138" s="301"/>
      <c r="N138" s="301"/>
      <c r="O138" s="301"/>
      <c r="P138" s="301"/>
      <c r="Q138" s="301"/>
      <c r="R138" s="301"/>
      <c r="S138" s="301"/>
      <c r="T138" s="366"/>
      <c r="U138" s="301"/>
      <c r="V138" s="301"/>
      <c r="W138" s="301"/>
      <c r="X138" s="301"/>
      <c r="Y138" s="301"/>
      <c r="Z138" s="301"/>
    </row>
    <row r="139">
      <c r="A139" s="301"/>
      <c r="B139" s="365"/>
      <c r="C139" s="301"/>
      <c r="D139" s="301"/>
      <c r="E139" s="301"/>
      <c r="F139" s="301"/>
      <c r="G139" s="301"/>
      <c r="H139" s="334"/>
      <c r="I139" s="334"/>
      <c r="J139" s="301"/>
      <c r="K139" s="301"/>
      <c r="L139" s="301"/>
      <c r="M139" s="301"/>
      <c r="N139" s="301"/>
      <c r="O139" s="301"/>
      <c r="P139" s="301"/>
      <c r="Q139" s="301"/>
      <c r="R139" s="301"/>
      <c r="S139" s="301"/>
      <c r="T139" s="366"/>
      <c r="U139" s="301"/>
      <c r="V139" s="301"/>
      <c r="W139" s="301"/>
      <c r="X139" s="301"/>
      <c r="Y139" s="301"/>
      <c r="Z139" s="301"/>
    </row>
    <row r="140">
      <c r="A140" s="301"/>
      <c r="B140" s="365"/>
      <c r="C140" s="301"/>
      <c r="D140" s="301"/>
      <c r="E140" s="301"/>
      <c r="F140" s="301"/>
      <c r="G140" s="301"/>
      <c r="H140" s="334"/>
      <c r="I140" s="334"/>
      <c r="J140" s="301"/>
      <c r="K140" s="301"/>
      <c r="L140" s="301"/>
      <c r="M140" s="301"/>
      <c r="N140" s="301"/>
      <c r="O140" s="301"/>
      <c r="P140" s="301"/>
      <c r="Q140" s="301"/>
      <c r="R140" s="301"/>
      <c r="S140" s="301"/>
      <c r="T140" s="366"/>
      <c r="U140" s="301"/>
      <c r="V140" s="301"/>
      <c r="W140" s="301"/>
      <c r="X140" s="301"/>
      <c r="Y140" s="301"/>
      <c r="Z140" s="301"/>
    </row>
    <row r="141">
      <c r="A141" s="301"/>
      <c r="B141" s="365"/>
      <c r="C141" s="301"/>
      <c r="D141" s="301"/>
      <c r="E141" s="301"/>
      <c r="F141" s="301"/>
      <c r="G141" s="301"/>
      <c r="H141" s="334"/>
      <c r="I141" s="334"/>
      <c r="J141" s="301"/>
      <c r="K141" s="301"/>
      <c r="L141" s="301"/>
      <c r="M141" s="301"/>
      <c r="N141" s="301"/>
      <c r="O141" s="301"/>
      <c r="P141" s="301"/>
      <c r="Q141" s="301"/>
      <c r="R141" s="301"/>
      <c r="S141" s="301"/>
      <c r="T141" s="366"/>
      <c r="U141" s="301"/>
      <c r="V141" s="301"/>
      <c r="W141" s="301"/>
      <c r="X141" s="301"/>
      <c r="Y141" s="301"/>
      <c r="Z141" s="301"/>
    </row>
    <row r="142">
      <c r="A142" s="301"/>
      <c r="B142" s="365"/>
      <c r="C142" s="301"/>
      <c r="D142" s="301"/>
      <c r="E142" s="301"/>
      <c r="F142" s="301"/>
      <c r="G142" s="301"/>
      <c r="H142" s="334"/>
      <c r="I142" s="334"/>
      <c r="J142" s="301"/>
      <c r="K142" s="301"/>
      <c r="L142" s="301"/>
      <c r="M142" s="301"/>
      <c r="N142" s="301"/>
      <c r="O142" s="301"/>
      <c r="P142" s="301"/>
      <c r="Q142" s="301"/>
      <c r="R142" s="301"/>
      <c r="S142" s="301"/>
      <c r="T142" s="366"/>
      <c r="U142" s="301"/>
      <c r="V142" s="301"/>
      <c r="W142" s="301"/>
      <c r="X142" s="301"/>
      <c r="Y142" s="301"/>
      <c r="Z142" s="301"/>
    </row>
    <row r="143">
      <c r="A143" s="301"/>
      <c r="B143" s="365"/>
      <c r="C143" s="301"/>
      <c r="D143" s="301"/>
      <c r="E143" s="301"/>
      <c r="F143" s="301"/>
      <c r="G143" s="301"/>
      <c r="H143" s="334"/>
      <c r="I143" s="334"/>
      <c r="J143" s="301"/>
      <c r="K143" s="301"/>
      <c r="L143" s="301"/>
      <c r="M143" s="301"/>
      <c r="N143" s="301"/>
      <c r="O143" s="301"/>
      <c r="P143" s="301"/>
      <c r="Q143" s="301"/>
      <c r="R143" s="301"/>
      <c r="S143" s="301"/>
      <c r="T143" s="366"/>
      <c r="U143" s="301"/>
      <c r="V143" s="301"/>
      <c r="W143" s="301"/>
      <c r="X143" s="301"/>
      <c r="Y143" s="301"/>
      <c r="Z143" s="301"/>
    </row>
    <row r="144">
      <c r="A144" s="301"/>
      <c r="B144" s="365"/>
      <c r="C144" s="301"/>
      <c r="D144" s="301"/>
      <c r="E144" s="301"/>
      <c r="F144" s="301"/>
      <c r="G144" s="301"/>
      <c r="H144" s="334"/>
      <c r="I144" s="334"/>
      <c r="J144" s="301"/>
      <c r="K144" s="301"/>
      <c r="L144" s="301"/>
      <c r="M144" s="301"/>
      <c r="N144" s="301"/>
      <c r="O144" s="301"/>
      <c r="P144" s="301"/>
      <c r="Q144" s="301"/>
      <c r="R144" s="301"/>
      <c r="S144" s="301"/>
      <c r="T144" s="366"/>
      <c r="U144" s="301"/>
      <c r="V144" s="301"/>
      <c r="W144" s="301"/>
      <c r="X144" s="301"/>
      <c r="Y144" s="301"/>
      <c r="Z144" s="301"/>
    </row>
    <row r="145">
      <c r="A145" s="301"/>
      <c r="B145" s="365"/>
      <c r="C145" s="301"/>
      <c r="D145" s="301"/>
      <c r="E145" s="301"/>
      <c r="F145" s="301"/>
      <c r="G145" s="301"/>
      <c r="H145" s="334"/>
      <c r="I145" s="334"/>
      <c r="J145" s="301"/>
      <c r="K145" s="301"/>
      <c r="L145" s="301"/>
      <c r="M145" s="301"/>
      <c r="N145" s="301"/>
      <c r="O145" s="301"/>
      <c r="P145" s="301"/>
      <c r="Q145" s="301"/>
      <c r="R145" s="301"/>
      <c r="S145" s="301"/>
      <c r="T145" s="366"/>
      <c r="U145" s="301"/>
      <c r="V145" s="301"/>
      <c r="W145" s="301"/>
      <c r="X145" s="301"/>
      <c r="Y145" s="301"/>
      <c r="Z145" s="301"/>
    </row>
    <row r="146">
      <c r="A146" s="301"/>
      <c r="B146" s="365"/>
      <c r="C146" s="301"/>
      <c r="D146" s="301"/>
      <c r="E146" s="301"/>
      <c r="F146" s="301"/>
      <c r="G146" s="301"/>
      <c r="H146" s="334"/>
      <c r="I146" s="334"/>
      <c r="J146" s="301"/>
      <c r="K146" s="301"/>
      <c r="L146" s="301"/>
      <c r="M146" s="301"/>
      <c r="N146" s="301"/>
      <c r="O146" s="301"/>
      <c r="P146" s="301"/>
      <c r="Q146" s="301"/>
      <c r="R146" s="301"/>
      <c r="S146" s="301"/>
      <c r="T146" s="366"/>
      <c r="U146" s="301"/>
      <c r="V146" s="301"/>
      <c r="W146" s="301"/>
      <c r="X146" s="301"/>
      <c r="Y146" s="301"/>
      <c r="Z146" s="301"/>
    </row>
    <row r="147">
      <c r="A147" s="301"/>
      <c r="B147" s="365"/>
      <c r="C147" s="301"/>
      <c r="D147" s="301"/>
      <c r="E147" s="301"/>
      <c r="F147" s="301"/>
      <c r="G147" s="301"/>
      <c r="H147" s="334"/>
      <c r="I147" s="334"/>
      <c r="J147" s="301"/>
      <c r="K147" s="301"/>
      <c r="L147" s="301"/>
      <c r="M147" s="301"/>
      <c r="N147" s="301"/>
      <c r="O147" s="301"/>
      <c r="P147" s="301"/>
      <c r="Q147" s="301"/>
      <c r="R147" s="301"/>
      <c r="S147" s="301"/>
      <c r="T147" s="366"/>
      <c r="U147" s="301"/>
      <c r="V147" s="301"/>
      <c r="W147" s="301"/>
      <c r="X147" s="301"/>
      <c r="Y147" s="301"/>
      <c r="Z147" s="301"/>
    </row>
    <row r="148">
      <c r="A148" s="301"/>
      <c r="B148" s="365"/>
      <c r="C148" s="301"/>
      <c r="D148" s="301"/>
      <c r="E148" s="301"/>
      <c r="F148" s="301"/>
      <c r="G148" s="301"/>
      <c r="H148" s="334"/>
      <c r="I148" s="334"/>
      <c r="J148" s="301"/>
      <c r="K148" s="301"/>
      <c r="L148" s="301"/>
      <c r="M148" s="301"/>
      <c r="N148" s="301"/>
      <c r="O148" s="301"/>
      <c r="P148" s="301"/>
      <c r="Q148" s="301"/>
      <c r="R148" s="301"/>
      <c r="S148" s="301"/>
      <c r="T148" s="366"/>
      <c r="U148" s="301"/>
      <c r="V148" s="301"/>
      <c r="W148" s="301"/>
      <c r="X148" s="301"/>
      <c r="Y148" s="301"/>
      <c r="Z148" s="301"/>
    </row>
    <row r="149">
      <c r="A149" s="301"/>
      <c r="B149" s="365"/>
      <c r="C149" s="301"/>
      <c r="D149" s="301"/>
      <c r="E149" s="301"/>
      <c r="F149" s="301"/>
      <c r="G149" s="301"/>
      <c r="H149" s="334"/>
      <c r="I149" s="334"/>
      <c r="J149" s="301"/>
      <c r="K149" s="301"/>
      <c r="L149" s="301"/>
      <c r="M149" s="301"/>
      <c r="N149" s="301"/>
      <c r="O149" s="301"/>
      <c r="P149" s="301"/>
      <c r="Q149" s="301"/>
      <c r="R149" s="301"/>
      <c r="S149" s="301"/>
      <c r="T149" s="366"/>
      <c r="U149" s="301"/>
      <c r="V149" s="301"/>
      <c r="W149" s="301"/>
      <c r="X149" s="301"/>
      <c r="Y149" s="301"/>
      <c r="Z149" s="301"/>
    </row>
    <row r="150">
      <c r="A150" s="301"/>
      <c r="B150" s="365"/>
      <c r="C150" s="301"/>
      <c r="D150" s="301"/>
      <c r="E150" s="301"/>
      <c r="F150" s="301"/>
      <c r="G150" s="301"/>
      <c r="H150" s="334"/>
      <c r="I150" s="334"/>
      <c r="J150" s="301"/>
      <c r="K150" s="301"/>
      <c r="L150" s="301"/>
      <c r="M150" s="301"/>
      <c r="N150" s="301"/>
      <c r="O150" s="301"/>
      <c r="P150" s="301"/>
      <c r="Q150" s="301"/>
      <c r="R150" s="301"/>
      <c r="S150" s="301"/>
      <c r="T150" s="366"/>
      <c r="U150" s="301"/>
      <c r="V150" s="301"/>
      <c r="W150" s="301"/>
      <c r="X150" s="301"/>
      <c r="Y150" s="301"/>
      <c r="Z150" s="301"/>
    </row>
    <row r="151">
      <c r="A151" s="301"/>
      <c r="B151" s="365"/>
      <c r="C151" s="301"/>
      <c r="D151" s="301"/>
      <c r="E151" s="301"/>
      <c r="F151" s="301"/>
      <c r="G151" s="301"/>
      <c r="H151" s="334"/>
      <c r="I151" s="334"/>
      <c r="J151" s="301"/>
      <c r="K151" s="301"/>
      <c r="L151" s="301"/>
      <c r="M151" s="301"/>
      <c r="N151" s="301"/>
      <c r="O151" s="301"/>
      <c r="P151" s="301"/>
      <c r="Q151" s="301"/>
      <c r="R151" s="301"/>
      <c r="S151" s="301"/>
      <c r="T151" s="366"/>
      <c r="U151" s="301"/>
      <c r="V151" s="301"/>
      <c r="W151" s="301"/>
      <c r="X151" s="301"/>
      <c r="Y151" s="301"/>
      <c r="Z151" s="301"/>
    </row>
    <row r="152">
      <c r="A152" s="301"/>
      <c r="B152" s="365"/>
      <c r="C152" s="301"/>
      <c r="D152" s="301"/>
      <c r="E152" s="301"/>
      <c r="F152" s="301"/>
      <c r="G152" s="301"/>
      <c r="H152" s="334"/>
      <c r="I152" s="334"/>
      <c r="J152" s="301"/>
      <c r="K152" s="301"/>
      <c r="L152" s="301"/>
      <c r="M152" s="301"/>
      <c r="N152" s="301"/>
      <c r="O152" s="301"/>
      <c r="P152" s="301"/>
      <c r="Q152" s="301"/>
      <c r="R152" s="301"/>
      <c r="S152" s="301"/>
      <c r="T152" s="366"/>
      <c r="U152" s="301"/>
      <c r="V152" s="301"/>
      <c r="W152" s="301"/>
      <c r="X152" s="301"/>
      <c r="Y152" s="301"/>
      <c r="Z152" s="301"/>
    </row>
    <row r="153">
      <c r="A153" s="301"/>
      <c r="B153" s="365"/>
      <c r="C153" s="301"/>
      <c r="D153" s="301"/>
      <c r="E153" s="301"/>
      <c r="F153" s="301"/>
      <c r="G153" s="301"/>
      <c r="H153" s="334"/>
      <c r="I153" s="334"/>
      <c r="J153" s="301"/>
      <c r="K153" s="301"/>
      <c r="L153" s="301"/>
      <c r="M153" s="301"/>
      <c r="N153" s="301"/>
      <c r="O153" s="301"/>
      <c r="P153" s="301"/>
      <c r="Q153" s="301"/>
      <c r="R153" s="301"/>
      <c r="S153" s="301"/>
      <c r="T153" s="366"/>
      <c r="U153" s="301"/>
      <c r="V153" s="301"/>
      <c r="W153" s="301"/>
      <c r="X153" s="301"/>
      <c r="Y153" s="301"/>
      <c r="Z153" s="301"/>
    </row>
    <row r="154">
      <c r="A154" s="301"/>
      <c r="B154" s="365"/>
      <c r="C154" s="301"/>
      <c r="D154" s="301"/>
      <c r="E154" s="301"/>
      <c r="F154" s="301"/>
      <c r="G154" s="301"/>
      <c r="H154" s="334"/>
      <c r="I154" s="334"/>
      <c r="J154" s="301"/>
      <c r="K154" s="301"/>
      <c r="L154" s="301"/>
      <c r="M154" s="301"/>
      <c r="N154" s="301"/>
      <c r="O154" s="301"/>
      <c r="P154" s="301"/>
      <c r="Q154" s="301"/>
      <c r="R154" s="301"/>
      <c r="S154" s="301"/>
      <c r="T154" s="366"/>
      <c r="U154" s="301"/>
      <c r="V154" s="301"/>
      <c r="W154" s="301"/>
      <c r="X154" s="301"/>
      <c r="Y154" s="301"/>
      <c r="Z154" s="301"/>
    </row>
    <row r="155">
      <c r="A155" s="301"/>
      <c r="B155" s="365"/>
      <c r="C155" s="301"/>
      <c r="D155" s="301"/>
      <c r="E155" s="301"/>
      <c r="F155" s="301"/>
      <c r="G155" s="301"/>
      <c r="H155" s="334"/>
      <c r="I155" s="334"/>
      <c r="J155" s="301"/>
      <c r="K155" s="301"/>
      <c r="L155" s="301"/>
      <c r="M155" s="301"/>
      <c r="N155" s="301"/>
      <c r="O155" s="301"/>
      <c r="P155" s="301"/>
      <c r="Q155" s="301"/>
      <c r="R155" s="301"/>
      <c r="S155" s="301"/>
      <c r="T155" s="366"/>
      <c r="U155" s="301"/>
      <c r="V155" s="301"/>
      <c r="W155" s="301"/>
      <c r="X155" s="301"/>
      <c r="Y155" s="301"/>
      <c r="Z155" s="301"/>
    </row>
    <row r="156">
      <c r="A156" s="301"/>
      <c r="B156" s="365"/>
      <c r="C156" s="301"/>
      <c r="D156" s="301"/>
      <c r="E156" s="301"/>
      <c r="F156" s="301"/>
      <c r="G156" s="301"/>
      <c r="H156" s="334"/>
      <c r="I156" s="334"/>
      <c r="J156" s="301"/>
      <c r="K156" s="301"/>
      <c r="L156" s="301"/>
      <c r="M156" s="301"/>
      <c r="N156" s="301"/>
      <c r="O156" s="301"/>
      <c r="P156" s="301"/>
      <c r="Q156" s="301"/>
      <c r="R156" s="301"/>
      <c r="S156" s="301"/>
      <c r="T156" s="366"/>
      <c r="U156" s="301"/>
      <c r="V156" s="301"/>
      <c r="W156" s="301"/>
      <c r="X156" s="301"/>
      <c r="Y156" s="301"/>
      <c r="Z156" s="301"/>
    </row>
    <row r="157">
      <c r="A157" s="301"/>
      <c r="B157" s="365"/>
      <c r="C157" s="301"/>
      <c r="D157" s="301"/>
      <c r="E157" s="301"/>
      <c r="F157" s="301"/>
      <c r="G157" s="301"/>
      <c r="H157" s="334"/>
      <c r="I157" s="334"/>
      <c r="J157" s="301"/>
      <c r="K157" s="301"/>
      <c r="L157" s="301"/>
      <c r="M157" s="301"/>
      <c r="N157" s="301"/>
      <c r="O157" s="301"/>
      <c r="P157" s="301"/>
      <c r="Q157" s="301"/>
      <c r="R157" s="301"/>
      <c r="S157" s="301"/>
      <c r="T157" s="366"/>
      <c r="U157" s="301"/>
      <c r="V157" s="301"/>
      <c r="W157" s="301"/>
      <c r="X157" s="301"/>
      <c r="Y157" s="301"/>
      <c r="Z157" s="301"/>
    </row>
    <row r="158">
      <c r="A158" s="301"/>
      <c r="B158" s="365"/>
      <c r="C158" s="301"/>
      <c r="D158" s="301"/>
      <c r="E158" s="301"/>
      <c r="F158" s="301"/>
      <c r="G158" s="301"/>
      <c r="H158" s="334"/>
      <c r="I158" s="334"/>
      <c r="J158" s="301"/>
      <c r="K158" s="301"/>
      <c r="L158" s="301"/>
      <c r="M158" s="301"/>
      <c r="N158" s="301"/>
      <c r="O158" s="301"/>
      <c r="P158" s="301"/>
      <c r="Q158" s="301"/>
      <c r="R158" s="301"/>
      <c r="S158" s="301"/>
      <c r="T158" s="366"/>
      <c r="U158" s="301"/>
      <c r="V158" s="301"/>
      <c r="W158" s="301"/>
      <c r="X158" s="301"/>
      <c r="Y158" s="301"/>
      <c r="Z158" s="301"/>
    </row>
    <row r="159">
      <c r="A159" s="301"/>
      <c r="B159" s="365"/>
      <c r="C159" s="301"/>
      <c r="D159" s="301"/>
      <c r="E159" s="301"/>
      <c r="F159" s="301"/>
      <c r="G159" s="301"/>
      <c r="H159" s="334"/>
      <c r="I159" s="334"/>
      <c r="J159" s="301"/>
      <c r="K159" s="301"/>
      <c r="L159" s="301"/>
      <c r="M159" s="301"/>
      <c r="N159" s="301"/>
      <c r="O159" s="301"/>
      <c r="P159" s="301"/>
      <c r="Q159" s="301"/>
      <c r="R159" s="301"/>
      <c r="S159" s="301"/>
      <c r="T159" s="366"/>
      <c r="U159" s="301"/>
      <c r="V159" s="301"/>
      <c r="W159" s="301"/>
      <c r="X159" s="301"/>
      <c r="Y159" s="301"/>
      <c r="Z159" s="301"/>
    </row>
    <row r="160">
      <c r="A160" s="301"/>
      <c r="B160" s="365"/>
      <c r="C160" s="301"/>
      <c r="D160" s="301"/>
      <c r="E160" s="301"/>
      <c r="F160" s="301"/>
      <c r="G160" s="301"/>
      <c r="H160" s="334"/>
      <c r="I160" s="334"/>
      <c r="J160" s="301"/>
      <c r="K160" s="301"/>
      <c r="L160" s="301"/>
      <c r="M160" s="301"/>
      <c r="N160" s="301"/>
      <c r="O160" s="301"/>
      <c r="P160" s="301"/>
      <c r="Q160" s="301"/>
      <c r="R160" s="301"/>
      <c r="S160" s="301"/>
      <c r="T160" s="366"/>
      <c r="U160" s="301"/>
      <c r="V160" s="301"/>
      <c r="W160" s="301"/>
      <c r="X160" s="301"/>
      <c r="Y160" s="301"/>
      <c r="Z160" s="301"/>
    </row>
    <row r="161">
      <c r="A161" s="301"/>
      <c r="B161" s="365"/>
      <c r="C161" s="301"/>
      <c r="D161" s="301"/>
      <c r="E161" s="301"/>
      <c r="F161" s="301"/>
      <c r="G161" s="301"/>
      <c r="H161" s="334"/>
      <c r="I161" s="334"/>
      <c r="J161" s="301"/>
      <c r="K161" s="301"/>
      <c r="L161" s="301"/>
      <c r="M161" s="301"/>
      <c r="N161" s="301"/>
      <c r="O161" s="301"/>
      <c r="P161" s="301"/>
      <c r="Q161" s="301"/>
      <c r="R161" s="301"/>
      <c r="S161" s="301"/>
      <c r="T161" s="366"/>
      <c r="U161" s="301"/>
      <c r="V161" s="301"/>
      <c r="W161" s="301"/>
      <c r="X161" s="301"/>
      <c r="Y161" s="301"/>
      <c r="Z161" s="301"/>
    </row>
    <row r="162">
      <c r="A162" s="301"/>
      <c r="B162" s="365"/>
      <c r="C162" s="301"/>
      <c r="D162" s="301"/>
      <c r="E162" s="301"/>
      <c r="F162" s="301"/>
      <c r="G162" s="301"/>
      <c r="H162" s="334"/>
      <c r="I162" s="334"/>
      <c r="J162" s="301"/>
      <c r="K162" s="301"/>
      <c r="L162" s="301"/>
      <c r="M162" s="301"/>
      <c r="N162" s="301"/>
      <c r="O162" s="301"/>
      <c r="P162" s="301"/>
      <c r="Q162" s="301"/>
      <c r="R162" s="301"/>
      <c r="S162" s="301"/>
      <c r="T162" s="366"/>
      <c r="U162" s="301"/>
      <c r="V162" s="301"/>
      <c r="W162" s="301"/>
      <c r="X162" s="301"/>
      <c r="Y162" s="301"/>
      <c r="Z162" s="301"/>
    </row>
    <row r="163">
      <c r="A163" s="301"/>
      <c r="B163" s="365"/>
      <c r="C163" s="301"/>
      <c r="D163" s="301"/>
      <c r="E163" s="301"/>
      <c r="F163" s="301"/>
      <c r="G163" s="301"/>
      <c r="H163" s="334"/>
      <c r="I163" s="334"/>
      <c r="J163" s="301"/>
      <c r="K163" s="301"/>
      <c r="L163" s="301"/>
      <c r="M163" s="301"/>
      <c r="N163" s="301"/>
      <c r="O163" s="301"/>
      <c r="P163" s="301"/>
      <c r="Q163" s="301"/>
      <c r="R163" s="301"/>
      <c r="S163" s="301"/>
      <c r="T163" s="366"/>
      <c r="U163" s="301"/>
      <c r="V163" s="301"/>
      <c r="W163" s="301"/>
      <c r="X163" s="301"/>
      <c r="Y163" s="301"/>
      <c r="Z163" s="301"/>
    </row>
    <row r="164">
      <c r="A164" s="301"/>
      <c r="B164" s="365"/>
      <c r="C164" s="301"/>
      <c r="D164" s="301"/>
      <c r="E164" s="301"/>
      <c r="F164" s="301"/>
      <c r="G164" s="301"/>
      <c r="H164" s="334"/>
      <c r="I164" s="334"/>
      <c r="J164" s="301"/>
      <c r="K164" s="301"/>
      <c r="L164" s="301"/>
      <c r="M164" s="301"/>
      <c r="N164" s="301"/>
      <c r="O164" s="301"/>
      <c r="P164" s="301"/>
      <c r="Q164" s="301"/>
      <c r="R164" s="301"/>
      <c r="S164" s="301"/>
      <c r="T164" s="366"/>
      <c r="U164" s="301"/>
      <c r="V164" s="301"/>
      <c r="W164" s="301"/>
      <c r="X164" s="301"/>
      <c r="Y164" s="301"/>
      <c r="Z164" s="301"/>
    </row>
    <row r="165">
      <c r="A165" s="301"/>
      <c r="B165" s="365"/>
      <c r="C165" s="301"/>
      <c r="D165" s="301"/>
      <c r="E165" s="301"/>
      <c r="F165" s="301"/>
      <c r="G165" s="301"/>
      <c r="H165" s="334"/>
      <c r="I165" s="334"/>
      <c r="J165" s="301"/>
      <c r="K165" s="301"/>
      <c r="L165" s="301"/>
      <c r="M165" s="301"/>
      <c r="N165" s="301"/>
      <c r="O165" s="301"/>
      <c r="P165" s="301"/>
      <c r="Q165" s="301"/>
      <c r="R165" s="301"/>
      <c r="S165" s="301"/>
      <c r="T165" s="366"/>
      <c r="U165" s="301"/>
      <c r="V165" s="301"/>
      <c r="W165" s="301"/>
      <c r="X165" s="301"/>
      <c r="Y165" s="301"/>
      <c r="Z165" s="301"/>
    </row>
    <row r="166">
      <c r="A166" s="301"/>
      <c r="B166" s="365"/>
      <c r="C166" s="301"/>
      <c r="D166" s="301"/>
      <c r="E166" s="301"/>
      <c r="F166" s="301"/>
      <c r="G166" s="301"/>
      <c r="H166" s="334"/>
      <c r="I166" s="334"/>
      <c r="J166" s="301"/>
      <c r="K166" s="301"/>
      <c r="L166" s="301"/>
      <c r="M166" s="301"/>
      <c r="N166" s="301"/>
      <c r="O166" s="301"/>
      <c r="P166" s="301"/>
      <c r="Q166" s="301"/>
      <c r="R166" s="301"/>
      <c r="S166" s="301"/>
      <c r="T166" s="366"/>
      <c r="U166" s="301"/>
      <c r="V166" s="301"/>
      <c r="W166" s="301"/>
      <c r="X166" s="301"/>
      <c r="Y166" s="301"/>
      <c r="Z166" s="301"/>
    </row>
    <row r="167">
      <c r="A167" s="301"/>
      <c r="B167" s="365"/>
      <c r="C167" s="301"/>
      <c r="D167" s="301"/>
      <c r="E167" s="301"/>
      <c r="F167" s="301"/>
      <c r="G167" s="301"/>
      <c r="H167" s="334"/>
      <c r="I167" s="334"/>
      <c r="J167" s="301"/>
      <c r="K167" s="301"/>
      <c r="L167" s="301"/>
      <c r="M167" s="301"/>
      <c r="N167" s="301"/>
      <c r="O167" s="301"/>
      <c r="P167" s="301"/>
      <c r="Q167" s="301"/>
      <c r="R167" s="301"/>
      <c r="S167" s="301"/>
      <c r="T167" s="366"/>
      <c r="U167" s="301"/>
      <c r="V167" s="301"/>
      <c r="W167" s="301"/>
      <c r="X167" s="301"/>
      <c r="Y167" s="301"/>
      <c r="Z167" s="301"/>
    </row>
    <row r="168">
      <c r="A168" s="301"/>
      <c r="B168" s="365"/>
      <c r="C168" s="301"/>
      <c r="D168" s="301"/>
      <c r="E168" s="301"/>
      <c r="F168" s="301"/>
      <c r="G168" s="301"/>
      <c r="H168" s="334"/>
      <c r="I168" s="334"/>
      <c r="J168" s="301"/>
      <c r="K168" s="301"/>
      <c r="L168" s="301"/>
      <c r="M168" s="301"/>
      <c r="N168" s="301"/>
      <c r="O168" s="301"/>
      <c r="P168" s="301"/>
      <c r="Q168" s="301"/>
      <c r="R168" s="301"/>
      <c r="S168" s="301"/>
      <c r="T168" s="366"/>
      <c r="U168" s="301"/>
      <c r="V168" s="301"/>
      <c r="W168" s="301"/>
      <c r="X168" s="301"/>
      <c r="Y168" s="301"/>
      <c r="Z168" s="301"/>
    </row>
    <row r="169">
      <c r="A169" s="301"/>
      <c r="B169" s="365"/>
      <c r="C169" s="301"/>
      <c r="D169" s="301"/>
      <c r="E169" s="301"/>
      <c r="F169" s="301"/>
      <c r="G169" s="301"/>
      <c r="H169" s="334"/>
      <c r="I169" s="334"/>
      <c r="J169" s="301"/>
      <c r="K169" s="301"/>
      <c r="L169" s="301"/>
      <c r="M169" s="301"/>
      <c r="N169" s="301"/>
      <c r="O169" s="301"/>
      <c r="P169" s="301"/>
      <c r="Q169" s="301"/>
      <c r="R169" s="301"/>
      <c r="S169" s="301"/>
      <c r="T169" s="366"/>
      <c r="U169" s="301"/>
      <c r="V169" s="301"/>
      <c r="W169" s="301"/>
      <c r="X169" s="301"/>
      <c r="Y169" s="301"/>
      <c r="Z169" s="301"/>
    </row>
    <row r="170">
      <c r="A170" s="301"/>
      <c r="B170" s="365"/>
      <c r="C170" s="301"/>
      <c r="D170" s="301"/>
      <c r="E170" s="301"/>
      <c r="F170" s="301"/>
      <c r="G170" s="301"/>
      <c r="H170" s="334"/>
      <c r="I170" s="334"/>
      <c r="J170" s="301"/>
      <c r="K170" s="301"/>
      <c r="L170" s="301"/>
      <c r="M170" s="301"/>
      <c r="N170" s="301"/>
      <c r="O170" s="301"/>
      <c r="P170" s="301"/>
      <c r="Q170" s="301"/>
      <c r="R170" s="301"/>
      <c r="S170" s="301"/>
      <c r="T170" s="366"/>
      <c r="U170" s="301"/>
      <c r="V170" s="301"/>
      <c r="W170" s="301"/>
      <c r="X170" s="301"/>
      <c r="Y170" s="301"/>
      <c r="Z170" s="301"/>
    </row>
    <row r="171">
      <c r="A171" s="301"/>
      <c r="B171" s="365"/>
      <c r="C171" s="301"/>
      <c r="D171" s="301"/>
      <c r="E171" s="301"/>
      <c r="F171" s="301"/>
      <c r="G171" s="301"/>
      <c r="H171" s="334"/>
      <c r="I171" s="334"/>
      <c r="J171" s="301"/>
      <c r="K171" s="301"/>
      <c r="L171" s="301"/>
      <c r="M171" s="301"/>
      <c r="N171" s="301"/>
      <c r="O171" s="301"/>
      <c r="P171" s="301"/>
      <c r="Q171" s="301"/>
      <c r="R171" s="301"/>
      <c r="S171" s="301"/>
      <c r="T171" s="366"/>
      <c r="U171" s="301"/>
      <c r="V171" s="301"/>
      <c r="W171" s="301"/>
      <c r="X171" s="301"/>
      <c r="Y171" s="301"/>
      <c r="Z171" s="301"/>
    </row>
    <row r="172">
      <c r="A172" s="301"/>
      <c r="B172" s="365"/>
      <c r="C172" s="301"/>
      <c r="D172" s="301"/>
      <c r="E172" s="301"/>
      <c r="F172" s="301"/>
      <c r="G172" s="301"/>
      <c r="H172" s="334"/>
      <c r="I172" s="334"/>
      <c r="J172" s="301"/>
      <c r="K172" s="301"/>
      <c r="L172" s="301"/>
      <c r="M172" s="301"/>
      <c r="N172" s="301"/>
      <c r="O172" s="301"/>
      <c r="P172" s="301"/>
      <c r="Q172" s="301"/>
      <c r="R172" s="301"/>
      <c r="S172" s="301"/>
      <c r="T172" s="366"/>
      <c r="U172" s="301"/>
      <c r="V172" s="301"/>
      <c r="W172" s="301"/>
      <c r="X172" s="301"/>
      <c r="Y172" s="301"/>
      <c r="Z172" s="301"/>
    </row>
    <row r="173">
      <c r="A173" s="301"/>
      <c r="B173" s="365"/>
      <c r="C173" s="301"/>
      <c r="D173" s="301"/>
      <c r="E173" s="301"/>
      <c r="F173" s="301"/>
      <c r="G173" s="301"/>
      <c r="H173" s="334"/>
      <c r="I173" s="334"/>
      <c r="J173" s="301"/>
      <c r="K173" s="301"/>
      <c r="L173" s="301"/>
      <c r="M173" s="301"/>
      <c r="N173" s="301"/>
      <c r="O173" s="301"/>
      <c r="P173" s="301"/>
      <c r="Q173" s="301"/>
      <c r="R173" s="301"/>
      <c r="S173" s="301"/>
      <c r="T173" s="366"/>
      <c r="U173" s="301"/>
      <c r="V173" s="301"/>
      <c r="W173" s="301"/>
      <c r="X173" s="301"/>
      <c r="Y173" s="301"/>
      <c r="Z173" s="301"/>
    </row>
    <row r="174">
      <c r="A174" s="301"/>
      <c r="B174" s="365"/>
      <c r="C174" s="301"/>
      <c r="D174" s="301"/>
      <c r="E174" s="301"/>
      <c r="F174" s="301"/>
      <c r="G174" s="301"/>
      <c r="H174" s="334"/>
      <c r="I174" s="334"/>
      <c r="J174" s="301"/>
      <c r="K174" s="301"/>
      <c r="L174" s="301"/>
      <c r="M174" s="301"/>
      <c r="N174" s="301"/>
      <c r="O174" s="301"/>
      <c r="P174" s="301"/>
      <c r="Q174" s="301"/>
      <c r="R174" s="301"/>
      <c r="S174" s="301"/>
      <c r="T174" s="366"/>
      <c r="U174" s="301"/>
      <c r="V174" s="301"/>
      <c r="W174" s="301"/>
      <c r="X174" s="301"/>
      <c r="Y174" s="301"/>
      <c r="Z174" s="301"/>
    </row>
    <row r="175">
      <c r="A175" s="301"/>
      <c r="B175" s="365"/>
      <c r="C175" s="301"/>
      <c r="D175" s="301"/>
      <c r="E175" s="301"/>
      <c r="F175" s="301"/>
      <c r="G175" s="301"/>
      <c r="H175" s="334"/>
      <c r="I175" s="334"/>
      <c r="J175" s="301"/>
      <c r="K175" s="301"/>
      <c r="L175" s="301"/>
      <c r="M175" s="301"/>
      <c r="N175" s="301"/>
      <c r="O175" s="301"/>
      <c r="P175" s="301"/>
      <c r="Q175" s="301"/>
      <c r="R175" s="301"/>
      <c r="S175" s="301"/>
      <c r="T175" s="366"/>
      <c r="U175" s="301"/>
      <c r="V175" s="301"/>
      <c r="W175" s="301"/>
      <c r="X175" s="301"/>
      <c r="Y175" s="301"/>
      <c r="Z175" s="301"/>
    </row>
    <row r="176">
      <c r="A176" s="301"/>
      <c r="B176" s="365"/>
      <c r="C176" s="301"/>
      <c r="D176" s="301"/>
      <c r="E176" s="301"/>
      <c r="F176" s="301"/>
      <c r="G176" s="301"/>
      <c r="H176" s="334"/>
      <c r="I176" s="334"/>
      <c r="J176" s="301"/>
      <c r="K176" s="301"/>
      <c r="L176" s="301"/>
      <c r="M176" s="301"/>
      <c r="N176" s="301"/>
      <c r="O176" s="301"/>
      <c r="P176" s="301"/>
      <c r="Q176" s="301"/>
      <c r="R176" s="301"/>
      <c r="S176" s="301"/>
      <c r="T176" s="366"/>
      <c r="U176" s="301"/>
      <c r="V176" s="301"/>
      <c r="W176" s="301"/>
      <c r="X176" s="301"/>
      <c r="Y176" s="301"/>
      <c r="Z176" s="301"/>
    </row>
    <row r="177">
      <c r="A177" s="301"/>
      <c r="B177" s="365"/>
      <c r="C177" s="301"/>
      <c r="D177" s="301"/>
      <c r="E177" s="301"/>
      <c r="F177" s="301"/>
      <c r="G177" s="301"/>
      <c r="H177" s="334"/>
      <c r="I177" s="334"/>
      <c r="J177" s="301"/>
      <c r="K177" s="301"/>
      <c r="L177" s="301"/>
      <c r="M177" s="301"/>
      <c r="N177" s="301"/>
      <c r="O177" s="301"/>
      <c r="P177" s="301"/>
      <c r="Q177" s="301"/>
      <c r="R177" s="301"/>
      <c r="S177" s="301"/>
      <c r="T177" s="366"/>
      <c r="U177" s="301"/>
      <c r="V177" s="301"/>
      <c r="W177" s="301"/>
      <c r="X177" s="301"/>
      <c r="Y177" s="301"/>
      <c r="Z177" s="301"/>
    </row>
    <row r="178">
      <c r="A178" s="301"/>
      <c r="B178" s="365"/>
      <c r="C178" s="301"/>
      <c r="D178" s="301"/>
      <c r="E178" s="301"/>
      <c r="F178" s="301"/>
      <c r="G178" s="301"/>
      <c r="H178" s="334"/>
      <c r="I178" s="334"/>
      <c r="J178" s="301"/>
      <c r="K178" s="301"/>
      <c r="L178" s="301"/>
      <c r="M178" s="301"/>
      <c r="N178" s="301"/>
      <c r="O178" s="301"/>
      <c r="P178" s="301"/>
      <c r="Q178" s="301"/>
      <c r="R178" s="301"/>
      <c r="S178" s="301"/>
      <c r="T178" s="366"/>
      <c r="U178" s="301"/>
      <c r="V178" s="301"/>
      <c r="W178" s="301"/>
      <c r="X178" s="301"/>
      <c r="Y178" s="301"/>
      <c r="Z178" s="301"/>
    </row>
    <row r="179">
      <c r="A179" s="301"/>
      <c r="B179" s="365"/>
      <c r="C179" s="301"/>
      <c r="D179" s="301"/>
      <c r="E179" s="301"/>
      <c r="F179" s="301"/>
      <c r="G179" s="301"/>
      <c r="H179" s="334"/>
      <c r="I179" s="334"/>
      <c r="J179" s="301"/>
      <c r="K179" s="301"/>
      <c r="L179" s="301"/>
      <c r="M179" s="301"/>
      <c r="N179" s="301"/>
      <c r="O179" s="301"/>
      <c r="P179" s="301"/>
      <c r="Q179" s="301"/>
      <c r="R179" s="301"/>
      <c r="S179" s="301"/>
      <c r="T179" s="366"/>
      <c r="U179" s="301"/>
      <c r="V179" s="301"/>
      <c r="W179" s="301"/>
      <c r="X179" s="301"/>
      <c r="Y179" s="301"/>
      <c r="Z179" s="301"/>
    </row>
    <row r="180">
      <c r="A180" s="301"/>
      <c r="B180" s="365"/>
      <c r="C180" s="301"/>
      <c r="D180" s="301"/>
      <c r="E180" s="301"/>
      <c r="F180" s="301"/>
      <c r="G180" s="301"/>
      <c r="H180" s="334"/>
      <c r="I180" s="334"/>
      <c r="J180" s="301"/>
      <c r="K180" s="301"/>
      <c r="L180" s="301"/>
      <c r="M180" s="301"/>
      <c r="N180" s="301"/>
      <c r="O180" s="301"/>
      <c r="P180" s="301"/>
      <c r="Q180" s="301"/>
      <c r="R180" s="301"/>
      <c r="S180" s="301"/>
      <c r="T180" s="366"/>
      <c r="U180" s="301"/>
      <c r="V180" s="301"/>
      <c r="W180" s="301"/>
      <c r="X180" s="301"/>
      <c r="Y180" s="301"/>
      <c r="Z180" s="301"/>
    </row>
    <row r="181">
      <c r="A181" s="301"/>
      <c r="B181" s="365"/>
      <c r="C181" s="301"/>
      <c r="D181" s="301"/>
      <c r="E181" s="301"/>
      <c r="F181" s="301"/>
      <c r="G181" s="301"/>
      <c r="H181" s="334"/>
      <c r="I181" s="334"/>
      <c r="J181" s="301"/>
      <c r="K181" s="301"/>
      <c r="L181" s="301"/>
      <c r="M181" s="301"/>
      <c r="N181" s="301"/>
      <c r="O181" s="301"/>
      <c r="P181" s="301"/>
      <c r="Q181" s="301"/>
      <c r="R181" s="301"/>
      <c r="S181" s="301"/>
      <c r="T181" s="366"/>
      <c r="U181" s="301"/>
      <c r="V181" s="301"/>
      <c r="W181" s="301"/>
      <c r="X181" s="301"/>
      <c r="Y181" s="301"/>
      <c r="Z181" s="301"/>
    </row>
    <row r="182">
      <c r="A182" s="301"/>
      <c r="B182" s="365"/>
      <c r="C182" s="301"/>
      <c r="D182" s="301"/>
      <c r="E182" s="301"/>
      <c r="F182" s="301"/>
      <c r="G182" s="301"/>
      <c r="H182" s="334"/>
      <c r="I182" s="334"/>
      <c r="J182" s="301"/>
      <c r="K182" s="301"/>
      <c r="L182" s="301"/>
      <c r="M182" s="301"/>
      <c r="N182" s="301"/>
      <c r="O182" s="301"/>
      <c r="P182" s="301"/>
      <c r="Q182" s="301"/>
      <c r="R182" s="301"/>
      <c r="S182" s="301"/>
      <c r="T182" s="366"/>
      <c r="U182" s="301"/>
      <c r="V182" s="301"/>
      <c r="W182" s="301"/>
      <c r="X182" s="301"/>
      <c r="Y182" s="301"/>
      <c r="Z182" s="301"/>
    </row>
    <row r="183">
      <c r="A183" s="301"/>
      <c r="B183" s="365"/>
      <c r="C183" s="301"/>
      <c r="D183" s="301"/>
      <c r="E183" s="301"/>
      <c r="F183" s="301"/>
      <c r="G183" s="301"/>
      <c r="H183" s="334"/>
      <c r="I183" s="334"/>
      <c r="J183" s="301"/>
      <c r="K183" s="301"/>
      <c r="L183" s="301"/>
      <c r="M183" s="301"/>
      <c r="N183" s="301"/>
      <c r="O183" s="301"/>
      <c r="P183" s="301"/>
      <c r="Q183" s="301"/>
      <c r="R183" s="301"/>
      <c r="S183" s="301"/>
      <c r="T183" s="366"/>
      <c r="U183" s="301"/>
      <c r="V183" s="301"/>
      <c r="W183" s="301"/>
      <c r="X183" s="301"/>
      <c r="Y183" s="301"/>
      <c r="Z183" s="301"/>
    </row>
    <row r="184">
      <c r="A184" s="301"/>
      <c r="B184" s="365"/>
      <c r="C184" s="301"/>
      <c r="D184" s="301"/>
      <c r="E184" s="301"/>
      <c r="F184" s="301"/>
      <c r="G184" s="301"/>
      <c r="H184" s="334"/>
      <c r="I184" s="334"/>
      <c r="J184" s="301"/>
      <c r="K184" s="301"/>
      <c r="L184" s="301"/>
      <c r="M184" s="301"/>
      <c r="N184" s="301"/>
      <c r="O184" s="301"/>
      <c r="P184" s="301"/>
      <c r="Q184" s="301"/>
      <c r="R184" s="301"/>
      <c r="S184" s="301"/>
      <c r="T184" s="366"/>
      <c r="U184" s="301"/>
      <c r="V184" s="301"/>
      <c r="W184" s="301"/>
      <c r="X184" s="301"/>
      <c r="Y184" s="301"/>
      <c r="Z184" s="301"/>
    </row>
    <row r="185">
      <c r="A185" s="301"/>
      <c r="B185" s="365"/>
      <c r="C185" s="301"/>
      <c r="D185" s="301"/>
      <c r="E185" s="301"/>
      <c r="F185" s="301"/>
      <c r="G185" s="301"/>
      <c r="H185" s="334"/>
      <c r="I185" s="334"/>
      <c r="J185" s="301"/>
      <c r="K185" s="301"/>
      <c r="L185" s="301"/>
      <c r="M185" s="301"/>
      <c r="N185" s="301"/>
      <c r="O185" s="301"/>
      <c r="P185" s="301"/>
      <c r="Q185" s="301"/>
      <c r="R185" s="301"/>
      <c r="S185" s="301"/>
      <c r="T185" s="366"/>
      <c r="U185" s="301"/>
      <c r="V185" s="301"/>
      <c r="W185" s="301"/>
      <c r="X185" s="301"/>
      <c r="Y185" s="301"/>
      <c r="Z185" s="301"/>
    </row>
    <row r="186">
      <c r="A186" s="301"/>
      <c r="B186" s="365"/>
      <c r="C186" s="301"/>
      <c r="D186" s="301"/>
      <c r="E186" s="301"/>
      <c r="F186" s="301"/>
      <c r="G186" s="301"/>
      <c r="H186" s="334"/>
      <c r="I186" s="334"/>
      <c r="J186" s="301"/>
      <c r="K186" s="301"/>
      <c r="L186" s="301"/>
      <c r="M186" s="301"/>
      <c r="N186" s="301"/>
      <c r="O186" s="301"/>
      <c r="P186" s="301"/>
      <c r="Q186" s="301"/>
      <c r="R186" s="301"/>
      <c r="S186" s="301"/>
      <c r="T186" s="366"/>
      <c r="U186" s="301"/>
      <c r="V186" s="301"/>
      <c r="W186" s="301"/>
      <c r="X186" s="301"/>
      <c r="Y186" s="301"/>
      <c r="Z186" s="301"/>
    </row>
    <row r="187">
      <c r="A187" s="301"/>
      <c r="B187" s="365"/>
      <c r="C187" s="301"/>
      <c r="D187" s="301"/>
      <c r="E187" s="301"/>
      <c r="F187" s="301"/>
      <c r="G187" s="301"/>
      <c r="H187" s="334"/>
      <c r="I187" s="334"/>
      <c r="J187" s="301"/>
      <c r="K187" s="301"/>
      <c r="L187" s="301"/>
      <c r="M187" s="301"/>
      <c r="N187" s="301"/>
      <c r="O187" s="301"/>
      <c r="P187" s="301"/>
      <c r="Q187" s="301"/>
      <c r="R187" s="301"/>
      <c r="S187" s="301"/>
      <c r="T187" s="366"/>
      <c r="U187" s="301"/>
      <c r="V187" s="301"/>
      <c r="W187" s="301"/>
      <c r="X187" s="301"/>
      <c r="Y187" s="301"/>
      <c r="Z187" s="301"/>
    </row>
    <row r="188">
      <c r="A188" s="301"/>
      <c r="B188" s="365"/>
      <c r="C188" s="301"/>
      <c r="D188" s="301"/>
      <c r="E188" s="301"/>
      <c r="F188" s="301"/>
      <c r="G188" s="301"/>
      <c r="H188" s="334"/>
      <c r="I188" s="334"/>
      <c r="J188" s="301"/>
      <c r="K188" s="301"/>
      <c r="L188" s="301"/>
      <c r="M188" s="301"/>
      <c r="N188" s="301"/>
      <c r="O188" s="301"/>
      <c r="P188" s="301"/>
      <c r="Q188" s="301"/>
      <c r="R188" s="301"/>
      <c r="S188" s="301"/>
      <c r="T188" s="366"/>
      <c r="U188" s="301"/>
      <c r="V188" s="301"/>
      <c r="W188" s="301"/>
      <c r="X188" s="301"/>
      <c r="Y188" s="301"/>
      <c r="Z188" s="301"/>
    </row>
    <row r="189">
      <c r="A189" s="301"/>
      <c r="B189" s="365"/>
      <c r="C189" s="301"/>
      <c r="D189" s="301"/>
      <c r="E189" s="301"/>
      <c r="F189" s="301"/>
      <c r="G189" s="301"/>
      <c r="H189" s="334"/>
      <c r="I189" s="334"/>
      <c r="J189" s="301"/>
      <c r="K189" s="301"/>
      <c r="L189" s="301"/>
      <c r="M189" s="301"/>
      <c r="N189" s="301"/>
      <c r="O189" s="301"/>
      <c r="P189" s="301"/>
      <c r="Q189" s="301"/>
      <c r="R189" s="301"/>
      <c r="S189" s="301"/>
      <c r="T189" s="366"/>
      <c r="U189" s="301"/>
      <c r="V189" s="301"/>
      <c r="W189" s="301"/>
      <c r="X189" s="301"/>
      <c r="Y189" s="301"/>
      <c r="Z189" s="301"/>
    </row>
    <row r="190">
      <c r="A190" s="301"/>
      <c r="B190" s="365"/>
      <c r="C190" s="301"/>
      <c r="D190" s="301"/>
      <c r="E190" s="301"/>
      <c r="F190" s="301"/>
      <c r="G190" s="301"/>
      <c r="H190" s="334"/>
      <c r="I190" s="334"/>
      <c r="J190" s="301"/>
      <c r="K190" s="301"/>
      <c r="L190" s="301"/>
      <c r="M190" s="301"/>
      <c r="N190" s="301"/>
      <c r="O190" s="301"/>
      <c r="P190" s="301"/>
      <c r="Q190" s="301"/>
      <c r="R190" s="301"/>
      <c r="S190" s="301"/>
      <c r="T190" s="366"/>
      <c r="U190" s="301"/>
      <c r="V190" s="301"/>
      <c r="W190" s="301"/>
      <c r="X190" s="301"/>
      <c r="Y190" s="301"/>
      <c r="Z190" s="301"/>
    </row>
    <row r="191">
      <c r="A191" s="301"/>
      <c r="B191" s="365"/>
      <c r="C191" s="301"/>
      <c r="D191" s="301"/>
      <c r="E191" s="301"/>
      <c r="F191" s="301"/>
      <c r="G191" s="301"/>
      <c r="H191" s="334"/>
      <c r="I191" s="334"/>
      <c r="J191" s="301"/>
      <c r="K191" s="301"/>
      <c r="L191" s="301"/>
      <c r="M191" s="301"/>
      <c r="N191" s="301"/>
      <c r="O191" s="301"/>
      <c r="P191" s="301"/>
      <c r="Q191" s="301"/>
      <c r="R191" s="301"/>
      <c r="S191" s="301"/>
      <c r="T191" s="366"/>
      <c r="U191" s="301"/>
      <c r="V191" s="301"/>
      <c r="W191" s="301"/>
      <c r="X191" s="301"/>
      <c r="Y191" s="301"/>
      <c r="Z191" s="301"/>
    </row>
    <row r="192">
      <c r="A192" s="301"/>
      <c r="B192" s="365"/>
      <c r="C192" s="301"/>
      <c r="D192" s="301"/>
      <c r="E192" s="301"/>
      <c r="F192" s="301"/>
      <c r="G192" s="301"/>
      <c r="H192" s="334"/>
      <c r="I192" s="334"/>
      <c r="J192" s="301"/>
      <c r="K192" s="301"/>
      <c r="L192" s="301"/>
      <c r="M192" s="301"/>
      <c r="N192" s="301"/>
      <c r="O192" s="301"/>
      <c r="P192" s="301"/>
      <c r="Q192" s="301"/>
      <c r="R192" s="301"/>
      <c r="S192" s="301"/>
      <c r="T192" s="366"/>
      <c r="U192" s="301"/>
      <c r="V192" s="301"/>
      <c r="W192" s="301"/>
      <c r="X192" s="301"/>
      <c r="Y192" s="301"/>
      <c r="Z192" s="301"/>
    </row>
    <row r="193">
      <c r="A193" s="301"/>
      <c r="B193" s="365"/>
      <c r="C193" s="301"/>
      <c r="D193" s="301"/>
      <c r="E193" s="301"/>
      <c r="F193" s="301"/>
      <c r="G193" s="301"/>
      <c r="H193" s="334"/>
      <c r="I193" s="334"/>
      <c r="J193" s="301"/>
      <c r="K193" s="301"/>
      <c r="L193" s="301"/>
      <c r="M193" s="301"/>
      <c r="N193" s="301"/>
      <c r="O193" s="301"/>
      <c r="P193" s="301"/>
      <c r="Q193" s="301"/>
      <c r="R193" s="301"/>
      <c r="S193" s="301"/>
      <c r="T193" s="366"/>
      <c r="U193" s="301"/>
      <c r="V193" s="301"/>
      <c r="W193" s="301"/>
      <c r="X193" s="301"/>
      <c r="Y193" s="301"/>
      <c r="Z193" s="301"/>
    </row>
    <row r="194">
      <c r="A194" s="301"/>
      <c r="B194" s="365"/>
      <c r="C194" s="301"/>
      <c r="D194" s="301"/>
      <c r="E194" s="301"/>
      <c r="F194" s="301"/>
      <c r="G194" s="301"/>
      <c r="H194" s="334"/>
      <c r="I194" s="334"/>
      <c r="J194" s="301"/>
      <c r="K194" s="301"/>
      <c r="L194" s="301"/>
      <c r="M194" s="301"/>
      <c r="N194" s="301"/>
      <c r="O194" s="301"/>
      <c r="P194" s="301"/>
      <c r="Q194" s="301"/>
      <c r="R194" s="301"/>
      <c r="S194" s="301"/>
      <c r="T194" s="366"/>
      <c r="U194" s="301"/>
      <c r="V194" s="301"/>
      <c r="W194" s="301"/>
      <c r="X194" s="301"/>
      <c r="Y194" s="301"/>
      <c r="Z194" s="301"/>
    </row>
    <row r="195">
      <c r="A195" s="301"/>
      <c r="B195" s="365"/>
      <c r="C195" s="301"/>
      <c r="D195" s="301"/>
      <c r="E195" s="301"/>
      <c r="F195" s="301"/>
      <c r="G195" s="301"/>
      <c r="H195" s="334"/>
      <c r="I195" s="334"/>
      <c r="J195" s="301"/>
      <c r="K195" s="301"/>
      <c r="L195" s="301"/>
      <c r="M195" s="301"/>
      <c r="N195" s="301"/>
      <c r="O195" s="301"/>
      <c r="P195" s="301"/>
      <c r="Q195" s="301"/>
      <c r="R195" s="301"/>
      <c r="S195" s="301"/>
      <c r="T195" s="366"/>
      <c r="U195" s="301"/>
      <c r="V195" s="301"/>
      <c r="W195" s="301"/>
      <c r="X195" s="301"/>
      <c r="Y195" s="301"/>
      <c r="Z195" s="301"/>
    </row>
    <row r="196">
      <c r="A196" s="301"/>
      <c r="B196" s="365"/>
      <c r="C196" s="301"/>
      <c r="D196" s="301"/>
      <c r="E196" s="301"/>
      <c r="F196" s="301"/>
      <c r="G196" s="301"/>
      <c r="H196" s="334"/>
      <c r="I196" s="334"/>
      <c r="J196" s="301"/>
      <c r="K196" s="301"/>
      <c r="L196" s="301"/>
      <c r="M196" s="301"/>
      <c r="N196" s="301"/>
      <c r="O196" s="301"/>
      <c r="P196" s="301"/>
      <c r="Q196" s="301"/>
      <c r="R196" s="301"/>
      <c r="S196" s="301"/>
      <c r="T196" s="366"/>
      <c r="U196" s="301"/>
      <c r="V196" s="301"/>
      <c r="W196" s="301"/>
      <c r="X196" s="301"/>
      <c r="Y196" s="301"/>
      <c r="Z196" s="301"/>
    </row>
    <row r="197">
      <c r="A197" s="301"/>
      <c r="B197" s="365"/>
      <c r="C197" s="301"/>
      <c r="D197" s="301"/>
      <c r="E197" s="301"/>
      <c r="F197" s="301"/>
      <c r="G197" s="301"/>
      <c r="H197" s="334"/>
      <c r="I197" s="334"/>
      <c r="J197" s="301"/>
      <c r="K197" s="301"/>
      <c r="L197" s="301"/>
      <c r="M197" s="301"/>
      <c r="N197" s="301"/>
      <c r="O197" s="301"/>
      <c r="P197" s="301"/>
      <c r="Q197" s="301"/>
      <c r="R197" s="301"/>
      <c r="S197" s="301"/>
      <c r="T197" s="366"/>
      <c r="U197" s="301"/>
      <c r="V197" s="301"/>
      <c r="W197" s="301"/>
      <c r="X197" s="301"/>
      <c r="Y197" s="301"/>
      <c r="Z197" s="301"/>
    </row>
    <row r="198">
      <c r="A198" s="301"/>
      <c r="B198" s="365"/>
      <c r="C198" s="301"/>
      <c r="D198" s="301"/>
      <c r="E198" s="301"/>
      <c r="F198" s="301"/>
      <c r="G198" s="301"/>
      <c r="H198" s="334"/>
      <c r="I198" s="334"/>
      <c r="J198" s="301"/>
      <c r="K198" s="301"/>
      <c r="L198" s="301"/>
      <c r="M198" s="301"/>
      <c r="N198" s="301"/>
      <c r="O198" s="301"/>
      <c r="P198" s="301"/>
      <c r="Q198" s="301"/>
      <c r="R198" s="301"/>
      <c r="S198" s="301"/>
      <c r="T198" s="366"/>
      <c r="U198" s="301"/>
      <c r="V198" s="301"/>
      <c r="W198" s="301"/>
      <c r="X198" s="301"/>
      <c r="Y198" s="301"/>
      <c r="Z198" s="301"/>
    </row>
    <row r="199">
      <c r="A199" s="301"/>
      <c r="B199" s="365"/>
      <c r="C199" s="301"/>
      <c r="D199" s="301"/>
      <c r="E199" s="301"/>
      <c r="F199" s="301"/>
      <c r="G199" s="301"/>
      <c r="H199" s="334"/>
      <c r="I199" s="334"/>
      <c r="J199" s="301"/>
      <c r="K199" s="301"/>
      <c r="L199" s="301"/>
      <c r="M199" s="301"/>
      <c r="N199" s="301"/>
      <c r="O199" s="301"/>
      <c r="P199" s="301"/>
      <c r="Q199" s="301"/>
      <c r="R199" s="301"/>
      <c r="S199" s="301"/>
      <c r="T199" s="366"/>
      <c r="U199" s="301"/>
      <c r="V199" s="301"/>
      <c r="W199" s="301"/>
      <c r="X199" s="301"/>
      <c r="Y199" s="301"/>
      <c r="Z199" s="301"/>
    </row>
    <row r="200">
      <c r="A200" s="301"/>
      <c r="B200" s="365"/>
      <c r="C200" s="301"/>
      <c r="D200" s="301"/>
      <c r="E200" s="301"/>
      <c r="F200" s="301"/>
      <c r="G200" s="301"/>
      <c r="H200" s="334"/>
      <c r="I200" s="334"/>
      <c r="J200" s="301"/>
      <c r="K200" s="301"/>
      <c r="L200" s="301"/>
      <c r="M200" s="301"/>
      <c r="N200" s="301"/>
      <c r="O200" s="301"/>
      <c r="P200" s="301"/>
      <c r="Q200" s="301"/>
      <c r="R200" s="301"/>
      <c r="S200" s="301"/>
      <c r="T200" s="366"/>
      <c r="U200" s="301"/>
      <c r="V200" s="301"/>
      <c r="W200" s="301"/>
      <c r="X200" s="301"/>
      <c r="Y200" s="301"/>
      <c r="Z200" s="301"/>
    </row>
    <row r="201">
      <c r="A201" s="301"/>
      <c r="B201" s="365"/>
      <c r="C201" s="301"/>
      <c r="D201" s="301"/>
      <c r="E201" s="301"/>
      <c r="F201" s="301"/>
      <c r="G201" s="301"/>
      <c r="H201" s="334"/>
      <c r="I201" s="334"/>
      <c r="J201" s="301"/>
      <c r="K201" s="301"/>
      <c r="L201" s="301"/>
      <c r="M201" s="301"/>
      <c r="N201" s="301"/>
      <c r="O201" s="301"/>
      <c r="P201" s="301"/>
      <c r="Q201" s="301"/>
      <c r="R201" s="301"/>
      <c r="S201" s="301"/>
      <c r="T201" s="366"/>
      <c r="U201" s="301"/>
      <c r="V201" s="301"/>
      <c r="W201" s="301"/>
      <c r="X201" s="301"/>
      <c r="Y201" s="301"/>
      <c r="Z201" s="301"/>
    </row>
    <row r="202">
      <c r="A202" s="301"/>
      <c r="B202" s="365"/>
      <c r="C202" s="301"/>
      <c r="D202" s="301"/>
      <c r="E202" s="301"/>
      <c r="F202" s="301"/>
      <c r="G202" s="301"/>
      <c r="H202" s="334"/>
      <c r="I202" s="334"/>
      <c r="J202" s="301"/>
      <c r="K202" s="301"/>
      <c r="L202" s="301"/>
      <c r="M202" s="301"/>
      <c r="N202" s="301"/>
      <c r="O202" s="301"/>
      <c r="P202" s="301"/>
      <c r="Q202" s="301"/>
      <c r="R202" s="301"/>
      <c r="S202" s="301"/>
      <c r="T202" s="366"/>
      <c r="U202" s="301"/>
      <c r="V202" s="301"/>
      <c r="W202" s="301"/>
      <c r="X202" s="301"/>
      <c r="Y202" s="301"/>
      <c r="Z202" s="301"/>
    </row>
    <row r="203">
      <c r="A203" s="301"/>
      <c r="B203" s="365"/>
      <c r="C203" s="301"/>
      <c r="D203" s="301"/>
      <c r="E203" s="301"/>
      <c r="F203" s="301"/>
      <c r="G203" s="301"/>
      <c r="H203" s="334"/>
      <c r="I203" s="334"/>
      <c r="J203" s="301"/>
      <c r="K203" s="301"/>
      <c r="L203" s="301"/>
      <c r="M203" s="301"/>
      <c r="N203" s="301"/>
      <c r="O203" s="301"/>
      <c r="P203" s="301"/>
      <c r="Q203" s="301"/>
      <c r="R203" s="301"/>
      <c r="S203" s="301"/>
      <c r="T203" s="366"/>
      <c r="U203" s="301"/>
      <c r="V203" s="301"/>
      <c r="W203" s="301"/>
      <c r="X203" s="301"/>
      <c r="Y203" s="301"/>
      <c r="Z203" s="301"/>
    </row>
    <row r="204">
      <c r="A204" s="301"/>
      <c r="B204" s="365"/>
      <c r="C204" s="301"/>
      <c r="D204" s="301"/>
      <c r="E204" s="301"/>
      <c r="F204" s="301"/>
      <c r="G204" s="301"/>
      <c r="H204" s="334"/>
      <c r="I204" s="334"/>
      <c r="J204" s="301"/>
      <c r="K204" s="301"/>
      <c r="L204" s="301"/>
      <c r="M204" s="301"/>
      <c r="N204" s="301"/>
      <c r="O204" s="301"/>
      <c r="P204" s="301"/>
      <c r="Q204" s="301"/>
      <c r="R204" s="301"/>
      <c r="S204" s="301"/>
      <c r="T204" s="366"/>
      <c r="U204" s="301"/>
      <c r="V204" s="301"/>
      <c r="W204" s="301"/>
      <c r="X204" s="301"/>
      <c r="Y204" s="301"/>
      <c r="Z204" s="301"/>
    </row>
    <row r="205">
      <c r="A205" s="301"/>
      <c r="B205" s="365"/>
      <c r="C205" s="301"/>
      <c r="D205" s="301"/>
      <c r="E205" s="301"/>
      <c r="F205" s="301"/>
      <c r="G205" s="301"/>
      <c r="H205" s="334"/>
      <c r="I205" s="334"/>
      <c r="J205" s="301"/>
      <c r="K205" s="301"/>
      <c r="L205" s="301"/>
      <c r="M205" s="301"/>
      <c r="N205" s="301"/>
      <c r="O205" s="301"/>
      <c r="P205" s="301"/>
      <c r="Q205" s="301"/>
      <c r="R205" s="301"/>
      <c r="S205" s="301"/>
      <c r="T205" s="366"/>
      <c r="U205" s="301"/>
      <c r="V205" s="301"/>
      <c r="W205" s="301"/>
      <c r="X205" s="301"/>
      <c r="Y205" s="301"/>
      <c r="Z205" s="301"/>
    </row>
    <row r="206">
      <c r="A206" s="301"/>
      <c r="B206" s="365"/>
      <c r="C206" s="301"/>
      <c r="D206" s="301"/>
      <c r="E206" s="301"/>
      <c r="F206" s="301"/>
      <c r="G206" s="301"/>
      <c r="H206" s="334"/>
      <c r="I206" s="334"/>
      <c r="J206" s="301"/>
      <c r="K206" s="301"/>
      <c r="L206" s="301"/>
      <c r="M206" s="301"/>
      <c r="N206" s="301"/>
      <c r="O206" s="301"/>
      <c r="P206" s="301"/>
      <c r="Q206" s="301"/>
      <c r="R206" s="301"/>
      <c r="S206" s="301"/>
      <c r="T206" s="366"/>
      <c r="U206" s="301"/>
      <c r="V206" s="301"/>
      <c r="W206" s="301"/>
      <c r="X206" s="301"/>
      <c r="Y206" s="301"/>
      <c r="Z206" s="301"/>
    </row>
    <row r="207">
      <c r="A207" s="301"/>
      <c r="B207" s="365"/>
      <c r="C207" s="301"/>
      <c r="D207" s="301"/>
      <c r="E207" s="301"/>
      <c r="F207" s="301"/>
      <c r="G207" s="301"/>
      <c r="H207" s="334"/>
      <c r="I207" s="334"/>
      <c r="J207" s="301"/>
      <c r="K207" s="301"/>
      <c r="L207" s="301"/>
      <c r="M207" s="301"/>
      <c r="N207" s="301"/>
      <c r="O207" s="301"/>
      <c r="P207" s="301"/>
      <c r="Q207" s="301"/>
      <c r="R207" s="301"/>
      <c r="S207" s="301"/>
      <c r="T207" s="366"/>
      <c r="U207" s="301"/>
      <c r="V207" s="301"/>
      <c r="W207" s="301"/>
      <c r="X207" s="301"/>
      <c r="Y207" s="301"/>
      <c r="Z207" s="301"/>
    </row>
    <row r="208">
      <c r="A208" s="301"/>
      <c r="B208" s="365"/>
      <c r="C208" s="301"/>
      <c r="D208" s="301"/>
      <c r="E208" s="301"/>
      <c r="F208" s="301"/>
      <c r="G208" s="301"/>
      <c r="H208" s="334"/>
      <c r="I208" s="334"/>
      <c r="J208" s="301"/>
      <c r="K208" s="301"/>
      <c r="L208" s="301"/>
      <c r="M208" s="301"/>
      <c r="N208" s="301"/>
      <c r="O208" s="301"/>
      <c r="P208" s="301"/>
      <c r="Q208" s="301"/>
      <c r="R208" s="301"/>
      <c r="S208" s="301"/>
      <c r="T208" s="366"/>
      <c r="U208" s="301"/>
      <c r="V208" s="301"/>
      <c r="W208" s="301"/>
      <c r="X208" s="301"/>
      <c r="Y208" s="301"/>
      <c r="Z208" s="301"/>
    </row>
    <row r="209">
      <c r="A209" s="301"/>
      <c r="B209" s="365"/>
      <c r="C209" s="301"/>
      <c r="D209" s="301"/>
      <c r="E209" s="301"/>
      <c r="F209" s="301"/>
      <c r="G209" s="301"/>
      <c r="H209" s="334"/>
      <c r="I209" s="334"/>
      <c r="J209" s="301"/>
      <c r="K209" s="301"/>
      <c r="L209" s="301"/>
      <c r="M209" s="301"/>
      <c r="N209" s="301"/>
      <c r="O209" s="301"/>
      <c r="P209" s="301"/>
      <c r="Q209" s="301"/>
      <c r="R209" s="301"/>
      <c r="S209" s="301"/>
      <c r="T209" s="366"/>
      <c r="U209" s="301"/>
      <c r="V209" s="301"/>
      <c r="W209" s="301"/>
      <c r="X209" s="301"/>
      <c r="Y209" s="301"/>
      <c r="Z209" s="301"/>
    </row>
    <row r="210">
      <c r="A210" s="301"/>
      <c r="B210" s="365"/>
      <c r="C210" s="301"/>
      <c r="D210" s="301"/>
      <c r="E210" s="301"/>
      <c r="F210" s="301"/>
      <c r="G210" s="301"/>
      <c r="H210" s="334"/>
      <c r="I210" s="334"/>
      <c r="J210" s="301"/>
      <c r="K210" s="301"/>
      <c r="L210" s="301"/>
      <c r="M210" s="301"/>
      <c r="N210" s="301"/>
      <c r="O210" s="301"/>
      <c r="P210" s="301"/>
      <c r="Q210" s="301"/>
      <c r="R210" s="301"/>
      <c r="S210" s="301"/>
      <c r="T210" s="366"/>
      <c r="U210" s="301"/>
      <c r="V210" s="301"/>
      <c r="W210" s="301"/>
      <c r="X210" s="301"/>
      <c r="Y210" s="301"/>
      <c r="Z210" s="301"/>
    </row>
    <row r="211">
      <c r="A211" s="301"/>
      <c r="B211" s="365"/>
      <c r="C211" s="301"/>
      <c r="D211" s="301"/>
      <c r="E211" s="301"/>
      <c r="F211" s="301"/>
      <c r="G211" s="301"/>
      <c r="H211" s="334"/>
      <c r="I211" s="334"/>
      <c r="J211" s="301"/>
      <c r="K211" s="301"/>
      <c r="L211" s="301"/>
      <c r="M211" s="301"/>
      <c r="N211" s="301"/>
      <c r="O211" s="301"/>
      <c r="P211" s="301"/>
      <c r="Q211" s="301"/>
      <c r="R211" s="301"/>
      <c r="S211" s="301"/>
      <c r="T211" s="366"/>
      <c r="U211" s="301"/>
      <c r="V211" s="301"/>
      <c r="W211" s="301"/>
      <c r="X211" s="301"/>
      <c r="Y211" s="301"/>
      <c r="Z211" s="301"/>
    </row>
    <row r="212">
      <c r="A212" s="301"/>
      <c r="B212" s="365"/>
      <c r="C212" s="301"/>
      <c r="D212" s="301"/>
      <c r="E212" s="301"/>
      <c r="F212" s="301"/>
      <c r="G212" s="301"/>
      <c r="H212" s="334"/>
      <c r="I212" s="334"/>
      <c r="J212" s="301"/>
      <c r="K212" s="301"/>
      <c r="L212" s="301"/>
      <c r="M212" s="301"/>
      <c r="N212" s="301"/>
      <c r="O212" s="301"/>
      <c r="P212" s="301"/>
      <c r="Q212" s="301"/>
      <c r="R212" s="301"/>
      <c r="S212" s="301"/>
      <c r="T212" s="366"/>
      <c r="U212" s="301"/>
      <c r="V212" s="301"/>
      <c r="W212" s="301"/>
      <c r="X212" s="301"/>
      <c r="Y212" s="301"/>
      <c r="Z212" s="301"/>
    </row>
    <row r="213">
      <c r="A213" s="301"/>
      <c r="B213" s="365"/>
      <c r="C213" s="301"/>
      <c r="D213" s="301"/>
      <c r="E213" s="301"/>
      <c r="F213" s="301"/>
      <c r="G213" s="301"/>
      <c r="H213" s="334"/>
      <c r="I213" s="334"/>
      <c r="J213" s="301"/>
      <c r="K213" s="301"/>
      <c r="L213" s="301"/>
      <c r="M213" s="301"/>
      <c r="N213" s="301"/>
      <c r="O213" s="301"/>
      <c r="P213" s="301"/>
      <c r="Q213" s="301"/>
      <c r="R213" s="301"/>
      <c r="S213" s="301"/>
      <c r="T213" s="366"/>
      <c r="U213" s="301"/>
      <c r="V213" s="301"/>
      <c r="W213" s="301"/>
      <c r="X213" s="301"/>
      <c r="Y213" s="301"/>
      <c r="Z213" s="301"/>
    </row>
    <row r="214">
      <c r="A214" s="301"/>
      <c r="B214" s="365"/>
      <c r="C214" s="301"/>
      <c r="D214" s="301"/>
      <c r="E214" s="301"/>
      <c r="F214" s="301"/>
      <c r="G214" s="301"/>
      <c r="H214" s="334"/>
      <c r="I214" s="334"/>
      <c r="J214" s="301"/>
      <c r="K214" s="301"/>
      <c r="L214" s="301"/>
      <c r="M214" s="301"/>
      <c r="N214" s="301"/>
      <c r="O214" s="301"/>
      <c r="P214" s="301"/>
      <c r="Q214" s="301"/>
      <c r="R214" s="301"/>
      <c r="S214" s="301"/>
      <c r="T214" s="366"/>
      <c r="U214" s="301"/>
      <c r="V214" s="301"/>
      <c r="W214" s="301"/>
      <c r="X214" s="301"/>
      <c r="Y214" s="301"/>
      <c r="Z214" s="301"/>
    </row>
    <row r="215">
      <c r="A215" s="301"/>
      <c r="B215" s="365"/>
      <c r="C215" s="301"/>
      <c r="D215" s="301"/>
      <c r="E215" s="301"/>
      <c r="F215" s="301"/>
      <c r="G215" s="301"/>
      <c r="H215" s="334"/>
      <c r="I215" s="334"/>
      <c r="J215" s="301"/>
      <c r="K215" s="301"/>
      <c r="L215" s="301"/>
      <c r="M215" s="301"/>
      <c r="N215" s="301"/>
      <c r="O215" s="301"/>
      <c r="P215" s="301"/>
      <c r="Q215" s="301"/>
      <c r="R215" s="301"/>
      <c r="S215" s="301"/>
      <c r="T215" s="366"/>
      <c r="U215" s="301"/>
      <c r="V215" s="301"/>
      <c r="W215" s="301"/>
      <c r="X215" s="301"/>
      <c r="Y215" s="301"/>
      <c r="Z215" s="301"/>
    </row>
    <row r="216">
      <c r="A216" s="301"/>
      <c r="B216" s="365"/>
      <c r="C216" s="301"/>
      <c r="D216" s="301"/>
      <c r="E216" s="301"/>
      <c r="F216" s="301"/>
      <c r="G216" s="301"/>
      <c r="H216" s="334"/>
      <c r="I216" s="334"/>
      <c r="J216" s="301"/>
      <c r="K216" s="301"/>
      <c r="L216" s="301"/>
      <c r="M216" s="301"/>
      <c r="N216" s="301"/>
      <c r="O216" s="301"/>
      <c r="P216" s="301"/>
      <c r="Q216" s="301"/>
      <c r="R216" s="301"/>
      <c r="S216" s="301"/>
      <c r="T216" s="366"/>
      <c r="U216" s="301"/>
      <c r="V216" s="301"/>
      <c r="W216" s="301"/>
      <c r="X216" s="301"/>
      <c r="Y216" s="301"/>
      <c r="Z216" s="301"/>
    </row>
    <row r="217">
      <c r="A217" s="301"/>
      <c r="B217" s="365"/>
      <c r="C217" s="301"/>
      <c r="D217" s="301"/>
      <c r="E217" s="301"/>
      <c r="F217" s="301"/>
      <c r="G217" s="301"/>
      <c r="H217" s="334"/>
      <c r="I217" s="334"/>
      <c r="J217" s="301"/>
      <c r="K217" s="301"/>
      <c r="L217" s="301"/>
      <c r="M217" s="301"/>
      <c r="N217" s="301"/>
      <c r="O217" s="301"/>
      <c r="P217" s="301"/>
      <c r="Q217" s="301"/>
      <c r="R217" s="301"/>
      <c r="S217" s="301"/>
      <c r="T217" s="366"/>
      <c r="U217" s="301"/>
      <c r="V217" s="301"/>
      <c r="W217" s="301"/>
      <c r="X217" s="301"/>
      <c r="Y217" s="301"/>
      <c r="Z217" s="301"/>
    </row>
    <row r="218">
      <c r="A218" s="301"/>
      <c r="B218" s="365"/>
      <c r="C218" s="301"/>
      <c r="D218" s="301"/>
      <c r="E218" s="301"/>
      <c r="F218" s="301"/>
      <c r="G218" s="301"/>
      <c r="H218" s="334"/>
      <c r="I218" s="334"/>
      <c r="J218" s="301"/>
      <c r="K218" s="301"/>
      <c r="L218" s="301"/>
      <c r="M218" s="301"/>
      <c r="N218" s="301"/>
      <c r="O218" s="301"/>
      <c r="P218" s="301"/>
      <c r="Q218" s="301"/>
      <c r="R218" s="301"/>
      <c r="S218" s="301"/>
      <c r="T218" s="366"/>
      <c r="U218" s="301"/>
      <c r="V218" s="301"/>
      <c r="W218" s="301"/>
      <c r="X218" s="301"/>
      <c r="Y218" s="301"/>
      <c r="Z218" s="301"/>
    </row>
    <row r="219">
      <c r="A219" s="301"/>
      <c r="B219" s="365"/>
      <c r="C219" s="301"/>
      <c r="D219" s="301"/>
      <c r="E219" s="301"/>
      <c r="F219" s="301"/>
      <c r="G219" s="301"/>
      <c r="H219" s="334"/>
      <c r="I219" s="334"/>
      <c r="J219" s="301"/>
      <c r="K219" s="301"/>
      <c r="L219" s="301"/>
      <c r="M219" s="301"/>
      <c r="N219" s="301"/>
      <c r="O219" s="301"/>
      <c r="P219" s="301"/>
      <c r="Q219" s="301"/>
      <c r="R219" s="301"/>
      <c r="S219" s="301"/>
      <c r="T219" s="366"/>
      <c r="U219" s="301"/>
      <c r="V219" s="301"/>
      <c r="W219" s="301"/>
      <c r="X219" s="301"/>
      <c r="Y219" s="301"/>
      <c r="Z219" s="301"/>
    </row>
    <row r="220">
      <c r="A220" s="301"/>
      <c r="B220" s="365"/>
      <c r="C220" s="301"/>
      <c r="D220" s="301"/>
      <c r="E220" s="301"/>
      <c r="F220" s="301"/>
      <c r="G220" s="301"/>
      <c r="H220" s="334"/>
      <c r="I220" s="334"/>
      <c r="J220" s="301"/>
      <c r="K220" s="301"/>
      <c r="L220" s="301"/>
      <c r="M220" s="301"/>
      <c r="N220" s="301"/>
      <c r="O220" s="301"/>
      <c r="P220" s="301"/>
      <c r="Q220" s="301"/>
      <c r="R220" s="301"/>
      <c r="S220" s="301"/>
      <c r="T220" s="366"/>
      <c r="U220" s="301"/>
      <c r="V220" s="301"/>
      <c r="W220" s="301"/>
      <c r="X220" s="301"/>
      <c r="Y220" s="301"/>
      <c r="Z220" s="301"/>
    </row>
    <row r="221">
      <c r="A221" s="301"/>
      <c r="B221" s="365"/>
      <c r="C221" s="301"/>
      <c r="D221" s="301"/>
      <c r="E221" s="301"/>
      <c r="F221" s="301"/>
      <c r="G221" s="301"/>
      <c r="H221" s="334"/>
      <c r="I221" s="334"/>
      <c r="J221" s="301"/>
      <c r="K221" s="301"/>
      <c r="L221" s="301"/>
      <c r="M221" s="301"/>
      <c r="N221" s="301"/>
      <c r="O221" s="301"/>
      <c r="P221" s="301"/>
      <c r="Q221" s="301"/>
      <c r="R221" s="301"/>
      <c r="S221" s="301"/>
      <c r="T221" s="366"/>
      <c r="U221" s="301"/>
      <c r="V221" s="301"/>
      <c r="W221" s="301"/>
      <c r="X221" s="301"/>
      <c r="Y221" s="301"/>
      <c r="Z221" s="301"/>
    </row>
    <row r="222">
      <c r="A222" s="301"/>
      <c r="B222" s="365"/>
      <c r="C222" s="301"/>
      <c r="D222" s="301"/>
      <c r="E222" s="301"/>
      <c r="F222" s="301"/>
      <c r="G222" s="301"/>
      <c r="H222" s="334"/>
      <c r="I222" s="334"/>
      <c r="J222" s="301"/>
      <c r="K222" s="301"/>
      <c r="L222" s="301"/>
      <c r="M222" s="301"/>
      <c r="N222" s="301"/>
      <c r="O222" s="301"/>
      <c r="P222" s="301"/>
      <c r="Q222" s="301"/>
      <c r="R222" s="301"/>
      <c r="S222" s="301"/>
      <c r="T222" s="366"/>
      <c r="U222" s="301"/>
      <c r="V222" s="301"/>
      <c r="W222" s="301"/>
      <c r="X222" s="301"/>
      <c r="Y222" s="301"/>
      <c r="Z222" s="301"/>
    </row>
    <row r="223">
      <c r="A223" s="301"/>
      <c r="B223" s="365"/>
      <c r="C223" s="301"/>
      <c r="D223" s="301"/>
      <c r="E223" s="301"/>
      <c r="F223" s="301"/>
      <c r="G223" s="301"/>
      <c r="H223" s="334"/>
      <c r="I223" s="334"/>
      <c r="J223" s="301"/>
      <c r="K223" s="301"/>
      <c r="L223" s="301"/>
      <c r="M223" s="301"/>
      <c r="N223" s="301"/>
      <c r="O223" s="301"/>
      <c r="P223" s="301"/>
      <c r="Q223" s="301"/>
      <c r="R223" s="301"/>
      <c r="S223" s="301"/>
      <c r="T223" s="366"/>
      <c r="U223" s="301"/>
      <c r="V223" s="301"/>
      <c r="W223" s="301"/>
      <c r="X223" s="301"/>
      <c r="Y223" s="301"/>
      <c r="Z223" s="301"/>
    </row>
    <row r="224">
      <c r="A224" s="301"/>
      <c r="B224" s="365"/>
      <c r="C224" s="301"/>
      <c r="D224" s="301"/>
      <c r="E224" s="301"/>
      <c r="F224" s="301"/>
      <c r="G224" s="301"/>
      <c r="H224" s="334"/>
      <c r="I224" s="334"/>
      <c r="J224" s="301"/>
      <c r="K224" s="301"/>
      <c r="L224" s="301"/>
      <c r="M224" s="301"/>
      <c r="N224" s="301"/>
      <c r="O224" s="301"/>
      <c r="P224" s="301"/>
      <c r="Q224" s="301"/>
      <c r="R224" s="301"/>
      <c r="S224" s="301"/>
      <c r="T224" s="366"/>
      <c r="U224" s="301"/>
      <c r="V224" s="301"/>
      <c r="W224" s="301"/>
      <c r="X224" s="301"/>
      <c r="Y224" s="301"/>
      <c r="Z224" s="301"/>
    </row>
    <row r="225">
      <c r="A225" s="301"/>
      <c r="B225" s="365"/>
      <c r="C225" s="301"/>
      <c r="D225" s="301"/>
      <c r="E225" s="301"/>
      <c r="F225" s="301"/>
      <c r="G225" s="301"/>
      <c r="H225" s="334"/>
      <c r="I225" s="334"/>
      <c r="J225" s="301"/>
      <c r="K225" s="301"/>
      <c r="L225" s="301"/>
      <c r="M225" s="301"/>
      <c r="N225" s="301"/>
      <c r="O225" s="301"/>
      <c r="P225" s="301"/>
      <c r="Q225" s="301"/>
      <c r="R225" s="301"/>
      <c r="S225" s="301"/>
      <c r="T225" s="366"/>
      <c r="U225" s="301"/>
      <c r="V225" s="301"/>
      <c r="W225" s="301"/>
      <c r="X225" s="301"/>
      <c r="Y225" s="301"/>
      <c r="Z225" s="301"/>
    </row>
    <row r="226">
      <c r="A226" s="301"/>
      <c r="B226" s="365"/>
      <c r="C226" s="301"/>
      <c r="D226" s="301"/>
      <c r="E226" s="301"/>
      <c r="F226" s="301"/>
      <c r="G226" s="301"/>
      <c r="H226" s="334"/>
      <c r="I226" s="334"/>
      <c r="J226" s="301"/>
      <c r="K226" s="301"/>
      <c r="L226" s="301"/>
      <c r="M226" s="301"/>
      <c r="N226" s="301"/>
      <c r="O226" s="301"/>
      <c r="P226" s="301"/>
      <c r="Q226" s="301"/>
      <c r="R226" s="301"/>
      <c r="S226" s="301"/>
      <c r="T226" s="366"/>
      <c r="U226" s="301"/>
      <c r="V226" s="301"/>
      <c r="W226" s="301"/>
      <c r="X226" s="301"/>
      <c r="Y226" s="301"/>
      <c r="Z226" s="301"/>
    </row>
    <row r="227">
      <c r="A227" s="301"/>
      <c r="B227" s="365"/>
      <c r="C227" s="301"/>
      <c r="D227" s="301"/>
      <c r="E227" s="301"/>
      <c r="F227" s="301"/>
      <c r="G227" s="301"/>
      <c r="H227" s="334"/>
      <c r="I227" s="334"/>
      <c r="J227" s="301"/>
      <c r="K227" s="301"/>
      <c r="L227" s="301"/>
      <c r="M227" s="301"/>
      <c r="N227" s="301"/>
      <c r="O227" s="301"/>
      <c r="P227" s="301"/>
      <c r="Q227" s="301"/>
      <c r="R227" s="301"/>
      <c r="S227" s="301"/>
      <c r="T227" s="366"/>
      <c r="U227" s="301"/>
      <c r="V227" s="301"/>
      <c r="W227" s="301"/>
      <c r="X227" s="301"/>
      <c r="Y227" s="301"/>
      <c r="Z227" s="301"/>
    </row>
    <row r="228">
      <c r="A228" s="301"/>
      <c r="B228" s="365"/>
      <c r="C228" s="301"/>
      <c r="D228" s="301"/>
      <c r="E228" s="301"/>
      <c r="F228" s="301"/>
      <c r="G228" s="301"/>
      <c r="H228" s="334"/>
      <c r="I228" s="334"/>
      <c r="J228" s="301"/>
      <c r="K228" s="301"/>
      <c r="L228" s="301"/>
      <c r="M228" s="301"/>
      <c r="N228" s="301"/>
      <c r="O228" s="301"/>
      <c r="P228" s="301"/>
      <c r="Q228" s="301"/>
      <c r="R228" s="301"/>
      <c r="S228" s="301"/>
      <c r="T228" s="366"/>
      <c r="U228" s="301"/>
      <c r="V228" s="301"/>
      <c r="W228" s="301"/>
      <c r="X228" s="301"/>
      <c r="Y228" s="301"/>
      <c r="Z228" s="301"/>
    </row>
    <row r="229">
      <c r="A229" s="301"/>
      <c r="B229" s="365"/>
      <c r="C229" s="301"/>
      <c r="D229" s="301"/>
      <c r="E229" s="301"/>
      <c r="F229" s="301"/>
      <c r="G229" s="301"/>
      <c r="H229" s="334"/>
      <c r="I229" s="334"/>
      <c r="J229" s="301"/>
      <c r="K229" s="301"/>
      <c r="L229" s="301"/>
      <c r="M229" s="301"/>
      <c r="N229" s="301"/>
      <c r="O229" s="301"/>
      <c r="P229" s="301"/>
      <c r="Q229" s="301"/>
      <c r="R229" s="301"/>
      <c r="S229" s="301"/>
      <c r="T229" s="366"/>
      <c r="U229" s="301"/>
      <c r="V229" s="301"/>
      <c r="W229" s="301"/>
      <c r="X229" s="301"/>
      <c r="Y229" s="301"/>
      <c r="Z229" s="301"/>
    </row>
    <row r="230">
      <c r="A230" s="301"/>
      <c r="B230" s="365"/>
      <c r="C230" s="301"/>
      <c r="D230" s="301"/>
      <c r="E230" s="301"/>
      <c r="F230" s="301"/>
      <c r="G230" s="301"/>
      <c r="H230" s="334"/>
      <c r="I230" s="334"/>
      <c r="J230" s="301"/>
      <c r="K230" s="301"/>
      <c r="L230" s="301"/>
      <c r="M230" s="301"/>
      <c r="N230" s="301"/>
      <c r="O230" s="301"/>
      <c r="P230" s="301"/>
      <c r="Q230" s="301"/>
      <c r="R230" s="301"/>
      <c r="S230" s="301"/>
      <c r="T230" s="366"/>
      <c r="U230" s="301"/>
      <c r="V230" s="301"/>
      <c r="W230" s="301"/>
      <c r="X230" s="301"/>
      <c r="Y230" s="301"/>
      <c r="Z230" s="301"/>
    </row>
    <row r="231">
      <c r="A231" s="301"/>
      <c r="B231" s="365"/>
      <c r="C231" s="301"/>
      <c r="D231" s="301"/>
      <c r="E231" s="301"/>
      <c r="F231" s="301"/>
      <c r="G231" s="301"/>
      <c r="H231" s="334"/>
      <c r="I231" s="334"/>
      <c r="J231" s="301"/>
      <c r="K231" s="301"/>
      <c r="L231" s="301"/>
      <c r="M231" s="301"/>
      <c r="N231" s="301"/>
      <c r="O231" s="301"/>
      <c r="P231" s="301"/>
      <c r="Q231" s="301"/>
      <c r="R231" s="301"/>
      <c r="S231" s="301"/>
      <c r="T231" s="366"/>
      <c r="U231" s="301"/>
      <c r="V231" s="301"/>
      <c r="W231" s="301"/>
      <c r="X231" s="301"/>
      <c r="Y231" s="301"/>
      <c r="Z231" s="301"/>
    </row>
    <row r="232">
      <c r="A232" s="301"/>
      <c r="B232" s="365"/>
      <c r="C232" s="301"/>
      <c r="D232" s="301"/>
      <c r="E232" s="301"/>
      <c r="F232" s="301"/>
      <c r="G232" s="301"/>
      <c r="H232" s="334"/>
      <c r="I232" s="334"/>
      <c r="J232" s="301"/>
      <c r="K232" s="301"/>
      <c r="L232" s="301"/>
      <c r="M232" s="301"/>
      <c r="N232" s="301"/>
      <c r="O232" s="301"/>
      <c r="P232" s="301"/>
      <c r="Q232" s="301"/>
      <c r="R232" s="301"/>
      <c r="S232" s="301"/>
      <c r="T232" s="366"/>
      <c r="U232" s="301"/>
      <c r="V232" s="301"/>
      <c r="W232" s="301"/>
      <c r="X232" s="301"/>
      <c r="Y232" s="301"/>
      <c r="Z232" s="301"/>
    </row>
    <row r="233">
      <c r="A233" s="301"/>
      <c r="B233" s="365"/>
      <c r="C233" s="301"/>
      <c r="D233" s="301"/>
      <c r="E233" s="301"/>
      <c r="F233" s="301"/>
      <c r="G233" s="301"/>
      <c r="H233" s="334"/>
      <c r="I233" s="334"/>
      <c r="J233" s="301"/>
      <c r="K233" s="301"/>
      <c r="L233" s="301"/>
      <c r="M233" s="301"/>
      <c r="N233" s="301"/>
      <c r="O233" s="301"/>
      <c r="P233" s="301"/>
      <c r="Q233" s="301"/>
      <c r="R233" s="301"/>
      <c r="S233" s="301"/>
      <c r="T233" s="366"/>
      <c r="U233" s="301"/>
      <c r="V233" s="301"/>
      <c r="W233" s="301"/>
      <c r="X233" s="301"/>
      <c r="Y233" s="301"/>
      <c r="Z233" s="301"/>
    </row>
    <row r="234">
      <c r="A234" s="301"/>
      <c r="B234" s="365"/>
      <c r="C234" s="301"/>
      <c r="D234" s="301"/>
      <c r="E234" s="301"/>
      <c r="F234" s="301"/>
      <c r="G234" s="301"/>
      <c r="H234" s="334"/>
      <c r="I234" s="334"/>
      <c r="J234" s="301"/>
      <c r="K234" s="301"/>
      <c r="L234" s="301"/>
      <c r="M234" s="301"/>
      <c r="N234" s="301"/>
      <c r="O234" s="301"/>
      <c r="P234" s="301"/>
      <c r="Q234" s="301"/>
      <c r="R234" s="301"/>
      <c r="S234" s="301"/>
      <c r="T234" s="366"/>
      <c r="U234" s="301"/>
      <c r="V234" s="301"/>
      <c r="W234" s="301"/>
      <c r="X234" s="301"/>
      <c r="Y234" s="301"/>
      <c r="Z234" s="301"/>
    </row>
    <row r="235">
      <c r="A235" s="301"/>
      <c r="B235" s="365"/>
      <c r="C235" s="301"/>
      <c r="D235" s="301"/>
      <c r="E235" s="301"/>
      <c r="F235" s="301"/>
      <c r="G235" s="301"/>
      <c r="H235" s="334"/>
      <c r="I235" s="334"/>
      <c r="J235" s="301"/>
      <c r="K235" s="301"/>
      <c r="L235" s="301"/>
      <c r="M235" s="301"/>
      <c r="N235" s="301"/>
      <c r="O235" s="301"/>
      <c r="P235" s="301"/>
      <c r="Q235" s="301"/>
      <c r="R235" s="301"/>
      <c r="S235" s="301"/>
      <c r="T235" s="366"/>
      <c r="U235" s="301"/>
      <c r="V235" s="301"/>
      <c r="W235" s="301"/>
      <c r="X235" s="301"/>
      <c r="Y235" s="301"/>
      <c r="Z235" s="301"/>
    </row>
    <row r="236">
      <c r="A236" s="301"/>
      <c r="B236" s="365"/>
      <c r="C236" s="301"/>
      <c r="D236" s="301"/>
      <c r="E236" s="301"/>
      <c r="F236" s="301"/>
      <c r="G236" s="301"/>
      <c r="H236" s="334"/>
      <c r="I236" s="334"/>
      <c r="J236" s="301"/>
      <c r="K236" s="301"/>
      <c r="L236" s="301"/>
      <c r="M236" s="301"/>
      <c r="N236" s="301"/>
      <c r="O236" s="301"/>
      <c r="P236" s="301"/>
      <c r="Q236" s="301"/>
      <c r="R236" s="301"/>
      <c r="S236" s="301"/>
      <c r="T236" s="366"/>
      <c r="U236" s="301"/>
      <c r="V236" s="301"/>
      <c r="W236" s="301"/>
      <c r="X236" s="301"/>
      <c r="Y236" s="301"/>
      <c r="Z236" s="301"/>
    </row>
    <row r="237">
      <c r="A237" s="301"/>
      <c r="B237" s="365"/>
      <c r="C237" s="301"/>
      <c r="D237" s="301"/>
      <c r="E237" s="301"/>
      <c r="F237" s="301"/>
      <c r="G237" s="301"/>
      <c r="H237" s="334"/>
      <c r="I237" s="334"/>
      <c r="J237" s="301"/>
      <c r="K237" s="301"/>
      <c r="L237" s="301"/>
      <c r="M237" s="301"/>
      <c r="N237" s="301"/>
      <c r="O237" s="301"/>
      <c r="P237" s="301"/>
      <c r="Q237" s="301"/>
      <c r="R237" s="301"/>
      <c r="S237" s="301"/>
      <c r="T237" s="366"/>
      <c r="U237" s="301"/>
      <c r="V237" s="301"/>
      <c r="W237" s="301"/>
      <c r="X237" s="301"/>
      <c r="Y237" s="301"/>
      <c r="Z237" s="301"/>
    </row>
    <row r="238">
      <c r="A238" s="301"/>
      <c r="B238" s="365"/>
      <c r="C238" s="301"/>
      <c r="D238" s="301"/>
      <c r="E238" s="301"/>
      <c r="F238" s="301"/>
      <c r="G238" s="301"/>
      <c r="H238" s="334"/>
      <c r="I238" s="334"/>
      <c r="J238" s="301"/>
      <c r="K238" s="301"/>
      <c r="L238" s="301"/>
      <c r="M238" s="301"/>
      <c r="N238" s="301"/>
      <c r="O238" s="301"/>
      <c r="P238" s="301"/>
      <c r="Q238" s="301"/>
      <c r="R238" s="301"/>
      <c r="S238" s="301"/>
      <c r="T238" s="366"/>
      <c r="U238" s="301"/>
      <c r="V238" s="301"/>
      <c r="W238" s="301"/>
      <c r="X238" s="301"/>
      <c r="Y238" s="301"/>
      <c r="Z238" s="301"/>
    </row>
    <row r="239">
      <c r="A239" s="301"/>
      <c r="B239" s="365"/>
      <c r="C239" s="301"/>
      <c r="D239" s="301"/>
      <c r="E239" s="301"/>
      <c r="F239" s="301"/>
      <c r="G239" s="301"/>
      <c r="H239" s="334"/>
      <c r="I239" s="334"/>
      <c r="J239" s="301"/>
      <c r="K239" s="301"/>
      <c r="L239" s="301"/>
      <c r="M239" s="301"/>
      <c r="N239" s="301"/>
      <c r="O239" s="301"/>
      <c r="P239" s="301"/>
      <c r="Q239" s="301"/>
      <c r="R239" s="301"/>
      <c r="S239" s="301"/>
      <c r="T239" s="366"/>
      <c r="U239" s="301"/>
      <c r="V239" s="301"/>
      <c r="W239" s="301"/>
      <c r="X239" s="301"/>
      <c r="Y239" s="301"/>
      <c r="Z239" s="301"/>
    </row>
    <row r="240">
      <c r="A240" s="301"/>
      <c r="B240" s="365"/>
      <c r="C240" s="301"/>
      <c r="D240" s="301"/>
      <c r="E240" s="301"/>
      <c r="F240" s="301"/>
      <c r="G240" s="301"/>
      <c r="H240" s="334"/>
      <c r="I240" s="334"/>
      <c r="J240" s="301"/>
      <c r="K240" s="301"/>
      <c r="L240" s="301"/>
      <c r="M240" s="301"/>
      <c r="N240" s="301"/>
      <c r="O240" s="301"/>
      <c r="P240" s="301"/>
      <c r="Q240" s="301"/>
      <c r="R240" s="301"/>
      <c r="S240" s="301"/>
      <c r="T240" s="366"/>
      <c r="U240" s="301"/>
      <c r="V240" s="301"/>
      <c r="W240" s="301"/>
      <c r="X240" s="301"/>
      <c r="Y240" s="301"/>
      <c r="Z240" s="301"/>
    </row>
    <row r="241">
      <c r="A241" s="301"/>
      <c r="B241" s="365"/>
      <c r="C241" s="301"/>
      <c r="D241" s="301"/>
      <c r="E241" s="301"/>
      <c r="F241" s="301"/>
      <c r="G241" s="301"/>
      <c r="H241" s="334"/>
      <c r="I241" s="334"/>
      <c r="J241" s="301"/>
      <c r="K241" s="301"/>
      <c r="L241" s="301"/>
      <c r="M241" s="301"/>
      <c r="N241" s="301"/>
      <c r="O241" s="301"/>
      <c r="P241" s="301"/>
      <c r="Q241" s="301"/>
      <c r="R241" s="301"/>
      <c r="S241" s="301"/>
      <c r="T241" s="366"/>
      <c r="U241" s="301"/>
      <c r="V241" s="301"/>
      <c r="W241" s="301"/>
      <c r="X241" s="301"/>
      <c r="Y241" s="301"/>
      <c r="Z241" s="301"/>
    </row>
    <row r="242">
      <c r="A242" s="301"/>
      <c r="B242" s="365"/>
      <c r="C242" s="301"/>
      <c r="D242" s="301"/>
      <c r="E242" s="301"/>
      <c r="F242" s="301"/>
      <c r="G242" s="301"/>
      <c r="H242" s="334"/>
      <c r="I242" s="334"/>
      <c r="J242" s="301"/>
      <c r="K242" s="301"/>
      <c r="L242" s="301"/>
      <c r="M242" s="301"/>
      <c r="N242" s="301"/>
      <c r="O242" s="301"/>
      <c r="P242" s="301"/>
      <c r="Q242" s="301"/>
      <c r="R242" s="301"/>
      <c r="S242" s="301"/>
      <c r="T242" s="366"/>
      <c r="U242" s="301"/>
      <c r="V242" s="301"/>
      <c r="W242" s="301"/>
      <c r="X242" s="301"/>
      <c r="Y242" s="301"/>
      <c r="Z242" s="301"/>
    </row>
    <row r="243">
      <c r="A243" s="301"/>
      <c r="B243" s="365"/>
      <c r="C243" s="301"/>
      <c r="D243" s="301"/>
      <c r="E243" s="301"/>
      <c r="F243" s="301"/>
      <c r="G243" s="301"/>
      <c r="H243" s="334"/>
      <c r="I243" s="334"/>
      <c r="J243" s="301"/>
      <c r="K243" s="301"/>
      <c r="L243" s="301"/>
      <c r="M243" s="301"/>
      <c r="N243" s="301"/>
      <c r="O243" s="301"/>
      <c r="P243" s="301"/>
      <c r="Q243" s="301"/>
      <c r="R243" s="301"/>
      <c r="S243" s="301"/>
      <c r="T243" s="366"/>
      <c r="U243" s="301"/>
      <c r="V243" s="301"/>
      <c r="W243" s="301"/>
      <c r="X243" s="301"/>
      <c r="Y243" s="301"/>
      <c r="Z243" s="301"/>
    </row>
    <row r="244">
      <c r="A244" s="301"/>
      <c r="B244" s="365"/>
      <c r="C244" s="301"/>
      <c r="D244" s="301"/>
      <c r="E244" s="301"/>
      <c r="F244" s="301"/>
      <c r="G244" s="301"/>
      <c r="H244" s="334"/>
      <c r="I244" s="334"/>
      <c r="J244" s="301"/>
      <c r="K244" s="301"/>
      <c r="L244" s="301"/>
      <c r="M244" s="301"/>
      <c r="N244" s="301"/>
      <c r="O244" s="301"/>
      <c r="P244" s="301"/>
      <c r="Q244" s="301"/>
      <c r="R244" s="301"/>
      <c r="S244" s="301"/>
      <c r="T244" s="366"/>
      <c r="U244" s="301"/>
      <c r="V244" s="301"/>
      <c r="W244" s="301"/>
      <c r="X244" s="301"/>
      <c r="Y244" s="301"/>
      <c r="Z244" s="301"/>
    </row>
    <row r="245">
      <c r="A245" s="301"/>
      <c r="B245" s="365"/>
      <c r="C245" s="301"/>
      <c r="D245" s="301"/>
      <c r="E245" s="301"/>
      <c r="F245" s="301"/>
      <c r="G245" s="301"/>
      <c r="H245" s="334"/>
      <c r="I245" s="334"/>
      <c r="J245" s="301"/>
      <c r="K245" s="301"/>
      <c r="L245" s="301"/>
      <c r="M245" s="301"/>
      <c r="N245" s="301"/>
      <c r="O245" s="301"/>
      <c r="P245" s="301"/>
      <c r="Q245" s="301"/>
      <c r="R245" s="301"/>
      <c r="S245" s="301"/>
      <c r="T245" s="366"/>
      <c r="U245" s="301"/>
      <c r="V245" s="301"/>
      <c r="W245" s="301"/>
      <c r="X245" s="301"/>
      <c r="Y245" s="301"/>
      <c r="Z245" s="301"/>
    </row>
    <row r="246">
      <c r="A246" s="301"/>
      <c r="B246" s="365"/>
      <c r="C246" s="301"/>
      <c r="D246" s="301"/>
      <c r="E246" s="301"/>
      <c r="F246" s="301"/>
      <c r="G246" s="301"/>
      <c r="H246" s="334"/>
      <c r="I246" s="334"/>
      <c r="J246" s="301"/>
      <c r="K246" s="301"/>
      <c r="L246" s="301"/>
      <c r="M246" s="301"/>
      <c r="N246" s="301"/>
      <c r="O246" s="301"/>
      <c r="P246" s="301"/>
      <c r="Q246" s="301"/>
      <c r="R246" s="301"/>
      <c r="S246" s="301"/>
      <c r="T246" s="366"/>
      <c r="U246" s="301"/>
      <c r="V246" s="301"/>
      <c r="W246" s="301"/>
      <c r="X246" s="301"/>
      <c r="Y246" s="301"/>
      <c r="Z246" s="301"/>
    </row>
    <row r="247">
      <c r="A247" s="301"/>
      <c r="B247" s="365"/>
      <c r="C247" s="301"/>
      <c r="D247" s="301"/>
      <c r="E247" s="301"/>
      <c r="F247" s="301"/>
      <c r="G247" s="301"/>
      <c r="H247" s="334"/>
      <c r="I247" s="334"/>
      <c r="J247" s="301"/>
      <c r="K247" s="301"/>
      <c r="L247" s="301"/>
      <c r="M247" s="301"/>
      <c r="N247" s="301"/>
      <c r="O247" s="301"/>
      <c r="P247" s="301"/>
      <c r="Q247" s="301"/>
      <c r="R247" s="301"/>
      <c r="S247" s="301"/>
      <c r="T247" s="366"/>
      <c r="U247" s="301"/>
      <c r="V247" s="301"/>
      <c r="W247" s="301"/>
      <c r="X247" s="301"/>
      <c r="Y247" s="301"/>
      <c r="Z247" s="301"/>
    </row>
    <row r="248">
      <c r="A248" s="301"/>
      <c r="B248" s="365"/>
      <c r="C248" s="301"/>
      <c r="D248" s="301"/>
      <c r="E248" s="301"/>
      <c r="F248" s="301"/>
      <c r="G248" s="301"/>
      <c r="H248" s="334"/>
      <c r="I248" s="334"/>
      <c r="J248" s="301"/>
      <c r="K248" s="301"/>
      <c r="L248" s="301"/>
      <c r="M248" s="301"/>
      <c r="N248" s="301"/>
      <c r="O248" s="301"/>
      <c r="P248" s="301"/>
      <c r="Q248" s="301"/>
      <c r="R248" s="301"/>
      <c r="S248" s="301"/>
      <c r="T248" s="366"/>
      <c r="U248" s="301"/>
      <c r="V248" s="301"/>
      <c r="W248" s="301"/>
      <c r="X248" s="301"/>
      <c r="Y248" s="301"/>
      <c r="Z248" s="301"/>
    </row>
    <row r="249">
      <c r="A249" s="301"/>
      <c r="B249" s="365"/>
      <c r="C249" s="301"/>
      <c r="D249" s="301"/>
      <c r="E249" s="301"/>
      <c r="F249" s="301"/>
      <c r="G249" s="301"/>
      <c r="H249" s="334"/>
      <c r="I249" s="334"/>
      <c r="J249" s="301"/>
      <c r="K249" s="301"/>
      <c r="L249" s="301"/>
      <c r="M249" s="301"/>
      <c r="N249" s="301"/>
      <c r="O249" s="301"/>
      <c r="P249" s="301"/>
      <c r="Q249" s="301"/>
      <c r="R249" s="301"/>
      <c r="S249" s="301"/>
      <c r="T249" s="366"/>
      <c r="U249" s="301"/>
      <c r="V249" s="301"/>
      <c r="W249" s="301"/>
      <c r="X249" s="301"/>
      <c r="Y249" s="301"/>
      <c r="Z249" s="301"/>
    </row>
    <row r="250">
      <c r="A250" s="301"/>
      <c r="B250" s="365"/>
      <c r="C250" s="301"/>
      <c r="D250" s="301"/>
      <c r="E250" s="301"/>
      <c r="F250" s="301"/>
      <c r="G250" s="301"/>
      <c r="H250" s="334"/>
      <c r="I250" s="334"/>
      <c r="J250" s="301"/>
      <c r="K250" s="301"/>
      <c r="L250" s="301"/>
      <c r="M250" s="301"/>
      <c r="N250" s="301"/>
      <c r="O250" s="301"/>
      <c r="P250" s="301"/>
      <c r="Q250" s="301"/>
      <c r="R250" s="301"/>
      <c r="S250" s="301"/>
      <c r="T250" s="366"/>
      <c r="U250" s="301"/>
      <c r="V250" s="301"/>
      <c r="W250" s="301"/>
      <c r="X250" s="301"/>
      <c r="Y250" s="301"/>
      <c r="Z250" s="301"/>
    </row>
    <row r="251">
      <c r="A251" s="301"/>
      <c r="B251" s="365"/>
      <c r="C251" s="301"/>
      <c r="D251" s="301"/>
      <c r="E251" s="301"/>
      <c r="F251" s="301"/>
      <c r="G251" s="301"/>
      <c r="H251" s="334"/>
      <c r="I251" s="334"/>
      <c r="J251" s="301"/>
      <c r="K251" s="301"/>
      <c r="L251" s="301"/>
      <c r="M251" s="301"/>
      <c r="N251" s="301"/>
      <c r="O251" s="301"/>
      <c r="P251" s="301"/>
      <c r="Q251" s="301"/>
      <c r="R251" s="301"/>
      <c r="S251" s="301"/>
      <c r="T251" s="366"/>
      <c r="U251" s="301"/>
      <c r="V251" s="301"/>
      <c r="W251" s="301"/>
      <c r="X251" s="301"/>
      <c r="Y251" s="301"/>
      <c r="Z251" s="301"/>
    </row>
    <row r="252">
      <c r="A252" s="301"/>
      <c r="B252" s="365"/>
      <c r="C252" s="301"/>
      <c r="D252" s="301"/>
      <c r="E252" s="301"/>
      <c r="F252" s="301"/>
      <c r="G252" s="301"/>
      <c r="H252" s="334"/>
      <c r="I252" s="334"/>
      <c r="J252" s="301"/>
      <c r="K252" s="301"/>
      <c r="L252" s="301"/>
      <c r="M252" s="301"/>
      <c r="N252" s="301"/>
      <c r="O252" s="301"/>
      <c r="P252" s="301"/>
      <c r="Q252" s="301"/>
      <c r="R252" s="301"/>
      <c r="S252" s="301"/>
      <c r="T252" s="366"/>
      <c r="U252" s="301"/>
      <c r="V252" s="301"/>
      <c r="W252" s="301"/>
      <c r="X252" s="301"/>
      <c r="Y252" s="301"/>
      <c r="Z252" s="301"/>
    </row>
    <row r="253">
      <c r="A253" s="301"/>
      <c r="B253" s="365"/>
      <c r="C253" s="301"/>
      <c r="D253" s="301"/>
      <c r="E253" s="301"/>
      <c r="F253" s="301"/>
      <c r="G253" s="301"/>
      <c r="H253" s="334"/>
      <c r="I253" s="334"/>
      <c r="J253" s="301"/>
      <c r="K253" s="301"/>
      <c r="L253" s="301"/>
      <c r="M253" s="301"/>
      <c r="N253" s="301"/>
      <c r="O253" s="301"/>
      <c r="P253" s="301"/>
      <c r="Q253" s="301"/>
      <c r="R253" s="301"/>
      <c r="S253" s="301"/>
      <c r="T253" s="366"/>
      <c r="U253" s="301"/>
      <c r="V253" s="301"/>
      <c r="W253" s="301"/>
      <c r="X253" s="301"/>
      <c r="Y253" s="301"/>
      <c r="Z253" s="301"/>
    </row>
    <row r="254">
      <c r="A254" s="301"/>
      <c r="B254" s="365"/>
      <c r="C254" s="301"/>
      <c r="D254" s="301"/>
      <c r="E254" s="301"/>
      <c r="F254" s="301"/>
      <c r="G254" s="301"/>
      <c r="H254" s="334"/>
      <c r="I254" s="334"/>
      <c r="J254" s="301"/>
      <c r="K254" s="301"/>
      <c r="L254" s="301"/>
      <c r="M254" s="301"/>
      <c r="N254" s="301"/>
      <c r="O254" s="301"/>
      <c r="P254" s="301"/>
      <c r="Q254" s="301"/>
      <c r="R254" s="301"/>
      <c r="S254" s="301"/>
      <c r="T254" s="366"/>
      <c r="U254" s="301"/>
      <c r="V254" s="301"/>
      <c r="W254" s="301"/>
      <c r="X254" s="301"/>
      <c r="Y254" s="301"/>
      <c r="Z254" s="301"/>
    </row>
    <row r="255">
      <c r="A255" s="301"/>
      <c r="B255" s="365"/>
      <c r="C255" s="301"/>
      <c r="D255" s="301"/>
      <c r="E255" s="301"/>
      <c r="F255" s="301"/>
      <c r="G255" s="301"/>
      <c r="H255" s="334"/>
      <c r="I255" s="334"/>
      <c r="J255" s="301"/>
      <c r="K255" s="301"/>
      <c r="L255" s="301"/>
      <c r="M255" s="301"/>
      <c r="N255" s="301"/>
      <c r="O255" s="301"/>
      <c r="P255" s="301"/>
      <c r="Q255" s="301"/>
      <c r="R255" s="301"/>
      <c r="S255" s="301"/>
      <c r="T255" s="366"/>
      <c r="U255" s="301"/>
      <c r="V255" s="301"/>
      <c r="W255" s="301"/>
      <c r="X255" s="301"/>
      <c r="Y255" s="301"/>
      <c r="Z255" s="301"/>
    </row>
    <row r="256">
      <c r="A256" s="301"/>
      <c r="B256" s="365"/>
      <c r="C256" s="301"/>
      <c r="D256" s="301"/>
      <c r="E256" s="301"/>
      <c r="F256" s="301"/>
      <c r="G256" s="301"/>
      <c r="H256" s="334"/>
      <c r="I256" s="334"/>
      <c r="J256" s="301"/>
      <c r="K256" s="301"/>
      <c r="L256" s="301"/>
      <c r="M256" s="301"/>
      <c r="N256" s="301"/>
      <c r="O256" s="301"/>
      <c r="P256" s="301"/>
      <c r="Q256" s="301"/>
      <c r="R256" s="301"/>
      <c r="S256" s="301"/>
      <c r="T256" s="366"/>
      <c r="U256" s="301"/>
      <c r="V256" s="301"/>
      <c r="W256" s="301"/>
      <c r="X256" s="301"/>
      <c r="Y256" s="301"/>
      <c r="Z256" s="301"/>
    </row>
    <row r="257">
      <c r="A257" s="301"/>
      <c r="B257" s="365"/>
      <c r="C257" s="301"/>
      <c r="D257" s="301"/>
      <c r="E257" s="301"/>
      <c r="F257" s="301"/>
      <c r="G257" s="301"/>
      <c r="H257" s="334"/>
      <c r="I257" s="334"/>
      <c r="J257" s="301"/>
      <c r="K257" s="301"/>
      <c r="L257" s="301"/>
      <c r="M257" s="301"/>
      <c r="N257" s="301"/>
      <c r="O257" s="301"/>
      <c r="P257" s="301"/>
      <c r="Q257" s="301"/>
      <c r="R257" s="301"/>
      <c r="S257" s="301"/>
      <c r="T257" s="366"/>
      <c r="U257" s="301"/>
      <c r="V257" s="301"/>
      <c r="W257" s="301"/>
      <c r="X257" s="301"/>
      <c r="Y257" s="301"/>
      <c r="Z257" s="301"/>
    </row>
    <row r="258">
      <c r="A258" s="301"/>
      <c r="B258" s="365"/>
      <c r="C258" s="301"/>
      <c r="D258" s="301"/>
      <c r="E258" s="301"/>
      <c r="F258" s="301"/>
      <c r="G258" s="301"/>
      <c r="H258" s="334"/>
      <c r="I258" s="334"/>
      <c r="J258" s="301"/>
      <c r="K258" s="301"/>
      <c r="L258" s="301"/>
      <c r="M258" s="301"/>
      <c r="N258" s="301"/>
      <c r="O258" s="301"/>
      <c r="P258" s="301"/>
      <c r="Q258" s="301"/>
      <c r="R258" s="301"/>
      <c r="S258" s="301"/>
      <c r="T258" s="366"/>
      <c r="U258" s="301"/>
      <c r="V258" s="301"/>
      <c r="W258" s="301"/>
      <c r="X258" s="301"/>
      <c r="Y258" s="301"/>
      <c r="Z258" s="301"/>
    </row>
    <row r="259">
      <c r="A259" s="301"/>
      <c r="B259" s="365"/>
      <c r="C259" s="301"/>
      <c r="D259" s="301"/>
      <c r="E259" s="301"/>
      <c r="F259" s="301"/>
      <c r="G259" s="301"/>
      <c r="H259" s="334"/>
      <c r="I259" s="334"/>
      <c r="J259" s="301"/>
      <c r="K259" s="301"/>
      <c r="L259" s="301"/>
      <c r="M259" s="301"/>
      <c r="N259" s="301"/>
      <c r="O259" s="301"/>
      <c r="P259" s="301"/>
      <c r="Q259" s="301"/>
      <c r="R259" s="301"/>
      <c r="S259" s="301"/>
      <c r="T259" s="366"/>
      <c r="U259" s="301"/>
      <c r="V259" s="301"/>
      <c r="W259" s="301"/>
      <c r="X259" s="301"/>
      <c r="Y259" s="301"/>
      <c r="Z259" s="301"/>
    </row>
    <row r="260">
      <c r="A260" s="301"/>
      <c r="B260" s="365"/>
      <c r="C260" s="301"/>
      <c r="D260" s="301"/>
      <c r="E260" s="301"/>
      <c r="F260" s="301"/>
      <c r="G260" s="301"/>
      <c r="H260" s="334"/>
      <c r="I260" s="334"/>
      <c r="J260" s="301"/>
      <c r="K260" s="301"/>
      <c r="L260" s="301"/>
      <c r="M260" s="301"/>
      <c r="N260" s="301"/>
      <c r="O260" s="301"/>
      <c r="P260" s="301"/>
      <c r="Q260" s="301"/>
      <c r="R260" s="301"/>
      <c r="S260" s="301"/>
      <c r="T260" s="366"/>
      <c r="U260" s="301"/>
      <c r="V260" s="301"/>
      <c r="W260" s="301"/>
      <c r="X260" s="301"/>
      <c r="Y260" s="301"/>
      <c r="Z260" s="301"/>
    </row>
    <row r="261">
      <c r="A261" s="301"/>
      <c r="B261" s="365"/>
      <c r="C261" s="301"/>
      <c r="D261" s="301"/>
      <c r="E261" s="301"/>
      <c r="F261" s="301"/>
      <c r="G261" s="301"/>
      <c r="H261" s="334"/>
      <c r="I261" s="334"/>
      <c r="J261" s="301"/>
      <c r="K261" s="301"/>
      <c r="L261" s="301"/>
      <c r="M261" s="301"/>
      <c r="N261" s="301"/>
      <c r="O261" s="301"/>
      <c r="P261" s="301"/>
      <c r="Q261" s="301"/>
      <c r="R261" s="301"/>
      <c r="S261" s="301"/>
      <c r="T261" s="366"/>
      <c r="U261" s="301"/>
      <c r="V261" s="301"/>
      <c r="W261" s="301"/>
      <c r="X261" s="301"/>
      <c r="Y261" s="301"/>
      <c r="Z261" s="301"/>
    </row>
    <row r="262">
      <c r="A262" s="301"/>
      <c r="B262" s="365"/>
      <c r="C262" s="301"/>
      <c r="D262" s="301"/>
      <c r="E262" s="301"/>
      <c r="F262" s="301"/>
      <c r="G262" s="301"/>
      <c r="H262" s="334"/>
      <c r="I262" s="334"/>
      <c r="J262" s="301"/>
      <c r="K262" s="301"/>
      <c r="L262" s="301"/>
      <c r="M262" s="301"/>
      <c r="N262" s="301"/>
      <c r="O262" s="301"/>
      <c r="P262" s="301"/>
      <c r="Q262" s="301"/>
      <c r="R262" s="301"/>
      <c r="S262" s="301"/>
      <c r="T262" s="366"/>
      <c r="U262" s="301"/>
      <c r="V262" s="301"/>
      <c r="W262" s="301"/>
      <c r="X262" s="301"/>
      <c r="Y262" s="301"/>
      <c r="Z262" s="301"/>
    </row>
    <row r="263">
      <c r="A263" s="301"/>
      <c r="B263" s="365"/>
      <c r="C263" s="301"/>
      <c r="D263" s="301"/>
      <c r="E263" s="301"/>
      <c r="F263" s="301"/>
      <c r="G263" s="301"/>
      <c r="H263" s="334"/>
      <c r="I263" s="334"/>
      <c r="J263" s="301"/>
      <c r="K263" s="301"/>
      <c r="L263" s="301"/>
      <c r="M263" s="301"/>
      <c r="N263" s="301"/>
      <c r="O263" s="301"/>
      <c r="P263" s="301"/>
      <c r="Q263" s="301"/>
      <c r="R263" s="301"/>
      <c r="S263" s="301"/>
      <c r="T263" s="366"/>
      <c r="U263" s="301"/>
      <c r="V263" s="301"/>
      <c r="W263" s="301"/>
      <c r="X263" s="301"/>
      <c r="Y263" s="301"/>
      <c r="Z263" s="301"/>
    </row>
    <row r="264">
      <c r="A264" s="301"/>
      <c r="B264" s="365"/>
      <c r="C264" s="301"/>
      <c r="D264" s="301"/>
      <c r="E264" s="301"/>
      <c r="F264" s="301"/>
      <c r="G264" s="301"/>
      <c r="H264" s="334"/>
      <c r="I264" s="334"/>
      <c r="J264" s="301"/>
      <c r="K264" s="301"/>
      <c r="L264" s="301"/>
      <c r="M264" s="301"/>
      <c r="N264" s="301"/>
      <c r="O264" s="301"/>
      <c r="P264" s="301"/>
      <c r="Q264" s="301"/>
      <c r="R264" s="301"/>
      <c r="S264" s="301"/>
      <c r="T264" s="366"/>
      <c r="U264" s="301"/>
      <c r="V264" s="301"/>
      <c r="W264" s="301"/>
      <c r="X264" s="301"/>
      <c r="Y264" s="301"/>
      <c r="Z264" s="301"/>
    </row>
    <row r="265">
      <c r="A265" s="301"/>
      <c r="B265" s="365"/>
      <c r="C265" s="301"/>
      <c r="D265" s="301"/>
      <c r="E265" s="301"/>
      <c r="F265" s="301"/>
      <c r="G265" s="301"/>
      <c r="H265" s="334"/>
      <c r="I265" s="334"/>
      <c r="J265" s="301"/>
      <c r="K265" s="301"/>
      <c r="L265" s="301"/>
      <c r="M265" s="301"/>
      <c r="N265" s="301"/>
      <c r="O265" s="301"/>
      <c r="P265" s="301"/>
      <c r="Q265" s="301"/>
      <c r="R265" s="301"/>
      <c r="S265" s="301"/>
      <c r="T265" s="366"/>
      <c r="U265" s="301"/>
      <c r="V265" s="301"/>
      <c r="W265" s="301"/>
      <c r="X265" s="301"/>
      <c r="Y265" s="301"/>
      <c r="Z265" s="301"/>
    </row>
    <row r="266">
      <c r="A266" s="301"/>
      <c r="B266" s="365"/>
      <c r="C266" s="301"/>
      <c r="D266" s="301"/>
      <c r="E266" s="301"/>
      <c r="F266" s="301"/>
      <c r="G266" s="301"/>
      <c r="H266" s="334"/>
      <c r="I266" s="334"/>
      <c r="J266" s="301"/>
      <c r="K266" s="301"/>
      <c r="L266" s="301"/>
      <c r="M266" s="301"/>
      <c r="N266" s="301"/>
      <c r="O266" s="301"/>
      <c r="P266" s="301"/>
      <c r="Q266" s="301"/>
      <c r="R266" s="301"/>
      <c r="S266" s="301"/>
      <c r="T266" s="366"/>
      <c r="U266" s="301"/>
      <c r="V266" s="301"/>
      <c r="W266" s="301"/>
      <c r="X266" s="301"/>
      <c r="Y266" s="301"/>
      <c r="Z266" s="301"/>
    </row>
    <row r="267">
      <c r="A267" s="301"/>
      <c r="B267" s="365"/>
      <c r="C267" s="301"/>
      <c r="D267" s="301"/>
      <c r="E267" s="301"/>
      <c r="F267" s="301"/>
      <c r="G267" s="301"/>
      <c r="H267" s="334"/>
      <c r="I267" s="334"/>
      <c r="J267" s="301"/>
      <c r="K267" s="301"/>
      <c r="L267" s="301"/>
      <c r="M267" s="301"/>
      <c r="N267" s="301"/>
      <c r="O267" s="301"/>
      <c r="P267" s="301"/>
      <c r="Q267" s="301"/>
      <c r="R267" s="301"/>
      <c r="S267" s="301"/>
      <c r="T267" s="366"/>
      <c r="U267" s="301"/>
      <c r="V267" s="301"/>
      <c r="W267" s="301"/>
      <c r="X267" s="301"/>
      <c r="Y267" s="301"/>
      <c r="Z267" s="301"/>
    </row>
    <row r="268">
      <c r="A268" s="301"/>
      <c r="B268" s="365"/>
      <c r="C268" s="301"/>
      <c r="D268" s="301"/>
      <c r="E268" s="301"/>
      <c r="F268" s="301"/>
      <c r="G268" s="301"/>
      <c r="H268" s="334"/>
      <c r="I268" s="334"/>
      <c r="J268" s="301"/>
      <c r="K268" s="301"/>
      <c r="L268" s="301"/>
      <c r="M268" s="301"/>
      <c r="N268" s="301"/>
      <c r="O268" s="301"/>
      <c r="P268" s="301"/>
      <c r="Q268" s="301"/>
      <c r="R268" s="301"/>
      <c r="S268" s="301"/>
      <c r="T268" s="366"/>
      <c r="U268" s="301"/>
      <c r="V268" s="301"/>
      <c r="W268" s="301"/>
      <c r="X268" s="301"/>
      <c r="Y268" s="301"/>
      <c r="Z268" s="301"/>
    </row>
    <row r="269">
      <c r="A269" s="301"/>
      <c r="B269" s="365"/>
      <c r="C269" s="301"/>
      <c r="D269" s="301"/>
      <c r="E269" s="301"/>
      <c r="F269" s="301"/>
      <c r="G269" s="301"/>
      <c r="H269" s="334"/>
      <c r="I269" s="334"/>
      <c r="J269" s="301"/>
      <c r="K269" s="301"/>
      <c r="L269" s="301"/>
      <c r="M269" s="301"/>
      <c r="N269" s="301"/>
      <c r="O269" s="301"/>
      <c r="P269" s="301"/>
      <c r="Q269" s="301"/>
      <c r="R269" s="301"/>
      <c r="S269" s="301"/>
      <c r="T269" s="366"/>
      <c r="U269" s="301"/>
      <c r="V269" s="301"/>
      <c r="W269" s="301"/>
      <c r="X269" s="301"/>
      <c r="Y269" s="301"/>
      <c r="Z269" s="301"/>
    </row>
    <row r="270">
      <c r="A270" s="301"/>
      <c r="B270" s="365"/>
      <c r="C270" s="301"/>
      <c r="D270" s="301"/>
      <c r="E270" s="301"/>
      <c r="F270" s="301"/>
      <c r="G270" s="301"/>
      <c r="H270" s="334"/>
      <c r="I270" s="334"/>
      <c r="J270" s="301"/>
      <c r="K270" s="301"/>
      <c r="L270" s="301"/>
      <c r="M270" s="301"/>
      <c r="N270" s="301"/>
      <c r="O270" s="301"/>
      <c r="P270" s="301"/>
      <c r="Q270" s="301"/>
      <c r="R270" s="301"/>
      <c r="S270" s="301"/>
      <c r="T270" s="366"/>
      <c r="U270" s="301"/>
      <c r="V270" s="301"/>
      <c r="W270" s="301"/>
      <c r="X270" s="301"/>
      <c r="Y270" s="301"/>
      <c r="Z270" s="301"/>
    </row>
    <row r="271">
      <c r="A271" s="301"/>
      <c r="B271" s="365"/>
      <c r="C271" s="301"/>
      <c r="D271" s="301"/>
      <c r="E271" s="301"/>
      <c r="F271" s="301"/>
      <c r="G271" s="301"/>
      <c r="H271" s="334"/>
      <c r="I271" s="334"/>
      <c r="J271" s="301"/>
      <c r="K271" s="301"/>
      <c r="L271" s="301"/>
      <c r="M271" s="301"/>
      <c r="N271" s="301"/>
      <c r="O271" s="301"/>
      <c r="P271" s="301"/>
      <c r="Q271" s="301"/>
      <c r="R271" s="301"/>
      <c r="S271" s="301"/>
      <c r="T271" s="366"/>
      <c r="U271" s="301"/>
      <c r="V271" s="301"/>
      <c r="W271" s="301"/>
      <c r="X271" s="301"/>
      <c r="Y271" s="301"/>
      <c r="Z271" s="301"/>
    </row>
    <row r="272">
      <c r="A272" s="301"/>
      <c r="B272" s="365"/>
      <c r="C272" s="301"/>
      <c r="D272" s="301"/>
      <c r="E272" s="301"/>
      <c r="F272" s="301"/>
      <c r="G272" s="301"/>
      <c r="H272" s="334"/>
      <c r="I272" s="334"/>
      <c r="J272" s="301"/>
      <c r="K272" s="301"/>
      <c r="L272" s="301"/>
      <c r="M272" s="301"/>
      <c r="N272" s="301"/>
      <c r="O272" s="301"/>
      <c r="P272" s="301"/>
      <c r="Q272" s="301"/>
      <c r="R272" s="301"/>
      <c r="S272" s="301"/>
      <c r="T272" s="366"/>
      <c r="U272" s="301"/>
      <c r="V272" s="301"/>
      <c r="W272" s="301"/>
      <c r="X272" s="301"/>
      <c r="Y272" s="301"/>
      <c r="Z272" s="301"/>
    </row>
    <row r="273">
      <c r="A273" s="301"/>
      <c r="B273" s="365"/>
      <c r="C273" s="301"/>
      <c r="D273" s="301"/>
      <c r="E273" s="301"/>
      <c r="F273" s="301"/>
      <c r="G273" s="301"/>
      <c r="H273" s="334"/>
      <c r="I273" s="334"/>
      <c r="J273" s="301"/>
      <c r="K273" s="301"/>
      <c r="L273" s="301"/>
      <c r="M273" s="301"/>
      <c r="N273" s="301"/>
      <c r="O273" s="301"/>
      <c r="P273" s="301"/>
      <c r="Q273" s="301"/>
      <c r="R273" s="301"/>
      <c r="S273" s="301"/>
      <c r="T273" s="366"/>
      <c r="U273" s="301"/>
      <c r="V273" s="301"/>
      <c r="W273" s="301"/>
      <c r="X273" s="301"/>
      <c r="Y273" s="301"/>
      <c r="Z273" s="301"/>
    </row>
    <row r="274">
      <c r="A274" s="301"/>
      <c r="B274" s="365"/>
      <c r="C274" s="301"/>
      <c r="D274" s="301"/>
      <c r="E274" s="301"/>
      <c r="F274" s="301"/>
      <c r="G274" s="301"/>
      <c r="H274" s="334"/>
      <c r="I274" s="334"/>
      <c r="J274" s="301"/>
      <c r="K274" s="301"/>
      <c r="L274" s="301"/>
      <c r="M274" s="301"/>
      <c r="N274" s="301"/>
      <c r="O274" s="301"/>
      <c r="P274" s="301"/>
      <c r="Q274" s="301"/>
      <c r="R274" s="301"/>
      <c r="S274" s="301"/>
      <c r="T274" s="366"/>
      <c r="U274" s="301"/>
      <c r="V274" s="301"/>
      <c r="W274" s="301"/>
      <c r="X274" s="301"/>
      <c r="Y274" s="301"/>
      <c r="Z274" s="301"/>
    </row>
    <row r="275">
      <c r="A275" s="301"/>
      <c r="B275" s="365"/>
      <c r="C275" s="301"/>
      <c r="D275" s="301"/>
      <c r="E275" s="301"/>
      <c r="F275" s="301"/>
      <c r="G275" s="301"/>
      <c r="H275" s="334"/>
      <c r="I275" s="334"/>
      <c r="J275" s="301"/>
      <c r="K275" s="301"/>
      <c r="L275" s="301"/>
      <c r="M275" s="301"/>
      <c r="N275" s="301"/>
      <c r="O275" s="301"/>
      <c r="P275" s="301"/>
      <c r="Q275" s="301"/>
      <c r="R275" s="301"/>
      <c r="S275" s="301"/>
      <c r="T275" s="366"/>
      <c r="U275" s="301"/>
      <c r="V275" s="301"/>
      <c r="W275" s="301"/>
      <c r="X275" s="301"/>
      <c r="Y275" s="301"/>
      <c r="Z275" s="301"/>
    </row>
    <row r="276">
      <c r="A276" s="301"/>
      <c r="B276" s="365"/>
      <c r="C276" s="301"/>
      <c r="D276" s="301"/>
      <c r="E276" s="301"/>
      <c r="F276" s="301"/>
      <c r="G276" s="301"/>
      <c r="H276" s="334"/>
      <c r="I276" s="334"/>
      <c r="J276" s="301"/>
      <c r="K276" s="301"/>
      <c r="L276" s="301"/>
      <c r="M276" s="301"/>
      <c r="N276" s="301"/>
      <c r="O276" s="301"/>
      <c r="P276" s="301"/>
      <c r="Q276" s="301"/>
      <c r="R276" s="301"/>
      <c r="S276" s="301"/>
      <c r="T276" s="366"/>
      <c r="U276" s="301"/>
      <c r="V276" s="301"/>
      <c r="W276" s="301"/>
      <c r="X276" s="301"/>
      <c r="Y276" s="301"/>
      <c r="Z276" s="301"/>
    </row>
    <row r="277">
      <c r="A277" s="301"/>
      <c r="B277" s="365"/>
      <c r="C277" s="301"/>
      <c r="D277" s="301"/>
      <c r="E277" s="301"/>
      <c r="F277" s="301"/>
      <c r="G277" s="301"/>
      <c r="H277" s="334"/>
      <c r="I277" s="334"/>
      <c r="J277" s="301"/>
      <c r="K277" s="301"/>
      <c r="L277" s="301"/>
      <c r="M277" s="301"/>
      <c r="N277" s="301"/>
      <c r="O277" s="301"/>
      <c r="P277" s="301"/>
      <c r="Q277" s="301"/>
      <c r="R277" s="301"/>
      <c r="S277" s="301"/>
      <c r="T277" s="366"/>
      <c r="U277" s="301"/>
      <c r="V277" s="301"/>
      <c r="W277" s="301"/>
      <c r="X277" s="301"/>
      <c r="Y277" s="301"/>
      <c r="Z277" s="301"/>
    </row>
    <row r="278">
      <c r="A278" s="301"/>
      <c r="B278" s="365"/>
      <c r="C278" s="301"/>
      <c r="D278" s="301"/>
      <c r="E278" s="301"/>
      <c r="F278" s="301"/>
      <c r="G278" s="301"/>
      <c r="H278" s="334"/>
      <c r="I278" s="334"/>
      <c r="J278" s="301"/>
      <c r="K278" s="301"/>
      <c r="L278" s="301"/>
      <c r="M278" s="301"/>
      <c r="N278" s="301"/>
      <c r="O278" s="301"/>
      <c r="P278" s="301"/>
      <c r="Q278" s="301"/>
      <c r="R278" s="301"/>
      <c r="S278" s="301"/>
      <c r="T278" s="366"/>
      <c r="U278" s="301"/>
      <c r="V278" s="301"/>
      <c r="W278" s="301"/>
      <c r="X278" s="301"/>
      <c r="Y278" s="301"/>
      <c r="Z278" s="301"/>
    </row>
    <row r="279">
      <c r="A279" s="301"/>
      <c r="B279" s="365"/>
      <c r="C279" s="301"/>
      <c r="D279" s="301"/>
      <c r="E279" s="301"/>
      <c r="F279" s="301"/>
      <c r="G279" s="301"/>
      <c r="H279" s="334"/>
      <c r="I279" s="334"/>
      <c r="J279" s="301"/>
      <c r="K279" s="301"/>
      <c r="L279" s="301"/>
      <c r="M279" s="301"/>
      <c r="N279" s="301"/>
      <c r="O279" s="301"/>
      <c r="P279" s="301"/>
      <c r="Q279" s="301"/>
      <c r="R279" s="301"/>
      <c r="S279" s="301"/>
      <c r="T279" s="366"/>
      <c r="U279" s="301"/>
      <c r="V279" s="301"/>
      <c r="W279" s="301"/>
      <c r="X279" s="301"/>
      <c r="Y279" s="301"/>
      <c r="Z279" s="301"/>
    </row>
    <row r="280">
      <c r="A280" s="301"/>
      <c r="B280" s="365"/>
      <c r="C280" s="301"/>
      <c r="D280" s="301"/>
      <c r="E280" s="301"/>
      <c r="F280" s="301"/>
      <c r="G280" s="301"/>
      <c r="H280" s="334"/>
      <c r="I280" s="334"/>
      <c r="J280" s="301"/>
      <c r="K280" s="301"/>
      <c r="L280" s="301"/>
      <c r="M280" s="301"/>
      <c r="N280" s="301"/>
      <c r="O280" s="301"/>
      <c r="P280" s="301"/>
      <c r="Q280" s="301"/>
      <c r="R280" s="301"/>
      <c r="S280" s="301"/>
      <c r="T280" s="366"/>
      <c r="U280" s="301"/>
      <c r="V280" s="301"/>
      <c r="W280" s="301"/>
      <c r="X280" s="301"/>
      <c r="Y280" s="301"/>
      <c r="Z280" s="301"/>
    </row>
    <row r="281">
      <c r="A281" s="301"/>
      <c r="B281" s="365"/>
      <c r="C281" s="301"/>
      <c r="D281" s="301"/>
      <c r="E281" s="301"/>
      <c r="F281" s="301"/>
      <c r="G281" s="301"/>
      <c r="H281" s="334"/>
      <c r="I281" s="334"/>
      <c r="J281" s="301"/>
      <c r="K281" s="301"/>
      <c r="L281" s="301"/>
      <c r="M281" s="301"/>
      <c r="N281" s="301"/>
      <c r="O281" s="301"/>
      <c r="P281" s="301"/>
      <c r="Q281" s="301"/>
      <c r="R281" s="301"/>
      <c r="S281" s="301"/>
      <c r="T281" s="366"/>
      <c r="U281" s="301"/>
      <c r="V281" s="301"/>
      <c r="W281" s="301"/>
      <c r="X281" s="301"/>
      <c r="Y281" s="301"/>
      <c r="Z281" s="301"/>
    </row>
    <row r="282">
      <c r="A282" s="301"/>
      <c r="B282" s="365"/>
      <c r="C282" s="301"/>
      <c r="D282" s="301"/>
      <c r="E282" s="301"/>
      <c r="F282" s="301"/>
      <c r="G282" s="301"/>
      <c r="H282" s="334"/>
      <c r="I282" s="334"/>
      <c r="J282" s="301"/>
      <c r="K282" s="301"/>
      <c r="L282" s="301"/>
      <c r="M282" s="301"/>
      <c r="N282" s="301"/>
      <c r="O282" s="301"/>
      <c r="P282" s="301"/>
      <c r="Q282" s="301"/>
      <c r="R282" s="301"/>
      <c r="S282" s="301"/>
      <c r="T282" s="366"/>
      <c r="U282" s="301"/>
      <c r="V282" s="301"/>
      <c r="W282" s="301"/>
      <c r="X282" s="301"/>
      <c r="Y282" s="301"/>
      <c r="Z282" s="301"/>
    </row>
    <row r="283">
      <c r="A283" s="301"/>
      <c r="B283" s="365"/>
      <c r="C283" s="301"/>
      <c r="D283" s="301"/>
      <c r="E283" s="301"/>
      <c r="F283" s="301"/>
      <c r="G283" s="301"/>
      <c r="H283" s="334"/>
      <c r="I283" s="334"/>
      <c r="J283" s="301"/>
      <c r="K283" s="301"/>
      <c r="L283" s="301"/>
      <c r="M283" s="301"/>
      <c r="N283" s="301"/>
      <c r="O283" s="301"/>
      <c r="P283" s="301"/>
      <c r="Q283" s="301"/>
      <c r="R283" s="301"/>
      <c r="S283" s="301"/>
      <c r="T283" s="366"/>
      <c r="U283" s="301"/>
      <c r="V283" s="301"/>
      <c r="W283" s="301"/>
      <c r="X283" s="301"/>
      <c r="Y283" s="301"/>
      <c r="Z283" s="301"/>
    </row>
    <row r="284">
      <c r="A284" s="301"/>
      <c r="B284" s="365"/>
      <c r="C284" s="301"/>
      <c r="D284" s="301"/>
      <c r="E284" s="301"/>
      <c r="F284" s="301"/>
      <c r="G284" s="301"/>
      <c r="H284" s="334"/>
      <c r="I284" s="334"/>
      <c r="J284" s="301"/>
      <c r="K284" s="301"/>
      <c r="L284" s="301"/>
      <c r="M284" s="301"/>
      <c r="N284" s="301"/>
      <c r="O284" s="301"/>
      <c r="P284" s="301"/>
      <c r="Q284" s="301"/>
      <c r="R284" s="301"/>
      <c r="S284" s="301"/>
      <c r="T284" s="366"/>
      <c r="U284" s="301"/>
      <c r="V284" s="301"/>
      <c r="W284" s="301"/>
      <c r="X284" s="301"/>
      <c r="Y284" s="301"/>
      <c r="Z284" s="301"/>
    </row>
    <row r="285">
      <c r="A285" s="301"/>
      <c r="B285" s="365"/>
      <c r="C285" s="301"/>
      <c r="D285" s="301"/>
      <c r="E285" s="301"/>
      <c r="F285" s="301"/>
      <c r="G285" s="301"/>
      <c r="H285" s="334"/>
      <c r="I285" s="334"/>
      <c r="J285" s="301"/>
      <c r="K285" s="301"/>
      <c r="L285" s="301"/>
      <c r="M285" s="301"/>
      <c r="N285" s="301"/>
      <c r="O285" s="301"/>
      <c r="P285" s="301"/>
      <c r="Q285" s="301"/>
      <c r="R285" s="301"/>
      <c r="S285" s="301"/>
      <c r="T285" s="366"/>
      <c r="U285" s="301"/>
      <c r="V285" s="301"/>
      <c r="W285" s="301"/>
      <c r="X285" s="301"/>
      <c r="Y285" s="301"/>
      <c r="Z285" s="301"/>
    </row>
    <row r="286">
      <c r="A286" s="301"/>
      <c r="B286" s="365"/>
      <c r="C286" s="301"/>
      <c r="D286" s="301"/>
      <c r="E286" s="301"/>
      <c r="F286" s="301"/>
      <c r="G286" s="301"/>
      <c r="H286" s="334"/>
      <c r="I286" s="334"/>
      <c r="J286" s="301"/>
      <c r="K286" s="301"/>
      <c r="L286" s="301"/>
      <c r="M286" s="301"/>
      <c r="N286" s="301"/>
      <c r="O286" s="301"/>
      <c r="P286" s="301"/>
      <c r="Q286" s="301"/>
      <c r="R286" s="301"/>
      <c r="S286" s="301"/>
      <c r="T286" s="366"/>
      <c r="U286" s="301"/>
      <c r="V286" s="301"/>
      <c r="W286" s="301"/>
      <c r="X286" s="301"/>
      <c r="Y286" s="301"/>
      <c r="Z286" s="301"/>
    </row>
    <row r="287">
      <c r="A287" s="301"/>
      <c r="B287" s="365"/>
      <c r="C287" s="301"/>
      <c r="D287" s="301"/>
      <c r="E287" s="301"/>
      <c r="F287" s="301"/>
      <c r="G287" s="301"/>
      <c r="H287" s="334"/>
      <c r="I287" s="334"/>
      <c r="J287" s="301"/>
      <c r="K287" s="301"/>
      <c r="L287" s="301"/>
      <c r="M287" s="301"/>
      <c r="N287" s="301"/>
      <c r="O287" s="301"/>
      <c r="P287" s="301"/>
      <c r="Q287" s="301"/>
      <c r="R287" s="301"/>
      <c r="S287" s="301"/>
      <c r="T287" s="366"/>
      <c r="U287" s="301"/>
      <c r="V287" s="301"/>
      <c r="W287" s="301"/>
      <c r="X287" s="301"/>
      <c r="Y287" s="301"/>
      <c r="Z287" s="301"/>
    </row>
    <row r="288">
      <c r="A288" s="301"/>
      <c r="B288" s="365"/>
      <c r="C288" s="301"/>
      <c r="D288" s="301"/>
      <c r="E288" s="301"/>
      <c r="F288" s="301"/>
      <c r="G288" s="301"/>
      <c r="H288" s="334"/>
      <c r="I288" s="334"/>
      <c r="J288" s="301"/>
      <c r="K288" s="301"/>
      <c r="L288" s="301"/>
      <c r="M288" s="301"/>
      <c r="N288" s="301"/>
      <c r="O288" s="301"/>
      <c r="P288" s="301"/>
      <c r="Q288" s="301"/>
      <c r="R288" s="301"/>
      <c r="S288" s="301"/>
      <c r="T288" s="366"/>
      <c r="U288" s="301"/>
      <c r="V288" s="301"/>
      <c r="W288" s="301"/>
      <c r="X288" s="301"/>
      <c r="Y288" s="301"/>
      <c r="Z288" s="301"/>
    </row>
    <row r="289">
      <c r="A289" s="301"/>
      <c r="B289" s="365"/>
      <c r="C289" s="301"/>
      <c r="D289" s="301"/>
      <c r="E289" s="301"/>
      <c r="F289" s="301"/>
      <c r="G289" s="301"/>
      <c r="H289" s="334"/>
      <c r="I289" s="334"/>
      <c r="J289" s="301"/>
      <c r="K289" s="301"/>
      <c r="L289" s="301"/>
      <c r="M289" s="301"/>
      <c r="N289" s="301"/>
      <c r="O289" s="301"/>
      <c r="P289" s="301"/>
      <c r="Q289" s="301"/>
      <c r="R289" s="301"/>
      <c r="S289" s="301"/>
      <c r="T289" s="366"/>
      <c r="U289" s="301"/>
      <c r="V289" s="301"/>
      <c r="W289" s="301"/>
      <c r="X289" s="301"/>
      <c r="Y289" s="301"/>
      <c r="Z289" s="301"/>
    </row>
    <row r="290">
      <c r="A290" s="301"/>
      <c r="B290" s="365"/>
      <c r="C290" s="301"/>
      <c r="D290" s="301"/>
      <c r="E290" s="301"/>
      <c r="F290" s="301"/>
      <c r="G290" s="301"/>
      <c r="H290" s="334"/>
      <c r="I290" s="334"/>
      <c r="J290" s="301"/>
      <c r="K290" s="301"/>
      <c r="L290" s="301"/>
      <c r="M290" s="301"/>
      <c r="N290" s="301"/>
      <c r="O290" s="301"/>
      <c r="P290" s="301"/>
      <c r="Q290" s="301"/>
      <c r="R290" s="301"/>
      <c r="S290" s="301"/>
      <c r="T290" s="366"/>
      <c r="U290" s="301"/>
      <c r="V290" s="301"/>
      <c r="W290" s="301"/>
      <c r="X290" s="301"/>
      <c r="Y290" s="301"/>
      <c r="Z290" s="301"/>
    </row>
    <row r="291">
      <c r="A291" s="301"/>
      <c r="B291" s="365"/>
      <c r="C291" s="301"/>
      <c r="D291" s="301"/>
      <c r="E291" s="301"/>
      <c r="F291" s="301"/>
      <c r="G291" s="301"/>
      <c r="H291" s="334"/>
      <c r="I291" s="334"/>
      <c r="J291" s="301"/>
      <c r="K291" s="301"/>
      <c r="L291" s="301"/>
      <c r="M291" s="301"/>
      <c r="N291" s="301"/>
      <c r="O291" s="301"/>
      <c r="P291" s="301"/>
      <c r="Q291" s="301"/>
      <c r="R291" s="301"/>
      <c r="S291" s="301"/>
      <c r="T291" s="366"/>
      <c r="U291" s="301"/>
      <c r="V291" s="301"/>
      <c r="W291" s="301"/>
      <c r="X291" s="301"/>
      <c r="Y291" s="301"/>
      <c r="Z291" s="301"/>
    </row>
    <row r="292">
      <c r="A292" s="301"/>
      <c r="B292" s="365"/>
      <c r="C292" s="301"/>
      <c r="D292" s="301"/>
      <c r="E292" s="301"/>
      <c r="F292" s="301"/>
      <c r="G292" s="301"/>
      <c r="H292" s="334"/>
      <c r="I292" s="334"/>
      <c r="J292" s="301"/>
      <c r="K292" s="301"/>
      <c r="L292" s="301"/>
      <c r="M292" s="301"/>
      <c r="N292" s="301"/>
      <c r="O292" s="301"/>
      <c r="P292" s="301"/>
      <c r="Q292" s="301"/>
      <c r="R292" s="301"/>
      <c r="S292" s="301"/>
      <c r="T292" s="366"/>
      <c r="U292" s="301"/>
      <c r="V292" s="301"/>
      <c r="W292" s="301"/>
      <c r="X292" s="301"/>
      <c r="Y292" s="301"/>
      <c r="Z292" s="301"/>
    </row>
    <row r="293">
      <c r="A293" s="301"/>
      <c r="B293" s="365"/>
      <c r="C293" s="301"/>
      <c r="D293" s="301"/>
      <c r="E293" s="301"/>
      <c r="F293" s="301"/>
      <c r="G293" s="301"/>
      <c r="H293" s="334"/>
      <c r="I293" s="334"/>
      <c r="J293" s="301"/>
      <c r="K293" s="301"/>
      <c r="L293" s="301"/>
      <c r="M293" s="301"/>
      <c r="N293" s="301"/>
      <c r="O293" s="301"/>
      <c r="P293" s="301"/>
      <c r="Q293" s="301"/>
      <c r="R293" s="301"/>
      <c r="S293" s="301"/>
      <c r="T293" s="366"/>
      <c r="U293" s="301"/>
      <c r="V293" s="301"/>
      <c r="W293" s="301"/>
      <c r="X293" s="301"/>
      <c r="Y293" s="301"/>
      <c r="Z293" s="301"/>
    </row>
    <row r="294">
      <c r="A294" s="301"/>
      <c r="B294" s="365"/>
      <c r="C294" s="301"/>
      <c r="D294" s="301"/>
      <c r="E294" s="301"/>
      <c r="F294" s="301"/>
      <c r="G294" s="301"/>
      <c r="H294" s="334"/>
      <c r="I294" s="334"/>
      <c r="J294" s="301"/>
      <c r="K294" s="301"/>
      <c r="L294" s="301"/>
      <c r="M294" s="301"/>
      <c r="N294" s="301"/>
      <c r="O294" s="301"/>
      <c r="P294" s="301"/>
      <c r="Q294" s="301"/>
      <c r="R294" s="301"/>
      <c r="S294" s="301"/>
      <c r="T294" s="366"/>
      <c r="U294" s="301"/>
      <c r="V294" s="301"/>
      <c r="W294" s="301"/>
      <c r="X294" s="301"/>
      <c r="Y294" s="301"/>
      <c r="Z294" s="301"/>
    </row>
    <row r="295">
      <c r="A295" s="301"/>
      <c r="B295" s="365"/>
      <c r="C295" s="301"/>
      <c r="D295" s="301"/>
      <c r="E295" s="301"/>
      <c r="F295" s="301"/>
      <c r="G295" s="301"/>
      <c r="H295" s="334"/>
      <c r="I295" s="334"/>
      <c r="J295" s="301"/>
      <c r="K295" s="301"/>
      <c r="L295" s="301"/>
      <c r="M295" s="301"/>
      <c r="N295" s="301"/>
      <c r="O295" s="301"/>
      <c r="P295" s="301"/>
      <c r="Q295" s="301"/>
      <c r="R295" s="301"/>
      <c r="S295" s="301"/>
      <c r="T295" s="366"/>
      <c r="U295" s="301"/>
      <c r="V295" s="301"/>
      <c r="W295" s="301"/>
      <c r="X295" s="301"/>
      <c r="Y295" s="301"/>
      <c r="Z295" s="301"/>
    </row>
    <row r="296">
      <c r="A296" s="301"/>
      <c r="B296" s="365"/>
      <c r="C296" s="301"/>
      <c r="D296" s="301"/>
      <c r="E296" s="301"/>
      <c r="F296" s="301"/>
      <c r="G296" s="301"/>
      <c r="H296" s="334"/>
      <c r="I296" s="334"/>
      <c r="J296" s="301"/>
      <c r="K296" s="301"/>
      <c r="L296" s="301"/>
      <c r="M296" s="301"/>
      <c r="N296" s="301"/>
      <c r="O296" s="301"/>
      <c r="P296" s="301"/>
      <c r="Q296" s="301"/>
      <c r="R296" s="301"/>
      <c r="S296" s="301"/>
      <c r="T296" s="366"/>
      <c r="U296" s="301"/>
      <c r="V296" s="301"/>
      <c r="W296" s="301"/>
      <c r="X296" s="301"/>
      <c r="Y296" s="301"/>
      <c r="Z296" s="301"/>
    </row>
    <row r="297">
      <c r="A297" s="301"/>
      <c r="B297" s="365"/>
      <c r="C297" s="301"/>
      <c r="D297" s="301"/>
      <c r="E297" s="301"/>
      <c r="F297" s="301"/>
      <c r="G297" s="301"/>
      <c r="H297" s="334"/>
      <c r="I297" s="334"/>
      <c r="J297" s="301"/>
      <c r="K297" s="301"/>
      <c r="L297" s="301"/>
      <c r="M297" s="301"/>
      <c r="N297" s="301"/>
      <c r="O297" s="301"/>
      <c r="P297" s="301"/>
      <c r="Q297" s="301"/>
      <c r="R297" s="301"/>
      <c r="S297" s="301"/>
      <c r="T297" s="366"/>
      <c r="U297" s="301"/>
      <c r="V297" s="301"/>
      <c r="W297" s="301"/>
      <c r="X297" s="301"/>
      <c r="Y297" s="301"/>
      <c r="Z297" s="301"/>
    </row>
    <row r="298">
      <c r="A298" s="301"/>
      <c r="B298" s="365"/>
      <c r="C298" s="301"/>
      <c r="D298" s="301"/>
      <c r="E298" s="301"/>
      <c r="F298" s="301"/>
      <c r="G298" s="301"/>
      <c r="H298" s="334"/>
      <c r="I298" s="334"/>
      <c r="J298" s="301"/>
      <c r="K298" s="301"/>
      <c r="L298" s="301"/>
      <c r="M298" s="301"/>
      <c r="N298" s="301"/>
      <c r="O298" s="301"/>
      <c r="P298" s="301"/>
      <c r="Q298" s="301"/>
      <c r="R298" s="301"/>
      <c r="S298" s="301"/>
      <c r="T298" s="366"/>
      <c r="U298" s="301"/>
      <c r="V298" s="301"/>
      <c r="W298" s="301"/>
      <c r="X298" s="301"/>
      <c r="Y298" s="301"/>
      <c r="Z298" s="301"/>
    </row>
    <row r="299">
      <c r="A299" s="301"/>
      <c r="B299" s="365"/>
      <c r="C299" s="301"/>
      <c r="D299" s="301"/>
      <c r="E299" s="301"/>
      <c r="F299" s="301"/>
      <c r="G299" s="301"/>
      <c r="H299" s="334"/>
      <c r="I299" s="334"/>
      <c r="J299" s="301"/>
      <c r="K299" s="301"/>
      <c r="L299" s="301"/>
      <c r="M299" s="301"/>
      <c r="N299" s="301"/>
      <c r="O299" s="301"/>
      <c r="P299" s="301"/>
      <c r="Q299" s="301"/>
      <c r="R299" s="301"/>
      <c r="S299" s="301"/>
      <c r="T299" s="366"/>
      <c r="U299" s="301"/>
      <c r="V299" s="301"/>
      <c r="W299" s="301"/>
      <c r="X299" s="301"/>
      <c r="Y299" s="301"/>
      <c r="Z299" s="301"/>
    </row>
    <row r="300">
      <c r="A300" s="301"/>
      <c r="B300" s="365"/>
      <c r="C300" s="301"/>
      <c r="D300" s="301"/>
      <c r="E300" s="301"/>
      <c r="F300" s="301"/>
      <c r="G300" s="301"/>
      <c r="H300" s="334"/>
      <c r="I300" s="334"/>
      <c r="J300" s="301"/>
      <c r="K300" s="301"/>
      <c r="L300" s="301"/>
      <c r="M300" s="301"/>
      <c r="N300" s="301"/>
      <c r="O300" s="301"/>
      <c r="P300" s="301"/>
      <c r="Q300" s="301"/>
      <c r="R300" s="301"/>
      <c r="S300" s="301"/>
      <c r="T300" s="366"/>
      <c r="U300" s="301"/>
      <c r="V300" s="301"/>
      <c r="W300" s="301"/>
      <c r="X300" s="301"/>
      <c r="Y300" s="301"/>
      <c r="Z300" s="301"/>
    </row>
    <row r="301">
      <c r="A301" s="301"/>
      <c r="B301" s="365"/>
      <c r="C301" s="301"/>
      <c r="D301" s="301"/>
      <c r="E301" s="301"/>
      <c r="F301" s="301"/>
      <c r="G301" s="301"/>
      <c r="H301" s="334"/>
      <c r="I301" s="334"/>
      <c r="J301" s="301"/>
      <c r="K301" s="301"/>
      <c r="L301" s="301"/>
      <c r="M301" s="301"/>
      <c r="N301" s="301"/>
      <c r="O301" s="301"/>
      <c r="P301" s="301"/>
      <c r="Q301" s="301"/>
      <c r="R301" s="301"/>
      <c r="S301" s="301"/>
      <c r="T301" s="366"/>
      <c r="U301" s="301"/>
      <c r="V301" s="301"/>
      <c r="W301" s="301"/>
      <c r="X301" s="301"/>
      <c r="Y301" s="301"/>
      <c r="Z301" s="301"/>
    </row>
    <row r="302">
      <c r="A302" s="301"/>
      <c r="B302" s="365"/>
      <c r="C302" s="301"/>
      <c r="D302" s="301"/>
      <c r="E302" s="301"/>
      <c r="F302" s="301"/>
      <c r="G302" s="301"/>
      <c r="H302" s="334"/>
      <c r="I302" s="334"/>
      <c r="J302" s="301"/>
      <c r="K302" s="301"/>
      <c r="L302" s="301"/>
      <c r="M302" s="301"/>
      <c r="N302" s="301"/>
      <c r="O302" s="301"/>
      <c r="P302" s="301"/>
      <c r="Q302" s="301"/>
      <c r="R302" s="301"/>
      <c r="S302" s="301"/>
      <c r="T302" s="366"/>
      <c r="U302" s="301"/>
      <c r="V302" s="301"/>
      <c r="W302" s="301"/>
      <c r="X302" s="301"/>
      <c r="Y302" s="301"/>
      <c r="Z302" s="301"/>
    </row>
    <row r="303">
      <c r="A303" s="301"/>
      <c r="B303" s="365"/>
      <c r="C303" s="301"/>
      <c r="D303" s="301"/>
      <c r="E303" s="301"/>
      <c r="F303" s="301"/>
      <c r="G303" s="301"/>
      <c r="H303" s="334"/>
      <c r="I303" s="334"/>
      <c r="J303" s="301"/>
      <c r="K303" s="301"/>
      <c r="L303" s="301"/>
      <c r="M303" s="301"/>
      <c r="N303" s="301"/>
      <c r="O303" s="301"/>
      <c r="P303" s="301"/>
      <c r="Q303" s="301"/>
      <c r="R303" s="301"/>
      <c r="S303" s="301"/>
      <c r="T303" s="366"/>
      <c r="U303" s="301"/>
      <c r="V303" s="301"/>
      <c r="W303" s="301"/>
      <c r="X303" s="301"/>
      <c r="Y303" s="301"/>
      <c r="Z303" s="301"/>
    </row>
    <row r="304">
      <c r="A304" s="301"/>
      <c r="B304" s="365"/>
      <c r="C304" s="301"/>
      <c r="D304" s="301"/>
      <c r="E304" s="301"/>
      <c r="F304" s="301"/>
      <c r="G304" s="301"/>
      <c r="H304" s="334"/>
      <c r="I304" s="334"/>
      <c r="J304" s="301"/>
      <c r="K304" s="301"/>
      <c r="L304" s="301"/>
      <c r="M304" s="301"/>
      <c r="N304" s="301"/>
      <c r="O304" s="301"/>
      <c r="P304" s="301"/>
      <c r="Q304" s="301"/>
      <c r="R304" s="301"/>
      <c r="S304" s="301"/>
      <c r="T304" s="366"/>
      <c r="U304" s="301"/>
      <c r="V304" s="301"/>
      <c r="W304" s="301"/>
      <c r="X304" s="301"/>
      <c r="Y304" s="301"/>
      <c r="Z304" s="301"/>
    </row>
    <row r="305">
      <c r="A305" s="301"/>
      <c r="B305" s="365"/>
      <c r="C305" s="301"/>
      <c r="D305" s="301"/>
      <c r="E305" s="301"/>
      <c r="F305" s="301"/>
      <c r="G305" s="301"/>
      <c r="H305" s="334"/>
      <c r="I305" s="334"/>
      <c r="J305" s="301"/>
      <c r="K305" s="301"/>
      <c r="L305" s="301"/>
      <c r="M305" s="301"/>
      <c r="N305" s="301"/>
      <c r="O305" s="301"/>
      <c r="P305" s="301"/>
      <c r="Q305" s="301"/>
      <c r="R305" s="301"/>
      <c r="S305" s="301"/>
      <c r="T305" s="366"/>
      <c r="U305" s="301"/>
      <c r="V305" s="301"/>
      <c r="W305" s="301"/>
      <c r="X305" s="301"/>
      <c r="Y305" s="301"/>
      <c r="Z305" s="301"/>
    </row>
    <row r="306">
      <c r="A306" s="301"/>
      <c r="B306" s="365"/>
      <c r="C306" s="301"/>
      <c r="D306" s="301"/>
      <c r="E306" s="301"/>
      <c r="F306" s="301"/>
      <c r="G306" s="301"/>
      <c r="H306" s="334"/>
      <c r="I306" s="334"/>
      <c r="J306" s="301"/>
      <c r="K306" s="301"/>
      <c r="L306" s="301"/>
      <c r="M306" s="301"/>
      <c r="N306" s="301"/>
      <c r="O306" s="301"/>
      <c r="P306" s="301"/>
      <c r="Q306" s="301"/>
      <c r="R306" s="301"/>
      <c r="S306" s="301"/>
      <c r="T306" s="366"/>
      <c r="U306" s="301"/>
      <c r="V306" s="301"/>
      <c r="W306" s="301"/>
      <c r="X306" s="301"/>
      <c r="Y306" s="301"/>
      <c r="Z306" s="301"/>
    </row>
    <row r="307">
      <c r="A307" s="301"/>
      <c r="B307" s="365"/>
      <c r="C307" s="301"/>
      <c r="D307" s="301"/>
      <c r="E307" s="301"/>
      <c r="F307" s="301"/>
      <c r="G307" s="301"/>
      <c r="H307" s="334"/>
      <c r="I307" s="334"/>
      <c r="J307" s="301"/>
      <c r="K307" s="301"/>
      <c r="L307" s="301"/>
      <c r="M307" s="301"/>
      <c r="N307" s="301"/>
      <c r="O307" s="301"/>
      <c r="P307" s="301"/>
      <c r="Q307" s="301"/>
      <c r="R307" s="301"/>
      <c r="S307" s="301"/>
      <c r="T307" s="366"/>
      <c r="U307" s="301"/>
      <c r="V307" s="301"/>
      <c r="W307" s="301"/>
      <c r="X307" s="301"/>
      <c r="Y307" s="301"/>
      <c r="Z307" s="301"/>
    </row>
    <row r="308">
      <c r="A308" s="301"/>
      <c r="B308" s="365"/>
      <c r="C308" s="301"/>
      <c r="D308" s="301"/>
      <c r="E308" s="301"/>
      <c r="F308" s="301"/>
      <c r="G308" s="301"/>
      <c r="H308" s="334"/>
      <c r="I308" s="334"/>
      <c r="J308" s="301"/>
      <c r="K308" s="301"/>
      <c r="L308" s="301"/>
      <c r="M308" s="301"/>
      <c r="N308" s="301"/>
      <c r="O308" s="301"/>
      <c r="P308" s="301"/>
      <c r="Q308" s="301"/>
      <c r="R308" s="301"/>
      <c r="S308" s="301"/>
      <c r="T308" s="366"/>
      <c r="U308" s="301"/>
      <c r="V308" s="301"/>
      <c r="W308" s="301"/>
      <c r="X308" s="301"/>
      <c r="Y308" s="301"/>
      <c r="Z308" s="301"/>
    </row>
    <row r="309">
      <c r="A309" s="301"/>
      <c r="B309" s="365"/>
      <c r="C309" s="301"/>
      <c r="D309" s="301"/>
      <c r="E309" s="301"/>
      <c r="F309" s="301"/>
      <c r="G309" s="301"/>
      <c r="H309" s="334"/>
      <c r="I309" s="334"/>
      <c r="J309" s="301"/>
      <c r="K309" s="301"/>
      <c r="L309" s="301"/>
      <c r="M309" s="301"/>
      <c r="N309" s="301"/>
      <c r="O309" s="301"/>
      <c r="P309" s="301"/>
      <c r="Q309" s="301"/>
      <c r="R309" s="301"/>
      <c r="S309" s="301"/>
      <c r="T309" s="366"/>
      <c r="U309" s="301"/>
      <c r="V309" s="301"/>
      <c r="W309" s="301"/>
      <c r="X309" s="301"/>
      <c r="Y309" s="301"/>
      <c r="Z309" s="301"/>
    </row>
    <row r="310">
      <c r="A310" s="301"/>
      <c r="B310" s="365"/>
      <c r="C310" s="301"/>
      <c r="D310" s="301"/>
      <c r="E310" s="301"/>
      <c r="F310" s="301"/>
      <c r="G310" s="301"/>
      <c r="H310" s="334"/>
      <c r="I310" s="334"/>
      <c r="J310" s="301"/>
      <c r="K310" s="301"/>
      <c r="L310" s="301"/>
      <c r="M310" s="301"/>
      <c r="N310" s="301"/>
      <c r="O310" s="301"/>
      <c r="P310" s="301"/>
      <c r="Q310" s="301"/>
      <c r="R310" s="301"/>
      <c r="S310" s="301"/>
      <c r="T310" s="366"/>
      <c r="U310" s="301"/>
      <c r="V310" s="301"/>
      <c r="W310" s="301"/>
      <c r="X310" s="301"/>
      <c r="Y310" s="301"/>
      <c r="Z310" s="301"/>
    </row>
    <row r="311">
      <c r="A311" s="301"/>
      <c r="B311" s="365"/>
      <c r="C311" s="301"/>
      <c r="D311" s="301"/>
      <c r="E311" s="301"/>
      <c r="F311" s="301"/>
      <c r="G311" s="301"/>
      <c r="H311" s="334"/>
      <c r="I311" s="334"/>
      <c r="J311" s="301"/>
      <c r="K311" s="301"/>
      <c r="L311" s="301"/>
      <c r="M311" s="301"/>
      <c r="N311" s="301"/>
      <c r="O311" s="301"/>
      <c r="P311" s="301"/>
      <c r="Q311" s="301"/>
      <c r="R311" s="301"/>
      <c r="S311" s="301"/>
      <c r="T311" s="366"/>
      <c r="U311" s="301"/>
      <c r="V311" s="301"/>
      <c r="W311" s="301"/>
      <c r="X311" s="301"/>
      <c r="Y311" s="301"/>
      <c r="Z311" s="301"/>
    </row>
    <row r="312">
      <c r="A312" s="301"/>
      <c r="B312" s="365"/>
      <c r="C312" s="301"/>
      <c r="D312" s="301"/>
      <c r="E312" s="301"/>
      <c r="F312" s="301"/>
      <c r="G312" s="301"/>
      <c r="H312" s="334"/>
      <c r="I312" s="334"/>
      <c r="J312" s="301"/>
      <c r="K312" s="301"/>
      <c r="L312" s="301"/>
      <c r="M312" s="301"/>
      <c r="N312" s="301"/>
      <c r="O312" s="301"/>
      <c r="P312" s="301"/>
      <c r="Q312" s="301"/>
      <c r="R312" s="301"/>
      <c r="S312" s="301"/>
      <c r="T312" s="366"/>
      <c r="U312" s="301"/>
      <c r="V312" s="301"/>
      <c r="W312" s="301"/>
      <c r="X312" s="301"/>
      <c r="Y312" s="301"/>
      <c r="Z312" s="301"/>
    </row>
    <row r="313">
      <c r="A313" s="301"/>
      <c r="B313" s="365"/>
      <c r="C313" s="301"/>
      <c r="D313" s="301"/>
      <c r="E313" s="301"/>
      <c r="F313" s="301"/>
      <c r="G313" s="301"/>
      <c r="H313" s="334"/>
      <c r="I313" s="334"/>
      <c r="J313" s="301"/>
      <c r="K313" s="301"/>
      <c r="L313" s="301"/>
      <c r="M313" s="301"/>
      <c r="N313" s="301"/>
      <c r="O313" s="301"/>
      <c r="P313" s="301"/>
      <c r="Q313" s="301"/>
      <c r="R313" s="301"/>
      <c r="S313" s="301"/>
      <c r="T313" s="366"/>
      <c r="U313" s="301"/>
      <c r="V313" s="301"/>
      <c r="W313" s="301"/>
      <c r="X313" s="301"/>
      <c r="Y313" s="301"/>
      <c r="Z313" s="301"/>
    </row>
    <row r="314">
      <c r="A314" s="301"/>
      <c r="B314" s="365"/>
      <c r="C314" s="301"/>
      <c r="D314" s="301"/>
      <c r="E314" s="301"/>
      <c r="F314" s="301"/>
      <c r="G314" s="301"/>
      <c r="H314" s="334"/>
      <c r="I314" s="334"/>
      <c r="J314" s="301"/>
      <c r="K314" s="301"/>
      <c r="L314" s="301"/>
      <c r="M314" s="301"/>
      <c r="N314" s="301"/>
      <c r="O314" s="301"/>
      <c r="P314" s="301"/>
      <c r="Q314" s="301"/>
      <c r="R314" s="301"/>
      <c r="S314" s="301"/>
      <c r="T314" s="366"/>
      <c r="U314" s="301"/>
      <c r="V314" s="301"/>
      <c r="W314" s="301"/>
      <c r="X314" s="301"/>
      <c r="Y314" s="301"/>
      <c r="Z314" s="301"/>
    </row>
    <row r="315">
      <c r="A315" s="301"/>
      <c r="B315" s="365"/>
      <c r="C315" s="301"/>
      <c r="D315" s="301"/>
      <c r="E315" s="301"/>
      <c r="F315" s="301"/>
      <c r="G315" s="301"/>
      <c r="H315" s="334"/>
      <c r="I315" s="334"/>
      <c r="J315" s="301"/>
      <c r="K315" s="301"/>
      <c r="L315" s="301"/>
      <c r="M315" s="301"/>
      <c r="N315" s="301"/>
      <c r="O315" s="301"/>
      <c r="P315" s="301"/>
      <c r="Q315" s="301"/>
      <c r="R315" s="301"/>
      <c r="S315" s="301"/>
      <c r="T315" s="366"/>
      <c r="U315" s="301"/>
      <c r="V315" s="301"/>
      <c r="W315" s="301"/>
      <c r="X315" s="301"/>
      <c r="Y315" s="301"/>
      <c r="Z315" s="301"/>
    </row>
    <row r="316">
      <c r="A316" s="301"/>
      <c r="B316" s="365"/>
      <c r="C316" s="301"/>
      <c r="D316" s="301"/>
      <c r="E316" s="301"/>
      <c r="F316" s="301"/>
      <c r="G316" s="301"/>
      <c r="H316" s="334"/>
      <c r="I316" s="334"/>
      <c r="J316" s="301"/>
      <c r="K316" s="301"/>
      <c r="L316" s="301"/>
      <c r="M316" s="301"/>
      <c r="N316" s="301"/>
      <c r="O316" s="301"/>
      <c r="P316" s="301"/>
      <c r="Q316" s="301"/>
      <c r="R316" s="301"/>
      <c r="S316" s="301"/>
      <c r="T316" s="366"/>
      <c r="U316" s="301"/>
      <c r="V316" s="301"/>
      <c r="W316" s="301"/>
      <c r="X316" s="301"/>
      <c r="Y316" s="301"/>
      <c r="Z316" s="301"/>
    </row>
    <row r="317">
      <c r="A317" s="301"/>
      <c r="B317" s="365"/>
      <c r="C317" s="301"/>
      <c r="D317" s="301"/>
      <c r="E317" s="301"/>
      <c r="F317" s="301"/>
      <c r="G317" s="301"/>
      <c r="H317" s="334"/>
      <c r="I317" s="334"/>
      <c r="J317" s="301"/>
      <c r="K317" s="301"/>
      <c r="L317" s="301"/>
      <c r="M317" s="301"/>
      <c r="N317" s="301"/>
      <c r="O317" s="301"/>
      <c r="P317" s="301"/>
      <c r="Q317" s="301"/>
      <c r="R317" s="301"/>
      <c r="S317" s="301"/>
      <c r="T317" s="366"/>
      <c r="U317" s="301"/>
      <c r="V317" s="301"/>
      <c r="W317" s="301"/>
      <c r="X317" s="301"/>
      <c r="Y317" s="301"/>
      <c r="Z317" s="301"/>
    </row>
    <row r="318">
      <c r="A318" s="301"/>
      <c r="B318" s="365"/>
      <c r="C318" s="301"/>
      <c r="D318" s="301"/>
      <c r="E318" s="301"/>
      <c r="F318" s="301"/>
      <c r="G318" s="301"/>
      <c r="H318" s="334"/>
      <c r="I318" s="334"/>
      <c r="J318" s="301"/>
      <c r="K318" s="301"/>
      <c r="L318" s="301"/>
      <c r="M318" s="301"/>
      <c r="N318" s="301"/>
      <c r="O318" s="301"/>
      <c r="P318" s="301"/>
      <c r="Q318" s="301"/>
      <c r="R318" s="301"/>
      <c r="S318" s="301"/>
      <c r="T318" s="366"/>
      <c r="U318" s="301"/>
      <c r="V318" s="301"/>
      <c r="W318" s="301"/>
      <c r="X318" s="301"/>
      <c r="Y318" s="301"/>
      <c r="Z318" s="301"/>
    </row>
    <row r="319">
      <c r="A319" s="301"/>
      <c r="B319" s="365"/>
      <c r="C319" s="301"/>
      <c r="D319" s="301"/>
      <c r="E319" s="301"/>
      <c r="F319" s="301"/>
      <c r="G319" s="301"/>
      <c r="H319" s="334"/>
      <c r="I319" s="334"/>
      <c r="J319" s="301"/>
      <c r="K319" s="301"/>
      <c r="L319" s="301"/>
      <c r="M319" s="301"/>
      <c r="N319" s="301"/>
      <c r="O319" s="301"/>
      <c r="P319" s="301"/>
      <c r="Q319" s="301"/>
      <c r="R319" s="301"/>
      <c r="S319" s="301"/>
      <c r="T319" s="366"/>
      <c r="U319" s="301"/>
      <c r="V319" s="301"/>
      <c r="W319" s="301"/>
      <c r="X319" s="301"/>
      <c r="Y319" s="301"/>
      <c r="Z319" s="301"/>
    </row>
    <row r="320">
      <c r="A320" s="301"/>
      <c r="B320" s="365"/>
      <c r="C320" s="301"/>
      <c r="D320" s="301"/>
      <c r="E320" s="301"/>
      <c r="F320" s="301"/>
      <c r="G320" s="301"/>
      <c r="H320" s="334"/>
      <c r="I320" s="334"/>
      <c r="J320" s="301"/>
      <c r="K320" s="301"/>
      <c r="L320" s="301"/>
      <c r="M320" s="301"/>
      <c r="N320" s="301"/>
      <c r="O320" s="301"/>
      <c r="P320" s="301"/>
      <c r="Q320" s="301"/>
      <c r="R320" s="301"/>
      <c r="S320" s="301"/>
      <c r="T320" s="366"/>
      <c r="U320" s="301"/>
      <c r="V320" s="301"/>
      <c r="W320" s="301"/>
      <c r="X320" s="301"/>
      <c r="Y320" s="301"/>
      <c r="Z320" s="301"/>
    </row>
    <row r="321">
      <c r="A321" s="301"/>
      <c r="B321" s="365"/>
      <c r="C321" s="301"/>
      <c r="D321" s="301"/>
      <c r="E321" s="301"/>
      <c r="F321" s="301"/>
      <c r="G321" s="301"/>
      <c r="H321" s="334"/>
      <c r="I321" s="334"/>
      <c r="J321" s="301"/>
      <c r="K321" s="301"/>
      <c r="L321" s="301"/>
      <c r="M321" s="301"/>
      <c r="N321" s="301"/>
      <c r="O321" s="301"/>
      <c r="P321" s="301"/>
      <c r="Q321" s="301"/>
      <c r="R321" s="301"/>
      <c r="S321" s="301"/>
      <c r="T321" s="366"/>
      <c r="U321" s="301"/>
      <c r="V321" s="301"/>
      <c r="W321" s="301"/>
      <c r="X321" s="301"/>
      <c r="Y321" s="301"/>
      <c r="Z321" s="301"/>
    </row>
    <row r="322">
      <c r="A322" s="301"/>
      <c r="B322" s="365"/>
      <c r="C322" s="301"/>
      <c r="D322" s="301"/>
      <c r="E322" s="301"/>
      <c r="F322" s="301"/>
      <c r="G322" s="301"/>
      <c r="H322" s="334"/>
      <c r="I322" s="334"/>
      <c r="J322" s="301"/>
      <c r="K322" s="301"/>
      <c r="L322" s="301"/>
      <c r="M322" s="301"/>
      <c r="N322" s="301"/>
      <c r="O322" s="301"/>
      <c r="P322" s="301"/>
      <c r="Q322" s="301"/>
      <c r="R322" s="301"/>
      <c r="S322" s="301"/>
      <c r="T322" s="366"/>
      <c r="U322" s="301"/>
      <c r="V322" s="301"/>
      <c r="W322" s="301"/>
      <c r="X322" s="301"/>
      <c r="Y322" s="301"/>
      <c r="Z322" s="301"/>
    </row>
    <row r="323">
      <c r="A323" s="301"/>
      <c r="B323" s="365"/>
      <c r="C323" s="301"/>
      <c r="D323" s="301"/>
      <c r="E323" s="301"/>
      <c r="F323" s="301"/>
      <c r="G323" s="301"/>
      <c r="H323" s="334"/>
      <c r="I323" s="334"/>
      <c r="J323" s="301"/>
      <c r="K323" s="301"/>
      <c r="L323" s="301"/>
      <c r="M323" s="301"/>
      <c r="N323" s="301"/>
      <c r="O323" s="301"/>
      <c r="P323" s="301"/>
      <c r="Q323" s="301"/>
      <c r="R323" s="301"/>
      <c r="S323" s="301"/>
      <c r="T323" s="366"/>
      <c r="U323" s="301"/>
      <c r="V323" s="301"/>
      <c r="W323" s="301"/>
      <c r="X323" s="301"/>
      <c r="Y323" s="301"/>
      <c r="Z323" s="301"/>
    </row>
    <row r="324">
      <c r="A324" s="301"/>
      <c r="B324" s="365"/>
      <c r="C324" s="301"/>
      <c r="D324" s="301"/>
      <c r="E324" s="301"/>
      <c r="F324" s="301"/>
      <c r="G324" s="301"/>
      <c r="H324" s="334"/>
      <c r="I324" s="334"/>
      <c r="J324" s="301"/>
      <c r="K324" s="301"/>
      <c r="L324" s="301"/>
      <c r="M324" s="301"/>
      <c r="N324" s="301"/>
      <c r="O324" s="301"/>
      <c r="P324" s="301"/>
      <c r="Q324" s="301"/>
      <c r="R324" s="301"/>
      <c r="S324" s="301"/>
      <c r="T324" s="366"/>
      <c r="U324" s="301"/>
      <c r="V324" s="301"/>
      <c r="W324" s="301"/>
      <c r="X324" s="301"/>
      <c r="Y324" s="301"/>
      <c r="Z324" s="301"/>
    </row>
    <row r="325">
      <c r="A325" s="301"/>
      <c r="B325" s="365"/>
      <c r="C325" s="301"/>
      <c r="D325" s="301"/>
      <c r="E325" s="301"/>
      <c r="F325" s="301"/>
      <c r="G325" s="301"/>
      <c r="H325" s="334"/>
      <c r="I325" s="334"/>
      <c r="J325" s="301"/>
      <c r="K325" s="301"/>
      <c r="L325" s="301"/>
      <c r="M325" s="301"/>
      <c r="N325" s="301"/>
      <c r="O325" s="301"/>
      <c r="P325" s="301"/>
      <c r="Q325" s="301"/>
      <c r="R325" s="301"/>
      <c r="S325" s="301"/>
      <c r="T325" s="366"/>
      <c r="U325" s="301"/>
      <c r="V325" s="301"/>
      <c r="W325" s="301"/>
      <c r="X325" s="301"/>
      <c r="Y325" s="301"/>
      <c r="Z325" s="301"/>
    </row>
    <row r="326">
      <c r="A326" s="301"/>
      <c r="B326" s="365"/>
      <c r="C326" s="301"/>
      <c r="D326" s="301"/>
      <c r="E326" s="301"/>
      <c r="F326" s="301"/>
      <c r="G326" s="301"/>
      <c r="H326" s="334"/>
      <c r="I326" s="334"/>
      <c r="J326" s="301"/>
      <c r="K326" s="301"/>
      <c r="L326" s="301"/>
      <c r="M326" s="301"/>
      <c r="N326" s="301"/>
      <c r="O326" s="301"/>
      <c r="P326" s="301"/>
      <c r="Q326" s="301"/>
      <c r="R326" s="301"/>
      <c r="S326" s="301"/>
      <c r="T326" s="366"/>
      <c r="U326" s="301"/>
      <c r="V326" s="301"/>
      <c r="W326" s="301"/>
      <c r="X326" s="301"/>
      <c r="Y326" s="301"/>
      <c r="Z326" s="301"/>
    </row>
    <row r="327">
      <c r="A327" s="301"/>
      <c r="B327" s="365"/>
      <c r="C327" s="301"/>
      <c r="D327" s="301"/>
      <c r="E327" s="301"/>
      <c r="F327" s="301"/>
      <c r="G327" s="301"/>
      <c r="H327" s="334"/>
      <c r="I327" s="334"/>
      <c r="J327" s="301"/>
      <c r="K327" s="301"/>
      <c r="L327" s="301"/>
      <c r="M327" s="301"/>
      <c r="N327" s="301"/>
      <c r="O327" s="301"/>
      <c r="P327" s="301"/>
      <c r="Q327" s="301"/>
      <c r="R327" s="301"/>
      <c r="S327" s="301"/>
      <c r="T327" s="366"/>
      <c r="U327" s="301"/>
      <c r="V327" s="301"/>
      <c r="W327" s="301"/>
      <c r="X327" s="301"/>
      <c r="Y327" s="301"/>
      <c r="Z327" s="301"/>
    </row>
    <row r="328">
      <c r="A328" s="301"/>
      <c r="B328" s="365"/>
      <c r="C328" s="301"/>
      <c r="D328" s="301"/>
      <c r="E328" s="301"/>
      <c r="F328" s="301"/>
      <c r="G328" s="301"/>
      <c r="H328" s="334"/>
      <c r="I328" s="334"/>
      <c r="J328" s="301"/>
      <c r="K328" s="301"/>
      <c r="L328" s="301"/>
      <c r="M328" s="301"/>
      <c r="N328" s="301"/>
      <c r="O328" s="301"/>
      <c r="P328" s="301"/>
      <c r="Q328" s="301"/>
      <c r="R328" s="301"/>
      <c r="S328" s="301"/>
      <c r="T328" s="366"/>
      <c r="U328" s="301"/>
      <c r="V328" s="301"/>
      <c r="W328" s="301"/>
      <c r="X328" s="301"/>
      <c r="Y328" s="301"/>
      <c r="Z328" s="301"/>
    </row>
    <row r="329">
      <c r="A329" s="301"/>
      <c r="B329" s="365"/>
      <c r="C329" s="301"/>
      <c r="D329" s="301"/>
      <c r="E329" s="301"/>
      <c r="F329" s="301"/>
      <c r="G329" s="301"/>
      <c r="H329" s="334"/>
      <c r="I329" s="334"/>
      <c r="J329" s="301"/>
      <c r="K329" s="301"/>
      <c r="L329" s="301"/>
      <c r="M329" s="301"/>
      <c r="N329" s="301"/>
      <c r="O329" s="301"/>
      <c r="P329" s="301"/>
      <c r="Q329" s="301"/>
      <c r="R329" s="301"/>
      <c r="S329" s="301"/>
      <c r="T329" s="366"/>
      <c r="U329" s="301"/>
      <c r="V329" s="301"/>
      <c r="W329" s="301"/>
      <c r="X329" s="301"/>
      <c r="Y329" s="301"/>
      <c r="Z329" s="301"/>
    </row>
    <row r="330">
      <c r="A330" s="301"/>
      <c r="B330" s="365"/>
      <c r="C330" s="301"/>
      <c r="D330" s="301"/>
      <c r="E330" s="301"/>
      <c r="F330" s="301"/>
      <c r="G330" s="301"/>
      <c r="H330" s="334"/>
      <c r="I330" s="334"/>
      <c r="J330" s="301"/>
      <c r="K330" s="301"/>
      <c r="L330" s="301"/>
      <c r="M330" s="301"/>
      <c r="N330" s="301"/>
      <c r="O330" s="301"/>
      <c r="P330" s="301"/>
      <c r="Q330" s="301"/>
      <c r="R330" s="301"/>
      <c r="S330" s="301"/>
      <c r="T330" s="366"/>
      <c r="U330" s="301"/>
      <c r="V330" s="301"/>
      <c r="W330" s="301"/>
      <c r="X330" s="301"/>
      <c r="Y330" s="301"/>
      <c r="Z330" s="301"/>
    </row>
    <row r="331">
      <c r="A331" s="301"/>
      <c r="B331" s="365"/>
      <c r="C331" s="301"/>
      <c r="D331" s="301"/>
      <c r="E331" s="301"/>
      <c r="F331" s="301"/>
      <c r="G331" s="301"/>
      <c r="H331" s="334"/>
      <c r="I331" s="334"/>
      <c r="J331" s="301"/>
      <c r="K331" s="301"/>
      <c r="L331" s="301"/>
      <c r="M331" s="301"/>
      <c r="N331" s="301"/>
      <c r="O331" s="301"/>
      <c r="P331" s="301"/>
      <c r="Q331" s="301"/>
      <c r="R331" s="301"/>
      <c r="S331" s="301"/>
      <c r="T331" s="366"/>
      <c r="U331" s="301"/>
      <c r="V331" s="301"/>
      <c r="W331" s="301"/>
      <c r="X331" s="301"/>
      <c r="Y331" s="301"/>
      <c r="Z331" s="301"/>
    </row>
    <row r="332">
      <c r="A332" s="301"/>
      <c r="B332" s="365"/>
      <c r="C332" s="301"/>
      <c r="D332" s="301"/>
      <c r="E332" s="301"/>
      <c r="F332" s="301"/>
      <c r="G332" s="301"/>
      <c r="H332" s="334"/>
      <c r="I332" s="334"/>
      <c r="J332" s="301"/>
      <c r="K332" s="301"/>
      <c r="L332" s="301"/>
      <c r="M332" s="301"/>
      <c r="N332" s="301"/>
      <c r="O332" s="301"/>
      <c r="P332" s="301"/>
      <c r="Q332" s="301"/>
      <c r="R332" s="301"/>
      <c r="S332" s="301"/>
      <c r="T332" s="366"/>
      <c r="U332" s="301"/>
      <c r="V332" s="301"/>
      <c r="W332" s="301"/>
      <c r="X332" s="301"/>
      <c r="Y332" s="301"/>
      <c r="Z332" s="301"/>
    </row>
    <row r="333">
      <c r="A333" s="301"/>
      <c r="B333" s="365"/>
      <c r="C333" s="301"/>
      <c r="D333" s="301"/>
      <c r="E333" s="301"/>
      <c r="F333" s="301"/>
      <c r="G333" s="301"/>
      <c r="H333" s="334"/>
      <c r="I333" s="334"/>
      <c r="J333" s="301"/>
      <c r="K333" s="301"/>
      <c r="L333" s="301"/>
      <c r="M333" s="301"/>
      <c r="N333" s="301"/>
      <c r="O333" s="301"/>
      <c r="P333" s="301"/>
      <c r="Q333" s="301"/>
      <c r="R333" s="301"/>
      <c r="S333" s="301"/>
      <c r="T333" s="366"/>
      <c r="U333" s="301"/>
      <c r="V333" s="301"/>
      <c r="W333" s="301"/>
      <c r="X333" s="301"/>
      <c r="Y333" s="301"/>
      <c r="Z333" s="301"/>
    </row>
    <row r="334">
      <c r="A334" s="301"/>
      <c r="B334" s="365"/>
      <c r="C334" s="301"/>
      <c r="D334" s="301"/>
      <c r="E334" s="301"/>
      <c r="F334" s="301"/>
      <c r="G334" s="301"/>
      <c r="H334" s="334"/>
      <c r="I334" s="334"/>
      <c r="J334" s="301"/>
      <c r="K334" s="301"/>
      <c r="L334" s="301"/>
      <c r="M334" s="301"/>
      <c r="N334" s="301"/>
      <c r="O334" s="301"/>
      <c r="P334" s="301"/>
      <c r="Q334" s="301"/>
      <c r="R334" s="301"/>
      <c r="S334" s="301"/>
      <c r="T334" s="366"/>
      <c r="U334" s="301"/>
      <c r="V334" s="301"/>
      <c r="W334" s="301"/>
      <c r="X334" s="301"/>
      <c r="Y334" s="301"/>
      <c r="Z334" s="301"/>
    </row>
    <row r="335">
      <c r="A335" s="301"/>
      <c r="B335" s="365"/>
      <c r="C335" s="301"/>
      <c r="D335" s="301"/>
      <c r="E335" s="301"/>
      <c r="F335" s="301"/>
      <c r="G335" s="301"/>
      <c r="H335" s="334"/>
      <c r="I335" s="334"/>
      <c r="J335" s="301"/>
      <c r="K335" s="301"/>
      <c r="L335" s="301"/>
      <c r="M335" s="301"/>
      <c r="N335" s="301"/>
      <c r="O335" s="301"/>
      <c r="P335" s="301"/>
      <c r="Q335" s="301"/>
      <c r="R335" s="301"/>
      <c r="S335" s="301"/>
      <c r="T335" s="366"/>
      <c r="U335" s="301"/>
      <c r="V335" s="301"/>
      <c r="W335" s="301"/>
      <c r="X335" s="301"/>
      <c r="Y335" s="301"/>
      <c r="Z335" s="301"/>
    </row>
    <row r="336">
      <c r="A336" s="301"/>
      <c r="B336" s="365"/>
      <c r="C336" s="301"/>
      <c r="D336" s="301"/>
      <c r="E336" s="301"/>
      <c r="F336" s="301"/>
      <c r="G336" s="301"/>
      <c r="H336" s="334"/>
      <c r="I336" s="334"/>
      <c r="J336" s="301"/>
      <c r="K336" s="301"/>
      <c r="L336" s="301"/>
      <c r="M336" s="301"/>
      <c r="N336" s="301"/>
      <c r="O336" s="301"/>
      <c r="P336" s="301"/>
      <c r="Q336" s="301"/>
      <c r="R336" s="301"/>
      <c r="S336" s="301"/>
      <c r="T336" s="366"/>
      <c r="U336" s="301"/>
      <c r="V336" s="301"/>
      <c r="W336" s="301"/>
      <c r="X336" s="301"/>
      <c r="Y336" s="301"/>
      <c r="Z336" s="301"/>
    </row>
    <row r="337">
      <c r="A337" s="301"/>
      <c r="B337" s="365"/>
      <c r="C337" s="301"/>
      <c r="D337" s="301"/>
      <c r="E337" s="301"/>
      <c r="F337" s="301"/>
      <c r="G337" s="301"/>
      <c r="H337" s="334"/>
      <c r="I337" s="334"/>
      <c r="J337" s="301"/>
      <c r="K337" s="301"/>
      <c r="L337" s="301"/>
      <c r="M337" s="301"/>
      <c r="N337" s="301"/>
      <c r="O337" s="301"/>
      <c r="P337" s="301"/>
      <c r="Q337" s="301"/>
      <c r="R337" s="301"/>
      <c r="S337" s="301"/>
      <c r="T337" s="366"/>
      <c r="U337" s="301"/>
      <c r="V337" s="301"/>
      <c r="W337" s="301"/>
      <c r="X337" s="301"/>
      <c r="Y337" s="301"/>
      <c r="Z337" s="301"/>
    </row>
    <row r="338">
      <c r="A338" s="301"/>
      <c r="B338" s="365"/>
      <c r="C338" s="301"/>
      <c r="D338" s="301"/>
      <c r="E338" s="301"/>
      <c r="F338" s="301"/>
      <c r="G338" s="301"/>
      <c r="H338" s="334"/>
      <c r="I338" s="334"/>
      <c r="J338" s="301"/>
      <c r="K338" s="301"/>
      <c r="L338" s="301"/>
      <c r="M338" s="301"/>
      <c r="N338" s="301"/>
      <c r="O338" s="301"/>
      <c r="P338" s="301"/>
      <c r="Q338" s="301"/>
      <c r="R338" s="301"/>
      <c r="S338" s="301"/>
      <c r="T338" s="366"/>
      <c r="U338" s="301"/>
      <c r="V338" s="301"/>
      <c r="W338" s="301"/>
      <c r="X338" s="301"/>
      <c r="Y338" s="301"/>
      <c r="Z338" s="301"/>
    </row>
    <row r="339">
      <c r="A339" s="301"/>
      <c r="B339" s="365"/>
      <c r="C339" s="301"/>
      <c r="D339" s="301"/>
      <c r="E339" s="301"/>
      <c r="F339" s="301"/>
      <c r="G339" s="301"/>
      <c r="H339" s="334"/>
      <c r="I339" s="334"/>
      <c r="J339" s="301"/>
      <c r="K339" s="301"/>
      <c r="L339" s="301"/>
      <c r="M339" s="301"/>
      <c r="N339" s="301"/>
      <c r="O339" s="301"/>
      <c r="P339" s="301"/>
      <c r="Q339" s="301"/>
      <c r="R339" s="301"/>
      <c r="S339" s="301"/>
      <c r="T339" s="366"/>
      <c r="U339" s="301"/>
      <c r="V339" s="301"/>
      <c r="W339" s="301"/>
      <c r="X339" s="301"/>
      <c r="Y339" s="301"/>
      <c r="Z339" s="301"/>
    </row>
    <row r="340">
      <c r="A340" s="301"/>
      <c r="B340" s="365"/>
      <c r="C340" s="301"/>
      <c r="D340" s="301"/>
      <c r="E340" s="301"/>
      <c r="F340" s="301"/>
      <c r="G340" s="301"/>
      <c r="H340" s="334"/>
      <c r="I340" s="334"/>
      <c r="J340" s="301"/>
      <c r="K340" s="301"/>
      <c r="L340" s="301"/>
      <c r="M340" s="301"/>
      <c r="N340" s="301"/>
      <c r="O340" s="301"/>
      <c r="P340" s="301"/>
      <c r="Q340" s="301"/>
      <c r="R340" s="301"/>
      <c r="S340" s="301"/>
      <c r="T340" s="366"/>
      <c r="U340" s="301"/>
      <c r="V340" s="301"/>
      <c r="W340" s="301"/>
      <c r="X340" s="301"/>
      <c r="Y340" s="301"/>
      <c r="Z340" s="301"/>
    </row>
    <row r="341">
      <c r="A341" s="301"/>
      <c r="B341" s="365"/>
      <c r="C341" s="301"/>
      <c r="D341" s="301"/>
      <c r="E341" s="301"/>
      <c r="F341" s="301"/>
      <c r="G341" s="301"/>
      <c r="H341" s="334"/>
      <c r="I341" s="334"/>
      <c r="J341" s="301"/>
      <c r="K341" s="301"/>
      <c r="L341" s="301"/>
      <c r="M341" s="301"/>
      <c r="N341" s="301"/>
      <c r="O341" s="301"/>
      <c r="P341" s="301"/>
      <c r="Q341" s="301"/>
      <c r="R341" s="301"/>
      <c r="S341" s="301"/>
      <c r="T341" s="366"/>
      <c r="U341" s="301"/>
      <c r="V341" s="301"/>
      <c r="W341" s="301"/>
      <c r="X341" s="301"/>
      <c r="Y341" s="301"/>
      <c r="Z341" s="301"/>
    </row>
    <row r="342">
      <c r="A342" s="301"/>
      <c r="B342" s="365"/>
      <c r="C342" s="301"/>
      <c r="D342" s="301"/>
      <c r="E342" s="301"/>
      <c r="F342" s="301"/>
      <c r="G342" s="301"/>
      <c r="H342" s="334"/>
      <c r="I342" s="334"/>
      <c r="J342" s="301"/>
      <c r="K342" s="301"/>
      <c r="L342" s="301"/>
      <c r="M342" s="301"/>
      <c r="N342" s="301"/>
      <c r="O342" s="301"/>
      <c r="P342" s="301"/>
      <c r="Q342" s="301"/>
      <c r="R342" s="301"/>
      <c r="S342" s="301"/>
      <c r="T342" s="366"/>
      <c r="U342" s="301"/>
      <c r="V342" s="301"/>
      <c r="W342" s="301"/>
      <c r="X342" s="301"/>
      <c r="Y342" s="301"/>
      <c r="Z342" s="301"/>
    </row>
    <row r="343">
      <c r="A343" s="301"/>
      <c r="B343" s="365"/>
      <c r="C343" s="301"/>
      <c r="D343" s="301"/>
      <c r="E343" s="301"/>
      <c r="F343" s="301"/>
      <c r="G343" s="301"/>
      <c r="H343" s="334"/>
      <c r="I343" s="334"/>
      <c r="J343" s="301"/>
      <c r="K343" s="301"/>
      <c r="L343" s="301"/>
      <c r="M343" s="301"/>
      <c r="N343" s="301"/>
      <c r="O343" s="301"/>
      <c r="P343" s="301"/>
      <c r="Q343" s="301"/>
      <c r="R343" s="301"/>
      <c r="S343" s="301"/>
      <c r="T343" s="366"/>
      <c r="U343" s="301"/>
      <c r="V343" s="301"/>
      <c r="W343" s="301"/>
      <c r="X343" s="301"/>
      <c r="Y343" s="301"/>
      <c r="Z343" s="301"/>
    </row>
    <row r="344">
      <c r="A344" s="301"/>
      <c r="B344" s="365"/>
      <c r="C344" s="301"/>
      <c r="D344" s="301"/>
      <c r="E344" s="301"/>
      <c r="F344" s="301"/>
      <c r="G344" s="301"/>
      <c r="H344" s="334"/>
      <c r="I344" s="334"/>
      <c r="J344" s="301"/>
      <c r="K344" s="301"/>
      <c r="L344" s="301"/>
      <c r="M344" s="301"/>
      <c r="N344" s="301"/>
      <c r="O344" s="301"/>
      <c r="P344" s="301"/>
      <c r="Q344" s="301"/>
      <c r="R344" s="301"/>
      <c r="S344" s="301"/>
      <c r="T344" s="366"/>
      <c r="U344" s="301"/>
      <c r="V344" s="301"/>
      <c r="W344" s="301"/>
      <c r="X344" s="301"/>
      <c r="Y344" s="301"/>
      <c r="Z344" s="301"/>
    </row>
    <row r="345">
      <c r="A345" s="301"/>
      <c r="B345" s="365"/>
      <c r="C345" s="301"/>
      <c r="D345" s="301"/>
      <c r="E345" s="301"/>
      <c r="F345" s="301"/>
      <c r="G345" s="301"/>
      <c r="H345" s="334"/>
      <c r="I345" s="334"/>
      <c r="J345" s="301"/>
      <c r="K345" s="301"/>
      <c r="L345" s="301"/>
      <c r="M345" s="301"/>
      <c r="N345" s="301"/>
      <c r="O345" s="301"/>
      <c r="P345" s="301"/>
      <c r="Q345" s="301"/>
      <c r="R345" s="301"/>
      <c r="S345" s="301"/>
      <c r="T345" s="366"/>
      <c r="U345" s="301"/>
      <c r="V345" s="301"/>
      <c r="W345" s="301"/>
      <c r="X345" s="301"/>
      <c r="Y345" s="301"/>
      <c r="Z345" s="301"/>
    </row>
    <row r="346">
      <c r="A346" s="301"/>
      <c r="B346" s="365"/>
      <c r="C346" s="301"/>
      <c r="D346" s="301"/>
      <c r="E346" s="301"/>
      <c r="F346" s="301"/>
      <c r="G346" s="301"/>
      <c r="H346" s="334"/>
      <c r="I346" s="334"/>
      <c r="J346" s="301"/>
      <c r="K346" s="301"/>
      <c r="L346" s="301"/>
      <c r="M346" s="301"/>
      <c r="N346" s="301"/>
      <c r="O346" s="301"/>
      <c r="P346" s="301"/>
      <c r="Q346" s="301"/>
      <c r="R346" s="301"/>
      <c r="S346" s="301"/>
      <c r="T346" s="366"/>
      <c r="U346" s="301"/>
      <c r="V346" s="301"/>
      <c r="W346" s="301"/>
      <c r="X346" s="301"/>
      <c r="Y346" s="301"/>
      <c r="Z346" s="301"/>
    </row>
    <row r="347">
      <c r="A347" s="301"/>
      <c r="B347" s="365"/>
      <c r="C347" s="301"/>
      <c r="D347" s="301"/>
      <c r="E347" s="301"/>
      <c r="F347" s="301"/>
      <c r="G347" s="301"/>
      <c r="H347" s="334"/>
      <c r="I347" s="334"/>
      <c r="J347" s="301"/>
      <c r="K347" s="301"/>
      <c r="L347" s="301"/>
      <c r="M347" s="301"/>
      <c r="N347" s="301"/>
      <c r="O347" s="301"/>
      <c r="P347" s="301"/>
      <c r="Q347" s="301"/>
      <c r="R347" s="301"/>
      <c r="S347" s="301"/>
      <c r="T347" s="366"/>
      <c r="U347" s="301"/>
      <c r="V347" s="301"/>
      <c r="W347" s="301"/>
      <c r="X347" s="301"/>
      <c r="Y347" s="301"/>
      <c r="Z347" s="301"/>
    </row>
    <row r="348">
      <c r="A348" s="301"/>
      <c r="B348" s="365"/>
      <c r="C348" s="301"/>
      <c r="D348" s="301"/>
      <c r="E348" s="301"/>
      <c r="F348" s="301"/>
      <c r="G348" s="301"/>
      <c r="H348" s="334"/>
      <c r="I348" s="334"/>
      <c r="J348" s="301"/>
      <c r="K348" s="301"/>
      <c r="L348" s="301"/>
      <c r="M348" s="301"/>
      <c r="N348" s="301"/>
      <c r="O348" s="301"/>
      <c r="P348" s="301"/>
      <c r="Q348" s="301"/>
      <c r="R348" s="301"/>
      <c r="S348" s="301"/>
      <c r="T348" s="366"/>
      <c r="U348" s="301"/>
      <c r="V348" s="301"/>
      <c r="W348" s="301"/>
      <c r="X348" s="301"/>
      <c r="Y348" s="301"/>
      <c r="Z348" s="301"/>
    </row>
    <row r="349">
      <c r="A349" s="301"/>
      <c r="B349" s="365"/>
      <c r="C349" s="301"/>
      <c r="D349" s="301"/>
      <c r="E349" s="301"/>
      <c r="F349" s="301"/>
      <c r="G349" s="301"/>
      <c r="H349" s="334"/>
      <c r="I349" s="334"/>
      <c r="J349" s="301"/>
      <c r="K349" s="301"/>
      <c r="L349" s="301"/>
      <c r="M349" s="301"/>
      <c r="N349" s="301"/>
      <c r="O349" s="301"/>
      <c r="P349" s="301"/>
      <c r="Q349" s="301"/>
      <c r="R349" s="301"/>
      <c r="S349" s="301"/>
      <c r="T349" s="366"/>
      <c r="U349" s="301"/>
      <c r="V349" s="301"/>
      <c r="W349" s="301"/>
      <c r="X349" s="301"/>
      <c r="Y349" s="301"/>
      <c r="Z349" s="301"/>
    </row>
    <row r="350">
      <c r="A350" s="301"/>
      <c r="B350" s="365"/>
      <c r="C350" s="301"/>
      <c r="D350" s="301"/>
      <c r="E350" s="301"/>
      <c r="F350" s="301"/>
      <c r="G350" s="301"/>
      <c r="H350" s="334"/>
      <c r="I350" s="334"/>
      <c r="J350" s="301"/>
      <c r="K350" s="301"/>
      <c r="L350" s="301"/>
      <c r="M350" s="301"/>
      <c r="N350" s="301"/>
      <c r="O350" s="301"/>
      <c r="P350" s="301"/>
      <c r="Q350" s="301"/>
      <c r="R350" s="301"/>
      <c r="S350" s="301"/>
      <c r="T350" s="366"/>
      <c r="U350" s="301"/>
      <c r="V350" s="301"/>
      <c r="W350" s="301"/>
      <c r="X350" s="301"/>
      <c r="Y350" s="301"/>
      <c r="Z350" s="301"/>
    </row>
    <row r="351">
      <c r="A351" s="301"/>
      <c r="B351" s="365"/>
      <c r="C351" s="301"/>
      <c r="D351" s="301"/>
      <c r="E351" s="301"/>
      <c r="F351" s="301"/>
      <c r="G351" s="301"/>
      <c r="H351" s="334"/>
      <c r="I351" s="334"/>
      <c r="J351" s="301"/>
      <c r="K351" s="301"/>
      <c r="L351" s="301"/>
      <c r="M351" s="301"/>
      <c r="N351" s="301"/>
      <c r="O351" s="301"/>
      <c r="P351" s="301"/>
      <c r="Q351" s="301"/>
      <c r="R351" s="301"/>
      <c r="S351" s="301"/>
      <c r="T351" s="366"/>
      <c r="U351" s="301"/>
      <c r="V351" s="301"/>
      <c r="W351" s="301"/>
      <c r="X351" s="301"/>
      <c r="Y351" s="301"/>
      <c r="Z351" s="301"/>
    </row>
    <row r="352">
      <c r="A352" s="301"/>
      <c r="B352" s="365"/>
      <c r="C352" s="301"/>
      <c r="D352" s="301"/>
      <c r="E352" s="301"/>
      <c r="F352" s="301"/>
      <c r="G352" s="301"/>
      <c r="H352" s="334"/>
      <c r="I352" s="334"/>
      <c r="J352" s="301"/>
      <c r="K352" s="301"/>
      <c r="L352" s="301"/>
      <c r="M352" s="301"/>
      <c r="N352" s="301"/>
      <c r="O352" s="301"/>
      <c r="P352" s="301"/>
      <c r="Q352" s="301"/>
      <c r="R352" s="301"/>
      <c r="S352" s="301"/>
      <c r="T352" s="366"/>
      <c r="U352" s="301"/>
      <c r="V352" s="301"/>
      <c r="W352" s="301"/>
      <c r="X352" s="301"/>
      <c r="Y352" s="301"/>
      <c r="Z352" s="301"/>
    </row>
    <row r="353">
      <c r="A353" s="301"/>
      <c r="B353" s="365"/>
      <c r="C353" s="301"/>
      <c r="D353" s="301"/>
      <c r="E353" s="301"/>
      <c r="F353" s="301"/>
      <c r="G353" s="301"/>
      <c r="H353" s="334"/>
      <c r="I353" s="334"/>
      <c r="J353" s="301"/>
      <c r="K353" s="301"/>
      <c r="L353" s="301"/>
      <c r="M353" s="301"/>
      <c r="N353" s="301"/>
      <c r="O353" s="301"/>
      <c r="P353" s="301"/>
      <c r="Q353" s="301"/>
      <c r="R353" s="301"/>
      <c r="S353" s="301"/>
      <c r="T353" s="366"/>
      <c r="U353" s="301"/>
      <c r="V353" s="301"/>
      <c r="W353" s="301"/>
      <c r="X353" s="301"/>
      <c r="Y353" s="301"/>
      <c r="Z353" s="301"/>
    </row>
    <row r="354">
      <c r="A354" s="301"/>
      <c r="B354" s="365"/>
      <c r="C354" s="301"/>
      <c r="D354" s="301"/>
      <c r="E354" s="301"/>
      <c r="F354" s="301"/>
      <c r="G354" s="301"/>
      <c r="H354" s="334"/>
      <c r="I354" s="334"/>
      <c r="J354" s="301"/>
      <c r="K354" s="301"/>
      <c r="L354" s="301"/>
      <c r="M354" s="301"/>
      <c r="N354" s="301"/>
      <c r="O354" s="301"/>
      <c r="P354" s="301"/>
      <c r="Q354" s="301"/>
      <c r="R354" s="301"/>
      <c r="S354" s="301"/>
      <c r="T354" s="366"/>
      <c r="U354" s="301"/>
      <c r="V354" s="301"/>
      <c r="W354" s="301"/>
      <c r="X354" s="301"/>
      <c r="Y354" s="301"/>
      <c r="Z354" s="301"/>
    </row>
    <row r="355">
      <c r="A355" s="301"/>
      <c r="B355" s="365"/>
      <c r="C355" s="301"/>
      <c r="D355" s="301"/>
      <c r="E355" s="301"/>
      <c r="F355" s="301"/>
      <c r="G355" s="301"/>
      <c r="H355" s="334"/>
      <c r="I355" s="334"/>
      <c r="J355" s="301"/>
      <c r="K355" s="301"/>
      <c r="L355" s="301"/>
      <c r="M355" s="301"/>
      <c r="N355" s="301"/>
      <c r="O355" s="301"/>
      <c r="P355" s="301"/>
      <c r="Q355" s="301"/>
      <c r="R355" s="301"/>
      <c r="S355" s="301"/>
      <c r="T355" s="366"/>
      <c r="U355" s="301"/>
      <c r="V355" s="301"/>
      <c r="W355" s="301"/>
      <c r="X355" s="301"/>
      <c r="Y355" s="301"/>
      <c r="Z355" s="301"/>
    </row>
    <row r="356">
      <c r="A356" s="301"/>
      <c r="B356" s="365"/>
      <c r="C356" s="301"/>
      <c r="D356" s="301"/>
      <c r="E356" s="301"/>
      <c r="F356" s="301"/>
      <c r="G356" s="301"/>
      <c r="H356" s="334"/>
      <c r="I356" s="334"/>
      <c r="J356" s="301"/>
      <c r="K356" s="301"/>
      <c r="L356" s="301"/>
      <c r="M356" s="301"/>
      <c r="N356" s="301"/>
      <c r="O356" s="301"/>
      <c r="P356" s="301"/>
      <c r="Q356" s="301"/>
      <c r="R356" s="301"/>
      <c r="S356" s="301"/>
      <c r="T356" s="366"/>
      <c r="U356" s="301"/>
      <c r="V356" s="301"/>
      <c r="W356" s="301"/>
      <c r="X356" s="301"/>
      <c r="Y356" s="301"/>
      <c r="Z356" s="301"/>
    </row>
    <row r="357">
      <c r="A357" s="301"/>
      <c r="B357" s="365"/>
      <c r="C357" s="301"/>
      <c r="D357" s="301"/>
      <c r="E357" s="301"/>
      <c r="F357" s="301"/>
      <c r="G357" s="301"/>
      <c r="H357" s="334"/>
      <c r="I357" s="334"/>
      <c r="J357" s="301"/>
      <c r="K357" s="301"/>
      <c r="L357" s="301"/>
      <c r="M357" s="301"/>
      <c r="N357" s="301"/>
      <c r="O357" s="301"/>
      <c r="P357" s="301"/>
      <c r="Q357" s="301"/>
      <c r="R357" s="301"/>
      <c r="S357" s="301"/>
      <c r="T357" s="366"/>
      <c r="U357" s="301"/>
      <c r="V357" s="301"/>
      <c r="W357" s="301"/>
      <c r="X357" s="301"/>
      <c r="Y357" s="301"/>
      <c r="Z357" s="301"/>
    </row>
    <row r="358">
      <c r="A358" s="301"/>
      <c r="B358" s="365"/>
      <c r="C358" s="301"/>
      <c r="D358" s="301"/>
      <c r="E358" s="301"/>
      <c r="F358" s="301"/>
      <c r="G358" s="301"/>
      <c r="H358" s="334"/>
      <c r="I358" s="334"/>
      <c r="J358" s="301"/>
      <c r="K358" s="301"/>
      <c r="L358" s="301"/>
      <c r="M358" s="301"/>
      <c r="N358" s="301"/>
      <c r="O358" s="301"/>
      <c r="P358" s="301"/>
      <c r="Q358" s="301"/>
      <c r="R358" s="301"/>
      <c r="S358" s="301"/>
      <c r="T358" s="366"/>
      <c r="U358" s="301"/>
      <c r="V358" s="301"/>
      <c r="W358" s="301"/>
      <c r="X358" s="301"/>
      <c r="Y358" s="301"/>
      <c r="Z358" s="301"/>
    </row>
    <row r="359">
      <c r="A359" s="301"/>
      <c r="B359" s="365"/>
      <c r="C359" s="301"/>
      <c r="D359" s="301"/>
      <c r="E359" s="301"/>
      <c r="F359" s="301"/>
      <c r="G359" s="301"/>
      <c r="H359" s="334"/>
      <c r="I359" s="334"/>
      <c r="J359" s="301"/>
      <c r="K359" s="301"/>
      <c r="L359" s="301"/>
      <c r="M359" s="301"/>
      <c r="N359" s="301"/>
      <c r="O359" s="301"/>
      <c r="P359" s="301"/>
      <c r="Q359" s="301"/>
      <c r="R359" s="301"/>
      <c r="S359" s="301"/>
      <c r="T359" s="366"/>
      <c r="U359" s="301"/>
      <c r="V359" s="301"/>
      <c r="W359" s="301"/>
      <c r="X359" s="301"/>
      <c r="Y359" s="301"/>
      <c r="Z359" s="301"/>
    </row>
    <row r="360">
      <c r="A360" s="301"/>
      <c r="B360" s="365"/>
      <c r="C360" s="301"/>
      <c r="D360" s="301"/>
      <c r="E360" s="301"/>
      <c r="F360" s="301"/>
      <c r="G360" s="301"/>
      <c r="H360" s="334"/>
      <c r="I360" s="334"/>
      <c r="J360" s="301"/>
      <c r="K360" s="301"/>
      <c r="L360" s="301"/>
      <c r="M360" s="301"/>
      <c r="N360" s="301"/>
      <c r="O360" s="301"/>
      <c r="P360" s="301"/>
      <c r="Q360" s="301"/>
      <c r="R360" s="301"/>
      <c r="S360" s="301"/>
      <c r="T360" s="366"/>
      <c r="U360" s="301"/>
      <c r="V360" s="301"/>
      <c r="W360" s="301"/>
      <c r="X360" s="301"/>
      <c r="Y360" s="301"/>
      <c r="Z360" s="301"/>
    </row>
    <row r="361">
      <c r="A361" s="301"/>
      <c r="B361" s="365"/>
      <c r="C361" s="301"/>
      <c r="D361" s="301"/>
      <c r="E361" s="301"/>
      <c r="F361" s="301"/>
      <c r="G361" s="301"/>
      <c r="H361" s="334"/>
      <c r="I361" s="334"/>
      <c r="J361" s="301"/>
      <c r="K361" s="301"/>
      <c r="L361" s="301"/>
      <c r="M361" s="301"/>
      <c r="N361" s="301"/>
      <c r="O361" s="301"/>
      <c r="P361" s="301"/>
      <c r="Q361" s="301"/>
      <c r="R361" s="301"/>
      <c r="S361" s="301"/>
      <c r="T361" s="366"/>
      <c r="U361" s="301"/>
      <c r="V361" s="301"/>
      <c r="W361" s="301"/>
      <c r="X361" s="301"/>
      <c r="Y361" s="301"/>
      <c r="Z361" s="301"/>
    </row>
    <row r="362">
      <c r="A362" s="301"/>
      <c r="B362" s="365"/>
      <c r="C362" s="301"/>
      <c r="D362" s="301"/>
      <c r="E362" s="301"/>
      <c r="F362" s="301"/>
      <c r="G362" s="301"/>
      <c r="H362" s="334"/>
      <c r="I362" s="334"/>
      <c r="J362" s="301"/>
      <c r="K362" s="301"/>
      <c r="L362" s="301"/>
      <c r="M362" s="301"/>
      <c r="N362" s="301"/>
      <c r="O362" s="301"/>
      <c r="P362" s="301"/>
      <c r="Q362" s="301"/>
      <c r="R362" s="301"/>
      <c r="S362" s="301"/>
      <c r="T362" s="366"/>
      <c r="U362" s="301"/>
      <c r="V362" s="301"/>
      <c r="W362" s="301"/>
      <c r="X362" s="301"/>
      <c r="Y362" s="301"/>
      <c r="Z362" s="301"/>
    </row>
    <row r="363">
      <c r="A363" s="301"/>
      <c r="B363" s="365"/>
      <c r="C363" s="301"/>
      <c r="D363" s="301"/>
      <c r="E363" s="301"/>
      <c r="F363" s="301"/>
      <c r="G363" s="301"/>
      <c r="H363" s="334"/>
      <c r="I363" s="334"/>
      <c r="J363" s="301"/>
      <c r="K363" s="301"/>
      <c r="L363" s="301"/>
      <c r="M363" s="301"/>
      <c r="N363" s="301"/>
      <c r="O363" s="301"/>
      <c r="P363" s="301"/>
      <c r="Q363" s="301"/>
      <c r="R363" s="301"/>
      <c r="S363" s="301"/>
      <c r="T363" s="366"/>
      <c r="U363" s="301"/>
      <c r="V363" s="301"/>
      <c r="W363" s="301"/>
      <c r="X363" s="301"/>
      <c r="Y363" s="301"/>
      <c r="Z363" s="301"/>
    </row>
    <row r="364">
      <c r="A364" s="301"/>
      <c r="B364" s="365"/>
      <c r="C364" s="301"/>
      <c r="D364" s="301"/>
      <c r="E364" s="301"/>
      <c r="F364" s="301"/>
      <c r="G364" s="301"/>
      <c r="H364" s="334"/>
      <c r="I364" s="334"/>
      <c r="J364" s="301"/>
      <c r="K364" s="301"/>
      <c r="L364" s="301"/>
      <c r="M364" s="301"/>
      <c r="N364" s="301"/>
      <c r="O364" s="301"/>
      <c r="P364" s="301"/>
      <c r="Q364" s="301"/>
      <c r="R364" s="301"/>
      <c r="S364" s="301"/>
      <c r="T364" s="366"/>
      <c r="U364" s="301"/>
      <c r="V364" s="301"/>
      <c r="W364" s="301"/>
      <c r="X364" s="301"/>
      <c r="Y364" s="301"/>
      <c r="Z364" s="301"/>
    </row>
    <row r="365">
      <c r="A365" s="301"/>
      <c r="B365" s="365"/>
      <c r="C365" s="301"/>
      <c r="D365" s="301"/>
      <c r="E365" s="301"/>
      <c r="F365" s="301"/>
      <c r="G365" s="301"/>
      <c r="H365" s="334"/>
      <c r="I365" s="334"/>
      <c r="J365" s="301"/>
      <c r="K365" s="301"/>
      <c r="L365" s="301"/>
      <c r="M365" s="301"/>
      <c r="N365" s="301"/>
      <c r="O365" s="301"/>
      <c r="P365" s="301"/>
      <c r="Q365" s="301"/>
      <c r="R365" s="301"/>
      <c r="S365" s="301"/>
      <c r="T365" s="366"/>
      <c r="U365" s="301"/>
      <c r="V365" s="301"/>
      <c r="W365" s="301"/>
      <c r="X365" s="301"/>
      <c r="Y365" s="301"/>
      <c r="Z365" s="301"/>
    </row>
    <row r="366">
      <c r="A366" s="301"/>
      <c r="B366" s="365"/>
      <c r="C366" s="301"/>
      <c r="D366" s="301"/>
      <c r="E366" s="301"/>
      <c r="F366" s="301"/>
      <c r="G366" s="301"/>
      <c r="H366" s="334"/>
      <c r="I366" s="334"/>
      <c r="J366" s="301"/>
      <c r="K366" s="301"/>
      <c r="L366" s="301"/>
      <c r="M366" s="301"/>
      <c r="N366" s="301"/>
      <c r="O366" s="301"/>
      <c r="P366" s="301"/>
      <c r="Q366" s="301"/>
      <c r="R366" s="301"/>
      <c r="S366" s="301"/>
      <c r="T366" s="366"/>
      <c r="U366" s="301"/>
      <c r="V366" s="301"/>
      <c r="W366" s="301"/>
      <c r="X366" s="301"/>
      <c r="Y366" s="301"/>
      <c r="Z366" s="301"/>
    </row>
    <row r="367">
      <c r="A367" s="301"/>
      <c r="B367" s="365"/>
      <c r="C367" s="301"/>
      <c r="D367" s="301"/>
      <c r="E367" s="301"/>
      <c r="F367" s="301"/>
      <c r="G367" s="301"/>
      <c r="H367" s="334"/>
      <c r="I367" s="334"/>
      <c r="J367" s="301"/>
      <c r="K367" s="301"/>
      <c r="L367" s="301"/>
      <c r="M367" s="301"/>
      <c r="N367" s="301"/>
      <c r="O367" s="301"/>
      <c r="P367" s="301"/>
      <c r="Q367" s="301"/>
      <c r="R367" s="301"/>
      <c r="S367" s="301"/>
      <c r="T367" s="366"/>
      <c r="U367" s="301"/>
      <c r="V367" s="301"/>
      <c r="W367" s="301"/>
      <c r="X367" s="301"/>
      <c r="Y367" s="301"/>
      <c r="Z367" s="301"/>
    </row>
    <row r="368">
      <c r="A368" s="301"/>
      <c r="B368" s="365"/>
      <c r="C368" s="301"/>
      <c r="D368" s="301"/>
      <c r="E368" s="301"/>
      <c r="F368" s="301"/>
      <c r="G368" s="301"/>
      <c r="H368" s="334"/>
      <c r="I368" s="334"/>
      <c r="J368" s="301"/>
      <c r="K368" s="301"/>
      <c r="L368" s="301"/>
      <c r="M368" s="301"/>
      <c r="N368" s="301"/>
      <c r="O368" s="301"/>
      <c r="P368" s="301"/>
      <c r="Q368" s="301"/>
      <c r="R368" s="301"/>
      <c r="S368" s="301"/>
      <c r="T368" s="366"/>
      <c r="U368" s="301"/>
      <c r="V368" s="301"/>
      <c r="W368" s="301"/>
      <c r="X368" s="301"/>
      <c r="Y368" s="301"/>
      <c r="Z368" s="301"/>
    </row>
    <row r="369">
      <c r="A369" s="301"/>
      <c r="B369" s="365"/>
      <c r="C369" s="301"/>
      <c r="D369" s="301"/>
      <c r="E369" s="301"/>
      <c r="F369" s="301"/>
      <c r="G369" s="301"/>
      <c r="H369" s="334"/>
      <c r="I369" s="334"/>
      <c r="J369" s="301"/>
      <c r="K369" s="301"/>
      <c r="L369" s="301"/>
      <c r="M369" s="301"/>
      <c r="N369" s="301"/>
      <c r="O369" s="301"/>
      <c r="P369" s="301"/>
      <c r="Q369" s="301"/>
      <c r="R369" s="301"/>
      <c r="S369" s="301"/>
      <c r="T369" s="366"/>
      <c r="U369" s="301"/>
      <c r="V369" s="301"/>
      <c r="W369" s="301"/>
      <c r="X369" s="301"/>
      <c r="Y369" s="301"/>
      <c r="Z369" s="301"/>
    </row>
    <row r="370">
      <c r="A370" s="301"/>
      <c r="B370" s="365"/>
      <c r="C370" s="301"/>
      <c r="D370" s="301"/>
      <c r="E370" s="301"/>
      <c r="F370" s="301"/>
      <c r="G370" s="301"/>
      <c r="H370" s="334"/>
      <c r="I370" s="334"/>
      <c r="J370" s="301"/>
      <c r="K370" s="301"/>
      <c r="L370" s="301"/>
      <c r="M370" s="301"/>
      <c r="N370" s="301"/>
      <c r="O370" s="301"/>
      <c r="P370" s="301"/>
      <c r="Q370" s="301"/>
      <c r="R370" s="301"/>
      <c r="S370" s="301"/>
      <c r="T370" s="366"/>
      <c r="U370" s="301"/>
      <c r="V370" s="301"/>
      <c r="W370" s="301"/>
      <c r="X370" s="301"/>
      <c r="Y370" s="301"/>
      <c r="Z370" s="301"/>
    </row>
    <row r="371">
      <c r="A371" s="301"/>
      <c r="B371" s="365"/>
      <c r="C371" s="301"/>
      <c r="D371" s="301"/>
      <c r="E371" s="301"/>
      <c r="F371" s="301"/>
      <c r="G371" s="301"/>
      <c r="H371" s="334"/>
      <c r="I371" s="334"/>
      <c r="J371" s="301"/>
      <c r="K371" s="301"/>
      <c r="L371" s="301"/>
      <c r="M371" s="301"/>
      <c r="N371" s="301"/>
      <c r="O371" s="301"/>
      <c r="P371" s="301"/>
      <c r="Q371" s="301"/>
      <c r="R371" s="301"/>
      <c r="S371" s="301"/>
      <c r="T371" s="366"/>
      <c r="U371" s="301"/>
      <c r="V371" s="301"/>
      <c r="W371" s="301"/>
      <c r="X371" s="301"/>
      <c r="Y371" s="301"/>
      <c r="Z371" s="301"/>
    </row>
    <row r="372">
      <c r="A372" s="301"/>
      <c r="B372" s="365"/>
      <c r="C372" s="301"/>
      <c r="D372" s="301"/>
      <c r="E372" s="301"/>
      <c r="F372" s="301"/>
      <c r="G372" s="301"/>
      <c r="H372" s="334"/>
      <c r="I372" s="334"/>
      <c r="J372" s="301"/>
      <c r="K372" s="301"/>
      <c r="L372" s="301"/>
      <c r="M372" s="301"/>
      <c r="N372" s="301"/>
      <c r="O372" s="301"/>
      <c r="P372" s="301"/>
      <c r="Q372" s="301"/>
      <c r="R372" s="301"/>
      <c r="S372" s="301"/>
      <c r="T372" s="366"/>
      <c r="U372" s="301"/>
      <c r="V372" s="301"/>
      <c r="W372" s="301"/>
      <c r="X372" s="301"/>
      <c r="Y372" s="301"/>
      <c r="Z372" s="301"/>
    </row>
    <row r="373">
      <c r="A373" s="301"/>
      <c r="B373" s="365"/>
      <c r="C373" s="301"/>
      <c r="D373" s="301"/>
      <c r="E373" s="301"/>
      <c r="F373" s="301"/>
      <c r="G373" s="301"/>
      <c r="H373" s="334"/>
      <c r="I373" s="334"/>
      <c r="J373" s="301"/>
      <c r="K373" s="301"/>
      <c r="L373" s="301"/>
      <c r="M373" s="301"/>
      <c r="N373" s="301"/>
      <c r="O373" s="301"/>
      <c r="P373" s="301"/>
      <c r="Q373" s="301"/>
      <c r="R373" s="301"/>
      <c r="S373" s="301"/>
      <c r="T373" s="366"/>
      <c r="U373" s="301"/>
      <c r="V373" s="301"/>
      <c r="W373" s="301"/>
      <c r="X373" s="301"/>
      <c r="Y373" s="301"/>
      <c r="Z373" s="301"/>
    </row>
    <row r="374">
      <c r="A374" s="301"/>
      <c r="B374" s="365"/>
      <c r="C374" s="301"/>
      <c r="D374" s="301"/>
      <c r="E374" s="301"/>
      <c r="F374" s="301"/>
      <c r="G374" s="301"/>
      <c r="H374" s="334"/>
      <c r="I374" s="334"/>
      <c r="J374" s="301"/>
      <c r="K374" s="301"/>
      <c r="L374" s="301"/>
      <c r="M374" s="301"/>
      <c r="N374" s="301"/>
      <c r="O374" s="301"/>
      <c r="P374" s="301"/>
      <c r="Q374" s="301"/>
      <c r="R374" s="301"/>
      <c r="S374" s="301"/>
      <c r="T374" s="366"/>
      <c r="U374" s="301"/>
      <c r="V374" s="301"/>
      <c r="W374" s="301"/>
      <c r="X374" s="301"/>
      <c r="Y374" s="301"/>
      <c r="Z374" s="301"/>
    </row>
    <row r="375">
      <c r="A375" s="301"/>
      <c r="B375" s="365"/>
      <c r="C375" s="301"/>
      <c r="D375" s="301"/>
      <c r="E375" s="301"/>
      <c r="F375" s="301"/>
      <c r="G375" s="301"/>
      <c r="H375" s="334"/>
      <c r="I375" s="334"/>
      <c r="J375" s="301"/>
      <c r="K375" s="301"/>
      <c r="L375" s="301"/>
      <c r="M375" s="301"/>
      <c r="N375" s="301"/>
      <c r="O375" s="301"/>
      <c r="P375" s="301"/>
      <c r="Q375" s="301"/>
      <c r="R375" s="301"/>
      <c r="S375" s="301"/>
      <c r="T375" s="366"/>
      <c r="U375" s="301"/>
      <c r="V375" s="301"/>
      <c r="W375" s="301"/>
      <c r="X375" s="301"/>
      <c r="Y375" s="301"/>
      <c r="Z375" s="301"/>
    </row>
    <row r="376">
      <c r="A376" s="301"/>
      <c r="B376" s="365"/>
      <c r="C376" s="301"/>
      <c r="D376" s="301"/>
      <c r="E376" s="301"/>
      <c r="F376" s="301"/>
      <c r="G376" s="301"/>
      <c r="H376" s="334"/>
      <c r="I376" s="334"/>
      <c r="J376" s="301"/>
      <c r="K376" s="301"/>
      <c r="L376" s="301"/>
      <c r="M376" s="301"/>
      <c r="N376" s="301"/>
      <c r="O376" s="301"/>
      <c r="P376" s="301"/>
      <c r="Q376" s="301"/>
      <c r="R376" s="301"/>
      <c r="S376" s="301"/>
      <c r="T376" s="366"/>
      <c r="U376" s="301"/>
      <c r="V376" s="301"/>
      <c r="W376" s="301"/>
      <c r="X376" s="301"/>
      <c r="Y376" s="301"/>
      <c r="Z376" s="301"/>
    </row>
    <row r="377">
      <c r="A377" s="301"/>
      <c r="B377" s="365"/>
      <c r="C377" s="301"/>
      <c r="D377" s="301"/>
      <c r="E377" s="301"/>
      <c r="F377" s="301"/>
      <c r="G377" s="301"/>
      <c r="H377" s="334"/>
      <c r="I377" s="334"/>
      <c r="J377" s="301"/>
      <c r="K377" s="301"/>
      <c r="L377" s="301"/>
      <c r="M377" s="301"/>
      <c r="N377" s="301"/>
      <c r="O377" s="301"/>
      <c r="P377" s="301"/>
      <c r="Q377" s="301"/>
      <c r="R377" s="301"/>
      <c r="S377" s="301"/>
      <c r="T377" s="366"/>
      <c r="U377" s="301"/>
      <c r="V377" s="301"/>
      <c r="W377" s="301"/>
      <c r="X377" s="301"/>
      <c r="Y377" s="301"/>
      <c r="Z377" s="301"/>
    </row>
    <row r="378">
      <c r="A378" s="301"/>
      <c r="B378" s="365"/>
      <c r="C378" s="301"/>
      <c r="D378" s="301"/>
      <c r="E378" s="301"/>
      <c r="F378" s="301"/>
      <c r="G378" s="301"/>
      <c r="H378" s="334"/>
      <c r="I378" s="334"/>
      <c r="J378" s="301"/>
      <c r="K378" s="301"/>
      <c r="L378" s="301"/>
      <c r="M378" s="301"/>
      <c r="N378" s="301"/>
      <c r="O378" s="301"/>
      <c r="P378" s="301"/>
      <c r="Q378" s="301"/>
      <c r="R378" s="301"/>
      <c r="S378" s="301"/>
      <c r="T378" s="366"/>
      <c r="U378" s="301"/>
      <c r="V378" s="301"/>
      <c r="W378" s="301"/>
      <c r="X378" s="301"/>
      <c r="Y378" s="301"/>
      <c r="Z378" s="301"/>
    </row>
    <row r="379">
      <c r="A379" s="301"/>
      <c r="B379" s="365"/>
      <c r="C379" s="301"/>
      <c r="D379" s="301"/>
      <c r="E379" s="301"/>
      <c r="F379" s="301"/>
      <c r="G379" s="301"/>
      <c r="H379" s="334"/>
      <c r="I379" s="334"/>
      <c r="J379" s="301"/>
      <c r="K379" s="301"/>
      <c r="L379" s="301"/>
      <c r="M379" s="301"/>
      <c r="N379" s="301"/>
      <c r="O379" s="301"/>
      <c r="P379" s="301"/>
      <c r="Q379" s="301"/>
      <c r="R379" s="301"/>
      <c r="S379" s="301"/>
      <c r="T379" s="366"/>
      <c r="U379" s="301"/>
      <c r="V379" s="301"/>
      <c r="W379" s="301"/>
      <c r="X379" s="301"/>
      <c r="Y379" s="301"/>
      <c r="Z379" s="301"/>
    </row>
    <row r="380">
      <c r="A380" s="301"/>
      <c r="B380" s="365"/>
      <c r="C380" s="301"/>
      <c r="D380" s="301"/>
      <c r="E380" s="301"/>
      <c r="F380" s="301"/>
      <c r="G380" s="301"/>
      <c r="H380" s="334"/>
      <c r="I380" s="334"/>
      <c r="J380" s="301"/>
      <c r="K380" s="301"/>
      <c r="L380" s="301"/>
      <c r="M380" s="301"/>
      <c r="N380" s="301"/>
      <c r="O380" s="301"/>
      <c r="P380" s="301"/>
      <c r="Q380" s="301"/>
      <c r="R380" s="301"/>
      <c r="S380" s="301"/>
      <c r="T380" s="366"/>
      <c r="U380" s="301"/>
      <c r="V380" s="301"/>
      <c r="W380" s="301"/>
      <c r="X380" s="301"/>
      <c r="Y380" s="301"/>
      <c r="Z380" s="301"/>
    </row>
    <row r="381">
      <c r="A381" s="301"/>
      <c r="B381" s="365"/>
      <c r="C381" s="301"/>
      <c r="D381" s="301"/>
      <c r="E381" s="301"/>
      <c r="F381" s="301"/>
      <c r="G381" s="301"/>
      <c r="H381" s="334"/>
      <c r="I381" s="334"/>
      <c r="J381" s="301"/>
      <c r="K381" s="301"/>
      <c r="L381" s="301"/>
      <c r="M381" s="301"/>
      <c r="N381" s="301"/>
      <c r="O381" s="301"/>
      <c r="P381" s="301"/>
      <c r="Q381" s="301"/>
      <c r="R381" s="301"/>
      <c r="S381" s="301"/>
      <c r="T381" s="366"/>
      <c r="U381" s="301"/>
      <c r="V381" s="301"/>
      <c r="W381" s="301"/>
      <c r="X381" s="301"/>
      <c r="Y381" s="301"/>
      <c r="Z381" s="301"/>
    </row>
    <row r="382">
      <c r="A382" s="301"/>
      <c r="B382" s="365"/>
      <c r="C382" s="301"/>
      <c r="D382" s="301"/>
      <c r="E382" s="301"/>
      <c r="F382" s="301"/>
      <c r="G382" s="301"/>
      <c r="H382" s="334"/>
      <c r="I382" s="334"/>
      <c r="J382" s="301"/>
      <c r="K382" s="301"/>
      <c r="L382" s="301"/>
      <c r="M382" s="301"/>
      <c r="N382" s="301"/>
      <c r="O382" s="301"/>
      <c r="P382" s="301"/>
      <c r="Q382" s="301"/>
      <c r="R382" s="301"/>
      <c r="S382" s="301"/>
      <c r="T382" s="366"/>
      <c r="U382" s="301"/>
      <c r="V382" s="301"/>
      <c r="W382" s="301"/>
      <c r="X382" s="301"/>
      <c r="Y382" s="301"/>
      <c r="Z382" s="301"/>
    </row>
    <row r="383">
      <c r="A383" s="301"/>
      <c r="B383" s="365"/>
      <c r="C383" s="301"/>
      <c r="D383" s="301"/>
      <c r="E383" s="301"/>
      <c r="F383" s="301"/>
      <c r="G383" s="301"/>
      <c r="H383" s="334"/>
      <c r="I383" s="334"/>
      <c r="J383" s="301"/>
      <c r="K383" s="301"/>
      <c r="L383" s="301"/>
      <c r="M383" s="301"/>
      <c r="N383" s="301"/>
      <c r="O383" s="301"/>
      <c r="P383" s="301"/>
      <c r="Q383" s="301"/>
      <c r="R383" s="301"/>
      <c r="S383" s="301"/>
      <c r="T383" s="366"/>
      <c r="U383" s="301"/>
      <c r="V383" s="301"/>
      <c r="W383" s="301"/>
      <c r="X383" s="301"/>
      <c r="Y383" s="301"/>
      <c r="Z383" s="301"/>
    </row>
    <row r="384">
      <c r="A384" s="301"/>
      <c r="B384" s="365"/>
      <c r="C384" s="301"/>
      <c r="D384" s="301"/>
      <c r="E384" s="301"/>
      <c r="F384" s="301"/>
      <c r="G384" s="301"/>
      <c r="H384" s="334"/>
      <c r="I384" s="334"/>
      <c r="J384" s="301"/>
      <c r="K384" s="301"/>
      <c r="L384" s="301"/>
      <c r="M384" s="301"/>
      <c r="N384" s="301"/>
      <c r="O384" s="301"/>
      <c r="P384" s="301"/>
      <c r="Q384" s="301"/>
      <c r="R384" s="301"/>
      <c r="S384" s="301"/>
      <c r="T384" s="366"/>
      <c r="U384" s="301"/>
      <c r="V384" s="301"/>
      <c r="W384" s="301"/>
      <c r="X384" s="301"/>
      <c r="Y384" s="301"/>
      <c r="Z384" s="301"/>
    </row>
    <row r="385">
      <c r="A385" s="301"/>
      <c r="B385" s="365"/>
      <c r="C385" s="301"/>
      <c r="D385" s="301"/>
      <c r="E385" s="301"/>
      <c r="F385" s="301"/>
      <c r="G385" s="301"/>
      <c r="H385" s="334"/>
      <c r="I385" s="334"/>
      <c r="J385" s="301"/>
      <c r="K385" s="301"/>
      <c r="L385" s="301"/>
      <c r="M385" s="301"/>
      <c r="N385" s="301"/>
      <c r="O385" s="301"/>
      <c r="P385" s="301"/>
      <c r="Q385" s="301"/>
      <c r="R385" s="301"/>
      <c r="S385" s="301"/>
      <c r="T385" s="366"/>
      <c r="U385" s="301"/>
      <c r="V385" s="301"/>
      <c r="W385" s="301"/>
      <c r="X385" s="301"/>
      <c r="Y385" s="301"/>
      <c r="Z385" s="301"/>
    </row>
    <row r="386">
      <c r="A386" s="301"/>
      <c r="B386" s="365"/>
      <c r="C386" s="301"/>
      <c r="D386" s="301"/>
      <c r="E386" s="301"/>
      <c r="F386" s="301"/>
      <c r="G386" s="301"/>
      <c r="H386" s="334"/>
      <c r="I386" s="334"/>
      <c r="J386" s="301"/>
      <c r="K386" s="301"/>
      <c r="L386" s="301"/>
      <c r="M386" s="301"/>
      <c r="N386" s="301"/>
      <c r="O386" s="301"/>
      <c r="P386" s="301"/>
      <c r="Q386" s="301"/>
      <c r="R386" s="301"/>
      <c r="S386" s="301"/>
      <c r="T386" s="366"/>
      <c r="U386" s="301"/>
      <c r="V386" s="301"/>
      <c r="W386" s="301"/>
      <c r="X386" s="301"/>
      <c r="Y386" s="301"/>
      <c r="Z386" s="301"/>
    </row>
    <row r="387">
      <c r="A387" s="301"/>
      <c r="B387" s="365"/>
      <c r="C387" s="301"/>
      <c r="D387" s="301"/>
      <c r="E387" s="301"/>
      <c r="F387" s="301"/>
      <c r="G387" s="301"/>
      <c r="H387" s="334"/>
      <c r="I387" s="334"/>
      <c r="J387" s="301"/>
      <c r="K387" s="301"/>
      <c r="L387" s="301"/>
      <c r="M387" s="301"/>
      <c r="N387" s="301"/>
      <c r="O387" s="301"/>
      <c r="P387" s="301"/>
      <c r="Q387" s="301"/>
      <c r="R387" s="301"/>
      <c r="S387" s="301"/>
      <c r="T387" s="366"/>
      <c r="U387" s="301"/>
      <c r="V387" s="301"/>
      <c r="W387" s="301"/>
      <c r="X387" s="301"/>
      <c r="Y387" s="301"/>
      <c r="Z387" s="301"/>
    </row>
    <row r="388">
      <c r="A388" s="301"/>
      <c r="B388" s="365"/>
      <c r="C388" s="301"/>
      <c r="D388" s="301"/>
      <c r="E388" s="301"/>
      <c r="F388" s="301"/>
      <c r="G388" s="301"/>
      <c r="H388" s="334"/>
      <c r="I388" s="334"/>
      <c r="J388" s="301"/>
      <c r="K388" s="301"/>
      <c r="L388" s="301"/>
      <c r="M388" s="301"/>
      <c r="N388" s="301"/>
      <c r="O388" s="301"/>
      <c r="P388" s="301"/>
      <c r="Q388" s="301"/>
      <c r="R388" s="301"/>
      <c r="S388" s="301"/>
      <c r="T388" s="366"/>
      <c r="U388" s="301"/>
      <c r="V388" s="301"/>
      <c r="W388" s="301"/>
      <c r="X388" s="301"/>
      <c r="Y388" s="301"/>
      <c r="Z388" s="301"/>
    </row>
    <row r="389">
      <c r="A389" s="301"/>
      <c r="B389" s="365"/>
      <c r="C389" s="301"/>
      <c r="D389" s="301"/>
      <c r="E389" s="301"/>
      <c r="F389" s="301"/>
      <c r="G389" s="301"/>
      <c r="H389" s="334"/>
      <c r="I389" s="334"/>
      <c r="J389" s="301"/>
      <c r="K389" s="301"/>
      <c r="L389" s="301"/>
      <c r="M389" s="301"/>
      <c r="N389" s="301"/>
      <c r="O389" s="301"/>
      <c r="P389" s="301"/>
      <c r="Q389" s="301"/>
      <c r="R389" s="301"/>
      <c r="S389" s="301"/>
      <c r="T389" s="366"/>
      <c r="U389" s="301"/>
      <c r="V389" s="301"/>
      <c r="W389" s="301"/>
      <c r="X389" s="301"/>
      <c r="Y389" s="301"/>
      <c r="Z389" s="301"/>
    </row>
    <row r="390">
      <c r="A390" s="301"/>
      <c r="B390" s="365"/>
      <c r="C390" s="301"/>
      <c r="D390" s="301"/>
      <c r="E390" s="301"/>
      <c r="F390" s="301"/>
      <c r="G390" s="301"/>
      <c r="H390" s="334"/>
      <c r="I390" s="334"/>
      <c r="J390" s="301"/>
      <c r="K390" s="301"/>
      <c r="L390" s="301"/>
      <c r="M390" s="301"/>
      <c r="N390" s="301"/>
      <c r="O390" s="301"/>
      <c r="P390" s="301"/>
      <c r="Q390" s="301"/>
      <c r="R390" s="301"/>
      <c r="S390" s="301"/>
      <c r="T390" s="366"/>
      <c r="U390" s="301"/>
      <c r="V390" s="301"/>
      <c r="W390" s="301"/>
      <c r="X390" s="301"/>
      <c r="Y390" s="301"/>
      <c r="Z390" s="301"/>
    </row>
    <row r="391">
      <c r="A391" s="301"/>
      <c r="B391" s="365"/>
      <c r="C391" s="301"/>
      <c r="D391" s="301"/>
      <c r="E391" s="301"/>
      <c r="F391" s="301"/>
      <c r="G391" s="301"/>
      <c r="H391" s="334"/>
      <c r="I391" s="334"/>
      <c r="J391" s="301"/>
      <c r="K391" s="301"/>
      <c r="L391" s="301"/>
      <c r="M391" s="301"/>
      <c r="N391" s="301"/>
      <c r="O391" s="301"/>
      <c r="P391" s="301"/>
      <c r="Q391" s="301"/>
      <c r="R391" s="301"/>
      <c r="S391" s="301"/>
      <c r="T391" s="366"/>
      <c r="U391" s="301"/>
      <c r="V391" s="301"/>
      <c r="W391" s="301"/>
      <c r="X391" s="301"/>
      <c r="Y391" s="301"/>
      <c r="Z391" s="301"/>
    </row>
    <row r="392">
      <c r="A392" s="301"/>
      <c r="B392" s="365"/>
      <c r="C392" s="301"/>
      <c r="D392" s="301"/>
      <c r="E392" s="301"/>
      <c r="F392" s="301"/>
      <c r="G392" s="301"/>
      <c r="H392" s="334"/>
      <c r="I392" s="334"/>
      <c r="J392" s="301"/>
      <c r="K392" s="301"/>
      <c r="L392" s="301"/>
      <c r="M392" s="301"/>
      <c r="N392" s="301"/>
      <c r="O392" s="301"/>
      <c r="P392" s="301"/>
      <c r="Q392" s="301"/>
      <c r="R392" s="301"/>
      <c r="S392" s="301"/>
      <c r="T392" s="366"/>
      <c r="U392" s="301"/>
      <c r="V392" s="301"/>
      <c r="W392" s="301"/>
      <c r="X392" s="301"/>
      <c r="Y392" s="301"/>
      <c r="Z392" s="301"/>
    </row>
    <row r="393">
      <c r="A393" s="301"/>
      <c r="B393" s="365"/>
      <c r="C393" s="301"/>
      <c r="D393" s="301"/>
      <c r="E393" s="301"/>
      <c r="F393" s="301"/>
      <c r="G393" s="301"/>
      <c r="H393" s="334"/>
      <c r="I393" s="334"/>
      <c r="J393" s="301"/>
      <c r="K393" s="301"/>
      <c r="L393" s="301"/>
      <c r="M393" s="301"/>
      <c r="N393" s="301"/>
      <c r="O393" s="301"/>
      <c r="P393" s="301"/>
      <c r="Q393" s="301"/>
      <c r="R393" s="301"/>
      <c r="S393" s="301"/>
      <c r="T393" s="366"/>
      <c r="U393" s="301"/>
      <c r="V393" s="301"/>
      <c r="W393" s="301"/>
      <c r="X393" s="301"/>
      <c r="Y393" s="301"/>
      <c r="Z393" s="301"/>
    </row>
    <row r="394">
      <c r="A394" s="301"/>
      <c r="B394" s="365"/>
      <c r="C394" s="301"/>
      <c r="D394" s="301"/>
      <c r="E394" s="301"/>
      <c r="F394" s="301"/>
      <c r="G394" s="301"/>
      <c r="H394" s="334"/>
      <c r="I394" s="334"/>
      <c r="J394" s="301"/>
      <c r="K394" s="301"/>
      <c r="L394" s="301"/>
      <c r="M394" s="301"/>
      <c r="N394" s="301"/>
      <c r="O394" s="301"/>
      <c r="P394" s="301"/>
      <c r="Q394" s="301"/>
      <c r="R394" s="301"/>
      <c r="S394" s="301"/>
      <c r="T394" s="366"/>
      <c r="U394" s="301"/>
      <c r="V394" s="301"/>
      <c r="W394" s="301"/>
      <c r="X394" s="301"/>
      <c r="Y394" s="301"/>
      <c r="Z394" s="301"/>
    </row>
    <row r="395">
      <c r="A395" s="301"/>
      <c r="B395" s="365"/>
      <c r="C395" s="301"/>
      <c r="D395" s="301"/>
      <c r="E395" s="301"/>
      <c r="F395" s="301"/>
      <c r="G395" s="301"/>
      <c r="H395" s="334"/>
      <c r="I395" s="334"/>
      <c r="J395" s="301"/>
      <c r="K395" s="301"/>
      <c r="L395" s="301"/>
      <c r="M395" s="301"/>
      <c r="N395" s="301"/>
      <c r="O395" s="301"/>
      <c r="P395" s="301"/>
      <c r="Q395" s="301"/>
      <c r="R395" s="301"/>
      <c r="S395" s="301"/>
      <c r="T395" s="366"/>
      <c r="U395" s="301"/>
      <c r="V395" s="301"/>
      <c r="W395" s="301"/>
      <c r="X395" s="301"/>
      <c r="Y395" s="301"/>
      <c r="Z395" s="301"/>
    </row>
    <row r="396">
      <c r="A396" s="301"/>
      <c r="B396" s="365"/>
      <c r="C396" s="301"/>
      <c r="D396" s="301"/>
      <c r="E396" s="301"/>
      <c r="F396" s="301"/>
      <c r="G396" s="301"/>
      <c r="H396" s="334"/>
      <c r="I396" s="334"/>
      <c r="J396" s="301"/>
      <c r="K396" s="301"/>
      <c r="L396" s="301"/>
      <c r="M396" s="301"/>
      <c r="N396" s="301"/>
      <c r="O396" s="301"/>
      <c r="P396" s="301"/>
      <c r="Q396" s="301"/>
      <c r="R396" s="301"/>
      <c r="S396" s="301"/>
      <c r="T396" s="366"/>
      <c r="U396" s="301"/>
      <c r="V396" s="301"/>
      <c r="W396" s="301"/>
      <c r="X396" s="301"/>
      <c r="Y396" s="301"/>
      <c r="Z396" s="301"/>
    </row>
    <row r="397">
      <c r="A397" s="301"/>
      <c r="B397" s="365"/>
      <c r="C397" s="301"/>
      <c r="D397" s="301"/>
      <c r="E397" s="301"/>
      <c r="F397" s="301"/>
      <c r="G397" s="301"/>
      <c r="H397" s="334"/>
      <c r="I397" s="334"/>
      <c r="J397" s="301"/>
      <c r="K397" s="301"/>
      <c r="L397" s="301"/>
      <c r="M397" s="301"/>
      <c r="N397" s="301"/>
      <c r="O397" s="301"/>
      <c r="P397" s="301"/>
      <c r="Q397" s="301"/>
      <c r="R397" s="301"/>
      <c r="S397" s="301"/>
      <c r="T397" s="366"/>
      <c r="U397" s="301"/>
      <c r="V397" s="301"/>
      <c r="W397" s="301"/>
      <c r="X397" s="301"/>
      <c r="Y397" s="301"/>
      <c r="Z397" s="301"/>
    </row>
    <row r="398">
      <c r="A398" s="301"/>
      <c r="B398" s="365"/>
      <c r="C398" s="301"/>
      <c r="D398" s="301"/>
      <c r="E398" s="301"/>
      <c r="F398" s="301"/>
      <c r="G398" s="301"/>
      <c r="H398" s="334"/>
      <c r="I398" s="334"/>
      <c r="J398" s="301"/>
      <c r="K398" s="301"/>
      <c r="L398" s="301"/>
      <c r="M398" s="301"/>
      <c r="N398" s="301"/>
      <c r="O398" s="301"/>
      <c r="P398" s="301"/>
      <c r="Q398" s="301"/>
      <c r="R398" s="301"/>
      <c r="S398" s="301"/>
      <c r="T398" s="366"/>
      <c r="U398" s="301"/>
      <c r="V398" s="301"/>
      <c r="W398" s="301"/>
      <c r="X398" s="301"/>
      <c r="Y398" s="301"/>
      <c r="Z398" s="301"/>
    </row>
    <row r="399">
      <c r="A399" s="301"/>
      <c r="B399" s="365"/>
      <c r="C399" s="301"/>
      <c r="D399" s="301"/>
      <c r="E399" s="301"/>
      <c r="F399" s="301"/>
      <c r="G399" s="301"/>
      <c r="H399" s="334"/>
      <c r="I399" s="334"/>
      <c r="J399" s="301"/>
      <c r="K399" s="301"/>
      <c r="L399" s="301"/>
      <c r="M399" s="301"/>
      <c r="N399" s="301"/>
      <c r="O399" s="301"/>
      <c r="P399" s="301"/>
      <c r="Q399" s="301"/>
      <c r="R399" s="301"/>
      <c r="S399" s="301"/>
      <c r="T399" s="366"/>
      <c r="U399" s="301"/>
      <c r="V399" s="301"/>
      <c r="W399" s="301"/>
      <c r="X399" s="301"/>
      <c r="Y399" s="301"/>
      <c r="Z399" s="301"/>
    </row>
    <row r="400">
      <c r="A400" s="301"/>
      <c r="B400" s="365"/>
      <c r="C400" s="301"/>
      <c r="D400" s="301"/>
      <c r="E400" s="301"/>
      <c r="F400" s="301"/>
      <c r="G400" s="301"/>
      <c r="H400" s="334"/>
      <c r="I400" s="334"/>
      <c r="J400" s="301"/>
      <c r="K400" s="301"/>
      <c r="L400" s="301"/>
      <c r="M400" s="301"/>
      <c r="N400" s="301"/>
      <c r="O400" s="301"/>
      <c r="P400" s="301"/>
      <c r="Q400" s="301"/>
      <c r="R400" s="301"/>
      <c r="S400" s="301"/>
      <c r="T400" s="366"/>
      <c r="U400" s="301"/>
      <c r="V400" s="301"/>
      <c r="W400" s="301"/>
      <c r="X400" s="301"/>
      <c r="Y400" s="301"/>
      <c r="Z400" s="301"/>
    </row>
    <row r="401">
      <c r="A401" s="301"/>
      <c r="B401" s="365"/>
      <c r="C401" s="301"/>
      <c r="D401" s="301"/>
      <c r="E401" s="301"/>
      <c r="F401" s="301"/>
      <c r="G401" s="301"/>
      <c r="H401" s="334"/>
      <c r="I401" s="334"/>
      <c r="J401" s="301"/>
      <c r="K401" s="301"/>
      <c r="L401" s="301"/>
      <c r="M401" s="301"/>
      <c r="N401" s="301"/>
      <c r="O401" s="301"/>
      <c r="P401" s="301"/>
      <c r="Q401" s="301"/>
      <c r="R401" s="301"/>
      <c r="S401" s="301"/>
      <c r="T401" s="366"/>
      <c r="U401" s="301"/>
      <c r="V401" s="301"/>
      <c r="W401" s="301"/>
      <c r="X401" s="301"/>
      <c r="Y401" s="301"/>
      <c r="Z401" s="301"/>
    </row>
    <row r="402">
      <c r="A402" s="301"/>
      <c r="B402" s="365"/>
      <c r="C402" s="301"/>
      <c r="D402" s="301"/>
      <c r="E402" s="301"/>
      <c r="F402" s="301"/>
      <c r="G402" s="301"/>
      <c r="H402" s="334"/>
      <c r="I402" s="334"/>
      <c r="J402" s="301"/>
      <c r="K402" s="301"/>
      <c r="L402" s="301"/>
      <c r="M402" s="301"/>
      <c r="N402" s="301"/>
      <c r="O402" s="301"/>
      <c r="P402" s="301"/>
      <c r="Q402" s="301"/>
      <c r="R402" s="301"/>
      <c r="S402" s="301"/>
      <c r="T402" s="366"/>
      <c r="U402" s="301"/>
      <c r="V402" s="301"/>
      <c r="W402" s="301"/>
      <c r="X402" s="301"/>
      <c r="Y402" s="301"/>
      <c r="Z402" s="301"/>
    </row>
    <row r="403">
      <c r="A403" s="301"/>
      <c r="B403" s="365"/>
      <c r="C403" s="301"/>
      <c r="D403" s="301"/>
      <c r="E403" s="301"/>
      <c r="F403" s="301"/>
      <c r="G403" s="301"/>
      <c r="H403" s="334"/>
      <c r="I403" s="334"/>
      <c r="J403" s="301"/>
      <c r="K403" s="301"/>
      <c r="L403" s="301"/>
      <c r="M403" s="301"/>
      <c r="N403" s="301"/>
      <c r="O403" s="301"/>
      <c r="P403" s="301"/>
      <c r="Q403" s="301"/>
      <c r="R403" s="301"/>
      <c r="S403" s="301"/>
      <c r="T403" s="366"/>
      <c r="U403" s="301"/>
      <c r="V403" s="301"/>
      <c r="W403" s="301"/>
      <c r="X403" s="301"/>
      <c r="Y403" s="301"/>
      <c r="Z403" s="301"/>
    </row>
    <row r="404">
      <c r="A404" s="301"/>
      <c r="B404" s="365"/>
      <c r="C404" s="301"/>
      <c r="D404" s="301"/>
      <c r="E404" s="301"/>
      <c r="F404" s="301"/>
      <c r="G404" s="301"/>
      <c r="H404" s="334"/>
      <c r="I404" s="334"/>
      <c r="J404" s="301"/>
      <c r="K404" s="301"/>
      <c r="L404" s="301"/>
      <c r="M404" s="301"/>
      <c r="N404" s="301"/>
      <c r="O404" s="301"/>
      <c r="P404" s="301"/>
      <c r="Q404" s="301"/>
      <c r="R404" s="301"/>
      <c r="S404" s="301"/>
      <c r="T404" s="366"/>
      <c r="U404" s="301"/>
      <c r="V404" s="301"/>
      <c r="W404" s="301"/>
      <c r="X404" s="301"/>
      <c r="Y404" s="301"/>
      <c r="Z404" s="301"/>
    </row>
    <row r="405">
      <c r="A405" s="301"/>
      <c r="B405" s="365"/>
      <c r="C405" s="301"/>
      <c r="D405" s="301"/>
      <c r="E405" s="301"/>
      <c r="F405" s="301"/>
      <c r="G405" s="301"/>
      <c r="H405" s="334"/>
      <c r="I405" s="334"/>
      <c r="J405" s="301"/>
      <c r="K405" s="301"/>
      <c r="L405" s="301"/>
      <c r="M405" s="301"/>
      <c r="N405" s="301"/>
      <c r="O405" s="301"/>
      <c r="P405" s="301"/>
      <c r="Q405" s="301"/>
      <c r="R405" s="301"/>
      <c r="S405" s="301"/>
      <c r="T405" s="366"/>
      <c r="U405" s="301"/>
      <c r="V405" s="301"/>
      <c r="W405" s="301"/>
      <c r="X405" s="301"/>
      <c r="Y405" s="301"/>
      <c r="Z405" s="301"/>
    </row>
    <row r="406">
      <c r="A406" s="301"/>
      <c r="B406" s="365"/>
      <c r="C406" s="301"/>
      <c r="D406" s="301"/>
      <c r="E406" s="301"/>
      <c r="F406" s="301"/>
      <c r="G406" s="301"/>
      <c r="H406" s="334"/>
      <c r="I406" s="334"/>
      <c r="J406" s="301"/>
      <c r="K406" s="301"/>
      <c r="L406" s="301"/>
      <c r="M406" s="301"/>
      <c r="N406" s="301"/>
      <c r="O406" s="301"/>
      <c r="P406" s="301"/>
      <c r="Q406" s="301"/>
      <c r="R406" s="301"/>
      <c r="S406" s="301"/>
      <c r="T406" s="366"/>
      <c r="U406" s="301"/>
      <c r="V406" s="301"/>
      <c r="W406" s="301"/>
      <c r="X406" s="301"/>
      <c r="Y406" s="301"/>
      <c r="Z406" s="301"/>
    </row>
    <row r="407">
      <c r="A407" s="301"/>
      <c r="B407" s="365"/>
      <c r="C407" s="301"/>
      <c r="D407" s="301"/>
      <c r="E407" s="301"/>
      <c r="F407" s="301"/>
      <c r="G407" s="301"/>
      <c r="H407" s="334"/>
      <c r="I407" s="334"/>
      <c r="J407" s="301"/>
      <c r="K407" s="301"/>
      <c r="L407" s="301"/>
      <c r="M407" s="301"/>
      <c r="N407" s="301"/>
      <c r="O407" s="301"/>
      <c r="P407" s="301"/>
      <c r="Q407" s="301"/>
      <c r="R407" s="301"/>
      <c r="S407" s="301"/>
      <c r="T407" s="366"/>
      <c r="U407" s="301"/>
      <c r="V407" s="301"/>
      <c r="W407" s="301"/>
      <c r="X407" s="301"/>
      <c r="Y407" s="301"/>
      <c r="Z407" s="301"/>
    </row>
    <row r="408">
      <c r="A408" s="301"/>
      <c r="B408" s="365"/>
      <c r="C408" s="301"/>
      <c r="D408" s="301"/>
      <c r="E408" s="301"/>
      <c r="F408" s="301"/>
      <c r="G408" s="301"/>
      <c r="H408" s="334"/>
      <c r="I408" s="334"/>
      <c r="J408" s="301"/>
      <c r="K408" s="301"/>
      <c r="L408" s="301"/>
      <c r="M408" s="301"/>
      <c r="N408" s="301"/>
      <c r="O408" s="301"/>
      <c r="P408" s="301"/>
      <c r="Q408" s="301"/>
      <c r="R408" s="301"/>
      <c r="S408" s="301"/>
      <c r="T408" s="366"/>
      <c r="U408" s="301"/>
      <c r="V408" s="301"/>
      <c r="W408" s="301"/>
      <c r="X408" s="301"/>
      <c r="Y408" s="301"/>
      <c r="Z408" s="301"/>
    </row>
    <row r="409">
      <c r="A409" s="301"/>
      <c r="B409" s="365"/>
      <c r="C409" s="301"/>
      <c r="D409" s="301"/>
      <c r="E409" s="301"/>
      <c r="F409" s="301"/>
      <c r="G409" s="301"/>
      <c r="H409" s="334"/>
      <c r="I409" s="334"/>
      <c r="J409" s="301"/>
      <c r="K409" s="301"/>
      <c r="L409" s="301"/>
      <c r="M409" s="301"/>
      <c r="N409" s="301"/>
      <c r="O409" s="301"/>
      <c r="P409" s="301"/>
      <c r="Q409" s="301"/>
      <c r="R409" s="301"/>
      <c r="S409" s="301"/>
      <c r="T409" s="366"/>
      <c r="U409" s="301"/>
      <c r="V409" s="301"/>
      <c r="W409" s="301"/>
      <c r="X409" s="301"/>
      <c r="Y409" s="301"/>
      <c r="Z409" s="301"/>
    </row>
    <row r="410">
      <c r="A410" s="301"/>
      <c r="B410" s="365"/>
      <c r="C410" s="301"/>
      <c r="D410" s="301"/>
      <c r="E410" s="301"/>
      <c r="F410" s="301"/>
      <c r="G410" s="301"/>
      <c r="H410" s="334"/>
      <c r="I410" s="334"/>
      <c r="J410" s="301"/>
      <c r="K410" s="301"/>
      <c r="L410" s="301"/>
      <c r="M410" s="301"/>
      <c r="N410" s="301"/>
      <c r="O410" s="301"/>
      <c r="P410" s="301"/>
      <c r="Q410" s="301"/>
      <c r="R410" s="301"/>
      <c r="S410" s="301"/>
      <c r="T410" s="366"/>
      <c r="U410" s="301"/>
      <c r="V410" s="301"/>
      <c r="W410" s="301"/>
      <c r="X410" s="301"/>
      <c r="Y410" s="301"/>
      <c r="Z410" s="301"/>
    </row>
    <row r="411">
      <c r="A411" s="301"/>
      <c r="B411" s="365"/>
      <c r="C411" s="301"/>
      <c r="D411" s="301"/>
      <c r="E411" s="301"/>
      <c r="F411" s="301"/>
      <c r="G411" s="301"/>
      <c r="H411" s="334"/>
      <c r="I411" s="334"/>
      <c r="J411" s="301"/>
      <c r="K411" s="301"/>
      <c r="L411" s="301"/>
      <c r="M411" s="301"/>
      <c r="N411" s="301"/>
      <c r="O411" s="301"/>
      <c r="P411" s="301"/>
      <c r="Q411" s="301"/>
      <c r="R411" s="301"/>
      <c r="S411" s="301"/>
      <c r="T411" s="366"/>
      <c r="U411" s="301"/>
      <c r="V411" s="301"/>
      <c r="W411" s="301"/>
      <c r="X411" s="301"/>
      <c r="Y411" s="301"/>
      <c r="Z411" s="301"/>
    </row>
    <row r="412">
      <c r="A412" s="301"/>
      <c r="B412" s="365"/>
      <c r="C412" s="301"/>
      <c r="D412" s="301"/>
      <c r="E412" s="301"/>
      <c r="F412" s="301"/>
      <c r="G412" s="301"/>
      <c r="H412" s="334"/>
      <c r="I412" s="334"/>
      <c r="J412" s="301"/>
      <c r="K412" s="301"/>
      <c r="L412" s="301"/>
      <c r="M412" s="301"/>
      <c r="N412" s="301"/>
      <c r="O412" s="301"/>
      <c r="P412" s="301"/>
      <c r="Q412" s="301"/>
      <c r="R412" s="301"/>
      <c r="S412" s="301"/>
      <c r="T412" s="366"/>
      <c r="U412" s="301"/>
      <c r="V412" s="301"/>
      <c r="W412" s="301"/>
      <c r="X412" s="301"/>
      <c r="Y412" s="301"/>
      <c r="Z412" s="301"/>
    </row>
    <row r="413">
      <c r="A413" s="301"/>
      <c r="B413" s="365"/>
      <c r="C413" s="301"/>
      <c r="D413" s="301"/>
      <c r="E413" s="301"/>
      <c r="F413" s="301"/>
      <c r="G413" s="301"/>
      <c r="H413" s="334"/>
      <c r="I413" s="334"/>
      <c r="J413" s="301"/>
      <c r="K413" s="301"/>
      <c r="L413" s="301"/>
      <c r="M413" s="301"/>
      <c r="N413" s="301"/>
      <c r="O413" s="301"/>
      <c r="P413" s="301"/>
      <c r="Q413" s="301"/>
      <c r="R413" s="301"/>
      <c r="S413" s="301"/>
      <c r="T413" s="366"/>
      <c r="U413" s="301"/>
      <c r="V413" s="301"/>
      <c r="W413" s="301"/>
      <c r="X413" s="301"/>
      <c r="Y413" s="301"/>
      <c r="Z413" s="301"/>
    </row>
    <row r="414">
      <c r="A414" s="301"/>
      <c r="B414" s="365"/>
      <c r="C414" s="301"/>
      <c r="D414" s="301"/>
      <c r="E414" s="301"/>
      <c r="F414" s="301"/>
      <c r="G414" s="301"/>
      <c r="H414" s="334"/>
      <c r="I414" s="334"/>
      <c r="J414" s="301"/>
      <c r="K414" s="301"/>
      <c r="L414" s="301"/>
      <c r="M414" s="301"/>
      <c r="N414" s="301"/>
      <c r="O414" s="301"/>
      <c r="P414" s="301"/>
      <c r="Q414" s="301"/>
      <c r="R414" s="301"/>
      <c r="S414" s="301"/>
      <c r="T414" s="366"/>
      <c r="U414" s="301"/>
      <c r="V414" s="301"/>
      <c r="W414" s="301"/>
      <c r="X414" s="301"/>
      <c r="Y414" s="301"/>
      <c r="Z414" s="301"/>
    </row>
    <row r="415">
      <c r="A415" s="301"/>
      <c r="B415" s="365"/>
      <c r="C415" s="301"/>
      <c r="D415" s="301"/>
      <c r="E415" s="301"/>
      <c r="F415" s="301"/>
      <c r="G415" s="301"/>
      <c r="H415" s="334"/>
      <c r="I415" s="334"/>
      <c r="J415" s="301"/>
      <c r="K415" s="301"/>
      <c r="L415" s="301"/>
      <c r="M415" s="301"/>
      <c r="N415" s="301"/>
      <c r="O415" s="301"/>
      <c r="P415" s="301"/>
      <c r="Q415" s="301"/>
      <c r="R415" s="301"/>
      <c r="S415" s="301"/>
      <c r="T415" s="366"/>
      <c r="U415" s="301"/>
      <c r="V415" s="301"/>
      <c r="W415" s="301"/>
      <c r="X415" s="301"/>
      <c r="Y415" s="301"/>
      <c r="Z415" s="301"/>
    </row>
    <row r="416">
      <c r="A416" s="301"/>
      <c r="B416" s="365"/>
      <c r="C416" s="301"/>
      <c r="D416" s="301"/>
      <c r="E416" s="301"/>
      <c r="F416" s="301"/>
      <c r="G416" s="301"/>
      <c r="H416" s="334"/>
      <c r="I416" s="334"/>
      <c r="J416" s="301"/>
      <c r="K416" s="301"/>
      <c r="L416" s="301"/>
      <c r="M416" s="301"/>
      <c r="N416" s="301"/>
      <c r="O416" s="301"/>
      <c r="P416" s="301"/>
      <c r="Q416" s="301"/>
      <c r="R416" s="301"/>
      <c r="S416" s="301"/>
      <c r="T416" s="366"/>
      <c r="U416" s="301"/>
      <c r="V416" s="301"/>
      <c r="W416" s="301"/>
      <c r="X416" s="301"/>
      <c r="Y416" s="301"/>
      <c r="Z416" s="301"/>
    </row>
    <row r="417">
      <c r="A417" s="301"/>
      <c r="B417" s="365"/>
      <c r="C417" s="301"/>
      <c r="D417" s="301"/>
      <c r="E417" s="301"/>
      <c r="F417" s="301"/>
      <c r="G417" s="301"/>
      <c r="H417" s="334"/>
      <c r="I417" s="334"/>
      <c r="J417" s="301"/>
      <c r="K417" s="301"/>
      <c r="L417" s="301"/>
      <c r="M417" s="301"/>
      <c r="N417" s="301"/>
      <c r="O417" s="301"/>
      <c r="P417" s="301"/>
      <c r="Q417" s="301"/>
      <c r="R417" s="301"/>
      <c r="S417" s="301"/>
      <c r="T417" s="366"/>
      <c r="U417" s="301"/>
      <c r="V417" s="301"/>
      <c r="W417" s="301"/>
      <c r="X417" s="301"/>
      <c r="Y417" s="301"/>
      <c r="Z417" s="301"/>
    </row>
    <row r="418">
      <c r="A418" s="301"/>
      <c r="B418" s="365"/>
      <c r="C418" s="301"/>
      <c r="D418" s="301"/>
      <c r="E418" s="301"/>
      <c r="F418" s="301"/>
      <c r="G418" s="301"/>
      <c r="H418" s="334"/>
      <c r="I418" s="334"/>
      <c r="J418" s="301"/>
      <c r="K418" s="301"/>
      <c r="L418" s="301"/>
      <c r="M418" s="301"/>
      <c r="N418" s="301"/>
      <c r="O418" s="301"/>
      <c r="P418" s="301"/>
      <c r="Q418" s="301"/>
      <c r="R418" s="301"/>
      <c r="S418" s="301"/>
      <c r="T418" s="366"/>
      <c r="U418" s="301"/>
      <c r="V418" s="301"/>
      <c r="W418" s="301"/>
      <c r="X418" s="301"/>
      <c r="Y418" s="301"/>
      <c r="Z418" s="301"/>
    </row>
    <row r="419">
      <c r="A419" s="301"/>
      <c r="B419" s="365"/>
      <c r="C419" s="301"/>
      <c r="D419" s="301"/>
      <c r="E419" s="301"/>
      <c r="F419" s="301"/>
      <c r="G419" s="301"/>
      <c r="H419" s="334"/>
      <c r="I419" s="334"/>
      <c r="J419" s="301"/>
      <c r="K419" s="301"/>
      <c r="L419" s="301"/>
      <c r="M419" s="301"/>
      <c r="N419" s="301"/>
      <c r="O419" s="301"/>
      <c r="P419" s="301"/>
      <c r="Q419" s="301"/>
      <c r="R419" s="301"/>
      <c r="S419" s="301"/>
      <c r="T419" s="366"/>
      <c r="U419" s="301"/>
      <c r="V419" s="301"/>
      <c r="W419" s="301"/>
      <c r="X419" s="301"/>
      <c r="Y419" s="301"/>
      <c r="Z419" s="301"/>
    </row>
    <row r="420">
      <c r="A420" s="301"/>
      <c r="B420" s="365"/>
      <c r="C420" s="301"/>
      <c r="D420" s="301"/>
      <c r="E420" s="301"/>
      <c r="F420" s="301"/>
      <c r="G420" s="301"/>
      <c r="H420" s="334"/>
      <c r="I420" s="334"/>
      <c r="J420" s="301"/>
      <c r="K420" s="301"/>
      <c r="L420" s="301"/>
      <c r="M420" s="301"/>
      <c r="N420" s="301"/>
      <c r="O420" s="301"/>
      <c r="P420" s="301"/>
      <c r="Q420" s="301"/>
      <c r="R420" s="301"/>
      <c r="S420" s="301"/>
      <c r="T420" s="366"/>
      <c r="U420" s="301"/>
      <c r="V420" s="301"/>
      <c r="W420" s="301"/>
      <c r="X420" s="301"/>
      <c r="Y420" s="301"/>
      <c r="Z420" s="301"/>
    </row>
    <row r="421">
      <c r="A421" s="301"/>
      <c r="B421" s="365"/>
      <c r="C421" s="301"/>
      <c r="D421" s="301"/>
      <c r="E421" s="301"/>
      <c r="F421" s="301"/>
      <c r="G421" s="301"/>
      <c r="H421" s="334"/>
      <c r="I421" s="334"/>
      <c r="J421" s="301"/>
      <c r="K421" s="301"/>
      <c r="L421" s="301"/>
      <c r="M421" s="301"/>
      <c r="N421" s="301"/>
      <c r="O421" s="301"/>
      <c r="P421" s="301"/>
      <c r="Q421" s="301"/>
      <c r="R421" s="301"/>
      <c r="S421" s="301"/>
      <c r="T421" s="366"/>
      <c r="U421" s="301"/>
      <c r="V421" s="301"/>
      <c r="W421" s="301"/>
      <c r="X421" s="301"/>
      <c r="Y421" s="301"/>
      <c r="Z421" s="301"/>
    </row>
    <row r="422">
      <c r="A422" s="301"/>
      <c r="B422" s="365"/>
      <c r="C422" s="301"/>
      <c r="D422" s="301"/>
      <c r="E422" s="301"/>
      <c r="F422" s="301"/>
      <c r="G422" s="301"/>
      <c r="H422" s="334"/>
      <c r="I422" s="334"/>
      <c r="J422" s="301"/>
      <c r="K422" s="301"/>
      <c r="L422" s="301"/>
      <c r="M422" s="301"/>
      <c r="N422" s="301"/>
      <c r="O422" s="301"/>
      <c r="P422" s="301"/>
      <c r="Q422" s="301"/>
      <c r="R422" s="301"/>
      <c r="S422" s="301"/>
      <c r="T422" s="366"/>
      <c r="U422" s="301"/>
      <c r="V422" s="301"/>
      <c r="W422" s="301"/>
      <c r="X422" s="301"/>
      <c r="Y422" s="301"/>
      <c r="Z422" s="301"/>
    </row>
    <row r="423">
      <c r="A423" s="301"/>
      <c r="B423" s="365"/>
      <c r="C423" s="301"/>
      <c r="D423" s="301"/>
      <c r="E423" s="301"/>
      <c r="F423" s="301"/>
      <c r="G423" s="301"/>
      <c r="H423" s="334"/>
      <c r="I423" s="334"/>
      <c r="J423" s="301"/>
      <c r="K423" s="301"/>
      <c r="L423" s="301"/>
      <c r="M423" s="301"/>
      <c r="N423" s="301"/>
      <c r="O423" s="301"/>
      <c r="P423" s="301"/>
      <c r="Q423" s="301"/>
      <c r="R423" s="301"/>
      <c r="S423" s="301"/>
      <c r="T423" s="366"/>
      <c r="U423" s="301"/>
      <c r="V423" s="301"/>
      <c r="W423" s="301"/>
      <c r="X423" s="301"/>
      <c r="Y423" s="301"/>
      <c r="Z423" s="301"/>
    </row>
    <row r="424">
      <c r="A424" s="301"/>
      <c r="B424" s="365"/>
      <c r="C424" s="301"/>
      <c r="D424" s="301"/>
      <c r="E424" s="301"/>
      <c r="F424" s="301"/>
      <c r="G424" s="301"/>
      <c r="H424" s="334"/>
      <c r="I424" s="334"/>
      <c r="J424" s="301"/>
      <c r="K424" s="301"/>
      <c r="L424" s="301"/>
      <c r="M424" s="301"/>
      <c r="N424" s="301"/>
      <c r="O424" s="301"/>
      <c r="P424" s="301"/>
      <c r="Q424" s="301"/>
      <c r="R424" s="301"/>
      <c r="S424" s="301"/>
      <c r="T424" s="366"/>
      <c r="U424" s="301"/>
      <c r="V424" s="301"/>
      <c r="W424" s="301"/>
      <c r="X424" s="301"/>
      <c r="Y424" s="301"/>
      <c r="Z424" s="301"/>
    </row>
    <row r="425">
      <c r="A425" s="301"/>
      <c r="B425" s="365"/>
      <c r="C425" s="301"/>
      <c r="D425" s="301"/>
      <c r="E425" s="301"/>
      <c r="F425" s="301"/>
      <c r="G425" s="301"/>
      <c r="H425" s="334"/>
      <c r="I425" s="334"/>
      <c r="J425" s="301"/>
      <c r="K425" s="301"/>
      <c r="L425" s="301"/>
      <c r="M425" s="301"/>
      <c r="N425" s="301"/>
      <c r="O425" s="301"/>
      <c r="P425" s="301"/>
      <c r="Q425" s="301"/>
      <c r="R425" s="301"/>
      <c r="S425" s="301"/>
      <c r="T425" s="366"/>
      <c r="U425" s="301"/>
      <c r="V425" s="301"/>
      <c r="W425" s="301"/>
      <c r="X425" s="301"/>
      <c r="Y425" s="301"/>
      <c r="Z425" s="301"/>
    </row>
    <row r="426">
      <c r="A426" s="301"/>
      <c r="B426" s="365"/>
      <c r="C426" s="301"/>
      <c r="D426" s="301"/>
      <c r="E426" s="301"/>
      <c r="F426" s="301"/>
      <c r="G426" s="301"/>
      <c r="H426" s="334"/>
      <c r="I426" s="334"/>
      <c r="J426" s="301"/>
      <c r="K426" s="301"/>
      <c r="L426" s="301"/>
      <c r="M426" s="301"/>
      <c r="N426" s="301"/>
      <c r="O426" s="301"/>
      <c r="P426" s="301"/>
      <c r="Q426" s="301"/>
      <c r="R426" s="301"/>
      <c r="S426" s="301"/>
      <c r="T426" s="366"/>
      <c r="U426" s="301"/>
      <c r="V426" s="301"/>
      <c r="W426" s="301"/>
      <c r="X426" s="301"/>
      <c r="Y426" s="301"/>
      <c r="Z426" s="301"/>
    </row>
    <row r="427">
      <c r="A427" s="301"/>
      <c r="B427" s="365"/>
      <c r="C427" s="301"/>
      <c r="D427" s="301"/>
      <c r="E427" s="301"/>
      <c r="F427" s="301"/>
      <c r="G427" s="301"/>
      <c r="H427" s="334"/>
      <c r="I427" s="334"/>
      <c r="J427" s="301"/>
      <c r="K427" s="301"/>
      <c r="L427" s="301"/>
      <c r="M427" s="301"/>
      <c r="N427" s="301"/>
      <c r="O427" s="301"/>
      <c r="P427" s="301"/>
      <c r="Q427" s="301"/>
      <c r="R427" s="301"/>
      <c r="S427" s="301"/>
      <c r="T427" s="366"/>
      <c r="U427" s="301"/>
      <c r="V427" s="301"/>
      <c r="W427" s="301"/>
      <c r="X427" s="301"/>
      <c r="Y427" s="301"/>
      <c r="Z427" s="301"/>
    </row>
    <row r="428">
      <c r="A428" s="301"/>
      <c r="B428" s="365"/>
      <c r="C428" s="301"/>
      <c r="D428" s="301"/>
      <c r="E428" s="301"/>
      <c r="F428" s="301"/>
      <c r="G428" s="301"/>
      <c r="H428" s="334"/>
      <c r="I428" s="334"/>
      <c r="J428" s="301"/>
      <c r="K428" s="301"/>
      <c r="L428" s="301"/>
      <c r="M428" s="301"/>
      <c r="N428" s="301"/>
      <c r="O428" s="301"/>
      <c r="P428" s="301"/>
      <c r="Q428" s="301"/>
      <c r="R428" s="301"/>
      <c r="S428" s="301"/>
      <c r="T428" s="366"/>
      <c r="U428" s="301"/>
      <c r="V428" s="301"/>
      <c r="W428" s="301"/>
      <c r="X428" s="301"/>
      <c r="Y428" s="301"/>
      <c r="Z428" s="301"/>
    </row>
    <row r="429">
      <c r="A429" s="301"/>
      <c r="B429" s="365"/>
      <c r="C429" s="301"/>
      <c r="D429" s="301"/>
      <c r="E429" s="301"/>
      <c r="F429" s="301"/>
      <c r="G429" s="301"/>
      <c r="H429" s="334"/>
      <c r="I429" s="334"/>
      <c r="J429" s="301"/>
      <c r="K429" s="301"/>
      <c r="L429" s="301"/>
      <c r="M429" s="301"/>
      <c r="N429" s="301"/>
      <c r="O429" s="301"/>
      <c r="P429" s="301"/>
      <c r="Q429" s="301"/>
      <c r="R429" s="301"/>
      <c r="S429" s="301"/>
      <c r="T429" s="366"/>
      <c r="U429" s="301"/>
      <c r="V429" s="301"/>
      <c r="W429" s="301"/>
      <c r="X429" s="301"/>
      <c r="Y429" s="301"/>
      <c r="Z429" s="301"/>
    </row>
    <row r="430">
      <c r="A430" s="301"/>
      <c r="B430" s="365"/>
      <c r="C430" s="301"/>
      <c r="D430" s="301"/>
      <c r="E430" s="301"/>
      <c r="F430" s="301"/>
      <c r="G430" s="301"/>
      <c r="H430" s="334"/>
      <c r="I430" s="334"/>
      <c r="J430" s="301"/>
      <c r="K430" s="301"/>
      <c r="L430" s="301"/>
      <c r="M430" s="301"/>
      <c r="N430" s="301"/>
      <c r="O430" s="301"/>
      <c r="P430" s="301"/>
      <c r="Q430" s="301"/>
      <c r="R430" s="301"/>
      <c r="S430" s="301"/>
      <c r="T430" s="366"/>
      <c r="U430" s="301"/>
      <c r="V430" s="301"/>
      <c r="W430" s="301"/>
      <c r="X430" s="301"/>
      <c r="Y430" s="301"/>
      <c r="Z430" s="301"/>
    </row>
    <row r="431">
      <c r="A431" s="301"/>
      <c r="B431" s="365"/>
      <c r="C431" s="301"/>
      <c r="D431" s="301"/>
      <c r="E431" s="301"/>
      <c r="F431" s="301"/>
      <c r="G431" s="301"/>
      <c r="H431" s="334"/>
      <c r="I431" s="334"/>
      <c r="J431" s="301"/>
      <c r="K431" s="301"/>
      <c r="L431" s="301"/>
      <c r="M431" s="301"/>
      <c r="N431" s="301"/>
      <c r="O431" s="301"/>
      <c r="P431" s="301"/>
      <c r="Q431" s="301"/>
      <c r="R431" s="301"/>
      <c r="S431" s="301"/>
      <c r="T431" s="366"/>
      <c r="U431" s="301"/>
      <c r="V431" s="301"/>
      <c r="W431" s="301"/>
      <c r="X431" s="301"/>
      <c r="Y431" s="301"/>
      <c r="Z431" s="301"/>
    </row>
    <row r="432">
      <c r="A432" s="301"/>
      <c r="B432" s="365"/>
      <c r="C432" s="301"/>
      <c r="D432" s="301"/>
      <c r="E432" s="301"/>
      <c r="F432" s="301"/>
      <c r="G432" s="301"/>
      <c r="H432" s="334"/>
      <c r="I432" s="334"/>
      <c r="J432" s="301"/>
      <c r="K432" s="301"/>
      <c r="L432" s="301"/>
      <c r="M432" s="301"/>
      <c r="N432" s="301"/>
      <c r="O432" s="301"/>
      <c r="P432" s="301"/>
      <c r="Q432" s="301"/>
      <c r="R432" s="301"/>
      <c r="S432" s="301"/>
      <c r="T432" s="366"/>
      <c r="U432" s="301"/>
      <c r="V432" s="301"/>
      <c r="W432" s="301"/>
      <c r="X432" s="301"/>
      <c r="Y432" s="301"/>
      <c r="Z432" s="301"/>
    </row>
    <row r="433">
      <c r="A433" s="301"/>
      <c r="B433" s="365"/>
      <c r="C433" s="301"/>
      <c r="D433" s="301"/>
      <c r="E433" s="301"/>
      <c r="F433" s="301"/>
      <c r="G433" s="301"/>
      <c r="H433" s="334"/>
      <c r="I433" s="334"/>
      <c r="J433" s="301"/>
      <c r="K433" s="301"/>
      <c r="L433" s="301"/>
      <c r="M433" s="301"/>
      <c r="N433" s="301"/>
      <c r="O433" s="301"/>
      <c r="P433" s="301"/>
      <c r="Q433" s="301"/>
      <c r="R433" s="301"/>
      <c r="S433" s="301"/>
      <c r="T433" s="366"/>
      <c r="U433" s="301"/>
      <c r="V433" s="301"/>
      <c r="W433" s="301"/>
      <c r="X433" s="301"/>
      <c r="Y433" s="301"/>
      <c r="Z433" s="301"/>
    </row>
    <row r="434">
      <c r="A434" s="301"/>
      <c r="B434" s="365"/>
      <c r="C434" s="301"/>
      <c r="D434" s="301"/>
      <c r="E434" s="301"/>
      <c r="F434" s="301"/>
      <c r="G434" s="301"/>
      <c r="H434" s="334"/>
      <c r="I434" s="334"/>
      <c r="J434" s="301"/>
      <c r="K434" s="301"/>
      <c r="L434" s="301"/>
      <c r="M434" s="301"/>
      <c r="N434" s="301"/>
      <c r="O434" s="301"/>
      <c r="P434" s="301"/>
      <c r="Q434" s="301"/>
      <c r="R434" s="301"/>
      <c r="S434" s="301"/>
      <c r="T434" s="366"/>
      <c r="U434" s="301"/>
      <c r="V434" s="301"/>
      <c r="W434" s="301"/>
      <c r="X434" s="301"/>
      <c r="Y434" s="301"/>
      <c r="Z434" s="301"/>
    </row>
    <row r="435">
      <c r="A435" s="301"/>
      <c r="B435" s="365"/>
      <c r="C435" s="301"/>
      <c r="D435" s="301"/>
      <c r="E435" s="301"/>
      <c r="F435" s="301"/>
      <c r="G435" s="301"/>
      <c r="H435" s="334"/>
      <c r="I435" s="334"/>
      <c r="J435" s="301"/>
      <c r="K435" s="301"/>
      <c r="L435" s="301"/>
      <c r="M435" s="301"/>
      <c r="N435" s="301"/>
      <c r="O435" s="301"/>
      <c r="P435" s="301"/>
      <c r="Q435" s="301"/>
      <c r="R435" s="301"/>
      <c r="S435" s="301"/>
      <c r="T435" s="366"/>
      <c r="U435" s="301"/>
      <c r="V435" s="301"/>
      <c r="W435" s="301"/>
      <c r="X435" s="301"/>
      <c r="Y435" s="301"/>
      <c r="Z435" s="301"/>
    </row>
    <row r="436">
      <c r="A436" s="301"/>
      <c r="B436" s="365"/>
      <c r="C436" s="301"/>
      <c r="D436" s="301"/>
      <c r="E436" s="301"/>
      <c r="F436" s="301"/>
      <c r="G436" s="301"/>
      <c r="H436" s="334"/>
      <c r="I436" s="334"/>
      <c r="J436" s="301"/>
      <c r="K436" s="301"/>
      <c r="L436" s="301"/>
      <c r="M436" s="301"/>
      <c r="N436" s="301"/>
      <c r="O436" s="301"/>
      <c r="P436" s="301"/>
      <c r="Q436" s="301"/>
      <c r="R436" s="301"/>
      <c r="S436" s="301"/>
      <c r="T436" s="366"/>
      <c r="U436" s="301"/>
      <c r="V436" s="301"/>
      <c r="W436" s="301"/>
      <c r="X436" s="301"/>
      <c r="Y436" s="301"/>
      <c r="Z436" s="301"/>
    </row>
    <row r="437">
      <c r="A437" s="301"/>
      <c r="B437" s="365"/>
      <c r="C437" s="301"/>
      <c r="D437" s="301"/>
      <c r="E437" s="301"/>
      <c r="F437" s="301"/>
      <c r="G437" s="301"/>
      <c r="H437" s="334"/>
      <c r="I437" s="334"/>
      <c r="J437" s="301"/>
      <c r="K437" s="301"/>
      <c r="L437" s="301"/>
      <c r="M437" s="301"/>
      <c r="N437" s="301"/>
      <c r="O437" s="301"/>
      <c r="P437" s="301"/>
      <c r="Q437" s="301"/>
      <c r="R437" s="301"/>
      <c r="S437" s="301"/>
      <c r="T437" s="366"/>
      <c r="U437" s="301"/>
      <c r="V437" s="301"/>
      <c r="W437" s="301"/>
      <c r="X437" s="301"/>
      <c r="Y437" s="301"/>
      <c r="Z437" s="301"/>
    </row>
    <row r="438">
      <c r="A438" s="301"/>
      <c r="B438" s="365"/>
      <c r="C438" s="301"/>
      <c r="D438" s="301"/>
      <c r="E438" s="301"/>
      <c r="F438" s="301"/>
      <c r="G438" s="301"/>
      <c r="H438" s="334"/>
      <c r="I438" s="334"/>
      <c r="J438" s="301"/>
      <c r="K438" s="301"/>
      <c r="L438" s="301"/>
      <c r="M438" s="301"/>
      <c r="N438" s="301"/>
      <c r="O438" s="301"/>
      <c r="P438" s="301"/>
      <c r="Q438" s="301"/>
      <c r="R438" s="301"/>
      <c r="S438" s="301"/>
      <c r="T438" s="366"/>
      <c r="U438" s="301"/>
      <c r="V438" s="301"/>
      <c r="W438" s="301"/>
      <c r="X438" s="301"/>
      <c r="Y438" s="301"/>
      <c r="Z438" s="301"/>
    </row>
    <row r="439">
      <c r="A439" s="301"/>
      <c r="B439" s="365"/>
      <c r="C439" s="301"/>
      <c r="D439" s="301"/>
      <c r="E439" s="301"/>
      <c r="F439" s="301"/>
      <c r="G439" s="301"/>
      <c r="H439" s="334"/>
      <c r="I439" s="334"/>
      <c r="J439" s="301"/>
      <c r="K439" s="301"/>
      <c r="L439" s="301"/>
      <c r="M439" s="301"/>
      <c r="N439" s="301"/>
      <c r="O439" s="301"/>
      <c r="P439" s="301"/>
      <c r="Q439" s="301"/>
      <c r="R439" s="301"/>
      <c r="S439" s="301"/>
      <c r="T439" s="366"/>
      <c r="U439" s="301"/>
      <c r="V439" s="301"/>
      <c r="W439" s="301"/>
      <c r="X439" s="301"/>
      <c r="Y439" s="301"/>
      <c r="Z439" s="301"/>
    </row>
    <row r="440">
      <c r="A440" s="301"/>
      <c r="B440" s="365"/>
      <c r="C440" s="301"/>
      <c r="D440" s="301"/>
      <c r="E440" s="301"/>
      <c r="F440" s="301"/>
      <c r="G440" s="301"/>
      <c r="H440" s="334"/>
      <c r="I440" s="334"/>
      <c r="J440" s="301"/>
      <c r="K440" s="301"/>
      <c r="L440" s="301"/>
      <c r="M440" s="301"/>
      <c r="N440" s="301"/>
      <c r="O440" s="301"/>
      <c r="P440" s="301"/>
      <c r="Q440" s="301"/>
      <c r="R440" s="301"/>
      <c r="S440" s="301"/>
      <c r="T440" s="366"/>
      <c r="U440" s="301"/>
      <c r="V440" s="301"/>
      <c r="W440" s="301"/>
      <c r="X440" s="301"/>
      <c r="Y440" s="301"/>
      <c r="Z440" s="301"/>
    </row>
    <row r="441">
      <c r="A441" s="301"/>
      <c r="B441" s="365"/>
      <c r="C441" s="301"/>
      <c r="D441" s="301"/>
      <c r="E441" s="301"/>
      <c r="F441" s="301"/>
      <c r="G441" s="301"/>
      <c r="H441" s="334"/>
      <c r="I441" s="334"/>
      <c r="J441" s="301"/>
      <c r="K441" s="301"/>
      <c r="L441" s="301"/>
      <c r="M441" s="301"/>
      <c r="N441" s="301"/>
      <c r="O441" s="301"/>
      <c r="P441" s="301"/>
      <c r="Q441" s="301"/>
      <c r="R441" s="301"/>
      <c r="S441" s="301"/>
      <c r="T441" s="366"/>
      <c r="U441" s="301"/>
      <c r="V441" s="301"/>
      <c r="W441" s="301"/>
      <c r="X441" s="301"/>
      <c r="Y441" s="301"/>
      <c r="Z441" s="301"/>
    </row>
    <row r="442">
      <c r="A442" s="301"/>
      <c r="B442" s="365"/>
      <c r="C442" s="301"/>
      <c r="D442" s="301"/>
      <c r="E442" s="301"/>
      <c r="F442" s="301"/>
      <c r="G442" s="301"/>
      <c r="H442" s="334"/>
      <c r="I442" s="334"/>
      <c r="J442" s="301"/>
      <c r="K442" s="301"/>
      <c r="L442" s="301"/>
      <c r="M442" s="301"/>
      <c r="N442" s="301"/>
      <c r="O442" s="301"/>
      <c r="P442" s="301"/>
      <c r="Q442" s="301"/>
      <c r="R442" s="301"/>
      <c r="S442" s="301"/>
      <c r="T442" s="366"/>
      <c r="U442" s="301"/>
      <c r="V442" s="301"/>
      <c r="W442" s="301"/>
      <c r="X442" s="301"/>
      <c r="Y442" s="301"/>
      <c r="Z442" s="301"/>
    </row>
    <row r="443">
      <c r="A443" s="301"/>
      <c r="B443" s="365"/>
      <c r="C443" s="301"/>
      <c r="D443" s="301"/>
      <c r="E443" s="301"/>
      <c r="F443" s="301"/>
      <c r="G443" s="301"/>
      <c r="H443" s="334"/>
      <c r="I443" s="334"/>
      <c r="J443" s="301"/>
      <c r="K443" s="301"/>
      <c r="L443" s="301"/>
      <c r="M443" s="301"/>
      <c r="N443" s="301"/>
      <c r="O443" s="301"/>
      <c r="P443" s="301"/>
      <c r="Q443" s="301"/>
      <c r="R443" s="301"/>
      <c r="S443" s="301"/>
      <c r="T443" s="366"/>
      <c r="U443" s="301"/>
      <c r="V443" s="301"/>
      <c r="W443" s="301"/>
      <c r="X443" s="301"/>
      <c r="Y443" s="301"/>
      <c r="Z443" s="301"/>
    </row>
    <row r="444">
      <c r="A444" s="301"/>
      <c r="B444" s="365"/>
      <c r="C444" s="301"/>
      <c r="D444" s="301"/>
      <c r="E444" s="301"/>
      <c r="F444" s="301"/>
      <c r="G444" s="301"/>
      <c r="H444" s="334"/>
      <c r="I444" s="334"/>
      <c r="J444" s="301"/>
      <c r="K444" s="301"/>
      <c r="L444" s="301"/>
      <c r="M444" s="301"/>
      <c r="N444" s="301"/>
      <c r="O444" s="301"/>
      <c r="P444" s="301"/>
      <c r="Q444" s="301"/>
      <c r="R444" s="301"/>
      <c r="S444" s="301"/>
      <c r="T444" s="366"/>
      <c r="U444" s="301"/>
      <c r="V444" s="301"/>
      <c r="W444" s="301"/>
      <c r="X444" s="301"/>
      <c r="Y444" s="301"/>
      <c r="Z444" s="301"/>
    </row>
    <row r="445">
      <c r="A445" s="301"/>
      <c r="B445" s="365"/>
      <c r="C445" s="301"/>
      <c r="D445" s="301"/>
      <c r="E445" s="301"/>
      <c r="F445" s="301"/>
      <c r="G445" s="301"/>
      <c r="H445" s="334"/>
      <c r="I445" s="334"/>
      <c r="J445" s="301"/>
      <c r="K445" s="301"/>
      <c r="L445" s="301"/>
      <c r="M445" s="301"/>
      <c r="N445" s="301"/>
      <c r="O445" s="301"/>
      <c r="P445" s="301"/>
      <c r="Q445" s="301"/>
      <c r="R445" s="301"/>
      <c r="S445" s="301"/>
      <c r="T445" s="366"/>
      <c r="U445" s="301"/>
      <c r="V445" s="301"/>
      <c r="W445" s="301"/>
      <c r="X445" s="301"/>
      <c r="Y445" s="301"/>
      <c r="Z445" s="301"/>
    </row>
    <row r="446">
      <c r="A446" s="301"/>
      <c r="B446" s="365"/>
      <c r="C446" s="301"/>
      <c r="D446" s="301"/>
      <c r="E446" s="301"/>
      <c r="F446" s="301"/>
      <c r="G446" s="301"/>
      <c r="H446" s="334"/>
      <c r="I446" s="334"/>
      <c r="J446" s="301"/>
      <c r="K446" s="301"/>
      <c r="L446" s="301"/>
      <c r="M446" s="301"/>
      <c r="N446" s="301"/>
      <c r="O446" s="301"/>
      <c r="P446" s="301"/>
      <c r="Q446" s="301"/>
      <c r="R446" s="301"/>
      <c r="S446" s="301"/>
      <c r="T446" s="366"/>
      <c r="U446" s="301"/>
      <c r="V446" s="301"/>
      <c r="W446" s="301"/>
      <c r="X446" s="301"/>
      <c r="Y446" s="301"/>
      <c r="Z446" s="301"/>
    </row>
    <row r="447">
      <c r="A447" s="301"/>
      <c r="B447" s="365"/>
      <c r="C447" s="301"/>
      <c r="D447" s="301"/>
      <c r="E447" s="301"/>
      <c r="F447" s="301"/>
      <c r="G447" s="301"/>
      <c r="H447" s="334"/>
      <c r="I447" s="334"/>
      <c r="J447" s="301"/>
      <c r="K447" s="301"/>
      <c r="L447" s="301"/>
      <c r="M447" s="301"/>
      <c r="N447" s="301"/>
      <c r="O447" s="301"/>
      <c r="P447" s="301"/>
      <c r="Q447" s="301"/>
      <c r="R447" s="301"/>
      <c r="S447" s="301"/>
      <c r="T447" s="366"/>
      <c r="U447" s="301"/>
      <c r="V447" s="301"/>
      <c r="W447" s="301"/>
      <c r="X447" s="301"/>
      <c r="Y447" s="301"/>
      <c r="Z447" s="301"/>
    </row>
    <row r="448">
      <c r="A448" s="301"/>
      <c r="B448" s="365"/>
      <c r="C448" s="301"/>
      <c r="D448" s="301"/>
      <c r="E448" s="301"/>
      <c r="F448" s="301"/>
      <c r="G448" s="301"/>
      <c r="H448" s="334"/>
      <c r="I448" s="334"/>
      <c r="J448" s="301"/>
      <c r="K448" s="301"/>
      <c r="L448" s="301"/>
      <c r="M448" s="301"/>
      <c r="N448" s="301"/>
      <c r="O448" s="301"/>
      <c r="P448" s="301"/>
      <c r="Q448" s="301"/>
      <c r="R448" s="301"/>
      <c r="S448" s="301"/>
      <c r="T448" s="366"/>
      <c r="U448" s="301"/>
      <c r="V448" s="301"/>
      <c r="W448" s="301"/>
      <c r="X448" s="301"/>
      <c r="Y448" s="301"/>
      <c r="Z448" s="301"/>
    </row>
    <row r="449">
      <c r="A449" s="301"/>
      <c r="B449" s="365"/>
      <c r="C449" s="301"/>
      <c r="D449" s="301"/>
      <c r="E449" s="301"/>
      <c r="F449" s="301"/>
      <c r="G449" s="301"/>
      <c r="H449" s="334"/>
      <c r="I449" s="334"/>
      <c r="J449" s="301"/>
      <c r="K449" s="301"/>
      <c r="L449" s="301"/>
      <c r="M449" s="301"/>
      <c r="N449" s="301"/>
      <c r="O449" s="301"/>
      <c r="P449" s="301"/>
      <c r="Q449" s="301"/>
      <c r="R449" s="301"/>
      <c r="S449" s="301"/>
      <c r="T449" s="366"/>
      <c r="U449" s="301"/>
      <c r="V449" s="301"/>
      <c r="W449" s="301"/>
      <c r="X449" s="301"/>
      <c r="Y449" s="301"/>
      <c r="Z449" s="301"/>
    </row>
    <row r="450">
      <c r="A450" s="301"/>
      <c r="B450" s="365"/>
      <c r="C450" s="301"/>
      <c r="D450" s="301"/>
      <c r="E450" s="301"/>
      <c r="F450" s="301"/>
      <c r="G450" s="301"/>
      <c r="H450" s="334"/>
      <c r="I450" s="334"/>
      <c r="J450" s="301"/>
      <c r="K450" s="301"/>
      <c r="L450" s="301"/>
      <c r="M450" s="301"/>
      <c r="N450" s="301"/>
      <c r="O450" s="301"/>
      <c r="P450" s="301"/>
      <c r="Q450" s="301"/>
      <c r="R450" s="301"/>
      <c r="S450" s="301"/>
      <c r="T450" s="366"/>
      <c r="U450" s="301"/>
      <c r="V450" s="301"/>
      <c r="W450" s="301"/>
      <c r="X450" s="301"/>
      <c r="Y450" s="301"/>
      <c r="Z450" s="301"/>
    </row>
    <row r="451">
      <c r="A451" s="301"/>
      <c r="B451" s="365"/>
      <c r="C451" s="301"/>
      <c r="D451" s="301"/>
      <c r="E451" s="301"/>
      <c r="F451" s="301"/>
      <c r="G451" s="301"/>
      <c r="H451" s="334"/>
      <c r="I451" s="334"/>
      <c r="J451" s="301"/>
      <c r="K451" s="301"/>
      <c r="L451" s="301"/>
      <c r="M451" s="301"/>
      <c r="N451" s="301"/>
      <c r="O451" s="301"/>
      <c r="P451" s="301"/>
      <c r="Q451" s="301"/>
      <c r="R451" s="301"/>
      <c r="S451" s="301"/>
      <c r="T451" s="366"/>
      <c r="U451" s="301"/>
      <c r="V451" s="301"/>
      <c r="W451" s="301"/>
      <c r="X451" s="301"/>
      <c r="Y451" s="301"/>
      <c r="Z451" s="301"/>
    </row>
    <row r="452">
      <c r="A452" s="301"/>
      <c r="B452" s="365"/>
      <c r="C452" s="301"/>
      <c r="D452" s="301"/>
      <c r="E452" s="301"/>
      <c r="F452" s="301"/>
      <c r="G452" s="301"/>
      <c r="H452" s="334"/>
      <c r="I452" s="334"/>
      <c r="J452" s="301"/>
      <c r="K452" s="301"/>
      <c r="L452" s="301"/>
      <c r="M452" s="301"/>
      <c r="N452" s="301"/>
      <c r="O452" s="301"/>
      <c r="P452" s="301"/>
      <c r="Q452" s="301"/>
      <c r="R452" s="301"/>
      <c r="S452" s="301"/>
      <c r="T452" s="366"/>
      <c r="U452" s="301"/>
      <c r="V452" s="301"/>
      <c r="W452" s="301"/>
      <c r="X452" s="301"/>
      <c r="Y452" s="301"/>
      <c r="Z452" s="301"/>
    </row>
    <row r="453">
      <c r="A453" s="301"/>
      <c r="B453" s="365"/>
      <c r="C453" s="301"/>
      <c r="D453" s="301"/>
      <c r="E453" s="301"/>
      <c r="F453" s="301"/>
      <c r="G453" s="301"/>
      <c r="H453" s="334"/>
      <c r="I453" s="334"/>
      <c r="J453" s="301"/>
      <c r="K453" s="301"/>
      <c r="L453" s="301"/>
      <c r="M453" s="301"/>
      <c r="N453" s="301"/>
      <c r="O453" s="301"/>
      <c r="P453" s="301"/>
      <c r="Q453" s="301"/>
      <c r="R453" s="301"/>
      <c r="S453" s="301"/>
      <c r="T453" s="366"/>
      <c r="U453" s="301"/>
      <c r="V453" s="301"/>
      <c r="W453" s="301"/>
      <c r="X453" s="301"/>
      <c r="Y453" s="301"/>
      <c r="Z453" s="301"/>
    </row>
    <row r="454">
      <c r="A454" s="301"/>
      <c r="B454" s="365"/>
      <c r="C454" s="301"/>
      <c r="D454" s="301"/>
      <c r="E454" s="301"/>
      <c r="F454" s="301"/>
      <c r="G454" s="301"/>
      <c r="H454" s="334"/>
      <c r="I454" s="334"/>
      <c r="J454" s="301"/>
      <c r="K454" s="301"/>
      <c r="L454" s="301"/>
      <c r="M454" s="301"/>
      <c r="N454" s="301"/>
      <c r="O454" s="301"/>
      <c r="P454" s="301"/>
      <c r="Q454" s="301"/>
      <c r="R454" s="301"/>
      <c r="S454" s="301"/>
      <c r="T454" s="366"/>
      <c r="U454" s="301"/>
      <c r="V454" s="301"/>
      <c r="W454" s="301"/>
      <c r="X454" s="301"/>
      <c r="Y454" s="301"/>
      <c r="Z454" s="301"/>
    </row>
    <row r="455">
      <c r="A455" s="301"/>
      <c r="B455" s="365"/>
      <c r="C455" s="301"/>
      <c r="D455" s="301"/>
      <c r="E455" s="301"/>
      <c r="F455" s="301"/>
      <c r="G455" s="301"/>
      <c r="H455" s="334"/>
      <c r="I455" s="334"/>
      <c r="J455" s="301"/>
      <c r="K455" s="301"/>
      <c r="L455" s="301"/>
      <c r="M455" s="301"/>
      <c r="N455" s="301"/>
      <c r="O455" s="301"/>
      <c r="P455" s="301"/>
      <c r="Q455" s="301"/>
      <c r="R455" s="301"/>
      <c r="S455" s="301"/>
      <c r="T455" s="366"/>
      <c r="U455" s="301"/>
      <c r="V455" s="301"/>
      <c r="W455" s="301"/>
      <c r="X455" s="301"/>
      <c r="Y455" s="301"/>
      <c r="Z455" s="301"/>
    </row>
    <row r="456">
      <c r="A456" s="301"/>
      <c r="B456" s="365"/>
      <c r="C456" s="301"/>
      <c r="D456" s="301"/>
      <c r="E456" s="301"/>
      <c r="F456" s="301"/>
      <c r="G456" s="301"/>
      <c r="H456" s="334"/>
      <c r="I456" s="334"/>
      <c r="J456" s="301"/>
      <c r="K456" s="301"/>
      <c r="L456" s="301"/>
      <c r="M456" s="301"/>
      <c r="N456" s="301"/>
      <c r="O456" s="301"/>
      <c r="P456" s="301"/>
      <c r="Q456" s="301"/>
      <c r="R456" s="301"/>
      <c r="S456" s="301"/>
      <c r="T456" s="366"/>
      <c r="U456" s="301"/>
      <c r="V456" s="301"/>
      <c r="W456" s="301"/>
      <c r="X456" s="301"/>
      <c r="Y456" s="301"/>
      <c r="Z456" s="301"/>
    </row>
    <row r="457">
      <c r="A457" s="301"/>
      <c r="B457" s="365"/>
      <c r="C457" s="301"/>
      <c r="D457" s="301"/>
      <c r="E457" s="301"/>
      <c r="F457" s="301"/>
      <c r="G457" s="301"/>
      <c r="H457" s="334"/>
      <c r="I457" s="334"/>
      <c r="J457" s="301"/>
      <c r="K457" s="301"/>
      <c r="L457" s="301"/>
      <c r="M457" s="301"/>
      <c r="N457" s="301"/>
      <c r="O457" s="301"/>
      <c r="P457" s="301"/>
      <c r="Q457" s="301"/>
      <c r="R457" s="301"/>
      <c r="S457" s="301"/>
      <c r="T457" s="366"/>
      <c r="U457" s="301"/>
      <c r="V457" s="301"/>
      <c r="W457" s="301"/>
      <c r="X457" s="301"/>
      <c r="Y457" s="301"/>
      <c r="Z457" s="301"/>
    </row>
    <row r="458">
      <c r="A458" s="301"/>
      <c r="B458" s="365"/>
      <c r="C458" s="301"/>
      <c r="D458" s="301"/>
      <c r="E458" s="301"/>
      <c r="F458" s="301"/>
      <c r="G458" s="301"/>
      <c r="H458" s="334"/>
      <c r="I458" s="334"/>
      <c r="J458" s="301"/>
      <c r="K458" s="301"/>
      <c r="L458" s="301"/>
      <c r="M458" s="301"/>
      <c r="N458" s="301"/>
      <c r="O458" s="301"/>
      <c r="P458" s="301"/>
      <c r="Q458" s="301"/>
      <c r="R458" s="301"/>
      <c r="S458" s="301"/>
      <c r="T458" s="366"/>
      <c r="U458" s="301"/>
      <c r="V458" s="301"/>
      <c r="W458" s="301"/>
      <c r="X458" s="301"/>
      <c r="Y458" s="301"/>
      <c r="Z458" s="301"/>
    </row>
    <row r="459">
      <c r="A459" s="301"/>
      <c r="B459" s="365"/>
      <c r="C459" s="301"/>
      <c r="D459" s="301"/>
      <c r="E459" s="301"/>
      <c r="F459" s="301"/>
      <c r="G459" s="301"/>
      <c r="H459" s="334"/>
      <c r="I459" s="334"/>
      <c r="J459" s="301"/>
      <c r="K459" s="301"/>
      <c r="L459" s="301"/>
      <c r="M459" s="301"/>
      <c r="N459" s="301"/>
      <c r="O459" s="301"/>
      <c r="P459" s="301"/>
      <c r="Q459" s="301"/>
      <c r="R459" s="301"/>
      <c r="S459" s="301"/>
      <c r="T459" s="366"/>
      <c r="U459" s="301"/>
      <c r="V459" s="301"/>
      <c r="W459" s="301"/>
      <c r="X459" s="301"/>
      <c r="Y459" s="301"/>
      <c r="Z459" s="301"/>
    </row>
    <row r="460">
      <c r="A460" s="301"/>
      <c r="B460" s="365"/>
      <c r="C460" s="301"/>
      <c r="D460" s="301"/>
      <c r="E460" s="301"/>
      <c r="F460" s="301"/>
      <c r="G460" s="301"/>
      <c r="H460" s="334"/>
      <c r="I460" s="334"/>
      <c r="J460" s="301"/>
      <c r="K460" s="301"/>
      <c r="L460" s="301"/>
      <c r="M460" s="301"/>
      <c r="N460" s="301"/>
      <c r="O460" s="301"/>
      <c r="P460" s="301"/>
      <c r="Q460" s="301"/>
      <c r="R460" s="301"/>
      <c r="S460" s="301"/>
      <c r="T460" s="366"/>
      <c r="U460" s="301"/>
      <c r="V460" s="301"/>
      <c r="W460" s="301"/>
      <c r="X460" s="301"/>
      <c r="Y460" s="301"/>
      <c r="Z460" s="301"/>
    </row>
    <row r="461">
      <c r="A461" s="301"/>
      <c r="B461" s="365"/>
      <c r="C461" s="301"/>
      <c r="D461" s="301"/>
      <c r="E461" s="301"/>
      <c r="F461" s="301"/>
      <c r="G461" s="301"/>
      <c r="H461" s="334"/>
      <c r="I461" s="334"/>
      <c r="J461" s="301"/>
      <c r="K461" s="301"/>
      <c r="L461" s="301"/>
      <c r="M461" s="301"/>
      <c r="N461" s="301"/>
      <c r="O461" s="301"/>
      <c r="P461" s="301"/>
      <c r="Q461" s="301"/>
      <c r="R461" s="301"/>
      <c r="S461" s="301"/>
      <c r="T461" s="366"/>
      <c r="U461" s="301"/>
      <c r="V461" s="301"/>
      <c r="W461" s="301"/>
      <c r="X461" s="301"/>
      <c r="Y461" s="301"/>
      <c r="Z461" s="301"/>
    </row>
    <row r="462">
      <c r="A462" s="301"/>
      <c r="B462" s="365"/>
      <c r="C462" s="301"/>
      <c r="D462" s="301"/>
      <c r="E462" s="301"/>
      <c r="F462" s="301"/>
      <c r="G462" s="301"/>
      <c r="H462" s="334"/>
      <c r="I462" s="334"/>
      <c r="J462" s="301"/>
      <c r="K462" s="301"/>
      <c r="L462" s="301"/>
      <c r="M462" s="301"/>
      <c r="N462" s="301"/>
      <c r="O462" s="301"/>
      <c r="P462" s="301"/>
      <c r="Q462" s="301"/>
      <c r="R462" s="301"/>
      <c r="S462" s="301"/>
      <c r="T462" s="366"/>
      <c r="U462" s="301"/>
      <c r="V462" s="301"/>
      <c r="W462" s="301"/>
      <c r="X462" s="301"/>
      <c r="Y462" s="301"/>
      <c r="Z462" s="301"/>
    </row>
    <row r="463">
      <c r="A463" s="301"/>
      <c r="B463" s="365"/>
      <c r="C463" s="301"/>
      <c r="D463" s="301"/>
      <c r="E463" s="301"/>
      <c r="F463" s="301"/>
      <c r="G463" s="301"/>
      <c r="H463" s="334"/>
      <c r="I463" s="334"/>
      <c r="J463" s="301"/>
      <c r="K463" s="301"/>
      <c r="L463" s="301"/>
      <c r="M463" s="301"/>
      <c r="N463" s="301"/>
      <c r="O463" s="301"/>
      <c r="P463" s="301"/>
      <c r="Q463" s="301"/>
      <c r="R463" s="301"/>
      <c r="S463" s="301"/>
      <c r="T463" s="366"/>
      <c r="U463" s="301"/>
      <c r="V463" s="301"/>
      <c r="W463" s="301"/>
      <c r="X463" s="301"/>
      <c r="Y463" s="301"/>
      <c r="Z463" s="301"/>
    </row>
    <row r="464">
      <c r="A464" s="301"/>
      <c r="B464" s="365"/>
      <c r="C464" s="301"/>
      <c r="D464" s="301"/>
      <c r="E464" s="301"/>
      <c r="F464" s="301"/>
      <c r="G464" s="301"/>
      <c r="H464" s="334"/>
      <c r="I464" s="334"/>
      <c r="J464" s="301"/>
      <c r="K464" s="301"/>
      <c r="L464" s="301"/>
      <c r="M464" s="301"/>
      <c r="N464" s="301"/>
      <c r="O464" s="301"/>
      <c r="P464" s="301"/>
      <c r="Q464" s="301"/>
      <c r="R464" s="301"/>
      <c r="S464" s="301"/>
      <c r="T464" s="366"/>
      <c r="U464" s="301"/>
      <c r="V464" s="301"/>
      <c r="W464" s="301"/>
      <c r="X464" s="301"/>
      <c r="Y464" s="301"/>
      <c r="Z464" s="301"/>
    </row>
    <row r="465">
      <c r="A465" s="301"/>
      <c r="B465" s="365"/>
      <c r="C465" s="301"/>
      <c r="D465" s="301"/>
      <c r="E465" s="301"/>
      <c r="F465" s="301"/>
      <c r="G465" s="301"/>
      <c r="H465" s="334"/>
      <c r="I465" s="334"/>
      <c r="J465" s="301"/>
      <c r="K465" s="301"/>
      <c r="L465" s="301"/>
      <c r="M465" s="301"/>
      <c r="N465" s="301"/>
      <c r="O465" s="301"/>
      <c r="P465" s="301"/>
      <c r="Q465" s="301"/>
      <c r="R465" s="301"/>
      <c r="S465" s="301"/>
      <c r="T465" s="366"/>
      <c r="U465" s="301"/>
      <c r="V465" s="301"/>
      <c r="W465" s="301"/>
      <c r="X465" s="301"/>
      <c r="Y465" s="301"/>
      <c r="Z465" s="301"/>
    </row>
    <row r="466">
      <c r="A466" s="301"/>
      <c r="B466" s="365"/>
      <c r="C466" s="301"/>
      <c r="D466" s="301"/>
      <c r="E466" s="301"/>
      <c r="F466" s="301"/>
      <c r="G466" s="301"/>
      <c r="H466" s="334"/>
      <c r="I466" s="334"/>
      <c r="J466" s="301"/>
      <c r="K466" s="301"/>
      <c r="L466" s="301"/>
      <c r="M466" s="301"/>
      <c r="N466" s="301"/>
      <c r="O466" s="301"/>
      <c r="P466" s="301"/>
      <c r="Q466" s="301"/>
      <c r="R466" s="301"/>
      <c r="S466" s="301"/>
      <c r="T466" s="366"/>
      <c r="U466" s="301"/>
      <c r="V466" s="301"/>
      <c r="W466" s="301"/>
      <c r="X466" s="301"/>
      <c r="Y466" s="301"/>
      <c r="Z466" s="301"/>
    </row>
    <row r="467">
      <c r="A467" s="301"/>
      <c r="B467" s="365"/>
      <c r="C467" s="301"/>
      <c r="D467" s="301"/>
      <c r="E467" s="301"/>
      <c r="F467" s="301"/>
      <c r="G467" s="301"/>
      <c r="H467" s="334"/>
      <c r="I467" s="334"/>
      <c r="J467" s="301"/>
      <c r="K467" s="301"/>
      <c r="L467" s="301"/>
      <c r="M467" s="301"/>
      <c r="N467" s="301"/>
      <c r="O467" s="301"/>
      <c r="P467" s="301"/>
      <c r="Q467" s="301"/>
      <c r="R467" s="301"/>
      <c r="S467" s="301"/>
      <c r="T467" s="366"/>
      <c r="U467" s="301"/>
      <c r="V467" s="301"/>
      <c r="W467" s="301"/>
      <c r="X467" s="301"/>
      <c r="Y467" s="301"/>
      <c r="Z467" s="301"/>
    </row>
    <row r="468">
      <c r="A468" s="301"/>
      <c r="B468" s="365"/>
      <c r="C468" s="301"/>
      <c r="D468" s="301"/>
      <c r="E468" s="301"/>
      <c r="F468" s="301"/>
      <c r="G468" s="301"/>
      <c r="H468" s="334"/>
      <c r="I468" s="334"/>
      <c r="J468" s="301"/>
      <c r="K468" s="301"/>
      <c r="L468" s="301"/>
      <c r="M468" s="301"/>
      <c r="N468" s="301"/>
      <c r="O468" s="301"/>
      <c r="P468" s="301"/>
      <c r="Q468" s="301"/>
      <c r="R468" s="301"/>
      <c r="S468" s="301"/>
      <c r="T468" s="366"/>
      <c r="U468" s="301"/>
      <c r="V468" s="301"/>
      <c r="W468" s="301"/>
      <c r="X468" s="301"/>
      <c r="Y468" s="301"/>
      <c r="Z468" s="301"/>
    </row>
    <row r="469">
      <c r="A469" s="301"/>
      <c r="B469" s="365"/>
      <c r="C469" s="301"/>
      <c r="D469" s="301"/>
      <c r="E469" s="301"/>
      <c r="F469" s="301"/>
      <c r="G469" s="301"/>
      <c r="H469" s="334"/>
      <c r="I469" s="334"/>
      <c r="J469" s="301"/>
      <c r="K469" s="301"/>
      <c r="L469" s="301"/>
      <c r="M469" s="301"/>
      <c r="N469" s="301"/>
      <c r="O469" s="301"/>
      <c r="P469" s="301"/>
      <c r="Q469" s="301"/>
      <c r="R469" s="301"/>
      <c r="S469" s="301"/>
      <c r="T469" s="366"/>
      <c r="U469" s="301"/>
      <c r="V469" s="301"/>
      <c r="W469" s="301"/>
      <c r="X469" s="301"/>
      <c r="Y469" s="301"/>
      <c r="Z469" s="301"/>
    </row>
    <row r="470">
      <c r="A470" s="301"/>
      <c r="B470" s="365"/>
      <c r="C470" s="301"/>
      <c r="D470" s="301"/>
      <c r="E470" s="301"/>
      <c r="F470" s="301"/>
      <c r="G470" s="301"/>
      <c r="H470" s="334"/>
      <c r="I470" s="334"/>
      <c r="J470" s="301"/>
      <c r="K470" s="301"/>
      <c r="L470" s="301"/>
      <c r="M470" s="301"/>
      <c r="N470" s="301"/>
      <c r="O470" s="301"/>
      <c r="P470" s="301"/>
      <c r="Q470" s="301"/>
      <c r="R470" s="301"/>
      <c r="S470" s="301"/>
      <c r="T470" s="366"/>
      <c r="U470" s="301"/>
      <c r="V470" s="301"/>
      <c r="W470" s="301"/>
      <c r="X470" s="301"/>
      <c r="Y470" s="301"/>
      <c r="Z470" s="301"/>
    </row>
    <row r="471">
      <c r="A471" s="301"/>
      <c r="B471" s="365"/>
      <c r="C471" s="301"/>
      <c r="D471" s="301"/>
      <c r="E471" s="301"/>
      <c r="F471" s="301"/>
      <c r="G471" s="301"/>
      <c r="H471" s="334"/>
      <c r="I471" s="334"/>
      <c r="J471" s="301"/>
      <c r="K471" s="301"/>
      <c r="L471" s="301"/>
      <c r="M471" s="301"/>
      <c r="N471" s="301"/>
      <c r="O471" s="301"/>
      <c r="P471" s="301"/>
      <c r="Q471" s="301"/>
      <c r="R471" s="301"/>
      <c r="S471" s="301"/>
      <c r="T471" s="366"/>
      <c r="U471" s="301"/>
      <c r="V471" s="301"/>
      <c r="W471" s="301"/>
      <c r="X471" s="301"/>
      <c r="Y471" s="301"/>
      <c r="Z471" s="301"/>
    </row>
    <row r="472">
      <c r="A472" s="301"/>
      <c r="B472" s="365"/>
      <c r="C472" s="301"/>
      <c r="D472" s="301"/>
      <c r="E472" s="301"/>
      <c r="F472" s="301"/>
      <c r="G472" s="301"/>
      <c r="H472" s="334"/>
      <c r="I472" s="334"/>
      <c r="J472" s="301"/>
      <c r="K472" s="301"/>
      <c r="L472" s="301"/>
      <c r="M472" s="301"/>
      <c r="N472" s="301"/>
      <c r="O472" s="301"/>
      <c r="P472" s="301"/>
      <c r="Q472" s="301"/>
      <c r="R472" s="301"/>
      <c r="S472" s="301"/>
      <c r="T472" s="366"/>
      <c r="U472" s="301"/>
      <c r="V472" s="301"/>
      <c r="W472" s="301"/>
      <c r="X472" s="301"/>
      <c r="Y472" s="301"/>
      <c r="Z472" s="301"/>
    </row>
    <row r="473">
      <c r="A473" s="301"/>
      <c r="B473" s="365"/>
      <c r="C473" s="301"/>
      <c r="D473" s="301"/>
      <c r="E473" s="301"/>
      <c r="F473" s="301"/>
      <c r="G473" s="301"/>
      <c r="H473" s="334"/>
      <c r="I473" s="334"/>
      <c r="J473" s="301"/>
      <c r="K473" s="301"/>
      <c r="L473" s="301"/>
      <c r="M473" s="301"/>
      <c r="N473" s="301"/>
      <c r="O473" s="301"/>
      <c r="P473" s="301"/>
      <c r="Q473" s="301"/>
      <c r="R473" s="301"/>
      <c r="S473" s="301"/>
      <c r="T473" s="366"/>
      <c r="U473" s="301"/>
      <c r="V473" s="301"/>
      <c r="W473" s="301"/>
      <c r="X473" s="301"/>
      <c r="Y473" s="301"/>
      <c r="Z473" s="301"/>
    </row>
    <row r="474">
      <c r="A474" s="301"/>
      <c r="B474" s="365"/>
      <c r="C474" s="301"/>
      <c r="D474" s="301"/>
      <c r="E474" s="301"/>
      <c r="F474" s="301"/>
      <c r="G474" s="301"/>
      <c r="H474" s="334"/>
      <c r="I474" s="334"/>
      <c r="J474" s="301"/>
      <c r="K474" s="301"/>
      <c r="L474" s="301"/>
      <c r="M474" s="301"/>
      <c r="N474" s="301"/>
      <c r="O474" s="301"/>
      <c r="P474" s="301"/>
      <c r="Q474" s="301"/>
      <c r="R474" s="301"/>
      <c r="S474" s="301"/>
      <c r="T474" s="366"/>
      <c r="U474" s="301"/>
      <c r="V474" s="301"/>
      <c r="W474" s="301"/>
      <c r="X474" s="301"/>
      <c r="Y474" s="301"/>
      <c r="Z474" s="301"/>
    </row>
    <row r="475">
      <c r="A475" s="301"/>
      <c r="B475" s="365"/>
      <c r="C475" s="301"/>
      <c r="D475" s="301"/>
      <c r="E475" s="301"/>
      <c r="F475" s="301"/>
      <c r="G475" s="301"/>
      <c r="H475" s="334"/>
      <c r="I475" s="334"/>
      <c r="J475" s="301"/>
      <c r="K475" s="301"/>
      <c r="L475" s="301"/>
      <c r="M475" s="301"/>
      <c r="N475" s="301"/>
      <c r="O475" s="301"/>
      <c r="P475" s="301"/>
      <c r="Q475" s="301"/>
      <c r="R475" s="301"/>
      <c r="S475" s="301"/>
      <c r="T475" s="366"/>
      <c r="U475" s="301"/>
      <c r="V475" s="301"/>
      <c r="W475" s="301"/>
      <c r="X475" s="301"/>
      <c r="Y475" s="301"/>
      <c r="Z475" s="301"/>
    </row>
    <row r="476">
      <c r="A476" s="301"/>
      <c r="B476" s="365"/>
      <c r="C476" s="301"/>
      <c r="D476" s="301"/>
      <c r="E476" s="301"/>
      <c r="F476" s="301"/>
      <c r="G476" s="301"/>
      <c r="H476" s="334"/>
      <c r="I476" s="334"/>
      <c r="J476" s="301"/>
      <c r="K476" s="301"/>
      <c r="L476" s="301"/>
      <c r="M476" s="301"/>
      <c r="N476" s="301"/>
      <c r="O476" s="301"/>
      <c r="P476" s="301"/>
      <c r="Q476" s="301"/>
      <c r="R476" s="301"/>
      <c r="S476" s="301"/>
      <c r="T476" s="366"/>
      <c r="U476" s="301"/>
      <c r="V476" s="301"/>
      <c r="W476" s="301"/>
      <c r="X476" s="301"/>
      <c r="Y476" s="301"/>
      <c r="Z476" s="301"/>
    </row>
    <row r="477">
      <c r="A477" s="301"/>
      <c r="B477" s="365"/>
      <c r="C477" s="301"/>
      <c r="D477" s="301"/>
      <c r="E477" s="301"/>
      <c r="F477" s="301"/>
      <c r="G477" s="301"/>
      <c r="H477" s="334"/>
      <c r="I477" s="334"/>
      <c r="J477" s="301"/>
      <c r="K477" s="301"/>
      <c r="L477" s="301"/>
      <c r="M477" s="301"/>
      <c r="N477" s="301"/>
      <c r="O477" s="301"/>
      <c r="P477" s="301"/>
      <c r="Q477" s="301"/>
      <c r="R477" s="301"/>
      <c r="S477" s="301"/>
      <c r="T477" s="366"/>
      <c r="U477" s="301"/>
      <c r="V477" s="301"/>
      <c r="W477" s="301"/>
      <c r="X477" s="301"/>
      <c r="Y477" s="301"/>
      <c r="Z477" s="301"/>
    </row>
    <row r="478">
      <c r="A478" s="301"/>
      <c r="B478" s="365"/>
      <c r="C478" s="301"/>
      <c r="D478" s="301"/>
      <c r="E478" s="301"/>
      <c r="F478" s="301"/>
      <c r="G478" s="301"/>
      <c r="H478" s="334"/>
      <c r="I478" s="334"/>
      <c r="J478" s="301"/>
      <c r="K478" s="301"/>
      <c r="L478" s="301"/>
      <c r="M478" s="301"/>
      <c r="N478" s="301"/>
      <c r="O478" s="301"/>
      <c r="P478" s="301"/>
      <c r="Q478" s="301"/>
      <c r="R478" s="301"/>
      <c r="S478" s="301"/>
      <c r="T478" s="366"/>
      <c r="U478" s="301"/>
      <c r="V478" s="301"/>
      <c r="W478" s="301"/>
      <c r="X478" s="301"/>
      <c r="Y478" s="301"/>
      <c r="Z478" s="301"/>
    </row>
    <row r="479">
      <c r="A479" s="301"/>
      <c r="B479" s="365"/>
      <c r="C479" s="301"/>
      <c r="D479" s="301"/>
      <c r="E479" s="301"/>
      <c r="F479" s="301"/>
      <c r="G479" s="301"/>
      <c r="H479" s="334"/>
      <c r="I479" s="334"/>
      <c r="J479" s="301"/>
      <c r="K479" s="301"/>
      <c r="L479" s="301"/>
      <c r="M479" s="301"/>
      <c r="N479" s="301"/>
      <c r="O479" s="301"/>
      <c r="P479" s="301"/>
      <c r="Q479" s="301"/>
      <c r="R479" s="301"/>
      <c r="S479" s="301"/>
      <c r="T479" s="366"/>
      <c r="U479" s="301"/>
      <c r="V479" s="301"/>
      <c r="W479" s="301"/>
      <c r="X479" s="301"/>
      <c r="Y479" s="301"/>
      <c r="Z479" s="301"/>
    </row>
    <row r="480">
      <c r="A480" s="301"/>
      <c r="B480" s="365"/>
      <c r="C480" s="301"/>
      <c r="D480" s="301"/>
      <c r="E480" s="301"/>
      <c r="F480" s="301"/>
      <c r="G480" s="301"/>
      <c r="H480" s="334"/>
      <c r="I480" s="334"/>
      <c r="J480" s="301"/>
      <c r="K480" s="301"/>
      <c r="L480" s="301"/>
      <c r="M480" s="301"/>
      <c r="N480" s="301"/>
      <c r="O480" s="301"/>
      <c r="P480" s="301"/>
      <c r="Q480" s="301"/>
      <c r="R480" s="301"/>
      <c r="S480" s="301"/>
      <c r="T480" s="366"/>
      <c r="U480" s="301"/>
      <c r="V480" s="301"/>
      <c r="W480" s="301"/>
      <c r="X480" s="301"/>
      <c r="Y480" s="301"/>
      <c r="Z480" s="301"/>
    </row>
    <row r="481">
      <c r="A481" s="301"/>
      <c r="B481" s="365"/>
      <c r="C481" s="301"/>
      <c r="D481" s="301"/>
      <c r="E481" s="301"/>
      <c r="F481" s="301"/>
      <c r="G481" s="301"/>
      <c r="H481" s="334"/>
      <c r="I481" s="334"/>
      <c r="J481" s="301"/>
      <c r="K481" s="301"/>
      <c r="L481" s="301"/>
      <c r="M481" s="301"/>
      <c r="N481" s="301"/>
      <c r="O481" s="301"/>
      <c r="P481" s="301"/>
      <c r="Q481" s="301"/>
      <c r="R481" s="301"/>
      <c r="S481" s="301"/>
      <c r="T481" s="366"/>
      <c r="U481" s="301"/>
      <c r="V481" s="301"/>
      <c r="W481" s="301"/>
      <c r="X481" s="301"/>
      <c r="Y481" s="301"/>
      <c r="Z481" s="301"/>
    </row>
    <row r="482">
      <c r="A482" s="301"/>
      <c r="B482" s="365"/>
      <c r="C482" s="301"/>
      <c r="D482" s="301"/>
      <c r="E482" s="301"/>
      <c r="F482" s="301"/>
      <c r="G482" s="301"/>
      <c r="H482" s="334"/>
      <c r="I482" s="334"/>
      <c r="J482" s="301"/>
      <c r="K482" s="301"/>
      <c r="L482" s="301"/>
      <c r="M482" s="301"/>
      <c r="N482" s="301"/>
      <c r="O482" s="301"/>
      <c r="P482" s="301"/>
      <c r="Q482" s="301"/>
      <c r="R482" s="301"/>
      <c r="S482" s="301"/>
      <c r="T482" s="366"/>
      <c r="U482" s="301"/>
      <c r="V482" s="301"/>
      <c r="W482" s="301"/>
      <c r="X482" s="301"/>
      <c r="Y482" s="301"/>
      <c r="Z482" s="301"/>
    </row>
    <row r="483">
      <c r="A483" s="301"/>
      <c r="B483" s="365"/>
      <c r="C483" s="301"/>
      <c r="D483" s="301"/>
      <c r="E483" s="301"/>
      <c r="F483" s="301"/>
      <c r="G483" s="301"/>
      <c r="H483" s="334"/>
      <c r="I483" s="334"/>
      <c r="J483" s="301"/>
      <c r="K483" s="301"/>
      <c r="L483" s="301"/>
      <c r="M483" s="301"/>
      <c r="N483" s="301"/>
      <c r="O483" s="301"/>
      <c r="P483" s="301"/>
      <c r="Q483" s="301"/>
      <c r="R483" s="301"/>
      <c r="S483" s="301"/>
      <c r="T483" s="366"/>
      <c r="U483" s="301"/>
      <c r="V483" s="301"/>
      <c r="W483" s="301"/>
      <c r="X483" s="301"/>
      <c r="Y483" s="301"/>
      <c r="Z483" s="301"/>
    </row>
    <row r="484">
      <c r="A484" s="301"/>
      <c r="B484" s="365"/>
      <c r="C484" s="301"/>
      <c r="D484" s="301"/>
      <c r="E484" s="301"/>
      <c r="F484" s="301"/>
      <c r="G484" s="301"/>
      <c r="H484" s="334"/>
      <c r="I484" s="334"/>
      <c r="J484" s="301"/>
      <c r="K484" s="301"/>
      <c r="L484" s="301"/>
      <c r="M484" s="301"/>
      <c r="N484" s="301"/>
      <c r="O484" s="301"/>
      <c r="P484" s="301"/>
      <c r="Q484" s="301"/>
      <c r="R484" s="301"/>
      <c r="S484" s="301"/>
      <c r="T484" s="366"/>
      <c r="U484" s="301"/>
      <c r="V484" s="301"/>
      <c r="W484" s="301"/>
      <c r="X484" s="301"/>
      <c r="Y484" s="301"/>
      <c r="Z484" s="301"/>
    </row>
    <row r="485">
      <c r="A485" s="301"/>
      <c r="B485" s="365"/>
      <c r="C485" s="301"/>
      <c r="D485" s="301"/>
      <c r="E485" s="301"/>
      <c r="F485" s="301"/>
      <c r="G485" s="301"/>
      <c r="H485" s="334"/>
      <c r="I485" s="334"/>
      <c r="J485" s="301"/>
      <c r="K485" s="301"/>
      <c r="L485" s="301"/>
      <c r="M485" s="301"/>
      <c r="N485" s="301"/>
      <c r="O485" s="301"/>
      <c r="P485" s="301"/>
      <c r="Q485" s="301"/>
      <c r="R485" s="301"/>
      <c r="S485" s="301"/>
      <c r="T485" s="366"/>
      <c r="U485" s="301"/>
      <c r="V485" s="301"/>
      <c r="W485" s="301"/>
      <c r="X485" s="301"/>
      <c r="Y485" s="301"/>
      <c r="Z485" s="301"/>
    </row>
    <row r="486">
      <c r="A486" s="301"/>
      <c r="B486" s="365"/>
      <c r="C486" s="301"/>
      <c r="D486" s="301"/>
      <c r="E486" s="301"/>
      <c r="F486" s="301"/>
      <c r="G486" s="301"/>
      <c r="H486" s="334"/>
      <c r="I486" s="334"/>
      <c r="J486" s="301"/>
      <c r="K486" s="301"/>
      <c r="L486" s="301"/>
      <c r="M486" s="301"/>
      <c r="N486" s="301"/>
      <c r="O486" s="301"/>
      <c r="P486" s="301"/>
      <c r="Q486" s="301"/>
      <c r="R486" s="301"/>
      <c r="S486" s="301"/>
      <c r="T486" s="366"/>
      <c r="U486" s="301"/>
      <c r="V486" s="301"/>
      <c r="W486" s="301"/>
      <c r="X486" s="301"/>
      <c r="Y486" s="301"/>
      <c r="Z486" s="301"/>
    </row>
    <row r="487">
      <c r="A487" s="301"/>
      <c r="B487" s="365"/>
      <c r="C487" s="301"/>
      <c r="D487" s="301"/>
      <c r="E487" s="301"/>
      <c r="F487" s="301"/>
      <c r="G487" s="301"/>
      <c r="H487" s="334"/>
      <c r="I487" s="334"/>
      <c r="J487" s="301"/>
      <c r="K487" s="301"/>
      <c r="L487" s="301"/>
      <c r="M487" s="301"/>
      <c r="N487" s="301"/>
      <c r="O487" s="301"/>
      <c r="P487" s="301"/>
      <c r="Q487" s="301"/>
      <c r="R487" s="301"/>
      <c r="S487" s="301"/>
      <c r="T487" s="366"/>
      <c r="U487" s="301"/>
      <c r="V487" s="301"/>
      <c r="W487" s="301"/>
      <c r="X487" s="301"/>
      <c r="Y487" s="301"/>
      <c r="Z487" s="301"/>
    </row>
    <row r="488">
      <c r="A488" s="301"/>
      <c r="B488" s="365"/>
      <c r="C488" s="301"/>
      <c r="D488" s="301"/>
      <c r="E488" s="301"/>
      <c r="F488" s="301"/>
      <c r="G488" s="301"/>
      <c r="H488" s="334"/>
      <c r="I488" s="334"/>
      <c r="J488" s="301"/>
      <c r="K488" s="301"/>
      <c r="L488" s="301"/>
      <c r="M488" s="301"/>
      <c r="N488" s="301"/>
      <c r="O488" s="301"/>
      <c r="P488" s="301"/>
      <c r="Q488" s="301"/>
      <c r="R488" s="301"/>
      <c r="S488" s="301"/>
      <c r="T488" s="366"/>
      <c r="U488" s="301"/>
      <c r="V488" s="301"/>
      <c r="W488" s="301"/>
      <c r="X488" s="301"/>
      <c r="Y488" s="301"/>
      <c r="Z488" s="301"/>
    </row>
    <row r="489">
      <c r="A489" s="301"/>
      <c r="B489" s="365"/>
      <c r="C489" s="301"/>
      <c r="D489" s="301"/>
      <c r="E489" s="301"/>
      <c r="F489" s="301"/>
      <c r="G489" s="301"/>
      <c r="H489" s="334"/>
      <c r="I489" s="334"/>
      <c r="J489" s="301"/>
      <c r="K489" s="301"/>
      <c r="L489" s="301"/>
      <c r="M489" s="301"/>
      <c r="N489" s="301"/>
      <c r="O489" s="301"/>
      <c r="P489" s="301"/>
      <c r="Q489" s="301"/>
      <c r="R489" s="301"/>
      <c r="S489" s="301"/>
      <c r="T489" s="366"/>
      <c r="U489" s="301"/>
      <c r="V489" s="301"/>
      <c r="W489" s="301"/>
      <c r="X489" s="301"/>
      <c r="Y489" s="301"/>
      <c r="Z489" s="301"/>
    </row>
    <row r="490">
      <c r="A490" s="301"/>
      <c r="B490" s="365"/>
      <c r="C490" s="301"/>
      <c r="D490" s="301"/>
      <c r="E490" s="301"/>
      <c r="F490" s="301"/>
      <c r="G490" s="301"/>
      <c r="H490" s="334"/>
      <c r="I490" s="334"/>
      <c r="J490" s="301"/>
      <c r="K490" s="301"/>
      <c r="L490" s="301"/>
      <c r="M490" s="301"/>
      <c r="N490" s="301"/>
      <c r="O490" s="301"/>
      <c r="P490" s="301"/>
      <c r="Q490" s="301"/>
      <c r="R490" s="301"/>
      <c r="S490" s="301"/>
      <c r="T490" s="366"/>
      <c r="U490" s="301"/>
      <c r="V490" s="301"/>
      <c r="W490" s="301"/>
      <c r="X490" s="301"/>
      <c r="Y490" s="301"/>
      <c r="Z490" s="301"/>
    </row>
    <row r="491">
      <c r="A491" s="301"/>
      <c r="B491" s="365"/>
      <c r="C491" s="301"/>
      <c r="D491" s="301"/>
      <c r="E491" s="301"/>
      <c r="F491" s="301"/>
      <c r="G491" s="301"/>
      <c r="H491" s="334"/>
      <c r="I491" s="334"/>
      <c r="J491" s="301"/>
      <c r="K491" s="301"/>
      <c r="L491" s="301"/>
      <c r="M491" s="301"/>
      <c r="N491" s="301"/>
      <c r="O491" s="301"/>
      <c r="P491" s="301"/>
      <c r="Q491" s="301"/>
      <c r="R491" s="301"/>
      <c r="S491" s="301"/>
      <c r="T491" s="366"/>
      <c r="U491" s="301"/>
      <c r="V491" s="301"/>
      <c r="W491" s="301"/>
      <c r="X491" s="301"/>
      <c r="Y491" s="301"/>
      <c r="Z491" s="301"/>
    </row>
    <row r="492">
      <c r="A492" s="301"/>
      <c r="B492" s="365"/>
      <c r="C492" s="301"/>
      <c r="D492" s="301"/>
      <c r="E492" s="301"/>
      <c r="F492" s="301"/>
      <c r="G492" s="301"/>
      <c r="H492" s="334"/>
      <c r="I492" s="334"/>
      <c r="J492" s="301"/>
      <c r="K492" s="301"/>
      <c r="L492" s="301"/>
      <c r="M492" s="301"/>
      <c r="N492" s="301"/>
      <c r="O492" s="301"/>
      <c r="P492" s="301"/>
      <c r="Q492" s="301"/>
      <c r="R492" s="301"/>
      <c r="S492" s="301"/>
      <c r="T492" s="366"/>
      <c r="U492" s="301"/>
      <c r="V492" s="301"/>
      <c r="W492" s="301"/>
      <c r="X492" s="301"/>
      <c r="Y492" s="301"/>
      <c r="Z492" s="301"/>
    </row>
    <row r="493">
      <c r="A493" s="301"/>
      <c r="B493" s="365"/>
      <c r="C493" s="301"/>
      <c r="D493" s="301"/>
      <c r="E493" s="301"/>
      <c r="F493" s="301"/>
      <c r="G493" s="301"/>
      <c r="H493" s="334"/>
      <c r="I493" s="334"/>
      <c r="J493" s="301"/>
      <c r="K493" s="301"/>
      <c r="L493" s="301"/>
      <c r="M493" s="301"/>
      <c r="N493" s="301"/>
      <c r="O493" s="301"/>
      <c r="P493" s="301"/>
      <c r="Q493" s="301"/>
      <c r="R493" s="301"/>
      <c r="S493" s="301"/>
      <c r="T493" s="366"/>
      <c r="U493" s="301"/>
      <c r="V493" s="301"/>
      <c r="W493" s="301"/>
      <c r="X493" s="301"/>
      <c r="Y493" s="301"/>
      <c r="Z493" s="301"/>
    </row>
    <row r="494">
      <c r="A494" s="301"/>
      <c r="B494" s="365"/>
      <c r="C494" s="301"/>
      <c r="D494" s="301"/>
      <c r="E494" s="301"/>
      <c r="F494" s="301"/>
      <c r="G494" s="301"/>
      <c r="H494" s="334"/>
      <c r="I494" s="334"/>
      <c r="J494" s="301"/>
      <c r="K494" s="301"/>
      <c r="L494" s="301"/>
      <c r="M494" s="301"/>
      <c r="N494" s="301"/>
      <c r="O494" s="301"/>
      <c r="P494" s="301"/>
      <c r="Q494" s="301"/>
      <c r="R494" s="301"/>
      <c r="S494" s="301"/>
      <c r="T494" s="366"/>
      <c r="U494" s="301"/>
      <c r="V494" s="301"/>
      <c r="W494" s="301"/>
      <c r="X494" s="301"/>
      <c r="Y494" s="301"/>
      <c r="Z494" s="301"/>
    </row>
    <row r="495">
      <c r="A495" s="301"/>
      <c r="B495" s="365"/>
      <c r="C495" s="301"/>
      <c r="D495" s="301"/>
      <c r="E495" s="301"/>
      <c r="F495" s="301"/>
      <c r="G495" s="301"/>
      <c r="H495" s="334"/>
      <c r="I495" s="334"/>
      <c r="J495" s="301"/>
      <c r="K495" s="301"/>
      <c r="L495" s="301"/>
      <c r="M495" s="301"/>
      <c r="N495" s="301"/>
      <c r="O495" s="301"/>
      <c r="P495" s="301"/>
      <c r="Q495" s="301"/>
      <c r="R495" s="301"/>
      <c r="S495" s="301"/>
      <c r="T495" s="366"/>
      <c r="U495" s="301"/>
      <c r="V495" s="301"/>
      <c r="W495" s="301"/>
      <c r="X495" s="301"/>
      <c r="Y495" s="301"/>
      <c r="Z495" s="301"/>
    </row>
    <row r="496">
      <c r="A496" s="301"/>
      <c r="B496" s="365"/>
      <c r="C496" s="301"/>
      <c r="D496" s="301"/>
      <c r="E496" s="301"/>
      <c r="F496" s="301"/>
      <c r="G496" s="301"/>
      <c r="H496" s="334"/>
      <c r="I496" s="334"/>
      <c r="J496" s="301"/>
      <c r="K496" s="301"/>
      <c r="L496" s="301"/>
      <c r="M496" s="301"/>
      <c r="N496" s="301"/>
      <c r="O496" s="301"/>
      <c r="P496" s="301"/>
      <c r="Q496" s="301"/>
      <c r="R496" s="301"/>
      <c r="S496" s="301"/>
      <c r="T496" s="366"/>
      <c r="U496" s="301"/>
      <c r="V496" s="301"/>
      <c r="W496" s="301"/>
      <c r="X496" s="301"/>
      <c r="Y496" s="301"/>
      <c r="Z496" s="301"/>
    </row>
    <row r="497">
      <c r="A497" s="301"/>
      <c r="B497" s="365"/>
      <c r="C497" s="301"/>
      <c r="D497" s="301"/>
      <c r="E497" s="301"/>
      <c r="F497" s="301"/>
      <c r="G497" s="301"/>
      <c r="H497" s="334"/>
      <c r="I497" s="334"/>
      <c r="J497" s="301"/>
      <c r="K497" s="301"/>
      <c r="L497" s="301"/>
      <c r="M497" s="301"/>
      <c r="N497" s="301"/>
      <c r="O497" s="301"/>
      <c r="P497" s="301"/>
      <c r="Q497" s="301"/>
      <c r="R497" s="301"/>
      <c r="S497" s="301"/>
      <c r="T497" s="366"/>
      <c r="U497" s="301"/>
      <c r="V497" s="301"/>
      <c r="W497" s="301"/>
      <c r="X497" s="301"/>
      <c r="Y497" s="301"/>
      <c r="Z497" s="301"/>
    </row>
    <row r="498">
      <c r="A498" s="301"/>
      <c r="B498" s="365"/>
      <c r="C498" s="301"/>
      <c r="D498" s="301"/>
      <c r="E498" s="301"/>
      <c r="F498" s="301"/>
      <c r="G498" s="301"/>
      <c r="H498" s="334"/>
      <c r="I498" s="334"/>
      <c r="J498" s="301"/>
      <c r="K498" s="301"/>
      <c r="L498" s="301"/>
      <c r="M498" s="301"/>
      <c r="N498" s="301"/>
      <c r="O498" s="301"/>
      <c r="P498" s="301"/>
      <c r="Q498" s="301"/>
      <c r="R498" s="301"/>
      <c r="S498" s="301"/>
      <c r="T498" s="366"/>
      <c r="U498" s="301"/>
      <c r="V498" s="301"/>
      <c r="W498" s="301"/>
      <c r="X498" s="301"/>
      <c r="Y498" s="301"/>
      <c r="Z498" s="301"/>
    </row>
    <row r="499">
      <c r="A499" s="301"/>
      <c r="B499" s="365"/>
      <c r="C499" s="301"/>
      <c r="D499" s="301"/>
      <c r="E499" s="301"/>
      <c r="F499" s="301"/>
      <c r="G499" s="301"/>
      <c r="H499" s="334"/>
      <c r="I499" s="334"/>
      <c r="J499" s="301"/>
      <c r="K499" s="301"/>
      <c r="L499" s="301"/>
      <c r="M499" s="301"/>
      <c r="N499" s="301"/>
      <c r="O499" s="301"/>
      <c r="P499" s="301"/>
      <c r="Q499" s="301"/>
      <c r="R499" s="301"/>
      <c r="S499" s="301"/>
      <c r="T499" s="366"/>
      <c r="U499" s="301"/>
      <c r="V499" s="301"/>
      <c r="W499" s="301"/>
      <c r="X499" s="301"/>
      <c r="Y499" s="301"/>
      <c r="Z499" s="301"/>
    </row>
    <row r="500">
      <c r="A500" s="301"/>
      <c r="B500" s="365"/>
      <c r="C500" s="301"/>
      <c r="D500" s="301"/>
      <c r="E500" s="301"/>
      <c r="F500" s="301"/>
      <c r="G500" s="301"/>
      <c r="H500" s="334"/>
      <c r="I500" s="334"/>
      <c r="J500" s="301"/>
      <c r="K500" s="301"/>
      <c r="L500" s="301"/>
      <c r="M500" s="301"/>
      <c r="N500" s="301"/>
      <c r="O500" s="301"/>
      <c r="P500" s="301"/>
      <c r="Q500" s="301"/>
      <c r="R500" s="301"/>
      <c r="S500" s="301"/>
      <c r="T500" s="366"/>
      <c r="U500" s="301"/>
      <c r="V500" s="301"/>
      <c r="W500" s="301"/>
      <c r="X500" s="301"/>
      <c r="Y500" s="301"/>
      <c r="Z500" s="301"/>
    </row>
    <row r="501">
      <c r="A501" s="301"/>
      <c r="B501" s="365"/>
      <c r="C501" s="301"/>
      <c r="D501" s="301"/>
      <c r="E501" s="301"/>
      <c r="F501" s="301"/>
      <c r="G501" s="301"/>
      <c r="H501" s="334"/>
      <c r="I501" s="334"/>
      <c r="J501" s="301"/>
      <c r="K501" s="301"/>
      <c r="L501" s="301"/>
      <c r="M501" s="301"/>
      <c r="N501" s="301"/>
      <c r="O501" s="301"/>
      <c r="P501" s="301"/>
      <c r="Q501" s="301"/>
      <c r="R501" s="301"/>
      <c r="S501" s="301"/>
      <c r="T501" s="366"/>
      <c r="U501" s="301"/>
      <c r="V501" s="301"/>
      <c r="W501" s="301"/>
      <c r="X501" s="301"/>
      <c r="Y501" s="301"/>
      <c r="Z501" s="301"/>
    </row>
    <row r="502">
      <c r="A502" s="301"/>
      <c r="B502" s="365"/>
      <c r="C502" s="301"/>
      <c r="D502" s="301"/>
      <c r="E502" s="301"/>
      <c r="F502" s="301"/>
      <c r="G502" s="301"/>
      <c r="H502" s="334"/>
      <c r="I502" s="334"/>
      <c r="J502" s="301"/>
      <c r="K502" s="301"/>
      <c r="L502" s="301"/>
      <c r="M502" s="301"/>
      <c r="N502" s="301"/>
      <c r="O502" s="301"/>
      <c r="P502" s="301"/>
      <c r="Q502" s="301"/>
      <c r="R502" s="301"/>
      <c r="S502" s="301"/>
      <c r="T502" s="366"/>
      <c r="U502" s="301"/>
      <c r="V502" s="301"/>
      <c r="W502" s="301"/>
      <c r="X502" s="301"/>
      <c r="Y502" s="301"/>
      <c r="Z502" s="301"/>
    </row>
    <row r="503">
      <c r="A503" s="301"/>
      <c r="B503" s="365"/>
      <c r="C503" s="301"/>
      <c r="D503" s="301"/>
      <c r="E503" s="301"/>
      <c r="F503" s="301"/>
      <c r="G503" s="301"/>
      <c r="H503" s="334"/>
      <c r="I503" s="334"/>
      <c r="J503" s="301"/>
      <c r="K503" s="301"/>
      <c r="L503" s="301"/>
      <c r="M503" s="301"/>
      <c r="N503" s="301"/>
      <c r="O503" s="301"/>
      <c r="P503" s="301"/>
      <c r="Q503" s="301"/>
      <c r="R503" s="301"/>
      <c r="S503" s="301"/>
      <c r="T503" s="366"/>
      <c r="U503" s="301"/>
      <c r="V503" s="301"/>
      <c r="W503" s="301"/>
      <c r="X503" s="301"/>
      <c r="Y503" s="301"/>
      <c r="Z503" s="301"/>
    </row>
    <row r="504">
      <c r="A504" s="301"/>
      <c r="B504" s="365"/>
      <c r="C504" s="301"/>
      <c r="D504" s="301"/>
      <c r="E504" s="301"/>
      <c r="F504" s="301"/>
      <c r="G504" s="301"/>
      <c r="H504" s="334"/>
      <c r="I504" s="334"/>
      <c r="J504" s="301"/>
      <c r="K504" s="301"/>
      <c r="L504" s="301"/>
      <c r="M504" s="301"/>
      <c r="N504" s="301"/>
      <c r="O504" s="301"/>
      <c r="P504" s="301"/>
      <c r="Q504" s="301"/>
      <c r="R504" s="301"/>
      <c r="S504" s="301"/>
      <c r="T504" s="366"/>
      <c r="U504" s="301"/>
      <c r="V504" s="301"/>
      <c r="W504" s="301"/>
      <c r="X504" s="301"/>
      <c r="Y504" s="301"/>
      <c r="Z504" s="301"/>
    </row>
    <row r="505">
      <c r="A505" s="301"/>
      <c r="B505" s="365"/>
      <c r="C505" s="301"/>
      <c r="D505" s="301"/>
      <c r="E505" s="301"/>
      <c r="F505" s="301"/>
      <c r="G505" s="301"/>
      <c r="H505" s="334"/>
      <c r="I505" s="334"/>
      <c r="J505" s="301"/>
      <c r="K505" s="301"/>
      <c r="L505" s="301"/>
      <c r="M505" s="301"/>
      <c r="N505" s="301"/>
      <c r="O505" s="301"/>
      <c r="P505" s="301"/>
      <c r="Q505" s="301"/>
      <c r="R505" s="301"/>
      <c r="S505" s="301"/>
      <c r="T505" s="366"/>
      <c r="U505" s="301"/>
      <c r="V505" s="301"/>
      <c r="W505" s="301"/>
      <c r="X505" s="301"/>
      <c r="Y505" s="301"/>
      <c r="Z505" s="301"/>
    </row>
    <row r="506">
      <c r="A506" s="301"/>
      <c r="B506" s="365"/>
      <c r="C506" s="301"/>
      <c r="D506" s="301"/>
      <c r="E506" s="301"/>
      <c r="F506" s="301"/>
      <c r="G506" s="301"/>
      <c r="H506" s="334"/>
      <c r="I506" s="334"/>
      <c r="J506" s="301"/>
      <c r="K506" s="301"/>
      <c r="L506" s="301"/>
      <c r="M506" s="301"/>
      <c r="N506" s="301"/>
      <c r="O506" s="301"/>
      <c r="P506" s="301"/>
      <c r="Q506" s="301"/>
      <c r="R506" s="301"/>
      <c r="S506" s="301"/>
      <c r="T506" s="366"/>
      <c r="U506" s="301"/>
      <c r="V506" s="301"/>
      <c r="W506" s="301"/>
      <c r="X506" s="301"/>
      <c r="Y506" s="301"/>
      <c r="Z506" s="301"/>
    </row>
    <row r="507">
      <c r="A507" s="301"/>
      <c r="B507" s="365"/>
      <c r="C507" s="301"/>
      <c r="D507" s="301"/>
      <c r="E507" s="301"/>
      <c r="F507" s="301"/>
      <c r="G507" s="301"/>
      <c r="H507" s="334"/>
      <c r="I507" s="334"/>
      <c r="J507" s="301"/>
      <c r="K507" s="301"/>
      <c r="L507" s="301"/>
      <c r="M507" s="301"/>
      <c r="N507" s="301"/>
      <c r="O507" s="301"/>
      <c r="P507" s="301"/>
      <c r="Q507" s="301"/>
      <c r="R507" s="301"/>
      <c r="S507" s="301"/>
      <c r="T507" s="366"/>
      <c r="U507" s="301"/>
      <c r="V507" s="301"/>
      <c r="W507" s="301"/>
      <c r="X507" s="301"/>
      <c r="Y507" s="301"/>
      <c r="Z507" s="301"/>
    </row>
    <row r="508">
      <c r="A508" s="301"/>
      <c r="B508" s="365"/>
      <c r="C508" s="301"/>
      <c r="D508" s="301"/>
      <c r="E508" s="301"/>
      <c r="F508" s="301"/>
      <c r="G508" s="301"/>
      <c r="H508" s="334"/>
      <c r="I508" s="334"/>
      <c r="J508" s="301"/>
      <c r="K508" s="301"/>
      <c r="L508" s="301"/>
      <c r="M508" s="301"/>
      <c r="N508" s="301"/>
      <c r="O508" s="301"/>
      <c r="P508" s="301"/>
      <c r="Q508" s="301"/>
      <c r="R508" s="301"/>
      <c r="S508" s="301"/>
      <c r="T508" s="366"/>
      <c r="U508" s="301"/>
      <c r="V508" s="301"/>
      <c r="W508" s="301"/>
      <c r="X508" s="301"/>
      <c r="Y508" s="301"/>
      <c r="Z508" s="301"/>
    </row>
    <row r="509">
      <c r="A509" s="301"/>
      <c r="B509" s="365"/>
      <c r="C509" s="301"/>
      <c r="D509" s="301"/>
      <c r="E509" s="301"/>
      <c r="F509" s="301"/>
      <c r="G509" s="301"/>
      <c r="H509" s="334"/>
      <c r="I509" s="334"/>
      <c r="J509" s="301"/>
      <c r="K509" s="301"/>
      <c r="L509" s="301"/>
      <c r="M509" s="301"/>
      <c r="N509" s="301"/>
      <c r="O509" s="301"/>
      <c r="P509" s="301"/>
      <c r="Q509" s="301"/>
      <c r="R509" s="301"/>
      <c r="S509" s="301"/>
      <c r="T509" s="366"/>
      <c r="U509" s="301"/>
      <c r="V509" s="301"/>
      <c r="W509" s="301"/>
      <c r="X509" s="301"/>
      <c r="Y509" s="301"/>
      <c r="Z509" s="301"/>
    </row>
    <row r="510">
      <c r="A510" s="301"/>
      <c r="B510" s="365"/>
      <c r="C510" s="301"/>
      <c r="D510" s="301"/>
      <c r="E510" s="301"/>
      <c r="F510" s="301"/>
      <c r="G510" s="301"/>
      <c r="H510" s="334"/>
      <c r="I510" s="334"/>
      <c r="J510" s="301"/>
      <c r="K510" s="301"/>
      <c r="L510" s="301"/>
      <c r="M510" s="301"/>
      <c r="N510" s="301"/>
      <c r="O510" s="301"/>
      <c r="P510" s="301"/>
      <c r="Q510" s="301"/>
      <c r="R510" s="301"/>
      <c r="S510" s="301"/>
      <c r="T510" s="366"/>
      <c r="U510" s="301"/>
      <c r="V510" s="301"/>
      <c r="W510" s="301"/>
      <c r="X510" s="301"/>
      <c r="Y510" s="301"/>
      <c r="Z510" s="301"/>
    </row>
    <row r="511">
      <c r="A511" s="301"/>
      <c r="B511" s="365"/>
      <c r="C511" s="301"/>
      <c r="D511" s="301"/>
      <c r="E511" s="301"/>
      <c r="F511" s="301"/>
      <c r="G511" s="301"/>
      <c r="H511" s="334"/>
      <c r="I511" s="334"/>
      <c r="J511" s="301"/>
      <c r="K511" s="301"/>
      <c r="L511" s="301"/>
      <c r="M511" s="301"/>
      <c r="N511" s="301"/>
      <c r="O511" s="301"/>
      <c r="P511" s="301"/>
      <c r="Q511" s="301"/>
      <c r="R511" s="301"/>
      <c r="S511" s="301"/>
      <c r="T511" s="366"/>
      <c r="U511" s="301"/>
      <c r="V511" s="301"/>
      <c r="W511" s="301"/>
      <c r="X511" s="301"/>
      <c r="Y511" s="301"/>
      <c r="Z511" s="301"/>
    </row>
    <row r="512">
      <c r="A512" s="301"/>
      <c r="B512" s="365"/>
      <c r="C512" s="301"/>
      <c r="D512" s="301"/>
      <c r="E512" s="301"/>
      <c r="F512" s="301"/>
      <c r="G512" s="301"/>
      <c r="H512" s="334"/>
      <c r="I512" s="334"/>
      <c r="J512" s="301"/>
      <c r="K512" s="301"/>
      <c r="L512" s="301"/>
      <c r="M512" s="301"/>
      <c r="N512" s="301"/>
      <c r="O512" s="301"/>
      <c r="P512" s="301"/>
      <c r="Q512" s="301"/>
      <c r="R512" s="301"/>
      <c r="S512" s="301"/>
      <c r="T512" s="366"/>
      <c r="U512" s="301"/>
      <c r="V512" s="301"/>
      <c r="W512" s="301"/>
      <c r="X512" s="301"/>
      <c r="Y512" s="301"/>
      <c r="Z512" s="301"/>
    </row>
    <row r="513">
      <c r="A513" s="301"/>
      <c r="B513" s="365"/>
      <c r="C513" s="301"/>
      <c r="D513" s="301"/>
      <c r="E513" s="301"/>
      <c r="F513" s="301"/>
      <c r="G513" s="301"/>
      <c r="H513" s="334"/>
      <c r="I513" s="334"/>
      <c r="J513" s="301"/>
      <c r="K513" s="301"/>
      <c r="L513" s="301"/>
      <c r="M513" s="301"/>
      <c r="N513" s="301"/>
      <c r="O513" s="301"/>
      <c r="P513" s="301"/>
      <c r="Q513" s="301"/>
      <c r="R513" s="301"/>
      <c r="S513" s="301"/>
      <c r="T513" s="366"/>
      <c r="U513" s="301"/>
      <c r="V513" s="301"/>
      <c r="W513" s="301"/>
      <c r="X513" s="301"/>
      <c r="Y513" s="301"/>
      <c r="Z513" s="301"/>
    </row>
    <row r="514">
      <c r="A514" s="301"/>
      <c r="B514" s="365"/>
      <c r="C514" s="301"/>
      <c r="D514" s="301"/>
      <c r="E514" s="301"/>
      <c r="F514" s="301"/>
      <c r="G514" s="301"/>
      <c r="H514" s="334"/>
      <c r="I514" s="334"/>
      <c r="J514" s="301"/>
      <c r="K514" s="301"/>
      <c r="L514" s="301"/>
      <c r="M514" s="301"/>
      <c r="N514" s="301"/>
      <c r="O514" s="301"/>
      <c r="P514" s="301"/>
      <c r="Q514" s="301"/>
      <c r="R514" s="301"/>
      <c r="S514" s="301"/>
      <c r="T514" s="366"/>
      <c r="U514" s="301"/>
      <c r="V514" s="301"/>
      <c r="W514" s="301"/>
      <c r="X514" s="301"/>
      <c r="Y514" s="301"/>
      <c r="Z514" s="301"/>
    </row>
    <row r="515">
      <c r="A515" s="301"/>
      <c r="B515" s="365"/>
      <c r="C515" s="301"/>
      <c r="D515" s="301"/>
      <c r="E515" s="301"/>
      <c r="F515" s="301"/>
      <c r="G515" s="301"/>
      <c r="H515" s="334"/>
      <c r="I515" s="334"/>
      <c r="J515" s="301"/>
      <c r="K515" s="301"/>
      <c r="L515" s="301"/>
      <c r="M515" s="301"/>
      <c r="N515" s="301"/>
      <c r="O515" s="301"/>
      <c r="P515" s="301"/>
      <c r="Q515" s="301"/>
      <c r="R515" s="301"/>
      <c r="S515" s="301"/>
      <c r="T515" s="366"/>
      <c r="U515" s="301"/>
      <c r="V515" s="301"/>
      <c r="W515" s="301"/>
      <c r="X515" s="301"/>
      <c r="Y515" s="301"/>
      <c r="Z515" s="301"/>
    </row>
    <row r="516">
      <c r="A516" s="301"/>
      <c r="B516" s="365"/>
      <c r="C516" s="301"/>
      <c r="D516" s="301"/>
      <c r="E516" s="301"/>
      <c r="F516" s="301"/>
      <c r="G516" s="301"/>
      <c r="H516" s="334"/>
      <c r="I516" s="334"/>
      <c r="J516" s="301"/>
      <c r="K516" s="301"/>
      <c r="L516" s="301"/>
      <c r="M516" s="301"/>
      <c r="N516" s="301"/>
      <c r="O516" s="301"/>
      <c r="P516" s="301"/>
      <c r="Q516" s="301"/>
      <c r="R516" s="301"/>
      <c r="S516" s="301"/>
      <c r="T516" s="366"/>
      <c r="U516" s="301"/>
      <c r="V516" s="301"/>
      <c r="W516" s="301"/>
      <c r="X516" s="301"/>
      <c r="Y516" s="301"/>
      <c r="Z516" s="301"/>
    </row>
    <row r="517">
      <c r="A517" s="301"/>
      <c r="B517" s="365"/>
      <c r="C517" s="301"/>
      <c r="D517" s="301"/>
      <c r="E517" s="301"/>
      <c r="F517" s="301"/>
      <c r="G517" s="301"/>
      <c r="H517" s="334"/>
      <c r="I517" s="334"/>
      <c r="J517" s="301"/>
      <c r="K517" s="301"/>
      <c r="L517" s="301"/>
      <c r="M517" s="301"/>
      <c r="N517" s="301"/>
      <c r="O517" s="301"/>
      <c r="P517" s="301"/>
      <c r="Q517" s="301"/>
      <c r="R517" s="301"/>
      <c r="S517" s="301"/>
      <c r="T517" s="366"/>
      <c r="U517" s="301"/>
      <c r="V517" s="301"/>
      <c r="W517" s="301"/>
      <c r="X517" s="301"/>
      <c r="Y517" s="301"/>
      <c r="Z517" s="301"/>
    </row>
    <row r="518">
      <c r="A518" s="301"/>
      <c r="B518" s="365"/>
      <c r="C518" s="301"/>
      <c r="D518" s="301"/>
      <c r="E518" s="301"/>
      <c r="F518" s="301"/>
      <c r="G518" s="301"/>
      <c r="H518" s="334"/>
      <c r="I518" s="334"/>
      <c r="J518" s="301"/>
      <c r="K518" s="301"/>
      <c r="L518" s="301"/>
      <c r="M518" s="301"/>
      <c r="N518" s="301"/>
      <c r="O518" s="301"/>
      <c r="P518" s="301"/>
      <c r="Q518" s="301"/>
      <c r="R518" s="301"/>
      <c r="S518" s="301"/>
      <c r="T518" s="366"/>
      <c r="U518" s="301"/>
      <c r="V518" s="301"/>
      <c r="W518" s="301"/>
      <c r="X518" s="301"/>
      <c r="Y518" s="301"/>
      <c r="Z518" s="301"/>
    </row>
    <row r="519">
      <c r="A519" s="301"/>
      <c r="B519" s="365"/>
      <c r="C519" s="301"/>
      <c r="D519" s="301"/>
      <c r="E519" s="301"/>
      <c r="F519" s="301"/>
      <c r="G519" s="301"/>
      <c r="H519" s="334"/>
      <c r="I519" s="334"/>
      <c r="J519" s="301"/>
      <c r="K519" s="301"/>
      <c r="L519" s="301"/>
      <c r="M519" s="301"/>
      <c r="N519" s="301"/>
      <c r="O519" s="301"/>
      <c r="P519" s="301"/>
      <c r="Q519" s="301"/>
      <c r="R519" s="301"/>
      <c r="S519" s="301"/>
      <c r="T519" s="366"/>
      <c r="U519" s="301"/>
      <c r="V519" s="301"/>
      <c r="W519" s="301"/>
      <c r="X519" s="301"/>
      <c r="Y519" s="301"/>
      <c r="Z519" s="301"/>
    </row>
    <row r="520">
      <c r="A520" s="301"/>
      <c r="B520" s="365"/>
      <c r="C520" s="301"/>
      <c r="D520" s="301"/>
      <c r="E520" s="301"/>
      <c r="F520" s="301"/>
      <c r="G520" s="301"/>
      <c r="H520" s="334"/>
      <c r="I520" s="334"/>
      <c r="J520" s="301"/>
      <c r="K520" s="301"/>
      <c r="L520" s="301"/>
      <c r="M520" s="301"/>
      <c r="N520" s="301"/>
      <c r="O520" s="301"/>
      <c r="P520" s="301"/>
      <c r="Q520" s="301"/>
      <c r="R520" s="301"/>
      <c r="S520" s="301"/>
      <c r="T520" s="366"/>
      <c r="U520" s="301"/>
      <c r="V520" s="301"/>
      <c r="W520" s="301"/>
      <c r="X520" s="301"/>
      <c r="Y520" s="301"/>
      <c r="Z520" s="301"/>
    </row>
    <row r="521">
      <c r="A521" s="301"/>
      <c r="B521" s="365"/>
      <c r="C521" s="301"/>
      <c r="D521" s="301"/>
      <c r="E521" s="301"/>
      <c r="F521" s="301"/>
      <c r="G521" s="301"/>
      <c r="H521" s="334"/>
      <c r="I521" s="334"/>
      <c r="J521" s="301"/>
      <c r="K521" s="301"/>
      <c r="L521" s="301"/>
      <c r="M521" s="301"/>
      <c r="N521" s="301"/>
      <c r="O521" s="301"/>
      <c r="P521" s="301"/>
      <c r="Q521" s="301"/>
      <c r="R521" s="301"/>
      <c r="S521" s="301"/>
      <c r="T521" s="366"/>
      <c r="U521" s="301"/>
      <c r="V521" s="301"/>
      <c r="W521" s="301"/>
      <c r="X521" s="301"/>
      <c r="Y521" s="301"/>
      <c r="Z521" s="301"/>
    </row>
    <row r="522">
      <c r="A522" s="301"/>
      <c r="B522" s="365"/>
      <c r="C522" s="301"/>
      <c r="D522" s="301"/>
      <c r="E522" s="301"/>
      <c r="F522" s="301"/>
      <c r="G522" s="301"/>
      <c r="H522" s="334"/>
      <c r="I522" s="334"/>
      <c r="J522" s="301"/>
      <c r="K522" s="301"/>
      <c r="L522" s="301"/>
      <c r="M522" s="301"/>
      <c r="N522" s="301"/>
      <c r="O522" s="301"/>
      <c r="P522" s="301"/>
      <c r="Q522" s="301"/>
      <c r="R522" s="301"/>
      <c r="S522" s="301"/>
      <c r="T522" s="366"/>
      <c r="U522" s="301"/>
      <c r="V522" s="301"/>
      <c r="W522" s="301"/>
      <c r="X522" s="301"/>
      <c r="Y522" s="301"/>
      <c r="Z522" s="301"/>
    </row>
    <row r="523">
      <c r="A523" s="301"/>
      <c r="B523" s="365"/>
      <c r="C523" s="301"/>
      <c r="D523" s="301"/>
      <c r="E523" s="301"/>
      <c r="F523" s="301"/>
      <c r="G523" s="301"/>
      <c r="H523" s="334"/>
      <c r="I523" s="334"/>
      <c r="J523" s="301"/>
      <c r="K523" s="301"/>
      <c r="L523" s="301"/>
      <c r="M523" s="301"/>
      <c r="N523" s="301"/>
      <c r="O523" s="301"/>
      <c r="P523" s="301"/>
      <c r="Q523" s="301"/>
      <c r="R523" s="301"/>
      <c r="S523" s="301"/>
      <c r="T523" s="366"/>
      <c r="U523" s="301"/>
      <c r="V523" s="301"/>
      <c r="W523" s="301"/>
      <c r="X523" s="301"/>
      <c r="Y523" s="301"/>
      <c r="Z523" s="301"/>
    </row>
    <row r="524">
      <c r="A524" s="301"/>
      <c r="B524" s="365"/>
      <c r="C524" s="301"/>
      <c r="D524" s="301"/>
      <c r="E524" s="301"/>
      <c r="F524" s="301"/>
      <c r="G524" s="301"/>
      <c r="H524" s="334"/>
      <c r="I524" s="334"/>
      <c r="J524" s="301"/>
      <c r="K524" s="301"/>
      <c r="L524" s="301"/>
      <c r="M524" s="301"/>
      <c r="N524" s="301"/>
      <c r="O524" s="301"/>
      <c r="P524" s="301"/>
      <c r="Q524" s="301"/>
      <c r="R524" s="301"/>
      <c r="S524" s="301"/>
      <c r="T524" s="366"/>
      <c r="U524" s="301"/>
      <c r="V524" s="301"/>
      <c r="W524" s="301"/>
      <c r="X524" s="301"/>
      <c r="Y524" s="301"/>
      <c r="Z524" s="301"/>
    </row>
    <row r="525">
      <c r="A525" s="301"/>
      <c r="B525" s="365"/>
      <c r="C525" s="301"/>
      <c r="D525" s="301"/>
      <c r="E525" s="301"/>
      <c r="F525" s="301"/>
      <c r="G525" s="301"/>
      <c r="H525" s="334"/>
      <c r="I525" s="334"/>
      <c r="J525" s="301"/>
      <c r="K525" s="301"/>
      <c r="L525" s="301"/>
      <c r="M525" s="301"/>
      <c r="N525" s="301"/>
      <c r="O525" s="301"/>
      <c r="P525" s="301"/>
      <c r="Q525" s="301"/>
      <c r="R525" s="301"/>
      <c r="S525" s="301"/>
      <c r="T525" s="366"/>
      <c r="U525" s="301"/>
      <c r="V525" s="301"/>
      <c r="W525" s="301"/>
      <c r="X525" s="301"/>
      <c r="Y525" s="301"/>
      <c r="Z525" s="301"/>
    </row>
    <row r="526">
      <c r="A526" s="301"/>
      <c r="B526" s="365"/>
      <c r="C526" s="301"/>
      <c r="D526" s="301"/>
      <c r="E526" s="301"/>
      <c r="F526" s="301"/>
      <c r="G526" s="301"/>
      <c r="H526" s="334"/>
      <c r="I526" s="334"/>
      <c r="J526" s="301"/>
      <c r="K526" s="301"/>
      <c r="L526" s="301"/>
      <c r="M526" s="301"/>
      <c r="N526" s="301"/>
      <c r="O526" s="301"/>
      <c r="P526" s="301"/>
      <c r="Q526" s="301"/>
      <c r="R526" s="301"/>
      <c r="S526" s="301"/>
      <c r="T526" s="366"/>
      <c r="U526" s="301"/>
      <c r="V526" s="301"/>
      <c r="W526" s="301"/>
      <c r="X526" s="301"/>
      <c r="Y526" s="301"/>
      <c r="Z526" s="301"/>
    </row>
    <row r="527">
      <c r="A527" s="301"/>
      <c r="B527" s="365"/>
      <c r="C527" s="301"/>
      <c r="D527" s="301"/>
      <c r="E527" s="301"/>
      <c r="F527" s="301"/>
      <c r="G527" s="301"/>
      <c r="H527" s="334"/>
      <c r="I527" s="334"/>
      <c r="J527" s="301"/>
      <c r="K527" s="301"/>
      <c r="L527" s="301"/>
      <c r="M527" s="301"/>
      <c r="N527" s="301"/>
      <c r="O527" s="301"/>
      <c r="P527" s="301"/>
      <c r="Q527" s="301"/>
      <c r="R527" s="301"/>
      <c r="S527" s="301"/>
      <c r="T527" s="366"/>
      <c r="U527" s="301"/>
      <c r="V527" s="301"/>
      <c r="W527" s="301"/>
      <c r="X527" s="301"/>
      <c r="Y527" s="301"/>
      <c r="Z527" s="301"/>
    </row>
    <row r="528">
      <c r="A528" s="301"/>
      <c r="B528" s="365"/>
      <c r="C528" s="301"/>
      <c r="D528" s="301"/>
      <c r="E528" s="301"/>
      <c r="F528" s="301"/>
      <c r="G528" s="301"/>
      <c r="H528" s="334"/>
      <c r="I528" s="334"/>
      <c r="J528" s="301"/>
      <c r="K528" s="301"/>
      <c r="L528" s="301"/>
      <c r="M528" s="301"/>
      <c r="N528" s="301"/>
      <c r="O528" s="301"/>
      <c r="P528" s="301"/>
      <c r="Q528" s="301"/>
      <c r="R528" s="301"/>
      <c r="S528" s="301"/>
      <c r="T528" s="366"/>
      <c r="U528" s="301"/>
      <c r="V528" s="301"/>
      <c r="W528" s="301"/>
      <c r="X528" s="301"/>
      <c r="Y528" s="301"/>
      <c r="Z528" s="301"/>
    </row>
    <row r="529">
      <c r="A529" s="301"/>
      <c r="B529" s="365"/>
      <c r="C529" s="301"/>
      <c r="D529" s="301"/>
      <c r="E529" s="301"/>
      <c r="F529" s="301"/>
      <c r="G529" s="301"/>
      <c r="H529" s="334"/>
      <c r="I529" s="334"/>
      <c r="J529" s="301"/>
      <c r="K529" s="301"/>
      <c r="L529" s="301"/>
      <c r="M529" s="301"/>
      <c r="N529" s="301"/>
      <c r="O529" s="301"/>
      <c r="P529" s="301"/>
      <c r="Q529" s="301"/>
      <c r="R529" s="301"/>
      <c r="S529" s="301"/>
      <c r="T529" s="366"/>
      <c r="U529" s="301"/>
      <c r="V529" s="301"/>
      <c r="W529" s="301"/>
      <c r="X529" s="301"/>
      <c r="Y529" s="301"/>
      <c r="Z529" s="301"/>
    </row>
    <row r="530">
      <c r="A530" s="301"/>
      <c r="B530" s="365"/>
      <c r="C530" s="301"/>
      <c r="D530" s="301"/>
      <c r="E530" s="301"/>
      <c r="F530" s="301"/>
      <c r="G530" s="301"/>
      <c r="H530" s="334"/>
      <c r="I530" s="334"/>
      <c r="J530" s="301"/>
      <c r="K530" s="301"/>
      <c r="L530" s="301"/>
      <c r="M530" s="301"/>
      <c r="N530" s="301"/>
      <c r="O530" s="301"/>
      <c r="P530" s="301"/>
      <c r="Q530" s="301"/>
      <c r="R530" s="301"/>
      <c r="S530" s="301"/>
      <c r="T530" s="366"/>
      <c r="U530" s="301"/>
      <c r="V530" s="301"/>
      <c r="W530" s="301"/>
      <c r="X530" s="301"/>
      <c r="Y530" s="301"/>
      <c r="Z530" s="301"/>
    </row>
    <row r="531">
      <c r="A531" s="301"/>
      <c r="B531" s="365"/>
      <c r="C531" s="301"/>
      <c r="D531" s="301"/>
      <c r="E531" s="301"/>
      <c r="F531" s="301"/>
      <c r="G531" s="301"/>
      <c r="H531" s="334"/>
      <c r="I531" s="334"/>
      <c r="J531" s="301"/>
      <c r="K531" s="301"/>
      <c r="L531" s="301"/>
      <c r="M531" s="301"/>
      <c r="N531" s="301"/>
      <c r="O531" s="301"/>
      <c r="P531" s="301"/>
      <c r="Q531" s="301"/>
      <c r="R531" s="301"/>
      <c r="S531" s="301"/>
      <c r="T531" s="366"/>
      <c r="U531" s="301"/>
      <c r="V531" s="301"/>
      <c r="W531" s="301"/>
      <c r="X531" s="301"/>
      <c r="Y531" s="301"/>
      <c r="Z531" s="301"/>
    </row>
    <row r="532">
      <c r="A532" s="301"/>
      <c r="B532" s="365"/>
      <c r="C532" s="301"/>
      <c r="D532" s="301"/>
      <c r="E532" s="301"/>
      <c r="F532" s="301"/>
      <c r="G532" s="301"/>
      <c r="H532" s="334"/>
      <c r="I532" s="334"/>
      <c r="J532" s="301"/>
      <c r="K532" s="301"/>
      <c r="L532" s="301"/>
      <c r="M532" s="301"/>
      <c r="N532" s="301"/>
      <c r="O532" s="301"/>
      <c r="P532" s="301"/>
      <c r="Q532" s="301"/>
      <c r="R532" s="301"/>
      <c r="S532" s="301"/>
      <c r="T532" s="366"/>
      <c r="U532" s="301"/>
      <c r="V532" s="301"/>
      <c r="W532" s="301"/>
      <c r="X532" s="301"/>
      <c r="Y532" s="301"/>
      <c r="Z532" s="301"/>
    </row>
    <row r="533">
      <c r="A533" s="301"/>
      <c r="B533" s="365"/>
      <c r="C533" s="301"/>
      <c r="D533" s="301"/>
      <c r="E533" s="301"/>
      <c r="F533" s="301"/>
      <c r="G533" s="301"/>
      <c r="H533" s="334"/>
      <c r="I533" s="334"/>
      <c r="J533" s="301"/>
      <c r="K533" s="301"/>
      <c r="L533" s="301"/>
      <c r="M533" s="301"/>
      <c r="N533" s="301"/>
      <c r="O533" s="301"/>
      <c r="P533" s="301"/>
      <c r="Q533" s="301"/>
      <c r="R533" s="301"/>
      <c r="S533" s="301"/>
      <c r="T533" s="366"/>
      <c r="U533" s="301"/>
      <c r="V533" s="301"/>
      <c r="W533" s="301"/>
      <c r="X533" s="301"/>
      <c r="Y533" s="301"/>
      <c r="Z533" s="301"/>
    </row>
    <row r="534">
      <c r="A534" s="301"/>
      <c r="B534" s="365"/>
      <c r="C534" s="301"/>
      <c r="D534" s="301"/>
      <c r="E534" s="301"/>
      <c r="F534" s="301"/>
      <c r="G534" s="301"/>
      <c r="H534" s="334"/>
      <c r="I534" s="334"/>
      <c r="J534" s="301"/>
      <c r="K534" s="301"/>
      <c r="L534" s="301"/>
      <c r="M534" s="301"/>
      <c r="N534" s="301"/>
      <c r="O534" s="301"/>
      <c r="P534" s="301"/>
      <c r="Q534" s="301"/>
      <c r="R534" s="301"/>
      <c r="S534" s="301"/>
      <c r="T534" s="366"/>
      <c r="U534" s="301"/>
      <c r="V534" s="301"/>
      <c r="W534" s="301"/>
      <c r="X534" s="301"/>
      <c r="Y534" s="301"/>
      <c r="Z534" s="301"/>
    </row>
    <row r="535">
      <c r="A535" s="301"/>
      <c r="B535" s="365"/>
      <c r="C535" s="301"/>
      <c r="D535" s="301"/>
      <c r="E535" s="301"/>
      <c r="F535" s="301"/>
      <c r="G535" s="301"/>
      <c r="H535" s="334"/>
      <c r="I535" s="334"/>
      <c r="J535" s="301"/>
      <c r="K535" s="301"/>
      <c r="L535" s="301"/>
      <c r="M535" s="301"/>
      <c r="N535" s="301"/>
      <c r="O535" s="301"/>
      <c r="P535" s="301"/>
      <c r="Q535" s="301"/>
      <c r="R535" s="301"/>
      <c r="S535" s="301"/>
      <c r="T535" s="366"/>
      <c r="U535" s="301"/>
      <c r="V535" s="301"/>
      <c r="W535" s="301"/>
      <c r="X535" s="301"/>
      <c r="Y535" s="301"/>
      <c r="Z535" s="301"/>
    </row>
    <row r="536">
      <c r="A536" s="301"/>
      <c r="B536" s="365"/>
      <c r="C536" s="301"/>
      <c r="D536" s="301"/>
      <c r="E536" s="301"/>
      <c r="F536" s="301"/>
      <c r="G536" s="301"/>
      <c r="H536" s="334"/>
      <c r="I536" s="334"/>
      <c r="J536" s="301"/>
      <c r="K536" s="301"/>
      <c r="L536" s="301"/>
      <c r="M536" s="301"/>
      <c r="N536" s="301"/>
      <c r="O536" s="301"/>
      <c r="P536" s="301"/>
      <c r="Q536" s="301"/>
      <c r="R536" s="301"/>
      <c r="S536" s="301"/>
      <c r="T536" s="366"/>
      <c r="U536" s="301"/>
      <c r="V536" s="301"/>
      <c r="W536" s="301"/>
      <c r="X536" s="301"/>
      <c r="Y536" s="301"/>
      <c r="Z536" s="301"/>
    </row>
    <row r="537">
      <c r="A537" s="301"/>
      <c r="B537" s="365"/>
      <c r="C537" s="301"/>
      <c r="D537" s="301"/>
      <c r="E537" s="301"/>
      <c r="F537" s="301"/>
      <c r="G537" s="301"/>
      <c r="H537" s="334"/>
      <c r="I537" s="334"/>
      <c r="J537" s="301"/>
      <c r="K537" s="301"/>
      <c r="L537" s="301"/>
      <c r="M537" s="301"/>
      <c r="N537" s="301"/>
      <c r="O537" s="301"/>
      <c r="P537" s="301"/>
      <c r="Q537" s="301"/>
      <c r="R537" s="301"/>
      <c r="S537" s="301"/>
      <c r="T537" s="366"/>
      <c r="U537" s="301"/>
      <c r="V537" s="301"/>
      <c r="W537" s="301"/>
      <c r="X537" s="301"/>
      <c r="Y537" s="301"/>
      <c r="Z537" s="301"/>
    </row>
    <row r="538">
      <c r="A538" s="301"/>
      <c r="B538" s="365"/>
      <c r="C538" s="301"/>
      <c r="D538" s="301"/>
      <c r="E538" s="301"/>
      <c r="F538" s="301"/>
      <c r="G538" s="301"/>
      <c r="H538" s="334"/>
      <c r="I538" s="334"/>
      <c r="J538" s="301"/>
      <c r="K538" s="301"/>
      <c r="L538" s="301"/>
      <c r="M538" s="301"/>
      <c r="N538" s="301"/>
      <c r="O538" s="301"/>
      <c r="P538" s="301"/>
      <c r="Q538" s="301"/>
      <c r="R538" s="301"/>
      <c r="S538" s="301"/>
      <c r="T538" s="366"/>
      <c r="U538" s="301"/>
      <c r="V538" s="301"/>
      <c r="W538" s="301"/>
      <c r="X538" s="301"/>
      <c r="Y538" s="301"/>
      <c r="Z538" s="301"/>
    </row>
    <row r="539">
      <c r="A539" s="301"/>
      <c r="B539" s="365"/>
      <c r="C539" s="301"/>
      <c r="D539" s="301"/>
      <c r="E539" s="301"/>
      <c r="F539" s="301"/>
      <c r="G539" s="301"/>
      <c r="H539" s="334"/>
      <c r="I539" s="334"/>
      <c r="J539" s="301"/>
      <c r="K539" s="301"/>
      <c r="L539" s="301"/>
      <c r="M539" s="301"/>
      <c r="N539" s="301"/>
      <c r="O539" s="301"/>
      <c r="P539" s="301"/>
      <c r="Q539" s="301"/>
      <c r="R539" s="301"/>
      <c r="S539" s="301"/>
      <c r="T539" s="366"/>
      <c r="U539" s="301"/>
      <c r="V539" s="301"/>
      <c r="W539" s="301"/>
      <c r="X539" s="301"/>
      <c r="Y539" s="301"/>
      <c r="Z539" s="301"/>
    </row>
    <row r="540">
      <c r="A540" s="301"/>
      <c r="B540" s="365"/>
      <c r="C540" s="301"/>
      <c r="D540" s="301"/>
      <c r="E540" s="301"/>
      <c r="F540" s="301"/>
      <c r="G540" s="301"/>
      <c r="H540" s="334"/>
      <c r="I540" s="334"/>
      <c r="J540" s="301"/>
      <c r="K540" s="301"/>
      <c r="L540" s="301"/>
      <c r="M540" s="301"/>
      <c r="N540" s="301"/>
      <c r="O540" s="301"/>
      <c r="P540" s="301"/>
      <c r="Q540" s="301"/>
      <c r="R540" s="301"/>
      <c r="S540" s="301"/>
      <c r="T540" s="366"/>
      <c r="U540" s="301"/>
      <c r="V540" s="301"/>
      <c r="W540" s="301"/>
      <c r="X540" s="301"/>
      <c r="Y540" s="301"/>
      <c r="Z540" s="301"/>
    </row>
    <row r="541">
      <c r="A541" s="301"/>
      <c r="B541" s="365"/>
      <c r="C541" s="301"/>
      <c r="D541" s="301"/>
      <c r="E541" s="301"/>
      <c r="F541" s="301"/>
      <c r="G541" s="301"/>
      <c r="H541" s="334"/>
      <c r="I541" s="334"/>
      <c r="J541" s="301"/>
      <c r="K541" s="301"/>
      <c r="L541" s="301"/>
      <c r="M541" s="301"/>
      <c r="N541" s="301"/>
      <c r="O541" s="301"/>
      <c r="P541" s="301"/>
      <c r="Q541" s="301"/>
      <c r="R541" s="301"/>
      <c r="S541" s="301"/>
      <c r="T541" s="366"/>
      <c r="U541" s="301"/>
      <c r="V541" s="301"/>
      <c r="W541" s="301"/>
      <c r="X541" s="301"/>
      <c r="Y541" s="301"/>
      <c r="Z541" s="301"/>
    </row>
    <row r="542">
      <c r="A542" s="301"/>
      <c r="B542" s="365"/>
      <c r="C542" s="301"/>
      <c r="D542" s="301"/>
      <c r="E542" s="301"/>
      <c r="F542" s="301"/>
      <c r="G542" s="301"/>
      <c r="H542" s="334"/>
      <c r="I542" s="334"/>
      <c r="J542" s="301"/>
      <c r="K542" s="301"/>
      <c r="L542" s="301"/>
      <c r="M542" s="301"/>
      <c r="N542" s="301"/>
      <c r="O542" s="301"/>
      <c r="P542" s="301"/>
      <c r="Q542" s="301"/>
      <c r="R542" s="301"/>
      <c r="S542" s="301"/>
      <c r="T542" s="366"/>
      <c r="U542" s="301"/>
      <c r="V542" s="301"/>
      <c r="W542" s="301"/>
      <c r="X542" s="301"/>
      <c r="Y542" s="301"/>
      <c r="Z542" s="301"/>
    </row>
    <row r="543">
      <c r="A543" s="301"/>
      <c r="B543" s="365"/>
      <c r="C543" s="301"/>
      <c r="D543" s="301"/>
      <c r="E543" s="301"/>
      <c r="F543" s="301"/>
      <c r="G543" s="301"/>
      <c r="H543" s="334"/>
      <c r="I543" s="334"/>
      <c r="J543" s="301"/>
      <c r="K543" s="301"/>
      <c r="L543" s="301"/>
      <c r="M543" s="301"/>
      <c r="N543" s="301"/>
      <c r="O543" s="301"/>
      <c r="P543" s="301"/>
      <c r="Q543" s="301"/>
      <c r="R543" s="301"/>
      <c r="S543" s="301"/>
      <c r="T543" s="366"/>
      <c r="U543" s="301"/>
      <c r="V543" s="301"/>
      <c r="W543" s="301"/>
      <c r="X543" s="301"/>
      <c r="Y543" s="301"/>
      <c r="Z543" s="301"/>
    </row>
    <row r="544">
      <c r="A544" s="301"/>
      <c r="B544" s="365"/>
      <c r="C544" s="301"/>
      <c r="D544" s="301"/>
      <c r="E544" s="301"/>
      <c r="F544" s="301"/>
      <c r="G544" s="301"/>
      <c r="H544" s="334"/>
      <c r="I544" s="334"/>
      <c r="J544" s="301"/>
      <c r="K544" s="301"/>
      <c r="L544" s="301"/>
      <c r="M544" s="301"/>
      <c r="N544" s="301"/>
      <c r="O544" s="301"/>
      <c r="P544" s="301"/>
      <c r="Q544" s="301"/>
      <c r="R544" s="301"/>
      <c r="S544" s="301"/>
      <c r="T544" s="366"/>
      <c r="U544" s="301"/>
      <c r="V544" s="301"/>
      <c r="W544" s="301"/>
      <c r="X544" s="301"/>
      <c r="Y544" s="301"/>
      <c r="Z544" s="301"/>
    </row>
    <row r="545">
      <c r="A545" s="301"/>
      <c r="B545" s="365"/>
      <c r="C545" s="301"/>
      <c r="D545" s="301"/>
      <c r="E545" s="301"/>
      <c r="F545" s="301"/>
      <c r="G545" s="301"/>
      <c r="H545" s="334"/>
      <c r="I545" s="334"/>
      <c r="J545" s="301"/>
      <c r="K545" s="301"/>
      <c r="L545" s="301"/>
      <c r="M545" s="301"/>
      <c r="N545" s="301"/>
      <c r="O545" s="301"/>
      <c r="P545" s="301"/>
      <c r="Q545" s="301"/>
      <c r="R545" s="301"/>
      <c r="S545" s="301"/>
      <c r="T545" s="366"/>
      <c r="U545" s="301"/>
      <c r="V545" s="301"/>
      <c r="W545" s="301"/>
      <c r="X545" s="301"/>
      <c r="Y545" s="301"/>
      <c r="Z545" s="301"/>
    </row>
    <row r="546">
      <c r="A546" s="301"/>
      <c r="B546" s="365"/>
      <c r="C546" s="301"/>
      <c r="D546" s="301"/>
      <c r="E546" s="301"/>
      <c r="F546" s="301"/>
      <c r="G546" s="301"/>
      <c r="H546" s="334"/>
      <c r="I546" s="334"/>
      <c r="J546" s="301"/>
      <c r="K546" s="301"/>
      <c r="L546" s="301"/>
      <c r="M546" s="301"/>
      <c r="N546" s="301"/>
      <c r="O546" s="301"/>
      <c r="P546" s="301"/>
      <c r="Q546" s="301"/>
      <c r="R546" s="301"/>
      <c r="S546" s="301"/>
      <c r="T546" s="366"/>
      <c r="U546" s="301"/>
      <c r="V546" s="301"/>
      <c r="W546" s="301"/>
      <c r="X546" s="301"/>
      <c r="Y546" s="301"/>
      <c r="Z546" s="301"/>
    </row>
    <row r="547">
      <c r="A547" s="301"/>
      <c r="B547" s="365"/>
      <c r="C547" s="301"/>
      <c r="D547" s="301"/>
      <c r="E547" s="301"/>
      <c r="F547" s="301"/>
      <c r="G547" s="301"/>
      <c r="H547" s="334"/>
      <c r="I547" s="334"/>
      <c r="J547" s="301"/>
      <c r="K547" s="301"/>
      <c r="L547" s="301"/>
      <c r="M547" s="301"/>
      <c r="N547" s="301"/>
      <c r="O547" s="301"/>
      <c r="P547" s="301"/>
      <c r="Q547" s="301"/>
      <c r="R547" s="301"/>
      <c r="S547" s="301"/>
      <c r="T547" s="366"/>
      <c r="U547" s="301"/>
      <c r="V547" s="301"/>
      <c r="W547" s="301"/>
      <c r="X547" s="301"/>
      <c r="Y547" s="301"/>
      <c r="Z547" s="301"/>
    </row>
    <row r="548">
      <c r="A548" s="301"/>
      <c r="B548" s="365"/>
      <c r="C548" s="301"/>
      <c r="D548" s="301"/>
      <c r="E548" s="301"/>
      <c r="F548" s="301"/>
      <c r="G548" s="301"/>
      <c r="H548" s="334"/>
      <c r="I548" s="334"/>
      <c r="J548" s="301"/>
      <c r="K548" s="301"/>
      <c r="L548" s="301"/>
      <c r="M548" s="301"/>
      <c r="N548" s="301"/>
      <c r="O548" s="301"/>
      <c r="P548" s="301"/>
      <c r="Q548" s="301"/>
      <c r="R548" s="301"/>
      <c r="S548" s="301"/>
      <c r="T548" s="366"/>
      <c r="U548" s="301"/>
      <c r="V548" s="301"/>
      <c r="W548" s="301"/>
      <c r="X548" s="301"/>
      <c r="Y548" s="301"/>
      <c r="Z548" s="301"/>
    </row>
    <row r="549">
      <c r="A549" s="301"/>
      <c r="B549" s="365"/>
      <c r="C549" s="301"/>
      <c r="D549" s="301"/>
      <c r="E549" s="301"/>
      <c r="F549" s="301"/>
      <c r="G549" s="301"/>
      <c r="H549" s="334"/>
      <c r="I549" s="334"/>
      <c r="J549" s="301"/>
      <c r="K549" s="301"/>
      <c r="L549" s="301"/>
      <c r="M549" s="301"/>
      <c r="N549" s="301"/>
      <c r="O549" s="301"/>
      <c r="P549" s="301"/>
      <c r="Q549" s="301"/>
      <c r="R549" s="301"/>
      <c r="S549" s="301"/>
      <c r="T549" s="366"/>
      <c r="U549" s="301"/>
      <c r="V549" s="301"/>
      <c r="W549" s="301"/>
      <c r="X549" s="301"/>
      <c r="Y549" s="301"/>
      <c r="Z549" s="301"/>
    </row>
    <row r="550">
      <c r="A550" s="301"/>
      <c r="B550" s="365"/>
      <c r="C550" s="301"/>
      <c r="D550" s="301"/>
      <c r="E550" s="301"/>
      <c r="F550" s="301"/>
      <c r="G550" s="301"/>
      <c r="H550" s="334"/>
      <c r="I550" s="334"/>
      <c r="J550" s="301"/>
      <c r="K550" s="301"/>
      <c r="L550" s="301"/>
      <c r="M550" s="301"/>
      <c r="N550" s="301"/>
      <c r="O550" s="301"/>
      <c r="P550" s="301"/>
      <c r="Q550" s="301"/>
      <c r="R550" s="301"/>
      <c r="S550" s="301"/>
      <c r="T550" s="366"/>
      <c r="U550" s="301"/>
      <c r="V550" s="301"/>
      <c r="W550" s="301"/>
      <c r="X550" s="301"/>
      <c r="Y550" s="301"/>
      <c r="Z550" s="301"/>
    </row>
    <row r="551">
      <c r="A551" s="301"/>
      <c r="B551" s="365"/>
      <c r="C551" s="301"/>
      <c r="D551" s="301"/>
      <c r="E551" s="301"/>
      <c r="F551" s="301"/>
      <c r="G551" s="301"/>
      <c r="H551" s="334"/>
      <c r="I551" s="334"/>
      <c r="J551" s="301"/>
      <c r="K551" s="301"/>
      <c r="L551" s="301"/>
      <c r="M551" s="301"/>
      <c r="N551" s="301"/>
      <c r="O551" s="301"/>
      <c r="P551" s="301"/>
      <c r="Q551" s="301"/>
      <c r="R551" s="301"/>
      <c r="S551" s="301"/>
      <c r="T551" s="366"/>
      <c r="U551" s="301"/>
      <c r="V551" s="301"/>
      <c r="W551" s="301"/>
      <c r="X551" s="301"/>
      <c r="Y551" s="301"/>
      <c r="Z551" s="301"/>
    </row>
    <row r="552">
      <c r="A552" s="301"/>
      <c r="B552" s="365"/>
      <c r="C552" s="301"/>
      <c r="D552" s="301"/>
      <c r="E552" s="301"/>
      <c r="F552" s="301"/>
      <c r="G552" s="301"/>
      <c r="H552" s="334"/>
      <c r="I552" s="334"/>
      <c r="J552" s="301"/>
      <c r="K552" s="301"/>
      <c r="L552" s="301"/>
      <c r="M552" s="301"/>
      <c r="N552" s="301"/>
      <c r="O552" s="301"/>
      <c r="P552" s="301"/>
      <c r="Q552" s="301"/>
      <c r="R552" s="301"/>
      <c r="S552" s="301"/>
      <c r="T552" s="366"/>
      <c r="U552" s="301"/>
      <c r="V552" s="301"/>
      <c r="W552" s="301"/>
      <c r="X552" s="301"/>
      <c r="Y552" s="301"/>
      <c r="Z552" s="301"/>
    </row>
    <row r="553">
      <c r="A553" s="301"/>
      <c r="B553" s="365"/>
      <c r="C553" s="301"/>
      <c r="D553" s="301"/>
      <c r="E553" s="301"/>
      <c r="F553" s="301"/>
      <c r="G553" s="301"/>
      <c r="H553" s="334"/>
      <c r="I553" s="334"/>
      <c r="J553" s="301"/>
      <c r="K553" s="301"/>
      <c r="L553" s="301"/>
      <c r="M553" s="301"/>
      <c r="N553" s="301"/>
      <c r="O553" s="301"/>
      <c r="P553" s="301"/>
      <c r="Q553" s="301"/>
      <c r="R553" s="301"/>
      <c r="S553" s="301"/>
      <c r="T553" s="366"/>
      <c r="U553" s="301"/>
      <c r="V553" s="301"/>
      <c r="W553" s="301"/>
      <c r="X553" s="301"/>
      <c r="Y553" s="301"/>
      <c r="Z553" s="301"/>
    </row>
    <row r="554">
      <c r="A554" s="301"/>
      <c r="B554" s="365"/>
      <c r="C554" s="301"/>
      <c r="D554" s="301"/>
      <c r="E554" s="301"/>
      <c r="F554" s="301"/>
      <c r="G554" s="301"/>
      <c r="H554" s="334"/>
      <c r="I554" s="334"/>
      <c r="J554" s="301"/>
      <c r="K554" s="301"/>
      <c r="L554" s="301"/>
      <c r="M554" s="301"/>
      <c r="N554" s="301"/>
      <c r="O554" s="301"/>
      <c r="P554" s="301"/>
      <c r="Q554" s="301"/>
      <c r="R554" s="301"/>
      <c r="S554" s="301"/>
      <c r="T554" s="366"/>
      <c r="U554" s="301"/>
      <c r="V554" s="301"/>
      <c r="W554" s="301"/>
      <c r="X554" s="301"/>
      <c r="Y554" s="301"/>
      <c r="Z554" s="301"/>
    </row>
    <row r="555">
      <c r="A555" s="301"/>
      <c r="B555" s="365"/>
      <c r="C555" s="301"/>
      <c r="D555" s="301"/>
      <c r="E555" s="301"/>
      <c r="F555" s="301"/>
      <c r="G555" s="301"/>
      <c r="H555" s="334"/>
      <c r="I555" s="334"/>
      <c r="J555" s="301"/>
      <c r="K555" s="301"/>
      <c r="L555" s="301"/>
      <c r="M555" s="301"/>
      <c r="N555" s="301"/>
      <c r="O555" s="301"/>
      <c r="P555" s="301"/>
      <c r="Q555" s="301"/>
      <c r="R555" s="301"/>
      <c r="S555" s="301"/>
      <c r="T555" s="366"/>
      <c r="U555" s="301"/>
      <c r="V555" s="301"/>
      <c r="W555" s="301"/>
      <c r="X555" s="301"/>
      <c r="Y555" s="301"/>
      <c r="Z555" s="301"/>
    </row>
    <row r="556">
      <c r="A556" s="301"/>
      <c r="B556" s="365"/>
      <c r="C556" s="301"/>
      <c r="D556" s="301"/>
      <c r="E556" s="301"/>
      <c r="F556" s="301"/>
      <c r="G556" s="301"/>
      <c r="H556" s="334"/>
      <c r="I556" s="334"/>
      <c r="J556" s="301"/>
      <c r="K556" s="301"/>
      <c r="L556" s="301"/>
      <c r="M556" s="301"/>
      <c r="N556" s="301"/>
      <c r="O556" s="301"/>
      <c r="P556" s="301"/>
      <c r="Q556" s="301"/>
      <c r="R556" s="301"/>
      <c r="S556" s="301"/>
      <c r="T556" s="366"/>
      <c r="U556" s="301"/>
      <c r="V556" s="301"/>
      <c r="W556" s="301"/>
      <c r="X556" s="301"/>
      <c r="Y556" s="301"/>
      <c r="Z556" s="301"/>
    </row>
    <row r="557">
      <c r="A557" s="301"/>
      <c r="B557" s="365"/>
      <c r="C557" s="301"/>
      <c r="D557" s="301"/>
      <c r="E557" s="301"/>
      <c r="F557" s="301"/>
      <c r="G557" s="301"/>
      <c r="H557" s="334"/>
      <c r="I557" s="334"/>
      <c r="J557" s="301"/>
      <c r="K557" s="301"/>
      <c r="L557" s="301"/>
      <c r="M557" s="301"/>
      <c r="N557" s="301"/>
      <c r="O557" s="301"/>
      <c r="P557" s="301"/>
      <c r="Q557" s="301"/>
      <c r="R557" s="301"/>
      <c r="S557" s="301"/>
      <c r="T557" s="366"/>
      <c r="U557" s="301"/>
      <c r="V557" s="301"/>
      <c r="W557" s="301"/>
      <c r="X557" s="301"/>
      <c r="Y557" s="301"/>
      <c r="Z557" s="301"/>
    </row>
    <row r="558">
      <c r="A558" s="301"/>
      <c r="B558" s="365"/>
      <c r="C558" s="301"/>
      <c r="D558" s="301"/>
      <c r="E558" s="301"/>
      <c r="F558" s="301"/>
      <c r="G558" s="301"/>
      <c r="H558" s="334"/>
      <c r="I558" s="334"/>
      <c r="J558" s="301"/>
      <c r="K558" s="301"/>
      <c r="L558" s="301"/>
      <c r="M558" s="301"/>
      <c r="N558" s="301"/>
      <c r="O558" s="301"/>
      <c r="P558" s="301"/>
      <c r="Q558" s="301"/>
      <c r="R558" s="301"/>
      <c r="S558" s="301"/>
      <c r="T558" s="366"/>
      <c r="U558" s="301"/>
      <c r="V558" s="301"/>
      <c r="W558" s="301"/>
      <c r="X558" s="301"/>
      <c r="Y558" s="301"/>
      <c r="Z558" s="301"/>
    </row>
    <row r="559">
      <c r="A559" s="301"/>
      <c r="B559" s="365"/>
      <c r="C559" s="301"/>
      <c r="D559" s="301"/>
      <c r="E559" s="301"/>
      <c r="F559" s="301"/>
      <c r="G559" s="301"/>
      <c r="H559" s="334"/>
      <c r="I559" s="334"/>
      <c r="J559" s="301"/>
      <c r="K559" s="301"/>
      <c r="L559" s="301"/>
      <c r="M559" s="301"/>
      <c r="N559" s="301"/>
      <c r="O559" s="301"/>
      <c r="P559" s="301"/>
      <c r="Q559" s="301"/>
      <c r="R559" s="301"/>
      <c r="S559" s="301"/>
      <c r="T559" s="366"/>
      <c r="U559" s="301"/>
      <c r="V559" s="301"/>
      <c r="W559" s="301"/>
      <c r="X559" s="301"/>
      <c r="Y559" s="301"/>
      <c r="Z559" s="301"/>
    </row>
    <row r="560">
      <c r="A560" s="301"/>
      <c r="B560" s="365"/>
      <c r="C560" s="301"/>
      <c r="D560" s="301"/>
      <c r="E560" s="301"/>
      <c r="F560" s="301"/>
      <c r="G560" s="301"/>
      <c r="H560" s="334"/>
      <c r="I560" s="334"/>
      <c r="J560" s="301"/>
      <c r="K560" s="301"/>
      <c r="L560" s="301"/>
      <c r="M560" s="301"/>
      <c r="N560" s="301"/>
      <c r="O560" s="301"/>
      <c r="P560" s="301"/>
      <c r="Q560" s="301"/>
      <c r="R560" s="301"/>
      <c r="S560" s="301"/>
      <c r="T560" s="366"/>
      <c r="U560" s="301"/>
      <c r="V560" s="301"/>
      <c r="W560" s="301"/>
      <c r="X560" s="301"/>
      <c r="Y560" s="301"/>
      <c r="Z560" s="301"/>
    </row>
    <row r="561">
      <c r="A561" s="301"/>
      <c r="B561" s="365"/>
      <c r="C561" s="301"/>
      <c r="D561" s="301"/>
      <c r="E561" s="301"/>
      <c r="F561" s="301"/>
      <c r="G561" s="301"/>
      <c r="H561" s="334"/>
      <c r="I561" s="334"/>
      <c r="J561" s="301"/>
      <c r="K561" s="301"/>
      <c r="L561" s="301"/>
      <c r="M561" s="301"/>
      <c r="N561" s="301"/>
      <c r="O561" s="301"/>
      <c r="P561" s="301"/>
      <c r="Q561" s="301"/>
      <c r="R561" s="301"/>
      <c r="S561" s="301"/>
      <c r="T561" s="366"/>
      <c r="U561" s="301"/>
      <c r="V561" s="301"/>
      <c r="W561" s="301"/>
      <c r="X561" s="301"/>
      <c r="Y561" s="301"/>
      <c r="Z561" s="301"/>
    </row>
    <row r="562">
      <c r="A562" s="301"/>
      <c r="B562" s="365"/>
      <c r="C562" s="301"/>
      <c r="D562" s="301"/>
      <c r="E562" s="301"/>
      <c r="F562" s="301"/>
      <c r="G562" s="301"/>
      <c r="H562" s="334"/>
      <c r="I562" s="334"/>
      <c r="J562" s="301"/>
      <c r="K562" s="301"/>
      <c r="L562" s="301"/>
      <c r="M562" s="301"/>
      <c r="N562" s="301"/>
      <c r="O562" s="301"/>
      <c r="P562" s="301"/>
      <c r="Q562" s="301"/>
      <c r="R562" s="301"/>
      <c r="S562" s="301"/>
      <c r="T562" s="366"/>
      <c r="U562" s="301"/>
      <c r="V562" s="301"/>
      <c r="W562" s="301"/>
      <c r="X562" s="301"/>
      <c r="Y562" s="301"/>
      <c r="Z562" s="301"/>
    </row>
    <row r="563">
      <c r="A563" s="301"/>
      <c r="B563" s="365"/>
      <c r="C563" s="301"/>
      <c r="D563" s="301"/>
      <c r="E563" s="301"/>
      <c r="F563" s="301"/>
      <c r="G563" s="301"/>
      <c r="H563" s="334"/>
      <c r="I563" s="334"/>
      <c r="J563" s="301"/>
      <c r="K563" s="301"/>
      <c r="L563" s="301"/>
      <c r="M563" s="301"/>
      <c r="N563" s="301"/>
      <c r="O563" s="301"/>
      <c r="P563" s="301"/>
      <c r="Q563" s="301"/>
      <c r="R563" s="301"/>
      <c r="S563" s="301"/>
      <c r="T563" s="366"/>
      <c r="U563" s="301"/>
      <c r="V563" s="301"/>
      <c r="W563" s="301"/>
      <c r="X563" s="301"/>
      <c r="Y563" s="301"/>
      <c r="Z563" s="301"/>
    </row>
    <row r="564">
      <c r="A564" s="301"/>
      <c r="B564" s="365"/>
      <c r="C564" s="301"/>
      <c r="D564" s="301"/>
      <c r="E564" s="301"/>
      <c r="F564" s="301"/>
      <c r="G564" s="301"/>
      <c r="H564" s="334"/>
      <c r="I564" s="334"/>
      <c r="J564" s="301"/>
      <c r="K564" s="301"/>
      <c r="L564" s="301"/>
      <c r="M564" s="301"/>
      <c r="N564" s="301"/>
      <c r="O564" s="301"/>
      <c r="P564" s="301"/>
      <c r="Q564" s="301"/>
      <c r="R564" s="301"/>
      <c r="S564" s="301"/>
      <c r="T564" s="366"/>
      <c r="U564" s="301"/>
      <c r="V564" s="301"/>
      <c r="W564" s="301"/>
      <c r="X564" s="301"/>
      <c r="Y564" s="301"/>
      <c r="Z564" s="301"/>
    </row>
    <row r="565">
      <c r="A565" s="301"/>
      <c r="B565" s="365"/>
      <c r="C565" s="301"/>
      <c r="D565" s="301"/>
      <c r="E565" s="301"/>
      <c r="F565" s="301"/>
      <c r="G565" s="301"/>
      <c r="H565" s="334"/>
      <c r="I565" s="334"/>
      <c r="J565" s="301"/>
      <c r="K565" s="301"/>
      <c r="L565" s="301"/>
      <c r="M565" s="301"/>
      <c r="N565" s="301"/>
      <c r="O565" s="301"/>
      <c r="P565" s="301"/>
      <c r="Q565" s="301"/>
      <c r="R565" s="301"/>
      <c r="S565" s="301"/>
      <c r="T565" s="366"/>
      <c r="U565" s="301"/>
      <c r="V565" s="301"/>
      <c r="W565" s="301"/>
      <c r="X565" s="301"/>
      <c r="Y565" s="301"/>
      <c r="Z565" s="301"/>
    </row>
    <row r="566">
      <c r="A566" s="301"/>
      <c r="B566" s="365"/>
      <c r="C566" s="301"/>
      <c r="D566" s="301"/>
      <c r="E566" s="301"/>
      <c r="F566" s="301"/>
      <c r="G566" s="301"/>
      <c r="H566" s="334"/>
      <c r="I566" s="334"/>
      <c r="J566" s="301"/>
      <c r="K566" s="301"/>
      <c r="L566" s="301"/>
      <c r="M566" s="301"/>
      <c r="N566" s="301"/>
      <c r="O566" s="301"/>
      <c r="P566" s="301"/>
      <c r="Q566" s="301"/>
      <c r="R566" s="301"/>
      <c r="S566" s="301"/>
      <c r="T566" s="366"/>
      <c r="U566" s="301"/>
      <c r="V566" s="301"/>
      <c r="W566" s="301"/>
      <c r="X566" s="301"/>
      <c r="Y566" s="301"/>
      <c r="Z566" s="301"/>
    </row>
    <row r="567">
      <c r="A567" s="301"/>
      <c r="B567" s="365"/>
      <c r="C567" s="301"/>
      <c r="D567" s="301"/>
      <c r="E567" s="301"/>
      <c r="F567" s="301"/>
      <c r="G567" s="301"/>
      <c r="H567" s="334"/>
      <c r="I567" s="334"/>
      <c r="J567" s="301"/>
      <c r="K567" s="301"/>
      <c r="L567" s="301"/>
      <c r="M567" s="301"/>
      <c r="N567" s="301"/>
      <c r="O567" s="301"/>
      <c r="P567" s="301"/>
      <c r="Q567" s="301"/>
      <c r="R567" s="301"/>
      <c r="S567" s="301"/>
      <c r="T567" s="366"/>
      <c r="U567" s="301"/>
      <c r="V567" s="301"/>
      <c r="W567" s="301"/>
      <c r="X567" s="301"/>
      <c r="Y567" s="301"/>
      <c r="Z567" s="301"/>
    </row>
    <row r="568">
      <c r="A568" s="301"/>
      <c r="B568" s="365"/>
      <c r="C568" s="301"/>
      <c r="D568" s="301"/>
      <c r="E568" s="301"/>
      <c r="F568" s="301"/>
      <c r="G568" s="301"/>
      <c r="H568" s="334"/>
      <c r="I568" s="334"/>
      <c r="J568" s="301"/>
      <c r="K568" s="301"/>
      <c r="L568" s="301"/>
      <c r="M568" s="301"/>
      <c r="N568" s="301"/>
      <c r="O568" s="301"/>
      <c r="P568" s="301"/>
      <c r="Q568" s="301"/>
      <c r="R568" s="301"/>
      <c r="S568" s="301"/>
      <c r="T568" s="366"/>
      <c r="U568" s="301"/>
      <c r="V568" s="301"/>
      <c r="W568" s="301"/>
      <c r="X568" s="301"/>
      <c r="Y568" s="301"/>
      <c r="Z568" s="301"/>
    </row>
    <row r="569">
      <c r="A569" s="301"/>
      <c r="B569" s="365"/>
      <c r="C569" s="301"/>
      <c r="D569" s="301"/>
      <c r="E569" s="301"/>
      <c r="F569" s="301"/>
      <c r="G569" s="301"/>
      <c r="H569" s="334"/>
      <c r="I569" s="334"/>
      <c r="J569" s="301"/>
      <c r="K569" s="301"/>
      <c r="L569" s="301"/>
      <c r="M569" s="301"/>
      <c r="N569" s="301"/>
      <c r="O569" s="301"/>
      <c r="P569" s="301"/>
      <c r="Q569" s="301"/>
      <c r="R569" s="301"/>
      <c r="S569" s="301"/>
      <c r="T569" s="366"/>
      <c r="U569" s="301"/>
      <c r="V569" s="301"/>
      <c r="W569" s="301"/>
      <c r="X569" s="301"/>
      <c r="Y569" s="301"/>
      <c r="Z569" s="301"/>
    </row>
    <row r="570">
      <c r="A570" s="301"/>
      <c r="B570" s="365"/>
      <c r="C570" s="301"/>
      <c r="D570" s="301"/>
      <c r="E570" s="301"/>
      <c r="F570" s="301"/>
      <c r="G570" s="301"/>
      <c r="H570" s="334"/>
      <c r="I570" s="334"/>
      <c r="J570" s="301"/>
      <c r="K570" s="301"/>
      <c r="L570" s="301"/>
      <c r="M570" s="301"/>
      <c r="N570" s="301"/>
      <c r="O570" s="301"/>
      <c r="P570" s="301"/>
      <c r="Q570" s="301"/>
      <c r="R570" s="301"/>
      <c r="S570" s="301"/>
      <c r="T570" s="366"/>
      <c r="U570" s="301"/>
      <c r="V570" s="301"/>
      <c r="W570" s="301"/>
      <c r="X570" s="301"/>
      <c r="Y570" s="301"/>
      <c r="Z570" s="301"/>
    </row>
    <row r="571">
      <c r="A571" s="301"/>
      <c r="B571" s="365"/>
      <c r="C571" s="301"/>
      <c r="D571" s="301"/>
      <c r="E571" s="301"/>
      <c r="F571" s="301"/>
      <c r="G571" s="301"/>
      <c r="H571" s="334"/>
      <c r="I571" s="334"/>
      <c r="J571" s="301"/>
      <c r="K571" s="301"/>
      <c r="L571" s="301"/>
      <c r="M571" s="301"/>
      <c r="N571" s="301"/>
      <c r="O571" s="301"/>
      <c r="P571" s="301"/>
      <c r="Q571" s="301"/>
      <c r="R571" s="301"/>
      <c r="S571" s="301"/>
      <c r="T571" s="366"/>
      <c r="U571" s="301"/>
      <c r="V571" s="301"/>
      <c r="W571" s="301"/>
      <c r="X571" s="301"/>
      <c r="Y571" s="301"/>
      <c r="Z571" s="301"/>
    </row>
    <row r="572">
      <c r="A572" s="301"/>
      <c r="B572" s="365"/>
      <c r="C572" s="301"/>
      <c r="D572" s="301"/>
      <c r="E572" s="301"/>
      <c r="F572" s="301"/>
      <c r="G572" s="301"/>
      <c r="H572" s="334"/>
      <c r="I572" s="334"/>
      <c r="J572" s="301"/>
      <c r="K572" s="301"/>
      <c r="L572" s="301"/>
      <c r="M572" s="301"/>
      <c r="N572" s="301"/>
      <c r="O572" s="301"/>
      <c r="P572" s="301"/>
      <c r="Q572" s="301"/>
      <c r="R572" s="301"/>
      <c r="S572" s="301"/>
      <c r="T572" s="366"/>
      <c r="U572" s="301"/>
      <c r="V572" s="301"/>
      <c r="W572" s="301"/>
      <c r="X572" s="301"/>
      <c r="Y572" s="301"/>
      <c r="Z572" s="301"/>
    </row>
    <row r="573">
      <c r="A573" s="301"/>
      <c r="B573" s="365"/>
      <c r="C573" s="301"/>
      <c r="D573" s="301"/>
      <c r="E573" s="301"/>
      <c r="F573" s="301"/>
      <c r="G573" s="301"/>
      <c r="H573" s="334"/>
      <c r="I573" s="334"/>
      <c r="J573" s="301"/>
      <c r="K573" s="301"/>
      <c r="L573" s="301"/>
      <c r="M573" s="301"/>
      <c r="N573" s="301"/>
      <c r="O573" s="301"/>
      <c r="P573" s="301"/>
      <c r="Q573" s="301"/>
      <c r="R573" s="301"/>
      <c r="S573" s="301"/>
      <c r="T573" s="366"/>
      <c r="U573" s="301"/>
      <c r="V573" s="301"/>
      <c r="W573" s="301"/>
      <c r="X573" s="301"/>
      <c r="Y573" s="301"/>
      <c r="Z573" s="301"/>
    </row>
    <row r="574">
      <c r="A574" s="301"/>
      <c r="B574" s="365"/>
      <c r="C574" s="301"/>
      <c r="D574" s="301"/>
      <c r="E574" s="301"/>
      <c r="F574" s="301"/>
      <c r="G574" s="301"/>
      <c r="H574" s="334"/>
      <c r="I574" s="334"/>
      <c r="J574" s="301"/>
      <c r="K574" s="301"/>
      <c r="L574" s="301"/>
      <c r="M574" s="301"/>
      <c r="N574" s="301"/>
      <c r="O574" s="301"/>
      <c r="P574" s="301"/>
      <c r="Q574" s="301"/>
      <c r="R574" s="301"/>
      <c r="S574" s="301"/>
      <c r="T574" s="366"/>
      <c r="U574" s="301"/>
      <c r="V574" s="301"/>
      <c r="W574" s="301"/>
      <c r="X574" s="301"/>
      <c r="Y574" s="301"/>
      <c r="Z574" s="301"/>
    </row>
    <row r="575">
      <c r="A575" s="301"/>
      <c r="B575" s="365"/>
      <c r="C575" s="301"/>
      <c r="D575" s="301"/>
      <c r="E575" s="301"/>
      <c r="F575" s="301"/>
      <c r="G575" s="301"/>
      <c r="H575" s="334"/>
      <c r="I575" s="334"/>
      <c r="J575" s="301"/>
      <c r="K575" s="301"/>
      <c r="L575" s="301"/>
      <c r="M575" s="301"/>
      <c r="N575" s="301"/>
      <c r="O575" s="301"/>
      <c r="P575" s="301"/>
      <c r="Q575" s="301"/>
      <c r="R575" s="301"/>
      <c r="S575" s="301"/>
      <c r="T575" s="366"/>
      <c r="U575" s="301"/>
      <c r="V575" s="301"/>
      <c r="W575" s="301"/>
      <c r="X575" s="301"/>
      <c r="Y575" s="301"/>
      <c r="Z575" s="301"/>
    </row>
    <row r="576">
      <c r="A576" s="301"/>
      <c r="B576" s="365"/>
      <c r="C576" s="301"/>
      <c r="D576" s="301"/>
      <c r="E576" s="301"/>
      <c r="F576" s="301"/>
      <c r="G576" s="301"/>
      <c r="H576" s="334"/>
      <c r="I576" s="334"/>
      <c r="J576" s="301"/>
      <c r="K576" s="301"/>
      <c r="L576" s="301"/>
      <c r="M576" s="301"/>
      <c r="N576" s="301"/>
      <c r="O576" s="301"/>
      <c r="P576" s="301"/>
      <c r="Q576" s="301"/>
      <c r="R576" s="301"/>
      <c r="S576" s="301"/>
      <c r="T576" s="366"/>
      <c r="U576" s="301"/>
      <c r="V576" s="301"/>
      <c r="W576" s="301"/>
      <c r="X576" s="301"/>
      <c r="Y576" s="301"/>
      <c r="Z576" s="301"/>
    </row>
    <row r="577">
      <c r="A577" s="301"/>
      <c r="B577" s="365"/>
      <c r="C577" s="301"/>
      <c r="D577" s="301"/>
      <c r="E577" s="301"/>
      <c r="F577" s="301"/>
      <c r="G577" s="301"/>
      <c r="H577" s="334"/>
      <c r="I577" s="334"/>
      <c r="J577" s="301"/>
      <c r="K577" s="301"/>
      <c r="L577" s="301"/>
      <c r="M577" s="301"/>
      <c r="N577" s="301"/>
      <c r="O577" s="301"/>
      <c r="P577" s="301"/>
      <c r="Q577" s="301"/>
      <c r="R577" s="301"/>
      <c r="S577" s="301"/>
      <c r="T577" s="366"/>
      <c r="U577" s="301"/>
      <c r="V577" s="301"/>
      <c r="W577" s="301"/>
      <c r="X577" s="301"/>
      <c r="Y577" s="301"/>
      <c r="Z577" s="301"/>
    </row>
    <row r="578">
      <c r="A578" s="301"/>
      <c r="B578" s="365"/>
      <c r="C578" s="301"/>
      <c r="D578" s="301"/>
      <c r="E578" s="301"/>
      <c r="F578" s="301"/>
      <c r="G578" s="301"/>
      <c r="H578" s="334"/>
      <c r="I578" s="334"/>
      <c r="J578" s="301"/>
      <c r="K578" s="301"/>
      <c r="L578" s="301"/>
      <c r="M578" s="301"/>
      <c r="N578" s="301"/>
      <c r="O578" s="301"/>
      <c r="P578" s="301"/>
      <c r="Q578" s="301"/>
      <c r="R578" s="301"/>
      <c r="S578" s="301"/>
      <c r="T578" s="366"/>
      <c r="U578" s="301"/>
      <c r="V578" s="301"/>
      <c r="W578" s="301"/>
      <c r="X578" s="301"/>
      <c r="Y578" s="301"/>
      <c r="Z578" s="301"/>
    </row>
    <row r="579">
      <c r="A579" s="301"/>
      <c r="B579" s="365"/>
      <c r="C579" s="301"/>
      <c r="D579" s="301"/>
      <c r="E579" s="301"/>
      <c r="F579" s="301"/>
      <c r="G579" s="301"/>
      <c r="H579" s="334"/>
      <c r="I579" s="334"/>
      <c r="J579" s="301"/>
      <c r="K579" s="301"/>
      <c r="L579" s="301"/>
      <c r="M579" s="301"/>
      <c r="N579" s="301"/>
      <c r="O579" s="301"/>
      <c r="P579" s="301"/>
      <c r="Q579" s="301"/>
      <c r="R579" s="301"/>
      <c r="S579" s="301"/>
      <c r="T579" s="366"/>
      <c r="U579" s="301"/>
      <c r="V579" s="301"/>
      <c r="W579" s="301"/>
      <c r="X579" s="301"/>
      <c r="Y579" s="301"/>
      <c r="Z579" s="301"/>
    </row>
    <row r="580">
      <c r="A580" s="301"/>
      <c r="B580" s="365"/>
      <c r="C580" s="301"/>
      <c r="D580" s="301"/>
      <c r="E580" s="301"/>
      <c r="F580" s="301"/>
      <c r="G580" s="301"/>
      <c r="H580" s="334"/>
      <c r="I580" s="334"/>
      <c r="J580" s="301"/>
      <c r="K580" s="301"/>
      <c r="L580" s="301"/>
      <c r="M580" s="301"/>
      <c r="N580" s="301"/>
      <c r="O580" s="301"/>
      <c r="P580" s="301"/>
      <c r="Q580" s="301"/>
      <c r="R580" s="301"/>
      <c r="S580" s="301"/>
      <c r="T580" s="366"/>
      <c r="U580" s="301"/>
      <c r="V580" s="301"/>
      <c r="W580" s="301"/>
      <c r="X580" s="301"/>
      <c r="Y580" s="301"/>
      <c r="Z580" s="301"/>
    </row>
    <row r="581">
      <c r="A581" s="301"/>
      <c r="B581" s="365"/>
      <c r="C581" s="301"/>
      <c r="D581" s="301"/>
      <c r="E581" s="301"/>
      <c r="F581" s="301"/>
      <c r="G581" s="301"/>
      <c r="H581" s="334"/>
      <c r="I581" s="334"/>
      <c r="J581" s="301"/>
      <c r="K581" s="301"/>
      <c r="L581" s="301"/>
      <c r="M581" s="301"/>
      <c r="N581" s="301"/>
      <c r="O581" s="301"/>
      <c r="P581" s="301"/>
      <c r="Q581" s="301"/>
      <c r="R581" s="301"/>
      <c r="S581" s="301"/>
      <c r="T581" s="366"/>
      <c r="U581" s="301"/>
      <c r="V581" s="301"/>
      <c r="W581" s="301"/>
      <c r="X581" s="301"/>
      <c r="Y581" s="301"/>
      <c r="Z581" s="301"/>
    </row>
    <row r="582">
      <c r="A582" s="301"/>
      <c r="B582" s="365"/>
      <c r="C582" s="301"/>
      <c r="D582" s="301"/>
      <c r="E582" s="301"/>
      <c r="F582" s="301"/>
      <c r="G582" s="301"/>
      <c r="H582" s="334"/>
      <c r="I582" s="334"/>
      <c r="J582" s="301"/>
      <c r="K582" s="301"/>
      <c r="L582" s="301"/>
      <c r="M582" s="301"/>
      <c r="N582" s="301"/>
      <c r="O582" s="301"/>
      <c r="P582" s="301"/>
      <c r="Q582" s="301"/>
      <c r="R582" s="301"/>
      <c r="S582" s="301"/>
      <c r="T582" s="366"/>
      <c r="U582" s="301"/>
      <c r="V582" s="301"/>
      <c r="W582" s="301"/>
      <c r="X582" s="301"/>
      <c r="Y582" s="301"/>
      <c r="Z582" s="301"/>
    </row>
    <row r="583">
      <c r="A583" s="301"/>
      <c r="B583" s="365"/>
      <c r="C583" s="301"/>
      <c r="D583" s="301"/>
      <c r="E583" s="301"/>
      <c r="F583" s="301"/>
      <c r="G583" s="301"/>
      <c r="H583" s="334"/>
      <c r="I583" s="334"/>
      <c r="J583" s="301"/>
      <c r="K583" s="301"/>
      <c r="L583" s="301"/>
      <c r="M583" s="301"/>
      <c r="N583" s="301"/>
      <c r="O583" s="301"/>
      <c r="P583" s="301"/>
      <c r="Q583" s="301"/>
      <c r="R583" s="301"/>
      <c r="S583" s="301"/>
      <c r="T583" s="366"/>
      <c r="U583" s="301"/>
      <c r="V583" s="301"/>
      <c r="W583" s="301"/>
      <c r="X583" s="301"/>
      <c r="Y583" s="301"/>
      <c r="Z583" s="301"/>
    </row>
    <row r="584">
      <c r="A584" s="301"/>
      <c r="B584" s="365"/>
      <c r="C584" s="301"/>
      <c r="D584" s="301"/>
      <c r="E584" s="301"/>
      <c r="F584" s="301"/>
      <c r="G584" s="301"/>
      <c r="H584" s="334"/>
      <c r="I584" s="334"/>
      <c r="J584" s="301"/>
      <c r="K584" s="301"/>
      <c r="L584" s="301"/>
      <c r="M584" s="301"/>
      <c r="N584" s="301"/>
      <c r="O584" s="301"/>
      <c r="P584" s="301"/>
      <c r="Q584" s="301"/>
      <c r="R584" s="301"/>
      <c r="S584" s="301"/>
      <c r="T584" s="366"/>
      <c r="U584" s="301"/>
      <c r="V584" s="301"/>
      <c r="W584" s="301"/>
      <c r="X584" s="301"/>
      <c r="Y584" s="301"/>
      <c r="Z584" s="301"/>
    </row>
    <row r="585">
      <c r="A585" s="301"/>
      <c r="B585" s="365"/>
      <c r="C585" s="301"/>
      <c r="D585" s="301"/>
      <c r="E585" s="301"/>
      <c r="F585" s="301"/>
      <c r="G585" s="301"/>
      <c r="H585" s="334"/>
      <c r="I585" s="334"/>
      <c r="J585" s="301"/>
      <c r="K585" s="301"/>
      <c r="L585" s="301"/>
      <c r="M585" s="301"/>
      <c r="N585" s="301"/>
      <c r="O585" s="301"/>
      <c r="P585" s="301"/>
      <c r="Q585" s="301"/>
      <c r="R585" s="301"/>
      <c r="S585" s="301"/>
      <c r="T585" s="366"/>
      <c r="U585" s="301"/>
      <c r="V585" s="301"/>
      <c r="W585" s="301"/>
      <c r="X585" s="301"/>
      <c r="Y585" s="301"/>
      <c r="Z585" s="301"/>
    </row>
    <row r="586">
      <c r="A586" s="301"/>
      <c r="B586" s="365"/>
      <c r="C586" s="301"/>
      <c r="D586" s="301"/>
      <c r="E586" s="301"/>
      <c r="F586" s="301"/>
      <c r="G586" s="301"/>
      <c r="H586" s="334"/>
      <c r="I586" s="334"/>
      <c r="J586" s="301"/>
      <c r="K586" s="301"/>
      <c r="L586" s="301"/>
      <c r="M586" s="301"/>
      <c r="N586" s="301"/>
      <c r="O586" s="301"/>
      <c r="P586" s="301"/>
      <c r="Q586" s="301"/>
      <c r="R586" s="301"/>
      <c r="S586" s="301"/>
      <c r="T586" s="366"/>
      <c r="U586" s="301"/>
      <c r="V586" s="301"/>
      <c r="W586" s="301"/>
      <c r="X586" s="301"/>
      <c r="Y586" s="301"/>
      <c r="Z586" s="301"/>
    </row>
    <row r="587">
      <c r="A587" s="301"/>
      <c r="B587" s="365"/>
      <c r="C587" s="301"/>
      <c r="D587" s="301"/>
      <c r="E587" s="301"/>
      <c r="F587" s="301"/>
      <c r="G587" s="301"/>
      <c r="H587" s="334"/>
      <c r="I587" s="334"/>
      <c r="J587" s="301"/>
      <c r="K587" s="301"/>
      <c r="L587" s="301"/>
      <c r="M587" s="301"/>
      <c r="N587" s="301"/>
      <c r="O587" s="301"/>
      <c r="P587" s="301"/>
      <c r="Q587" s="301"/>
      <c r="R587" s="301"/>
      <c r="S587" s="301"/>
      <c r="T587" s="366"/>
      <c r="U587" s="301"/>
      <c r="V587" s="301"/>
      <c r="W587" s="301"/>
      <c r="X587" s="301"/>
      <c r="Y587" s="301"/>
      <c r="Z587" s="301"/>
    </row>
    <row r="588">
      <c r="A588" s="301"/>
      <c r="B588" s="365"/>
      <c r="C588" s="301"/>
      <c r="D588" s="301"/>
      <c r="E588" s="301"/>
      <c r="F588" s="301"/>
      <c r="G588" s="301"/>
      <c r="H588" s="334"/>
      <c r="I588" s="334"/>
      <c r="J588" s="301"/>
      <c r="K588" s="301"/>
      <c r="L588" s="301"/>
      <c r="M588" s="301"/>
      <c r="N588" s="301"/>
      <c r="O588" s="301"/>
      <c r="P588" s="301"/>
      <c r="Q588" s="301"/>
      <c r="R588" s="301"/>
      <c r="S588" s="301"/>
      <c r="T588" s="366"/>
      <c r="U588" s="301"/>
      <c r="V588" s="301"/>
      <c r="W588" s="301"/>
      <c r="X588" s="301"/>
      <c r="Y588" s="301"/>
      <c r="Z588" s="301"/>
    </row>
    <row r="589">
      <c r="A589" s="301"/>
      <c r="B589" s="365"/>
      <c r="C589" s="301"/>
      <c r="D589" s="301"/>
      <c r="E589" s="301"/>
      <c r="F589" s="301"/>
      <c r="G589" s="301"/>
      <c r="H589" s="334"/>
      <c r="I589" s="334"/>
      <c r="J589" s="301"/>
      <c r="K589" s="301"/>
      <c r="L589" s="301"/>
      <c r="M589" s="301"/>
      <c r="N589" s="301"/>
      <c r="O589" s="301"/>
      <c r="P589" s="301"/>
      <c r="Q589" s="301"/>
      <c r="R589" s="301"/>
      <c r="S589" s="301"/>
      <c r="T589" s="366"/>
      <c r="U589" s="301"/>
      <c r="V589" s="301"/>
      <c r="W589" s="301"/>
      <c r="X589" s="301"/>
      <c r="Y589" s="301"/>
      <c r="Z589" s="301"/>
    </row>
    <row r="590">
      <c r="A590" s="301"/>
      <c r="B590" s="365"/>
      <c r="C590" s="301"/>
      <c r="D590" s="301"/>
      <c r="E590" s="301"/>
      <c r="F590" s="301"/>
      <c r="G590" s="301"/>
      <c r="H590" s="334"/>
      <c r="I590" s="334"/>
      <c r="J590" s="301"/>
      <c r="K590" s="301"/>
      <c r="L590" s="301"/>
      <c r="M590" s="301"/>
      <c r="N590" s="301"/>
      <c r="O590" s="301"/>
      <c r="P590" s="301"/>
      <c r="Q590" s="301"/>
      <c r="R590" s="301"/>
      <c r="S590" s="301"/>
      <c r="T590" s="366"/>
      <c r="U590" s="301"/>
      <c r="V590" s="301"/>
      <c r="W590" s="301"/>
      <c r="X590" s="301"/>
      <c r="Y590" s="301"/>
      <c r="Z590" s="301"/>
    </row>
    <row r="591">
      <c r="A591" s="301"/>
      <c r="B591" s="365"/>
      <c r="C591" s="301"/>
      <c r="D591" s="301"/>
      <c r="E591" s="301"/>
      <c r="F591" s="301"/>
      <c r="G591" s="301"/>
      <c r="H591" s="334"/>
      <c r="I591" s="334"/>
      <c r="J591" s="301"/>
      <c r="K591" s="301"/>
      <c r="L591" s="301"/>
      <c r="M591" s="301"/>
      <c r="N591" s="301"/>
      <c r="O591" s="301"/>
      <c r="P591" s="301"/>
      <c r="Q591" s="301"/>
      <c r="R591" s="301"/>
      <c r="S591" s="301"/>
      <c r="T591" s="366"/>
      <c r="U591" s="301"/>
      <c r="V591" s="301"/>
      <c r="W591" s="301"/>
      <c r="X591" s="301"/>
      <c r="Y591" s="301"/>
      <c r="Z591" s="301"/>
    </row>
    <row r="592">
      <c r="A592" s="301"/>
      <c r="B592" s="365"/>
      <c r="C592" s="301"/>
      <c r="D592" s="301"/>
      <c r="E592" s="301"/>
      <c r="F592" s="301"/>
      <c r="G592" s="301"/>
      <c r="H592" s="334"/>
      <c r="I592" s="334"/>
      <c r="J592" s="301"/>
      <c r="K592" s="301"/>
      <c r="L592" s="301"/>
      <c r="M592" s="301"/>
      <c r="N592" s="301"/>
      <c r="O592" s="301"/>
      <c r="P592" s="301"/>
      <c r="Q592" s="301"/>
      <c r="R592" s="301"/>
      <c r="S592" s="301"/>
      <c r="T592" s="366"/>
      <c r="U592" s="301"/>
      <c r="V592" s="301"/>
      <c r="W592" s="301"/>
      <c r="X592" s="301"/>
      <c r="Y592" s="301"/>
      <c r="Z592" s="301"/>
    </row>
    <row r="593">
      <c r="A593" s="301"/>
      <c r="B593" s="365"/>
      <c r="C593" s="301"/>
      <c r="D593" s="301"/>
      <c r="E593" s="301"/>
      <c r="F593" s="301"/>
      <c r="G593" s="301"/>
      <c r="H593" s="334"/>
      <c r="I593" s="334"/>
      <c r="J593" s="301"/>
      <c r="K593" s="301"/>
      <c r="L593" s="301"/>
      <c r="M593" s="301"/>
      <c r="N593" s="301"/>
      <c r="O593" s="301"/>
      <c r="P593" s="301"/>
      <c r="Q593" s="301"/>
      <c r="R593" s="301"/>
      <c r="S593" s="301"/>
      <c r="T593" s="366"/>
      <c r="U593" s="301"/>
      <c r="V593" s="301"/>
      <c r="W593" s="301"/>
      <c r="X593" s="301"/>
      <c r="Y593" s="301"/>
      <c r="Z593" s="301"/>
    </row>
    <row r="594">
      <c r="A594" s="301"/>
      <c r="B594" s="365"/>
      <c r="C594" s="301"/>
      <c r="D594" s="301"/>
      <c r="E594" s="301"/>
      <c r="F594" s="301"/>
      <c r="G594" s="301"/>
      <c r="H594" s="334"/>
      <c r="I594" s="334"/>
      <c r="J594" s="301"/>
      <c r="K594" s="301"/>
      <c r="L594" s="301"/>
      <c r="M594" s="301"/>
      <c r="N594" s="301"/>
      <c r="O594" s="301"/>
      <c r="P594" s="301"/>
      <c r="Q594" s="301"/>
      <c r="R594" s="301"/>
      <c r="S594" s="301"/>
      <c r="T594" s="366"/>
      <c r="U594" s="301"/>
      <c r="V594" s="301"/>
      <c r="W594" s="301"/>
      <c r="X594" s="301"/>
      <c r="Y594" s="301"/>
      <c r="Z594" s="301"/>
    </row>
    <row r="595">
      <c r="A595" s="301"/>
      <c r="B595" s="365"/>
      <c r="C595" s="301"/>
      <c r="D595" s="301"/>
      <c r="E595" s="301"/>
      <c r="F595" s="301"/>
      <c r="G595" s="301"/>
      <c r="H595" s="334"/>
      <c r="I595" s="334"/>
      <c r="J595" s="301"/>
      <c r="K595" s="301"/>
      <c r="L595" s="301"/>
      <c r="M595" s="301"/>
      <c r="N595" s="301"/>
      <c r="O595" s="301"/>
      <c r="P595" s="301"/>
      <c r="Q595" s="301"/>
      <c r="R595" s="301"/>
      <c r="S595" s="301"/>
      <c r="T595" s="366"/>
      <c r="U595" s="301"/>
      <c r="V595" s="301"/>
      <c r="W595" s="301"/>
      <c r="X595" s="301"/>
      <c r="Y595" s="301"/>
      <c r="Z595" s="301"/>
    </row>
    <row r="596">
      <c r="A596" s="301"/>
      <c r="B596" s="365"/>
      <c r="C596" s="301"/>
      <c r="D596" s="301"/>
      <c r="E596" s="301"/>
      <c r="F596" s="301"/>
      <c r="G596" s="301"/>
      <c r="H596" s="334"/>
      <c r="I596" s="334"/>
      <c r="J596" s="301"/>
      <c r="K596" s="301"/>
      <c r="L596" s="301"/>
      <c r="M596" s="301"/>
      <c r="N596" s="301"/>
      <c r="O596" s="301"/>
      <c r="P596" s="301"/>
      <c r="Q596" s="301"/>
      <c r="R596" s="301"/>
      <c r="S596" s="301"/>
      <c r="T596" s="366"/>
      <c r="U596" s="301"/>
      <c r="V596" s="301"/>
      <c r="W596" s="301"/>
      <c r="X596" s="301"/>
      <c r="Y596" s="301"/>
      <c r="Z596" s="301"/>
    </row>
    <row r="597">
      <c r="A597" s="301"/>
      <c r="B597" s="365"/>
      <c r="C597" s="301"/>
      <c r="D597" s="301"/>
      <c r="E597" s="301"/>
      <c r="F597" s="301"/>
      <c r="G597" s="301"/>
      <c r="H597" s="334"/>
      <c r="I597" s="334"/>
      <c r="J597" s="301"/>
      <c r="K597" s="301"/>
      <c r="L597" s="301"/>
      <c r="M597" s="301"/>
      <c r="N597" s="301"/>
      <c r="O597" s="301"/>
      <c r="P597" s="301"/>
      <c r="Q597" s="301"/>
      <c r="R597" s="301"/>
      <c r="S597" s="301"/>
      <c r="T597" s="366"/>
      <c r="U597" s="301"/>
      <c r="V597" s="301"/>
      <c r="W597" s="301"/>
      <c r="X597" s="301"/>
      <c r="Y597" s="301"/>
      <c r="Z597" s="301"/>
    </row>
    <row r="598">
      <c r="A598" s="301"/>
      <c r="B598" s="365"/>
      <c r="C598" s="301"/>
      <c r="D598" s="301"/>
      <c r="E598" s="301"/>
      <c r="F598" s="301"/>
      <c r="G598" s="301"/>
      <c r="H598" s="334"/>
      <c r="I598" s="334"/>
      <c r="J598" s="301"/>
      <c r="K598" s="301"/>
      <c r="L598" s="301"/>
      <c r="M598" s="301"/>
      <c r="N598" s="301"/>
      <c r="O598" s="301"/>
      <c r="P598" s="301"/>
      <c r="Q598" s="301"/>
      <c r="R598" s="301"/>
      <c r="S598" s="301"/>
      <c r="T598" s="366"/>
      <c r="U598" s="301"/>
      <c r="V598" s="301"/>
      <c r="W598" s="301"/>
      <c r="X598" s="301"/>
      <c r="Y598" s="301"/>
      <c r="Z598" s="301"/>
    </row>
    <row r="599">
      <c r="A599" s="301"/>
      <c r="B599" s="365"/>
      <c r="C599" s="301"/>
      <c r="D599" s="301"/>
      <c r="E599" s="301"/>
      <c r="F599" s="301"/>
      <c r="G599" s="301"/>
      <c r="H599" s="334"/>
      <c r="I599" s="334"/>
      <c r="J599" s="301"/>
      <c r="K599" s="301"/>
      <c r="L599" s="301"/>
      <c r="M599" s="301"/>
      <c r="N599" s="301"/>
      <c r="O599" s="301"/>
      <c r="P599" s="301"/>
      <c r="Q599" s="301"/>
      <c r="R599" s="301"/>
      <c r="S599" s="301"/>
      <c r="T599" s="366"/>
      <c r="U599" s="301"/>
      <c r="V599" s="301"/>
      <c r="W599" s="301"/>
      <c r="X599" s="301"/>
      <c r="Y599" s="301"/>
      <c r="Z599" s="301"/>
    </row>
    <row r="600">
      <c r="A600" s="301"/>
      <c r="B600" s="365"/>
      <c r="C600" s="301"/>
      <c r="D600" s="301"/>
      <c r="E600" s="301"/>
      <c r="F600" s="301"/>
      <c r="G600" s="301"/>
      <c r="H600" s="334"/>
      <c r="I600" s="334"/>
      <c r="J600" s="301"/>
      <c r="K600" s="301"/>
      <c r="L600" s="301"/>
      <c r="M600" s="301"/>
      <c r="N600" s="301"/>
      <c r="O600" s="301"/>
      <c r="P600" s="301"/>
      <c r="Q600" s="301"/>
      <c r="R600" s="301"/>
      <c r="S600" s="301"/>
      <c r="T600" s="366"/>
      <c r="U600" s="301"/>
      <c r="V600" s="301"/>
      <c r="W600" s="301"/>
      <c r="X600" s="301"/>
      <c r="Y600" s="301"/>
      <c r="Z600" s="301"/>
    </row>
    <row r="601">
      <c r="A601" s="301"/>
      <c r="B601" s="365"/>
      <c r="C601" s="301"/>
      <c r="D601" s="301"/>
      <c r="E601" s="301"/>
      <c r="F601" s="301"/>
      <c r="G601" s="301"/>
      <c r="H601" s="334"/>
      <c r="I601" s="334"/>
      <c r="J601" s="301"/>
      <c r="K601" s="301"/>
      <c r="L601" s="301"/>
      <c r="M601" s="301"/>
      <c r="N601" s="301"/>
      <c r="O601" s="301"/>
      <c r="P601" s="301"/>
      <c r="Q601" s="301"/>
      <c r="R601" s="301"/>
      <c r="S601" s="301"/>
      <c r="T601" s="366"/>
      <c r="U601" s="301"/>
      <c r="V601" s="301"/>
      <c r="W601" s="301"/>
      <c r="X601" s="301"/>
      <c r="Y601" s="301"/>
      <c r="Z601" s="301"/>
    </row>
    <row r="602">
      <c r="A602" s="301"/>
      <c r="B602" s="365"/>
      <c r="C602" s="301"/>
      <c r="D602" s="301"/>
      <c r="E602" s="301"/>
      <c r="F602" s="301"/>
      <c r="G602" s="301"/>
      <c r="H602" s="334"/>
      <c r="I602" s="334"/>
      <c r="J602" s="301"/>
      <c r="K602" s="301"/>
      <c r="L602" s="301"/>
      <c r="M602" s="301"/>
      <c r="N602" s="301"/>
      <c r="O602" s="301"/>
      <c r="P602" s="301"/>
      <c r="Q602" s="301"/>
      <c r="R602" s="301"/>
      <c r="S602" s="301"/>
      <c r="T602" s="366"/>
      <c r="U602" s="301"/>
      <c r="V602" s="301"/>
      <c r="W602" s="301"/>
      <c r="X602" s="301"/>
      <c r="Y602" s="301"/>
      <c r="Z602" s="301"/>
    </row>
    <row r="603">
      <c r="A603" s="301"/>
      <c r="B603" s="365"/>
      <c r="C603" s="301"/>
      <c r="D603" s="301"/>
      <c r="E603" s="301"/>
      <c r="F603" s="301"/>
      <c r="G603" s="301"/>
      <c r="H603" s="334"/>
      <c r="I603" s="334"/>
      <c r="J603" s="301"/>
      <c r="K603" s="301"/>
      <c r="L603" s="301"/>
      <c r="M603" s="301"/>
      <c r="N603" s="301"/>
      <c r="O603" s="301"/>
      <c r="P603" s="301"/>
      <c r="Q603" s="301"/>
      <c r="R603" s="301"/>
      <c r="S603" s="301"/>
      <c r="T603" s="366"/>
      <c r="U603" s="301"/>
      <c r="V603" s="301"/>
      <c r="W603" s="301"/>
      <c r="X603" s="301"/>
      <c r="Y603" s="301"/>
      <c r="Z603" s="301"/>
    </row>
    <row r="604">
      <c r="A604" s="301"/>
      <c r="B604" s="365"/>
      <c r="C604" s="301"/>
      <c r="D604" s="301"/>
      <c r="E604" s="301"/>
      <c r="F604" s="301"/>
      <c r="G604" s="301"/>
      <c r="H604" s="334"/>
      <c r="I604" s="334"/>
      <c r="J604" s="301"/>
      <c r="K604" s="301"/>
      <c r="L604" s="301"/>
      <c r="M604" s="301"/>
      <c r="N604" s="301"/>
      <c r="O604" s="301"/>
      <c r="P604" s="301"/>
      <c r="Q604" s="301"/>
      <c r="R604" s="301"/>
      <c r="S604" s="301"/>
      <c r="T604" s="366"/>
      <c r="U604" s="301"/>
      <c r="V604" s="301"/>
      <c r="W604" s="301"/>
      <c r="X604" s="301"/>
      <c r="Y604" s="301"/>
      <c r="Z604" s="301"/>
    </row>
    <row r="605">
      <c r="A605" s="301"/>
      <c r="B605" s="365"/>
      <c r="C605" s="301"/>
      <c r="D605" s="301"/>
      <c r="E605" s="301"/>
      <c r="F605" s="301"/>
      <c r="G605" s="301"/>
      <c r="H605" s="334"/>
      <c r="I605" s="334"/>
      <c r="J605" s="301"/>
      <c r="K605" s="301"/>
      <c r="L605" s="301"/>
      <c r="M605" s="301"/>
      <c r="N605" s="301"/>
      <c r="O605" s="301"/>
      <c r="P605" s="301"/>
      <c r="Q605" s="301"/>
      <c r="R605" s="301"/>
      <c r="S605" s="301"/>
      <c r="T605" s="366"/>
      <c r="U605" s="301"/>
      <c r="V605" s="301"/>
      <c r="W605" s="301"/>
      <c r="X605" s="301"/>
      <c r="Y605" s="301"/>
      <c r="Z605" s="301"/>
    </row>
    <row r="606">
      <c r="A606" s="301"/>
      <c r="B606" s="365"/>
      <c r="C606" s="301"/>
      <c r="D606" s="301"/>
      <c r="E606" s="301"/>
      <c r="F606" s="301"/>
      <c r="G606" s="301"/>
      <c r="H606" s="334"/>
      <c r="I606" s="334"/>
      <c r="J606" s="301"/>
      <c r="K606" s="301"/>
      <c r="L606" s="301"/>
      <c r="M606" s="301"/>
      <c r="N606" s="301"/>
      <c r="O606" s="301"/>
      <c r="P606" s="301"/>
      <c r="Q606" s="301"/>
      <c r="R606" s="301"/>
      <c r="S606" s="301"/>
      <c r="T606" s="366"/>
      <c r="U606" s="301"/>
      <c r="V606" s="301"/>
      <c r="W606" s="301"/>
      <c r="X606" s="301"/>
      <c r="Y606" s="301"/>
      <c r="Z606" s="301"/>
    </row>
    <row r="607">
      <c r="A607" s="301"/>
      <c r="B607" s="365"/>
      <c r="C607" s="301"/>
      <c r="D607" s="301"/>
      <c r="E607" s="301"/>
      <c r="F607" s="301"/>
      <c r="G607" s="301"/>
      <c r="H607" s="334"/>
      <c r="I607" s="334"/>
      <c r="J607" s="301"/>
      <c r="K607" s="301"/>
      <c r="L607" s="301"/>
      <c r="M607" s="301"/>
      <c r="N607" s="301"/>
      <c r="O607" s="301"/>
      <c r="P607" s="301"/>
      <c r="Q607" s="301"/>
      <c r="R607" s="301"/>
      <c r="S607" s="301"/>
      <c r="T607" s="366"/>
      <c r="U607" s="301"/>
      <c r="V607" s="301"/>
      <c r="W607" s="301"/>
      <c r="X607" s="301"/>
      <c r="Y607" s="301"/>
      <c r="Z607" s="301"/>
    </row>
    <row r="608">
      <c r="A608" s="301"/>
      <c r="B608" s="365"/>
      <c r="C608" s="301"/>
      <c r="D608" s="301"/>
      <c r="E608" s="301"/>
      <c r="F608" s="301"/>
      <c r="G608" s="301"/>
      <c r="H608" s="334"/>
      <c r="I608" s="334"/>
      <c r="J608" s="301"/>
      <c r="K608" s="301"/>
      <c r="L608" s="301"/>
      <c r="M608" s="301"/>
      <c r="N608" s="301"/>
      <c r="O608" s="301"/>
      <c r="P608" s="301"/>
      <c r="Q608" s="301"/>
      <c r="R608" s="301"/>
      <c r="S608" s="301"/>
      <c r="T608" s="366"/>
      <c r="U608" s="301"/>
      <c r="V608" s="301"/>
      <c r="W608" s="301"/>
      <c r="X608" s="301"/>
      <c r="Y608" s="301"/>
      <c r="Z608" s="301"/>
    </row>
    <row r="609">
      <c r="A609" s="301"/>
      <c r="B609" s="365"/>
      <c r="C609" s="301"/>
      <c r="D609" s="301"/>
      <c r="E609" s="301"/>
      <c r="F609" s="301"/>
      <c r="G609" s="301"/>
      <c r="H609" s="334"/>
      <c r="I609" s="334"/>
      <c r="J609" s="301"/>
      <c r="K609" s="301"/>
      <c r="L609" s="301"/>
      <c r="M609" s="301"/>
      <c r="N609" s="301"/>
      <c r="O609" s="301"/>
      <c r="P609" s="301"/>
      <c r="Q609" s="301"/>
      <c r="R609" s="301"/>
      <c r="S609" s="301"/>
      <c r="T609" s="366"/>
      <c r="U609" s="301"/>
      <c r="V609" s="301"/>
      <c r="W609" s="301"/>
      <c r="X609" s="301"/>
      <c r="Y609" s="301"/>
      <c r="Z609" s="301"/>
    </row>
    <row r="610">
      <c r="A610" s="301"/>
      <c r="B610" s="365"/>
      <c r="C610" s="301"/>
      <c r="D610" s="301"/>
      <c r="E610" s="301"/>
      <c r="F610" s="301"/>
      <c r="G610" s="301"/>
      <c r="H610" s="334"/>
      <c r="I610" s="334"/>
      <c r="J610" s="301"/>
      <c r="K610" s="301"/>
      <c r="L610" s="301"/>
      <c r="M610" s="301"/>
      <c r="N610" s="301"/>
      <c r="O610" s="301"/>
      <c r="P610" s="301"/>
      <c r="Q610" s="301"/>
      <c r="R610" s="301"/>
      <c r="S610" s="301"/>
      <c r="T610" s="366"/>
      <c r="U610" s="301"/>
      <c r="V610" s="301"/>
      <c r="W610" s="301"/>
      <c r="X610" s="301"/>
      <c r="Y610" s="301"/>
      <c r="Z610" s="301"/>
    </row>
    <row r="611">
      <c r="A611" s="301"/>
      <c r="B611" s="365"/>
      <c r="C611" s="301"/>
      <c r="D611" s="301"/>
      <c r="E611" s="301"/>
      <c r="F611" s="301"/>
      <c r="G611" s="301"/>
      <c r="H611" s="334"/>
      <c r="I611" s="334"/>
      <c r="J611" s="301"/>
      <c r="K611" s="301"/>
      <c r="L611" s="301"/>
      <c r="M611" s="301"/>
      <c r="N611" s="301"/>
      <c r="O611" s="301"/>
      <c r="P611" s="301"/>
      <c r="Q611" s="301"/>
      <c r="R611" s="301"/>
      <c r="S611" s="301"/>
      <c r="T611" s="366"/>
      <c r="U611" s="301"/>
      <c r="V611" s="301"/>
      <c r="W611" s="301"/>
      <c r="X611" s="301"/>
      <c r="Y611" s="301"/>
      <c r="Z611" s="301"/>
    </row>
    <row r="612">
      <c r="A612" s="301"/>
      <c r="B612" s="365"/>
      <c r="C612" s="301"/>
      <c r="D612" s="301"/>
      <c r="E612" s="301"/>
      <c r="F612" s="301"/>
      <c r="G612" s="301"/>
      <c r="H612" s="334"/>
      <c r="I612" s="334"/>
      <c r="J612" s="301"/>
      <c r="K612" s="301"/>
      <c r="L612" s="301"/>
      <c r="M612" s="301"/>
      <c r="N612" s="301"/>
      <c r="O612" s="301"/>
      <c r="P612" s="301"/>
      <c r="Q612" s="301"/>
      <c r="R612" s="301"/>
      <c r="S612" s="301"/>
      <c r="T612" s="366"/>
      <c r="U612" s="301"/>
      <c r="V612" s="301"/>
      <c r="W612" s="301"/>
      <c r="X612" s="301"/>
      <c r="Y612" s="301"/>
      <c r="Z612" s="301"/>
    </row>
    <row r="613">
      <c r="A613" s="301"/>
      <c r="B613" s="365"/>
      <c r="C613" s="301"/>
      <c r="D613" s="301"/>
      <c r="E613" s="301"/>
      <c r="F613" s="301"/>
      <c r="G613" s="301"/>
      <c r="H613" s="334"/>
      <c r="I613" s="334"/>
      <c r="J613" s="301"/>
      <c r="K613" s="301"/>
      <c r="L613" s="301"/>
      <c r="M613" s="301"/>
      <c r="N613" s="301"/>
      <c r="O613" s="301"/>
      <c r="P613" s="301"/>
      <c r="Q613" s="301"/>
      <c r="R613" s="301"/>
      <c r="S613" s="301"/>
      <c r="T613" s="366"/>
      <c r="U613" s="301"/>
      <c r="V613" s="301"/>
      <c r="W613" s="301"/>
      <c r="X613" s="301"/>
      <c r="Y613" s="301"/>
      <c r="Z613" s="301"/>
    </row>
    <row r="614">
      <c r="A614" s="301"/>
      <c r="B614" s="365"/>
      <c r="C614" s="301"/>
      <c r="D614" s="301"/>
      <c r="E614" s="301"/>
      <c r="F614" s="301"/>
      <c r="G614" s="301"/>
      <c r="H614" s="334"/>
      <c r="I614" s="334"/>
      <c r="J614" s="301"/>
      <c r="K614" s="301"/>
      <c r="L614" s="301"/>
      <c r="M614" s="301"/>
      <c r="N614" s="301"/>
      <c r="O614" s="301"/>
      <c r="P614" s="301"/>
      <c r="Q614" s="301"/>
      <c r="R614" s="301"/>
      <c r="S614" s="301"/>
      <c r="T614" s="366"/>
      <c r="U614" s="301"/>
      <c r="V614" s="301"/>
      <c r="W614" s="301"/>
      <c r="X614" s="301"/>
      <c r="Y614" s="301"/>
      <c r="Z614" s="301"/>
    </row>
    <row r="615">
      <c r="A615" s="301"/>
      <c r="B615" s="365"/>
      <c r="C615" s="301"/>
      <c r="D615" s="301"/>
      <c r="E615" s="301"/>
      <c r="F615" s="301"/>
      <c r="G615" s="301"/>
      <c r="H615" s="334"/>
      <c r="I615" s="334"/>
      <c r="J615" s="301"/>
      <c r="K615" s="301"/>
      <c r="L615" s="301"/>
      <c r="M615" s="301"/>
      <c r="N615" s="301"/>
      <c r="O615" s="301"/>
      <c r="P615" s="301"/>
      <c r="Q615" s="301"/>
      <c r="R615" s="301"/>
      <c r="S615" s="301"/>
      <c r="T615" s="366"/>
      <c r="U615" s="301"/>
      <c r="V615" s="301"/>
      <c r="W615" s="301"/>
      <c r="X615" s="301"/>
      <c r="Y615" s="301"/>
      <c r="Z615" s="301"/>
    </row>
    <row r="616">
      <c r="A616" s="301"/>
      <c r="B616" s="365"/>
      <c r="C616" s="301"/>
      <c r="D616" s="301"/>
      <c r="E616" s="301"/>
      <c r="F616" s="301"/>
      <c r="G616" s="301"/>
      <c r="H616" s="334"/>
      <c r="I616" s="334"/>
      <c r="J616" s="301"/>
      <c r="K616" s="301"/>
      <c r="L616" s="301"/>
      <c r="M616" s="301"/>
      <c r="N616" s="301"/>
      <c r="O616" s="301"/>
      <c r="P616" s="301"/>
      <c r="Q616" s="301"/>
      <c r="R616" s="301"/>
      <c r="S616" s="301"/>
      <c r="T616" s="366"/>
      <c r="U616" s="301"/>
      <c r="V616" s="301"/>
      <c r="W616" s="301"/>
      <c r="X616" s="301"/>
      <c r="Y616" s="301"/>
      <c r="Z616" s="301"/>
    </row>
    <row r="617">
      <c r="A617" s="301"/>
      <c r="B617" s="365"/>
      <c r="C617" s="301"/>
      <c r="D617" s="301"/>
      <c r="E617" s="301"/>
      <c r="F617" s="301"/>
      <c r="G617" s="301"/>
      <c r="H617" s="334"/>
      <c r="I617" s="334"/>
      <c r="J617" s="301"/>
      <c r="K617" s="301"/>
      <c r="L617" s="301"/>
      <c r="M617" s="301"/>
      <c r="N617" s="301"/>
      <c r="O617" s="301"/>
      <c r="P617" s="301"/>
      <c r="Q617" s="301"/>
      <c r="R617" s="301"/>
      <c r="S617" s="301"/>
      <c r="T617" s="366"/>
      <c r="U617" s="301"/>
      <c r="V617" s="301"/>
      <c r="W617" s="301"/>
      <c r="X617" s="301"/>
      <c r="Y617" s="301"/>
      <c r="Z617" s="301"/>
    </row>
    <row r="618">
      <c r="A618" s="301"/>
      <c r="B618" s="365"/>
      <c r="C618" s="301"/>
      <c r="D618" s="301"/>
      <c r="E618" s="301"/>
      <c r="F618" s="301"/>
      <c r="G618" s="301"/>
      <c r="H618" s="334"/>
      <c r="I618" s="334"/>
      <c r="J618" s="301"/>
      <c r="K618" s="301"/>
      <c r="L618" s="301"/>
      <c r="M618" s="301"/>
      <c r="N618" s="301"/>
      <c r="O618" s="301"/>
      <c r="P618" s="301"/>
      <c r="Q618" s="301"/>
      <c r="R618" s="301"/>
      <c r="S618" s="301"/>
      <c r="T618" s="366"/>
      <c r="U618" s="301"/>
      <c r="V618" s="301"/>
      <c r="W618" s="301"/>
      <c r="X618" s="301"/>
      <c r="Y618" s="301"/>
      <c r="Z618" s="301"/>
    </row>
    <row r="619">
      <c r="A619" s="301"/>
      <c r="B619" s="365"/>
      <c r="C619" s="301"/>
      <c r="D619" s="301"/>
      <c r="E619" s="301"/>
      <c r="F619" s="301"/>
      <c r="G619" s="301"/>
      <c r="H619" s="334"/>
      <c r="I619" s="334"/>
      <c r="J619" s="301"/>
      <c r="K619" s="301"/>
      <c r="L619" s="301"/>
      <c r="M619" s="301"/>
      <c r="N619" s="301"/>
      <c r="O619" s="301"/>
      <c r="P619" s="301"/>
      <c r="Q619" s="301"/>
      <c r="R619" s="301"/>
      <c r="S619" s="301"/>
      <c r="T619" s="366"/>
      <c r="U619" s="301"/>
      <c r="V619" s="301"/>
      <c r="W619" s="301"/>
      <c r="X619" s="301"/>
      <c r="Y619" s="301"/>
      <c r="Z619" s="301"/>
    </row>
    <row r="620">
      <c r="A620" s="301"/>
      <c r="B620" s="365"/>
      <c r="C620" s="301"/>
      <c r="D620" s="301"/>
      <c r="E620" s="301"/>
      <c r="F620" s="301"/>
      <c r="G620" s="301"/>
      <c r="H620" s="334"/>
      <c r="I620" s="334"/>
      <c r="J620" s="301"/>
      <c r="K620" s="301"/>
      <c r="L620" s="301"/>
      <c r="M620" s="301"/>
      <c r="N620" s="301"/>
      <c r="O620" s="301"/>
      <c r="P620" s="301"/>
      <c r="Q620" s="301"/>
      <c r="R620" s="301"/>
      <c r="S620" s="301"/>
      <c r="T620" s="366"/>
      <c r="U620" s="301"/>
      <c r="V620" s="301"/>
      <c r="W620" s="301"/>
      <c r="X620" s="301"/>
      <c r="Y620" s="301"/>
      <c r="Z620" s="301"/>
    </row>
    <row r="621">
      <c r="A621" s="301"/>
      <c r="B621" s="365"/>
      <c r="C621" s="301"/>
      <c r="D621" s="301"/>
      <c r="E621" s="301"/>
      <c r="F621" s="301"/>
      <c r="G621" s="301"/>
      <c r="H621" s="334"/>
      <c r="I621" s="334"/>
      <c r="J621" s="301"/>
      <c r="K621" s="301"/>
      <c r="L621" s="301"/>
      <c r="M621" s="301"/>
      <c r="N621" s="301"/>
      <c r="O621" s="301"/>
      <c r="P621" s="301"/>
      <c r="Q621" s="301"/>
      <c r="R621" s="301"/>
      <c r="S621" s="301"/>
      <c r="T621" s="366"/>
      <c r="U621" s="301"/>
      <c r="V621" s="301"/>
      <c r="W621" s="301"/>
      <c r="X621" s="301"/>
      <c r="Y621" s="301"/>
      <c r="Z621" s="301"/>
    </row>
    <row r="622">
      <c r="A622" s="301"/>
      <c r="B622" s="365"/>
      <c r="C622" s="301"/>
      <c r="D622" s="301"/>
      <c r="E622" s="301"/>
      <c r="F622" s="301"/>
      <c r="G622" s="301"/>
      <c r="H622" s="334"/>
      <c r="I622" s="334"/>
      <c r="J622" s="301"/>
      <c r="K622" s="301"/>
      <c r="L622" s="301"/>
      <c r="M622" s="301"/>
      <c r="N622" s="301"/>
      <c r="O622" s="301"/>
      <c r="P622" s="301"/>
      <c r="Q622" s="301"/>
      <c r="R622" s="301"/>
      <c r="S622" s="301"/>
      <c r="T622" s="366"/>
      <c r="U622" s="301"/>
      <c r="V622" s="301"/>
      <c r="W622" s="301"/>
      <c r="X622" s="301"/>
      <c r="Y622" s="301"/>
      <c r="Z622" s="301"/>
    </row>
    <row r="623">
      <c r="A623" s="301"/>
      <c r="B623" s="365"/>
      <c r="C623" s="301"/>
      <c r="D623" s="301"/>
      <c r="E623" s="301"/>
      <c r="F623" s="301"/>
      <c r="G623" s="301"/>
      <c r="H623" s="334"/>
      <c r="I623" s="334"/>
      <c r="J623" s="301"/>
      <c r="K623" s="301"/>
      <c r="L623" s="301"/>
      <c r="M623" s="301"/>
      <c r="N623" s="301"/>
      <c r="O623" s="301"/>
      <c r="P623" s="301"/>
      <c r="Q623" s="301"/>
      <c r="R623" s="301"/>
      <c r="S623" s="301"/>
      <c r="T623" s="366"/>
      <c r="U623" s="301"/>
      <c r="V623" s="301"/>
      <c r="W623" s="301"/>
      <c r="X623" s="301"/>
      <c r="Y623" s="301"/>
      <c r="Z623" s="301"/>
    </row>
    <row r="624">
      <c r="A624" s="301"/>
      <c r="B624" s="365"/>
      <c r="C624" s="301"/>
      <c r="D624" s="301"/>
      <c r="E624" s="301"/>
      <c r="F624" s="301"/>
      <c r="G624" s="301"/>
      <c r="H624" s="334"/>
      <c r="I624" s="334"/>
      <c r="J624" s="301"/>
      <c r="K624" s="301"/>
      <c r="L624" s="301"/>
      <c r="M624" s="301"/>
      <c r="N624" s="301"/>
      <c r="O624" s="301"/>
      <c r="P624" s="301"/>
      <c r="Q624" s="301"/>
      <c r="R624" s="301"/>
      <c r="S624" s="301"/>
      <c r="T624" s="366"/>
      <c r="U624" s="301"/>
      <c r="V624" s="301"/>
      <c r="W624" s="301"/>
      <c r="X624" s="301"/>
      <c r="Y624" s="301"/>
      <c r="Z624" s="301"/>
    </row>
    <row r="625">
      <c r="A625" s="301"/>
      <c r="B625" s="365"/>
      <c r="C625" s="301"/>
      <c r="D625" s="301"/>
      <c r="E625" s="301"/>
      <c r="F625" s="301"/>
      <c r="G625" s="301"/>
      <c r="H625" s="334"/>
      <c r="I625" s="334"/>
      <c r="J625" s="301"/>
      <c r="K625" s="301"/>
      <c r="L625" s="301"/>
      <c r="M625" s="301"/>
      <c r="N625" s="301"/>
      <c r="O625" s="301"/>
      <c r="P625" s="301"/>
      <c r="Q625" s="301"/>
      <c r="R625" s="301"/>
      <c r="S625" s="301"/>
      <c r="T625" s="366"/>
      <c r="U625" s="301"/>
      <c r="V625" s="301"/>
      <c r="W625" s="301"/>
      <c r="X625" s="301"/>
      <c r="Y625" s="301"/>
      <c r="Z625" s="301"/>
    </row>
    <row r="626">
      <c r="A626" s="301"/>
      <c r="B626" s="365"/>
      <c r="C626" s="301"/>
      <c r="D626" s="301"/>
      <c r="E626" s="301"/>
      <c r="F626" s="301"/>
      <c r="G626" s="301"/>
      <c r="H626" s="334"/>
      <c r="I626" s="334"/>
      <c r="J626" s="301"/>
      <c r="K626" s="301"/>
      <c r="L626" s="301"/>
      <c r="M626" s="301"/>
      <c r="N626" s="301"/>
      <c r="O626" s="301"/>
      <c r="P626" s="301"/>
      <c r="Q626" s="301"/>
      <c r="R626" s="301"/>
      <c r="S626" s="301"/>
      <c r="T626" s="366"/>
      <c r="U626" s="301"/>
      <c r="V626" s="301"/>
      <c r="W626" s="301"/>
      <c r="X626" s="301"/>
      <c r="Y626" s="301"/>
      <c r="Z626" s="301"/>
    </row>
    <row r="627">
      <c r="A627" s="301"/>
      <c r="B627" s="365"/>
      <c r="C627" s="301"/>
      <c r="D627" s="301"/>
      <c r="E627" s="301"/>
      <c r="F627" s="301"/>
      <c r="G627" s="301"/>
      <c r="H627" s="334"/>
      <c r="I627" s="334"/>
      <c r="J627" s="301"/>
      <c r="K627" s="301"/>
      <c r="L627" s="301"/>
      <c r="M627" s="301"/>
      <c r="N627" s="301"/>
      <c r="O627" s="301"/>
      <c r="P627" s="301"/>
      <c r="Q627" s="301"/>
      <c r="R627" s="301"/>
      <c r="S627" s="301"/>
      <c r="T627" s="366"/>
      <c r="U627" s="301"/>
      <c r="V627" s="301"/>
      <c r="W627" s="301"/>
      <c r="X627" s="301"/>
      <c r="Y627" s="301"/>
      <c r="Z627" s="301"/>
    </row>
    <row r="628">
      <c r="A628" s="301"/>
      <c r="B628" s="365"/>
      <c r="C628" s="301"/>
      <c r="D628" s="301"/>
      <c r="E628" s="301"/>
      <c r="F628" s="301"/>
      <c r="G628" s="301"/>
      <c r="H628" s="334"/>
      <c r="I628" s="334"/>
      <c r="J628" s="301"/>
      <c r="K628" s="301"/>
      <c r="L628" s="301"/>
      <c r="M628" s="301"/>
      <c r="N628" s="301"/>
      <c r="O628" s="301"/>
      <c r="P628" s="301"/>
      <c r="Q628" s="301"/>
      <c r="R628" s="301"/>
      <c r="S628" s="301"/>
      <c r="T628" s="366"/>
      <c r="U628" s="301"/>
      <c r="V628" s="301"/>
      <c r="W628" s="301"/>
      <c r="X628" s="301"/>
      <c r="Y628" s="301"/>
      <c r="Z628" s="301"/>
    </row>
    <row r="629">
      <c r="A629" s="301"/>
      <c r="B629" s="365"/>
      <c r="C629" s="301"/>
      <c r="D629" s="301"/>
      <c r="E629" s="301"/>
      <c r="F629" s="301"/>
      <c r="G629" s="301"/>
      <c r="H629" s="334"/>
      <c r="I629" s="334"/>
      <c r="J629" s="301"/>
      <c r="K629" s="301"/>
      <c r="L629" s="301"/>
      <c r="M629" s="301"/>
      <c r="N629" s="301"/>
      <c r="O629" s="301"/>
      <c r="P629" s="301"/>
      <c r="Q629" s="301"/>
      <c r="R629" s="301"/>
      <c r="S629" s="301"/>
      <c r="T629" s="366"/>
      <c r="U629" s="301"/>
      <c r="V629" s="301"/>
      <c r="W629" s="301"/>
      <c r="X629" s="301"/>
      <c r="Y629" s="301"/>
      <c r="Z629" s="301"/>
    </row>
    <row r="630">
      <c r="A630" s="301"/>
      <c r="B630" s="365"/>
      <c r="C630" s="301"/>
      <c r="D630" s="301"/>
      <c r="E630" s="301"/>
      <c r="F630" s="301"/>
      <c r="G630" s="301"/>
      <c r="H630" s="334"/>
      <c r="I630" s="334"/>
      <c r="J630" s="301"/>
      <c r="K630" s="301"/>
      <c r="L630" s="301"/>
      <c r="M630" s="301"/>
      <c r="N630" s="301"/>
      <c r="O630" s="301"/>
      <c r="P630" s="301"/>
      <c r="Q630" s="301"/>
      <c r="R630" s="301"/>
      <c r="S630" s="301"/>
      <c r="T630" s="366"/>
      <c r="U630" s="301"/>
      <c r="V630" s="301"/>
      <c r="W630" s="301"/>
      <c r="X630" s="301"/>
      <c r="Y630" s="301"/>
      <c r="Z630" s="301"/>
    </row>
    <row r="631">
      <c r="A631" s="301"/>
      <c r="B631" s="365"/>
      <c r="C631" s="301"/>
      <c r="D631" s="301"/>
      <c r="E631" s="301"/>
      <c r="F631" s="301"/>
      <c r="G631" s="301"/>
      <c r="H631" s="334"/>
      <c r="I631" s="334"/>
      <c r="J631" s="301"/>
      <c r="K631" s="301"/>
      <c r="L631" s="301"/>
      <c r="M631" s="301"/>
      <c r="N631" s="301"/>
      <c r="O631" s="301"/>
      <c r="P631" s="301"/>
      <c r="Q631" s="301"/>
      <c r="R631" s="301"/>
      <c r="S631" s="301"/>
      <c r="T631" s="366"/>
      <c r="U631" s="301"/>
      <c r="V631" s="301"/>
      <c r="W631" s="301"/>
      <c r="X631" s="301"/>
      <c r="Y631" s="301"/>
      <c r="Z631" s="301"/>
    </row>
    <row r="632">
      <c r="A632" s="301"/>
      <c r="B632" s="365"/>
      <c r="C632" s="301"/>
      <c r="D632" s="301"/>
      <c r="E632" s="301"/>
      <c r="F632" s="301"/>
      <c r="G632" s="301"/>
      <c r="H632" s="334"/>
      <c r="I632" s="334"/>
      <c r="J632" s="301"/>
      <c r="K632" s="301"/>
      <c r="L632" s="301"/>
      <c r="M632" s="301"/>
      <c r="N632" s="301"/>
      <c r="O632" s="301"/>
      <c r="P632" s="301"/>
      <c r="Q632" s="301"/>
      <c r="R632" s="301"/>
      <c r="S632" s="301"/>
      <c r="T632" s="366"/>
      <c r="U632" s="301"/>
      <c r="V632" s="301"/>
      <c r="W632" s="301"/>
      <c r="X632" s="301"/>
      <c r="Y632" s="301"/>
      <c r="Z632" s="301"/>
    </row>
    <row r="633">
      <c r="A633" s="301"/>
      <c r="B633" s="365"/>
      <c r="C633" s="301"/>
      <c r="D633" s="301"/>
      <c r="E633" s="301"/>
      <c r="F633" s="301"/>
      <c r="G633" s="301"/>
      <c r="H633" s="334"/>
      <c r="I633" s="334"/>
      <c r="J633" s="301"/>
      <c r="K633" s="301"/>
      <c r="L633" s="301"/>
      <c r="M633" s="301"/>
      <c r="N633" s="301"/>
      <c r="O633" s="301"/>
      <c r="P633" s="301"/>
      <c r="Q633" s="301"/>
      <c r="R633" s="301"/>
      <c r="S633" s="301"/>
      <c r="T633" s="366"/>
      <c r="U633" s="301"/>
      <c r="V633" s="301"/>
      <c r="W633" s="301"/>
      <c r="X633" s="301"/>
      <c r="Y633" s="301"/>
      <c r="Z633" s="301"/>
    </row>
    <row r="634">
      <c r="A634" s="301"/>
      <c r="B634" s="365"/>
      <c r="C634" s="301"/>
      <c r="D634" s="301"/>
      <c r="E634" s="301"/>
      <c r="F634" s="301"/>
      <c r="G634" s="301"/>
      <c r="H634" s="334"/>
      <c r="I634" s="334"/>
      <c r="J634" s="301"/>
      <c r="K634" s="301"/>
      <c r="L634" s="301"/>
      <c r="M634" s="301"/>
      <c r="N634" s="301"/>
      <c r="O634" s="301"/>
      <c r="P634" s="301"/>
      <c r="Q634" s="301"/>
      <c r="R634" s="301"/>
      <c r="S634" s="301"/>
      <c r="T634" s="366"/>
      <c r="U634" s="301"/>
      <c r="V634" s="301"/>
      <c r="W634" s="301"/>
      <c r="X634" s="301"/>
      <c r="Y634" s="301"/>
      <c r="Z634" s="301"/>
    </row>
    <row r="635">
      <c r="A635" s="301"/>
      <c r="B635" s="365"/>
      <c r="C635" s="301"/>
      <c r="D635" s="301"/>
      <c r="E635" s="301"/>
      <c r="F635" s="301"/>
      <c r="G635" s="301"/>
      <c r="H635" s="334"/>
      <c r="I635" s="334"/>
      <c r="J635" s="301"/>
      <c r="K635" s="301"/>
      <c r="L635" s="301"/>
      <c r="M635" s="301"/>
      <c r="N635" s="301"/>
      <c r="O635" s="301"/>
      <c r="P635" s="301"/>
      <c r="Q635" s="301"/>
      <c r="R635" s="301"/>
      <c r="S635" s="301"/>
      <c r="T635" s="366"/>
      <c r="U635" s="301"/>
      <c r="V635" s="301"/>
      <c r="W635" s="301"/>
      <c r="X635" s="301"/>
      <c r="Y635" s="301"/>
      <c r="Z635" s="301"/>
    </row>
    <row r="636">
      <c r="A636" s="301"/>
      <c r="B636" s="365"/>
      <c r="C636" s="301"/>
      <c r="D636" s="301"/>
      <c r="E636" s="301"/>
      <c r="F636" s="301"/>
      <c r="G636" s="301"/>
      <c r="H636" s="334"/>
      <c r="I636" s="334"/>
      <c r="J636" s="301"/>
      <c r="K636" s="301"/>
      <c r="L636" s="301"/>
      <c r="M636" s="301"/>
      <c r="N636" s="301"/>
      <c r="O636" s="301"/>
      <c r="P636" s="301"/>
      <c r="Q636" s="301"/>
      <c r="R636" s="301"/>
      <c r="S636" s="301"/>
      <c r="T636" s="366"/>
      <c r="U636" s="301"/>
      <c r="V636" s="301"/>
      <c r="W636" s="301"/>
      <c r="X636" s="301"/>
      <c r="Y636" s="301"/>
      <c r="Z636" s="301"/>
    </row>
    <row r="637">
      <c r="A637" s="301"/>
      <c r="B637" s="365"/>
      <c r="C637" s="301"/>
      <c r="D637" s="301"/>
      <c r="E637" s="301"/>
      <c r="F637" s="301"/>
      <c r="G637" s="301"/>
      <c r="H637" s="334"/>
      <c r="I637" s="334"/>
      <c r="J637" s="301"/>
      <c r="K637" s="301"/>
      <c r="L637" s="301"/>
      <c r="M637" s="301"/>
      <c r="N637" s="301"/>
      <c r="O637" s="301"/>
      <c r="P637" s="301"/>
      <c r="Q637" s="301"/>
      <c r="R637" s="301"/>
      <c r="S637" s="301"/>
      <c r="T637" s="366"/>
      <c r="U637" s="301"/>
      <c r="V637" s="301"/>
      <c r="W637" s="301"/>
      <c r="X637" s="301"/>
      <c r="Y637" s="301"/>
      <c r="Z637" s="301"/>
    </row>
    <row r="638">
      <c r="A638" s="301"/>
      <c r="B638" s="365"/>
      <c r="C638" s="301"/>
      <c r="D638" s="301"/>
      <c r="E638" s="301"/>
      <c r="F638" s="301"/>
      <c r="G638" s="301"/>
      <c r="H638" s="334"/>
      <c r="I638" s="334"/>
      <c r="J638" s="301"/>
      <c r="K638" s="301"/>
      <c r="L638" s="301"/>
      <c r="M638" s="301"/>
      <c r="N638" s="301"/>
      <c r="O638" s="301"/>
      <c r="P638" s="301"/>
      <c r="Q638" s="301"/>
      <c r="R638" s="301"/>
      <c r="S638" s="301"/>
      <c r="T638" s="366"/>
      <c r="U638" s="301"/>
      <c r="V638" s="301"/>
      <c r="W638" s="301"/>
      <c r="X638" s="301"/>
      <c r="Y638" s="301"/>
      <c r="Z638" s="301"/>
    </row>
    <row r="639">
      <c r="A639" s="301"/>
      <c r="B639" s="365"/>
      <c r="C639" s="301"/>
      <c r="D639" s="301"/>
      <c r="E639" s="301"/>
      <c r="F639" s="301"/>
      <c r="G639" s="301"/>
      <c r="H639" s="334"/>
      <c r="I639" s="334"/>
      <c r="J639" s="301"/>
      <c r="K639" s="301"/>
      <c r="L639" s="301"/>
      <c r="M639" s="301"/>
      <c r="N639" s="301"/>
      <c r="O639" s="301"/>
      <c r="P639" s="301"/>
      <c r="Q639" s="301"/>
      <c r="R639" s="301"/>
      <c r="S639" s="301"/>
      <c r="T639" s="366"/>
      <c r="U639" s="301"/>
      <c r="V639" s="301"/>
      <c r="W639" s="301"/>
      <c r="X639" s="301"/>
      <c r="Y639" s="301"/>
      <c r="Z639" s="301"/>
    </row>
    <row r="640">
      <c r="A640" s="301"/>
      <c r="B640" s="365"/>
      <c r="C640" s="301"/>
      <c r="D640" s="301"/>
      <c r="E640" s="301"/>
      <c r="F640" s="301"/>
      <c r="G640" s="301"/>
      <c r="H640" s="334"/>
      <c r="I640" s="334"/>
      <c r="J640" s="301"/>
      <c r="K640" s="301"/>
      <c r="L640" s="301"/>
      <c r="M640" s="301"/>
      <c r="N640" s="301"/>
      <c r="O640" s="301"/>
      <c r="P640" s="301"/>
      <c r="Q640" s="301"/>
      <c r="R640" s="301"/>
      <c r="S640" s="301"/>
      <c r="T640" s="366"/>
      <c r="U640" s="301"/>
      <c r="V640" s="301"/>
      <c r="W640" s="301"/>
      <c r="X640" s="301"/>
      <c r="Y640" s="301"/>
      <c r="Z640" s="301"/>
    </row>
    <row r="641">
      <c r="A641" s="301"/>
      <c r="B641" s="365"/>
      <c r="C641" s="301"/>
      <c r="D641" s="301"/>
      <c r="E641" s="301"/>
      <c r="F641" s="301"/>
      <c r="G641" s="301"/>
      <c r="H641" s="334"/>
      <c r="I641" s="334"/>
      <c r="J641" s="301"/>
      <c r="K641" s="301"/>
      <c r="L641" s="301"/>
      <c r="M641" s="301"/>
      <c r="N641" s="301"/>
      <c r="O641" s="301"/>
      <c r="P641" s="301"/>
      <c r="Q641" s="301"/>
      <c r="R641" s="301"/>
      <c r="S641" s="301"/>
      <c r="T641" s="366"/>
      <c r="U641" s="301"/>
      <c r="V641" s="301"/>
      <c r="W641" s="301"/>
      <c r="X641" s="301"/>
      <c r="Y641" s="301"/>
      <c r="Z641" s="301"/>
    </row>
    <row r="642">
      <c r="A642" s="301"/>
      <c r="B642" s="365"/>
      <c r="C642" s="301"/>
      <c r="D642" s="301"/>
      <c r="E642" s="301"/>
      <c r="F642" s="301"/>
      <c r="G642" s="301"/>
      <c r="H642" s="334"/>
      <c r="I642" s="334"/>
      <c r="J642" s="301"/>
      <c r="K642" s="301"/>
      <c r="L642" s="301"/>
      <c r="M642" s="301"/>
      <c r="N642" s="301"/>
      <c r="O642" s="301"/>
      <c r="P642" s="301"/>
      <c r="Q642" s="301"/>
      <c r="R642" s="301"/>
      <c r="S642" s="301"/>
      <c r="T642" s="366"/>
      <c r="U642" s="301"/>
      <c r="V642" s="301"/>
      <c r="W642" s="301"/>
      <c r="X642" s="301"/>
      <c r="Y642" s="301"/>
      <c r="Z642" s="301"/>
    </row>
    <row r="643">
      <c r="A643" s="301"/>
      <c r="B643" s="365"/>
      <c r="C643" s="301"/>
      <c r="D643" s="301"/>
      <c r="E643" s="301"/>
      <c r="F643" s="301"/>
      <c r="G643" s="301"/>
      <c r="H643" s="334"/>
      <c r="I643" s="334"/>
      <c r="J643" s="301"/>
      <c r="K643" s="301"/>
      <c r="L643" s="301"/>
      <c r="M643" s="301"/>
      <c r="N643" s="301"/>
      <c r="O643" s="301"/>
      <c r="P643" s="301"/>
      <c r="Q643" s="301"/>
      <c r="R643" s="301"/>
      <c r="S643" s="301"/>
      <c r="T643" s="366"/>
      <c r="U643" s="301"/>
      <c r="V643" s="301"/>
      <c r="W643" s="301"/>
      <c r="X643" s="301"/>
      <c r="Y643" s="301"/>
      <c r="Z643" s="301"/>
    </row>
    <row r="644">
      <c r="A644" s="301"/>
      <c r="B644" s="365"/>
      <c r="C644" s="301"/>
      <c r="D644" s="301"/>
      <c r="E644" s="301"/>
      <c r="F644" s="301"/>
      <c r="G644" s="301"/>
      <c r="H644" s="334"/>
      <c r="I644" s="334"/>
      <c r="J644" s="301"/>
      <c r="K644" s="301"/>
      <c r="L644" s="301"/>
      <c r="M644" s="301"/>
      <c r="N644" s="301"/>
      <c r="O644" s="301"/>
      <c r="P644" s="301"/>
      <c r="Q644" s="301"/>
      <c r="R644" s="301"/>
      <c r="S644" s="301"/>
      <c r="T644" s="366"/>
      <c r="U644" s="301"/>
      <c r="V644" s="301"/>
      <c r="W644" s="301"/>
      <c r="X644" s="301"/>
      <c r="Y644" s="301"/>
      <c r="Z644" s="301"/>
    </row>
    <row r="645">
      <c r="A645" s="301"/>
      <c r="B645" s="365"/>
      <c r="C645" s="301"/>
      <c r="D645" s="301"/>
      <c r="E645" s="301"/>
      <c r="F645" s="301"/>
      <c r="G645" s="301"/>
      <c r="H645" s="334"/>
      <c r="I645" s="334"/>
      <c r="J645" s="301"/>
      <c r="K645" s="301"/>
      <c r="L645" s="301"/>
      <c r="M645" s="301"/>
      <c r="N645" s="301"/>
      <c r="O645" s="301"/>
      <c r="P645" s="301"/>
      <c r="Q645" s="301"/>
      <c r="R645" s="301"/>
      <c r="S645" s="301"/>
      <c r="T645" s="366"/>
      <c r="U645" s="301"/>
      <c r="V645" s="301"/>
      <c r="W645" s="301"/>
      <c r="X645" s="301"/>
      <c r="Y645" s="301"/>
      <c r="Z645" s="301"/>
    </row>
    <row r="646">
      <c r="A646" s="301"/>
      <c r="B646" s="365"/>
      <c r="C646" s="301"/>
      <c r="D646" s="301"/>
      <c r="E646" s="301"/>
      <c r="F646" s="301"/>
      <c r="G646" s="301"/>
      <c r="H646" s="334"/>
      <c r="I646" s="334"/>
      <c r="J646" s="301"/>
      <c r="K646" s="301"/>
      <c r="L646" s="301"/>
      <c r="M646" s="301"/>
      <c r="N646" s="301"/>
      <c r="O646" s="301"/>
      <c r="P646" s="301"/>
      <c r="Q646" s="301"/>
      <c r="R646" s="301"/>
      <c r="S646" s="301"/>
      <c r="T646" s="366"/>
      <c r="U646" s="301"/>
      <c r="V646" s="301"/>
      <c r="W646" s="301"/>
      <c r="X646" s="301"/>
      <c r="Y646" s="301"/>
      <c r="Z646" s="301"/>
    </row>
    <row r="647">
      <c r="A647" s="301"/>
      <c r="B647" s="365"/>
      <c r="C647" s="301"/>
      <c r="D647" s="301"/>
      <c r="E647" s="301"/>
      <c r="F647" s="301"/>
      <c r="G647" s="301"/>
      <c r="H647" s="334"/>
      <c r="I647" s="334"/>
      <c r="J647" s="301"/>
      <c r="K647" s="301"/>
      <c r="L647" s="301"/>
      <c r="M647" s="301"/>
      <c r="N647" s="301"/>
      <c r="O647" s="301"/>
      <c r="P647" s="301"/>
      <c r="Q647" s="301"/>
      <c r="R647" s="301"/>
      <c r="S647" s="301"/>
      <c r="T647" s="366"/>
      <c r="U647" s="301"/>
      <c r="V647" s="301"/>
      <c r="W647" s="301"/>
      <c r="X647" s="301"/>
      <c r="Y647" s="301"/>
      <c r="Z647" s="301"/>
    </row>
    <row r="648">
      <c r="A648" s="301"/>
      <c r="B648" s="365"/>
      <c r="C648" s="301"/>
      <c r="D648" s="301"/>
      <c r="E648" s="301"/>
      <c r="F648" s="301"/>
      <c r="G648" s="301"/>
      <c r="H648" s="334"/>
      <c r="I648" s="334"/>
      <c r="J648" s="301"/>
      <c r="K648" s="301"/>
      <c r="L648" s="301"/>
      <c r="M648" s="301"/>
      <c r="N648" s="301"/>
      <c r="O648" s="301"/>
      <c r="P648" s="301"/>
      <c r="Q648" s="301"/>
      <c r="R648" s="301"/>
      <c r="S648" s="301"/>
      <c r="T648" s="366"/>
      <c r="U648" s="301"/>
      <c r="V648" s="301"/>
      <c r="W648" s="301"/>
      <c r="X648" s="301"/>
      <c r="Y648" s="301"/>
      <c r="Z648" s="301"/>
    </row>
    <row r="649">
      <c r="A649" s="301"/>
      <c r="B649" s="365"/>
      <c r="C649" s="301"/>
      <c r="D649" s="301"/>
      <c r="E649" s="301"/>
      <c r="F649" s="301"/>
      <c r="G649" s="301"/>
      <c r="H649" s="334"/>
      <c r="I649" s="334"/>
      <c r="J649" s="301"/>
      <c r="K649" s="301"/>
      <c r="L649" s="301"/>
      <c r="M649" s="301"/>
      <c r="N649" s="301"/>
      <c r="O649" s="301"/>
      <c r="P649" s="301"/>
      <c r="Q649" s="301"/>
      <c r="R649" s="301"/>
      <c r="S649" s="301"/>
      <c r="T649" s="366"/>
      <c r="U649" s="301"/>
      <c r="V649" s="301"/>
      <c r="W649" s="301"/>
      <c r="X649" s="301"/>
      <c r="Y649" s="301"/>
      <c r="Z649" s="301"/>
    </row>
    <row r="650">
      <c r="A650" s="301"/>
      <c r="B650" s="365"/>
      <c r="C650" s="301"/>
      <c r="D650" s="301"/>
      <c r="E650" s="301"/>
      <c r="F650" s="301"/>
      <c r="G650" s="301"/>
      <c r="H650" s="334"/>
      <c r="I650" s="334"/>
      <c r="J650" s="301"/>
      <c r="K650" s="301"/>
      <c r="L650" s="301"/>
      <c r="M650" s="301"/>
      <c r="N650" s="301"/>
      <c r="O650" s="301"/>
      <c r="P650" s="301"/>
      <c r="Q650" s="301"/>
      <c r="R650" s="301"/>
      <c r="S650" s="301"/>
      <c r="T650" s="366"/>
      <c r="U650" s="301"/>
      <c r="V650" s="301"/>
      <c r="W650" s="301"/>
      <c r="X650" s="301"/>
      <c r="Y650" s="301"/>
      <c r="Z650" s="301"/>
    </row>
    <row r="651">
      <c r="A651" s="301"/>
      <c r="B651" s="365"/>
      <c r="C651" s="301"/>
      <c r="D651" s="301"/>
      <c r="E651" s="301"/>
      <c r="F651" s="301"/>
      <c r="G651" s="301"/>
      <c r="H651" s="334"/>
      <c r="I651" s="334"/>
      <c r="J651" s="301"/>
      <c r="K651" s="301"/>
      <c r="L651" s="301"/>
      <c r="M651" s="301"/>
      <c r="N651" s="301"/>
      <c r="O651" s="301"/>
      <c r="P651" s="301"/>
      <c r="Q651" s="301"/>
      <c r="R651" s="301"/>
      <c r="S651" s="301"/>
      <c r="T651" s="366"/>
      <c r="U651" s="301"/>
      <c r="V651" s="301"/>
      <c r="W651" s="301"/>
      <c r="X651" s="301"/>
      <c r="Y651" s="301"/>
      <c r="Z651" s="301"/>
    </row>
    <row r="652">
      <c r="A652" s="301"/>
      <c r="B652" s="365"/>
      <c r="C652" s="301"/>
      <c r="D652" s="301"/>
      <c r="E652" s="301"/>
      <c r="F652" s="301"/>
      <c r="G652" s="301"/>
      <c r="H652" s="334"/>
      <c r="I652" s="334"/>
      <c r="J652" s="301"/>
      <c r="K652" s="301"/>
      <c r="L652" s="301"/>
      <c r="M652" s="301"/>
      <c r="N652" s="301"/>
      <c r="O652" s="301"/>
      <c r="P652" s="301"/>
      <c r="Q652" s="301"/>
      <c r="R652" s="301"/>
      <c r="S652" s="301"/>
      <c r="T652" s="366"/>
      <c r="U652" s="301"/>
      <c r="V652" s="301"/>
      <c r="W652" s="301"/>
      <c r="X652" s="301"/>
      <c r="Y652" s="301"/>
      <c r="Z652" s="301"/>
    </row>
    <row r="653">
      <c r="A653" s="301"/>
      <c r="B653" s="365"/>
      <c r="C653" s="301"/>
      <c r="D653" s="301"/>
      <c r="E653" s="301"/>
      <c r="F653" s="301"/>
      <c r="G653" s="301"/>
      <c r="H653" s="334"/>
      <c r="I653" s="334"/>
      <c r="J653" s="301"/>
      <c r="K653" s="301"/>
      <c r="L653" s="301"/>
      <c r="M653" s="301"/>
      <c r="N653" s="301"/>
      <c r="O653" s="301"/>
      <c r="P653" s="301"/>
      <c r="Q653" s="301"/>
      <c r="R653" s="301"/>
      <c r="S653" s="301"/>
      <c r="T653" s="366"/>
      <c r="U653" s="301"/>
      <c r="V653" s="301"/>
      <c r="W653" s="301"/>
      <c r="X653" s="301"/>
      <c r="Y653" s="301"/>
      <c r="Z653" s="301"/>
    </row>
    <row r="654">
      <c r="A654" s="301"/>
      <c r="B654" s="365"/>
      <c r="C654" s="301"/>
      <c r="D654" s="301"/>
      <c r="E654" s="301"/>
      <c r="F654" s="301"/>
      <c r="G654" s="301"/>
      <c r="H654" s="334"/>
      <c r="I654" s="334"/>
      <c r="J654" s="301"/>
      <c r="K654" s="301"/>
      <c r="L654" s="301"/>
      <c r="M654" s="301"/>
      <c r="N654" s="301"/>
      <c r="O654" s="301"/>
      <c r="P654" s="301"/>
      <c r="Q654" s="301"/>
      <c r="R654" s="301"/>
      <c r="S654" s="301"/>
      <c r="T654" s="366"/>
      <c r="U654" s="301"/>
      <c r="V654" s="301"/>
      <c r="W654" s="301"/>
      <c r="X654" s="301"/>
      <c r="Y654" s="301"/>
      <c r="Z654" s="301"/>
    </row>
    <row r="655">
      <c r="A655" s="301"/>
      <c r="B655" s="365"/>
      <c r="C655" s="301"/>
      <c r="D655" s="301"/>
      <c r="E655" s="301"/>
      <c r="F655" s="301"/>
      <c r="G655" s="301"/>
      <c r="H655" s="334"/>
      <c r="I655" s="334"/>
      <c r="J655" s="301"/>
      <c r="K655" s="301"/>
      <c r="L655" s="301"/>
      <c r="M655" s="301"/>
      <c r="N655" s="301"/>
      <c r="O655" s="301"/>
      <c r="P655" s="301"/>
      <c r="Q655" s="301"/>
      <c r="R655" s="301"/>
      <c r="S655" s="301"/>
      <c r="T655" s="366"/>
      <c r="U655" s="301"/>
      <c r="V655" s="301"/>
      <c r="W655" s="301"/>
      <c r="X655" s="301"/>
      <c r="Y655" s="301"/>
      <c r="Z655" s="301"/>
    </row>
    <row r="656">
      <c r="A656" s="301"/>
      <c r="B656" s="365"/>
      <c r="C656" s="301"/>
      <c r="D656" s="301"/>
      <c r="E656" s="301"/>
      <c r="F656" s="301"/>
      <c r="G656" s="301"/>
      <c r="H656" s="334"/>
      <c r="I656" s="334"/>
      <c r="J656" s="301"/>
      <c r="K656" s="301"/>
      <c r="L656" s="301"/>
      <c r="M656" s="301"/>
      <c r="N656" s="301"/>
      <c r="O656" s="301"/>
      <c r="P656" s="301"/>
      <c r="Q656" s="301"/>
      <c r="R656" s="301"/>
      <c r="S656" s="301"/>
      <c r="T656" s="366"/>
      <c r="U656" s="301"/>
      <c r="V656" s="301"/>
      <c r="W656" s="301"/>
      <c r="X656" s="301"/>
      <c r="Y656" s="301"/>
      <c r="Z656" s="301"/>
    </row>
    <row r="657">
      <c r="A657" s="301"/>
      <c r="B657" s="365"/>
      <c r="C657" s="301"/>
      <c r="D657" s="301"/>
      <c r="E657" s="301"/>
      <c r="F657" s="301"/>
      <c r="G657" s="301"/>
      <c r="H657" s="334"/>
      <c r="I657" s="334"/>
      <c r="J657" s="301"/>
      <c r="K657" s="301"/>
      <c r="L657" s="301"/>
      <c r="M657" s="301"/>
      <c r="N657" s="301"/>
      <c r="O657" s="301"/>
      <c r="P657" s="301"/>
      <c r="Q657" s="301"/>
      <c r="R657" s="301"/>
      <c r="S657" s="301"/>
      <c r="T657" s="366"/>
      <c r="U657" s="301"/>
      <c r="V657" s="301"/>
      <c r="W657" s="301"/>
      <c r="X657" s="301"/>
      <c r="Y657" s="301"/>
      <c r="Z657" s="301"/>
    </row>
    <row r="658">
      <c r="A658" s="301"/>
      <c r="B658" s="365"/>
      <c r="C658" s="301"/>
      <c r="D658" s="301"/>
      <c r="E658" s="301"/>
      <c r="F658" s="301"/>
      <c r="G658" s="301"/>
      <c r="H658" s="334"/>
      <c r="I658" s="334"/>
      <c r="J658" s="301"/>
      <c r="K658" s="301"/>
      <c r="L658" s="301"/>
      <c r="M658" s="301"/>
      <c r="N658" s="301"/>
      <c r="O658" s="301"/>
      <c r="P658" s="301"/>
      <c r="Q658" s="301"/>
      <c r="R658" s="301"/>
      <c r="S658" s="301"/>
      <c r="T658" s="366"/>
      <c r="U658" s="301"/>
      <c r="V658" s="301"/>
      <c r="W658" s="301"/>
      <c r="X658" s="301"/>
      <c r="Y658" s="301"/>
      <c r="Z658" s="301"/>
    </row>
    <row r="659">
      <c r="A659" s="301"/>
      <c r="B659" s="365"/>
      <c r="C659" s="301"/>
      <c r="D659" s="301"/>
      <c r="E659" s="301"/>
      <c r="F659" s="301"/>
      <c r="G659" s="301"/>
      <c r="H659" s="334"/>
      <c r="I659" s="334"/>
      <c r="J659" s="301"/>
      <c r="K659" s="301"/>
      <c r="L659" s="301"/>
      <c r="M659" s="301"/>
      <c r="N659" s="301"/>
      <c r="O659" s="301"/>
      <c r="P659" s="301"/>
      <c r="Q659" s="301"/>
      <c r="R659" s="301"/>
      <c r="S659" s="301"/>
      <c r="T659" s="366"/>
      <c r="U659" s="301"/>
      <c r="V659" s="301"/>
      <c r="W659" s="301"/>
      <c r="X659" s="301"/>
      <c r="Y659" s="301"/>
      <c r="Z659" s="301"/>
    </row>
    <row r="660">
      <c r="A660" s="301"/>
      <c r="B660" s="365"/>
      <c r="C660" s="301"/>
      <c r="D660" s="301"/>
      <c r="E660" s="301"/>
      <c r="F660" s="301"/>
      <c r="G660" s="301"/>
      <c r="H660" s="334"/>
      <c r="I660" s="334"/>
      <c r="J660" s="301"/>
      <c r="K660" s="301"/>
      <c r="L660" s="301"/>
      <c r="M660" s="301"/>
      <c r="N660" s="301"/>
      <c r="O660" s="301"/>
      <c r="P660" s="301"/>
      <c r="Q660" s="301"/>
      <c r="R660" s="301"/>
      <c r="S660" s="301"/>
      <c r="T660" s="366"/>
      <c r="U660" s="301"/>
      <c r="V660" s="301"/>
      <c r="W660" s="301"/>
      <c r="X660" s="301"/>
      <c r="Y660" s="301"/>
      <c r="Z660" s="301"/>
    </row>
    <row r="661">
      <c r="A661" s="301"/>
      <c r="B661" s="365"/>
      <c r="C661" s="301"/>
      <c r="D661" s="301"/>
      <c r="E661" s="301"/>
      <c r="F661" s="301"/>
      <c r="G661" s="301"/>
      <c r="H661" s="334"/>
      <c r="I661" s="334"/>
      <c r="J661" s="301"/>
      <c r="K661" s="301"/>
      <c r="L661" s="301"/>
      <c r="M661" s="301"/>
      <c r="N661" s="301"/>
      <c r="O661" s="301"/>
      <c r="P661" s="301"/>
      <c r="Q661" s="301"/>
      <c r="R661" s="301"/>
      <c r="S661" s="301"/>
      <c r="T661" s="366"/>
      <c r="U661" s="301"/>
      <c r="V661" s="301"/>
      <c r="W661" s="301"/>
      <c r="X661" s="301"/>
      <c r="Y661" s="301"/>
      <c r="Z661" s="301"/>
    </row>
    <row r="662">
      <c r="A662" s="301"/>
      <c r="B662" s="365"/>
      <c r="C662" s="301"/>
      <c r="D662" s="301"/>
      <c r="E662" s="301"/>
      <c r="F662" s="301"/>
      <c r="G662" s="301"/>
      <c r="H662" s="334"/>
      <c r="I662" s="334"/>
      <c r="J662" s="301"/>
      <c r="K662" s="301"/>
      <c r="L662" s="301"/>
      <c r="M662" s="301"/>
      <c r="N662" s="301"/>
      <c r="O662" s="301"/>
      <c r="P662" s="301"/>
      <c r="Q662" s="301"/>
      <c r="R662" s="301"/>
      <c r="S662" s="301"/>
      <c r="T662" s="366"/>
      <c r="U662" s="301"/>
      <c r="V662" s="301"/>
      <c r="W662" s="301"/>
      <c r="X662" s="301"/>
      <c r="Y662" s="301"/>
      <c r="Z662" s="301"/>
    </row>
    <row r="663">
      <c r="A663" s="301"/>
      <c r="B663" s="365"/>
      <c r="C663" s="301"/>
      <c r="D663" s="301"/>
      <c r="E663" s="301"/>
      <c r="F663" s="301"/>
      <c r="G663" s="301"/>
      <c r="H663" s="334"/>
      <c r="I663" s="334"/>
      <c r="J663" s="301"/>
      <c r="K663" s="301"/>
      <c r="L663" s="301"/>
      <c r="M663" s="301"/>
      <c r="N663" s="301"/>
      <c r="O663" s="301"/>
      <c r="P663" s="301"/>
      <c r="Q663" s="301"/>
      <c r="R663" s="301"/>
      <c r="S663" s="301"/>
      <c r="T663" s="366"/>
      <c r="U663" s="301"/>
      <c r="V663" s="301"/>
      <c r="W663" s="301"/>
      <c r="X663" s="301"/>
      <c r="Y663" s="301"/>
      <c r="Z663" s="301"/>
    </row>
    <row r="664">
      <c r="A664" s="301"/>
      <c r="B664" s="365"/>
      <c r="C664" s="301"/>
      <c r="D664" s="301"/>
      <c r="E664" s="301"/>
      <c r="F664" s="301"/>
      <c r="G664" s="301"/>
      <c r="H664" s="334"/>
      <c r="I664" s="334"/>
      <c r="J664" s="301"/>
      <c r="K664" s="301"/>
      <c r="L664" s="301"/>
      <c r="M664" s="301"/>
      <c r="N664" s="301"/>
      <c r="O664" s="301"/>
      <c r="P664" s="301"/>
      <c r="Q664" s="301"/>
      <c r="R664" s="301"/>
      <c r="S664" s="301"/>
      <c r="T664" s="366"/>
      <c r="U664" s="301"/>
      <c r="V664" s="301"/>
      <c r="W664" s="301"/>
      <c r="X664" s="301"/>
      <c r="Y664" s="301"/>
      <c r="Z664" s="301"/>
    </row>
    <row r="665">
      <c r="A665" s="301"/>
      <c r="B665" s="365"/>
      <c r="C665" s="301"/>
      <c r="D665" s="301"/>
      <c r="E665" s="301"/>
      <c r="F665" s="301"/>
      <c r="G665" s="301"/>
      <c r="H665" s="334"/>
      <c r="I665" s="334"/>
      <c r="J665" s="301"/>
      <c r="K665" s="301"/>
      <c r="L665" s="301"/>
      <c r="M665" s="301"/>
      <c r="N665" s="301"/>
      <c r="O665" s="301"/>
      <c r="P665" s="301"/>
      <c r="Q665" s="301"/>
      <c r="R665" s="301"/>
      <c r="S665" s="301"/>
      <c r="T665" s="366"/>
      <c r="U665" s="301"/>
      <c r="V665" s="301"/>
      <c r="W665" s="301"/>
      <c r="X665" s="301"/>
      <c r="Y665" s="301"/>
      <c r="Z665" s="301"/>
    </row>
    <row r="666">
      <c r="A666" s="301"/>
      <c r="B666" s="365"/>
      <c r="C666" s="301"/>
      <c r="D666" s="301"/>
      <c r="E666" s="301"/>
      <c r="F666" s="301"/>
      <c r="G666" s="301"/>
      <c r="H666" s="334"/>
      <c r="I666" s="334"/>
      <c r="J666" s="301"/>
      <c r="K666" s="301"/>
      <c r="L666" s="301"/>
      <c r="M666" s="301"/>
      <c r="N666" s="301"/>
      <c r="O666" s="301"/>
      <c r="P666" s="301"/>
      <c r="Q666" s="301"/>
      <c r="R666" s="301"/>
      <c r="S666" s="301"/>
      <c r="T666" s="366"/>
      <c r="U666" s="301"/>
      <c r="V666" s="301"/>
      <c r="W666" s="301"/>
      <c r="X666" s="301"/>
      <c r="Y666" s="301"/>
      <c r="Z666" s="301"/>
    </row>
    <row r="667">
      <c r="A667" s="301"/>
      <c r="B667" s="365"/>
      <c r="C667" s="301"/>
      <c r="D667" s="301"/>
      <c r="E667" s="301"/>
      <c r="F667" s="301"/>
      <c r="G667" s="301"/>
      <c r="H667" s="334"/>
      <c r="I667" s="334"/>
      <c r="J667" s="301"/>
      <c r="K667" s="301"/>
      <c r="L667" s="301"/>
      <c r="M667" s="301"/>
      <c r="N667" s="301"/>
      <c r="O667" s="301"/>
      <c r="P667" s="301"/>
      <c r="Q667" s="301"/>
      <c r="R667" s="301"/>
      <c r="S667" s="301"/>
      <c r="T667" s="366"/>
      <c r="U667" s="301"/>
      <c r="V667" s="301"/>
      <c r="W667" s="301"/>
      <c r="X667" s="301"/>
      <c r="Y667" s="301"/>
      <c r="Z667" s="301"/>
    </row>
    <row r="668">
      <c r="A668" s="301"/>
      <c r="B668" s="365"/>
      <c r="C668" s="301"/>
      <c r="D668" s="301"/>
      <c r="E668" s="301"/>
      <c r="F668" s="301"/>
      <c r="G668" s="301"/>
      <c r="H668" s="334"/>
      <c r="I668" s="334"/>
      <c r="J668" s="301"/>
      <c r="K668" s="301"/>
      <c r="L668" s="301"/>
      <c r="M668" s="301"/>
      <c r="N668" s="301"/>
      <c r="O668" s="301"/>
      <c r="P668" s="301"/>
      <c r="Q668" s="301"/>
      <c r="R668" s="301"/>
      <c r="S668" s="301"/>
      <c r="T668" s="366"/>
      <c r="U668" s="301"/>
      <c r="V668" s="301"/>
      <c r="W668" s="301"/>
      <c r="X668" s="301"/>
      <c r="Y668" s="301"/>
      <c r="Z668" s="301"/>
    </row>
    <row r="669">
      <c r="A669" s="301"/>
      <c r="B669" s="365"/>
      <c r="C669" s="301"/>
      <c r="D669" s="301"/>
      <c r="E669" s="301"/>
      <c r="F669" s="301"/>
      <c r="G669" s="301"/>
      <c r="H669" s="334"/>
      <c r="I669" s="334"/>
      <c r="J669" s="301"/>
      <c r="K669" s="301"/>
      <c r="L669" s="301"/>
      <c r="M669" s="301"/>
      <c r="N669" s="301"/>
      <c r="O669" s="301"/>
      <c r="P669" s="301"/>
      <c r="Q669" s="301"/>
      <c r="R669" s="301"/>
      <c r="S669" s="301"/>
      <c r="T669" s="366"/>
      <c r="U669" s="301"/>
      <c r="V669" s="301"/>
      <c r="W669" s="301"/>
      <c r="X669" s="301"/>
      <c r="Y669" s="301"/>
      <c r="Z669" s="301"/>
    </row>
    <row r="670">
      <c r="A670" s="301"/>
      <c r="B670" s="365"/>
      <c r="C670" s="301"/>
      <c r="D670" s="301"/>
      <c r="E670" s="301"/>
      <c r="F670" s="301"/>
      <c r="G670" s="301"/>
      <c r="H670" s="334"/>
      <c r="I670" s="334"/>
      <c r="J670" s="301"/>
      <c r="K670" s="301"/>
      <c r="L670" s="301"/>
      <c r="M670" s="301"/>
      <c r="N670" s="301"/>
      <c r="O670" s="301"/>
      <c r="P670" s="301"/>
      <c r="Q670" s="301"/>
      <c r="R670" s="301"/>
      <c r="S670" s="301"/>
      <c r="T670" s="366"/>
      <c r="U670" s="301"/>
      <c r="V670" s="301"/>
      <c r="W670" s="301"/>
      <c r="X670" s="301"/>
      <c r="Y670" s="301"/>
      <c r="Z670" s="301"/>
    </row>
    <row r="671">
      <c r="A671" s="301"/>
      <c r="B671" s="365"/>
      <c r="C671" s="301"/>
      <c r="D671" s="301"/>
      <c r="E671" s="301"/>
      <c r="F671" s="301"/>
      <c r="G671" s="301"/>
      <c r="H671" s="334"/>
      <c r="I671" s="334"/>
      <c r="J671" s="301"/>
      <c r="K671" s="301"/>
      <c r="L671" s="301"/>
      <c r="M671" s="301"/>
      <c r="N671" s="301"/>
      <c r="O671" s="301"/>
      <c r="P671" s="301"/>
      <c r="Q671" s="301"/>
      <c r="R671" s="301"/>
      <c r="S671" s="301"/>
      <c r="T671" s="366"/>
      <c r="U671" s="301"/>
      <c r="V671" s="301"/>
      <c r="W671" s="301"/>
      <c r="X671" s="301"/>
      <c r="Y671" s="301"/>
      <c r="Z671" s="301"/>
    </row>
    <row r="672">
      <c r="A672" s="301"/>
      <c r="B672" s="365"/>
      <c r="C672" s="301"/>
      <c r="D672" s="301"/>
      <c r="E672" s="301"/>
      <c r="F672" s="301"/>
      <c r="G672" s="301"/>
      <c r="H672" s="334"/>
      <c r="I672" s="334"/>
      <c r="J672" s="301"/>
      <c r="K672" s="301"/>
      <c r="L672" s="301"/>
      <c r="M672" s="301"/>
      <c r="N672" s="301"/>
      <c r="O672" s="301"/>
      <c r="P672" s="301"/>
      <c r="Q672" s="301"/>
      <c r="R672" s="301"/>
      <c r="S672" s="301"/>
      <c r="T672" s="366"/>
      <c r="U672" s="301"/>
      <c r="V672" s="301"/>
      <c r="W672" s="301"/>
      <c r="X672" s="301"/>
      <c r="Y672" s="301"/>
      <c r="Z672" s="301"/>
    </row>
    <row r="673">
      <c r="A673" s="301"/>
      <c r="B673" s="365"/>
      <c r="C673" s="301"/>
      <c r="D673" s="301"/>
      <c r="E673" s="301"/>
      <c r="F673" s="301"/>
      <c r="G673" s="301"/>
      <c r="H673" s="334"/>
      <c r="I673" s="334"/>
      <c r="J673" s="301"/>
      <c r="K673" s="301"/>
      <c r="L673" s="301"/>
      <c r="M673" s="301"/>
      <c r="N673" s="301"/>
      <c r="O673" s="301"/>
      <c r="P673" s="301"/>
      <c r="Q673" s="301"/>
      <c r="R673" s="301"/>
      <c r="S673" s="301"/>
      <c r="T673" s="366"/>
      <c r="U673" s="301"/>
      <c r="V673" s="301"/>
      <c r="W673" s="301"/>
      <c r="X673" s="301"/>
      <c r="Y673" s="301"/>
      <c r="Z673" s="301"/>
    </row>
    <row r="674">
      <c r="A674" s="301"/>
      <c r="B674" s="365"/>
      <c r="C674" s="301"/>
      <c r="D674" s="301"/>
      <c r="E674" s="301"/>
      <c r="F674" s="301"/>
      <c r="G674" s="301"/>
      <c r="H674" s="334"/>
      <c r="I674" s="334"/>
      <c r="J674" s="301"/>
      <c r="K674" s="301"/>
      <c r="L674" s="301"/>
      <c r="M674" s="301"/>
      <c r="N674" s="301"/>
      <c r="O674" s="301"/>
      <c r="P674" s="301"/>
      <c r="Q674" s="301"/>
      <c r="R674" s="301"/>
      <c r="S674" s="301"/>
      <c r="T674" s="366"/>
      <c r="U674" s="301"/>
      <c r="V674" s="301"/>
      <c r="W674" s="301"/>
      <c r="X674" s="301"/>
      <c r="Y674" s="301"/>
      <c r="Z674" s="301"/>
    </row>
    <row r="675">
      <c r="A675" s="301"/>
      <c r="B675" s="365"/>
      <c r="C675" s="301"/>
      <c r="D675" s="301"/>
      <c r="E675" s="301"/>
      <c r="F675" s="301"/>
      <c r="G675" s="301"/>
      <c r="H675" s="334"/>
      <c r="I675" s="334"/>
      <c r="J675" s="301"/>
      <c r="K675" s="301"/>
      <c r="L675" s="301"/>
      <c r="M675" s="301"/>
      <c r="N675" s="301"/>
      <c r="O675" s="301"/>
      <c r="P675" s="301"/>
      <c r="Q675" s="301"/>
      <c r="R675" s="301"/>
      <c r="S675" s="301"/>
      <c r="T675" s="366"/>
      <c r="U675" s="301"/>
      <c r="V675" s="301"/>
      <c r="W675" s="301"/>
      <c r="X675" s="301"/>
      <c r="Y675" s="301"/>
      <c r="Z675" s="301"/>
    </row>
    <row r="676">
      <c r="A676" s="301"/>
      <c r="B676" s="365"/>
      <c r="C676" s="301"/>
      <c r="D676" s="301"/>
      <c r="E676" s="301"/>
      <c r="F676" s="301"/>
      <c r="G676" s="301"/>
      <c r="H676" s="334"/>
      <c r="I676" s="334"/>
      <c r="J676" s="301"/>
      <c r="K676" s="301"/>
      <c r="L676" s="301"/>
      <c r="M676" s="301"/>
      <c r="N676" s="301"/>
      <c r="O676" s="301"/>
      <c r="P676" s="301"/>
      <c r="Q676" s="301"/>
      <c r="R676" s="301"/>
      <c r="S676" s="301"/>
      <c r="T676" s="366"/>
      <c r="U676" s="301"/>
      <c r="V676" s="301"/>
      <c r="W676" s="301"/>
      <c r="X676" s="301"/>
      <c r="Y676" s="301"/>
      <c r="Z676" s="301"/>
    </row>
    <row r="677">
      <c r="A677" s="301"/>
      <c r="B677" s="365"/>
      <c r="C677" s="301"/>
      <c r="D677" s="301"/>
      <c r="E677" s="301"/>
      <c r="F677" s="301"/>
      <c r="G677" s="301"/>
      <c r="H677" s="334"/>
      <c r="I677" s="334"/>
      <c r="J677" s="301"/>
      <c r="K677" s="301"/>
      <c r="L677" s="301"/>
      <c r="M677" s="301"/>
      <c r="N677" s="301"/>
      <c r="O677" s="301"/>
      <c r="P677" s="301"/>
      <c r="Q677" s="301"/>
      <c r="R677" s="301"/>
      <c r="S677" s="301"/>
      <c r="T677" s="366"/>
      <c r="U677" s="301"/>
      <c r="V677" s="301"/>
      <c r="W677" s="301"/>
      <c r="X677" s="301"/>
      <c r="Y677" s="301"/>
      <c r="Z677" s="301"/>
    </row>
    <row r="678">
      <c r="A678" s="301"/>
      <c r="B678" s="365"/>
      <c r="C678" s="301"/>
      <c r="D678" s="301"/>
      <c r="E678" s="301"/>
      <c r="F678" s="301"/>
      <c r="G678" s="301"/>
      <c r="H678" s="334"/>
      <c r="I678" s="334"/>
      <c r="J678" s="301"/>
      <c r="K678" s="301"/>
      <c r="L678" s="301"/>
      <c r="M678" s="301"/>
      <c r="N678" s="301"/>
      <c r="O678" s="301"/>
      <c r="P678" s="301"/>
      <c r="Q678" s="301"/>
      <c r="R678" s="301"/>
      <c r="S678" s="301"/>
      <c r="T678" s="366"/>
      <c r="U678" s="301"/>
      <c r="V678" s="301"/>
      <c r="W678" s="301"/>
      <c r="X678" s="301"/>
      <c r="Y678" s="301"/>
      <c r="Z678" s="301"/>
    </row>
    <row r="679">
      <c r="A679" s="301"/>
      <c r="B679" s="365"/>
      <c r="C679" s="301"/>
      <c r="D679" s="301"/>
      <c r="E679" s="301"/>
      <c r="F679" s="301"/>
      <c r="G679" s="301"/>
      <c r="H679" s="334"/>
      <c r="I679" s="334"/>
      <c r="J679" s="301"/>
      <c r="K679" s="301"/>
      <c r="L679" s="301"/>
      <c r="M679" s="301"/>
      <c r="N679" s="301"/>
      <c r="O679" s="301"/>
      <c r="P679" s="301"/>
      <c r="Q679" s="301"/>
      <c r="R679" s="301"/>
      <c r="S679" s="301"/>
      <c r="T679" s="366"/>
      <c r="U679" s="301"/>
      <c r="V679" s="301"/>
      <c r="W679" s="301"/>
      <c r="X679" s="301"/>
      <c r="Y679" s="301"/>
      <c r="Z679" s="301"/>
    </row>
    <row r="680">
      <c r="A680" s="301"/>
      <c r="B680" s="365"/>
      <c r="C680" s="301"/>
      <c r="D680" s="301"/>
      <c r="E680" s="301"/>
      <c r="F680" s="301"/>
      <c r="G680" s="301"/>
      <c r="H680" s="334"/>
      <c r="I680" s="334"/>
      <c r="J680" s="301"/>
      <c r="K680" s="301"/>
      <c r="L680" s="301"/>
      <c r="M680" s="301"/>
      <c r="N680" s="301"/>
      <c r="O680" s="301"/>
      <c r="P680" s="301"/>
      <c r="Q680" s="301"/>
      <c r="R680" s="301"/>
      <c r="S680" s="301"/>
      <c r="T680" s="366"/>
      <c r="U680" s="301"/>
      <c r="V680" s="301"/>
      <c r="W680" s="301"/>
      <c r="X680" s="301"/>
      <c r="Y680" s="301"/>
      <c r="Z680" s="301"/>
    </row>
    <row r="681">
      <c r="A681" s="301"/>
      <c r="B681" s="365"/>
      <c r="C681" s="301"/>
      <c r="D681" s="301"/>
      <c r="E681" s="301"/>
      <c r="F681" s="301"/>
      <c r="G681" s="301"/>
      <c r="H681" s="334"/>
      <c r="I681" s="334"/>
      <c r="J681" s="301"/>
      <c r="K681" s="301"/>
      <c r="L681" s="301"/>
      <c r="M681" s="301"/>
      <c r="N681" s="301"/>
      <c r="O681" s="301"/>
      <c r="P681" s="301"/>
      <c r="Q681" s="301"/>
      <c r="R681" s="301"/>
      <c r="S681" s="301"/>
      <c r="T681" s="366"/>
      <c r="U681" s="301"/>
      <c r="V681" s="301"/>
      <c r="W681" s="301"/>
      <c r="X681" s="301"/>
      <c r="Y681" s="301"/>
      <c r="Z681" s="301"/>
    </row>
    <row r="682">
      <c r="A682" s="301"/>
      <c r="B682" s="365"/>
      <c r="C682" s="301"/>
      <c r="D682" s="301"/>
      <c r="E682" s="301"/>
      <c r="F682" s="301"/>
      <c r="G682" s="301"/>
      <c r="H682" s="334"/>
      <c r="I682" s="334"/>
      <c r="J682" s="301"/>
      <c r="K682" s="301"/>
      <c r="L682" s="301"/>
      <c r="M682" s="301"/>
      <c r="N682" s="301"/>
      <c r="O682" s="301"/>
      <c r="P682" s="301"/>
      <c r="Q682" s="301"/>
      <c r="R682" s="301"/>
      <c r="S682" s="301"/>
      <c r="T682" s="366"/>
      <c r="U682" s="301"/>
      <c r="V682" s="301"/>
      <c r="W682" s="301"/>
      <c r="X682" s="301"/>
      <c r="Y682" s="301"/>
      <c r="Z682" s="301"/>
    </row>
    <row r="683">
      <c r="A683" s="301"/>
      <c r="B683" s="365"/>
      <c r="C683" s="301"/>
      <c r="D683" s="301"/>
      <c r="E683" s="301"/>
      <c r="F683" s="301"/>
      <c r="G683" s="301"/>
      <c r="H683" s="334"/>
      <c r="I683" s="334"/>
      <c r="J683" s="301"/>
      <c r="K683" s="301"/>
      <c r="L683" s="301"/>
      <c r="M683" s="301"/>
      <c r="N683" s="301"/>
      <c r="O683" s="301"/>
      <c r="P683" s="301"/>
      <c r="Q683" s="301"/>
      <c r="R683" s="301"/>
      <c r="S683" s="301"/>
      <c r="T683" s="366"/>
      <c r="U683" s="301"/>
      <c r="V683" s="301"/>
      <c r="W683" s="301"/>
      <c r="X683" s="301"/>
      <c r="Y683" s="301"/>
      <c r="Z683" s="301"/>
    </row>
    <row r="684">
      <c r="A684" s="301"/>
      <c r="B684" s="365"/>
      <c r="C684" s="301"/>
      <c r="D684" s="301"/>
      <c r="E684" s="301"/>
      <c r="F684" s="301"/>
      <c r="G684" s="301"/>
      <c r="H684" s="334"/>
      <c r="I684" s="334"/>
      <c r="J684" s="301"/>
      <c r="K684" s="301"/>
      <c r="L684" s="301"/>
      <c r="M684" s="301"/>
      <c r="N684" s="301"/>
      <c r="O684" s="301"/>
      <c r="P684" s="301"/>
      <c r="Q684" s="301"/>
      <c r="R684" s="301"/>
      <c r="S684" s="301"/>
      <c r="T684" s="366"/>
      <c r="U684" s="301"/>
      <c r="V684" s="301"/>
      <c r="W684" s="301"/>
      <c r="X684" s="301"/>
      <c r="Y684" s="301"/>
      <c r="Z684" s="301"/>
    </row>
    <row r="685">
      <c r="A685" s="301"/>
      <c r="B685" s="365"/>
      <c r="C685" s="301"/>
      <c r="D685" s="301"/>
      <c r="E685" s="301"/>
      <c r="F685" s="301"/>
      <c r="G685" s="301"/>
      <c r="H685" s="334"/>
      <c r="I685" s="334"/>
      <c r="J685" s="301"/>
      <c r="K685" s="301"/>
      <c r="L685" s="301"/>
      <c r="M685" s="301"/>
      <c r="N685" s="301"/>
      <c r="O685" s="301"/>
      <c r="P685" s="301"/>
      <c r="Q685" s="301"/>
      <c r="R685" s="301"/>
      <c r="S685" s="301"/>
      <c r="T685" s="366"/>
      <c r="U685" s="301"/>
      <c r="V685" s="301"/>
      <c r="W685" s="301"/>
      <c r="X685" s="301"/>
      <c r="Y685" s="301"/>
      <c r="Z685" s="301"/>
    </row>
    <row r="686">
      <c r="A686" s="301"/>
      <c r="B686" s="365"/>
      <c r="C686" s="301"/>
      <c r="D686" s="301"/>
      <c r="E686" s="301"/>
      <c r="F686" s="301"/>
      <c r="G686" s="301"/>
      <c r="H686" s="334"/>
      <c r="I686" s="334"/>
      <c r="J686" s="301"/>
      <c r="K686" s="301"/>
      <c r="L686" s="301"/>
      <c r="M686" s="301"/>
      <c r="N686" s="301"/>
      <c r="O686" s="301"/>
      <c r="P686" s="301"/>
      <c r="Q686" s="301"/>
      <c r="R686" s="301"/>
      <c r="S686" s="301"/>
      <c r="T686" s="366"/>
      <c r="U686" s="301"/>
      <c r="V686" s="301"/>
      <c r="W686" s="301"/>
      <c r="X686" s="301"/>
      <c r="Y686" s="301"/>
      <c r="Z686" s="301"/>
    </row>
    <row r="687">
      <c r="A687" s="301"/>
      <c r="B687" s="365"/>
      <c r="C687" s="301"/>
      <c r="D687" s="301"/>
      <c r="E687" s="301"/>
      <c r="F687" s="301"/>
      <c r="G687" s="301"/>
      <c r="H687" s="334"/>
      <c r="I687" s="334"/>
      <c r="J687" s="301"/>
      <c r="K687" s="301"/>
      <c r="L687" s="301"/>
      <c r="M687" s="301"/>
      <c r="N687" s="301"/>
      <c r="O687" s="301"/>
      <c r="P687" s="301"/>
      <c r="Q687" s="301"/>
      <c r="R687" s="301"/>
      <c r="S687" s="301"/>
      <c r="T687" s="366"/>
      <c r="U687" s="301"/>
      <c r="V687" s="301"/>
      <c r="W687" s="301"/>
      <c r="X687" s="301"/>
      <c r="Y687" s="301"/>
      <c r="Z687" s="301"/>
    </row>
    <row r="688">
      <c r="A688" s="301"/>
      <c r="B688" s="365"/>
      <c r="C688" s="301"/>
      <c r="D688" s="301"/>
      <c r="E688" s="301"/>
      <c r="F688" s="301"/>
      <c r="G688" s="301"/>
      <c r="H688" s="334"/>
      <c r="I688" s="334"/>
      <c r="J688" s="301"/>
      <c r="K688" s="301"/>
      <c r="L688" s="301"/>
      <c r="M688" s="301"/>
      <c r="N688" s="301"/>
      <c r="O688" s="301"/>
      <c r="P688" s="301"/>
      <c r="Q688" s="301"/>
      <c r="R688" s="301"/>
      <c r="S688" s="301"/>
      <c r="T688" s="366"/>
      <c r="U688" s="301"/>
      <c r="V688" s="301"/>
      <c r="W688" s="301"/>
      <c r="X688" s="301"/>
      <c r="Y688" s="301"/>
      <c r="Z688" s="301"/>
    </row>
    <row r="689">
      <c r="A689" s="301"/>
      <c r="B689" s="365"/>
      <c r="C689" s="301"/>
      <c r="D689" s="301"/>
      <c r="E689" s="301"/>
      <c r="F689" s="301"/>
      <c r="G689" s="301"/>
      <c r="H689" s="334"/>
      <c r="I689" s="334"/>
      <c r="J689" s="301"/>
      <c r="K689" s="301"/>
      <c r="L689" s="301"/>
      <c r="M689" s="301"/>
      <c r="N689" s="301"/>
      <c r="O689" s="301"/>
      <c r="P689" s="301"/>
      <c r="Q689" s="301"/>
      <c r="R689" s="301"/>
      <c r="S689" s="301"/>
      <c r="T689" s="366"/>
      <c r="U689" s="301"/>
      <c r="V689" s="301"/>
      <c r="W689" s="301"/>
      <c r="X689" s="301"/>
      <c r="Y689" s="301"/>
      <c r="Z689" s="301"/>
    </row>
    <row r="690">
      <c r="A690" s="301"/>
      <c r="B690" s="365"/>
      <c r="C690" s="301"/>
      <c r="D690" s="301"/>
      <c r="E690" s="301"/>
      <c r="F690" s="301"/>
      <c r="G690" s="301"/>
      <c r="H690" s="334"/>
      <c r="I690" s="334"/>
      <c r="J690" s="301"/>
      <c r="K690" s="301"/>
      <c r="L690" s="301"/>
      <c r="M690" s="301"/>
      <c r="N690" s="301"/>
      <c r="O690" s="301"/>
      <c r="P690" s="301"/>
      <c r="Q690" s="301"/>
      <c r="R690" s="301"/>
      <c r="S690" s="301"/>
      <c r="T690" s="366"/>
      <c r="U690" s="301"/>
      <c r="V690" s="301"/>
      <c r="W690" s="301"/>
      <c r="X690" s="301"/>
      <c r="Y690" s="301"/>
      <c r="Z690" s="301"/>
    </row>
    <row r="691">
      <c r="A691" s="301"/>
      <c r="B691" s="365"/>
      <c r="C691" s="301"/>
      <c r="D691" s="301"/>
      <c r="E691" s="301"/>
      <c r="F691" s="301"/>
      <c r="G691" s="301"/>
      <c r="H691" s="334"/>
      <c r="I691" s="334"/>
      <c r="J691" s="301"/>
      <c r="K691" s="301"/>
      <c r="L691" s="301"/>
      <c r="M691" s="301"/>
      <c r="N691" s="301"/>
      <c r="O691" s="301"/>
      <c r="P691" s="301"/>
      <c r="Q691" s="301"/>
      <c r="R691" s="301"/>
      <c r="S691" s="301"/>
      <c r="T691" s="366"/>
      <c r="U691" s="301"/>
      <c r="V691" s="301"/>
      <c r="W691" s="301"/>
      <c r="X691" s="301"/>
      <c r="Y691" s="301"/>
      <c r="Z691" s="301"/>
    </row>
    <row r="692">
      <c r="A692" s="301"/>
      <c r="B692" s="365"/>
      <c r="C692" s="301"/>
      <c r="D692" s="301"/>
      <c r="E692" s="301"/>
      <c r="F692" s="301"/>
      <c r="G692" s="301"/>
      <c r="H692" s="334"/>
      <c r="I692" s="334"/>
      <c r="J692" s="301"/>
      <c r="K692" s="301"/>
      <c r="L692" s="301"/>
      <c r="M692" s="301"/>
      <c r="N692" s="301"/>
      <c r="O692" s="301"/>
      <c r="P692" s="301"/>
      <c r="Q692" s="301"/>
      <c r="R692" s="301"/>
      <c r="S692" s="301"/>
      <c r="T692" s="366"/>
      <c r="U692" s="301"/>
      <c r="V692" s="301"/>
      <c r="W692" s="301"/>
      <c r="X692" s="301"/>
      <c r="Y692" s="301"/>
      <c r="Z692" s="301"/>
    </row>
    <row r="693">
      <c r="A693" s="301"/>
      <c r="B693" s="365"/>
      <c r="C693" s="301"/>
      <c r="D693" s="301"/>
      <c r="E693" s="301"/>
      <c r="F693" s="301"/>
      <c r="G693" s="301"/>
      <c r="H693" s="334"/>
      <c r="I693" s="334"/>
      <c r="J693" s="301"/>
      <c r="K693" s="301"/>
      <c r="L693" s="301"/>
      <c r="M693" s="301"/>
      <c r="N693" s="301"/>
      <c r="O693" s="301"/>
      <c r="P693" s="301"/>
      <c r="Q693" s="301"/>
      <c r="R693" s="301"/>
      <c r="S693" s="301"/>
      <c r="T693" s="366"/>
      <c r="U693" s="301"/>
      <c r="V693" s="301"/>
      <c r="W693" s="301"/>
      <c r="X693" s="301"/>
      <c r="Y693" s="301"/>
      <c r="Z693" s="301"/>
    </row>
    <row r="694">
      <c r="A694" s="301"/>
      <c r="B694" s="365"/>
      <c r="C694" s="301"/>
      <c r="D694" s="301"/>
      <c r="E694" s="301"/>
      <c r="F694" s="301"/>
      <c r="G694" s="301"/>
      <c r="H694" s="334"/>
      <c r="I694" s="334"/>
      <c r="J694" s="301"/>
      <c r="K694" s="301"/>
      <c r="L694" s="301"/>
      <c r="M694" s="301"/>
      <c r="N694" s="301"/>
      <c r="O694" s="301"/>
      <c r="P694" s="301"/>
      <c r="Q694" s="301"/>
      <c r="R694" s="301"/>
      <c r="S694" s="301"/>
      <c r="T694" s="366"/>
      <c r="U694" s="301"/>
      <c r="V694" s="301"/>
      <c r="W694" s="301"/>
      <c r="X694" s="301"/>
      <c r="Y694" s="301"/>
      <c r="Z694" s="301"/>
    </row>
    <row r="695">
      <c r="A695" s="301"/>
      <c r="B695" s="365"/>
      <c r="C695" s="301"/>
      <c r="D695" s="301"/>
      <c r="E695" s="301"/>
      <c r="F695" s="301"/>
      <c r="G695" s="301"/>
      <c r="H695" s="334"/>
      <c r="I695" s="334"/>
      <c r="J695" s="301"/>
      <c r="K695" s="301"/>
      <c r="L695" s="301"/>
      <c r="M695" s="301"/>
      <c r="N695" s="301"/>
      <c r="O695" s="301"/>
      <c r="P695" s="301"/>
      <c r="Q695" s="301"/>
      <c r="R695" s="301"/>
      <c r="S695" s="301"/>
      <c r="T695" s="366"/>
      <c r="U695" s="301"/>
      <c r="V695" s="301"/>
      <c r="W695" s="301"/>
      <c r="X695" s="301"/>
      <c r="Y695" s="301"/>
      <c r="Z695" s="301"/>
    </row>
    <row r="696">
      <c r="A696" s="301"/>
      <c r="B696" s="365"/>
      <c r="C696" s="301"/>
      <c r="D696" s="301"/>
      <c r="E696" s="301"/>
      <c r="F696" s="301"/>
      <c r="G696" s="301"/>
      <c r="H696" s="334"/>
      <c r="I696" s="334"/>
      <c r="J696" s="301"/>
      <c r="K696" s="301"/>
      <c r="L696" s="301"/>
      <c r="M696" s="301"/>
      <c r="N696" s="301"/>
      <c r="O696" s="301"/>
      <c r="P696" s="301"/>
      <c r="Q696" s="301"/>
      <c r="R696" s="301"/>
      <c r="S696" s="301"/>
      <c r="T696" s="366"/>
      <c r="U696" s="301"/>
      <c r="V696" s="301"/>
      <c r="W696" s="301"/>
      <c r="X696" s="301"/>
      <c r="Y696" s="301"/>
      <c r="Z696" s="301"/>
    </row>
    <row r="697">
      <c r="A697" s="301"/>
      <c r="B697" s="365"/>
      <c r="C697" s="301"/>
      <c r="D697" s="301"/>
      <c r="E697" s="301"/>
      <c r="F697" s="301"/>
      <c r="G697" s="301"/>
      <c r="H697" s="334"/>
      <c r="I697" s="334"/>
      <c r="J697" s="301"/>
      <c r="K697" s="301"/>
      <c r="L697" s="301"/>
      <c r="M697" s="301"/>
      <c r="N697" s="301"/>
      <c r="O697" s="301"/>
      <c r="P697" s="301"/>
      <c r="Q697" s="301"/>
      <c r="R697" s="301"/>
      <c r="S697" s="301"/>
      <c r="T697" s="366"/>
      <c r="U697" s="301"/>
      <c r="V697" s="301"/>
      <c r="W697" s="301"/>
      <c r="X697" s="301"/>
      <c r="Y697" s="301"/>
      <c r="Z697" s="301"/>
    </row>
    <row r="698">
      <c r="A698" s="301"/>
      <c r="B698" s="365"/>
      <c r="C698" s="301"/>
      <c r="D698" s="301"/>
      <c r="E698" s="301"/>
      <c r="F698" s="301"/>
      <c r="G698" s="301"/>
      <c r="H698" s="334"/>
      <c r="I698" s="334"/>
      <c r="J698" s="301"/>
      <c r="K698" s="301"/>
      <c r="L698" s="301"/>
      <c r="M698" s="301"/>
      <c r="N698" s="301"/>
      <c r="O698" s="301"/>
      <c r="P698" s="301"/>
      <c r="Q698" s="301"/>
      <c r="R698" s="301"/>
      <c r="S698" s="301"/>
      <c r="T698" s="366"/>
      <c r="U698" s="301"/>
      <c r="V698" s="301"/>
      <c r="W698" s="301"/>
      <c r="X698" s="301"/>
      <c r="Y698" s="301"/>
      <c r="Z698" s="301"/>
    </row>
    <row r="699">
      <c r="A699" s="301"/>
      <c r="B699" s="365"/>
      <c r="C699" s="301"/>
      <c r="D699" s="301"/>
      <c r="E699" s="301"/>
      <c r="F699" s="301"/>
      <c r="G699" s="301"/>
      <c r="H699" s="334"/>
      <c r="I699" s="334"/>
      <c r="J699" s="301"/>
      <c r="K699" s="301"/>
      <c r="L699" s="301"/>
      <c r="M699" s="301"/>
      <c r="N699" s="301"/>
      <c r="O699" s="301"/>
      <c r="P699" s="301"/>
      <c r="Q699" s="301"/>
      <c r="R699" s="301"/>
      <c r="S699" s="301"/>
      <c r="T699" s="366"/>
      <c r="U699" s="301"/>
      <c r="V699" s="301"/>
      <c r="W699" s="301"/>
      <c r="X699" s="301"/>
      <c r="Y699" s="301"/>
      <c r="Z699" s="301"/>
    </row>
    <row r="700">
      <c r="A700" s="301"/>
      <c r="B700" s="365"/>
      <c r="C700" s="301"/>
      <c r="D700" s="301"/>
      <c r="E700" s="301"/>
      <c r="F700" s="301"/>
      <c r="G700" s="301"/>
      <c r="H700" s="334"/>
      <c r="I700" s="334"/>
      <c r="J700" s="301"/>
      <c r="K700" s="301"/>
      <c r="L700" s="301"/>
      <c r="M700" s="301"/>
      <c r="N700" s="301"/>
      <c r="O700" s="301"/>
      <c r="P700" s="301"/>
      <c r="Q700" s="301"/>
      <c r="R700" s="301"/>
      <c r="S700" s="301"/>
      <c r="T700" s="366"/>
      <c r="U700" s="301"/>
      <c r="V700" s="301"/>
      <c r="W700" s="301"/>
      <c r="X700" s="301"/>
      <c r="Y700" s="301"/>
      <c r="Z700" s="301"/>
    </row>
    <row r="701">
      <c r="A701" s="301"/>
      <c r="B701" s="365"/>
      <c r="C701" s="301"/>
      <c r="D701" s="301"/>
      <c r="E701" s="301"/>
      <c r="F701" s="301"/>
      <c r="G701" s="301"/>
      <c r="H701" s="334"/>
      <c r="I701" s="334"/>
      <c r="J701" s="301"/>
      <c r="K701" s="301"/>
      <c r="L701" s="301"/>
      <c r="M701" s="301"/>
      <c r="N701" s="301"/>
      <c r="O701" s="301"/>
      <c r="P701" s="301"/>
      <c r="Q701" s="301"/>
      <c r="R701" s="301"/>
      <c r="S701" s="301"/>
      <c r="T701" s="366"/>
      <c r="U701" s="301"/>
      <c r="V701" s="301"/>
      <c r="W701" s="301"/>
      <c r="X701" s="301"/>
      <c r="Y701" s="301"/>
      <c r="Z701" s="301"/>
    </row>
    <row r="702">
      <c r="A702" s="301"/>
      <c r="B702" s="365"/>
      <c r="C702" s="301"/>
      <c r="D702" s="301"/>
      <c r="E702" s="301"/>
      <c r="F702" s="301"/>
      <c r="G702" s="301"/>
      <c r="H702" s="334"/>
      <c r="I702" s="334"/>
      <c r="J702" s="301"/>
      <c r="K702" s="301"/>
      <c r="L702" s="301"/>
      <c r="M702" s="301"/>
      <c r="N702" s="301"/>
      <c r="O702" s="301"/>
      <c r="P702" s="301"/>
      <c r="Q702" s="301"/>
      <c r="R702" s="301"/>
      <c r="S702" s="301"/>
      <c r="T702" s="366"/>
      <c r="U702" s="301"/>
      <c r="V702" s="301"/>
      <c r="W702" s="301"/>
      <c r="X702" s="301"/>
      <c r="Y702" s="301"/>
      <c r="Z702" s="301"/>
    </row>
    <row r="703">
      <c r="A703" s="301"/>
      <c r="B703" s="365"/>
      <c r="C703" s="301"/>
      <c r="D703" s="301"/>
      <c r="E703" s="301"/>
      <c r="F703" s="301"/>
      <c r="G703" s="301"/>
      <c r="H703" s="334"/>
      <c r="I703" s="334"/>
      <c r="J703" s="301"/>
      <c r="K703" s="301"/>
      <c r="L703" s="301"/>
      <c r="M703" s="301"/>
      <c r="N703" s="301"/>
      <c r="O703" s="301"/>
      <c r="P703" s="301"/>
      <c r="Q703" s="301"/>
      <c r="R703" s="301"/>
      <c r="S703" s="301"/>
      <c r="T703" s="366"/>
      <c r="U703" s="301"/>
      <c r="V703" s="301"/>
      <c r="W703" s="301"/>
      <c r="X703" s="301"/>
      <c r="Y703" s="301"/>
      <c r="Z703" s="301"/>
    </row>
    <row r="704">
      <c r="A704" s="301"/>
      <c r="B704" s="365"/>
      <c r="C704" s="301"/>
      <c r="D704" s="301"/>
      <c r="E704" s="301"/>
      <c r="F704" s="301"/>
      <c r="G704" s="301"/>
      <c r="H704" s="334"/>
      <c r="I704" s="334"/>
      <c r="J704" s="301"/>
      <c r="K704" s="301"/>
      <c r="L704" s="301"/>
      <c r="M704" s="301"/>
      <c r="N704" s="301"/>
      <c r="O704" s="301"/>
      <c r="P704" s="301"/>
      <c r="Q704" s="301"/>
      <c r="R704" s="301"/>
      <c r="S704" s="301"/>
      <c r="T704" s="366"/>
      <c r="U704" s="301"/>
      <c r="V704" s="301"/>
      <c r="W704" s="301"/>
      <c r="X704" s="301"/>
      <c r="Y704" s="301"/>
      <c r="Z704" s="301"/>
    </row>
    <row r="705">
      <c r="A705" s="301"/>
      <c r="B705" s="365"/>
      <c r="C705" s="301"/>
      <c r="D705" s="301"/>
      <c r="E705" s="301"/>
      <c r="F705" s="301"/>
      <c r="G705" s="301"/>
      <c r="H705" s="334"/>
      <c r="I705" s="334"/>
      <c r="J705" s="301"/>
      <c r="K705" s="301"/>
      <c r="L705" s="301"/>
      <c r="M705" s="301"/>
      <c r="N705" s="301"/>
      <c r="O705" s="301"/>
      <c r="P705" s="301"/>
      <c r="Q705" s="301"/>
      <c r="R705" s="301"/>
      <c r="S705" s="301"/>
      <c r="T705" s="366"/>
      <c r="U705" s="301"/>
      <c r="V705" s="301"/>
      <c r="W705" s="301"/>
      <c r="X705" s="301"/>
      <c r="Y705" s="301"/>
      <c r="Z705" s="301"/>
    </row>
    <row r="706">
      <c r="A706" s="301"/>
      <c r="B706" s="365"/>
      <c r="C706" s="301"/>
      <c r="D706" s="301"/>
      <c r="E706" s="301"/>
      <c r="F706" s="301"/>
      <c r="G706" s="301"/>
      <c r="H706" s="334"/>
      <c r="I706" s="334"/>
      <c r="J706" s="301"/>
      <c r="K706" s="301"/>
      <c r="L706" s="301"/>
      <c r="M706" s="301"/>
      <c r="N706" s="301"/>
      <c r="O706" s="301"/>
      <c r="P706" s="301"/>
      <c r="Q706" s="301"/>
      <c r="R706" s="301"/>
      <c r="S706" s="301"/>
      <c r="T706" s="366"/>
      <c r="U706" s="301"/>
      <c r="V706" s="301"/>
      <c r="W706" s="301"/>
      <c r="X706" s="301"/>
      <c r="Y706" s="301"/>
      <c r="Z706" s="301"/>
    </row>
    <row r="707">
      <c r="A707" s="301"/>
      <c r="B707" s="365"/>
      <c r="C707" s="301"/>
      <c r="D707" s="301"/>
      <c r="E707" s="301"/>
      <c r="F707" s="301"/>
      <c r="G707" s="301"/>
      <c r="H707" s="334"/>
      <c r="I707" s="334"/>
      <c r="J707" s="301"/>
      <c r="K707" s="301"/>
      <c r="L707" s="301"/>
      <c r="M707" s="301"/>
      <c r="N707" s="301"/>
      <c r="O707" s="301"/>
      <c r="P707" s="301"/>
      <c r="Q707" s="301"/>
      <c r="R707" s="301"/>
      <c r="S707" s="301"/>
      <c r="T707" s="366"/>
      <c r="U707" s="301"/>
      <c r="V707" s="301"/>
      <c r="W707" s="301"/>
      <c r="X707" s="301"/>
      <c r="Y707" s="301"/>
      <c r="Z707" s="301"/>
    </row>
    <row r="708">
      <c r="A708" s="301"/>
      <c r="B708" s="365"/>
      <c r="C708" s="301"/>
      <c r="D708" s="301"/>
      <c r="E708" s="301"/>
      <c r="F708" s="301"/>
      <c r="G708" s="301"/>
      <c r="H708" s="334"/>
      <c r="I708" s="334"/>
      <c r="J708" s="301"/>
      <c r="K708" s="301"/>
      <c r="L708" s="301"/>
      <c r="M708" s="301"/>
      <c r="N708" s="301"/>
      <c r="O708" s="301"/>
      <c r="P708" s="301"/>
      <c r="Q708" s="301"/>
      <c r="R708" s="301"/>
      <c r="S708" s="301"/>
      <c r="T708" s="366"/>
      <c r="U708" s="301"/>
      <c r="V708" s="301"/>
      <c r="W708" s="301"/>
      <c r="X708" s="301"/>
      <c r="Y708" s="301"/>
      <c r="Z708" s="301"/>
    </row>
    <row r="709">
      <c r="A709" s="301"/>
      <c r="B709" s="365"/>
      <c r="C709" s="301"/>
      <c r="D709" s="301"/>
      <c r="E709" s="301"/>
      <c r="F709" s="301"/>
      <c r="G709" s="301"/>
      <c r="H709" s="334"/>
      <c r="I709" s="334"/>
      <c r="J709" s="301"/>
      <c r="K709" s="301"/>
      <c r="L709" s="301"/>
      <c r="M709" s="301"/>
      <c r="N709" s="301"/>
      <c r="O709" s="301"/>
      <c r="P709" s="301"/>
      <c r="Q709" s="301"/>
      <c r="R709" s="301"/>
      <c r="S709" s="301"/>
      <c r="T709" s="366"/>
      <c r="U709" s="301"/>
      <c r="V709" s="301"/>
      <c r="W709" s="301"/>
      <c r="X709" s="301"/>
      <c r="Y709" s="301"/>
      <c r="Z709" s="301"/>
    </row>
    <row r="710">
      <c r="A710" s="301"/>
      <c r="B710" s="365"/>
      <c r="C710" s="301"/>
      <c r="D710" s="301"/>
      <c r="E710" s="301"/>
      <c r="F710" s="301"/>
      <c r="G710" s="301"/>
      <c r="H710" s="334"/>
      <c r="I710" s="334"/>
      <c r="J710" s="301"/>
      <c r="K710" s="301"/>
      <c r="L710" s="301"/>
      <c r="M710" s="301"/>
      <c r="N710" s="301"/>
      <c r="O710" s="301"/>
      <c r="P710" s="301"/>
      <c r="Q710" s="301"/>
      <c r="R710" s="301"/>
      <c r="S710" s="301"/>
      <c r="T710" s="366"/>
      <c r="U710" s="301"/>
      <c r="V710" s="301"/>
      <c r="W710" s="301"/>
      <c r="X710" s="301"/>
      <c r="Y710" s="301"/>
      <c r="Z710" s="301"/>
    </row>
    <row r="711">
      <c r="A711" s="301"/>
      <c r="B711" s="365"/>
      <c r="C711" s="301"/>
      <c r="D711" s="301"/>
      <c r="E711" s="301"/>
      <c r="F711" s="301"/>
      <c r="G711" s="301"/>
      <c r="H711" s="334"/>
      <c r="I711" s="334"/>
      <c r="J711" s="301"/>
      <c r="K711" s="301"/>
      <c r="L711" s="301"/>
      <c r="M711" s="301"/>
      <c r="N711" s="301"/>
      <c r="O711" s="301"/>
      <c r="P711" s="301"/>
      <c r="Q711" s="301"/>
      <c r="R711" s="301"/>
      <c r="S711" s="301"/>
      <c r="T711" s="366"/>
      <c r="U711" s="301"/>
      <c r="V711" s="301"/>
      <c r="W711" s="301"/>
      <c r="X711" s="301"/>
      <c r="Y711" s="301"/>
      <c r="Z711" s="301"/>
    </row>
    <row r="712">
      <c r="A712" s="301"/>
      <c r="B712" s="365"/>
      <c r="C712" s="301"/>
      <c r="D712" s="301"/>
      <c r="E712" s="301"/>
      <c r="F712" s="301"/>
      <c r="G712" s="301"/>
      <c r="H712" s="334"/>
      <c r="I712" s="334"/>
      <c r="J712" s="301"/>
      <c r="K712" s="301"/>
      <c r="L712" s="301"/>
      <c r="M712" s="301"/>
      <c r="N712" s="301"/>
      <c r="O712" s="301"/>
      <c r="P712" s="301"/>
      <c r="Q712" s="301"/>
      <c r="R712" s="301"/>
      <c r="S712" s="301"/>
      <c r="T712" s="366"/>
      <c r="U712" s="301"/>
      <c r="V712" s="301"/>
      <c r="W712" s="301"/>
      <c r="X712" s="301"/>
      <c r="Y712" s="301"/>
      <c r="Z712" s="301"/>
    </row>
    <row r="713">
      <c r="A713" s="301"/>
      <c r="B713" s="365"/>
      <c r="C713" s="301"/>
      <c r="D713" s="301"/>
      <c r="E713" s="301"/>
      <c r="F713" s="301"/>
      <c r="G713" s="301"/>
      <c r="H713" s="334"/>
      <c r="I713" s="334"/>
      <c r="J713" s="301"/>
      <c r="K713" s="301"/>
      <c r="L713" s="301"/>
      <c r="M713" s="301"/>
      <c r="N713" s="301"/>
      <c r="O713" s="301"/>
      <c r="P713" s="301"/>
      <c r="Q713" s="301"/>
      <c r="R713" s="301"/>
      <c r="S713" s="301"/>
      <c r="T713" s="366"/>
      <c r="U713" s="301"/>
      <c r="V713" s="301"/>
      <c r="W713" s="301"/>
      <c r="X713" s="301"/>
      <c r="Y713" s="301"/>
      <c r="Z713" s="301"/>
    </row>
    <row r="714">
      <c r="A714" s="301"/>
      <c r="B714" s="365"/>
      <c r="C714" s="301"/>
      <c r="D714" s="301"/>
      <c r="E714" s="301"/>
      <c r="F714" s="301"/>
      <c r="G714" s="301"/>
      <c r="H714" s="334"/>
      <c r="I714" s="334"/>
      <c r="J714" s="301"/>
      <c r="K714" s="301"/>
      <c r="L714" s="301"/>
      <c r="M714" s="301"/>
      <c r="N714" s="301"/>
      <c r="O714" s="301"/>
      <c r="P714" s="301"/>
      <c r="Q714" s="301"/>
      <c r="R714" s="301"/>
      <c r="S714" s="301"/>
      <c r="T714" s="366"/>
      <c r="U714" s="301"/>
      <c r="V714" s="301"/>
      <c r="W714" s="301"/>
      <c r="X714" s="301"/>
      <c r="Y714" s="301"/>
      <c r="Z714" s="301"/>
    </row>
    <row r="715">
      <c r="A715" s="301"/>
      <c r="B715" s="365"/>
      <c r="C715" s="301"/>
      <c r="D715" s="301"/>
      <c r="E715" s="301"/>
      <c r="F715" s="301"/>
      <c r="G715" s="301"/>
      <c r="H715" s="334"/>
      <c r="I715" s="334"/>
      <c r="J715" s="301"/>
      <c r="K715" s="301"/>
      <c r="L715" s="301"/>
      <c r="M715" s="301"/>
      <c r="N715" s="301"/>
      <c r="O715" s="301"/>
      <c r="P715" s="301"/>
      <c r="Q715" s="301"/>
      <c r="R715" s="301"/>
      <c r="S715" s="301"/>
      <c r="T715" s="366"/>
      <c r="U715" s="301"/>
      <c r="V715" s="301"/>
      <c r="W715" s="301"/>
      <c r="X715" s="301"/>
      <c r="Y715" s="301"/>
      <c r="Z715" s="301"/>
    </row>
    <row r="716">
      <c r="A716" s="301"/>
      <c r="B716" s="365"/>
      <c r="C716" s="301"/>
      <c r="D716" s="301"/>
      <c r="E716" s="301"/>
      <c r="F716" s="301"/>
      <c r="G716" s="301"/>
      <c r="H716" s="334"/>
      <c r="I716" s="334"/>
      <c r="J716" s="301"/>
      <c r="K716" s="301"/>
      <c r="L716" s="301"/>
      <c r="M716" s="301"/>
      <c r="N716" s="301"/>
      <c r="O716" s="301"/>
      <c r="P716" s="301"/>
      <c r="Q716" s="301"/>
      <c r="R716" s="301"/>
      <c r="S716" s="301"/>
      <c r="T716" s="366"/>
      <c r="U716" s="301"/>
      <c r="V716" s="301"/>
      <c r="W716" s="301"/>
      <c r="X716" s="301"/>
      <c r="Y716" s="301"/>
      <c r="Z716" s="301"/>
    </row>
    <row r="717">
      <c r="A717" s="301"/>
      <c r="B717" s="365"/>
      <c r="C717" s="301"/>
      <c r="D717" s="301"/>
      <c r="E717" s="301"/>
      <c r="F717" s="301"/>
      <c r="G717" s="301"/>
      <c r="H717" s="334"/>
      <c r="I717" s="334"/>
      <c r="J717" s="301"/>
      <c r="K717" s="301"/>
      <c r="L717" s="301"/>
      <c r="M717" s="301"/>
      <c r="N717" s="301"/>
      <c r="O717" s="301"/>
      <c r="P717" s="301"/>
      <c r="Q717" s="301"/>
      <c r="R717" s="301"/>
      <c r="S717" s="301"/>
      <c r="T717" s="366"/>
      <c r="U717" s="301"/>
      <c r="V717" s="301"/>
      <c r="W717" s="301"/>
      <c r="X717" s="301"/>
      <c r="Y717" s="301"/>
      <c r="Z717" s="301"/>
    </row>
    <row r="718">
      <c r="A718" s="301"/>
      <c r="B718" s="365"/>
      <c r="C718" s="301"/>
      <c r="D718" s="301"/>
      <c r="E718" s="301"/>
      <c r="F718" s="301"/>
      <c r="G718" s="301"/>
      <c r="H718" s="334"/>
      <c r="I718" s="334"/>
      <c r="J718" s="301"/>
      <c r="K718" s="301"/>
      <c r="L718" s="301"/>
      <c r="M718" s="301"/>
      <c r="N718" s="301"/>
      <c r="O718" s="301"/>
      <c r="P718" s="301"/>
      <c r="Q718" s="301"/>
      <c r="R718" s="301"/>
      <c r="S718" s="301"/>
      <c r="T718" s="366"/>
      <c r="U718" s="301"/>
      <c r="V718" s="301"/>
      <c r="W718" s="301"/>
      <c r="X718" s="301"/>
      <c r="Y718" s="301"/>
      <c r="Z718" s="301"/>
    </row>
    <row r="719">
      <c r="A719" s="301"/>
      <c r="B719" s="365"/>
      <c r="C719" s="301"/>
      <c r="D719" s="301"/>
      <c r="E719" s="301"/>
      <c r="F719" s="301"/>
      <c r="G719" s="301"/>
      <c r="H719" s="334"/>
      <c r="I719" s="334"/>
      <c r="J719" s="301"/>
      <c r="K719" s="301"/>
      <c r="L719" s="301"/>
      <c r="M719" s="301"/>
      <c r="N719" s="301"/>
      <c r="O719" s="301"/>
      <c r="P719" s="301"/>
      <c r="Q719" s="301"/>
      <c r="R719" s="301"/>
      <c r="S719" s="301"/>
      <c r="T719" s="366"/>
      <c r="U719" s="301"/>
      <c r="V719" s="301"/>
      <c r="W719" s="301"/>
      <c r="X719" s="301"/>
      <c r="Y719" s="301"/>
      <c r="Z719" s="301"/>
    </row>
    <row r="720">
      <c r="A720" s="301"/>
      <c r="B720" s="365"/>
      <c r="C720" s="301"/>
      <c r="D720" s="301"/>
      <c r="E720" s="301"/>
      <c r="F720" s="301"/>
      <c r="G720" s="301"/>
      <c r="H720" s="334"/>
      <c r="I720" s="334"/>
      <c r="J720" s="301"/>
      <c r="K720" s="301"/>
      <c r="L720" s="301"/>
      <c r="M720" s="301"/>
      <c r="N720" s="301"/>
      <c r="O720" s="301"/>
      <c r="P720" s="301"/>
      <c r="Q720" s="301"/>
      <c r="R720" s="301"/>
      <c r="S720" s="301"/>
      <c r="T720" s="366"/>
      <c r="U720" s="301"/>
      <c r="V720" s="301"/>
      <c r="W720" s="301"/>
      <c r="X720" s="301"/>
      <c r="Y720" s="301"/>
      <c r="Z720" s="301"/>
    </row>
    <row r="721">
      <c r="A721" s="301"/>
      <c r="B721" s="365"/>
      <c r="C721" s="301"/>
      <c r="D721" s="301"/>
      <c r="E721" s="301"/>
      <c r="F721" s="301"/>
      <c r="G721" s="301"/>
      <c r="H721" s="334"/>
      <c r="I721" s="334"/>
      <c r="J721" s="301"/>
      <c r="K721" s="301"/>
      <c r="L721" s="301"/>
      <c r="M721" s="301"/>
      <c r="N721" s="301"/>
      <c r="O721" s="301"/>
      <c r="P721" s="301"/>
      <c r="Q721" s="301"/>
      <c r="R721" s="301"/>
      <c r="S721" s="301"/>
      <c r="T721" s="366"/>
      <c r="U721" s="301"/>
      <c r="V721" s="301"/>
      <c r="W721" s="301"/>
      <c r="X721" s="301"/>
      <c r="Y721" s="301"/>
      <c r="Z721" s="301"/>
    </row>
    <row r="722">
      <c r="A722" s="301"/>
      <c r="B722" s="365"/>
      <c r="C722" s="301"/>
      <c r="D722" s="301"/>
      <c r="E722" s="301"/>
      <c r="F722" s="301"/>
      <c r="G722" s="301"/>
      <c r="H722" s="334"/>
      <c r="I722" s="334"/>
      <c r="J722" s="301"/>
      <c r="K722" s="301"/>
      <c r="L722" s="301"/>
      <c r="M722" s="301"/>
      <c r="N722" s="301"/>
      <c r="O722" s="301"/>
      <c r="P722" s="301"/>
      <c r="Q722" s="301"/>
      <c r="R722" s="301"/>
      <c r="S722" s="301"/>
      <c r="T722" s="366"/>
      <c r="U722" s="301"/>
      <c r="V722" s="301"/>
      <c r="W722" s="301"/>
      <c r="X722" s="301"/>
      <c r="Y722" s="301"/>
      <c r="Z722" s="301"/>
    </row>
    <row r="723">
      <c r="A723" s="301"/>
      <c r="B723" s="365"/>
      <c r="C723" s="301"/>
      <c r="D723" s="301"/>
      <c r="E723" s="301"/>
      <c r="F723" s="301"/>
      <c r="G723" s="301"/>
      <c r="H723" s="334"/>
      <c r="I723" s="334"/>
      <c r="J723" s="301"/>
      <c r="K723" s="301"/>
      <c r="L723" s="301"/>
      <c r="M723" s="301"/>
      <c r="N723" s="301"/>
      <c r="O723" s="301"/>
      <c r="P723" s="301"/>
      <c r="Q723" s="301"/>
      <c r="R723" s="301"/>
      <c r="S723" s="301"/>
      <c r="T723" s="366"/>
      <c r="U723" s="301"/>
      <c r="V723" s="301"/>
      <c r="W723" s="301"/>
      <c r="X723" s="301"/>
      <c r="Y723" s="301"/>
      <c r="Z723" s="301"/>
    </row>
    <row r="724">
      <c r="A724" s="301"/>
      <c r="B724" s="365"/>
      <c r="C724" s="301"/>
      <c r="D724" s="301"/>
      <c r="E724" s="301"/>
      <c r="F724" s="301"/>
      <c r="G724" s="301"/>
      <c r="H724" s="334"/>
      <c r="I724" s="334"/>
      <c r="J724" s="301"/>
      <c r="K724" s="301"/>
      <c r="L724" s="301"/>
      <c r="M724" s="301"/>
      <c r="N724" s="301"/>
      <c r="O724" s="301"/>
      <c r="P724" s="301"/>
      <c r="Q724" s="301"/>
      <c r="R724" s="301"/>
      <c r="S724" s="301"/>
      <c r="T724" s="366"/>
      <c r="U724" s="301"/>
      <c r="V724" s="301"/>
      <c r="W724" s="301"/>
      <c r="X724" s="301"/>
      <c r="Y724" s="301"/>
      <c r="Z724" s="301"/>
    </row>
    <row r="725">
      <c r="A725" s="301"/>
      <c r="B725" s="365"/>
      <c r="C725" s="301"/>
      <c r="D725" s="301"/>
      <c r="E725" s="301"/>
      <c r="F725" s="301"/>
      <c r="G725" s="301"/>
      <c r="H725" s="334"/>
      <c r="I725" s="334"/>
      <c r="J725" s="301"/>
      <c r="K725" s="301"/>
      <c r="L725" s="301"/>
      <c r="M725" s="301"/>
      <c r="N725" s="301"/>
      <c r="O725" s="301"/>
      <c r="P725" s="301"/>
      <c r="Q725" s="301"/>
      <c r="R725" s="301"/>
      <c r="S725" s="301"/>
      <c r="T725" s="366"/>
      <c r="U725" s="301"/>
      <c r="V725" s="301"/>
      <c r="W725" s="301"/>
      <c r="X725" s="301"/>
      <c r="Y725" s="301"/>
      <c r="Z725" s="301"/>
    </row>
    <row r="726">
      <c r="A726" s="301"/>
      <c r="B726" s="365"/>
      <c r="C726" s="301"/>
      <c r="D726" s="301"/>
      <c r="E726" s="301"/>
      <c r="F726" s="301"/>
      <c r="G726" s="301"/>
      <c r="H726" s="334"/>
      <c r="I726" s="334"/>
      <c r="J726" s="301"/>
      <c r="K726" s="301"/>
      <c r="L726" s="301"/>
      <c r="M726" s="301"/>
      <c r="N726" s="301"/>
      <c r="O726" s="301"/>
      <c r="P726" s="301"/>
      <c r="Q726" s="301"/>
      <c r="R726" s="301"/>
      <c r="S726" s="301"/>
      <c r="T726" s="366"/>
      <c r="U726" s="301"/>
      <c r="V726" s="301"/>
      <c r="W726" s="301"/>
      <c r="X726" s="301"/>
      <c r="Y726" s="301"/>
      <c r="Z726" s="301"/>
    </row>
    <row r="727">
      <c r="A727" s="301"/>
      <c r="B727" s="365"/>
      <c r="C727" s="301"/>
      <c r="D727" s="301"/>
      <c r="E727" s="301"/>
      <c r="F727" s="301"/>
      <c r="G727" s="301"/>
      <c r="H727" s="334"/>
      <c r="I727" s="334"/>
      <c r="J727" s="301"/>
      <c r="K727" s="301"/>
      <c r="L727" s="301"/>
      <c r="M727" s="301"/>
      <c r="N727" s="301"/>
      <c r="O727" s="301"/>
      <c r="P727" s="301"/>
      <c r="Q727" s="301"/>
      <c r="R727" s="301"/>
      <c r="S727" s="301"/>
      <c r="T727" s="366"/>
      <c r="U727" s="301"/>
      <c r="V727" s="301"/>
      <c r="W727" s="301"/>
      <c r="X727" s="301"/>
      <c r="Y727" s="301"/>
      <c r="Z727" s="301"/>
    </row>
    <row r="728">
      <c r="A728" s="301"/>
      <c r="B728" s="365"/>
      <c r="C728" s="301"/>
      <c r="D728" s="301"/>
      <c r="E728" s="301"/>
      <c r="F728" s="301"/>
      <c r="G728" s="301"/>
      <c r="H728" s="334"/>
      <c r="I728" s="334"/>
      <c r="J728" s="301"/>
      <c r="K728" s="301"/>
      <c r="L728" s="301"/>
      <c r="M728" s="301"/>
      <c r="N728" s="301"/>
      <c r="O728" s="301"/>
      <c r="P728" s="301"/>
      <c r="Q728" s="301"/>
      <c r="R728" s="301"/>
      <c r="S728" s="301"/>
      <c r="T728" s="366"/>
      <c r="U728" s="301"/>
      <c r="V728" s="301"/>
      <c r="W728" s="301"/>
      <c r="X728" s="301"/>
      <c r="Y728" s="301"/>
      <c r="Z728" s="301"/>
    </row>
    <row r="729">
      <c r="A729" s="301"/>
      <c r="B729" s="365"/>
      <c r="C729" s="301"/>
      <c r="D729" s="301"/>
      <c r="E729" s="301"/>
      <c r="F729" s="301"/>
      <c r="G729" s="301"/>
      <c r="H729" s="334"/>
      <c r="I729" s="334"/>
      <c r="J729" s="301"/>
      <c r="K729" s="301"/>
      <c r="L729" s="301"/>
      <c r="M729" s="301"/>
      <c r="N729" s="301"/>
      <c r="O729" s="301"/>
      <c r="P729" s="301"/>
      <c r="Q729" s="301"/>
      <c r="R729" s="301"/>
      <c r="S729" s="301"/>
      <c r="T729" s="366"/>
      <c r="U729" s="301"/>
      <c r="V729" s="301"/>
      <c r="W729" s="301"/>
      <c r="X729" s="301"/>
      <c r="Y729" s="301"/>
      <c r="Z729" s="301"/>
    </row>
    <row r="730">
      <c r="A730" s="301"/>
      <c r="B730" s="365"/>
      <c r="C730" s="301"/>
      <c r="D730" s="301"/>
      <c r="E730" s="301"/>
      <c r="F730" s="301"/>
      <c r="G730" s="301"/>
      <c r="H730" s="334"/>
      <c r="I730" s="334"/>
      <c r="J730" s="301"/>
      <c r="K730" s="301"/>
      <c r="L730" s="301"/>
      <c r="M730" s="301"/>
      <c r="N730" s="301"/>
      <c r="O730" s="301"/>
      <c r="P730" s="301"/>
      <c r="Q730" s="301"/>
      <c r="R730" s="301"/>
      <c r="S730" s="301"/>
      <c r="T730" s="366"/>
      <c r="U730" s="301"/>
      <c r="V730" s="301"/>
      <c r="W730" s="301"/>
      <c r="X730" s="301"/>
      <c r="Y730" s="301"/>
      <c r="Z730" s="301"/>
    </row>
    <row r="731">
      <c r="A731" s="301"/>
      <c r="B731" s="365"/>
      <c r="C731" s="301"/>
      <c r="D731" s="301"/>
      <c r="E731" s="301"/>
      <c r="F731" s="301"/>
      <c r="G731" s="301"/>
      <c r="H731" s="334"/>
      <c r="I731" s="334"/>
      <c r="J731" s="301"/>
      <c r="K731" s="301"/>
      <c r="L731" s="301"/>
      <c r="M731" s="301"/>
      <c r="N731" s="301"/>
      <c r="O731" s="301"/>
      <c r="P731" s="301"/>
      <c r="Q731" s="301"/>
      <c r="R731" s="301"/>
      <c r="S731" s="301"/>
      <c r="T731" s="366"/>
      <c r="U731" s="301"/>
      <c r="V731" s="301"/>
      <c r="W731" s="301"/>
      <c r="X731" s="301"/>
      <c r="Y731" s="301"/>
      <c r="Z731" s="301"/>
    </row>
    <row r="732">
      <c r="A732" s="301"/>
      <c r="B732" s="365"/>
      <c r="C732" s="301"/>
      <c r="D732" s="301"/>
      <c r="E732" s="301"/>
      <c r="F732" s="301"/>
      <c r="G732" s="301"/>
      <c r="H732" s="334"/>
      <c r="I732" s="334"/>
      <c r="J732" s="301"/>
      <c r="K732" s="301"/>
      <c r="L732" s="301"/>
      <c r="M732" s="301"/>
      <c r="N732" s="301"/>
      <c r="O732" s="301"/>
      <c r="P732" s="301"/>
      <c r="Q732" s="301"/>
      <c r="R732" s="301"/>
      <c r="S732" s="301"/>
      <c r="T732" s="366"/>
      <c r="U732" s="301"/>
      <c r="V732" s="301"/>
      <c r="W732" s="301"/>
      <c r="X732" s="301"/>
      <c r="Y732" s="301"/>
      <c r="Z732" s="301"/>
    </row>
    <row r="733">
      <c r="A733" s="301"/>
      <c r="B733" s="365"/>
      <c r="C733" s="301"/>
      <c r="D733" s="301"/>
      <c r="E733" s="301"/>
      <c r="F733" s="301"/>
      <c r="G733" s="301"/>
      <c r="H733" s="334"/>
      <c r="I733" s="334"/>
      <c r="J733" s="301"/>
      <c r="K733" s="301"/>
      <c r="L733" s="301"/>
      <c r="M733" s="301"/>
      <c r="N733" s="301"/>
      <c r="O733" s="301"/>
      <c r="P733" s="301"/>
      <c r="Q733" s="301"/>
      <c r="R733" s="301"/>
      <c r="S733" s="301"/>
      <c r="T733" s="366"/>
      <c r="U733" s="301"/>
      <c r="V733" s="301"/>
      <c r="W733" s="301"/>
      <c r="X733" s="301"/>
      <c r="Y733" s="301"/>
      <c r="Z733" s="301"/>
    </row>
    <row r="734">
      <c r="A734" s="301"/>
      <c r="B734" s="365"/>
      <c r="C734" s="301"/>
      <c r="D734" s="301"/>
      <c r="E734" s="301"/>
      <c r="F734" s="301"/>
      <c r="G734" s="301"/>
      <c r="H734" s="334"/>
      <c r="I734" s="334"/>
      <c r="J734" s="301"/>
      <c r="K734" s="301"/>
      <c r="L734" s="301"/>
      <c r="M734" s="301"/>
      <c r="N734" s="301"/>
      <c r="O734" s="301"/>
      <c r="P734" s="301"/>
      <c r="Q734" s="301"/>
      <c r="R734" s="301"/>
      <c r="S734" s="301"/>
      <c r="T734" s="366"/>
      <c r="U734" s="301"/>
      <c r="V734" s="301"/>
      <c r="W734" s="301"/>
      <c r="X734" s="301"/>
      <c r="Y734" s="301"/>
      <c r="Z734" s="301"/>
    </row>
    <row r="735">
      <c r="A735" s="301"/>
      <c r="B735" s="365"/>
      <c r="C735" s="301"/>
      <c r="D735" s="301"/>
      <c r="E735" s="301"/>
      <c r="F735" s="301"/>
      <c r="G735" s="301"/>
      <c r="H735" s="334"/>
      <c r="I735" s="334"/>
      <c r="J735" s="301"/>
      <c r="K735" s="301"/>
      <c r="L735" s="301"/>
      <c r="M735" s="301"/>
      <c r="N735" s="301"/>
      <c r="O735" s="301"/>
      <c r="P735" s="301"/>
      <c r="Q735" s="301"/>
      <c r="R735" s="301"/>
      <c r="S735" s="301"/>
      <c r="T735" s="366"/>
      <c r="U735" s="301"/>
      <c r="V735" s="301"/>
      <c r="W735" s="301"/>
      <c r="X735" s="301"/>
      <c r="Y735" s="301"/>
      <c r="Z735" s="301"/>
    </row>
    <row r="736">
      <c r="A736" s="301"/>
      <c r="B736" s="365"/>
      <c r="C736" s="301"/>
      <c r="D736" s="301"/>
      <c r="E736" s="301"/>
      <c r="F736" s="301"/>
      <c r="G736" s="301"/>
      <c r="H736" s="334"/>
      <c r="I736" s="334"/>
      <c r="J736" s="301"/>
      <c r="K736" s="301"/>
      <c r="L736" s="301"/>
      <c r="M736" s="301"/>
      <c r="N736" s="301"/>
      <c r="O736" s="301"/>
      <c r="P736" s="301"/>
      <c r="Q736" s="301"/>
      <c r="R736" s="301"/>
      <c r="S736" s="301"/>
      <c r="T736" s="366"/>
      <c r="U736" s="301"/>
      <c r="V736" s="301"/>
      <c r="W736" s="301"/>
      <c r="X736" s="301"/>
      <c r="Y736" s="301"/>
      <c r="Z736" s="301"/>
    </row>
    <row r="737">
      <c r="A737" s="301"/>
      <c r="B737" s="365"/>
      <c r="C737" s="301"/>
      <c r="D737" s="301"/>
      <c r="E737" s="301"/>
      <c r="F737" s="301"/>
      <c r="G737" s="301"/>
      <c r="H737" s="334"/>
      <c r="I737" s="334"/>
      <c r="J737" s="301"/>
      <c r="K737" s="301"/>
      <c r="L737" s="301"/>
      <c r="M737" s="301"/>
      <c r="N737" s="301"/>
      <c r="O737" s="301"/>
      <c r="P737" s="301"/>
      <c r="Q737" s="301"/>
      <c r="R737" s="301"/>
      <c r="S737" s="301"/>
      <c r="T737" s="366"/>
      <c r="U737" s="301"/>
      <c r="V737" s="301"/>
      <c r="W737" s="301"/>
      <c r="X737" s="301"/>
      <c r="Y737" s="301"/>
      <c r="Z737" s="301"/>
    </row>
    <row r="738">
      <c r="A738" s="301"/>
      <c r="B738" s="365"/>
      <c r="C738" s="301"/>
      <c r="D738" s="301"/>
      <c r="E738" s="301"/>
      <c r="F738" s="301"/>
      <c r="G738" s="301"/>
      <c r="H738" s="334"/>
      <c r="I738" s="334"/>
      <c r="J738" s="301"/>
      <c r="K738" s="301"/>
      <c r="L738" s="301"/>
      <c r="M738" s="301"/>
      <c r="N738" s="301"/>
      <c r="O738" s="301"/>
      <c r="P738" s="301"/>
      <c r="Q738" s="301"/>
      <c r="R738" s="301"/>
      <c r="S738" s="301"/>
      <c r="T738" s="366"/>
      <c r="U738" s="301"/>
      <c r="V738" s="301"/>
      <c r="W738" s="301"/>
      <c r="X738" s="301"/>
      <c r="Y738" s="301"/>
      <c r="Z738" s="301"/>
    </row>
    <row r="739">
      <c r="A739" s="301"/>
      <c r="B739" s="365"/>
      <c r="C739" s="301"/>
      <c r="D739" s="301"/>
      <c r="E739" s="301"/>
      <c r="F739" s="301"/>
      <c r="G739" s="301"/>
      <c r="H739" s="334"/>
      <c r="I739" s="334"/>
      <c r="J739" s="301"/>
      <c r="K739" s="301"/>
      <c r="L739" s="301"/>
      <c r="M739" s="301"/>
      <c r="N739" s="301"/>
      <c r="O739" s="301"/>
      <c r="P739" s="301"/>
      <c r="Q739" s="301"/>
      <c r="R739" s="301"/>
      <c r="S739" s="301"/>
      <c r="T739" s="366"/>
      <c r="U739" s="301"/>
      <c r="V739" s="301"/>
      <c r="W739" s="301"/>
      <c r="X739" s="301"/>
      <c r="Y739" s="301"/>
      <c r="Z739" s="301"/>
    </row>
    <row r="740">
      <c r="A740" s="301"/>
      <c r="B740" s="365"/>
      <c r="C740" s="301"/>
      <c r="D740" s="301"/>
      <c r="E740" s="301"/>
      <c r="F740" s="301"/>
      <c r="G740" s="301"/>
      <c r="H740" s="334"/>
      <c r="I740" s="334"/>
      <c r="J740" s="301"/>
      <c r="K740" s="301"/>
      <c r="L740" s="301"/>
      <c r="M740" s="301"/>
      <c r="N740" s="301"/>
      <c r="O740" s="301"/>
      <c r="P740" s="301"/>
      <c r="Q740" s="301"/>
      <c r="R740" s="301"/>
      <c r="S740" s="301"/>
      <c r="T740" s="366"/>
      <c r="U740" s="301"/>
      <c r="V740" s="301"/>
      <c r="W740" s="301"/>
      <c r="X740" s="301"/>
      <c r="Y740" s="301"/>
      <c r="Z740" s="301"/>
    </row>
    <row r="741">
      <c r="A741" s="301"/>
      <c r="B741" s="365"/>
      <c r="C741" s="301"/>
      <c r="D741" s="301"/>
      <c r="E741" s="301"/>
      <c r="F741" s="301"/>
      <c r="G741" s="301"/>
      <c r="H741" s="334"/>
      <c r="I741" s="334"/>
      <c r="J741" s="301"/>
      <c r="K741" s="301"/>
      <c r="L741" s="301"/>
      <c r="M741" s="301"/>
      <c r="N741" s="301"/>
      <c r="O741" s="301"/>
      <c r="P741" s="301"/>
      <c r="Q741" s="301"/>
      <c r="R741" s="301"/>
      <c r="S741" s="301"/>
      <c r="T741" s="366"/>
      <c r="U741" s="301"/>
      <c r="V741" s="301"/>
      <c r="W741" s="301"/>
      <c r="X741" s="301"/>
      <c r="Y741" s="301"/>
      <c r="Z741" s="301"/>
    </row>
    <row r="742">
      <c r="A742" s="301"/>
      <c r="B742" s="365"/>
      <c r="C742" s="301"/>
      <c r="D742" s="301"/>
      <c r="E742" s="301"/>
      <c r="F742" s="301"/>
      <c r="G742" s="301"/>
      <c r="H742" s="334"/>
      <c r="I742" s="334"/>
      <c r="J742" s="301"/>
      <c r="K742" s="301"/>
      <c r="L742" s="301"/>
      <c r="M742" s="301"/>
      <c r="N742" s="301"/>
      <c r="O742" s="301"/>
      <c r="P742" s="301"/>
      <c r="Q742" s="301"/>
      <c r="R742" s="301"/>
      <c r="S742" s="301"/>
      <c r="T742" s="366"/>
      <c r="U742" s="301"/>
      <c r="V742" s="301"/>
      <c r="W742" s="301"/>
      <c r="X742" s="301"/>
      <c r="Y742" s="301"/>
      <c r="Z742" s="301"/>
    </row>
    <row r="743">
      <c r="A743" s="301"/>
      <c r="B743" s="365"/>
      <c r="C743" s="301"/>
      <c r="D743" s="301"/>
      <c r="E743" s="301"/>
      <c r="F743" s="301"/>
      <c r="G743" s="301"/>
      <c r="H743" s="334"/>
      <c r="I743" s="334"/>
      <c r="J743" s="301"/>
      <c r="K743" s="301"/>
      <c r="L743" s="301"/>
      <c r="M743" s="301"/>
      <c r="N743" s="301"/>
      <c r="O743" s="301"/>
      <c r="P743" s="301"/>
      <c r="Q743" s="301"/>
      <c r="R743" s="301"/>
      <c r="S743" s="301"/>
      <c r="T743" s="366"/>
      <c r="U743" s="301"/>
      <c r="V743" s="301"/>
      <c r="W743" s="301"/>
      <c r="X743" s="301"/>
      <c r="Y743" s="301"/>
      <c r="Z743" s="301"/>
    </row>
    <row r="744">
      <c r="A744" s="301"/>
      <c r="B744" s="365"/>
      <c r="C744" s="301"/>
      <c r="D744" s="301"/>
      <c r="E744" s="301"/>
      <c r="F744" s="301"/>
      <c r="G744" s="301"/>
      <c r="H744" s="334"/>
      <c r="I744" s="334"/>
      <c r="J744" s="301"/>
      <c r="K744" s="301"/>
      <c r="L744" s="301"/>
      <c r="M744" s="301"/>
      <c r="N744" s="301"/>
      <c r="O744" s="301"/>
      <c r="P744" s="301"/>
      <c r="Q744" s="301"/>
      <c r="R744" s="301"/>
      <c r="S744" s="301"/>
      <c r="T744" s="366"/>
      <c r="U744" s="301"/>
      <c r="V744" s="301"/>
      <c r="W744" s="301"/>
      <c r="X744" s="301"/>
      <c r="Y744" s="301"/>
      <c r="Z744" s="301"/>
    </row>
    <row r="745">
      <c r="A745" s="301"/>
      <c r="B745" s="365"/>
      <c r="C745" s="301"/>
      <c r="D745" s="301"/>
      <c r="E745" s="301"/>
      <c r="F745" s="301"/>
      <c r="G745" s="301"/>
      <c r="H745" s="334"/>
      <c r="I745" s="334"/>
      <c r="J745" s="301"/>
      <c r="K745" s="301"/>
      <c r="L745" s="301"/>
      <c r="M745" s="301"/>
      <c r="N745" s="301"/>
      <c r="O745" s="301"/>
      <c r="P745" s="301"/>
      <c r="Q745" s="301"/>
      <c r="R745" s="301"/>
      <c r="S745" s="301"/>
      <c r="T745" s="366"/>
      <c r="U745" s="301"/>
      <c r="V745" s="301"/>
      <c r="W745" s="301"/>
      <c r="X745" s="301"/>
      <c r="Y745" s="301"/>
      <c r="Z745" s="301"/>
    </row>
    <row r="746">
      <c r="A746" s="301"/>
      <c r="B746" s="365"/>
      <c r="C746" s="301"/>
      <c r="D746" s="301"/>
      <c r="E746" s="301"/>
      <c r="F746" s="301"/>
      <c r="G746" s="301"/>
      <c r="H746" s="334"/>
      <c r="I746" s="334"/>
      <c r="J746" s="301"/>
      <c r="K746" s="301"/>
      <c r="L746" s="301"/>
      <c r="M746" s="301"/>
      <c r="N746" s="301"/>
      <c r="O746" s="301"/>
      <c r="P746" s="301"/>
      <c r="Q746" s="301"/>
      <c r="R746" s="301"/>
      <c r="S746" s="301"/>
      <c r="T746" s="366"/>
      <c r="U746" s="301"/>
      <c r="V746" s="301"/>
      <c r="W746" s="301"/>
      <c r="X746" s="301"/>
      <c r="Y746" s="301"/>
      <c r="Z746" s="301"/>
    </row>
    <row r="747">
      <c r="A747" s="301"/>
      <c r="B747" s="365"/>
      <c r="C747" s="301"/>
      <c r="D747" s="301"/>
      <c r="E747" s="301"/>
      <c r="F747" s="301"/>
      <c r="G747" s="301"/>
      <c r="H747" s="334"/>
      <c r="I747" s="334"/>
      <c r="J747" s="301"/>
      <c r="K747" s="301"/>
      <c r="L747" s="301"/>
      <c r="M747" s="301"/>
      <c r="N747" s="301"/>
      <c r="O747" s="301"/>
      <c r="P747" s="301"/>
      <c r="Q747" s="301"/>
      <c r="R747" s="301"/>
      <c r="S747" s="301"/>
      <c r="T747" s="366"/>
      <c r="U747" s="301"/>
      <c r="V747" s="301"/>
      <c r="W747" s="301"/>
      <c r="X747" s="301"/>
      <c r="Y747" s="301"/>
      <c r="Z747" s="301"/>
    </row>
    <row r="748">
      <c r="A748" s="301"/>
      <c r="B748" s="365"/>
      <c r="C748" s="301"/>
      <c r="D748" s="301"/>
      <c r="E748" s="301"/>
      <c r="F748" s="301"/>
      <c r="G748" s="301"/>
      <c r="H748" s="334"/>
      <c r="I748" s="334"/>
      <c r="J748" s="301"/>
      <c r="K748" s="301"/>
      <c r="L748" s="301"/>
      <c r="M748" s="301"/>
      <c r="N748" s="301"/>
      <c r="O748" s="301"/>
      <c r="P748" s="301"/>
      <c r="Q748" s="301"/>
      <c r="R748" s="301"/>
      <c r="S748" s="301"/>
      <c r="T748" s="366"/>
      <c r="U748" s="301"/>
      <c r="V748" s="301"/>
      <c r="W748" s="301"/>
      <c r="X748" s="301"/>
      <c r="Y748" s="301"/>
      <c r="Z748" s="301"/>
    </row>
    <row r="749">
      <c r="A749" s="301"/>
      <c r="B749" s="365"/>
      <c r="C749" s="301"/>
      <c r="D749" s="301"/>
      <c r="E749" s="301"/>
      <c r="F749" s="301"/>
      <c r="G749" s="301"/>
      <c r="H749" s="334"/>
      <c r="I749" s="334"/>
      <c r="J749" s="301"/>
      <c r="K749" s="301"/>
      <c r="L749" s="301"/>
      <c r="M749" s="301"/>
      <c r="N749" s="301"/>
      <c r="O749" s="301"/>
      <c r="P749" s="301"/>
      <c r="Q749" s="301"/>
      <c r="R749" s="301"/>
      <c r="S749" s="301"/>
      <c r="T749" s="366"/>
      <c r="U749" s="301"/>
      <c r="V749" s="301"/>
      <c r="W749" s="301"/>
      <c r="X749" s="301"/>
      <c r="Y749" s="301"/>
      <c r="Z749" s="301"/>
    </row>
    <row r="750">
      <c r="A750" s="301"/>
      <c r="B750" s="365"/>
      <c r="C750" s="301"/>
      <c r="D750" s="301"/>
      <c r="E750" s="301"/>
      <c r="F750" s="301"/>
      <c r="G750" s="301"/>
      <c r="H750" s="334"/>
      <c r="I750" s="334"/>
      <c r="J750" s="301"/>
      <c r="K750" s="301"/>
      <c r="L750" s="301"/>
      <c r="M750" s="301"/>
      <c r="N750" s="301"/>
      <c r="O750" s="301"/>
      <c r="P750" s="301"/>
      <c r="Q750" s="301"/>
      <c r="R750" s="301"/>
      <c r="S750" s="301"/>
      <c r="T750" s="366"/>
      <c r="U750" s="301"/>
      <c r="V750" s="301"/>
      <c r="W750" s="301"/>
      <c r="X750" s="301"/>
      <c r="Y750" s="301"/>
      <c r="Z750" s="301"/>
    </row>
    <row r="751">
      <c r="A751" s="301"/>
      <c r="B751" s="365"/>
      <c r="C751" s="301"/>
      <c r="D751" s="301"/>
      <c r="E751" s="301"/>
      <c r="F751" s="301"/>
      <c r="G751" s="301"/>
      <c r="H751" s="334"/>
      <c r="I751" s="334"/>
      <c r="J751" s="301"/>
      <c r="K751" s="301"/>
      <c r="L751" s="301"/>
      <c r="M751" s="301"/>
      <c r="N751" s="301"/>
      <c r="O751" s="301"/>
      <c r="P751" s="301"/>
      <c r="Q751" s="301"/>
      <c r="R751" s="301"/>
      <c r="S751" s="301"/>
      <c r="T751" s="366"/>
      <c r="U751" s="301"/>
      <c r="V751" s="301"/>
      <c r="W751" s="301"/>
      <c r="X751" s="301"/>
      <c r="Y751" s="301"/>
      <c r="Z751" s="301"/>
    </row>
    <row r="752">
      <c r="A752" s="301"/>
      <c r="B752" s="365"/>
      <c r="C752" s="301"/>
      <c r="D752" s="301"/>
      <c r="E752" s="301"/>
      <c r="F752" s="301"/>
      <c r="G752" s="301"/>
      <c r="H752" s="334"/>
      <c r="I752" s="334"/>
      <c r="J752" s="301"/>
      <c r="K752" s="301"/>
      <c r="L752" s="301"/>
      <c r="M752" s="301"/>
      <c r="N752" s="301"/>
      <c r="O752" s="301"/>
      <c r="P752" s="301"/>
      <c r="Q752" s="301"/>
      <c r="R752" s="301"/>
      <c r="S752" s="301"/>
      <c r="T752" s="366"/>
      <c r="U752" s="301"/>
      <c r="V752" s="301"/>
      <c r="W752" s="301"/>
      <c r="X752" s="301"/>
      <c r="Y752" s="301"/>
      <c r="Z752" s="301"/>
    </row>
    <row r="753">
      <c r="A753" s="301"/>
      <c r="B753" s="365"/>
      <c r="C753" s="301"/>
      <c r="D753" s="301"/>
      <c r="E753" s="301"/>
      <c r="F753" s="301"/>
      <c r="G753" s="301"/>
      <c r="H753" s="334"/>
      <c r="I753" s="334"/>
      <c r="J753" s="301"/>
      <c r="K753" s="301"/>
      <c r="L753" s="301"/>
      <c r="M753" s="301"/>
      <c r="N753" s="301"/>
      <c r="O753" s="301"/>
      <c r="P753" s="301"/>
      <c r="Q753" s="301"/>
      <c r="R753" s="301"/>
      <c r="S753" s="301"/>
      <c r="T753" s="366"/>
      <c r="U753" s="301"/>
      <c r="V753" s="301"/>
      <c r="W753" s="301"/>
      <c r="X753" s="301"/>
      <c r="Y753" s="301"/>
      <c r="Z753" s="301"/>
    </row>
    <row r="754">
      <c r="A754" s="301"/>
      <c r="B754" s="365"/>
      <c r="C754" s="301"/>
      <c r="D754" s="301"/>
      <c r="E754" s="301"/>
      <c r="F754" s="301"/>
      <c r="G754" s="301"/>
      <c r="H754" s="334"/>
      <c r="I754" s="334"/>
      <c r="J754" s="301"/>
      <c r="K754" s="301"/>
      <c r="L754" s="301"/>
      <c r="M754" s="301"/>
      <c r="N754" s="301"/>
      <c r="O754" s="301"/>
      <c r="P754" s="301"/>
      <c r="Q754" s="301"/>
      <c r="R754" s="301"/>
      <c r="S754" s="301"/>
      <c r="T754" s="366"/>
      <c r="U754" s="301"/>
      <c r="V754" s="301"/>
      <c r="W754" s="301"/>
      <c r="X754" s="301"/>
      <c r="Y754" s="301"/>
      <c r="Z754" s="301"/>
    </row>
    <row r="755">
      <c r="A755" s="301"/>
      <c r="B755" s="365"/>
      <c r="C755" s="301"/>
      <c r="D755" s="301"/>
      <c r="E755" s="301"/>
      <c r="F755" s="301"/>
      <c r="G755" s="301"/>
      <c r="H755" s="334"/>
      <c r="I755" s="334"/>
      <c r="J755" s="301"/>
      <c r="K755" s="301"/>
      <c r="L755" s="301"/>
      <c r="M755" s="301"/>
      <c r="N755" s="301"/>
      <c r="O755" s="301"/>
      <c r="P755" s="301"/>
      <c r="Q755" s="301"/>
      <c r="R755" s="301"/>
      <c r="S755" s="301"/>
      <c r="T755" s="366"/>
      <c r="U755" s="301"/>
      <c r="V755" s="301"/>
      <c r="W755" s="301"/>
      <c r="X755" s="301"/>
      <c r="Y755" s="301"/>
      <c r="Z755" s="301"/>
    </row>
    <row r="756">
      <c r="A756" s="301"/>
      <c r="B756" s="365"/>
      <c r="C756" s="301"/>
      <c r="D756" s="301"/>
      <c r="E756" s="301"/>
      <c r="F756" s="301"/>
      <c r="G756" s="301"/>
      <c r="H756" s="334"/>
      <c r="I756" s="334"/>
      <c r="J756" s="301"/>
      <c r="K756" s="301"/>
      <c r="L756" s="301"/>
      <c r="M756" s="301"/>
      <c r="N756" s="301"/>
      <c r="O756" s="301"/>
      <c r="P756" s="301"/>
      <c r="Q756" s="301"/>
      <c r="R756" s="301"/>
      <c r="S756" s="301"/>
      <c r="T756" s="366"/>
      <c r="U756" s="301"/>
      <c r="V756" s="301"/>
      <c r="W756" s="301"/>
      <c r="X756" s="301"/>
      <c r="Y756" s="301"/>
      <c r="Z756" s="301"/>
    </row>
    <row r="757">
      <c r="A757" s="301"/>
      <c r="B757" s="365"/>
      <c r="C757" s="301"/>
      <c r="D757" s="301"/>
      <c r="E757" s="301"/>
      <c r="F757" s="301"/>
      <c r="G757" s="301"/>
      <c r="H757" s="334"/>
      <c r="I757" s="334"/>
      <c r="J757" s="301"/>
      <c r="K757" s="301"/>
      <c r="L757" s="301"/>
      <c r="M757" s="301"/>
      <c r="N757" s="301"/>
      <c r="O757" s="301"/>
      <c r="P757" s="301"/>
      <c r="Q757" s="301"/>
      <c r="R757" s="301"/>
      <c r="S757" s="301"/>
      <c r="T757" s="366"/>
      <c r="U757" s="301"/>
      <c r="V757" s="301"/>
      <c r="W757" s="301"/>
      <c r="X757" s="301"/>
      <c r="Y757" s="301"/>
      <c r="Z757" s="301"/>
    </row>
    <row r="758">
      <c r="A758" s="301"/>
      <c r="B758" s="365"/>
      <c r="C758" s="301"/>
      <c r="D758" s="301"/>
      <c r="E758" s="301"/>
      <c r="F758" s="301"/>
      <c r="G758" s="301"/>
      <c r="H758" s="334"/>
      <c r="I758" s="334"/>
      <c r="J758" s="301"/>
      <c r="K758" s="301"/>
      <c r="L758" s="301"/>
      <c r="M758" s="301"/>
      <c r="N758" s="301"/>
      <c r="O758" s="301"/>
      <c r="P758" s="301"/>
      <c r="Q758" s="301"/>
      <c r="R758" s="301"/>
      <c r="S758" s="301"/>
      <c r="T758" s="366"/>
      <c r="U758" s="301"/>
      <c r="V758" s="301"/>
      <c r="W758" s="301"/>
      <c r="X758" s="301"/>
      <c r="Y758" s="301"/>
      <c r="Z758" s="301"/>
    </row>
    <row r="759">
      <c r="A759" s="301"/>
      <c r="B759" s="365"/>
      <c r="C759" s="301"/>
      <c r="D759" s="301"/>
      <c r="E759" s="301"/>
      <c r="F759" s="301"/>
      <c r="G759" s="301"/>
      <c r="H759" s="334"/>
      <c r="I759" s="334"/>
      <c r="J759" s="301"/>
      <c r="K759" s="301"/>
      <c r="L759" s="301"/>
      <c r="M759" s="301"/>
      <c r="N759" s="301"/>
      <c r="O759" s="301"/>
      <c r="P759" s="301"/>
      <c r="Q759" s="301"/>
      <c r="R759" s="301"/>
      <c r="S759" s="301"/>
      <c r="T759" s="366"/>
      <c r="U759" s="301"/>
      <c r="V759" s="301"/>
      <c r="W759" s="301"/>
      <c r="X759" s="301"/>
      <c r="Y759" s="301"/>
      <c r="Z759" s="301"/>
    </row>
    <row r="760">
      <c r="A760" s="301"/>
      <c r="B760" s="365"/>
      <c r="C760" s="301"/>
      <c r="D760" s="301"/>
      <c r="E760" s="301"/>
      <c r="F760" s="301"/>
      <c r="G760" s="301"/>
      <c r="H760" s="334"/>
      <c r="I760" s="334"/>
      <c r="J760" s="301"/>
      <c r="K760" s="301"/>
      <c r="L760" s="301"/>
      <c r="M760" s="301"/>
      <c r="N760" s="301"/>
      <c r="O760" s="301"/>
      <c r="P760" s="301"/>
      <c r="Q760" s="301"/>
      <c r="R760" s="301"/>
      <c r="S760" s="301"/>
      <c r="T760" s="366"/>
      <c r="U760" s="301"/>
      <c r="V760" s="301"/>
      <c r="W760" s="301"/>
      <c r="X760" s="301"/>
      <c r="Y760" s="301"/>
      <c r="Z760" s="301"/>
    </row>
    <row r="761">
      <c r="A761" s="301"/>
      <c r="B761" s="365"/>
      <c r="C761" s="301"/>
      <c r="D761" s="301"/>
      <c r="E761" s="301"/>
      <c r="F761" s="301"/>
      <c r="G761" s="301"/>
      <c r="H761" s="334"/>
      <c r="I761" s="334"/>
      <c r="J761" s="301"/>
      <c r="K761" s="301"/>
      <c r="L761" s="301"/>
      <c r="M761" s="301"/>
      <c r="N761" s="301"/>
      <c r="O761" s="301"/>
      <c r="P761" s="301"/>
      <c r="Q761" s="301"/>
      <c r="R761" s="301"/>
      <c r="S761" s="301"/>
      <c r="T761" s="366"/>
      <c r="U761" s="301"/>
      <c r="V761" s="301"/>
      <c r="W761" s="301"/>
      <c r="X761" s="301"/>
      <c r="Y761" s="301"/>
      <c r="Z761" s="301"/>
    </row>
    <row r="762">
      <c r="A762" s="301"/>
      <c r="B762" s="365"/>
      <c r="C762" s="301"/>
      <c r="D762" s="301"/>
      <c r="E762" s="301"/>
      <c r="F762" s="301"/>
      <c r="G762" s="301"/>
      <c r="H762" s="334"/>
      <c r="I762" s="334"/>
      <c r="J762" s="301"/>
      <c r="K762" s="301"/>
      <c r="L762" s="301"/>
      <c r="M762" s="301"/>
      <c r="N762" s="301"/>
      <c r="O762" s="301"/>
      <c r="P762" s="301"/>
      <c r="Q762" s="301"/>
      <c r="R762" s="301"/>
      <c r="S762" s="301"/>
      <c r="T762" s="366"/>
      <c r="U762" s="301"/>
      <c r="V762" s="301"/>
      <c r="W762" s="301"/>
      <c r="X762" s="301"/>
      <c r="Y762" s="301"/>
      <c r="Z762" s="301"/>
    </row>
    <row r="763">
      <c r="A763" s="301"/>
      <c r="B763" s="365"/>
      <c r="C763" s="301"/>
      <c r="D763" s="301"/>
      <c r="E763" s="301"/>
      <c r="F763" s="301"/>
      <c r="G763" s="301"/>
      <c r="H763" s="334"/>
      <c r="I763" s="334"/>
      <c r="J763" s="301"/>
      <c r="K763" s="301"/>
      <c r="L763" s="301"/>
      <c r="M763" s="301"/>
      <c r="N763" s="301"/>
      <c r="O763" s="301"/>
      <c r="P763" s="301"/>
      <c r="Q763" s="301"/>
      <c r="R763" s="301"/>
      <c r="S763" s="301"/>
      <c r="T763" s="366"/>
      <c r="U763" s="301"/>
      <c r="V763" s="301"/>
      <c r="W763" s="301"/>
      <c r="X763" s="301"/>
      <c r="Y763" s="301"/>
      <c r="Z763" s="301"/>
    </row>
    <row r="764">
      <c r="A764" s="301"/>
      <c r="B764" s="365"/>
      <c r="C764" s="301"/>
      <c r="D764" s="301"/>
      <c r="E764" s="301"/>
      <c r="F764" s="301"/>
      <c r="G764" s="301"/>
      <c r="H764" s="334"/>
      <c r="I764" s="334"/>
      <c r="J764" s="301"/>
      <c r="K764" s="301"/>
      <c r="L764" s="301"/>
      <c r="M764" s="301"/>
      <c r="N764" s="301"/>
      <c r="O764" s="301"/>
      <c r="P764" s="301"/>
      <c r="Q764" s="301"/>
      <c r="R764" s="301"/>
      <c r="S764" s="301"/>
      <c r="T764" s="366"/>
      <c r="U764" s="301"/>
      <c r="V764" s="301"/>
      <c r="W764" s="301"/>
      <c r="X764" s="301"/>
      <c r="Y764" s="301"/>
      <c r="Z764" s="301"/>
    </row>
    <row r="765">
      <c r="A765" s="301"/>
      <c r="B765" s="365"/>
      <c r="C765" s="301"/>
      <c r="D765" s="301"/>
      <c r="E765" s="301"/>
      <c r="F765" s="301"/>
      <c r="G765" s="301"/>
      <c r="H765" s="334"/>
      <c r="I765" s="334"/>
      <c r="J765" s="301"/>
      <c r="K765" s="301"/>
      <c r="L765" s="301"/>
      <c r="M765" s="301"/>
      <c r="N765" s="301"/>
      <c r="O765" s="301"/>
      <c r="P765" s="301"/>
      <c r="Q765" s="301"/>
      <c r="R765" s="301"/>
      <c r="S765" s="301"/>
      <c r="T765" s="366"/>
      <c r="U765" s="301"/>
      <c r="V765" s="301"/>
      <c r="W765" s="301"/>
      <c r="X765" s="301"/>
      <c r="Y765" s="301"/>
      <c r="Z765" s="301"/>
    </row>
    <row r="766">
      <c r="A766" s="301"/>
      <c r="B766" s="365"/>
      <c r="C766" s="301"/>
      <c r="D766" s="301"/>
      <c r="E766" s="301"/>
      <c r="F766" s="301"/>
      <c r="G766" s="301"/>
      <c r="H766" s="334"/>
      <c r="I766" s="334"/>
      <c r="J766" s="301"/>
      <c r="K766" s="301"/>
      <c r="L766" s="301"/>
      <c r="M766" s="301"/>
      <c r="N766" s="301"/>
      <c r="O766" s="301"/>
      <c r="P766" s="301"/>
      <c r="Q766" s="301"/>
      <c r="R766" s="301"/>
      <c r="S766" s="301"/>
      <c r="T766" s="366"/>
      <c r="U766" s="301"/>
      <c r="V766" s="301"/>
      <c r="W766" s="301"/>
      <c r="X766" s="301"/>
      <c r="Y766" s="301"/>
      <c r="Z766" s="301"/>
    </row>
    <row r="767">
      <c r="A767" s="301"/>
      <c r="B767" s="365"/>
      <c r="C767" s="301"/>
      <c r="D767" s="301"/>
      <c r="E767" s="301"/>
      <c r="F767" s="301"/>
      <c r="G767" s="301"/>
      <c r="H767" s="334"/>
      <c r="I767" s="334"/>
      <c r="J767" s="301"/>
      <c r="K767" s="301"/>
      <c r="L767" s="301"/>
      <c r="M767" s="301"/>
      <c r="N767" s="301"/>
      <c r="O767" s="301"/>
      <c r="P767" s="301"/>
      <c r="Q767" s="301"/>
      <c r="R767" s="301"/>
      <c r="S767" s="301"/>
      <c r="T767" s="366"/>
      <c r="U767" s="301"/>
      <c r="V767" s="301"/>
      <c r="W767" s="301"/>
      <c r="X767" s="301"/>
      <c r="Y767" s="301"/>
      <c r="Z767" s="301"/>
    </row>
    <row r="768">
      <c r="A768" s="301"/>
      <c r="B768" s="365"/>
      <c r="C768" s="301"/>
      <c r="D768" s="301"/>
      <c r="E768" s="301"/>
      <c r="F768" s="301"/>
      <c r="G768" s="301"/>
      <c r="H768" s="334"/>
      <c r="I768" s="334"/>
      <c r="J768" s="301"/>
      <c r="K768" s="301"/>
      <c r="L768" s="301"/>
      <c r="M768" s="301"/>
      <c r="N768" s="301"/>
      <c r="O768" s="301"/>
      <c r="P768" s="301"/>
      <c r="Q768" s="301"/>
      <c r="R768" s="301"/>
      <c r="S768" s="301"/>
      <c r="T768" s="366"/>
      <c r="U768" s="301"/>
      <c r="V768" s="301"/>
      <c r="W768" s="301"/>
      <c r="X768" s="301"/>
      <c r="Y768" s="301"/>
      <c r="Z768" s="301"/>
    </row>
    <row r="769">
      <c r="A769" s="301"/>
      <c r="B769" s="365"/>
      <c r="C769" s="301"/>
      <c r="D769" s="301"/>
      <c r="E769" s="301"/>
      <c r="F769" s="301"/>
      <c r="G769" s="301"/>
      <c r="H769" s="334"/>
      <c r="I769" s="334"/>
      <c r="J769" s="301"/>
      <c r="K769" s="301"/>
      <c r="L769" s="301"/>
      <c r="M769" s="301"/>
      <c r="N769" s="301"/>
      <c r="O769" s="301"/>
      <c r="P769" s="301"/>
      <c r="Q769" s="301"/>
      <c r="R769" s="301"/>
      <c r="S769" s="301"/>
      <c r="T769" s="366"/>
      <c r="U769" s="301"/>
      <c r="V769" s="301"/>
      <c r="W769" s="301"/>
      <c r="X769" s="301"/>
      <c r="Y769" s="301"/>
      <c r="Z769" s="301"/>
    </row>
    <row r="770">
      <c r="A770" s="301"/>
      <c r="B770" s="365"/>
      <c r="C770" s="301"/>
      <c r="D770" s="301"/>
      <c r="E770" s="301"/>
      <c r="F770" s="301"/>
      <c r="G770" s="301"/>
      <c r="H770" s="334"/>
      <c r="I770" s="334"/>
      <c r="J770" s="301"/>
      <c r="K770" s="301"/>
      <c r="L770" s="301"/>
      <c r="M770" s="301"/>
      <c r="N770" s="301"/>
      <c r="O770" s="301"/>
      <c r="P770" s="301"/>
      <c r="Q770" s="301"/>
      <c r="R770" s="301"/>
      <c r="S770" s="301"/>
      <c r="T770" s="366"/>
      <c r="U770" s="301"/>
      <c r="V770" s="301"/>
      <c r="W770" s="301"/>
      <c r="X770" s="301"/>
      <c r="Y770" s="301"/>
      <c r="Z770" s="301"/>
    </row>
    <row r="771">
      <c r="A771" s="301"/>
      <c r="B771" s="365"/>
      <c r="C771" s="301"/>
      <c r="D771" s="301"/>
      <c r="E771" s="301"/>
      <c r="F771" s="301"/>
      <c r="G771" s="301"/>
      <c r="H771" s="334"/>
      <c r="I771" s="334"/>
      <c r="J771" s="301"/>
      <c r="K771" s="301"/>
      <c r="L771" s="301"/>
      <c r="M771" s="301"/>
      <c r="N771" s="301"/>
      <c r="O771" s="301"/>
      <c r="P771" s="301"/>
      <c r="Q771" s="301"/>
      <c r="R771" s="301"/>
      <c r="S771" s="301"/>
      <c r="T771" s="366"/>
      <c r="U771" s="301"/>
      <c r="V771" s="301"/>
      <c r="W771" s="301"/>
      <c r="X771" s="301"/>
      <c r="Y771" s="301"/>
      <c r="Z771" s="301"/>
    </row>
    <row r="772">
      <c r="A772" s="301"/>
      <c r="B772" s="365"/>
      <c r="C772" s="301"/>
      <c r="D772" s="301"/>
      <c r="E772" s="301"/>
      <c r="F772" s="301"/>
      <c r="G772" s="301"/>
      <c r="H772" s="334"/>
      <c r="I772" s="334"/>
      <c r="J772" s="301"/>
      <c r="K772" s="301"/>
      <c r="L772" s="301"/>
      <c r="M772" s="301"/>
      <c r="N772" s="301"/>
      <c r="O772" s="301"/>
      <c r="P772" s="301"/>
      <c r="Q772" s="301"/>
      <c r="R772" s="301"/>
      <c r="S772" s="301"/>
      <c r="T772" s="366"/>
      <c r="U772" s="301"/>
      <c r="V772" s="301"/>
      <c r="W772" s="301"/>
      <c r="X772" s="301"/>
      <c r="Y772" s="301"/>
      <c r="Z772" s="301"/>
    </row>
    <row r="773">
      <c r="A773" s="301"/>
      <c r="B773" s="365"/>
      <c r="C773" s="301"/>
      <c r="D773" s="301"/>
      <c r="E773" s="301"/>
      <c r="F773" s="301"/>
      <c r="G773" s="301"/>
      <c r="H773" s="334"/>
      <c r="I773" s="334"/>
      <c r="J773" s="301"/>
      <c r="K773" s="301"/>
      <c r="L773" s="301"/>
      <c r="M773" s="301"/>
      <c r="N773" s="301"/>
      <c r="O773" s="301"/>
      <c r="P773" s="301"/>
      <c r="Q773" s="301"/>
      <c r="R773" s="301"/>
      <c r="S773" s="301"/>
      <c r="T773" s="366"/>
      <c r="U773" s="301"/>
      <c r="V773" s="301"/>
      <c r="W773" s="301"/>
      <c r="X773" s="301"/>
      <c r="Y773" s="301"/>
      <c r="Z773" s="301"/>
    </row>
    <row r="774">
      <c r="A774" s="301"/>
      <c r="B774" s="365"/>
      <c r="C774" s="301"/>
      <c r="D774" s="301"/>
      <c r="E774" s="301"/>
      <c r="F774" s="301"/>
      <c r="G774" s="301"/>
      <c r="H774" s="334"/>
      <c r="I774" s="334"/>
      <c r="J774" s="301"/>
      <c r="K774" s="301"/>
      <c r="L774" s="301"/>
      <c r="M774" s="301"/>
      <c r="N774" s="301"/>
      <c r="O774" s="301"/>
      <c r="P774" s="301"/>
      <c r="Q774" s="301"/>
      <c r="R774" s="301"/>
      <c r="S774" s="301"/>
      <c r="T774" s="366"/>
      <c r="U774" s="301"/>
      <c r="V774" s="301"/>
      <c r="W774" s="301"/>
      <c r="X774" s="301"/>
      <c r="Y774" s="301"/>
      <c r="Z774" s="301"/>
    </row>
    <row r="775">
      <c r="A775" s="301"/>
      <c r="B775" s="365"/>
      <c r="C775" s="301"/>
      <c r="D775" s="301"/>
      <c r="E775" s="301"/>
      <c r="F775" s="301"/>
      <c r="G775" s="301"/>
      <c r="H775" s="334"/>
      <c r="I775" s="334"/>
      <c r="J775" s="301"/>
      <c r="K775" s="301"/>
      <c r="L775" s="301"/>
      <c r="M775" s="301"/>
      <c r="N775" s="301"/>
      <c r="O775" s="301"/>
      <c r="P775" s="301"/>
      <c r="Q775" s="301"/>
      <c r="R775" s="301"/>
      <c r="S775" s="301"/>
      <c r="T775" s="366"/>
      <c r="U775" s="301"/>
      <c r="V775" s="301"/>
      <c r="W775" s="301"/>
      <c r="X775" s="301"/>
      <c r="Y775" s="301"/>
      <c r="Z775" s="301"/>
    </row>
    <row r="776">
      <c r="A776" s="301"/>
      <c r="B776" s="365"/>
      <c r="C776" s="301"/>
      <c r="D776" s="301"/>
      <c r="E776" s="301"/>
      <c r="F776" s="301"/>
      <c r="G776" s="301"/>
      <c r="H776" s="334"/>
      <c r="I776" s="334"/>
      <c r="J776" s="301"/>
      <c r="K776" s="301"/>
      <c r="L776" s="301"/>
      <c r="M776" s="301"/>
      <c r="N776" s="301"/>
      <c r="O776" s="301"/>
      <c r="P776" s="301"/>
      <c r="Q776" s="301"/>
      <c r="R776" s="301"/>
      <c r="S776" s="301"/>
      <c r="T776" s="366"/>
      <c r="U776" s="301"/>
      <c r="V776" s="301"/>
      <c r="W776" s="301"/>
      <c r="X776" s="301"/>
      <c r="Y776" s="301"/>
      <c r="Z776" s="301"/>
    </row>
    <row r="777">
      <c r="A777" s="301"/>
      <c r="B777" s="365"/>
      <c r="C777" s="301"/>
      <c r="D777" s="301"/>
      <c r="E777" s="301"/>
      <c r="F777" s="301"/>
      <c r="G777" s="301"/>
      <c r="H777" s="334"/>
      <c r="I777" s="334"/>
      <c r="J777" s="301"/>
      <c r="K777" s="301"/>
      <c r="L777" s="301"/>
      <c r="M777" s="301"/>
      <c r="N777" s="301"/>
      <c r="O777" s="301"/>
      <c r="P777" s="301"/>
      <c r="Q777" s="301"/>
      <c r="R777" s="301"/>
      <c r="S777" s="301"/>
      <c r="T777" s="366"/>
      <c r="U777" s="301"/>
      <c r="V777" s="301"/>
      <c r="W777" s="301"/>
      <c r="X777" s="301"/>
      <c r="Y777" s="301"/>
      <c r="Z777" s="301"/>
    </row>
    <row r="778">
      <c r="A778" s="301"/>
      <c r="B778" s="365"/>
      <c r="C778" s="301"/>
      <c r="D778" s="301"/>
      <c r="E778" s="301"/>
      <c r="F778" s="301"/>
      <c r="G778" s="301"/>
      <c r="H778" s="334"/>
      <c r="I778" s="334"/>
      <c r="J778" s="301"/>
      <c r="K778" s="301"/>
      <c r="L778" s="301"/>
      <c r="M778" s="301"/>
      <c r="N778" s="301"/>
      <c r="O778" s="301"/>
      <c r="P778" s="301"/>
      <c r="Q778" s="301"/>
      <c r="R778" s="301"/>
      <c r="S778" s="301"/>
      <c r="T778" s="366"/>
      <c r="U778" s="301"/>
      <c r="V778" s="301"/>
      <c r="W778" s="301"/>
      <c r="X778" s="301"/>
      <c r="Y778" s="301"/>
      <c r="Z778" s="301"/>
    </row>
    <row r="779">
      <c r="A779" s="301"/>
      <c r="B779" s="365"/>
      <c r="C779" s="301"/>
      <c r="D779" s="301"/>
      <c r="E779" s="301"/>
      <c r="F779" s="301"/>
      <c r="G779" s="301"/>
      <c r="H779" s="334"/>
      <c r="I779" s="334"/>
      <c r="J779" s="301"/>
      <c r="K779" s="301"/>
      <c r="L779" s="301"/>
      <c r="M779" s="301"/>
      <c r="N779" s="301"/>
      <c r="O779" s="301"/>
      <c r="P779" s="301"/>
      <c r="Q779" s="301"/>
      <c r="R779" s="301"/>
      <c r="S779" s="301"/>
      <c r="T779" s="366"/>
      <c r="U779" s="301"/>
      <c r="V779" s="301"/>
      <c r="W779" s="301"/>
      <c r="X779" s="301"/>
      <c r="Y779" s="301"/>
      <c r="Z779" s="301"/>
    </row>
    <row r="780">
      <c r="A780" s="301"/>
      <c r="B780" s="365"/>
      <c r="C780" s="301"/>
      <c r="D780" s="301"/>
      <c r="E780" s="301"/>
      <c r="F780" s="301"/>
      <c r="G780" s="301"/>
      <c r="H780" s="334"/>
      <c r="I780" s="334"/>
      <c r="J780" s="301"/>
      <c r="K780" s="301"/>
      <c r="L780" s="301"/>
      <c r="M780" s="301"/>
      <c r="N780" s="301"/>
      <c r="O780" s="301"/>
      <c r="P780" s="301"/>
      <c r="Q780" s="301"/>
      <c r="R780" s="301"/>
      <c r="S780" s="301"/>
      <c r="T780" s="366"/>
      <c r="U780" s="301"/>
      <c r="V780" s="301"/>
      <c r="W780" s="301"/>
      <c r="X780" s="301"/>
      <c r="Y780" s="301"/>
      <c r="Z780" s="301"/>
    </row>
    <row r="781">
      <c r="A781" s="301"/>
      <c r="B781" s="365"/>
      <c r="C781" s="301"/>
      <c r="D781" s="301"/>
      <c r="E781" s="301"/>
      <c r="F781" s="301"/>
      <c r="G781" s="301"/>
      <c r="H781" s="334"/>
      <c r="I781" s="334"/>
      <c r="J781" s="301"/>
      <c r="K781" s="301"/>
      <c r="L781" s="301"/>
      <c r="M781" s="301"/>
      <c r="N781" s="301"/>
      <c r="O781" s="301"/>
      <c r="P781" s="301"/>
      <c r="Q781" s="301"/>
      <c r="R781" s="301"/>
      <c r="S781" s="301"/>
      <c r="T781" s="366"/>
      <c r="U781" s="301"/>
      <c r="V781" s="301"/>
      <c r="W781" s="301"/>
      <c r="X781" s="301"/>
      <c r="Y781" s="301"/>
      <c r="Z781" s="301"/>
    </row>
    <row r="782">
      <c r="A782" s="301"/>
      <c r="B782" s="365"/>
      <c r="C782" s="301"/>
      <c r="D782" s="301"/>
      <c r="E782" s="301"/>
      <c r="F782" s="301"/>
      <c r="G782" s="301"/>
      <c r="H782" s="334"/>
      <c r="I782" s="334"/>
      <c r="J782" s="301"/>
      <c r="K782" s="301"/>
      <c r="L782" s="301"/>
      <c r="M782" s="301"/>
      <c r="N782" s="301"/>
      <c r="O782" s="301"/>
      <c r="P782" s="301"/>
      <c r="Q782" s="301"/>
      <c r="R782" s="301"/>
      <c r="S782" s="301"/>
      <c r="T782" s="366"/>
      <c r="U782" s="301"/>
      <c r="V782" s="301"/>
      <c r="W782" s="301"/>
      <c r="X782" s="301"/>
      <c r="Y782" s="301"/>
      <c r="Z782" s="301"/>
    </row>
    <row r="783">
      <c r="A783" s="301"/>
      <c r="B783" s="365"/>
      <c r="C783" s="301"/>
      <c r="D783" s="301"/>
      <c r="E783" s="301"/>
      <c r="F783" s="301"/>
      <c r="G783" s="301"/>
      <c r="H783" s="334"/>
      <c r="I783" s="334"/>
      <c r="J783" s="301"/>
      <c r="K783" s="301"/>
      <c r="L783" s="301"/>
      <c r="M783" s="301"/>
      <c r="N783" s="301"/>
      <c r="O783" s="301"/>
      <c r="P783" s="301"/>
      <c r="Q783" s="301"/>
      <c r="R783" s="301"/>
      <c r="S783" s="301"/>
      <c r="T783" s="366"/>
      <c r="U783" s="301"/>
      <c r="V783" s="301"/>
      <c r="W783" s="301"/>
      <c r="X783" s="301"/>
      <c r="Y783" s="301"/>
      <c r="Z783" s="301"/>
    </row>
    <row r="784">
      <c r="A784" s="301"/>
      <c r="B784" s="365"/>
      <c r="C784" s="301"/>
      <c r="D784" s="301"/>
      <c r="E784" s="301"/>
      <c r="F784" s="301"/>
      <c r="G784" s="301"/>
      <c r="H784" s="334"/>
      <c r="I784" s="334"/>
      <c r="J784" s="301"/>
      <c r="K784" s="301"/>
      <c r="L784" s="301"/>
      <c r="M784" s="301"/>
      <c r="N784" s="301"/>
      <c r="O784" s="301"/>
      <c r="P784" s="301"/>
      <c r="Q784" s="301"/>
      <c r="R784" s="301"/>
      <c r="S784" s="301"/>
      <c r="T784" s="366"/>
      <c r="U784" s="301"/>
      <c r="V784" s="301"/>
      <c r="W784" s="301"/>
      <c r="X784" s="301"/>
      <c r="Y784" s="301"/>
      <c r="Z784" s="301"/>
    </row>
    <row r="785">
      <c r="A785" s="301"/>
      <c r="B785" s="365"/>
      <c r="C785" s="301"/>
      <c r="D785" s="301"/>
      <c r="E785" s="301"/>
      <c r="F785" s="301"/>
      <c r="G785" s="301"/>
      <c r="H785" s="334"/>
      <c r="I785" s="334"/>
      <c r="J785" s="301"/>
      <c r="K785" s="301"/>
      <c r="L785" s="301"/>
      <c r="M785" s="301"/>
      <c r="N785" s="301"/>
      <c r="O785" s="301"/>
      <c r="P785" s="301"/>
      <c r="Q785" s="301"/>
      <c r="R785" s="301"/>
      <c r="S785" s="301"/>
      <c r="T785" s="366"/>
      <c r="U785" s="301"/>
      <c r="V785" s="301"/>
      <c r="W785" s="301"/>
      <c r="X785" s="301"/>
      <c r="Y785" s="301"/>
      <c r="Z785" s="301"/>
    </row>
    <row r="786">
      <c r="A786" s="301"/>
      <c r="B786" s="365"/>
      <c r="C786" s="301"/>
      <c r="D786" s="301"/>
      <c r="E786" s="301"/>
      <c r="F786" s="301"/>
      <c r="G786" s="301"/>
      <c r="H786" s="334"/>
      <c r="I786" s="334"/>
      <c r="J786" s="301"/>
      <c r="K786" s="301"/>
      <c r="L786" s="301"/>
      <c r="M786" s="301"/>
      <c r="N786" s="301"/>
      <c r="O786" s="301"/>
      <c r="P786" s="301"/>
      <c r="Q786" s="301"/>
      <c r="R786" s="301"/>
      <c r="S786" s="301"/>
      <c r="T786" s="366"/>
      <c r="U786" s="301"/>
      <c r="V786" s="301"/>
      <c r="W786" s="301"/>
      <c r="X786" s="301"/>
      <c r="Y786" s="301"/>
      <c r="Z786" s="301"/>
    </row>
    <row r="787">
      <c r="A787" s="301"/>
      <c r="B787" s="365"/>
      <c r="C787" s="301"/>
      <c r="D787" s="301"/>
      <c r="E787" s="301"/>
      <c r="F787" s="301"/>
      <c r="G787" s="301"/>
      <c r="H787" s="334"/>
      <c r="I787" s="334"/>
      <c r="J787" s="301"/>
      <c r="K787" s="301"/>
      <c r="L787" s="301"/>
      <c r="M787" s="301"/>
      <c r="N787" s="301"/>
      <c r="O787" s="301"/>
      <c r="P787" s="301"/>
      <c r="Q787" s="301"/>
      <c r="R787" s="301"/>
      <c r="S787" s="301"/>
      <c r="T787" s="366"/>
      <c r="U787" s="301"/>
      <c r="V787" s="301"/>
      <c r="W787" s="301"/>
      <c r="X787" s="301"/>
      <c r="Y787" s="301"/>
      <c r="Z787" s="301"/>
    </row>
    <row r="788">
      <c r="A788" s="301"/>
      <c r="B788" s="365"/>
      <c r="C788" s="301"/>
      <c r="D788" s="301"/>
      <c r="E788" s="301"/>
      <c r="F788" s="301"/>
      <c r="G788" s="301"/>
      <c r="H788" s="334"/>
      <c r="I788" s="334"/>
      <c r="J788" s="301"/>
      <c r="K788" s="301"/>
      <c r="L788" s="301"/>
      <c r="M788" s="301"/>
      <c r="N788" s="301"/>
      <c r="O788" s="301"/>
      <c r="P788" s="301"/>
      <c r="Q788" s="301"/>
      <c r="R788" s="301"/>
      <c r="S788" s="301"/>
      <c r="T788" s="366"/>
      <c r="U788" s="301"/>
      <c r="V788" s="301"/>
      <c r="W788" s="301"/>
      <c r="X788" s="301"/>
      <c r="Y788" s="301"/>
      <c r="Z788" s="301"/>
    </row>
    <row r="789">
      <c r="A789" s="301"/>
      <c r="B789" s="365"/>
      <c r="C789" s="301"/>
      <c r="D789" s="301"/>
      <c r="E789" s="301"/>
      <c r="F789" s="301"/>
      <c r="G789" s="301"/>
      <c r="H789" s="334"/>
      <c r="I789" s="334"/>
      <c r="J789" s="301"/>
      <c r="K789" s="301"/>
      <c r="L789" s="301"/>
      <c r="M789" s="301"/>
      <c r="N789" s="301"/>
      <c r="O789" s="301"/>
      <c r="P789" s="301"/>
      <c r="Q789" s="301"/>
      <c r="R789" s="301"/>
      <c r="S789" s="301"/>
      <c r="T789" s="366"/>
      <c r="U789" s="301"/>
      <c r="V789" s="301"/>
      <c r="W789" s="301"/>
      <c r="X789" s="301"/>
      <c r="Y789" s="301"/>
      <c r="Z789" s="301"/>
    </row>
    <row r="790">
      <c r="A790" s="301"/>
      <c r="B790" s="365"/>
      <c r="C790" s="301"/>
      <c r="D790" s="301"/>
      <c r="E790" s="301"/>
      <c r="F790" s="301"/>
      <c r="G790" s="301"/>
      <c r="H790" s="334"/>
      <c r="I790" s="334"/>
      <c r="J790" s="301"/>
      <c r="K790" s="301"/>
      <c r="L790" s="301"/>
      <c r="M790" s="301"/>
      <c r="N790" s="301"/>
      <c r="O790" s="301"/>
      <c r="P790" s="301"/>
      <c r="Q790" s="301"/>
      <c r="R790" s="301"/>
      <c r="S790" s="301"/>
      <c r="T790" s="366"/>
      <c r="U790" s="301"/>
      <c r="V790" s="301"/>
      <c r="W790" s="301"/>
      <c r="X790" s="301"/>
      <c r="Y790" s="301"/>
      <c r="Z790" s="301"/>
    </row>
    <row r="791">
      <c r="A791" s="301"/>
      <c r="B791" s="365"/>
      <c r="C791" s="301"/>
      <c r="D791" s="301"/>
      <c r="E791" s="301"/>
      <c r="F791" s="301"/>
      <c r="G791" s="301"/>
      <c r="H791" s="334"/>
      <c r="I791" s="334"/>
      <c r="J791" s="301"/>
      <c r="K791" s="301"/>
      <c r="L791" s="301"/>
      <c r="M791" s="301"/>
      <c r="N791" s="301"/>
      <c r="O791" s="301"/>
      <c r="P791" s="301"/>
      <c r="Q791" s="301"/>
      <c r="R791" s="301"/>
      <c r="S791" s="301"/>
      <c r="T791" s="366"/>
      <c r="U791" s="301"/>
      <c r="V791" s="301"/>
      <c r="W791" s="301"/>
      <c r="X791" s="301"/>
      <c r="Y791" s="301"/>
      <c r="Z791" s="301"/>
    </row>
    <row r="792">
      <c r="A792" s="301"/>
      <c r="B792" s="365"/>
      <c r="C792" s="301"/>
      <c r="D792" s="301"/>
      <c r="E792" s="301"/>
      <c r="F792" s="301"/>
      <c r="G792" s="301"/>
      <c r="H792" s="334"/>
      <c r="I792" s="334"/>
      <c r="J792" s="301"/>
      <c r="K792" s="301"/>
      <c r="L792" s="301"/>
      <c r="M792" s="301"/>
      <c r="N792" s="301"/>
      <c r="O792" s="301"/>
      <c r="P792" s="301"/>
      <c r="Q792" s="301"/>
      <c r="R792" s="301"/>
      <c r="S792" s="301"/>
      <c r="T792" s="366"/>
      <c r="U792" s="301"/>
      <c r="V792" s="301"/>
      <c r="W792" s="301"/>
      <c r="X792" s="301"/>
      <c r="Y792" s="301"/>
      <c r="Z792" s="301"/>
    </row>
    <row r="793">
      <c r="A793" s="301"/>
      <c r="B793" s="365"/>
      <c r="C793" s="301"/>
      <c r="D793" s="301"/>
      <c r="E793" s="301"/>
      <c r="F793" s="301"/>
      <c r="G793" s="301"/>
      <c r="H793" s="334"/>
      <c r="I793" s="334"/>
      <c r="J793" s="301"/>
      <c r="K793" s="301"/>
      <c r="L793" s="301"/>
      <c r="M793" s="301"/>
      <c r="N793" s="301"/>
      <c r="O793" s="301"/>
      <c r="P793" s="301"/>
      <c r="Q793" s="301"/>
      <c r="R793" s="301"/>
      <c r="S793" s="301"/>
      <c r="T793" s="366"/>
      <c r="U793" s="301"/>
      <c r="V793" s="301"/>
      <c r="W793" s="301"/>
      <c r="X793" s="301"/>
      <c r="Y793" s="301"/>
      <c r="Z793" s="301"/>
    </row>
    <row r="794">
      <c r="A794" s="301"/>
      <c r="B794" s="365"/>
      <c r="C794" s="301"/>
      <c r="D794" s="301"/>
      <c r="E794" s="301"/>
      <c r="F794" s="301"/>
      <c r="G794" s="301"/>
      <c r="H794" s="334"/>
      <c r="I794" s="334"/>
      <c r="J794" s="301"/>
      <c r="K794" s="301"/>
      <c r="L794" s="301"/>
      <c r="M794" s="301"/>
      <c r="N794" s="301"/>
      <c r="O794" s="301"/>
      <c r="P794" s="301"/>
      <c r="Q794" s="301"/>
      <c r="R794" s="301"/>
      <c r="S794" s="301"/>
      <c r="T794" s="366"/>
      <c r="U794" s="301"/>
      <c r="V794" s="301"/>
      <c r="W794" s="301"/>
      <c r="X794" s="301"/>
      <c r="Y794" s="301"/>
      <c r="Z794" s="301"/>
    </row>
    <row r="795">
      <c r="A795" s="301"/>
      <c r="B795" s="365"/>
      <c r="C795" s="301"/>
      <c r="D795" s="301"/>
      <c r="E795" s="301"/>
      <c r="F795" s="301"/>
      <c r="G795" s="301"/>
      <c r="H795" s="334"/>
      <c r="I795" s="334"/>
      <c r="J795" s="301"/>
      <c r="K795" s="301"/>
      <c r="L795" s="301"/>
      <c r="M795" s="301"/>
      <c r="N795" s="301"/>
      <c r="O795" s="301"/>
      <c r="P795" s="301"/>
      <c r="Q795" s="301"/>
      <c r="R795" s="301"/>
      <c r="S795" s="301"/>
      <c r="T795" s="366"/>
      <c r="U795" s="301"/>
      <c r="V795" s="301"/>
      <c r="W795" s="301"/>
      <c r="X795" s="301"/>
      <c r="Y795" s="301"/>
      <c r="Z795" s="301"/>
    </row>
    <row r="796">
      <c r="A796" s="301"/>
      <c r="B796" s="365"/>
      <c r="C796" s="301"/>
      <c r="D796" s="301"/>
      <c r="E796" s="301"/>
      <c r="F796" s="301"/>
      <c r="G796" s="301"/>
      <c r="H796" s="334"/>
      <c r="I796" s="334"/>
      <c r="J796" s="301"/>
      <c r="K796" s="301"/>
      <c r="L796" s="301"/>
      <c r="M796" s="301"/>
      <c r="N796" s="301"/>
      <c r="O796" s="301"/>
      <c r="P796" s="301"/>
      <c r="Q796" s="301"/>
      <c r="R796" s="301"/>
      <c r="S796" s="301"/>
      <c r="T796" s="366"/>
      <c r="U796" s="301"/>
      <c r="V796" s="301"/>
      <c r="W796" s="301"/>
      <c r="X796" s="301"/>
      <c r="Y796" s="301"/>
      <c r="Z796" s="301"/>
    </row>
    <row r="797">
      <c r="A797" s="301"/>
      <c r="B797" s="365"/>
      <c r="C797" s="301"/>
      <c r="D797" s="301"/>
      <c r="E797" s="301"/>
      <c r="F797" s="301"/>
      <c r="G797" s="301"/>
      <c r="H797" s="334"/>
      <c r="I797" s="334"/>
      <c r="J797" s="301"/>
      <c r="K797" s="301"/>
      <c r="L797" s="301"/>
      <c r="M797" s="301"/>
      <c r="N797" s="301"/>
      <c r="O797" s="301"/>
      <c r="P797" s="301"/>
      <c r="Q797" s="301"/>
      <c r="R797" s="301"/>
      <c r="S797" s="301"/>
      <c r="T797" s="366"/>
      <c r="U797" s="301"/>
      <c r="V797" s="301"/>
      <c r="W797" s="301"/>
      <c r="X797" s="301"/>
      <c r="Y797" s="301"/>
      <c r="Z797" s="301"/>
    </row>
    <row r="798">
      <c r="A798" s="301"/>
      <c r="B798" s="365"/>
      <c r="C798" s="301"/>
      <c r="D798" s="301"/>
      <c r="E798" s="301"/>
      <c r="F798" s="301"/>
      <c r="G798" s="301"/>
      <c r="H798" s="334"/>
      <c r="I798" s="334"/>
      <c r="J798" s="301"/>
      <c r="K798" s="301"/>
      <c r="L798" s="301"/>
      <c r="M798" s="301"/>
      <c r="N798" s="301"/>
      <c r="O798" s="301"/>
      <c r="P798" s="301"/>
      <c r="Q798" s="301"/>
      <c r="R798" s="301"/>
      <c r="S798" s="301"/>
      <c r="T798" s="366"/>
      <c r="U798" s="301"/>
      <c r="V798" s="301"/>
      <c r="W798" s="301"/>
      <c r="X798" s="301"/>
      <c r="Y798" s="301"/>
      <c r="Z798" s="301"/>
    </row>
    <row r="799">
      <c r="A799" s="301"/>
      <c r="B799" s="365"/>
      <c r="C799" s="301"/>
      <c r="D799" s="301"/>
      <c r="E799" s="301"/>
      <c r="F799" s="301"/>
      <c r="G799" s="301"/>
      <c r="H799" s="334"/>
      <c r="I799" s="334"/>
      <c r="J799" s="301"/>
      <c r="K799" s="301"/>
      <c r="L799" s="301"/>
      <c r="M799" s="301"/>
      <c r="N799" s="301"/>
      <c r="O799" s="301"/>
      <c r="P799" s="301"/>
      <c r="Q799" s="301"/>
      <c r="R799" s="301"/>
      <c r="S799" s="301"/>
      <c r="T799" s="366"/>
      <c r="U799" s="301"/>
      <c r="V799" s="301"/>
      <c r="W799" s="301"/>
      <c r="X799" s="301"/>
      <c r="Y799" s="301"/>
      <c r="Z799" s="301"/>
    </row>
    <row r="800">
      <c r="A800" s="301"/>
      <c r="B800" s="365"/>
      <c r="C800" s="301"/>
      <c r="D800" s="301"/>
      <c r="E800" s="301"/>
      <c r="F800" s="301"/>
      <c r="G800" s="301"/>
      <c r="H800" s="334"/>
      <c r="I800" s="334"/>
      <c r="J800" s="301"/>
      <c r="K800" s="301"/>
      <c r="L800" s="301"/>
      <c r="M800" s="301"/>
      <c r="N800" s="301"/>
      <c r="O800" s="301"/>
      <c r="P800" s="301"/>
      <c r="Q800" s="301"/>
      <c r="R800" s="301"/>
      <c r="S800" s="301"/>
      <c r="T800" s="366"/>
      <c r="U800" s="301"/>
      <c r="V800" s="301"/>
      <c r="W800" s="301"/>
      <c r="X800" s="301"/>
      <c r="Y800" s="301"/>
      <c r="Z800" s="301"/>
    </row>
    <row r="801">
      <c r="A801" s="301"/>
      <c r="B801" s="365"/>
      <c r="C801" s="301"/>
      <c r="D801" s="301"/>
      <c r="E801" s="301"/>
      <c r="F801" s="301"/>
      <c r="G801" s="301"/>
      <c r="H801" s="334"/>
      <c r="I801" s="334"/>
      <c r="J801" s="301"/>
      <c r="K801" s="301"/>
      <c r="L801" s="301"/>
      <c r="M801" s="301"/>
      <c r="N801" s="301"/>
      <c r="O801" s="301"/>
      <c r="P801" s="301"/>
      <c r="Q801" s="301"/>
      <c r="R801" s="301"/>
      <c r="S801" s="301"/>
      <c r="T801" s="366"/>
      <c r="U801" s="301"/>
      <c r="V801" s="301"/>
      <c r="W801" s="301"/>
      <c r="X801" s="301"/>
      <c r="Y801" s="301"/>
      <c r="Z801" s="301"/>
    </row>
    <row r="802">
      <c r="A802" s="301"/>
      <c r="B802" s="365"/>
      <c r="C802" s="301"/>
      <c r="D802" s="301"/>
      <c r="E802" s="301"/>
      <c r="F802" s="301"/>
      <c r="G802" s="301"/>
      <c r="H802" s="334"/>
      <c r="I802" s="334"/>
      <c r="J802" s="301"/>
      <c r="K802" s="301"/>
      <c r="L802" s="301"/>
      <c r="M802" s="301"/>
      <c r="N802" s="301"/>
      <c r="O802" s="301"/>
      <c r="P802" s="301"/>
      <c r="Q802" s="301"/>
      <c r="R802" s="301"/>
      <c r="S802" s="301"/>
      <c r="T802" s="366"/>
      <c r="U802" s="301"/>
      <c r="V802" s="301"/>
      <c r="W802" s="301"/>
      <c r="X802" s="301"/>
      <c r="Y802" s="301"/>
      <c r="Z802" s="301"/>
    </row>
    <row r="803">
      <c r="A803" s="301"/>
      <c r="B803" s="365"/>
      <c r="C803" s="301"/>
      <c r="D803" s="301"/>
      <c r="E803" s="301"/>
      <c r="F803" s="301"/>
      <c r="G803" s="301"/>
      <c r="H803" s="334"/>
      <c r="I803" s="334"/>
      <c r="J803" s="301"/>
      <c r="K803" s="301"/>
      <c r="L803" s="301"/>
      <c r="M803" s="301"/>
      <c r="N803" s="301"/>
      <c r="O803" s="301"/>
      <c r="P803" s="301"/>
      <c r="Q803" s="301"/>
      <c r="R803" s="301"/>
      <c r="S803" s="301"/>
      <c r="T803" s="366"/>
      <c r="U803" s="301"/>
      <c r="V803" s="301"/>
      <c r="W803" s="301"/>
      <c r="X803" s="301"/>
      <c r="Y803" s="301"/>
      <c r="Z803" s="301"/>
    </row>
    <row r="804">
      <c r="A804" s="301"/>
      <c r="B804" s="365"/>
      <c r="C804" s="301"/>
      <c r="D804" s="301"/>
      <c r="E804" s="301"/>
      <c r="F804" s="301"/>
      <c r="G804" s="301"/>
      <c r="H804" s="334"/>
      <c r="I804" s="334"/>
      <c r="J804" s="301"/>
      <c r="K804" s="301"/>
      <c r="L804" s="301"/>
      <c r="M804" s="301"/>
      <c r="N804" s="301"/>
      <c r="O804" s="301"/>
      <c r="P804" s="301"/>
      <c r="Q804" s="301"/>
      <c r="R804" s="301"/>
      <c r="S804" s="301"/>
      <c r="T804" s="366"/>
      <c r="U804" s="301"/>
      <c r="V804" s="301"/>
      <c r="W804" s="301"/>
      <c r="X804" s="301"/>
      <c r="Y804" s="301"/>
      <c r="Z804" s="301"/>
    </row>
    <row r="805">
      <c r="A805" s="301"/>
      <c r="B805" s="365"/>
      <c r="C805" s="301"/>
      <c r="D805" s="301"/>
      <c r="E805" s="301"/>
      <c r="F805" s="301"/>
      <c r="G805" s="301"/>
      <c r="H805" s="334"/>
      <c r="I805" s="334"/>
      <c r="J805" s="301"/>
      <c r="K805" s="301"/>
      <c r="L805" s="301"/>
      <c r="M805" s="301"/>
      <c r="N805" s="301"/>
      <c r="O805" s="301"/>
      <c r="P805" s="301"/>
      <c r="Q805" s="301"/>
      <c r="R805" s="301"/>
      <c r="S805" s="301"/>
      <c r="T805" s="366"/>
      <c r="U805" s="301"/>
      <c r="V805" s="301"/>
      <c r="W805" s="301"/>
      <c r="X805" s="301"/>
      <c r="Y805" s="301"/>
      <c r="Z805" s="301"/>
    </row>
    <row r="806">
      <c r="A806" s="301"/>
      <c r="B806" s="365"/>
      <c r="C806" s="301"/>
      <c r="D806" s="301"/>
      <c r="E806" s="301"/>
      <c r="F806" s="301"/>
      <c r="G806" s="301"/>
      <c r="H806" s="334"/>
      <c r="I806" s="334"/>
      <c r="J806" s="301"/>
      <c r="K806" s="301"/>
      <c r="L806" s="301"/>
      <c r="M806" s="301"/>
      <c r="N806" s="301"/>
      <c r="O806" s="301"/>
      <c r="P806" s="301"/>
      <c r="Q806" s="301"/>
      <c r="R806" s="301"/>
      <c r="S806" s="301"/>
      <c r="T806" s="366"/>
      <c r="U806" s="301"/>
      <c r="V806" s="301"/>
      <c r="W806" s="301"/>
      <c r="X806" s="301"/>
      <c r="Y806" s="301"/>
      <c r="Z806" s="301"/>
    </row>
    <row r="807">
      <c r="A807" s="301"/>
      <c r="B807" s="365"/>
      <c r="C807" s="301"/>
      <c r="D807" s="301"/>
      <c r="E807" s="301"/>
      <c r="F807" s="301"/>
      <c r="G807" s="301"/>
      <c r="H807" s="334"/>
      <c r="I807" s="334"/>
      <c r="J807" s="301"/>
      <c r="K807" s="301"/>
      <c r="L807" s="301"/>
      <c r="M807" s="301"/>
      <c r="N807" s="301"/>
      <c r="O807" s="301"/>
      <c r="P807" s="301"/>
      <c r="Q807" s="301"/>
      <c r="R807" s="301"/>
      <c r="S807" s="301"/>
      <c r="T807" s="366"/>
      <c r="U807" s="301"/>
      <c r="V807" s="301"/>
      <c r="W807" s="301"/>
      <c r="X807" s="301"/>
      <c r="Y807" s="301"/>
      <c r="Z807" s="301"/>
    </row>
    <row r="808">
      <c r="A808" s="301"/>
      <c r="B808" s="365"/>
      <c r="C808" s="301"/>
      <c r="D808" s="301"/>
      <c r="E808" s="301"/>
      <c r="F808" s="301"/>
      <c r="G808" s="301"/>
      <c r="H808" s="334"/>
      <c r="I808" s="334"/>
      <c r="J808" s="301"/>
      <c r="K808" s="301"/>
      <c r="L808" s="301"/>
      <c r="M808" s="301"/>
      <c r="N808" s="301"/>
      <c r="O808" s="301"/>
      <c r="P808" s="301"/>
      <c r="Q808" s="301"/>
      <c r="R808" s="301"/>
      <c r="S808" s="301"/>
      <c r="T808" s="366"/>
      <c r="U808" s="301"/>
      <c r="V808" s="301"/>
      <c r="W808" s="301"/>
      <c r="X808" s="301"/>
      <c r="Y808" s="301"/>
      <c r="Z808" s="301"/>
    </row>
    <row r="809">
      <c r="A809" s="301"/>
      <c r="B809" s="365"/>
      <c r="C809" s="301"/>
      <c r="D809" s="301"/>
      <c r="E809" s="301"/>
      <c r="F809" s="301"/>
      <c r="G809" s="301"/>
      <c r="H809" s="334"/>
      <c r="I809" s="334"/>
      <c r="J809" s="301"/>
      <c r="K809" s="301"/>
      <c r="L809" s="301"/>
      <c r="M809" s="301"/>
      <c r="N809" s="301"/>
      <c r="O809" s="301"/>
      <c r="P809" s="301"/>
      <c r="Q809" s="301"/>
      <c r="R809" s="301"/>
      <c r="S809" s="301"/>
      <c r="T809" s="366"/>
      <c r="U809" s="301"/>
      <c r="V809" s="301"/>
      <c r="W809" s="301"/>
      <c r="X809" s="301"/>
      <c r="Y809" s="301"/>
      <c r="Z809" s="301"/>
    </row>
    <row r="810">
      <c r="A810" s="301"/>
      <c r="B810" s="365"/>
      <c r="C810" s="301"/>
      <c r="D810" s="301"/>
      <c r="E810" s="301"/>
      <c r="F810" s="301"/>
      <c r="G810" s="301"/>
      <c r="H810" s="334"/>
      <c r="I810" s="334"/>
      <c r="J810" s="301"/>
      <c r="K810" s="301"/>
      <c r="L810" s="301"/>
      <c r="M810" s="301"/>
      <c r="N810" s="301"/>
      <c r="O810" s="301"/>
      <c r="P810" s="301"/>
      <c r="Q810" s="301"/>
      <c r="R810" s="301"/>
      <c r="S810" s="301"/>
      <c r="T810" s="366"/>
      <c r="U810" s="301"/>
      <c r="V810" s="301"/>
      <c r="W810" s="301"/>
      <c r="X810" s="301"/>
      <c r="Y810" s="301"/>
      <c r="Z810" s="301"/>
    </row>
    <row r="811">
      <c r="A811" s="301"/>
      <c r="B811" s="365"/>
      <c r="C811" s="301"/>
      <c r="D811" s="301"/>
      <c r="E811" s="301"/>
      <c r="F811" s="301"/>
      <c r="G811" s="301"/>
      <c r="H811" s="334"/>
      <c r="I811" s="334"/>
      <c r="J811" s="301"/>
      <c r="K811" s="301"/>
      <c r="L811" s="301"/>
      <c r="M811" s="301"/>
      <c r="N811" s="301"/>
      <c r="O811" s="301"/>
      <c r="P811" s="301"/>
      <c r="Q811" s="301"/>
      <c r="R811" s="301"/>
      <c r="S811" s="301"/>
      <c r="T811" s="366"/>
      <c r="U811" s="301"/>
      <c r="V811" s="301"/>
      <c r="W811" s="301"/>
      <c r="X811" s="301"/>
      <c r="Y811" s="301"/>
      <c r="Z811" s="301"/>
    </row>
    <row r="812">
      <c r="A812" s="301"/>
      <c r="B812" s="365"/>
      <c r="C812" s="301"/>
      <c r="D812" s="301"/>
      <c r="E812" s="301"/>
      <c r="F812" s="301"/>
      <c r="G812" s="301"/>
      <c r="H812" s="334"/>
      <c r="I812" s="334"/>
      <c r="J812" s="301"/>
      <c r="K812" s="301"/>
      <c r="L812" s="301"/>
      <c r="M812" s="301"/>
      <c r="N812" s="301"/>
      <c r="O812" s="301"/>
      <c r="P812" s="301"/>
      <c r="Q812" s="301"/>
      <c r="R812" s="301"/>
      <c r="S812" s="301"/>
      <c r="T812" s="366"/>
      <c r="U812" s="301"/>
      <c r="V812" s="301"/>
      <c r="W812" s="301"/>
      <c r="X812" s="301"/>
      <c r="Y812" s="301"/>
      <c r="Z812" s="301"/>
    </row>
    <row r="813">
      <c r="A813" s="301"/>
      <c r="B813" s="365"/>
      <c r="C813" s="301"/>
      <c r="D813" s="301"/>
      <c r="E813" s="301"/>
      <c r="F813" s="301"/>
      <c r="G813" s="301"/>
      <c r="H813" s="334"/>
      <c r="I813" s="334"/>
      <c r="J813" s="301"/>
      <c r="K813" s="301"/>
      <c r="L813" s="301"/>
      <c r="M813" s="301"/>
      <c r="N813" s="301"/>
      <c r="O813" s="301"/>
      <c r="P813" s="301"/>
      <c r="Q813" s="301"/>
      <c r="R813" s="301"/>
      <c r="S813" s="301"/>
      <c r="T813" s="366"/>
      <c r="U813" s="301"/>
      <c r="V813" s="301"/>
      <c r="W813" s="301"/>
      <c r="X813" s="301"/>
      <c r="Y813" s="301"/>
      <c r="Z813" s="301"/>
    </row>
    <row r="814">
      <c r="A814" s="301"/>
      <c r="B814" s="365"/>
      <c r="C814" s="301"/>
      <c r="D814" s="301"/>
      <c r="E814" s="301"/>
      <c r="F814" s="301"/>
      <c r="G814" s="301"/>
      <c r="H814" s="334"/>
      <c r="I814" s="334"/>
      <c r="J814" s="301"/>
      <c r="K814" s="301"/>
      <c r="L814" s="301"/>
      <c r="M814" s="301"/>
      <c r="N814" s="301"/>
      <c r="O814" s="301"/>
      <c r="P814" s="301"/>
      <c r="Q814" s="301"/>
      <c r="R814" s="301"/>
      <c r="S814" s="301"/>
      <c r="T814" s="366"/>
      <c r="U814" s="301"/>
      <c r="V814" s="301"/>
      <c r="W814" s="301"/>
      <c r="X814" s="301"/>
      <c r="Y814" s="301"/>
      <c r="Z814" s="301"/>
    </row>
    <row r="815">
      <c r="A815" s="301"/>
      <c r="B815" s="365"/>
      <c r="C815" s="301"/>
      <c r="D815" s="301"/>
      <c r="E815" s="301"/>
      <c r="F815" s="301"/>
      <c r="G815" s="301"/>
      <c r="H815" s="334"/>
      <c r="I815" s="334"/>
      <c r="J815" s="301"/>
      <c r="K815" s="301"/>
      <c r="L815" s="301"/>
      <c r="M815" s="301"/>
      <c r="N815" s="301"/>
      <c r="O815" s="301"/>
      <c r="P815" s="301"/>
      <c r="Q815" s="301"/>
      <c r="R815" s="301"/>
      <c r="S815" s="301"/>
      <c r="T815" s="366"/>
      <c r="U815" s="301"/>
      <c r="V815" s="301"/>
      <c r="W815" s="301"/>
      <c r="X815" s="301"/>
      <c r="Y815" s="301"/>
      <c r="Z815" s="301"/>
    </row>
    <row r="816">
      <c r="A816" s="301"/>
      <c r="B816" s="365"/>
      <c r="C816" s="301"/>
      <c r="D816" s="301"/>
      <c r="E816" s="301"/>
      <c r="F816" s="301"/>
      <c r="G816" s="301"/>
      <c r="H816" s="334"/>
      <c r="I816" s="334"/>
      <c r="J816" s="301"/>
      <c r="K816" s="301"/>
      <c r="L816" s="301"/>
      <c r="M816" s="301"/>
      <c r="N816" s="301"/>
      <c r="O816" s="301"/>
      <c r="P816" s="301"/>
      <c r="Q816" s="301"/>
      <c r="R816" s="301"/>
      <c r="S816" s="301"/>
      <c r="T816" s="366"/>
      <c r="U816" s="301"/>
      <c r="V816" s="301"/>
      <c r="W816" s="301"/>
      <c r="X816" s="301"/>
      <c r="Y816" s="301"/>
      <c r="Z816" s="301"/>
    </row>
    <row r="817">
      <c r="A817" s="301"/>
      <c r="B817" s="365"/>
      <c r="C817" s="301"/>
      <c r="D817" s="301"/>
      <c r="E817" s="301"/>
      <c r="F817" s="301"/>
      <c r="G817" s="301"/>
      <c r="H817" s="334"/>
      <c r="I817" s="334"/>
      <c r="J817" s="301"/>
      <c r="K817" s="301"/>
      <c r="L817" s="301"/>
      <c r="M817" s="301"/>
      <c r="N817" s="301"/>
      <c r="O817" s="301"/>
      <c r="P817" s="301"/>
      <c r="Q817" s="301"/>
      <c r="R817" s="301"/>
      <c r="S817" s="301"/>
      <c r="T817" s="366"/>
      <c r="U817" s="301"/>
      <c r="V817" s="301"/>
      <c r="W817" s="301"/>
      <c r="X817" s="301"/>
      <c r="Y817" s="301"/>
      <c r="Z817" s="301"/>
    </row>
    <row r="818">
      <c r="A818" s="301"/>
      <c r="B818" s="365"/>
      <c r="C818" s="301"/>
      <c r="D818" s="301"/>
      <c r="E818" s="301"/>
      <c r="F818" s="301"/>
      <c r="G818" s="301"/>
      <c r="H818" s="334"/>
      <c r="I818" s="334"/>
      <c r="J818" s="301"/>
      <c r="K818" s="301"/>
      <c r="L818" s="301"/>
      <c r="M818" s="301"/>
      <c r="N818" s="301"/>
      <c r="O818" s="301"/>
      <c r="P818" s="301"/>
      <c r="Q818" s="301"/>
      <c r="R818" s="301"/>
      <c r="S818" s="301"/>
      <c r="T818" s="366"/>
      <c r="U818" s="301"/>
      <c r="V818" s="301"/>
      <c r="W818" s="301"/>
      <c r="X818" s="301"/>
      <c r="Y818" s="301"/>
      <c r="Z818" s="301"/>
    </row>
    <row r="819">
      <c r="A819" s="301"/>
      <c r="B819" s="365"/>
      <c r="C819" s="301"/>
      <c r="D819" s="301"/>
      <c r="E819" s="301"/>
      <c r="F819" s="301"/>
      <c r="G819" s="301"/>
      <c r="H819" s="334"/>
      <c r="I819" s="334"/>
      <c r="J819" s="301"/>
      <c r="K819" s="301"/>
      <c r="L819" s="301"/>
      <c r="M819" s="301"/>
      <c r="N819" s="301"/>
      <c r="O819" s="301"/>
      <c r="P819" s="301"/>
      <c r="Q819" s="301"/>
      <c r="R819" s="301"/>
      <c r="S819" s="301"/>
      <c r="T819" s="366"/>
      <c r="U819" s="301"/>
      <c r="V819" s="301"/>
      <c r="W819" s="301"/>
      <c r="X819" s="301"/>
      <c r="Y819" s="301"/>
      <c r="Z819" s="301"/>
    </row>
    <row r="820">
      <c r="A820" s="301"/>
      <c r="B820" s="365"/>
      <c r="C820" s="301"/>
      <c r="D820" s="301"/>
      <c r="E820" s="301"/>
      <c r="F820" s="301"/>
      <c r="G820" s="301"/>
      <c r="H820" s="334"/>
      <c r="I820" s="334"/>
      <c r="J820" s="301"/>
      <c r="K820" s="301"/>
      <c r="L820" s="301"/>
      <c r="M820" s="301"/>
      <c r="N820" s="301"/>
      <c r="O820" s="301"/>
      <c r="P820" s="301"/>
      <c r="Q820" s="301"/>
      <c r="R820" s="301"/>
      <c r="S820" s="301"/>
      <c r="T820" s="366"/>
      <c r="U820" s="301"/>
      <c r="V820" s="301"/>
      <c r="W820" s="301"/>
      <c r="X820" s="301"/>
      <c r="Y820" s="301"/>
      <c r="Z820" s="301"/>
    </row>
    <row r="821">
      <c r="A821" s="301"/>
      <c r="B821" s="365"/>
      <c r="C821" s="301"/>
      <c r="D821" s="301"/>
      <c r="E821" s="301"/>
      <c r="F821" s="301"/>
      <c r="G821" s="301"/>
      <c r="H821" s="334"/>
      <c r="I821" s="334"/>
      <c r="J821" s="301"/>
      <c r="K821" s="301"/>
      <c r="L821" s="301"/>
      <c r="M821" s="301"/>
      <c r="N821" s="301"/>
      <c r="O821" s="301"/>
      <c r="P821" s="301"/>
      <c r="Q821" s="301"/>
      <c r="R821" s="301"/>
      <c r="S821" s="301"/>
      <c r="T821" s="366"/>
      <c r="U821" s="301"/>
      <c r="V821" s="301"/>
      <c r="W821" s="301"/>
      <c r="X821" s="301"/>
      <c r="Y821" s="301"/>
      <c r="Z821" s="301"/>
    </row>
    <row r="822">
      <c r="A822" s="301"/>
      <c r="B822" s="365"/>
      <c r="C822" s="301"/>
      <c r="D822" s="301"/>
      <c r="E822" s="301"/>
      <c r="F822" s="301"/>
      <c r="G822" s="301"/>
      <c r="H822" s="334"/>
      <c r="I822" s="334"/>
      <c r="J822" s="301"/>
      <c r="K822" s="301"/>
      <c r="L822" s="301"/>
      <c r="M822" s="301"/>
      <c r="N822" s="301"/>
      <c r="O822" s="301"/>
      <c r="P822" s="301"/>
      <c r="Q822" s="301"/>
      <c r="R822" s="301"/>
      <c r="S822" s="301"/>
      <c r="T822" s="366"/>
      <c r="U822" s="301"/>
      <c r="V822" s="301"/>
      <c r="W822" s="301"/>
      <c r="X822" s="301"/>
      <c r="Y822" s="301"/>
      <c r="Z822" s="301"/>
    </row>
    <row r="823">
      <c r="A823" s="301"/>
      <c r="B823" s="365"/>
      <c r="C823" s="301"/>
      <c r="D823" s="301"/>
      <c r="E823" s="301"/>
      <c r="F823" s="301"/>
      <c r="G823" s="301"/>
      <c r="H823" s="334"/>
      <c r="I823" s="334"/>
      <c r="J823" s="301"/>
      <c r="K823" s="301"/>
      <c r="L823" s="301"/>
      <c r="M823" s="301"/>
      <c r="N823" s="301"/>
      <c r="O823" s="301"/>
      <c r="P823" s="301"/>
      <c r="Q823" s="301"/>
      <c r="R823" s="301"/>
      <c r="S823" s="301"/>
      <c r="T823" s="366"/>
      <c r="U823" s="301"/>
      <c r="V823" s="301"/>
      <c r="W823" s="301"/>
      <c r="X823" s="301"/>
      <c r="Y823" s="301"/>
      <c r="Z823" s="301"/>
    </row>
    <row r="824">
      <c r="A824" s="301"/>
      <c r="B824" s="365"/>
      <c r="C824" s="301"/>
      <c r="D824" s="301"/>
      <c r="E824" s="301"/>
      <c r="F824" s="301"/>
      <c r="G824" s="301"/>
      <c r="H824" s="334"/>
      <c r="I824" s="334"/>
      <c r="J824" s="301"/>
      <c r="K824" s="301"/>
      <c r="L824" s="301"/>
      <c r="M824" s="301"/>
      <c r="N824" s="301"/>
      <c r="O824" s="301"/>
      <c r="P824" s="301"/>
      <c r="Q824" s="301"/>
      <c r="R824" s="301"/>
      <c r="S824" s="301"/>
      <c r="T824" s="366"/>
      <c r="U824" s="301"/>
      <c r="V824" s="301"/>
      <c r="W824" s="301"/>
      <c r="X824" s="301"/>
      <c r="Y824" s="301"/>
      <c r="Z824" s="301"/>
    </row>
    <row r="825">
      <c r="A825" s="301"/>
      <c r="B825" s="365"/>
      <c r="C825" s="301"/>
      <c r="D825" s="301"/>
      <c r="E825" s="301"/>
      <c r="F825" s="301"/>
      <c r="G825" s="301"/>
      <c r="H825" s="334"/>
      <c r="I825" s="334"/>
      <c r="J825" s="301"/>
      <c r="K825" s="301"/>
      <c r="L825" s="301"/>
      <c r="M825" s="301"/>
      <c r="N825" s="301"/>
      <c r="O825" s="301"/>
      <c r="P825" s="301"/>
      <c r="Q825" s="301"/>
      <c r="R825" s="301"/>
      <c r="S825" s="301"/>
      <c r="T825" s="366"/>
      <c r="U825" s="301"/>
      <c r="V825" s="301"/>
      <c r="W825" s="301"/>
      <c r="X825" s="301"/>
      <c r="Y825" s="301"/>
      <c r="Z825" s="301"/>
    </row>
    <row r="826">
      <c r="A826" s="301"/>
      <c r="B826" s="365"/>
      <c r="C826" s="301"/>
      <c r="D826" s="301"/>
      <c r="E826" s="301"/>
      <c r="F826" s="301"/>
      <c r="G826" s="301"/>
      <c r="H826" s="334"/>
      <c r="I826" s="334"/>
      <c r="J826" s="301"/>
      <c r="K826" s="301"/>
      <c r="L826" s="301"/>
      <c r="M826" s="301"/>
      <c r="N826" s="301"/>
      <c r="O826" s="301"/>
      <c r="P826" s="301"/>
      <c r="Q826" s="301"/>
      <c r="R826" s="301"/>
      <c r="S826" s="301"/>
      <c r="T826" s="366"/>
      <c r="U826" s="301"/>
      <c r="V826" s="301"/>
      <c r="W826" s="301"/>
      <c r="X826" s="301"/>
      <c r="Y826" s="301"/>
      <c r="Z826" s="301"/>
    </row>
    <row r="827">
      <c r="A827" s="301"/>
      <c r="B827" s="365"/>
      <c r="C827" s="301"/>
      <c r="D827" s="301"/>
      <c r="E827" s="301"/>
      <c r="F827" s="301"/>
      <c r="G827" s="301"/>
      <c r="H827" s="334"/>
      <c r="I827" s="334"/>
      <c r="J827" s="301"/>
      <c r="K827" s="301"/>
      <c r="L827" s="301"/>
      <c r="M827" s="301"/>
      <c r="N827" s="301"/>
      <c r="O827" s="301"/>
      <c r="P827" s="301"/>
      <c r="Q827" s="301"/>
      <c r="R827" s="301"/>
      <c r="S827" s="301"/>
      <c r="T827" s="366"/>
      <c r="U827" s="301"/>
      <c r="V827" s="301"/>
      <c r="W827" s="301"/>
      <c r="X827" s="301"/>
      <c r="Y827" s="301"/>
      <c r="Z827" s="301"/>
    </row>
    <row r="828">
      <c r="A828" s="301"/>
      <c r="B828" s="365"/>
      <c r="C828" s="301"/>
      <c r="D828" s="301"/>
      <c r="E828" s="301"/>
      <c r="F828" s="301"/>
      <c r="G828" s="301"/>
      <c r="H828" s="334"/>
      <c r="I828" s="334"/>
      <c r="J828" s="301"/>
      <c r="K828" s="301"/>
      <c r="L828" s="301"/>
      <c r="M828" s="301"/>
      <c r="N828" s="301"/>
      <c r="O828" s="301"/>
      <c r="P828" s="301"/>
      <c r="Q828" s="301"/>
      <c r="R828" s="301"/>
      <c r="S828" s="301"/>
      <c r="T828" s="366"/>
      <c r="U828" s="301"/>
      <c r="V828" s="301"/>
      <c r="W828" s="301"/>
      <c r="X828" s="301"/>
      <c r="Y828" s="301"/>
      <c r="Z828" s="301"/>
    </row>
    <row r="829">
      <c r="A829" s="301"/>
      <c r="B829" s="365"/>
      <c r="C829" s="301"/>
      <c r="D829" s="301"/>
      <c r="E829" s="301"/>
      <c r="F829" s="301"/>
      <c r="G829" s="301"/>
      <c r="H829" s="334"/>
      <c r="I829" s="334"/>
      <c r="J829" s="301"/>
      <c r="K829" s="301"/>
      <c r="L829" s="301"/>
      <c r="M829" s="301"/>
      <c r="N829" s="301"/>
      <c r="O829" s="301"/>
      <c r="P829" s="301"/>
      <c r="Q829" s="301"/>
      <c r="R829" s="301"/>
      <c r="S829" s="301"/>
      <c r="T829" s="366"/>
      <c r="U829" s="301"/>
      <c r="V829" s="301"/>
      <c r="W829" s="301"/>
      <c r="X829" s="301"/>
      <c r="Y829" s="301"/>
      <c r="Z829" s="301"/>
    </row>
    <row r="830">
      <c r="A830" s="301"/>
      <c r="B830" s="365"/>
      <c r="C830" s="301"/>
      <c r="D830" s="301"/>
      <c r="E830" s="301"/>
      <c r="F830" s="301"/>
      <c r="G830" s="301"/>
      <c r="H830" s="334"/>
      <c r="I830" s="334"/>
      <c r="J830" s="301"/>
      <c r="K830" s="301"/>
      <c r="L830" s="301"/>
      <c r="M830" s="301"/>
      <c r="N830" s="301"/>
      <c r="O830" s="301"/>
      <c r="P830" s="301"/>
      <c r="Q830" s="301"/>
      <c r="R830" s="301"/>
      <c r="S830" s="301"/>
      <c r="T830" s="366"/>
      <c r="U830" s="301"/>
      <c r="V830" s="301"/>
      <c r="W830" s="301"/>
      <c r="X830" s="301"/>
      <c r="Y830" s="301"/>
      <c r="Z830" s="301"/>
    </row>
    <row r="831">
      <c r="A831" s="301"/>
      <c r="B831" s="365"/>
      <c r="C831" s="301"/>
      <c r="D831" s="301"/>
      <c r="E831" s="301"/>
      <c r="F831" s="301"/>
      <c r="G831" s="301"/>
      <c r="H831" s="334"/>
      <c r="I831" s="334"/>
      <c r="J831" s="301"/>
      <c r="K831" s="301"/>
      <c r="L831" s="301"/>
      <c r="M831" s="301"/>
      <c r="N831" s="301"/>
      <c r="O831" s="301"/>
      <c r="P831" s="301"/>
      <c r="Q831" s="301"/>
      <c r="R831" s="301"/>
      <c r="S831" s="301"/>
      <c r="T831" s="366"/>
      <c r="U831" s="301"/>
      <c r="V831" s="301"/>
      <c r="W831" s="301"/>
      <c r="X831" s="301"/>
      <c r="Y831" s="301"/>
      <c r="Z831" s="301"/>
    </row>
    <row r="832">
      <c r="A832" s="301"/>
      <c r="B832" s="365"/>
      <c r="C832" s="301"/>
      <c r="D832" s="301"/>
      <c r="E832" s="301"/>
      <c r="F832" s="301"/>
      <c r="G832" s="301"/>
      <c r="H832" s="334"/>
      <c r="I832" s="334"/>
      <c r="J832" s="301"/>
      <c r="K832" s="301"/>
      <c r="L832" s="301"/>
      <c r="M832" s="301"/>
      <c r="N832" s="301"/>
      <c r="O832" s="301"/>
      <c r="P832" s="301"/>
      <c r="Q832" s="301"/>
      <c r="R832" s="301"/>
      <c r="S832" s="301"/>
      <c r="T832" s="366"/>
      <c r="U832" s="301"/>
      <c r="V832" s="301"/>
      <c r="W832" s="301"/>
      <c r="X832" s="301"/>
      <c r="Y832" s="301"/>
      <c r="Z832" s="301"/>
    </row>
    <row r="833">
      <c r="A833" s="301"/>
      <c r="B833" s="365"/>
      <c r="C833" s="301"/>
      <c r="D833" s="301"/>
      <c r="E833" s="301"/>
      <c r="F833" s="301"/>
      <c r="G833" s="301"/>
      <c r="H833" s="334"/>
      <c r="I833" s="334"/>
      <c r="J833" s="301"/>
      <c r="K833" s="301"/>
      <c r="L833" s="301"/>
      <c r="M833" s="301"/>
      <c r="N833" s="301"/>
      <c r="O833" s="301"/>
      <c r="P833" s="301"/>
      <c r="Q833" s="301"/>
      <c r="R833" s="301"/>
      <c r="S833" s="301"/>
      <c r="T833" s="366"/>
      <c r="U833" s="301"/>
      <c r="V833" s="301"/>
      <c r="W833" s="301"/>
      <c r="X833" s="301"/>
      <c r="Y833" s="301"/>
      <c r="Z833" s="301"/>
    </row>
    <row r="834">
      <c r="A834" s="301"/>
      <c r="B834" s="365"/>
      <c r="C834" s="301"/>
      <c r="D834" s="301"/>
      <c r="E834" s="301"/>
      <c r="F834" s="301"/>
      <c r="G834" s="301"/>
      <c r="H834" s="334"/>
      <c r="I834" s="334"/>
      <c r="J834" s="301"/>
      <c r="K834" s="301"/>
      <c r="L834" s="301"/>
      <c r="M834" s="301"/>
      <c r="N834" s="301"/>
      <c r="O834" s="301"/>
      <c r="P834" s="301"/>
      <c r="Q834" s="301"/>
      <c r="R834" s="301"/>
      <c r="S834" s="301"/>
      <c r="T834" s="366"/>
      <c r="U834" s="301"/>
      <c r="V834" s="301"/>
      <c r="W834" s="301"/>
      <c r="X834" s="301"/>
      <c r="Y834" s="301"/>
      <c r="Z834" s="301"/>
    </row>
    <row r="835">
      <c r="A835" s="301"/>
      <c r="B835" s="365"/>
      <c r="C835" s="301"/>
      <c r="D835" s="301"/>
      <c r="E835" s="301"/>
      <c r="F835" s="301"/>
      <c r="G835" s="301"/>
      <c r="H835" s="334"/>
      <c r="I835" s="334"/>
      <c r="J835" s="301"/>
      <c r="K835" s="301"/>
      <c r="L835" s="301"/>
      <c r="M835" s="301"/>
      <c r="N835" s="301"/>
      <c r="O835" s="301"/>
      <c r="P835" s="301"/>
      <c r="Q835" s="301"/>
      <c r="R835" s="301"/>
      <c r="S835" s="301"/>
      <c r="T835" s="366"/>
      <c r="U835" s="301"/>
      <c r="V835" s="301"/>
      <c r="W835" s="301"/>
      <c r="X835" s="301"/>
      <c r="Y835" s="301"/>
      <c r="Z835" s="301"/>
    </row>
    <row r="836">
      <c r="A836" s="301"/>
      <c r="B836" s="365"/>
      <c r="C836" s="301"/>
      <c r="D836" s="301"/>
      <c r="E836" s="301"/>
      <c r="F836" s="301"/>
      <c r="G836" s="301"/>
      <c r="H836" s="334"/>
      <c r="I836" s="334"/>
      <c r="J836" s="301"/>
      <c r="K836" s="301"/>
      <c r="L836" s="301"/>
      <c r="M836" s="301"/>
      <c r="N836" s="301"/>
      <c r="O836" s="301"/>
      <c r="P836" s="301"/>
      <c r="Q836" s="301"/>
      <c r="R836" s="301"/>
      <c r="S836" s="301"/>
      <c r="T836" s="366"/>
      <c r="U836" s="301"/>
      <c r="V836" s="301"/>
      <c r="W836" s="301"/>
      <c r="X836" s="301"/>
      <c r="Y836" s="301"/>
      <c r="Z836" s="301"/>
    </row>
    <row r="837">
      <c r="A837" s="301"/>
      <c r="B837" s="365"/>
      <c r="C837" s="301"/>
      <c r="D837" s="301"/>
      <c r="E837" s="301"/>
      <c r="F837" s="301"/>
      <c r="G837" s="301"/>
      <c r="H837" s="334"/>
      <c r="I837" s="334"/>
      <c r="J837" s="301"/>
      <c r="K837" s="301"/>
      <c r="L837" s="301"/>
      <c r="M837" s="301"/>
      <c r="N837" s="301"/>
      <c r="O837" s="301"/>
      <c r="P837" s="301"/>
      <c r="Q837" s="301"/>
      <c r="R837" s="301"/>
      <c r="S837" s="301"/>
      <c r="T837" s="366"/>
      <c r="U837" s="301"/>
      <c r="V837" s="301"/>
      <c r="W837" s="301"/>
      <c r="X837" s="301"/>
      <c r="Y837" s="301"/>
      <c r="Z837" s="301"/>
    </row>
    <row r="838">
      <c r="A838" s="301"/>
      <c r="B838" s="365"/>
      <c r="C838" s="301"/>
      <c r="D838" s="301"/>
      <c r="E838" s="301"/>
      <c r="F838" s="301"/>
      <c r="G838" s="301"/>
      <c r="H838" s="334"/>
      <c r="I838" s="334"/>
      <c r="J838" s="301"/>
      <c r="K838" s="301"/>
      <c r="L838" s="301"/>
      <c r="M838" s="301"/>
      <c r="N838" s="301"/>
      <c r="O838" s="301"/>
      <c r="P838" s="301"/>
      <c r="Q838" s="301"/>
      <c r="R838" s="301"/>
      <c r="S838" s="301"/>
      <c r="T838" s="366"/>
      <c r="U838" s="301"/>
      <c r="V838" s="301"/>
      <c r="W838" s="301"/>
      <c r="X838" s="301"/>
      <c r="Y838" s="301"/>
      <c r="Z838" s="301"/>
    </row>
    <row r="839">
      <c r="A839" s="301"/>
      <c r="B839" s="365"/>
      <c r="C839" s="301"/>
      <c r="D839" s="301"/>
      <c r="E839" s="301"/>
      <c r="F839" s="301"/>
      <c r="G839" s="301"/>
      <c r="H839" s="334"/>
      <c r="I839" s="334"/>
      <c r="J839" s="301"/>
      <c r="K839" s="301"/>
      <c r="L839" s="301"/>
      <c r="M839" s="301"/>
      <c r="N839" s="301"/>
      <c r="O839" s="301"/>
      <c r="P839" s="301"/>
      <c r="Q839" s="301"/>
      <c r="R839" s="301"/>
      <c r="S839" s="301"/>
      <c r="T839" s="366"/>
      <c r="U839" s="301"/>
      <c r="V839" s="301"/>
      <c r="W839" s="301"/>
      <c r="X839" s="301"/>
      <c r="Y839" s="301"/>
      <c r="Z839" s="301"/>
    </row>
    <row r="840">
      <c r="A840" s="301"/>
      <c r="B840" s="365"/>
      <c r="C840" s="301"/>
      <c r="D840" s="301"/>
      <c r="E840" s="301"/>
      <c r="F840" s="301"/>
      <c r="G840" s="301"/>
      <c r="H840" s="334"/>
      <c r="I840" s="334"/>
      <c r="J840" s="301"/>
      <c r="K840" s="301"/>
      <c r="L840" s="301"/>
      <c r="M840" s="301"/>
      <c r="N840" s="301"/>
      <c r="O840" s="301"/>
      <c r="P840" s="301"/>
      <c r="Q840" s="301"/>
      <c r="R840" s="301"/>
      <c r="S840" s="301"/>
      <c r="T840" s="366"/>
      <c r="U840" s="301"/>
      <c r="V840" s="301"/>
      <c r="W840" s="301"/>
      <c r="X840" s="301"/>
      <c r="Y840" s="301"/>
      <c r="Z840" s="301"/>
    </row>
    <row r="841">
      <c r="A841" s="301"/>
      <c r="B841" s="365"/>
      <c r="C841" s="301"/>
      <c r="D841" s="301"/>
      <c r="E841" s="301"/>
      <c r="F841" s="301"/>
      <c r="G841" s="301"/>
      <c r="H841" s="334"/>
      <c r="I841" s="334"/>
      <c r="J841" s="301"/>
      <c r="K841" s="301"/>
      <c r="L841" s="301"/>
      <c r="M841" s="301"/>
      <c r="N841" s="301"/>
      <c r="O841" s="301"/>
      <c r="P841" s="301"/>
      <c r="Q841" s="301"/>
      <c r="R841" s="301"/>
      <c r="S841" s="301"/>
      <c r="T841" s="366"/>
      <c r="U841" s="301"/>
      <c r="V841" s="301"/>
      <c r="W841" s="301"/>
      <c r="X841" s="301"/>
      <c r="Y841" s="301"/>
      <c r="Z841" s="301"/>
    </row>
    <row r="842">
      <c r="A842" s="301"/>
      <c r="B842" s="365"/>
      <c r="C842" s="301"/>
      <c r="D842" s="301"/>
      <c r="E842" s="301"/>
      <c r="F842" s="301"/>
      <c r="G842" s="301"/>
      <c r="H842" s="334"/>
      <c r="I842" s="334"/>
      <c r="J842" s="301"/>
      <c r="K842" s="301"/>
      <c r="L842" s="301"/>
      <c r="M842" s="301"/>
      <c r="N842" s="301"/>
      <c r="O842" s="301"/>
      <c r="P842" s="301"/>
      <c r="Q842" s="301"/>
      <c r="R842" s="301"/>
      <c r="S842" s="301"/>
      <c r="T842" s="366"/>
      <c r="U842" s="301"/>
      <c r="V842" s="301"/>
      <c r="W842" s="301"/>
      <c r="X842" s="301"/>
      <c r="Y842" s="301"/>
      <c r="Z842" s="301"/>
    </row>
    <row r="843">
      <c r="A843" s="301"/>
      <c r="B843" s="365"/>
      <c r="C843" s="301"/>
      <c r="D843" s="301"/>
      <c r="E843" s="301"/>
      <c r="F843" s="301"/>
      <c r="G843" s="301"/>
      <c r="H843" s="334"/>
      <c r="I843" s="334"/>
      <c r="J843" s="301"/>
      <c r="K843" s="301"/>
      <c r="L843" s="301"/>
      <c r="M843" s="301"/>
      <c r="N843" s="301"/>
      <c r="O843" s="301"/>
      <c r="P843" s="301"/>
      <c r="Q843" s="301"/>
      <c r="R843" s="301"/>
      <c r="S843" s="301"/>
      <c r="T843" s="366"/>
      <c r="U843" s="301"/>
      <c r="V843" s="301"/>
      <c r="W843" s="301"/>
      <c r="X843" s="301"/>
      <c r="Y843" s="301"/>
      <c r="Z843" s="301"/>
    </row>
    <row r="844">
      <c r="A844" s="301"/>
      <c r="B844" s="365"/>
      <c r="C844" s="301"/>
      <c r="D844" s="301"/>
      <c r="E844" s="301"/>
      <c r="F844" s="301"/>
      <c r="G844" s="301"/>
      <c r="H844" s="334"/>
      <c r="I844" s="334"/>
      <c r="J844" s="301"/>
      <c r="K844" s="301"/>
      <c r="L844" s="301"/>
      <c r="M844" s="301"/>
      <c r="N844" s="301"/>
      <c r="O844" s="301"/>
      <c r="P844" s="301"/>
      <c r="Q844" s="301"/>
      <c r="R844" s="301"/>
      <c r="S844" s="301"/>
      <c r="T844" s="366"/>
      <c r="U844" s="301"/>
      <c r="V844" s="301"/>
      <c r="W844" s="301"/>
      <c r="X844" s="301"/>
      <c r="Y844" s="301"/>
      <c r="Z844" s="301"/>
    </row>
    <row r="845">
      <c r="A845" s="301"/>
      <c r="B845" s="365"/>
      <c r="C845" s="301"/>
      <c r="D845" s="301"/>
      <c r="E845" s="301"/>
      <c r="F845" s="301"/>
      <c r="G845" s="301"/>
      <c r="H845" s="334"/>
      <c r="I845" s="334"/>
      <c r="J845" s="301"/>
      <c r="K845" s="301"/>
      <c r="L845" s="301"/>
      <c r="M845" s="301"/>
      <c r="N845" s="301"/>
      <c r="O845" s="301"/>
      <c r="P845" s="301"/>
      <c r="Q845" s="301"/>
      <c r="R845" s="301"/>
      <c r="S845" s="301"/>
      <c r="T845" s="366"/>
      <c r="U845" s="301"/>
      <c r="V845" s="301"/>
      <c r="W845" s="301"/>
      <c r="X845" s="301"/>
      <c r="Y845" s="301"/>
      <c r="Z845" s="301"/>
    </row>
    <row r="846">
      <c r="A846" s="301"/>
      <c r="B846" s="365"/>
      <c r="C846" s="301"/>
      <c r="D846" s="301"/>
      <c r="E846" s="301"/>
      <c r="F846" s="301"/>
      <c r="G846" s="301"/>
      <c r="H846" s="334"/>
      <c r="I846" s="334"/>
      <c r="J846" s="301"/>
      <c r="K846" s="301"/>
      <c r="L846" s="301"/>
      <c r="M846" s="301"/>
      <c r="N846" s="301"/>
      <c r="O846" s="301"/>
      <c r="P846" s="301"/>
      <c r="Q846" s="301"/>
      <c r="R846" s="301"/>
      <c r="S846" s="301"/>
      <c r="T846" s="366"/>
      <c r="U846" s="301"/>
      <c r="V846" s="301"/>
      <c r="W846" s="301"/>
      <c r="X846" s="301"/>
      <c r="Y846" s="301"/>
      <c r="Z846" s="301"/>
    </row>
    <row r="847">
      <c r="A847" s="301"/>
      <c r="B847" s="365"/>
      <c r="C847" s="301"/>
      <c r="D847" s="301"/>
      <c r="E847" s="301"/>
      <c r="F847" s="301"/>
      <c r="G847" s="301"/>
      <c r="H847" s="334"/>
      <c r="I847" s="334"/>
      <c r="J847" s="301"/>
      <c r="K847" s="301"/>
      <c r="L847" s="301"/>
      <c r="M847" s="301"/>
      <c r="N847" s="301"/>
      <c r="O847" s="301"/>
      <c r="P847" s="301"/>
      <c r="Q847" s="301"/>
      <c r="R847" s="301"/>
      <c r="S847" s="301"/>
      <c r="T847" s="366"/>
      <c r="U847" s="301"/>
      <c r="V847" s="301"/>
      <c r="W847" s="301"/>
      <c r="X847" s="301"/>
      <c r="Y847" s="301"/>
      <c r="Z847" s="301"/>
    </row>
    <row r="848">
      <c r="A848" s="301"/>
      <c r="B848" s="365"/>
      <c r="C848" s="301"/>
      <c r="D848" s="301"/>
      <c r="E848" s="301"/>
      <c r="F848" s="301"/>
      <c r="G848" s="301"/>
      <c r="H848" s="334"/>
      <c r="I848" s="334"/>
      <c r="J848" s="301"/>
      <c r="K848" s="301"/>
      <c r="L848" s="301"/>
      <c r="M848" s="301"/>
      <c r="N848" s="301"/>
      <c r="O848" s="301"/>
      <c r="P848" s="301"/>
      <c r="Q848" s="301"/>
      <c r="R848" s="301"/>
      <c r="S848" s="301"/>
      <c r="T848" s="366"/>
      <c r="U848" s="301"/>
      <c r="V848" s="301"/>
      <c r="W848" s="301"/>
      <c r="X848" s="301"/>
      <c r="Y848" s="301"/>
      <c r="Z848" s="301"/>
    </row>
    <row r="849">
      <c r="A849" s="301"/>
      <c r="B849" s="365"/>
      <c r="C849" s="301"/>
      <c r="D849" s="301"/>
      <c r="E849" s="301"/>
      <c r="F849" s="301"/>
      <c r="G849" s="301"/>
      <c r="H849" s="334"/>
      <c r="I849" s="334"/>
      <c r="J849" s="301"/>
      <c r="K849" s="301"/>
      <c r="L849" s="301"/>
      <c r="M849" s="301"/>
      <c r="N849" s="301"/>
      <c r="O849" s="301"/>
      <c r="P849" s="301"/>
      <c r="Q849" s="301"/>
      <c r="R849" s="301"/>
      <c r="S849" s="301"/>
      <c r="T849" s="366"/>
      <c r="U849" s="301"/>
      <c r="V849" s="301"/>
      <c r="W849" s="301"/>
      <c r="X849" s="301"/>
      <c r="Y849" s="301"/>
      <c r="Z849" s="301"/>
    </row>
    <row r="850">
      <c r="A850" s="301"/>
      <c r="B850" s="365"/>
      <c r="C850" s="301"/>
      <c r="D850" s="301"/>
      <c r="E850" s="301"/>
      <c r="F850" s="301"/>
      <c r="G850" s="301"/>
      <c r="H850" s="334"/>
      <c r="I850" s="334"/>
      <c r="J850" s="301"/>
      <c r="K850" s="301"/>
      <c r="L850" s="301"/>
      <c r="M850" s="301"/>
      <c r="N850" s="301"/>
      <c r="O850" s="301"/>
      <c r="P850" s="301"/>
      <c r="Q850" s="301"/>
      <c r="R850" s="301"/>
      <c r="S850" s="301"/>
      <c r="T850" s="366"/>
      <c r="U850" s="301"/>
      <c r="V850" s="301"/>
      <c r="W850" s="301"/>
      <c r="X850" s="301"/>
      <c r="Y850" s="301"/>
      <c r="Z850" s="301"/>
    </row>
    <row r="851">
      <c r="A851" s="301"/>
      <c r="B851" s="365"/>
      <c r="C851" s="301"/>
      <c r="D851" s="301"/>
      <c r="E851" s="301"/>
      <c r="F851" s="301"/>
      <c r="G851" s="301"/>
      <c r="H851" s="334"/>
      <c r="I851" s="334"/>
      <c r="J851" s="301"/>
      <c r="K851" s="301"/>
      <c r="L851" s="301"/>
      <c r="M851" s="301"/>
      <c r="N851" s="301"/>
      <c r="O851" s="301"/>
      <c r="P851" s="301"/>
      <c r="Q851" s="301"/>
      <c r="R851" s="301"/>
      <c r="S851" s="301"/>
      <c r="T851" s="366"/>
      <c r="U851" s="301"/>
      <c r="V851" s="301"/>
      <c r="W851" s="301"/>
      <c r="X851" s="301"/>
      <c r="Y851" s="301"/>
      <c r="Z851" s="301"/>
    </row>
    <row r="852">
      <c r="A852" s="301"/>
      <c r="B852" s="365"/>
      <c r="C852" s="301"/>
      <c r="D852" s="301"/>
      <c r="E852" s="301"/>
      <c r="F852" s="301"/>
      <c r="G852" s="301"/>
      <c r="H852" s="334"/>
      <c r="I852" s="334"/>
      <c r="J852" s="301"/>
      <c r="K852" s="301"/>
      <c r="L852" s="301"/>
      <c r="M852" s="301"/>
      <c r="N852" s="301"/>
      <c r="O852" s="301"/>
      <c r="P852" s="301"/>
      <c r="Q852" s="301"/>
      <c r="R852" s="301"/>
      <c r="S852" s="301"/>
      <c r="T852" s="366"/>
      <c r="U852" s="301"/>
      <c r="V852" s="301"/>
      <c r="W852" s="301"/>
      <c r="X852" s="301"/>
      <c r="Y852" s="301"/>
      <c r="Z852" s="301"/>
    </row>
    <row r="853">
      <c r="A853" s="301"/>
      <c r="B853" s="365"/>
      <c r="C853" s="301"/>
      <c r="D853" s="301"/>
      <c r="E853" s="301"/>
      <c r="F853" s="301"/>
      <c r="G853" s="301"/>
      <c r="H853" s="334"/>
      <c r="I853" s="334"/>
      <c r="J853" s="301"/>
      <c r="K853" s="301"/>
      <c r="L853" s="301"/>
      <c r="M853" s="301"/>
      <c r="N853" s="301"/>
      <c r="O853" s="301"/>
      <c r="P853" s="301"/>
      <c r="Q853" s="301"/>
      <c r="R853" s="301"/>
      <c r="S853" s="301"/>
      <c r="T853" s="366"/>
      <c r="U853" s="301"/>
      <c r="V853" s="301"/>
      <c r="W853" s="301"/>
      <c r="X853" s="301"/>
      <c r="Y853" s="301"/>
      <c r="Z853" s="301"/>
    </row>
    <row r="854">
      <c r="A854" s="301"/>
      <c r="B854" s="365"/>
      <c r="C854" s="301"/>
      <c r="D854" s="301"/>
      <c r="E854" s="301"/>
      <c r="F854" s="301"/>
      <c r="G854" s="301"/>
      <c r="H854" s="334"/>
      <c r="I854" s="334"/>
      <c r="J854" s="301"/>
      <c r="K854" s="301"/>
      <c r="L854" s="301"/>
      <c r="M854" s="301"/>
      <c r="N854" s="301"/>
      <c r="O854" s="301"/>
      <c r="P854" s="301"/>
      <c r="Q854" s="301"/>
      <c r="R854" s="301"/>
      <c r="S854" s="301"/>
      <c r="T854" s="366"/>
      <c r="U854" s="301"/>
      <c r="V854" s="301"/>
      <c r="W854" s="301"/>
      <c r="X854" s="301"/>
      <c r="Y854" s="301"/>
      <c r="Z854" s="301"/>
    </row>
    <row r="855">
      <c r="A855" s="301"/>
      <c r="B855" s="365"/>
      <c r="C855" s="301"/>
      <c r="D855" s="301"/>
      <c r="E855" s="301"/>
      <c r="F855" s="301"/>
      <c r="G855" s="301"/>
      <c r="H855" s="334"/>
      <c r="I855" s="334"/>
      <c r="J855" s="301"/>
      <c r="K855" s="301"/>
      <c r="L855" s="301"/>
      <c r="M855" s="301"/>
      <c r="N855" s="301"/>
      <c r="O855" s="301"/>
      <c r="P855" s="301"/>
      <c r="Q855" s="301"/>
      <c r="R855" s="301"/>
      <c r="S855" s="301"/>
      <c r="T855" s="366"/>
      <c r="U855" s="301"/>
      <c r="V855" s="301"/>
      <c r="W855" s="301"/>
      <c r="X855" s="301"/>
      <c r="Y855" s="301"/>
      <c r="Z855" s="301"/>
    </row>
    <row r="856">
      <c r="A856" s="301"/>
      <c r="B856" s="365"/>
      <c r="C856" s="301"/>
      <c r="D856" s="301"/>
      <c r="E856" s="301"/>
      <c r="F856" s="301"/>
      <c r="G856" s="301"/>
      <c r="H856" s="334"/>
      <c r="I856" s="334"/>
      <c r="J856" s="301"/>
      <c r="K856" s="301"/>
      <c r="L856" s="301"/>
      <c r="M856" s="301"/>
      <c r="N856" s="301"/>
      <c r="O856" s="301"/>
      <c r="P856" s="301"/>
      <c r="Q856" s="301"/>
      <c r="R856" s="301"/>
      <c r="S856" s="301"/>
      <c r="T856" s="366"/>
      <c r="U856" s="301"/>
      <c r="V856" s="301"/>
      <c r="W856" s="301"/>
      <c r="X856" s="301"/>
      <c r="Y856" s="301"/>
      <c r="Z856" s="301"/>
    </row>
    <row r="857">
      <c r="A857" s="301"/>
      <c r="B857" s="365"/>
      <c r="C857" s="301"/>
      <c r="D857" s="301"/>
      <c r="E857" s="301"/>
      <c r="F857" s="301"/>
      <c r="G857" s="301"/>
      <c r="H857" s="334"/>
      <c r="I857" s="334"/>
      <c r="J857" s="301"/>
      <c r="K857" s="301"/>
      <c r="L857" s="301"/>
      <c r="M857" s="301"/>
      <c r="N857" s="301"/>
      <c r="O857" s="301"/>
      <c r="P857" s="301"/>
      <c r="Q857" s="301"/>
      <c r="R857" s="301"/>
      <c r="S857" s="301"/>
      <c r="T857" s="366"/>
      <c r="U857" s="301"/>
      <c r="V857" s="301"/>
      <c r="W857" s="301"/>
      <c r="X857" s="301"/>
      <c r="Y857" s="301"/>
      <c r="Z857" s="301"/>
    </row>
    <row r="858">
      <c r="A858" s="301"/>
      <c r="B858" s="365"/>
      <c r="C858" s="301"/>
      <c r="D858" s="301"/>
      <c r="E858" s="301"/>
      <c r="F858" s="301"/>
      <c r="G858" s="301"/>
      <c r="H858" s="334"/>
      <c r="I858" s="334"/>
      <c r="J858" s="301"/>
      <c r="K858" s="301"/>
      <c r="L858" s="301"/>
      <c r="M858" s="301"/>
      <c r="N858" s="301"/>
      <c r="O858" s="301"/>
      <c r="P858" s="301"/>
      <c r="Q858" s="301"/>
      <c r="R858" s="301"/>
      <c r="S858" s="301"/>
      <c r="T858" s="366"/>
      <c r="U858" s="301"/>
      <c r="V858" s="301"/>
      <c r="W858" s="301"/>
      <c r="X858" s="301"/>
      <c r="Y858" s="301"/>
      <c r="Z858" s="301"/>
    </row>
    <row r="859">
      <c r="A859" s="301"/>
      <c r="B859" s="365"/>
      <c r="C859" s="301"/>
      <c r="D859" s="301"/>
      <c r="E859" s="301"/>
      <c r="F859" s="301"/>
      <c r="G859" s="301"/>
      <c r="H859" s="334"/>
      <c r="I859" s="334"/>
      <c r="J859" s="301"/>
      <c r="K859" s="301"/>
      <c r="L859" s="301"/>
      <c r="M859" s="301"/>
      <c r="N859" s="301"/>
      <c r="O859" s="301"/>
      <c r="P859" s="301"/>
      <c r="Q859" s="301"/>
      <c r="R859" s="301"/>
      <c r="S859" s="301"/>
      <c r="T859" s="366"/>
      <c r="U859" s="301"/>
      <c r="V859" s="301"/>
      <c r="W859" s="301"/>
      <c r="X859" s="301"/>
      <c r="Y859" s="301"/>
      <c r="Z859" s="301"/>
    </row>
    <row r="860">
      <c r="A860" s="301"/>
      <c r="B860" s="365"/>
      <c r="C860" s="301"/>
      <c r="D860" s="301"/>
      <c r="E860" s="301"/>
      <c r="F860" s="301"/>
      <c r="G860" s="301"/>
      <c r="H860" s="334"/>
      <c r="I860" s="334"/>
      <c r="J860" s="301"/>
      <c r="K860" s="301"/>
      <c r="L860" s="301"/>
      <c r="M860" s="301"/>
      <c r="N860" s="301"/>
      <c r="O860" s="301"/>
      <c r="P860" s="301"/>
      <c r="Q860" s="301"/>
      <c r="R860" s="301"/>
      <c r="S860" s="301"/>
      <c r="T860" s="366"/>
      <c r="U860" s="301"/>
      <c r="V860" s="301"/>
      <c r="W860" s="301"/>
      <c r="X860" s="301"/>
      <c r="Y860" s="301"/>
      <c r="Z860" s="301"/>
    </row>
    <row r="861">
      <c r="A861" s="301"/>
      <c r="B861" s="365"/>
      <c r="C861" s="301"/>
      <c r="D861" s="301"/>
      <c r="E861" s="301"/>
      <c r="F861" s="301"/>
      <c r="G861" s="301"/>
      <c r="H861" s="334"/>
      <c r="I861" s="334"/>
      <c r="J861" s="301"/>
      <c r="K861" s="301"/>
      <c r="L861" s="301"/>
      <c r="M861" s="301"/>
      <c r="N861" s="301"/>
      <c r="O861" s="301"/>
      <c r="P861" s="301"/>
      <c r="Q861" s="301"/>
      <c r="R861" s="301"/>
      <c r="S861" s="301"/>
      <c r="T861" s="366"/>
      <c r="U861" s="301"/>
      <c r="V861" s="301"/>
      <c r="W861" s="301"/>
      <c r="X861" s="301"/>
      <c r="Y861" s="301"/>
      <c r="Z861" s="301"/>
    </row>
    <row r="862">
      <c r="A862" s="301"/>
      <c r="B862" s="365"/>
      <c r="C862" s="301"/>
      <c r="D862" s="301"/>
      <c r="E862" s="301"/>
      <c r="F862" s="301"/>
      <c r="G862" s="301"/>
      <c r="H862" s="334"/>
      <c r="I862" s="334"/>
      <c r="J862" s="301"/>
      <c r="K862" s="301"/>
      <c r="L862" s="301"/>
      <c r="M862" s="301"/>
      <c r="N862" s="301"/>
      <c r="O862" s="301"/>
      <c r="P862" s="301"/>
      <c r="Q862" s="301"/>
      <c r="R862" s="301"/>
      <c r="S862" s="301"/>
      <c r="T862" s="366"/>
      <c r="U862" s="301"/>
      <c r="V862" s="301"/>
      <c r="W862" s="301"/>
      <c r="X862" s="301"/>
      <c r="Y862" s="301"/>
      <c r="Z862" s="301"/>
    </row>
    <row r="863">
      <c r="A863" s="301"/>
      <c r="B863" s="365"/>
      <c r="C863" s="301"/>
      <c r="D863" s="301"/>
      <c r="E863" s="301"/>
      <c r="F863" s="301"/>
      <c r="G863" s="301"/>
      <c r="H863" s="334"/>
      <c r="I863" s="334"/>
      <c r="J863" s="301"/>
      <c r="K863" s="301"/>
      <c r="L863" s="301"/>
      <c r="M863" s="301"/>
      <c r="N863" s="301"/>
      <c r="O863" s="301"/>
      <c r="P863" s="301"/>
      <c r="Q863" s="301"/>
      <c r="R863" s="301"/>
      <c r="S863" s="301"/>
      <c r="T863" s="366"/>
      <c r="U863" s="301"/>
      <c r="V863" s="301"/>
      <c r="W863" s="301"/>
      <c r="X863" s="301"/>
      <c r="Y863" s="301"/>
      <c r="Z863" s="301"/>
    </row>
    <row r="864">
      <c r="A864" s="301"/>
      <c r="B864" s="365"/>
      <c r="C864" s="301"/>
      <c r="D864" s="301"/>
      <c r="E864" s="301"/>
      <c r="F864" s="301"/>
      <c r="G864" s="301"/>
      <c r="H864" s="334"/>
      <c r="I864" s="334"/>
      <c r="J864" s="301"/>
      <c r="K864" s="301"/>
      <c r="L864" s="301"/>
      <c r="M864" s="301"/>
      <c r="N864" s="301"/>
      <c r="O864" s="301"/>
      <c r="P864" s="301"/>
      <c r="Q864" s="301"/>
      <c r="R864" s="301"/>
      <c r="S864" s="301"/>
      <c r="T864" s="366"/>
      <c r="U864" s="301"/>
      <c r="V864" s="301"/>
      <c r="W864" s="301"/>
      <c r="X864" s="301"/>
      <c r="Y864" s="301"/>
      <c r="Z864" s="301"/>
    </row>
    <row r="865">
      <c r="A865" s="301"/>
      <c r="B865" s="365"/>
      <c r="C865" s="301"/>
      <c r="D865" s="301"/>
      <c r="E865" s="301"/>
      <c r="F865" s="301"/>
      <c r="G865" s="301"/>
      <c r="H865" s="334"/>
      <c r="I865" s="334"/>
      <c r="J865" s="301"/>
      <c r="K865" s="301"/>
      <c r="L865" s="301"/>
      <c r="M865" s="301"/>
      <c r="N865" s="301"/>
      <c r="O865" s="301"/>
      <c r="P865" s="301"/>
      <c r="Q865" s="301"/>
      <c r="R865" s="301"/>
      <c r="S865" s="301"/>
      <c r="T865" s="366"/>
      <c r="U865" s="301"/>
      <c r="V865" s="301"/>
      <c r="W865" s="301"/>
      <c r="X865" s="301"/>
      <c r="Y865" s="301"/>
      <c r="Z865" s="301"/>
    </row>
    <row r="866">
      <c r="A866" s="301"/>
      <c r="B866" s="365"/>
      <c r="C866" s="301"/>
      <c r="D866" s="301"/>
      <c r="E866" s="301"/>
      <c r="F866" s="301"/>
      <c r="G866" s="301"/>
      <c r="H866" s="334"/>
      <c r="I866" s="334"/>
      <c r="J866" s="301"/>
      <c r="K866" s="301"/>
      <c r="L866" s="301"/>
      <c r="M866" s="301"/>
      <c r="N866" s="301"/>
      <c r="O866" s="301"/>
      <c r="P866" s="301"/>
      <c r="Q866" s="301"/>
      <c r="R866" s="301"/>
      <c r="S866" s="301"/>
      <c r="T866" s="366"/>
      <c r="U866" s="301"/>
      <c r="V866" s="301"/>
      <c r="W866" s="301"/>
      <c r="X866" s="301"/>
      <c r="Y866" s="301"/>
      <c r="Z866" s="301"/>
    </row>
    <row r="867">
      <c r="A867" s="301"/>
      <c r="B867" s="365"/>
      <c r="C867" s="301"/>
      <c r="D867" s="301"/>
      <c r="E867" s="301"/>
      <c r="F867" s="301"/>
      <c r="G867" s="301"/>
      <c r="H867" s="334"/>
      <c r="I867" s="334"/>
      <c r="J867" s="301"/>
      <c r="K867" s="301"/>
      <c r="L867" s="301"/>
      <c r="M867" s="301"/>
      <c r="N867" s="301"/>
      <c r="O867" s="301"/>
      <c r="P867" s="301"/>
      <c r="Q867" s="301"/>
      <c r="R867" s="301"/>
      <c r="S867" s="301"/>
      <c r="T867" s="366"/>
      <c r="U867" s="301"/>
      <c r="V867" s="301"/>
      <c r="W867" s="301"/>
      <c r="X867" s="301"/>
      <c r="Y867" s="301"/>
      <c r="Z867" s="301"/>
    </row>
    <row r="868">
      <c r="A868" s="301"/>
      <c r="B868" s="365"/>
      <c r="C868" s="301"/>
      <c r="D868" s="301"/>
      <c r="E868" s="301"/>
      <c r="F868" s="301"/>
      <c r="G868" s="301"/>
      <c r="H868" s="334"/>
      <c r="I868" s="334"/>
      <c r="J868" s="301"/>
      <c r="K868" s="301"/>
      <c r="L868" s="301"/>
      <c r="M868" s="301"/>
      <c r="N868" s="301"/>
      <c r="O868" s="301"/>
      <c r="P868" s="301"/>
      <c r="Q868" s="301"/>
      <c r="R868" s="301"/>
      <c r="S868" s="301"/>
      <c r="T868" s="366"/>
      <c r="U868" s="301"/>
      <c r="V868" s="301"/>
      <c r="W868" s="301"/>
      <c r="X868" s="301"/>
      <c r="Y868" s="301"/>
      <c r="Z868" s="301"/>
    </row>
    <row r="869">
      <c r="A869" s="301"/>
      <c r="B869" s="365"/>
      <c r="C869" s="301"/>
      <c r="D869" s="301"/>
      <c r="E869" s="301"/>
      <c r="F869" s="301"/>
      <c r="G869" s="301"/>
      <c r="H869" s="334"/>
      <c r="I869" s="334"/>
      <c r="J869" s="301"/>
      <c r="K869" s="301"/>
      <c r="L869" s="301"/>
      <c r="M869" s="301"/>
      <c r="N869" s="301"/>
      <c r="O869" s="301"/>
      <c r="P869" s="301"/>
      <c r="Q869" s="301"/>
      <c r="R869" s="301"/>
      <c r="S869" s="301"/>
      <c r="T869" s="366"/>
      <c r="U869" s="301"/>
      <c r="V869" s="301"/>
      <c r="W869" s="301"/>
      <c r="X869" s="301"/>
      <c r="Y869" s="301"/>
      <c r="Z869" s="301"/>
    </row>
    <row r="870">
      <c r="A870" s="301"/>
      <c r="B870" s="365"/>
      <c r="C870" s="301"/>
      <c r="D870" s="301"/>
      <c r="E870" s="301"/>
      <c r="F870" s="301"/>
      <c r="G870" s="301"/>
      <c r="H870" s="334"/>
      <c r="I870" s="334"/>
      <c r="J870" s="301"/>
      <c r="K870" s="301"/>
      <c r="L870" s="301"/>
      <c r="M870" s="301"/>
      <c r="N870" s="301"/>
      <c r="O870" s="301"/>
      <c r="P870" s="301"/>
      <c r="Q870" s="301"/>
      <c r="R870" s="301"/>
      <c r="S870" s="301"/>
      <c r="T870" s="366"/>
      <c r="U870" s="301"/>
      <c r="V870" s="301"/>
      <c r="W870" s="301"/>
      <c r="X870" s="301"/>
      <c r="Y870" s="301"/>
      <c r="Z870" s="301"/>
    </row>
    <row r="871">
      <c r="A871" s="301"/>
      <c r="B871" s="365"/>
      <c r="C871" s="301"/>
      <c r="D871" s="301"/>
      <c r="E871" s="301"/>
      <c r="F871" s="301"/>
      <c r="G871" s="301"/>
      <c r="H871" s="334"/>
      <c r="I871" s="334"/>
      <c r="J871" s="301"/>
      <c r="K871" s="301"/>
      <c r="L871" s="301"/>
      <c r="M871" s="301"/>
      <c r="N871" s="301"/>
      <c r="O871" s="301"/>
      <c r="P871" s="301"/>
      <c r="Q871" s="301"/>
      <c r="R871" s="301"/>
      <c r="S871" s="301"/>
      <c r="T871" s="366"/>
      <c r="U871" s="301"/>
      <c r="V871" s="301"/>
      <c r="W871" s="301"/>
      <c r="X871" s="301"/>
      <c r="Y871" s="301"/>
      <c r="Z871" s="301"/>
    </row>
    <row r="872">
      <c r="A872" s="301"/>
      <c r="B872" s="365"/>
      <c r="C872" s="301"/>
      <c r="D872" s="301"/>
      <c r="E872" s="301"/>
      <c r="F872" s="301"/>
      <c r="G872" s="301"/>
      <c r="H872" s="334"/>
      <c r="I872" s="334"/>
      <c r="J872" s="301"/>
      <c r="K872" s="301"/>
      <c r="L872" s="301"/>
      <c r="M872" s="301"/>
      <c r="N872" s="301"/>
      <c r="O872" s="301"/>
      <c r="P872" s="301"/>
      <c r="Q872" s="301"/>
      <c r="R872" s="301"/>
      <c r="S872" s="301"/>
      <c r="T872" s="366"/>
      <c r="U872" s="301"/>
      <c r="V872" s="301"/>
      <c r="W872" s="301"/>
      <c r="X872" s="301"/>
      <c r="Y872" s="301"/>
      <c r="Z872" s="301"/>
    </row>
    <row r="873">
      <c r="A873" s="301"/>
      <c r="B873" s="365"/>
      <c r="C873" s="301"/>
      <c r="D873" s="301"/>
      <c r="E873" s="301"/>
      <c r="F873" s="301"/>
      <c r="G873" s="301"/>
      <c r="H873" s="334"/>
      <c r="I873" s="334"/>
      <c r="J873" s="301"/>
      <c r="K873" s="301"/>
      <c r="L873" s="301"/>
      <c r="M873" s="301"/>
      <c r="N873" s="301"/>
      <c r="O873" s="301"/>
      <c r="P873" s="301"/>
      <c r="Q873" s="301"/>
      <c r="R873" s="301"/>
      <c r="S873" s="301"/>
      <c r="T873" s="366"/>
      <c r="U873" s="301"/>
      <c r="V873" s="301"/>
      <c r="W873" s="301"/>
      <c r="X873" s="301"/>
      <c r="Y873" s="301"/>
      <c r="Z873" s="301"/>
    </row>
    <row r="874">
      <c r="A874" s="301"/>
      <c r="B874" s="365"/>
      <c r="C874" s="301"/>
      <c r="D874" s="301"/>
      <c r="E874" s="301"/>
      <c r="F874" s="301"/>
      <c r="G874" s="301"/>
      <c r="H874" s="334"/>
      <c r="I874" s="334"/>
      <c r="J874" s="301"/>
      <c r="K874" s="301"/>
      <c r="L874" s="301"/>
      <c r="M874" s="301"/>
      <c r="N874" s="301"/>
      <c r="O874" s="301"/>
      <c r="P874" s="301"/>
      <c r="Q874" s="301"/>
      <c r="R874" s="301"/>
      <c r="S874" s="301"/>
      <c r="T874" s="366"/>
      <c r="U874" s="301"/>
      <c r="V874" s="301"/>
      <c r="W874" s="301"/>
      <c r="X874" s="301"/>
      <c r="Y874" s="301"/>
      <c r="Z874" s="301"/>
    </row>
    <row r="875">
      <c r="A875" s="301"/>
      <c r="B875" s="365"/>
      <c r="C875" s="301"/>
      <c r="D875" s="301"/>
      <c r="E875" s="301"/>
      <c r="F875" s="301"/>
      <c r="G875" s="301"/>
      <c r="H875" s="334"/>
      <c r="I875" s="334"/>
      <c r="J875" s="301"/>
      <c r="K875" s="301"/>
      <c r="L875" s="301"/>
      <c r="M875" s="301"/>
      <c r="N875" s="301"/>
      <c r="O875" s="301"/>
      <c r="P875" s="301"/>
      <c r="Q875" s="301"/>
      <c r="R875" s="301"/>
      <c r="S875" s="301"/>
      <c r="T875" s="366"/>
      <c r="U875" s="301"/>
      <c r="V875" s="301"/>
      <c r="W875" s="301"/>
      <c r="X875" s="301"/>
      <c r="Y875" s="301"/>
      <c r="Z875" s="301"/>
    </row>
    <row r="876">
      <c r="A876" s="301"/>
      <c r="B876" s="365"/>
      <c r="C876" s="301"/>
      <c r="D876" s="301"/>
      <c r="E876" s="301"/>
      <c r="F876" s="301"/>
      <c r="G876" s="301"/>
      <c r="H876" s="334"/>
      <c r="I876" s="334"/>
      <c r="J876" s="301"/>
      <c r="K876" s="301"/>
      <c r="L876" s="301"/>
      <c r="M876" s="301"/>
      <c r="N876" s="301"/>
      <c r="O876" s="301"/>
      <c r="P876" s="301"/>
      <c r="Q876" s="301"/>
      <c r="R876" s="301"/>
      <c r="S876" s="301"/>
      <c r="T876" s="366"/>
      <c r="U876" s="301"/>
      <c r="V876" s="301"/>
      <c r="W876" s="301"/>
      <c r="X876" s="301"/>
      <c r="Y876" s="301"/>
      <c r="Z876" s="301"/>
    </row>
    <row r="877">
      <c r="A877" s="301"/>
      <c r="B877" s="365"/>
      <c r="C877" s="301"/>
      <c r="D877" s="301"/>
      <c r="E877" s="301"/>
      <c r="F877" s="301"/>
      <c r="G877" s="301"/>
      <c r="H877" s="334"/>
      <c r="I877" s="334"/>
      <c r="J877" s="301"/>
      <c r="K877" s="301"/>
      <c r="L877" s="301"/>
      <c r="M877" s="301"/>
      <c r="N877" s="301"/>
      <c r="O877" s="301"/>
      <c r="P877" s="301"/>
      <c r="Q877" s="301"/>
      <c r="R877" s="301"/>
      <c r="S877" s="301"/>
      <c r="T877" s="366"/>
      <c r="U877" s="301"/>
      <c r="V877" s="301"/>
      <c r="W877" s="301"/>
      <c r="X877" s="301"/>
      <c r="Y877" s="301"/>
      <c r="Z877" s="301"/>
    </row>
    <row r="878">
      <c r="A878" s="301"/>
      <c r="B878" s="365"/>
      <c r="C878" s="301"/>
      <c r="D878" s="301"/>
      <c r="E878" s="301"/>
      <c r="F878" s="301"/>
      <c r="G878" s="301"/>
      <c r="H878" s="334"/>
      <c r="I878" s="334"/>
      <c r="J878" s="301"/>
      <c r="K878" s="301"/>
      <c r="L878" s="301"/>
      <c r="M878" s="301"/>
      <c r="N878" s="301"/>
      <c r="O878" s="301"/>
      <c r="P878" s="301"/>
      <c r="Q878" s="301"/>
      <c r="R878" s="301"/>
      <c r="S878" s="301"/>
      <c r="T878" s="366"/>
      <c r="U878" s="301"/>
      <c r="V878" s="301"/>
      <c r="W878" s="301"/>
      <c r="X878" s="301"/>
      <c r="Y878" s="301"/>
      <c r="Z878" s="301"/>
    </row>
    <row r="879">
      <c r="A879" s="301"/>
      <c r="B879" s="365"/>
      <c r="C879" s="301"/>
      <c r="D879" s="301"/>
      <c r="E879" s="301"/>
      <c r="F879" s="301"/>
      <c r="G879" s="301"/>
      <c r="H879" s="334"/>
      <c r="I879" s="334"/>
      <c r="J879" s="301"/>
      <c r="K879" s="301"/>
      <c r="L879" s="301"/>
      <c r="M879" s="301"/>
      <c r="N879" s="301"/>
      <c r="O879" s="301"/>
      <c r="P879" s="301"/>
      <c r="Q879" s="301"/>
      <c r="R879" s="301"/>
      <c r="S879" s="301"/>
      <c r="T879" s="366"/>
      <c r="U879" s="301"/>
      <c r="V879" s="301"/>
      <c r="W879" s="301"/>
      <c r="X879" s="301"/>
      <c r="Y879" s="301"/>
      <c r="Z879" s="301"/>
    </row>
    <row r="880">
      <c r="A880" s="301"/>
      <c r="B880" s="365"/>
      <c r="C880" s="301"/>
      <c r="D880" s="301"/>
      <c r="E880" s="301"/>
      <c r="F880" s="301"/>
      <c r="G880" s="301"/>
      <c r="H880" s="334"/>
      <c r="I880" s="334"/>
      <c r="J880" s="301"/>
      <c r="K880" s="301"/>
      <c r="L880" s="301"/>
      <c r="M880" s="301"/>
      <c r="N880" s="301"/>
      <c r="O880" s="301"/>
      <c r="P880" s="301"/>
      <c r="Q880" s="301"/>
      <c r="R880" s="301"/>
      <c r="S880" s="301"/>
      <c r="T880" s="366"/>
      <c r="U880" s="301"/>
      <c r="V880" s="301"/>
      <c r="W880" s="301"/>
      <c r="X880" s="301"/>
      <c r="Y880" s="301"/>
      <c r="Z880" s="301"/>
    </row>
    <row r="881">
      <c r="A881" s="301"/>
      <c r="B881" s="365"/>
      <c r="C881" s="301"/>
      <c r="D881" s="301"/>
      <c r="E881" s="301"/>
      <c r="F881" s="301"/>
      <c r="G881" s="301"/>
      <c r="H881" s="334"/>
      <c r="I881" s="334"/>
      <c r="J881" s="301"/>
      <c r="K881" s="301"/>
      <c r="L881" s="301"/>
      <c r="M881" s="301"/>
      <c r="N881" s="301"/>
      <c r="O881" s="301"/>
      <c r="P881" s="301"/>
      <c r="Q881" s="301"/>
      <c r="R881" s="301"/>
      <c r="S881" s="301"/>
      <c r="T881" s="366"/>
      <c r="U881" s="301"/>
      <c r="V881" s="301"/>
      <c r="W881" s="301"/>
      <c r="X881" s="301"/>
      <c r="Y881" s="301"/>
      <c r="Z881" s="301"/>
    </row>
    <row r="882">
      <c r="A882" s="301"/>
      <c r="B882" s="365"/>
      <c r="C882" s="301"/>
      <c r="D882" s="301"/>
      <c r="E882" s="301"/>
      <c r="F882" s="301"/>
      <c r="G882" s="301"/>
      <c r="H882" s="334"/>
      <c r="I882" s="334"/>
      <c r="J882" s="301"/>
      <c r="K882" s="301"/>
      <c r="L882" s="301"/>
      <c r="M882" s="301"/>
      <c r="N882" s="301"/>
      <c r="O882" s="301"/>
      <c r="P882" s="301"/>
      <c r="Q882" s="301"/>
      <c r="R882" s="301"/>
      <c r="S882" s="301"/>
      <c r="T882" s="366"/>
      <c r="U882" s="301"/>
      <c r="V882" s="301"/>
      <c r="W882" s="301"/>
      <c r="X882" s="301"/>
      <c r="Y882" s="301"/>
      <c r="Z882" s="301"/>
    </row>
    <row r="883">
      <c r="A883" s="301"/>
      <c r="B883" s="365"/>
      <c r="C883" s="301"/>
      <c r="D883" s="301"/>
      <c r="E883" s="301"/>
      <c r="F883" s="301"/>
      <c r="G883" s="301"/>
      <c r="H883" s="334"/>
      <c r="I883" s="334"/>
      <c r="J883" s="301"/>
      <c r="K883" s="301"/>
      <c r="L883" s="301"/>
      <c r="M883" s="301"/>
      <c r="N883" s="301"/>
      <c r="O883" s="301"/>
      <c r="P883" s="301"/>
      <c r="Q883" s="301"/>
      <c r="R883" s="301"/>
      <c r="S883" s="301"/>
      <c r="T883" s="366"/>
      <c r="U883" s="301"/>
      <c r="V883" s="301"/>
      <c r="W883" s="301"/>
      <c r="X883" s="301"/>
      <c r="Y883" s="301"/>
      <c r="Z883" s="301"/>
    </row>
    <row r="884">
      <c r="A884" s="301"/>
      <c r="B884" s="365"/>
      <c r="C884" s="301"/>
      <c r="D884" s="301"/>
      <c r="E884" s="301"/>
      <c r="F884" s="301"/>
      <c r="G884" s="301"/>
      <c r="H884" s="334"/>
      <c r="I884" s="334"/>
      <c r="J884" s="301"/>
      <c r="K884" s="301"/>
      <c r="L884" s="301"/>
      <c r="M884" s="301"/>
      <c r="N884" s="301"/>
      <c r="O884" s="301"/>
      <c r="P884" s="301"/>
      <c r="Q884" s="301"/>
      <c r="R884" s="301"/>
      <c r="S884" s="301"/>
      <c r="T884" s="366"/>
      <c r="U884" s="301"/>
      <c r="V884" s="301"/>
      <c r="W884" s="301"/>
      <c r="X884" s="301"/>
      <c r="Y884" s="301"/>
      <c r="Z884" s="301"/>
    </row>
    <row r="885">
      <c r="A885" s="301"/>
      <c r="B885" s="365"/>
      <c r="C885" s="301"/>
      <c r="D885" s="301"/>
      <c r="E885" s="301"/>
      <c r="F885" s="301"/>
      <c r="G885" s="301"/>
      <c r="H885" s="334"/>
      <c r="I885" s="334"/>
      <c r="J885" s="301"/>
      <c r="K885" s="301"/>
      <c r="L885" s="301"/>
      <c r="M885" s="301"/>
      <c r="N885" s="301"/>
      <c r="O885" s="301"/>
      <c r="P885" s="301"/>
      <c r="Q885" s="301"/>
      <c r="R885" s="301"/>
      <c r="S885" s="301"/>
      <c r="T885" s="366"/>
      <c r="U885" s="301"/>
      <c r="V885" s="301"/>
      <c r="W885" s="301"/>
      <c r="X885" s="301"/>
      <c r="Y885" s="301"/>
      <c r="Z885" s="301"/>
    </row>
    <row r="886">
      <c r="A886" s="301"/>
      <c r="B886" s="365"/>
      <c r="C886" s="301"/>
      <c r="D886" s="301"/>
      <c r="E886" s="301"/>
      <c r="F886" s="301"/>
      <c r="G886" s="301"/>
      <c r="H886" s="334"/>
      <c r="I886" s="334"/>
      <c r="J886" s="301"/>
      <c r="K886" s="301"/>
      <c r="L886" s="301"/>
      <c r="M886" s="301"/>
      <c r="N886" s="301"/>
      <c r="O886" s="301"/>
      <c r="P886" s="301"/>
      <c r="Q886" s="301"/>
      <c r="R886" s="301"/>
      <c r="S886" s="301"/>
      <c r="T886" s="366"/>
      <c r="U886" s="301"/>
      <c r="V886" s="301"/>
      <c r="W886" s="301"/>
      <c r="X886" s="301"/>
      <c r="Y886" s="301"/>
      <c r="Z886" s="301"/>
    </row>
    <row r="887">
      <c r="A887" s="301"/>
      <c r="B887" s="365"/>
      <c r="C887" s="301"/>
      <c r="D887" s="301"/>
      <c r="E887" s="301"/>
      <c r="F887" s="301"/>
      <c r="G887" s="301"/>
      <c r="H887" s="334"/>
      <c r="I887" s="334"/>
      <c r="J887" s="301"/>
      <c r="K887" s="301"/>
      <c r="L887" s="301"/>
      <c r="M887" s="301"/>
      <c r="N887" s="301"/>
      <c r="O887" s="301"/>
      <c r="P887" s="301"/>
      <c r="Q887" s="301"/>
      <c r="R887" s="301"/>
      <c r="S887" s="301"/>
      <c r="T887" s="366"/>
      <c r="U887" s="301"/>
      <c r="V887" s="301"/>
      <c r="W887" s="301"/>
      <c r="X887" s="301"/>
      <c r="Y887" s="301"/>
      <c r="Z887" s="301"/>
    </row>
    <row r="888">
      <c r="A888" s="301"/>
      <c r="B888" s="365"/>
      <c r="C888" s="301"/>
      <c r="D888" s="301"/>
      <c r="E888" s="301"/>
      <c r="F888" s="301"/>
      <c r="G888" s="301"/>
      <c r="H888" s="334"/>
      <c r="I888" s="334"/>
      <c r="J888" s="301"/>
      <c r="K888" s="301"/>
      <c r="L888" s="301"/>
      <c r="M888" s="301"/>
      <c r="N888" s="301"/>
      <c r="O888" s="301"/>
      <c r="P888" s="301"/>
      <c r="Q888" s="301"/>
      <c r="R888" s="301"/>
      <c r="S888" s="301"/>
      <c r="T888" s="366"/>
      <c r="U888" s="301"/>
      <c r="V888" s="301"/>
      <c r="W888" s="301"/>
      <c r="X888" s="301"/>
      <c r="Y888" s="301"/>
      <c r="Z888" s="301"/>
    </row>
    <row r="889">
      <c r="A889" s="301"/>
      <c r="B889" s="365"/>
      <c r="C889" s="301"/>
      <c r="D889" s="301"/>
      <c r="E889" s="301"/>
      <c r="F889" s="301"/>
      <c r="G889" s="301"/>
      <c r="H889" s="334"/>
      <c r="I889" s="334"/>
      <c r="J889" s="301"/>
      <c r="K889" s="301"/>
      <c r="L889" s="301"/>
      <c r="M889" s="301"/>
      <c r="N889" s="301"/>
      <c r="O889" s="301"/>
      <c r="P889" s="301"/>
      <c r="Q889" s="301"/>
      <c r="R889" s="301"/>
      <c r="S889" s="301"/>
      <c r="T889" s="366"/>
      <c r="U889" s="301"/>
      <c r="V889" s="301"/>
      <c r="W889" s="301"/>
      <c r="X889" s="301"/>
      <c r="Y889" s="301"/>
      <c r="Z889" s="301"/>
    </row>
    <row r="890">
      <c r="A890" s="301"/>
      <c r="B890" s="365"/>
      <c r="C890" s="301"/>
      <c r="D890" s="301"/>
      <c r="E890" s="301"/>
      <c r="F890" s="301"/>
      <c r="G890" s="301"/>
      <c r="H890" s="334"/>
      <c r="I890" s="334"/>
      <c r="J890" s="301"/>
      <c r="K890" s="301"/>
      <c r="L890" s="301"/>
      <c r="M890" s="301"/>
      <c r="N890" s="301"/>
      <c r="O890" s="301"/>
      <c r="P890" s="301"/>
      <c r="Q890" s="301"/>
      <c r="R890" s="301"/>
      <c r="S890" s="301"/>
      <c r="T890" s="366"/>
      <c r="U890" s="301"/>
      <c r="V890" s="301"/>
      <c r="W890" s="301"/>
      <c r="X890" s="301"/>
      <c r="Y890" s="301"/>
      <c r="Z890" s="301"/>
    </row>
    <row r="891">
      <c r="A891" s="301"/>
      <c r="B891" s="365"/>
      <c r="C891" s="301"/>
      <c r="D891" s="301"/>
      <c r="E891" s="301"/>
      <c r="F891" s="301"/>
      <c r="G891" s="301"/>
      <c r="H891" s="334"/>
      <c r="I891" s="334"/>
      <c r="J891" s="301"/>
      <c r="K891" s="301"/>
      <c r="L891" s="301"/>
      <c r="M891" s="301"/>
      <c r="N891" s="301"/>
      <c r="O891" s="301"/>
      <c r="P891" s="301"/>
      <c r="Q891" s="301"/>
      <c r="R891" s="301"/>
      <c r="S891" s="301"/>
      <c r="T891" s="366"/>
      <c r="U891" s="301"/>
      <c r="V891" s="301"/>
      <c r="W891" s="301"/>
      <c r="X891" s="301"/>
      <c r="Y891" s="301"/>
      <c r="Z891" s="301"/>
    </row>
    <row r="892">
      <c r="A892" s="301"/>
      <c r="B892" s="365"/>
      <c r="C892" s="301"/>
      <c r="D892" s="301"/>
      <c r="E892" s="301"/>
      <c r="F892" s="301"/>
      <c r="G892" s="301"/>
      <c r="H892" s="334"/>
      <c r="I892" s="334"/>
      <c r="J892" s="301"/>
      <c r="K892" s="301"/>
      <c r="L892" s="301"/>
      <c r="M892" s="301"/>
      <c r="N892" s="301"/>
      <c r="O892" s="301"/>
      <c r="P892" s="301"/>
      <c r="Q892" s="301"/>
      <c r="R892" s="301"/>
      <c r="S892" s="301"/>
      <c r="T892" s="366"/>
      <c r="U892" s="301"/>
      <c r="V892" s="301"/>
      <c r="W892" s="301"/>
      <c r="X892" s="301"/>
      <c r="Y892" s="301"/>
      <c r="Z892" s="301"/>
    </row>
    <row r="893">
      <c r="A893" s="301"/>
      <c r="B893" s="365"/>
      <c r="C893" s="301"/>
      <c r="D893" s="301"/>
      <c r="E893" s="301"/>
      <c r="F893" s="301"/>
      <c r="G893" s="301"/>
      <c r="H893" s="334"/>
      <c r="I893" s="334"/>
      <c r="J893" s="301"/>
      <c r="K893" s="301"/>
      <c r="L893" s="301"/>
      <c r="M893" s="301"/>
      <c r="N893" s="301"/>
      <c r="O893" s="301"/>
      <c r="P893" s="301"/>
      <c r="Q893" s="301"/>
      <c r="R893" s="301"/>
      <c r="S893" s="301"/>
      <c r="T893" s="366"/>
      <c r="U893" s="301"/>
      <c r="V893" s="301"/>
      <c r="W893" s="301"/>
      <c r="X893" s="301"/>
      <c r="Y893" s="301"/>
      <c r="Z893" s="301"/>
    </row>
    <row r="894">
      <c r="A894" s="301"/>
      <c r="B894" s="365"/>
      <c r="C894" s="301"/>
      <c r="D894" s="301"/>
      <c r="E894" s="301"/>
      <c r="F894" s="301"/>
      <c r="G894" s="301"/>
      <c r="H894" s="334"/>
      <c r="I894" s="334"/>
      <c r="J894" s="301"/>
      <c r="K894" s="301"/>
      <c r="L894" s="301"/>
      <c r="M894" s="301"/>
      <c r="N894" s="301"/>
      <c r="O894" s="301"/>
      <c r="P894" s="301"/>
      <c r="Q894" s="301"/>
      <c r="R894" s="301"/>
      <c r="S894" s="301"/>
      <c r="T894" s="366"/>
      <c r="U894" s="301"/>
      <c r="V894" s="301"/>
      <c r="W894" s="301"/>
      <c r="X894" s="301"/>
      <c r="Y894" s="301"/>
      <c r="Z894" s="301"/>
    </row>
    <row r="895">
      <c r="A895" s="301"/>
      <c r="B895" s="365"/>
      <c r="C895" s="301"/>
      <c r="D895" s="301"/>
      <c r="E895" s="301"/>
      <c r="F895" s="301"/>
      <c r="G895" s="301"/>
      <c r="H895" s="334"/>
      <c r="I895" s="334"/>
      <c r="J895" s="301"/>
      <c r="K895" s="301"/>
      <c r="L895" s="301"/>
      <c r="M895" s="301"/>
      <c r="N895" s="301"/>
      <c r="O895" s="301"/>
      <c r="P895" s="301"/>
      <c r="Q895" s="301"/>
      <c r="R895" s="301"/>
      <c r="S895" s="301"/>
      <c r="T895" s="366"/>
      <c r="U895" s="301"/>
      <c r="V895" s="301"/>
      <c r="W895" s="301"/>
      <c r="X895" s="301"/>
      <c r="Y895" s="301"/>
      <c r="Z895" s="301"/>
    </row>
    <row r="896">
      <c r="A896" s="301"/>
      <c r="B896" s="365"/>
      <c r="C896" s="301"/>
      <c r="D896" s="301"/>
      <c r="E896" s="301"/>
      <c r="F896" s="301"/>
      <c r="G896" s="301"/>
      <c r="H896" s="334"/>
      <c r="I896" s="334"/>
      <c r="J896" s="301"/>
      <c r="K896" s="301"/>
      <c r="L896" s="301"/>
      <c r="M896" s="301"/>
      <c r="N896" s="301"/>
      <c r="O896" s="301"/>
      <c r="P896" s="301"/>
      <c r="Q896" s="301"/>
      <c r="R896" s="301"/>
      <c r="S896" s="301"/>
      <c r="T896" s="366"/>
      <c r="U896" s="301"/>
      <c r="V896" s="301"/>
      <c r="W896" s="301"/>
      <c r="X896" s="301"/>
      <c r="Y896" s="301"/>
      <c r="Z896" s="301"/>
    </row>
    <row r="897">
      <c r="A897" s="301"/>
      <c r="B897" s="365"/>
      <c r="C897" s="301"/>
      <c r="D897" s="301"/>
      <c r="E897" s="301"/>
      <c r="F897" s="301"/>
      <c r="G897" s="301"/>
      <c r="H897" s="334"/>
      <c r="I897" s="334"/>
      <c r="J897" s="301"/>
      <c r="K897" s="301"/>
      <c r="L897" s="301"/>
      <c r="M897" s="301"/>
      <c r="N897" s="301"/>
      <c r="O897" s="301"/>
      <c r="P897" s="301"/>
      <c r="Q897" s="301"/>
      <c r="R897" s="301"/>
      <c r="S897" s="301"/>
      <c r="T897" s="366"/>
      <c r="U897" s="301"/>
      <c r="V897" s="301"/>
      <c r="W897" s="301"/>
      <c r="X897" s="301"/>
      <c r="Y897" s="301"/>
      <c r="Z897" s="301"/>
    </row>
    <row r="898">
      <c r="A898" s="301"/>
      <c r="B898" s="365"/>
      <c r="C898" s="301"/>
      <c r="D898" s="301"/>
      <c r="E898" s="301"/>
      <c r="F898" s="301"/>
      <c r="G898" s="301"/>
      <c r="H898" s="334"/>
      <c r="I898" s="334"/>
      <c r="J898" s="301"/>
      <c r="K898" s="301"/>
      <c r="L898" s="301"/>
      <c r="M898" s="301"/>
      <c r="N898" s="301"/>
      <c r="O898" s="301"/>
      <c r="P898" s="301"/>
      <c r="Q898" s="301"/>
      <c r="R898" s="301"/>
      <c r="S898" s="301"/>
      <c r="T898" s="366"/>
      <c r="U898" s="301"/>
      <c r="V898" s="301"/>
      <c r="W898" s="301"/>
      <c r="X898" s="301"/>
      <c r="Y898" s="301"/>
      <c r="Z898" s="301"/>
    </row>
    <row r="899">
      <c r="A899" s="301"/>
      <c r="B899" s="365"/>
      <c r="C899" s="301"/>
      <c r="D899" s="301"/>
      <c r="E899" s="301"/>
      <c r="F899" s="301"/>
      <c r="G899" s="301"/>
      <c r="H899" s="334"/>
      <c r="I899" s="334"/>
      <c r="J899" s="301"/>
      <c r="K899" s="301"/>
      <c r="L899" s="301"/>
      <c r="M899" s="301"/>
      <c r="N899" s="301"/>
      <c r="O899" s="301"/>
      <c r="P899" s="301"/>
      <c r="Q899" s="301"/>
      <c r="R899" s="301"/>
      <c r="S899" s="301"/>
      <c r="T899" s="366"/>
      <c r="U899" s="301"/>
      <c r="V899" s="301"/>
      <c r="W899" s="301"/>
      <c r="X899" s="301"/>
      <c r="Y899" s="301"/>
      <c r="Z899" s="301"/>
    </row>
    <row r="900">
      <c r="A900" s="301"/>
      <c r="B900" s="365"/>
      <c r="C900" s="301"/>
      <c r="D900" s="301"/>
      <c r="E900" s="301"/>
      <c r="F900" s="301"/>
      <c r="G900" s="301"/>
      <c r="H900" s="334"/>
      <c r="I900" s="334"/>
      <c r="J900" s="301"/>
      <c r="K900" s="301"/>
      <c r="L900" s="301"/>
      <c r="M900" s="301"/>
      <c r="N900" s="301"/>
      <c r="O900" s="301"/>
      <c r="P900" s="301"/>
      <c r="Q900" s="301"/>
      <c r="R900" s="301"/>
      <c r="S900" s="301"/>
      <c r="T900" s="366"/>
      <c r="U900" s="301"/>
      <c r="V900" s="301"/>
      <c r="W900" s="301"/>
      <c r="X900" s="301"/>
      <c r="Y900" s="301"/>
      <c r="Z900" s="301"/>
    </row>
    <row r="901">
      <c r="A901" s="301"/>
      <c r="B901" s="365"/>
      <c r="C901" s="301"/>
      <c r="D901" s="301"/>
      <c r="E901" s="301"/>
      <c r="F901" s="301"/>
      <c r="G901" s="301"/>
      <c r="H901" s="334"/>
      <c r="I901" s="334"/>
      <c r="J901" s="301"/>
      <c r="K901" s="301"/>
      <c r="L901" s="301"/>
      <c r="M901" s="301"/>
      <c r="N901" s="301"/>
      <c r="O901" s="301"/>
      <c r="P901" s="301"/>
      <c r="Q901" s="301"/>
      <c r="R901" s="301"/>
      <c r="S901" s="301"/>
      <c r="T901" s="366"/>
      <c r="U901" s="301"/>
      <c r="V901" s="301"/>
      <c r="W901" s="301"/>
      <c r="X901" s="301"/>
      <c r="Y901" s="301"/>
      <c r="Z901" s="301"/>
    </row>
    <row r="902">
      <c r="A902" s="301"/>
      <c r="B902" s="365"/>
      <c r="C902" s="301"/>
      <c r="D902" s="301"/>
      <c r="E902" s="301"/>
      <c r="F902" s="301"/>
      <c r="G902" s="301"/>
      <c r="H902" s="334"/>
      <c r="I902" s="334"/>
      <c r="J902" s="301"/>
      <c r="K902" s="301"/>
      <c r="L902" s="301"/>
      <c r="M902" s="301"/>
      <c r="N902" s="301"/>
      <c r="O902" s="301"/>
      <c r="P902" s="301"/>
      <c r="Q902" s="301"/>
      <c r="R902" s="301"/>
      <c r="S902" s="301"/>
      <c r="T902" s="366"/>
      <c r="U902" s="301"/>
      <c r="V902" s="301"/>
      <c r="W902" s="301"/>
      <c r="X902" s="301"/>
      <c r="Y902" s="301"/>
      <c r="Z902" s="301"/>
    </row>
    <row r="903">
      <c r="A903" s="301"/>
      <c r="B903" s="365"/>
      <c r="C903" s="301"/>
      <c r="D903" s="301"/>
      <c r="E903" s="301"/>
      <c r="F903" s="301"/>
      <c r="G903" s="301"/>
      <c r="H903" s="334"/>
      <c r="I903" s="334"/>
      <c r="J903" s="301"/>
      <c r="K903" s="301"/>
      <c r="L903" s="301"/>
      <c r="M903" s="301"/>
      <c r="N903" s="301"/>
      <c r="O903" s="301"/>
      <c r="P903" s="301"/>
      <c r="Q903" s="301"/>
      <c r="R903" s="301"/>
      <c r="S903" s="301"/>
      <c r="T903" s="366"/>
      <c r="U903" s="301"/>
      <c r="V903" s="301"/>
      <c r="W903" s="301"/>
      <c r="X903" s="301"/>
      <c r="Y903" s="301"/>
      <c r="Z903" s="301"/>
    </row>
    <row r="904">
      <c r="A904" s="301"/>
      <c r="B904" s="365"/>
      <c r="C904" s="301"/>
      <c r="D904" s="301"/>
      <c r="E904" s="301"/>
      <c r="F904" s="301"/>
      <c r="G904" s="301"/>
      <c r="H904" s="334"/>
      <c r="I904" s="334"/>
      <c r="J904" s="301"/>
      <c r="K904" s="301"/>
      <c r="L904" s="301"/>
      <c r="M904" s="301"/>
      <c r="N904" s="301"/>
      <c r="O904" s="301"/>
      <c r="P904" s="301"/>
      <c r="Q904" s="301"/>
      <c r="R904" s="301"/>
      <c r="S904" s="301"/>
      <c r="T904" s="366"/>
      <c r="U904" s="301"/>
      <c r="V904" s="301"/>
      <c r="W904" s="301"/>
      <c r="X904" s="301"/>
      <c r="Y904" s="301"/>
      <c r="Z904" s="301"/>
    </row>
    <row r="905">
      <c r="A905" s="301"/>
      <c r="B905" s="365"/>
      <c r="C905" s="301"/>
      <c r="D905" s="301"/>
      <c r="E905" s="301"/>
      <c r="F905" s="301"/>
      <c r="G905" s="301"/>
      <c r="H905" s="334"/>
      <c r="I905" s="334"/>
      <c r="J905" s="301"/>
      <c r="K905" s="301"/>
      <c r="L905" s="301"/>
      <c r="M905" s="301"/>
      <c r="N905" s="301"/>
      <c r="O905" s="301"/>
      <c r="P905" s="301"/>
      <c r="Q905" s="301"/>
      <c r="R905" s="301"/>
      <c r="S905" s="301"/>
      <c r="T905" s="366"/>
      <c r="U905" s="301"/>
      <c r="V905" s="301"/>
      <c r="W905" s="301"/>
      <c r="X905" s="301"/>
      <c r="Y905" s="301"/>
      <c r="Z905" s="301"/>
    </row>
    <row r="906">
      <c r="A906" s="301"/>
      <c r="B906" s="365"/>
      <c r="C906" s="301"/>
      <c r="D906" s="301"/>
      <c r="E906" s="301"/>
      <c r="F906" s="301"/>
      <c r="G906" s="301"/>
      <c r="H906" s="334"/>
      <c r="I906" s="334"/>
      <c r="J906" s="301"/>
      <c r="K906" s="301"/>
      <c r="L906" s="301"/>
      <c r="M906" s="301"/>
      <c r="N906" s="301"/>
      <c r="O906" s="301"/>
      <c r="P906" s="301"/>
      <c r="Q906" s="301"/>
      <c r="R906" s="301"/>
      <c r="S906" s="301"/>
      <c r="T906" s="366"/>
      <c r="U906" s="301"/>
      <c r="V906" s="301"/>
      <c r="W906" s="301"/>
      <c r="X906" s="301"/>
      <c r="Y906" s="301"/>
      <c r="Z906" s="301"/>
    </row>
    <row r="907">
      <c r="A907" s="301"/>
      <c r="B907" s="365"/>
      <c r="C907" s="301"/>
      <c r="D907" s="301"/>
      <c r="E907" s="301"/>
      <c r="F907" s="301"/>
      <c r="G907" s="301"/>
      <c r="H907" s="334"/>
      <c r="I907" s="334"/>
      <c r="J907" s="301"/>
      <c r="K907" s="301"/>
      <c r="L907" s="301"/>
      <c r="M907" s="301"/>
      <c r="N907" s="301"/>
      <c r="O907" s="301"/>
      <c r="P907" s="301"/>
      <c r="Q907" s="301"/>
      <c r="R907" s="301"/>
      <c r="S907" s="301"/>
      <c r="T907" s="366"/>
      <c r="U907" s="301"/>
      <c r="V907" s="301"/>
      <c r="W907" s="301"/>
      <c r="X907" s="301"/>
      <c r="Y907" s="301"/>
      <c r="Z907" s="301"/>
    </row>
    <row r="908">
      <c r="A908" s="301"/>
      <c r="B908" s="365"/>
      <c r="C908" s="301"/>
      <c r="D908" s="301"/>
      <c r="E908" s="301"/>
      <c r="F908" s="301"/>
      <c r="G908" s="301"/>
      <c r="H908" s="334"/>
      <c r="I908" s="334"/>
      <c r="J908" s="301"/>
      <c r="K908" s="301"/>
      <c r="L908" s="301"/>
      <c r="M908" s="301"/>
      <c r="N908" s="301"/>
      <c r="O908" s="301"/>
      <c r="P908" s="301"/>
      <c r="Q908" s="301"/>
      <c r="R908" s="301"/>
      <c r="S908" s="301"/>
      <c r="T908" s="366"/>
      <c r="U908" s="301"/>
      <c r="V908" s="301"/>
      <c r="W908" s="301"/>
      <c r="X908" s="301"/>
      <c r="Y908" s="301"/>
      <c r="Z908" s="301"/>
    </row>
    <row r="909">
      <c r="A909" s="301"/>
      <c r="B909" s="365"/>
      <c r="C909" s="301"/>
      <c r="D909" s="301"/>
      <c r="E909" s="301"/>
      <c r="F909" s="301"/>
      <c r="G909" s="301"/>
      <c r="H909" s="334"/>
      <c r="I909" s="334"/>
      <c r="J909" s="301"/>
      <c r="K909" s="301"/>
      <c r="L909" s="301"/>
      <c r="M909" s="301"/>
      <c r="N909" s="301"/>
      <c r="O909" s="301"/>
      <c r="P909" s="301"/>
      <c r="Q909" s="301"/>
      <c r="R909" s="301"/>
      <c r="S909" s="301"/>
      <c r="T909" s="366"/>
      <c r="U909" s="301"/>
      <c r="V909" s="301"/>
      <c r="W909" s="301"/>
      <c r="X909" s="301"/>
      <c r="Y909" s="301"/>
      <c r="Z909" s="301"/>
    </row>
    <row r="910">
      <c r="A910" s="301"/>
      <c r="B910" s="365"/>
      <c r="C910" s="301"/>
      <c r="D910" s="301"/>
      <c r="E910" s="301"/>
      <c r="F910" s="301"/>
      <c r="G910" s="301"/>
      <c r="H910" s="334"/>
      <c r="I910" s="334"/>
      <c r="J910" s="301"/>
      <c r="K910" s="301"/>
      <c r="L910" s="301"/>
      <c r="M910" s="301"/>
      <c r="N910" s="301"/>
      <c r="O910" s="301"/>
      <c r="P910" s="301"/>
      <c r="Q910" s="301"/>
      <c r="R910" s="301"/>
      <c r="S910" s="301"/>
      <c r="T910" s="366"/>
      <c r="U910" s="301"/>
      <c r="V910" s="301"/>
      <c r="W910" s="301"/>
      <c r="X910" s="301"/>
      <c r="Y910" s="301"/>
      <c r="Z910" s="301"/>
    </row>
    <row r="911">
      <c r="A911" s="301"/>
      <c r="B911" s="365"/>
      <c r="C911" s="301"/>
      <c r="D911" s="301"/>
      <c r="E911" s="301"/>
      <c r="F911" s="301"/>
      <c r="G911" s="301"/>
      <c r="H911" s="334"/>
      <c r="I911" s="334"/>
      <c r="J911" s="301"/>
      <c r="K911" s="301"/>
      <c r="L911" s="301"/>
      <c r="M911" s="301"/>
      <c r="N911" s="301"/>
      <c r="O911" s="301"/>
      <c r="P911" s="301"/>
      <c r="Q911" s="301"/>
      <c r="R911" s="301"/>
      <c r="S911" s="301"/>
      <c r="T911" s="366"/>
      <c r="U911" s="301"/>
      <c r="V911" s="301"/>
      <c r="W911" s="301"/>
      <c r="X911" s="301"/>
      <c r="Y911" s="301"/>
      <c r="Z911" s="301"/>
    </row>
    <row r="912">
      <c r="A912" s="301"/>
      <c r="B912" s="365"/>
      <c r="C912" s="301"/>
      <c r="D912" s="301"/>
      <c r="E912" s="301"/>
      <c r="F912" s="301"/>
      <c r="G912" s="301"/>
      <c r="H912" s="334"/>
      <c r="I912" s="334"/>
      <c r="J912" s="301"/>
      <c r="K912" s="301"/>
      <c r="L912" s="301"/>
      <c r="M912" s="301"/>
      <c r="N912" s="301"/>
      <c r="O912" s="301"/>
      <c r="P912" s="301"/>
      <c r="Q912" s="301"/>
      <c r="R912" s="301"/>
      <c r="S912" s="301"/>
      <c r="T912" s="366"/>
      <c r="U912" s="301"/>
      <c r="V912" s="301"/>
      <c r="W912" s="301"/>
      <c r="X912" s="301"/>
      <c r="Y912" s="301"/>
      <c r="Z912" s="301"/>
    </row>
    <row r="913">
      <c r="A913" s="301"/>
      <c r="B913" s="365"/>
      <c r="C913" s="301"/>
      <c r="D913" s="301"/>
      <c r="E913" s="301"/>
      <c r="F913" s="301"/>
      <c r="G913" s="301"/>
      <c r="H913" s="334"/>
      <c r="I913" s="334"/>
      <c r="J913" s="301"/>
      <c r="K913" s="301"/>
      <c r="L913" s="301"/>
      <c r="M913" s="301"/>
      <c r="N913" s="301"/>
      <c r="O913" s="301"/>
      <c r="P913" s="301"/>
      <c r="Q913" s="301"/>
      <c r="R913" s="301"/>
      <c r="S913" s="301"/>
      <c r="T913" s="366"/>
      <c r="U913" s="301"/>
      <c r="V913" s="301"/>
      <c r="W913" s="301"/>
      <c r="X913" s="301"/>
      <c r="Y913" s="301"/>
      <c r="Z913" s="301"/>
    </row>
    <row r="914">
      <c r="A914" s="301"/>
      <c r="B914" s="365"/>
      <c r="C914" s="301"/>
      <c r="D914" s="301"/>
      <c r="E914" s="301"/>
      <c r="F914" s="301"/>
      <c r="G914" s="301"/>
      <c r="H914" s="334"/>
      <c r="I914" s="334"/>
      <c r="J914" s="301"/>
      <c r="K914" s="301"/>
      <c r="L914" s="301"/>
      <c r="M914" s="301"/>
      <c r="N914" s="301"/>
      <c r="O914" s="301"/>
      <c r="P914" s="301"/>
      <c r="Q914" s="301"/>
      <c r="R914" s="301"/>
      <c r="S914" s="301"/>
      <c r="T914" s="366"/>
      <c r="U914" s="301"/>
      <c r="V914" s="301"/>
      <c r="W914" s="301"/>
      <c r="X914" s="301"/>
      <c r="Y914" s="301"/>
      <c r="Z914" s="301"/>
    </row>
    <row r="915">
      <c r="A915" s="301"/>
      <c r="B915" s="365"/>
      <c r="C915" s="301"/>
      <c r="D915" s="301"/>
      <c r="E915" s="301"/>
      <c r="F915" s="301"/>
      <c r="G915" s="301"/>
      <c r="H915" s="334"/>
      <c r="I915" s="334"/>
      <c r="J915" s="301"/>
      <c r="K915" s="301"/>
      <c r="L915" s="301"/>
      <c r="M915" s="301"/>
      <c r="N915" s="301"/>
      <c r="O915" s="301"/>
      <c r="P915" s="301"/>
      <c r="Q915" s="301"/>
      <c r="R915" s="301"/>
      <c r="S915" s="301"/>
      <c r="T915" s="366"/>
      <c r="U915" s="301"/>
      <c r="V915" s="301"/>
      <c r="W915" s="301"/>
      <c r="X915" s="301"/>
      <c r="Y915" s="301"/>
      <c r="Z915" s="301"/>
    </row>
    <row r="916">
      <c r="A916" s="301"/>
      <c r="B916" s="365"/>
      <c r="C916" s="301"/>
      <c r="D916" s="301"/>
      <c r="E916" s="301"/>
      <c r="F916" s="301"/>
      <c r="G916" s="301"/>
      <c r="H916" s="334"/>
      <c r="I916" s="334"/>
      <c r="J916" s="301"/>
      <c r="K916" s="301"/>
      <c r="L916" s="301"/>
      <c r="M916" s="301"/>
      <c r="N916" s="301"/>
      <c r="O916" s="301"/>
      <c r="P916" s="301"/>
      <c r="Q916" s="301"/>
      <c r="R916" s="301"/>
      <c r="S916" s="301"/>
      <c r="T916" s="366"/>
      <c r="U916" s="301"/>
      <c r="V916" s="301"/>
      <c r="W916" s="301"/>
      <c r="X916" s="301"/>
      <c r="Y916" s="301"/>
      <c r="Z916" s="301"/>
    </row>
    <row r="917">
      <c r="A917" s="301"/>
      <c r="B917" s="365"/>
      <c r="C917" s="301"/>
      <c r="D917" s="301"/>
      <c r="E917" s="301"/>
      <c r="F917" s="301"/>
      <c r="G917" s="301"/>
      <c r="H917" s="334"/>
      <c r="I917" s="334"/>
      <c r="J917" s="301"/>
      <c r="K917" s="301"/>
      <c r="L917" s="301"/>
      <c r="M917" s="301"/>
      <c r="N917" s="301"/>
      <c r="O917" s="301"/>
      <c r="P917" s="301"/>
      <c r="Q917" s="301"/>
      <c r="R917" s="301"/>
      <c r="S917" s="301"/>
      <c r="T917" s="366"/>
      <c r="U917" s="301"/>
      <c r="V917" s="301"/>
      <c r="W917" s="301"/>
      <c r="X917" s="301"/>
      <c r="Y917" s="301"/>
      <c r="Z917" s="301"/>
    </row>
    <row r="918">
      <c r="A918" s="301"/>
      <c r="B918" s="365"/>
      <c r="C918" s="301"/>
      <c r="D918" s="301"/>
      <c r="E918" s="301"/>
      <c r="F918" s="301"/>
      <c r="G918" s="301"/>
      <c r="H918" s="334"/>
      <c r="I918" s="334"/>
      <c r="J918" s="301"/>
      <c r="K918" s="301"/>
      <c r="L918" s="301"/>
      <c r="M918" s="301"/>
      <c r="N918" s="301"/>
      <c r="O918" s="301"/>
      <c r="P918" s="301"/>
      <c r="Q918" s="301"/>
      <c r="R918" s="301"/>
      <c r="S918" s="301"/>
      <c r="T918" s="366"/>
      <c r="U918" s="301"/>
      <c r="V918" s="301"/>
      <c r="W918" s="301"/>
      <c r="X918" s="301"/>
      <c r="Y918" s="301"/>
      <c r="Z918" s="301"/>
    </row>
    <row r="919">
      <c r="A919" s="301"/>
      <c r="B919" s="365"/>
      <c r="C919" s="301"/>
      <c r="D919" s="301"/>
      <c r="E919" s="301"/>
      <c r="F919" s="301"/>
      <c r="G919" s="301"/>
      <c r="H919" s="334"/>
      <c r="I919" s="334"/>
      <c r="J919" s="301"/>
      <c r="K919" s="301"/>
      <c r="L919" s="301"/>
      <c r="M919" s="301"/>
      <c r="N919" s="301"/>
      <c r="O919" s="301"/>
      <c r="P919" s="301"/>
      <c r="Q919" s="301"/>
      <c r="R919" s="301"/>
      <c r="S919" s="301"/>
      <c r="T919" s="366"/>
      <c r="U919" s="301"/>
      <c r="V919" s="301"/>
      <c r="W919" s="301"/>
      <c r="X919" s="301"/>
      <c r="Y919" s="301"/>
      <c r="Z919" s="301"/>
    </row>
    <row r="920">
      <c r="A920" s="301"/>
      <c r="B920" s="365"/>
      <c r="C920" s="301"/>
      <c r="D920" s="301"/>
      <c r="E920" s="301"/>
      <c r="F920" s="301"/>
      <c r="G920" s="301"/>
      <c r="H920" s="334"/>
      <c r="I920" s="334"/>
      <c r="J920" s="301"/>
      <c r="K920" s="301"/>
      <c r="L920" s="301"/>
      <c r="M920" s="301"/>
      <c r="N920" s="301"/>
      <c r="O920" s="301"/>
      <c r="P920" s="301"/>
      <c r="Q920" s="301"/>
      <c r="R920" s="301"/>
      <c r="S920" s="301"/>
      <c r="T920" s="366"/>
      <c r="U920" s="301"/>
      <c r="V920" s="301"/>
      <c r="W920" s="301"/>
      <c r="X920" s="301"/>
      <c r="Y920" s="301"/>
      <c r="Z920" s="301"/>
    </row>
    <row r="921">
      <c r="A921" s="301"/>
      <c r="B921" s="365"/>
      <c r="C921" s="301"/>
      <c r="D921" s="301"/>
      <c r="E921" s="301"/>
      <c r="F921" s="301"/>
      <c r="G921" s="301"/>
      <c r="H921" s="334"/>
      <c r="I921" s="334"/>
      <c r="J921" s="301"/>
      <c r="K921" s="301"/>
      <c r="L921" s="301"/>
      <c r="M921" s="301"/>
      <c r="N921" s="301"/>
      <c r="O921" s="301"/>
      <c r="P921" s="301"/>
      <c r="Q921" s="301"/>
      <c r="R921" s="301"/>
      <c r="S921" s="301"/>
      <c r="T921" s="366"/>
      <c r="U921" s="301"/>
      <c r="V921" s="301"/>
      <c r="W921" s="301"/>
      <c r="X921" s="301"/>
      <c r="Y921" s="301"/>
      <c r="Z921" s="301"/>
    </row>
    <row r="922">
      <c r="A922" s="301"/>
      <c r="B922" s="365"/>
      <c r="C922" s="301"/>
      <c r="D922" s="301"/>
      <c r="E922" s="301"/>
      <c r="F922" s="301"/>
      <c r="G922" s="301"/>
      <c r="H922" s="334"/>
      <c r="I922" s="334"/>
      <c r="J922" s="301"/>
      <c r="K922" s="301"/>
      <c r="L922" s="301"/>
      <c r="M922" s="301"/>
      <c r="N922" s="301"/>
      <c r="O922" s="301"/>
      <c r="P922" s="301"/>
      <c r="Q922" s="301"/>
      <c r="R922" s="301"/>
      <c r="S922" s="301"/>
      <c r="T922" s="366"/>
      <c r="U922" s="301"/>
      <c r="V922" s="301"/>
      <c r="W922" s="301"/>
      <c r="X922" s="301"/>
      <c r="Y922" s="301"/>
      <c r="Z922" s="301"/>
    </row>
    <row r="923">
      <c r="A923" s="301"/>
      <c r="B923" s="365"/>
      <c r="C923" s="301"/>
      <c r="D923" s="301"/>
      <c r="E923" s="301"/>
      <c r="F923" s="301"/>
      <c r="G923" s="301"/>
      <c r="H923" s="334"/>
      <c r="I923" s="334"/>
      <c r="J923" s="301"/>
      <c r="K923" s="301"/>
      <c r="L923" s="301"/>
      <c r="M923" s="301"/>
      <c r="N923" s="301"/>
      <c r="O923" s="301"/>
      <c r="P923" s="301"/>
      <c r="Q923" s="301"/>
      <c r="R923" s="301"/>
      <c r="S923" s="301"/>
      <c r="T923" s="366"/>
      <c r="U923" s="301"/>
      <c r="V923" s="301"/>
      <c r="W923" s="301"/>
      <c r="X923" s="301"/>
      <c r="Y923" s="301"/>
      <c r="Z923" s="301"/>
    </row>
    <row r="924">
      <c r="A924" s="301"/>
      <c r="B924" s="365"/>
      <c r="C924" s="301"/>
      <c r="D924" s="301"/>
      <c r="E924" s="301"/>
      <c r="F924" s="301"/>
      <c r="G924" s="301"/>
      <c r="H924" s="334"/>
      <c r="I924" s="334"/>
      <c r="J924" s="301"/>
      <c r="K924" s="301"/>
      <c r="L924" s="301"/>
      <c r="M924" s="301"/>
      <c r="N924" s="301"/>
      <c r="O924" s="301"/>
      <c r="P924" s="301"/>
      <c r="Q924" s="301"/>
      <c r="R924" s="301"/>
      <c r="S924" s="301"/>
      <c r="T924" s="366"/>
      <c r="U924" s="301"/>
      <c r="V924" s="301"/>
      <c r="W924" s="301"/>
      <c r="X924" s="301"/>
      <c r="Y924" s="301"/>
      <c r="Z924" s="301"/>
    </row>
    <row r="925">
      <c r="A925" s="301"/>
      <c r="B925" s="365"/>
      <c r="C925" s="301"/>
      <c r="D925" s="301"/>
      <c r="E925" s="301"/>
      <c r="F925" s="301"/>
      <c r="G925" s="301"/>
      <c r="H925" s="334"/>
      <c r="I925" s="334"/>
      <c r="J925" s="301"/>
      <c r="K925" s="301"/>
      <c r="L925" s="301"/>
      <c r="M925" s="301"/>
      <c r="N925" s="301"/>
      <c r="O925" s="301"/>
      <c r="P925" s="301"/>
      <c r="Q925" s="301"/>
      <c r="R925" s="301"/>
      <c r="S925" s="301"/>
      <c r="T925" s="366"/>
      <c r="U925" s="301"/>
      <c r="V925" s="301"/>
      <c r="W925" s="301"/>
      <c r="X925" s="301"/>
      <c r="Y925" s="301"/>
      <c r="Z925" s="301"/>
    </row>
    <row r="926">
      <c r="A926" s="301"/>
      <c r="B926" s="365"/>
      <c r="C926" s="301"/>
      <c r="D926" s="301"/>
      <c r="E926" s="301"/>
      <c r="F926" s="301"/>
      <c r="G926" s="301"/>
      <c r="H926" s="334"/>
      <c r="I926" s="334"/>
      <c r="J926" s="301"/>
      <c r="K926" s="301"/>
      <c r="L926" s="301"/>
      <c r="M926" s="301"/>
      <c r="N926" s="301"/>
      <c r="O926" s="301"/>
      <c r="P926" s="301"/>
      <c r="Q926" s="301"/>
      <c r="R926" s="301"/>
      <c r="S926" s="301"/>
      <c r="T926" s="366"/>
      <c r="U926" s="301"/>
      <c r="V926" s="301"/>
      <c r="W926" s="301"/>
      <c r="X926" s="301"/>
      <c r="Y926" s="301"/>
      <c r="Z926" s="301"/>
    </row>
    <row r="927">
      <c r="A927" s="301"/>
      <c r="B927" s="365"/>
      <c r="C927" s="301"/>
      <c r="D927" s="301"/>
      <c r="E927" s="301"/>
      <c r="F927" s="301"/>
      <c r="G927" s="301"/>
      <c r="H927" s="334"/>
      <c r="I927" s="334"/>
      <c r="J927" s="301"/>
      <c r="K927" s="301"/>
      <c r="L927" s="301"/>
      <c r="M927" s="301"/>
      <c r="N927" s="301"/>
      <c r="O927" s="301"/>
      <c r="P927" s="301"/>
      <c r="Q927" s="301"/>
      <c r="R927" s="301"/>
      <c r="S927" s="301"/>
      <c r="T927" s="366"/>
      <c r="U927" s="301"/>
      <c r="V927" s="301"/>
      <c r="W927" s="301"/>
      <c r="X927" s="301"/>
      <c r="Y927" s="301"/>
      <c r="Z927" s="301"/>
    </row>
    <row r="928">
      <c r="A928" s="301"/>
      <c r="B928" s="365"/>
      <c r="C928" s="301"/>
      <c r="D928" s="301"/>
      <c r="E928" s="301"/>
      <c r="F928" s="301"/>
      <c r="G928" s="301"/>
      <c r="H928" s="334"/>
      <c r="I928" s="334"/>
      <c r="J928" s="301"/>
      <c r="K928" s="301"/>
      <c r="L928" s="301"/>
      <c r="M928" s="301"/>
      <c r="N928" s="301"/>
      <c r="O928" s="301"/>
      <c r="P928" s="301"/>
      <c r="Q928" s="301"/>
      <c r="R928" s="301"/>
      <c r="S928" s="301"/>
      <c r="T928" s="366"/>
      <c r="U928" s="301"/>
      <c r="V928" s="301"/>
      <c r="W928" s="301"/>
      <c r="X928" s="301"/>
      <c r="Y928" s="301"/>
      <c r="Z928" s="301"/>
    </row>
    <row r="929">
      <c r="A929" s="301"/>
      <c r="B929" s="365"/>
      <c r="C929" s="301"/>
      <c r="D929" s="301"/>
      <c r="E929" s="301"/>
      <c r="F929" s="301"/>
      <c r="G929" s="301"/>
      <c r="H929" s="334"/>
      <c r="I929" s="334"/>
      <c r="J929" s="301"/>
      <c r="K929" s="301"/>
      <c r="L929" s="301"/>
      <c r="M929" s="301"/>
      <c r="N929" s="301"/>
      <c r="O929" s="301"/>
      <c r="P929" s="301"/>
      <c r="Q929" s="301"/>
      <c r="R929" s="301"/>
      <c r="S929" s="301"/>
      <c r="T929" s="366"/>
      <c r="U929" s="301"/>
      <c r="V929" s="301"/>
      <c r="W929" s="301"/>
      <c r="X929" s="301"/>
      <c r="Y929" s="301"/>
      <c r="Z929" s="301"/>
    </row>
    <row r="930">
      <c r="A930" s="301"/>
      <c r="B930" s="365"/>
      <c r="C930" s="301"/>
      <c r="D930" s="301"/>
      <c r="E930" s="301"/>
      <c r="F930" s="301"/>
      <c r="G930" s="301"/>
      <c r="H930" s="334"/>
      <c r="I930" s="334"/>
      <c r="J930" s="301"/>
      <c r="K930" s="301"/>
      <c r="L930" s="301"/>
      <c r="M930" s="301"/>
      <c r="N930" s="301"/>
      <c r="O930" s="301"/>
      <c r="P930" s="301"/>
      <c r="Q930" s="301"/>
      <c r="R930" s="301"/>
      <c r="S930" s="301"/>
      <c r="T930" s="366"/>
      <c r="U930" s="301"/>
      <c r="V930" s="301"/>
      <c r="W930" s="301"/>
      <c r="X930" s="301"/>
      <c r="Y930" s="301"/>
      <c r="Z930" s="301"/>
    </row>
    <row r="931">
      <c r="A931" s="301"/>
      <c r="B931" s="365"/>
      <c r="C931" s="301"/>
      <c r="D931" s="301"/>
      <c r="E931" s="301"/>
      <c r="F931" s="301"/>
      <c r="G931" s="301"/>
      <c r="H931" s="334"/>
      <c r="I931" s="334"/>
      <c r="J931" s="301"/>
      <c r="K931" s="301"/>
      <c r="L931" s="301"/>
      <c r="M931" s="301"/>
      <c r="N931" s="301"/>
      <c r="O931" s="301"/>
      <c r="P931" s="301"/>
      <c r="Q931" s="301"/>
      <c r="R931" s="301"/>
      <c r="S931" s="301"/>
      <c r="T931" s="366"/>
      <c r="U931" s="301"/>
      <c r="V931" s="301"/>
      <c r="W931" s="301"/>
      <c r="X931" s="301"/>
      <c r="Y931" s="301"/>
      <c r="Z931" s="301"/>
    </row>
    <row r="932">
      <c r="A932" s="301"/>
      <c r="B932" s="365"/>
      <c r="C932" s="301"/>
      <c r="D932" s="301"/>
      <c r="E932" s="301"/>
      <c r="F932" s="301"/>
      <c r="G932" s="301"/>
      <c r="H932" s="334"/>
      <c r="I932" s="334"/>
      <c r="J932" s="301"/>
      <c r="K932" s="301"/>
      <c r="L932" s="301"/>
      <c r="M932" s="301"/>
      <c r="N932" s="301"/>
      <c r="O932" s="301"/>
      <c r="P932" s="301"/>
      <c r="Q932" s="301"/>
      <c r="R932" s="301"/>
      <c r="S932" s="301"/>
      <c r="T932" s="366"/>
      <c r="U932" s="301"/>
      <c r="V932" s="301"/>
      <c r="W932" s="301"/>
      <c r="X932" s="301"/>
      <c r="Y932" s="301"/>
      <c r="Z932" s="301"/>
    </row>
    <row r="933">
      <c r="A933" s="301"/>
      <c r="B933" s="365"/>
      <c r="C933" s="301"/>
      <c r="D933" s="301"/>
      <c r="E933" s="301"/>
      <c r="F933" s="301"/>
      <c r="G933" s="301"/>
      <c r="H933" s="334"/>
      <c r="I933" s="334"/>
      <c r="J933" s="301"/>
      <c r="K933" s="301"/>
      <c r="L933" s="301"/>
      <c r="M933" s="301"/>
      <c r="N933" s="301"/>
      <c r="O933" s="301"/>
      <c r="P933" s="301"/>
      <c r="Q933" s="301"/>
      <c r="R933" s="301"/>
      <c r="S933" s="301"/>
      <c r="T933" s="366"/>
      <c r="U933" s="301"/>
      <c r="V933" s="301"/>
      <c r="W933" s="301"/>
      <c r="X933" s="301"/>
      <c r="Y933" s="301"/>
      <c r="Z933" s="301"/>
    </row>
    <row r="934">
      <c r="A934" s="301"/>
      <c r="B934" s="365"/>
      <c r="C934" s="301"/>
      <c r="D934" s="301"/>
      <c r="E934" s="301"/>
      <c r="F934" s="301"/>
      <c r="G934" s="301"/>
      <c r="H934" s="334"/>
      <c r="I934" s="334"/>
      <c r="J934" s="301"/>
      <c r="K934" s="301"/>
      <c r="L934" s="301"/>
      <c r="M934" s="301"/>
      <c r="N934" s="301"/>
      <c r="O934" s="301"/>
      <c r="P934" s="301"/>
      <c r="Q934" s="301"/>
      <c r="R934" s="301"/>
      <c r="S934" s="301"/>
      <c r="T934" s="366"/>
      <c r="U934" s="301"/>
      <c r="V934" s="301"/>
      <c r="W934" s="301"/>
      <c r="X934" s="301"/>
      <c r="Y934" s="301"/>
      <c r="Z934" s="301"/>
    </row>
    <row r="935">
      <c r="A935" s="301"/>
      <c r="B935" s="365"/>
      <c r="C935" s="301"/>
      <c r="D935" s="301"/>
      <c r="E935" s="301"/>
      <c r="F935" s="301"/>
      <c r="G935" s="301"/>
      <c r="H935" s="334"/>
      <c r="I935" s="334"/>
      <c r="J935" s="301"/>
      <c r="K935" s="301"/>
      <c r="L935" s="301"/>
      <c r="M935" s="301"/>
      <c r="N935" s="301"/>
      <c r="O935" s="301"/>
      <c r="P935" s="301"/>
      <c r="Q935" s="301"/>
      <c r="R935" s="301"/>
      <c r="S935" s="301"/>
      <c r="T935" s="366"/>
      <c r="U935" s="301"/>
      <c r="V935" s="301"/>
      <c r="W935" s="301"/>
      <c r="X935" s="301"/>
      <c r="Y935" s="301"/>
      <c r="Z935" s="301"/>
    </row>
    <row r="936">
      <c r="A936" s="301"/>
      <c r="B936" s="365"/>
      <c r="C936" s="301"/>
      <c r="D936" s="301"/>
      <c r="E936" s="301"/>
      <c r="F936" s="301"/>
      <c r="G936" s="301"/>
      <c r="H936" s="334"/>
      <c r="I936" s="334"/>
      <c r="J936" s="301"/>
      <c r="K936" s="301"/>
      <c r="L936" s="301"/>
      <c r="M936" s="301"/>
      <c r="N936" s="301"/>
      <c r="O936" s="301"/>
      <c r="P936" s="301"/>
      <c r="Q936" s="301"/>
      <c r="R936" s="301"/>
      <c r="S936" s="301"/>
      <c r="T936" s="366"/>
      <c r="U936" s="301"/>
      <c r="V936" s="301"/>
      <c r="W936" s="301"/>
      <c r="X936" s="301"/>
      <c r="Y936" s="301"/>
      <c r="Z936" s="301"/>
    </row>
    <row r="937">
      <c r="A937" s="301"/>
      <c r="B937" s="365"/>
      <c r="C937" s="301"/>
      <c r="D937" s="301"/>
      <c r="E937" s="301"/>
      <c r="F937" s="301"/>
      <c r="G937" s="301"/>
      <c r="H937" s="334"/>
      <c r="I937" s="334"/>
      <c r="J937" s="301"/>
      <c r="K937" s="301"/>
      <c r="L937" s="301"/>
      <c r="M937" s="301"/>
      <c r="N937" s="301"/>
      <c r="O937" s="301"/>
      <c r="P937" s="301"/>
      <c r="Q937" s="301"/>
      <c r="R937" s="301"/>
      <c r="S937" s="301"/>
      <c r="T937" s="366"/>
      <c r="U937" s="301"/>
      <c r="V937" s="301"/>
      <c r="W937" s="301"/>
      <c r="X937" s="301"/>
      <c r="Y937" s="301"/>
      <c r="Z937" s="301"/>
    </row>
    <row r="938">
      <c r="A938" s="301"/>
      <c r="B938" s="365"/>
      <c r="C938" s="301"/>
      <c r="D938" s="301"/>
      <c r="E938" s="301"/>
      <c r="F938" s="301"/>
      <c r="G938" s="301"/>
      <c r="H938" s="334"/>
      <c r="I938" s="334"/>
      <c r="J938" s="301"/>
      <c r="K938" s="301"/>
      <c r="L938" s="301"/>
      <c r="M938" s="301"/>
      <c r="N938" s="301"/>
      <c r="O938" s="301"/>
      <c r="P938" s="301"/>
      <c r="Q938" s="301"/>
      <c r="R938" s="301"/>
      <c r="S938" s="301"/>
      <c r="T938" s="366"/>
      <c r="U938" s="301"/>
      <c r="V938" s="301"/>
      <c r="W938" s="301"/>
      <c r="X938" s="301"/>
      <c r="Y938" s="301"/>
      <c r="Z938" s="301"/>
    </row>
    <row r="939">
      <c r="A939" s="301"/>
      <c r="B939" s="365"/>
      <c r="C939" s="301"/>
      <c r="D939" s="301"/>
      <c r="E939" s="301"/>
      <c r="F939" s="301"/>
      <c r="G939" s="301"/>
      <c r="H939" s="334"/>
      <c r="I939" s="334"/>
      <c r="J939" s="301"/>
      <c r="K939" s="301"/>
      <c r="L939" s="301"/>
      <c r="M939" s="301"/>
      <c r="N939" s="301"/>
      <c r="O939" s="301"/>
      <c r="P939" s="301"/>
      <c r="Q939" s="301"/>
      <c r="R939" s="301"/>
      <c r="S939" s="301"/>
      <c r="T939" s="366"/>
      <c r="U939" s="301"/>
      <c r="V939" s="301"/>
      <c r="W939" s="301"/>
      <c r="X939" s="301"/>
      <c r="Y939" s="301"/>
      <c r="Z939" s="301"/>
    </row>
    <row r="940">
      <c r="A940" s="301"/>
      <c r="B940" s="365"/>
      <c r="C940" s="301"/>
      <c r="D940" s="301"/>
      <c r="E940" s="301"/>
      <c r="F940" s="301"/>
      <c r="G940" s="301"/>
      <c r="H940" s="334"/>
      <c r="I940" s="334"/>
      <c r="J940" s="301"/>
      <c r="K940" s="301"/>
      <c r="L940" s="301"/>
      <c r="M940" s="301"/>
      <c r="N940" s="301"/>
      <c r="O940" s="301"/>
      <c r="P940" s="301"/>
      <c r="Q940" s="301"/>
      <c r="R940" s="301"/>
      <c r="S940" s="301"/>
      <c r="T940" s="366"/>
      <c r="U940" s="301"/>
      <c r="V940" s="301"/>
      <c r="W940" s="301"/>
      <c r="X940" s="301"/>
      <c r="Y940" s="301"/>
      <c r="Z940" s="301"/>
    </row>
    <row r="941">
      <c r="A941" s="301"/>
      <c r="B941" s="365"/>
      <c r="C941" s="301"/>
      <c r="D941" s="301"/>
      <c r="E941" s="301"/>
      <c r="F941" s="301"/>
      <c r="G941" s="301"/>
      <c r="H941" s="334"/>
      <c r="I941" s="334"/>
      <c r="J941" s="301"/>
      <c r="K941" s="301"/>
      <c r="L941" s="301"/>
      <c r="M941" s="301"/>
      <c r="N941" s="301"/>
      <c r="O941" s="301"/>
      <c r="P941" s="301"/>
      <c r="Q941" s="301"/>
      <c r="R941" s="301"/>
      <c r="S941" s="301"/>
      <c r="T941" s="366"/>
      <c r="U941" s="301"/>
      <c r="V941" s="301"/>
      <c r="W941" s="301"/>
      <c r="X941" s="301"/>
      <c r="Y941" s="301"/>
      <c r="Z941" s="301"/>
    </row>
    <row r="942">
      <c r="A942" s="301"/>
      <c r="B942" s="365"/>
      <c r="C942" s="301"/>
      <c r="D942" s="301"/>
      <c r="E942" s="301"/>
      <c r="F942" s="301"/>
      <c r="G942" s="301"/>
      <c r="H942" s="334"/>
      <c r="I942" s="334"/>
      <c r="J942" s="301"/>
      <c r="K942" s="301"/>
      <c r="L942" s="301"/>
      <c r="M942" s="301"/>
      <c r="N942" s="301"/>
      <c r="O942" s="301"/>
      <c r="P942" s="301"/>
      <c r="Q942" s="301"/>
      <c r="R942" s="301"/>
      <c r="S942" s="301"/>
      <c r="T942" s="366"/>
      <c r="U942" s="301"/>
      <c r="V942" s="301"/>
      <c r="W942" s="301"/>
      <c r="X942" s="301"/>
      <c r="Y942" s="301"/>
      <c r="Z942" s="301"/>
    </row>
    <row r="943">
      <c r="A943" s="301"/>
      <c r="B943" s="365"/>
      <c r="C943" s="301"/>
      <c r="D943" s="301"/>
      <c r="E943" s="301"/>
      <c r="F943" s="301"/>
      <c r="G943" s="301"/>
      <c r="H943" s="334"/>
      <c r="I943" s="334"/>
      <c r="J943" s="301"/>
      <c r="K943" s="301"/>
      <c r="L943" s="301"/>
      <c r="M943" s="301"/>
      <c r="N943" s="301"/>
      <c r="O943" s="301"/>
      <c r="P943" s="301"/>
      <c r="Q943" s="301"/>
      <c r="R943" s="301"/>
      <c r="S943" s="301"/>
      <c r="T943" s="366"/>
      <c r="U943" s="301"/>
      <c r="V943" s="301"/>
      <c r="W943" s="301"/>
      <c r="X943" s="301"/>
      <c r="Y943" s="301"/>
      <c r="Z943" s="301"/>
    </row>
    <row r="944">
      <c r="A944" s="301"/>
      <c r="B944" s="365"/>
      <c r="C944" s="301"/>
      <c r="D944" s="301"/>
      <c r="E944" s="301"/>
      <c r="F944" s="301"/>
      <c r="G944" s="301"/>
      <c r="H944" s="334"/>
      <c r="I944" s="334"/>
      <c r="J944" s="301"/>
      <c r="K944" s="301"/>
      <c r="L944" s="301"/>
      <c r="M944" s="301"/>
      <c r="N944" s="301"/>
      <c r="O944" s="301"/>
      <c r="P944" s="301"/>
      <c r="Q944" s="301"/>
      <c r="R944" s="301"/>
      <c r="S944" s="301"/>
      <c r="T944" s="366"/>
      <c r="U944" s="301"/>
      <c r="V944" s="301"/>
      <c r="W944" s="301"/>
      <c r="X944" s="301"/>
      <c r="Y944" s="301"/>
      <c r="Z944" s="301"/>
    </row>
    <row r="945">
      <c r="A945" s="301"/>
      <c r="B945" s="365"/>
      <c r="C945" s="301"/>
      <c r="D945" s="301"/>
      <c r="E945" s="301"/>
      <c r="F945" s="301"/>
      <c r="G945" s="301"/>
      <c r="H945" s="334"/>
      <c r="I945" s="334"/>
      <c r="J945" s="301"/>
      <c r="K945" s="301"/>
      <c r="L945" s="301"/>
      <c r="M945" s="301"/>
      <c r="N945" s="301"/>
      <c r="O945" s="301"/>
      <c r="P945" s="301"/>
      <c r="Q945" s="301"/>
      <c r="R945" s="301"/>
      <c r="S945" s="301"/>
      <c r="T945" s="366"/>
      <c r="U945" s="301"/>
      <c r="V945" s="301"/>
      <c r="W945" s="301"/>
      <c r="X945" s="301"/>
      <c r="Y945" s="301"/>
      <c r="Z945" s="301"/>
    </row>
    <row r="946">
      <c r="A946" s="301"/>
      <c r="B946" s="365"/>
      <c r="C946" s="301"/>
      <c r="D946" s="301"/>
      <c r="E946" s="301"/>
      <c r="F946" s="301"/>
      <c r="G946" s="301"/>
      <c r="H946" s="334"/>
      <c r="I946" s="334"/>
      <c r="J946" s="301"/>
      <c r="K946" s="301"/>
      <c r="L946" s="301"/>
      <c r="M946" s="301"/>
      <c r="N946" s="301"/>
      <c r="O946" s="301"/>
      <c r="P946" s="301"/>
      <c r="Q946" s="301"/>
      <c r="R946" s="301"/>
      <c r="S946" s="301"/>
      <c r="T946" s="366"/>
      <c r="U946" s="301"/>
      <c r="V946" s="301"/>
      <c r="W946" s="301"/>
      <c r="X946" s="301"/>
      <c r="Y946" s="301"/>
      <c r="Z946" s="301"/>
    </row>
    <row r="947">
      <c r="A947" s="301"/>
      <c r="B947" s="365"/>
      <c r="C947" s="301"/>
      <c r="D947" s="301"/>
      <c r="E947" s="301"/>
      <c r="F947" s="301"/>
      <c r="G947" s="301"/>
      <c r="H947" s="334"/>
      <c r="I947" s="334"/>
      <c r="J947" s="301"/>
      <c r="K947" s="301"/>
      <c r="L947" s="301"/>
      <c r="M947" s="301"/>
      <c r="N947" s="301"/>
      <c r="O947" s="301"/>
      <c r="P947" s="301"/>
      <c r="Q947" s="301"/>
      <c r="R947" s="301"/>
      <c r="S947" s="301"/>
      <c r="T947" s="366"/>
      <c r="U947" s="301"/>
      <c r="V947" s="301"/>
      <c r="W947" s="301"/>
      <c r="X947" s="301"/>
      <c r="Y947" s="301"/>
      <c r="Z947" s="301"/>
    </row>
    <row r="948">
      <c r="A948" s="301"/>
      <c r="B948" s="365"/>
      <c r="C948" s="301"/>
      <c r="D948" s="301"/>
      <c r="E948" s="301"/>
      <c r="F948" s="301"/>
      <c r="G948" s="301"/>
      <c r="H948" s="334"/>
      <c r="I948" s="334"/>
      <c r="J948" s="301"/>
      <c r="K948" s="301"/>
      <c r="L948" s="301"/>
      <c r="M948" s="301"/>
      <c r="N948" s="301"/>
      <c r="O948" s="301"/>
      <c r="P948" s="301"/>
      <c r="Q948" s="301"/>
      <c r="R948" s="301"/>
      <c r="S948" s="301"/>
      <c r="T948" s="366"/>
      <c r="U948" s="301"/>
      <c r="V948" s="301"/>
      <c r="W948" s="301"/>
      <c r="X948" s="301"/>
      <c r="Y948" s="301"/>
      <c r="Z948" s="301"/>
    </row>
    <row r="949">
      <c r="A949" s="301"/>
      <c r="B949" s="365"/>
      <c r="C949" s="301"/>
      <c r="D949" s="301"/>
      <c r="E949" s="301"/>
      <c r="F949" s="301"/>
      <c r="G949" s="301"/>
      <c r="H949" s="334"/>
      <c r="I949" s="334"/>
      <c r="J949" s="301"/>
      <c r="K949" s="301"/>
      <c r="L949" s="301"/>
      <c r="M949" s="301"/>
      <c r="N949" s="301"/>
      <c r="O949" s="301"/>
      <c r="P949" s="301"/>
      <c r="Q949" s="301"/>
      <c r="R949" s="301"/>
      <c r="S949" s="301"/>
      <c r="T949" s="366"/>
      <c r="U949" s="301"/>
      <c r="V949" s="301"/>
      <c r="W949" s="301"/>
      <c r="X949" s="301"/>
      <c r="Y949" s="301"/>
      <c r="Z949" s="301"/>
    </row>
    <row r="950">
      <c r="A950" s="301"/>
      <c r="B950" s="365"/>
      <c r="C950" s="301"/>
      <c r="D950" s="301"/>
      <c r="E950" s="301"/>
      <c r="F950" s="301"/>
      <c r="G950" s="301"/>
      <c r="H950" s="334"/>
      <c r="I950" s="334"/>
      <c r="J950" s="301"/>
      <c r="K950" s="301"/>
      <c r="L950" s="301"/>
      <c r="M950" s="301"/>
      <c r="N950" s="301"/>
      <c r="O950" s="301"/>
      <c r="P950" s="301"/>
      <c r="Q950" s="301"/>
      <c r="R950" s="301"/>
      <c r="S950" s="301"/>
      <c r="T950" s="366"/>
      <c r="U950" s="301"/>
      <c r="V950" s="301"/>
      <c r="W950" s="301"/>
      <c r="X950" s="301"/>
      <c r="Y950" s="301"/>
      <c r="Z950" s="301"/>
    </row>
    <row r="951">
      <c r="A951" s="301"/>
      <c r="B951" s="365"/>
      <c r="C951" s="301"/>
      <c r="D951" s="301"/>
      <c r="E951" s="301"/>
      <c r="F951" s="301"/>
      <c r="G951" s="301"/>
      <c r="H951" s="334"/>
      <c r="I951" s="334"/>
      <c r="J951" s="301"/>
      <c r="K951" s="301"/>
      <c r="L951" s="301"/>
      <c r="M951" s="301"/>
      <c r="N951" s="301"/>
      <c r="O951" s="301"/>
      <c r="P951" s="301"/>
      <c r="Q951" s="301"/>
      <c r="R951" s="301"/>
      <c r="S951" s="301"/>
      <c r="T951" s="366"/>
      <c r="U951" s="301"/>
      <c r="V951" s="301"/>
      <c r="W951" s="301"/>
      <c r="X951" s="301"/>
      <c r="Y951" s="301"/>
      <c r="Z951" s="301"/>
    </row>
    <row r="952">
      <c r="A952" s="301"/>
      <c r="B952" s="365"/>
      <c r="C952" s="301"/>
      <c r="D952" s="301"/>
      <c r="E952" s="301"/>
      <c r="F952" s="301"/>
      <c r="G952" s="301"/>
      <c r="H952" s="334"/>
      <c r="I952" s="334"/>
      <c r="J952" s="301"/>
      <c r="K952" s="301"/>
      <c r="L952" s="301"/>
      <c r="M952" s="301"/>
      <c r="N952" s="301"/>
      <c r="O952" s="301"/>
      <c r="P952" s="301"/>
      <c r="Q952" s="301"/>
      <c r="R952" s="301"/>
      <c r="S952" s="301"/>
      <c r="T952" s="366"/>
      <c r="U952" s="301"/>
      <c r="V952" s="301"/>
      <c r="W952" s="301"/>
      <c r="X952" s="301"/>
      <c r="Y952" s="301"/>
      <c r="Z952" s="301"/>
    </row>
    <row r="953">
      <c r="A953" s="301"/>
      <c r="B953" s="365"/>
      <c r="C953" s="301"/>
      <c r="D953" s="301"/>
      <c r="E953" s="301"/>
      <c r="F953" s="301"/>
      <c r="G953" s="301"/>
      <c r="H953" s="334"/>
      <c r="I953" s="334"/>
      <c r="J953" s="301"/>
      <c r="K953" s="301"/>
      <c r="L953" s="301"/>
      <c r="M953" s="301"/>
      <c r="N953" s="301"/>
      <c r="O953" s="301"/>
      <c r="P953" s="301"/>
      <c r="Q953" s="301"/>
      <c r="R953" s="301"/>
      <c r="S953" s="301"/>
      <c r="T953" s="366"/>
      <c r="U953" s="301"/>
      <c r="V953" s="301"/>
      <c r="W953" s="301"/>
      <c r="X953" s="301"/>
      <c r="Y953" s="301"/>
      <c r="Z953" s="301"/>
    </row>
    <row r="954">
      <c r="A954" s="301"/>
      <c r="B954" s="365"/>
      <c r="C954" s="301"/>
      <c r="D954" s="301"/>
      <c r="E954" s="301"/>
      <c r="F954" s="301"/>
      <c r="G954" s="301"/>
      <c r="H954" s="334"/>
      <c r="I954" s="334"/>
      <c r="J954" s="301"/>
      <c r="K954" s="301"/>
      <c r="L954" s="301"/>
      <c r="M954" s="301"/>
      <c r="N954" s="301"/>
      <c r="O954" s="301"/>
      <c r="P954" s="301"/>
      <c r="Q954" s="301"/>
      <c r="R954" s="301"/>
      <c r="S954" s="301"/>
      <c r="T954" s="366"/>
      <c r="U954" s="301"/>
      <c r="V954" s="301"/>
      <c r="W954" s="301"/>
      <c r="X954" s="301"/>
      <c r="Y954" s="301"/>
      <c r="Z954" s="301"/>
    </row>
    <row r="955">
      <c r="A955" s="301"/>
      <c r="B955" s="365"/>
      <c r="C955" s="301"/>
      <c r="D955" s="301"/>
      <c r="E955" s="301"/>
      <c r="F955" s="301"/>
      <c r="G955" s="301"/>
      <c r="H955" s="334"/>
      <c r="I955" s="334"/>
      <c r="J955" s="301"/>
      <c r="K955" s="301"/>
      <c r="L955" s="301"/>
      <c r="M955" s="301"/>
      <c r="N955" s="301"/>
      <c r="O955" s="301"/>
      <c r="P955" s="301"/>
      <c r="Q955" s="301"/>
      <c r="R955" s="301"/>
      <c r="S955" s="301"/>
      <c r="T955" s="366"/>
      <c r="U955" s="301"/>
      <c r="V955" s="301"/>
      <c r="W955" s="301"/>
      <c r="X955" s="301"/>
      <c r="Y955" s="301"/>
      <c r="Z955" s="301"/>
    </row>
    <row r="956">
      <c r="A956" s="301"/>
      <c r="B956" s="365"/>
      <c r="C956" s="301"/>
      <c r="D956" s="301"/>
      <c r="E956" s="301"/>
      <c r="F956" s="301"/>
      <c r="G956" s="301"/>
      <c r="H956" s="334"/>
      <c r="I956" s="334"/>
      <c r="J956" s="301"/>
      <c r="K956" s="301"/>
      <c r="L956" s="301"/>
      <c r="M956" s="301"/>
      <c r="N956" s="301"/>
      <c r="O956" s="301"/>
      <c r="P956" s="301"/>
      <c r="Q956" s="301"/>
      <c r="R956" s="301"/>
      <c r="S956" s="301"/>
      <c r="T956" s="366"/>
      <c r="U956" s="301"/>
      <c r="V956" s="301"/>
      <c r="W956" s="301"/>
      <c r="X956" s="301"/>
      <c r="Y956" s="301"/>
      <c r="Z956" s="301"/>
    </row>
    <row r="957">
      <c r="A957" s="301"/>
      <c r="B957" s="365"/>
      <c r="C957" s="301"/>
      <c r="D957" s="301"/>
      <c r="E957" s="301"/>
      <c r="F957" s="301"/>
      <c r="G957" s="301"/>
      <c r="H957" s="334"/>
      <c r="I957" s="334"/>
      <c r="J957" s="301"/>
      <c r="K957" s="301"/>
      <c r="L957" s="301"/>
      <c r="M957" s="301"/>
      <c r="N957" s="301"/>
      <c r="O957" s="301"/>
      <c r="P957" s="301"/>
      <c r="Q957" s="301"/>
      <c r="R957" s="301"/>
      <c r="S957" s="301"/>
      <c r="T957" s="366"/>
      <c r="U957" s="301"/>
      <c r="V957" s="301"/>
      <c r="W957" s="301"/>
      <c r="X957" s="301"/>
      <c r="Y957" s="301"/>
      <c r="Z957" s="301"/>
    </row>
    <row r="958">
      <c r="A958" s="301"/>
      <c r="B958" s="365"/>
      <c r="C958" s="301"/>
      <c r="D958" s="301"/>
      <c r="E958" s="301"/>
      <c r="F958" s="301"/>
      <c r="G958" s="301"/>
      <c r="H958" s="334"/>
      <c r="I958" s="334"/>
      <c r="J958" s="301"/>
      <c r="K958" s="301"/>
      <c r="L958" s="301"/>
      <c r="M958" s="301"/>
      <c r="N958" s="301"/>
      <c r="O958" s="301"/>
      <c r="P958" s="301"/>
      <c r="Q958" s="301"/>
      <c r="R958" s="301"/>
      <c r="S958" s="301"/>
      <c r="T958" s="366"/>
      <c r="U958" s="301"/>
      <c r="V958" s="301"/>
      <c r="W958" s="301"/>
      <c r="X958" s="301"/>
      <c r="Y958" s="301"/>
      <c r="Z958" s="301"/>
    </row>
    <row r="959">
      <c r="A959" s="301"/>
      <c r="B959" s="365"/>
      <c r="C959" s="301"/>
      <c r="D959" s="301"/>
      <c r="E959" s="301"/>
      <c r="F959" s="301"/>
      <c r="G959" s="301"/>
      <c r="H959" s="334"/>
      <c r="I959" s="334"/>
      <c r="J959" s="301"/>
      <c r="K959" s="301"/>
      <c r="L959" s="301"/>
      <c r="M959" s="301"/>
      <c r="N959" s="301"/>
      <c r="O959" s="301"/>
      <c r="P959" s="301"/>
      <c r="Q959" s="301"/>
      <c r="R959" s="301"/>
      <c r="S959" s="301"/>
      <c r="T959" s="366"/>
      <c r="U959" s="301"/>
      <c r="V959" s="301"/>
      <c r="W959" s="301"/>
      <c r="X959" s="301"/>
      <c r="Y959" s="301"/>
      <c r="Z959" s="301"/>
    </row>
    <row r="960">
      <c r="A960" s="301"/>
      <c r="B960" s="365"/>
      <c r="C960" s="301"/>
      <c r="D960" s="301"/>
      <c r="E960" s="301"/>
      <c r="F960" s="301"/>
      <c r="G960" s="301"/>
      <c r="H960" s="334"/>
      <c r="I960" s="334"/>
      <c r="J960" s="301"/>
      <c r="K960" s="301"/>
      <c r="L960" s="301"/>
      <c r="M960" s="301"/>
      <c r="N960" s="301"/>
      <c r="O960" s="301"/>
      <c r="P960" s="301"/>
      <c r="Q960" s="301"/>
      <c r="R960" s="301"/>
      <c r="S960" s="301"/>
      <c r="T960" s="366"/>
      <c r="U960" s="301"/>
      <c r="V960" s="301"/>
      <c r="W960" s="301"/>
      <c r="X960" s="301"/>
      <c r="Y960" s="301"/>
      <c r="Z960" s="301"/>
    </row>
    <row r="961">
      <c r="A961" s="301"/>
      <c r="B961" s="365"/>
      <c r="C961" s="301"/>
      <c r="D961" s="301"/>
      <c r="E961" s="301"/>
      <c r="F961" s="301"/>
      <c r="G961" s="301"/>
      <c r="H961" s="334"/>
      <c r="I961" s="334"/>
      <c r="J961" s="301"/>
      <c r="K961" s="301"/>
      <c r="L961" s="301"/>
      <c r="M961" s="301"/>
      <c r="N961" s="301"/>
      <c r="O961" s="301"/>
      <c r="P961" s="301"/>
      <c r="Q961" s="301"/>
      <c r="R961" s="301"/>
      <c r="S961" s="301"/>
      <c r="T961" s="366"/>
      <c r="U961" s="301"/>
      <c r="V961" s="301"/>
      <c r="W961" s="301"/>
      <c r="X961" s="301"/>
      <c r="Y961" s="301"/>
      <c r="Z961" s="301"/>
    </row>
    <row r="962">
      <c r="A962" s="301"/>
      <c r="B962" s="365"/>
      <c r="C962" s="301"/>
      <c r="D962" s="301"/>
      <c r="E962" s="301"/>
      <c r="F962" s="301"/>
      <c r="G962" s="301"/>
      <c r="H962" s="334"/>
      <c r="I962" s="334"/>
      <c r="J962" s="301"/>
      <c r="K962" s="301"/>
      <c r="L962" s="301"/>
      <c r="M962" s="301"/>
      <c r="N962" s="301"/>
      <c r="O962" s="301"/>
      <c r="P962" s="301"/>
      <c r="Q962" s="301"/>
      <c r="R962" s="301"/>
      <c r="S962" s="301"/>
      <c r="T962" s="366"/>
      <c r="U962" s="301"/>
      <c r="V962" s="301"/>
      <c r="W962" s="301"/>
      <c r="X962" s="301"/>
      <c r="Y962" s="301"/>
      <c r="Z962" s="301"/>
    </row>
    <row r="963">
      <c r="A963" s="301"/>
      <c r="B963" s="365"/>
      <c r="C963" s="301"/>
      <c r="D963" s="301"/>
      <c r="E963" s="301"/>
      <c r="F963" s="301"/>
      <c r="G963" s="301"/>
      <c r="H963" s="334"/>
      <c r="I963" s="334"/>
      <c r="J963" s="301"/>
      <c r="K963" s="301"/>
      <c r="L963" s="301"/>
      <c r="M963" s="301"/>
      <c r="N963" s="301"/>
      <c r="O963" s="301"/>
      <c r="P963" s="301"/>
      <c r="Q963" s="301"/>
      <c r="R963" s="301"/>
      <c r="S963" s="301"/>
      <c r="T963" s="366"/>
      <c r="U963" s="301"/>
      <c r="V963" s="301"/>
      <c r="W963" s="301"/>
      <c r="X963" s="301"/>
      <c r="Y963" s="301"/>
      <c r="Z963" s="301"/>
    </row>
    <row r="964">
      <c r="A964" s="301"/>
      <c r="B964" s="365"/>
      <c r="C964" s="301"/>
      <c r="D964" s="301"/>
      <c r="E964" s="301"/>
      <c r="F964" s="301"/>
      <c r="G964" s="301"/>
      <c r="H964" s="334"/>
      <c r="I964" s="334"/>
      <c r="J964" s="301"/>
      <c r="K964" s="301"/>
      <c r="L964" s="301"/>
      <c r="M964" s="301"/>
      <c r="N964" s="301"/>
      <c r="O964" s="301"/>
      <c r="P964" s="301"/>
      <c r="Q964" s="301"/>
      <c r="R964" s="301"/>
      <c r="S964" s="301"/>
      <c r="T964" s="366"/>
      <c r="U964" s="301"/>
      <c r="V964" s="301"/>
      <c r="W964" s="301"/>
      <c r="X964" s="301"/>
      <c r="Y964" s="301"/>
      <c r="Z964" s="301"/>
    </row>
    <row r="965">
      <c r="A965" s="301"/>
      <c r="B965" s="365"/>
      <c r="C965" s="301"/>
      <c r="D965" s="301"/>
      <c r="E965" s="301"/>
      <c r="F965" s="301"/>
      <c r="G965" s="301"/>
      <c r="H965" s="334"/>
      <c r="I965" s="334"/>
      <c r="J965" s="301"/>
      <c r="K965" s="301"/>
      <c r="L965" s="301"/>
      <c r="M965" s="301"/>
      <c r="N965" s="301"/>
      <c r="O965" s="301"/>
      <c r="P965" s="301"/>
      <c r="Q965" s="301"/>
      <c r="R965" s="301"/>
      <c r="S965" s="301"/>
      <c r="T965" s="366"/>
      <c r="U965" s="301"/>
      <c r="V965" s="301"/>
      <c r="W965" s="301"/>
      <c r="X965" s="301"/>
      <c r="Y965" s="301"/>
      <c r="Z965" s="301"/>
    </row>
    <row r="966">
      <c r="A966" s="301"/>
      <c r="B966" s="365"/>
      <c r="C966" s="301"/>
      <c r="D966" s="301"/>
      <c r="E966" s="301"/>
      <c r="F966" s="301"/>
      <c r="G966" s="301"/>
      <c r="H966" s="334"/>
      <c r="I966" s="334"/>
      <c r="J966" s="301"/>
      <c r="K966" s="301"/>
      <c r="L966" s="301"/>
      <c r="M966" s="301"/>
      <c r="N966" s="301"/>
      <c r="O966" s="301"/>
      <c r="P966" s="301"/>
      <c r="Q966" s="301"/>
      <c r="R966" s="301"/>
      <c r="S966" s="301"/>
      <c r="T966" s="366"/>
      <c r="U966" s="301"/>
      <c r="V966" s="301"/>
      <c r="W966" s="301"/>
      <c r="X966" s="301"/>
      <c r="Y966" s="301"/>
      <c r="Z966" s="301"/>
    </row>
    <row r="967">
      <c r="A967" s="301"/>
      <c r="B967" s="365"/>
      <c r="C967" s="301"/>
      <c r="D967" s="301"/>
      <c r="E967" s="301"/>
      <c r="F967" s="301"/>
      <c r="G967" s="301"/>
      <c r="H967" s="334"/>
      <c r="I967" s="334"/>
      <c r="J967" s="301"/>
      <c r="K967" s="301"/>
      <c r="L967" s="301"/>
      <c r="M967" s="301"/>
      <c r="N967" s="301"/>
      <c r="O967" s="301"/>
      <c r="P967" s="301"/>
      <c r="Q967" s="301"/>
      <c r="R967" s="301"/>
      <c r="S967" s="301"/>
      <c r="T967" s="366"/>
      <c r="U967" s="301"/>
      <c r="V967" s="301"/>
      <c r="W967" s="301"/>
      <c r="X967" s="301"/>
      <c r="Y967" s="301"/>
      <c r="Z967" s="301"/>
    </row>
    <row r="968">
      <c r="A968" s="301"/>
      <c r="B968" s="365"/>
      <c r="C968" s="301"/>
      <c r="D968" s="301"/>
      <c r="E968" s="301"/>
      <c r="F968" s="301"/>
      <c r="G968" s="301"/>
      <c r="H968" s="334"/>
      <c r="I968" s="334"/>
      <c r="J968" s="301"/>
      <c r="K968" s="301"/>
      <c r="L968" s="301"/>
      <c r="M968" s="301"/>
      <c r="N968" s="301"/>
      <c r="O968" s="301"/>
      <c r="P968" s="301"/>
      <c r="Q968" s="301"/>
      <c r="R968" s="301"/>
      <c r="S968" s="301"/>
      <c r="T968" s="366"/>
      <c r="U968" s="301"/>
      <c r="V968" s="301"/>
      <c r="W968" s="301"/>
      <c r="X968" s="301"/>
      <c r="Y968" s="301"/>
      <c r="Z968" s="301"/>
    </row>
    <row r="969">
      <c r="A969" s="301"/>
      <c r="B969" s="365"/>
      <c r="C969" s="301"/>
      <c r="D969" s="301"/>
      <c r="E969" s="301"/>
      <c r="F969" s="301"/>
      <c r="G969" s="301"/>
      <c r="H969" s="334"/>
      <c r="I969" s="334"/>
      <c r="J969" s="301"/>
      <c r="K969" s="301"/>
      <c r="L969" s="301"/>
      <c r="M969" s="301"/>
      <c r="N969" s="301"/>
      <c r="O969" s="301"/>
      <c r="P969" s="301"/>
      <c r="Q969" s="301"/>
      <c r="R969" s="301"/>
      <c r="S969" s="301"/>
      <c r="T969" s="366"/>
      <c r="U969" s="301"/>
      <c r="V969" s="301"/>
      <c r="W969" s="301"/>
      <c r="X969" s="301"/>
      <c r="Y969" s="301"/>
      <c r="Z969" s="301"/>
    </row>
    <row r="970">
      <c r="A970" s="301"/>
      <c r="B970" s="365"/>
      <c r="C970" s="301"/>
      <c r="D970" s="301"/>
      <c r="E970" s="301"/>
      <c r="F970" s="301"/>
      <c r="G970" s="301"/>
      <c r="H970" s="334"/>
      <c r="I970" s="334"/>
      <c r="J970" s="301"/>
      <c r="K970" s="301"/>
      <c r="L970" s="301"/>
      <c r="M970" s="301"/>
      <c r="N970" s="301"/>
      <c r="O970" s="301"/>
      <c r="P970" s="301"/>
      <c r="Q970" s="301"/>
      <c r="R970" s="301"/>
      <c r="S970" s="301"/>
      <c r="T970" s="366"/>
      <c r="U970" s="301"/>
      <c r="V970" s="301"/>
      <c r="W970" s="301"/>
      <c r="X970" s="301"/>
      <c r="Y970" s="301"/>
      <c r="Z970" s="301"/>
    </row>
    <row r="971">
      <c r="A971" s="301"/>
      <c r="B971" s="365"/>
      <c r="C971" s="301"/>
      <c r="D971" s="301"/>
      <c r="E971" s="301"/>
      <c r="F971" s="301"/>
      <c r="G971" s="301"/>
      <c r="H971" s="334"/>
      <c r="I971" s="334"/>
      <c r="J971" s="301"/>
      <c r="K971" s="301"/>
      <c r="L971" s="301"/>
      <c r="M971" s="301"/>
      <c r="N971" s="301"/>
      <c r="O971" s="301"/>
      <c r="P971" s="301"/>
      <c r="Q971" s="301"/>
      <c r="R971" s="301"/>
      <c r="S971" s="301"/>
      <c r="T971" s="366"/>
      <c r="U971" s="301"/>
      <c r="V971" s="301"/>
      <c r="W971" s="301"/>
      <c r="X971" s="301"/>
      <c r="Y971" s="301"/>
      <c r="Z971" s="301"/>
    </row>
    <row r="972">
      <c r="A972" s="301"/>
      <c r="B972" s="365"/>
      <c r="C972" s="301"/>
      <c r="D972" s="301"/>
      <c r="E972" s="301"/>
      <c r="F972" s="301"/>
      <c r="G972" s="301"/>
      <c r="H972" s="334"/>
      <c r="I972" s="334"/>
      <c r="J972" s="301"/>
      <c r="K972" s="301"/>
      <c r="L972" s="301"/>
      <c r="M972" s="301"/>
      <c r="N972" s="301"/>
      <c r="O972" s="301"/>
      <c r="P972" s="301"/>
      <c r="Q972" s="301"/>
      <c r="R972" s="301"/>
      <c r="S972" s="301"/>
      <c r="T972" s="366"/>
      <c r="U972" s="301"/>
      <c r="V972" s="301"/>
      <c r="W972" s="301"/>
      <c r="X972" s="301"/>
      <c r="Y972" s="301"/>
      <c r="Z972" s="301"/>
    </row>
    <row r="973">
      <c r="A973" s="301"/>
      <c r="B973" s="365"/>
      <c r="C973" s="301"/>
      <c r="D973" s="301"/>
      <c r="E973" s="301"/>
      <c r="F973" s="301"/>
      <c r="G973" s="301"/>
      <c r="H973" s="334"/>
      <c r="I973" s="334"/>
      <c r="J973" s="301"/>
      <c r="K973" s="301"/>
      <c r="L973" s="301"/>
      <c r="M973" s="301"/>
      <c r="N973" s="301"/>
      <c r="O973" s="301"/>
      <c r="P973" s="301"/>
      <c r="Q973" s="301"/>
      <c r="R973" s="301"/>
      <c r="S973" s="301"/>
      <c r="T973" s="366"/>
      <c r="U973" s="301"/>
      <c r="V973" s="301"/>
      <c r="W973" s="301"/>
      <c r="X973" s="301"/>
      <c r="Y973" s="301"/>
      <c r="Z973" s="301"/>
    </row>
    <row r="974">
      <c r="A974" s="301"/>
      <c r="B974" s="365"/>
      <c r="C974" s="301"/>
      <c r="D974" s="301"/>
      <c r="E974" s="301"/>
      <c r="F974" s="301"/>
      <c r="G974" s="301"/>
      <c r="H974" s="334"/>
      <c r="I974" s="334"/>
      <c r="J974" s="301"/>
      <c r="K974" s="301"/>
      <c r="L974" s="301"/>
      <c r="M974" s="301"/>
      <c r="N974" s="301"/>
      <c r="O974" s="301"/>
      <c r="P974" s="301"/>
      <c r="Q974" s="301"/>
      <c r="R974" s="301"/>
      <c r="S974" s="301"/>
      <c r="T974" s="366"/>
      <c r="U974" s="301"/>
      <c r="V974" s="301"/>
      <c r="W974" s="301"/>
      <c r="X974" s="301"/>
      <c r="Y974" s="301"/>
      <c r="Z974" s="301"/>
    </row>
    <row r="975">
      <c r="A975" s="301"/>
      <c r="B975" s="365"/>
      <c r="C975" s="301"/>
      <c r="D975" s="301"/>
      <c r="E975" s="301"/>
      <c r="F975" s="301"/>
      <c r="G975" s="301"/>
      <c r="H975" s="334"/>
      <c r="I975" s="334"/>
      <c r="J975" s="301"/>
      <c r="K975" s="301"/>
      <c r="L975" s="301"/>
      <c r="M975" s="301"/>
      <c r="N975" s="301"/>
      <c r="O975" s="301"/>
      <c r="P975" s="301"/>
      <c r="Q975" s="301"/>
      <c r="R975" s="301"/>
      <c r="S975" s="301"/>
      <c r="T975" s="366"/>
      <c r="U975" s="301"/>
      <c r="V975" s="301"/>
      <c r="W975" s="301"/>
      <c r="X975" s="301"/>
      <c r="Y975" s="301"/>
      <c r="Z975" s="301"/>
    </row>
    <row r="976">
      <c r="A976" s="301"/>
      <c r="B976" s="365"/>
      <c r="C976" s="301"/>
      <c r="D976" s="301"/>
      <c r="E976" s="301"/>
      <c r="F976" s="301"/>
      <c r="G976" s="301"/>
      <c r="H976" s="334"/>
      <c r="I976" s="334"/>
      <c r="J976" s="301"/>
      <c r="K976" s="301"/>
      <c r="L976" s="301"/>
      <c r="M976" s="301"/>
      <c r="N976" s="301"/>
      <c r="O976" s="301"/>
      <c r="P976" s="301"/>
      <c r="Q976" s="301"/>
      <c r="R976" s="301"/>
      <c r="S976" s="301"/>
      <c r="T976" s="366"/>
      <c r="U976" s="301"/>
      <c r="V976" s="301"/>
      <c r="W976" s="301"/>
      <c r="X976" s="301"/>
      <c r="Y976" s="301"/>
      <c r="Z976" s="301"/>
    </row>
    <row r="977">
      <c r="A977" s="301"/>
      <c r="B977" s="365"/>
      <c r="C977" s="301"/>
      <c r="D977" s="301"/>
      <c r="E977" s="301"/>
      <c r="F977" s="301"/>
      <c r="G977" s="301"/>
      <c r="H977" s="334"/>
      <c r="I977" s="334"/>
      <c r="J977" s="301"/>
      <c r="K977" s="301"/>
      <c r="L977" s="301"/>
      <c r="M977" s="301"/>
      <c r="N977" s="301"/>
      <c r="O977" s="301"/>
      <c r="P977" s="301"/>
      <c r="Q977" s="301"/>
      <c r="R977" s="301"/>
      <c r="S977" s="301"/>
      <c r="T977" s="366"/>
      <c r="U977" s="301"/>
      <c r="V977" s="301"/>
      <c r="W977" s="301"/>
      <c r="X977" s="301"/>
      <c r="Y977" s="301"/>
      <c r="Z977" s="301"/>
    </row>
    <row r="978">
      <c r="A978" s="301"/>
      <c r="B978" s="365"/>
      <c r="C978" s="301"/>
      <c r="D978" s="301"/>
      <c r="E978" s="301"/>
      <c r="F978" s="301"/>
      <c r="G978" s="301"/>
      <c r="H978" s="334"/>
      <c r="I978" s="334"/>
      <c r="J978" s="301"/>
      <c r="K978" s="301"/>
      <c r="L978" s="301"/>
      <c r="M978" s="301"/>
      <c r="N978" s="301"/>
      <c r="O978" s="301"/>
      <c r="P978" s="301"/>
      <c r="Q978" s="301"/>
      <c r="R978" s="301"/>
      <c r="S978" s="301"/>
      <c r="T978" s="366"/>
      <c r="U978" s="301"/>
      <c r="V978" s="301"/>
      <c r="W978" s="301"/>
      <c r="X978" s="301"/>
      <c r="Y978" s="301"/>
      <c r="Z978" s="301"/>
    </row>
    <row r="979">
      <c r="A979" s="301"/>
      <c r="B979" s="365"/>
      <c r="C979" s="301"/>
      <c r="D979" s="301"/>
      <c r="E979" s="301"/>
      <c r="F979" s="301"/>
      <c r="G979" s="301"/>
      <c r="H979" s="334"/>
      <c r="I979" s="334"/>
      <c r="J979" s="301"/>
      <c r="K979" s="301"/>
      <c r="L979" s="301"/>
      <c r="M979" s="301"/>
      <c r="N979" s="301"/>
      <c r="O979" s="301"/>
      <c r="P979" s="301"/>
      <c r="Q979" s="301"/>
      <c r="R979" s="301"/>
      <c r="S979" s="301"/>
      <c r="T979" s="366"/>
      <c r="U979" s="301"/>
      <c r="V979" s="301"/>
      <c r="W979" s="301"/>
      <c r="X979" s="301"/>
      <c r="Y979" s="301"/>
      <c r="Z979" s="301"/>
    </row>
    <row r="980">
      <c r="A980" s="301"/>
      <c r="B980" s="365"/>
      <c r="C980" s="301"/>
      <c r="D980" s="301"/>
      <c r="E980" s="301"/>
      <c r="F980" s="301"/>
      <c r="G980" s="301"/>
      <c r="H980" s="334"/>
      <c r="I980" s="334"/>
      <c r="J980" s="301"/>
      <c r="K980" s="301"/>
      <c r="L980" s="301"/>
      <c r="M980" s="301"/>
      <c r="N980" s="301"/>
      <c r="O980" s="301"/>
      <c r="P980" s="301"/>
      <c r="Q980" s="301"/>
      <c r="R980" s="301"/>
      <c r="S980" s="301"/>
      <c r="T980" s="366"/>
      <c r="U980" s="301"/>
      <c r="V980" s="301"/>
      <c r="W980" s="301"/>
      <c r="X980" s="301"/>
      <c r="Y980" s="301"/>
      <c r="Z980" s="301"/>
    </row>
    <row r="981">
      <c r="A981" s="301"/>
      <c r="B981" s="365"/>
      <c r="C981" s="301"/>
      <c r="D981" s="301"/>
      <c r="E981" s="301"/>
      <c r="F981" s="301"/>
      <c r="G981" s="301"/>
      <c r="H981" s="334"/>
      <c r="I981" s="334"/>
      <c r="J981" s="301"/>
      <c r="K981" s="301"/>
      <c r="L981" s="301"/>
      <c r="M981" s="301"/>
      <c r="N981" s="301"/>
      <c r="O981" s="301"/>
      <c r="P981" s="301"/>
      <c r="Q981" s="301"/>
      <c r="R981" s="301"/>
      <c r="S981" s="301"/>
      <c r="T981" s="366"/>
      <c r="U981" s="301"/>
      <c r="V981" s="301"/>
      <c r="W981" s="301"/>
      <c r="X981" s="301"/>
      <c r="Y981" s="301"/>
      <c r="Z981" s="301"/>
    </row>
    <row r="982">
      <c r="A982" s="301"/>
      <c r="B982" s="365"/>
      <c r="C982" s="301"/>
      <c r="D982" s="301"/>
      <c r="E982" s="301"/>
      <c r="F982" s="301"/>
      <c r="G982" s="301"/>
      <c r="H982" s="334"/>
      <c r="I982" s="334"/>
      <c r="J982" s="301"/>
      <c r="K982" s="301"/>
      <c r="L982" s="301"/>
      <c r="M982" s="301"/>
      <c r="N982" s="301"/>
      <c r="O982" s="301"/>
      <c r="P982" s="301"/>
      <c r="Q982" s="301"/>
      <c r="R982" s="301"/>
      <c r="S982" s="301"/>
      <c r="T982" s="366"/>
      <c r="U982" s="301"/>
      <c r="V982" s="301"/>
      <c r="W982" s="301"/>
      <c r="X982" s="301"/>
      <c r="Y982" s="301"/>
      <c r="Z982" s="301"/>
    </row>
    <row r="983">
      <c r="A983" s="301"/>
      <c r="B983" s="365"/>
      <c r="C983" s="301"/>
      <c r="D983" s="301"/>
      <c r="E983" s="301"/>
      <c r="F983" s="301"/>
      <c r="G983" s="301"/>
      <c r="H983" s="334"/>
      <c r="I983" s="334"/>
      <c r="J983" s="301"/>
      <c r="K983" s="301"/>
      <c r="L983" s="301"/>
      <c r="M983" s="301"/>
      <c r="N983" s="301"/>
      <c r="O983" s="301"/>
      <c r="P983" s="301"/>
      <c r="Q983" s="301"/>
      <c r="R983" s="301"/>
      <c r="S983" s="301"/>
      <c r="T983" s="366"/>
      <c r="U983" s="301"/>
      <c r="V983" s="301"/>
      <c r="W983" s="301"/>
      <c r="X983" s="301"/>
      <c r="Y983" s="301"/>
      <c r="Z983" s="301"/>
    </row>
    <row r="984">
      <c r="A984" s="301"/>
      <c r="B984" s="365"/>
      <c r="C984" s="301"/>
      <c r="D984" s="301"/>
      <c r="E984" s="301"/>
      <c r="F984" s="301"/>
      <c r="G984" s="301"/>
      <c r="H984" s="334"/>
      <c r="I984" s="334"/>
      <c r="J984" s="301"/>
      <c r="K984" s="301"/>
      <c r="L984" s="301"/>
      <c r="M984" s="301"/>
      <c r="N984" s="301"/>
      <c r="O984" s="301"/>
      <c r="P984" s="301"/>
      <c r="Q984" s="301"/>
      <c r="R984" s="301"/>
      <c r="S984" s="301"/>
      <c r="T984" s="366"/>
      <c r="U984" s="301"/>
      <c r="V984" s="301"/>
      <c r="W984" s="301"/>
      <c r="X984" s="301"/>
      <c r="Y984" s="301"/>
      <c r="Z984" s="301"/>
    </row>
    <row r="985">
      <c r="A985" s="301"/>
      <c r="B985" s="365"/>
      <c r="C985" s="301"/>
      <c r="D985" s="301"/>
      <c r="E985" s="301"/>
      <c r="F985" s="301"/>
      <c r="G985" s="301"/>
      <c r="H985" s="334"/>
      <c r="I985" s="334"/>
      <c r="J985" s="301"/>
      <c r="K985" s="301"/>
      <c r="L985" s="301"/>
      <c r="M985" s="301"/>
      <c r="N985" s="301"/>
      <c r="O985" s="301"/>
      <c r="P985" s="301"/>
      <c r="Q985" s="301"/>
      <c r="R985" s="301"/>
      <c r="S985" s="301"/>
      <c r="T985" s="366"/>
      <c r="U985" s="301"/>
      <c r="V985" s="301"/>
      <c r="W985" s="301"/>
      <c r="X985" s="301"/>
      <c r="Y985" s="301"/>
      <c r="Z985" s="301"/>
    </row>
    <row r="986">
      <c r="A986" s="301"/>
      <c r="B986" s="365"/>
      <c r="C986" s="301"/>
      <c r="D986" s="301"/>
      <c r="E986" s="301"/>
      <c r="F986" s="301"/>
      <c r="G986" s="301"/>
      <c r="H986" s="334"/>
      <c r="I986" s="334"/>
      <c r="J986" s="301"/>
      <c r="K986" s="301"/>
      <c r="L986" s="301"/>
      <c r="M986" s="301"/>
      <c r="N986" s="301"/>
      <c r="O986" s="301"/>
      <c r="P986" s="301"/>
      <c r="Q986" s="301"/>
      <c r="R986" s="301"/>
      <c r="S986" s="301"/>
      <c r="T986" s="366"/>
      <c r="U986" s="301"/>
      <c r="V986" s="301"/>
      <c r="W986" s="301"/>
      <c r="X986" s="301"/>
      <c r="Y986" s="301"/>
      <c r="Z986" s="301"/>
    </row>
    <row r="987">
      <c r="A987" s="301"/>
      <c r="B987" s="365"/>
      <c r="C987" s="301"/>
      <c r="D987" s="301"/>
      <c r="E987" s="301"/>
      <c r="F987" s="301"/>
      <c r="G987" s="301"/>
      <c r="H987" s="334"/>
      <c r="I987" s="334"/>
      <c r="J987" s="301"/>
      <c r="K987" s="301"/>
      <c r="L987" s="301"/>
      <c r="M987" s="301"/>
      <c r="N987" s="301"/>
      <c r="O987" s="301"/>
      <c r="P987" s="301"/>
      <c r="Q987" s="301"/>
      <c r="R987" s="301"/>
      <c r="S987" s="301"/>
      <c r="T987" s="366"/>
      <c r="U987" s="301"/>
      <c r="V987" s="301"/>
      <c r="W987" s="301"/>
      <c r="X987" s="301"/>
      <c r="Y987" s="301"/>
      <c r="Z987" s="301"/>
    </row>
    <row r="988">
      <c r="A988" s="301"/>
      <c r="B988" s="365"/>
      <c r="C988" s="301"/>
      <c r="D988" s="301"/>
      <c r="E988" s="301"/>
      <c r="F988" s="301"/>
      <c r="G988" s="301"/>
      <c r="H988" s="334"/>
      <c r="I988" s="334"/>
      <c r="J988" s="301"/>
      <c r="K988" s="301"/>
      <c r="L988" s="301"/>
      <c r="M988" s="301"/>
      <c r="N988" s="301"/>
      <c r="O988" s="301"/>
      <c r="P988" s="301"/>
      <c r="Q988" s="301"/>
      <c r="R988" s="301"/>
      <c r="S988" s="301"/>
      <c r="T988" s="366"/>
      <c r="U988" s="301"/>
      <c r="V988" s="301"/>
      <c r="W988" s="301"/>
      <c r="X988" s="301"/>
      <c r="Y988" s="301"/>
      <c r="Z988" s="301"/>
    </row>
    <row r="989">
      <c r="A989" s="301"/>
      <c r="B989" s="365"/>
      <c r="C989" s="301"/>
      <c r="D989" s="301"/>
      <c r="E989" s="301"/>
      <c r="F989" s="301"/>
      <c r="G989" s="301"/>
      <c r="H989" s="334"/>
      <c r="I989" s="334"/>
      <c r="J989" s="301"/>
      <c r="K989" s="301"/>
      <c r="L989" s="301"/>
      <c r="M989" s="301"/>
      <c r="N989" s="301"/>
      <c r="O989" s="301"/>
      <c r="P989" s="301"/>
      <c r="Q989" s="301"/>
      <c r="R989" s="301"/>
      <c r="S989" s="301"/>
      <c r="T989" s="366"/>
      <c r="U989" s="301"/>
      <c r="V989" s="301"/>
      <c r="W989" s="301"/>
      <c r="X989" s="301"/>
      <c r="Y989" s="301"/>
      <c r="Z989" s="301"/>
    </row>
    <row r="990">
      <c r="A990" s="301"/>
      <c r="B990" s="365"/>
      <c r="C990" s="301"/>
      <c r="D990" s="301"/>
      <c r="E990" s="301"/>
      <c r="F990" s="301"/>
      <c r="G990" s="301"/>
      <c r="H990" s="334"/>
      <c r="I990" s="334"/>
      <c r="J990" s="301"/>
      <c r="K990" s="301"/>
      <c r="L990" s="301"/>
      <c r="M990" s="301"/>
      <c r="N990" s="301"/>
      <c r="O990" s="301"/>
      <c r="P990" s="301"/>
      <c r="Q990" s="301"/>
      <c r="R990" s="301"/>
      <c r="S990" s="301"/>
      <c r="T990" s="366"/>
      <c r="U990" s="301"/>
      <c r="V990" s="301"/>
      <c r="W990" s="301"/>
      <c r="X990" s="301"/>
      <c r="Y990" s="301"/>
      <c r="Z990" s="301"/>
    </row>
    <row r="991">
      <c r="A991" s="301"/>
      <c r="B991" s="365"/>
      <c r="C991" s="301"/>
      <c r="D991" s="301"/>
      <c r="E991" s="301"/>
      <c r="F991" s="301"/>
      <c r="G991" s="301"/>
      <c r="H991" s="334"/>
      <c r="I991" s="334"/>
      <c r="J991" s="301"/>
      <c r="K991" s="301"/>
      <c r="L991" s="301"/>
      <c r="M991" s="301"/>
      <c r="N991" s="301"/>
      <c r="O991" s="301"/>
      <c r="P991" s="301"/>
      <c r="Q991" s="301"/>
      <c r="R991" s="301"/>
      <c r="S991" s="301"/>
      <c r="T991" s="366"/>
      <c r="U991" s="301"/>
      <c r="V991" s="301"/>
      <c r="W991" s="301"/>
      <c r="X991" s="301"/>
      <c r="Y991" s="301"/>
      <c r="Z991" s="301"/>
    </row>
    <row r="992">
      <c r="A992" s="301"/>
      <c r="B992" s="365"/>
      <c r="C992" s="301"/>
      <c r="D992" s="301"/>
      <c r="E992" s="301"/>
      <c r="F992" s="301"/>
      <c r="G992" s="301"/>
      <c r="H992" s="334"/>
      <c r="I992" s="334"/>
      <c r="J992" s="301"/>
      <c r="K992" s="301"/>
      <c r="L992" s="301"/>
      <c r="M992" s="301"/>
      <c r="N992" s="301"/>
      <c r="O992" s="301"/>
      <c r="P992" s="301"/>
      <c r="Q992" s="301"/>
      <c r="R992" s="301"/>
      <c r="S992" s="301"/>
      <c r="T992" s="366"/>
      <c r="U992" s="301"/>
      <c r="V992" s="301"/>
      <c r="W992" s="301"/>
      <c r="X992" s="301"/>
      <c r="Y992" s="301"/>
      <c r="Z992" s="301"/>
    </row>
    <row r="993">
      <c r="A993" s="301"/>
      <c r="B993" s="365"/>
      <c r="C993" s="301"/>
      <c r="D993" s="301"/>
      <c r="E993" s="301"/>
      <c r="F993" s="301"/>
      <c r="G993" s="301"/>
      <c r="H993" s="334"/>
      <c r="I993" s="334"/>
      <c r="J993" s="301"/>
      <c r="K993" s="301"/>
      <c r="L993" s="301"/>
      <c r="M993" s="301"/>
      <c r="N993" s="301"/>
      <c r="O993" s="301"/>
      <c r="P993" s="301"/>
      <c r="Q993" s="301"/>
      <c r="R993" s="301"/>
      <c r="S993" s="301"/>
      <c r="T993" s="366"/>
      <c r="U993" s="301"/>
      <c r="V993" s="301"/>
      <c r="W993" s="301"/>
      <c r="X993" s="301"/>
      <c r="Y993" s="301"/>
      <c r="Z993" s="301"/>
    </row>
    <row r="994">
      <c r="A994" s="301"/>
      <c r="B994" s="365"/>
      <c r="C994" s="301"/>
      <c r="D994" s="301"/>
      <c r="E994" s="301"/>
      <c r="F994" s="301"/>
      <c r="G994" s="301"/>
      <c r="H994" s="334"/>
      <c r="I994" s="334"/>
      <c r="J994" s="301"/>
      <c r="K994" s="301"/>
      <c r="L994" s="301"/>
      <c r="M994" s="301"/>
      <c r="N994" s="301"/>
      <c r="O994" s="301"/>
      <c r="P994" s="301"/>
      <c r="Q994" s="301"/>
      <c r="R994" s="301"/>
      <c r="S994" s="301"/>
      <c r="T994" s="366"/>
      <c r="U994" s="301"/>
      <c r="V994" s="301"/>
      <c r="W994" s="301"/>
      <c r="X994" s="301"/>
      <c r="Y994" s="301"/>
      <c r="Z994" s="301"/>
    </row>
    <row r="995">
      <c r="A995" s="301"/>
      <c r="B995" s="365"/>
      <c r="C995" s="301"/>
      <c r="D995" s="301"/>
      <c r="E995" s="301"/>
      <c r="F995" s="301"/>
      <c r="G995" s="301"/>
      <c r="H995" s="334"/>
      <c r="I995" s="334"/>
      <c r="J995" s="301"/>
      <c r="K995" s="301"/>
      <c r="L995" s="301"/>
      <c r="M995" s="301"/>
      <c r="N995" s="301"/>
      <c r="O995" s="301"/>
      <c r="P995" s="301"/>
      <c r="Q995" s="301"/>
      <c r="R995" s="301"/>
      <c r="S995" s="301"/>
      <c r="T995" s="366"/>
      <c r="U995" s="301"/>
      <c r="V995" s="301"/>
      <c r="W995" s="301"/>
      <c r="X995" s="301"/>
      <c r="Y995" s="301"/>
      <c r="Z995" s="301"/>
    </row>
    <row r="996">
      <c r="A996" s="301"/>
      <c r="B996" s="365"/>
      <c r="C996" s="301"/>
      <c r="D996" s="301"/>
      <c r="E996" s="301"/>
      <c r="F996" s="301"/>
      <c r="G996" s="301"/>
      <c r="H996" s="334"/>
      <c r="I996" s="334"/>
      <c r="J996" s="301"/>
      <c r="K996" s="301"/>
      <c r="L996" s="301"/>
      <c r="M996" s="301"/>
      <c r="N996" s="301"/>
      <c r="O996" s="301"/>
      <c r="P996" s="301"/>
      <c r="Q996" s="301"/>
      <c r="R996" s="301"/>
      <c r="S996" s="301"/>
      <c r="T996" s="366"/>
      <c r="U996" s="301"/>
      <c r="V996" s="301"/>
      <c r="W996" s="301"/>
      <c r="X996" s="301"/>
      <c r="Y996" s="301"/>
      <c r="Z996" s="301"/>
    </row>
    <row r="997">
      <c r="A997" s="301"/>
      <c r="B997" s="365"/>
      <c r="C997" s="301"/>
      <c r="D997" s="301"/>
      <c r="E997" s="301"/>
      <c r="F997" s="301"/>
      <c r="G997" s="301"/>
      <c r="H997" s="334"/>
      <c r="I997" s="334"/>
      <c r="J997" s="301"/>
      <c r="K997" s="301"/>
      <c r="L997" s="301"/>
      <c r="M997" s="301"/>
      <c r="N997" s="301"/>
      <c r="O997" s="301"/>
      <c r="P997" s="301"/>
      <c r="Q997" s="301"/>
      <c r="R997" s="301"/>
      <c r="S997" s="301"/>
      <c r="T997" s="366"/>
      <c r="U997" s="301"/>
      <c r="V997" s="301"/>
      <c r="W997" s="301"/>
      <c r="X997" s="301"/>
      <c r="Y997" s="301"/>
      <c r="Z997" s="301"/>
    </row>
    <row r="998">
      <c r="A998" s="301"/>
      <c r="B998" s="365"/>
      <c r="C998" s="301"/>
      <c r="D998" s="301"/>
      <c r="E998" s="301"/>
      <c r="F998" s="301"/>
      <c r="G998" s="301"/>
      <c r="H998" s="334"/>
      <c r="I998" s="334"/>
      <c r="J998" s="301"/>
      <c r="K998" s="301"/>
      <c r="L998" s="301"/>
      <c r="M998" s="301"/>
      <c r="N998" s="301"/>
      <c r="O998" s="301"/>
      <c r="P998" s="301"/>
      <c r="Q998" s="301"/>
      <c r="R998" s="301"/>
      <c r="S998" s="301"/>
      <c r="T998" s="366"/>
      <c r="U998" s="301"/>
      <c r="V998" s="301"/>
      <c r="W998" s="301"/>
      <c r="X998" s="301"/>
      <c r="Y998" s="301"/>
      <c r="Z998" s="301"/>
    </row>
    <row r="999">
      <c r="A999" s="301"/>
      <c r="B999" s="365"/>
      <c r="C999" s="301"/>
      <c r="D999" s="301"/>
      <c r="E999" s="301"/>
      <c r="F999" s="301"/>
      <c r="G999" s="301"/>
      <c r="H999" s="334"/>
      <c r="I999" s="334"/>
      <c r="J999" s="301"/>
      <c r="K999" s="301"/>
      <c r="L999" s="301"/>
      <c r="M999" s="301"/>
      <c r="N999" s="301"/>
      <c r="O999" s="301"/>
      <c r="P999" s="301"/>
      <c r="Q999" s="301"/>
      <c r="R999" s="301"/>
      <c r="S999" s="301"/>
      <c r="T999" s="366"/>
      <c r="U999" s="301"/>
      <c r="V999" s="301"/>
      <c r="W999" s="301"/>
      <c r="X999" s="301"/>
      <c r="Y999" s="301"/>
      <c r="Z999" s="301"/>
    </row>
    <row r="1000">
      <c r="A1000" s="301"/>
      <c r="B1000" s="365"/>
      <c r="C1000" s="301"/>
      <c r="D1000" s="301"/>
      <c r="E1000" s="301"/>
      <c r="F1000" s="301"/>
      <c r="G1000" s="301"/>
      <c r="H1000" s="334"/>
      <c r="I1000" s="334"/>
      <c r="J1000" s="301"/>
      <c r="K1000" s="301"/>
      <c r="L1000" s="301"/>
      <c r="M1000" s="301"/>
      <c r="N1000" s="301"/>
      <c r="O1000" s="301"/>
      <c r="P1000" s="301"/>
      <c r="Q1000" s="301"/>
      <c r="R1000" s="301"/>
      <c r="S1000" s="301"/>
      <c r="T1000" s="366"/>
      <c r="U1000" s="301"/>
      <c r="V1000" s="301"/>
      <c r="W1000" s="301"/>
      <c r="X1000" s="301"/>
      <c r="Y1000" s="301"/>
      <c r="Z1000" s="301"/>
    </row>
    <row r="1001">
      <c r="A1001" s="301"/>
      <c r="B1001" s="365"/>
      <c r="C1001" s="301"/>
      <c r="D1001" s="301"/>
      <c r="E1001" s="301"/>
      <c r="F1001" s="301"/>
      <c r="G1001" s="301"/>
      <c r="H1001" s="334"/>
      <c r="I1001" s="334"/>
      <c r="J1001" s="301"/>
      <c r="K1001" s="301"/>
      <c r="L1001" s="301"/>
      <c r="M1001" s="301"/>
      <c r="N1001" s="301"/>
      <c r="O1001" s="301"/>
      <c r="P1001" s="301"/>
      <c r="Q1001" s="301"/>
      <c r="R1001" s="301"/>
      <c r="S1001" s="301"/>
      <c r="T1001" s="366"/>
      <c r="U1001" s="301"/>
      <c r="V1001" s="301"/>
      <c r="W1001" s="301"/>
      <c r="X1001" s="301"/>
      <c r="Y1001" s="301"/>
      <c r="Z1001" s="301"/>
    </row>
    <row r="1002">
      <c r="A1002" s="301"/>
      <c r="B1002" s="365"/>
      <c r="C1002" s="301"/>
      <c r="D1002" s="301"/>
      <c r="E1002" s="301"/>
      <c r="F1002" s="301"/>
      <c r="G1002" s="301"/>
      <c r="H1002" s="334"/>
      <c r="I1002" s="334"/>
      <c r="J1002" s="301"/>
      <c r="K1002" s="301"/>
      <c r="L1002" s="301"/>
      <c r="M1002" s="301"/>
      <c r="N1002" s="301"/>
      <c r="O1002" s="301"/>
      <c r="P1002" s="301"/>
      <c r="Q1002" s="301"/>
      <c r="R1002" s="301"/>
      <c r="S1002" s="301"/>
      <c r="T1002" s="366"/>
      <c r="U1002" s="301"/>
      <c r="V1002" s="301"/>
      <c r="W1002" s="301"/>
      <c r="X1002" s="301"/>
      <c r="Y1002" s="301"/>
      <c r="Z1002" s="301"/>
    </row>
    <row r="1003">
      <c r="A1003" s="301"/>
      <c r="B1003" s="365"/>
      <c r="C1003" s="301"/>
      <c r="D1003" s="301"/>
      <c r="E1003" s="301"/>
      <c r="F1003" s="301"/>
      <c r="G1003" s="301"/>
      <c r="H1003" s="334"/>
      <c r="I1003" s="334"/>
      <c r="J1003" s="301"/>
      <c r="K1003" s="301"/>
      <c r="L1003" s="301"/>
      <c r="M1003" s="301"/>
      <c r="N1003" s="301"/>
      <c r="O1003" s="301"/>
      <c r="P1003" s="301"/>
      <c r="Q1003" s="301"/>
      <c r="R1003" s="301"/>
      <c r="S1003" s="301"/>
      <c r="T1003" s="366"/>
      <c r="U1003" s="301"/>
      <c r="V1003" s="301"/>
      <c r="W1003" s="301"/>
      <c r="X1003" s="301"/>
      <c r="Y1003" s="301"/>
      <c r="Z1003" s="301"/>
    </row>
    <row r="1004">
      <c r="A1004" s="301"/>
      <c r="B1004" s="365"/>
      <c r="C1004" s="301"/>
      <c r="D1004" s="301"/>
      <c r="E1004" s="301"/>
      <c r="F1004" s="301"/>
      <c r="G1004" s="301"/>
      <c r="H1004" s="334"/>
      <c r="I1004" s="334"/>
      <c r="J1004" s="301"/>
      <c r="K1004" s="301"/>
      <c r="L1004" s="301"/>
      <c r="M1004" s="301"/>
      <c r="N1004" s="301"/>
      <c r="O1004" s="301"/>
      <c r="P1004" s="301"/>
      <c r="Q1004" s="301"/>
      <c r="R1004" s="301"/>
      <c r="S1004" s="301"/>
      <c r="T1004" s="366"/>
      <c r="U1004" s="301"/>
      <c r="V1004" s="301"/>
      <c r="W1004" s="301"/>
      <c r="X1004" s="301"/>
      <c r="Y1004" s="301"/>
      <c r="Z1004" s="301"/>
    </row>
    <row r="1005">
      <c r="A1005" s="301"/>
      <c r="B1005" s="365"/>
      <c r="C1005" s="301"/>
      <c r="D1005" s="301"/>
      <c r="E1005" s="301"/>
      <c r="F1005" s="301"/>
      <c r="G1005" s="301"/>
      <c r="H1005" s="334"/>
      <c r="I1005" s="334"/>
      <c r="J1005" s="301"/>
      <c r="K1005" s="301"/>
      <c r="L1005" s="301"/>
      <c r="M1005" s="301"/>
      <c r="N1005" s="301"/>
      <c r="O1005" s="301"/>
      <c r="P1005" s="301"/>
      <c r="Q1005" s="301"/>
      <c r="R1005" s="301"/>
      <c r="S1005" s="301"/>
      <c r="T1005" s="366"/>
      <c r="U1005" s="301"/>
      <c r="V1005" s="301"/>
      <c r="W1005" s="301"/>
      <c r="X1005" s="301"/>
      <c r="Y1005" s="301"/>
      <c r="Z1005" s="301"/>
    </row>
    <row r="1006">
      <c r="A1006" s="301"/>
      <c r="B1006" s="365"/>
      <c r="C1006" s="301"/>
      <c r="D1006" s="301"/>
      <c r="E1006" s="301"/>
      <c r="F1006" s="301"/>
      <c r="G1006" s="301"/>
      <c r="H1006" s="334"/>
      <c r="I1006" s="334"/>
      <c r="J1006" s="301"/>
      <c r="K1006" s="301"/>
      <c r="L1006" s="301"/>
      <c r="M1006" s="301"/>
      <c r="N1006" s="301"/>
      <c r="O1006" s="301"/>
      <c r="P1006" s="301"/>
      <c r="Q1006" s="301"/>
      <c r="R1006" s="301"/>
      <c r="S1006" s="301"/>
      <c r="T1006" s="366"/>
      <c r="U1006" s="301"/>
      <c r="V1006" s="301"/>
      <c r="W1006" s="301"/>
      <c r="X1006" s="301"/>
      <c r="Y1006" s="301"/>
      <c r="Z1006" s="301"/>
    </row>
    <row r="1007">
      <c r="A1007" s="301"/>
      <c r="B1007" s="365"/>
      <c r="C1007" s="301"/>
      <c r="D1007" s="301"/>
      <c r="E1007" s="301"/>
      <c r="F1007" s="301"/>
      <c r="G1007" s="301"/>
      <c r="H1007" s="334"/>
      <c r="I1007" s="334"/>
      <c r="J1007" s="301"/>
      <c r="K1007" s="301"/>
      <c r="L1007" s="301"/>
      <c r="M1007" s="301"/>
      <c r="N1007" s="301"/>
      <c r="O1007" s="301"/>
      <c r="P1007" s="301"/>
      <c r="Q1007" s="301"/>
      <c r="R1007" s="301"/>
      <c r="S1007" s="301"/>
      <c r="T1007" s="366"/>
      <c r="U1007" s="301"/>
      <c r="V1007" s="301"/>
      <c r="W1007" s="301"/>
      <c r="X1007" s="301"/>
      <c r="Y1007" s="301"/>
      <c r="Z1007" s="301"/>
    </row>
    <row r="1008">
      <c r="A1008" s="301"/>
      <c r="B1008" s="365"/>
      <c r="C1008" s="301"/>
      <c r="D1008" s="301"/>
      <c r="E1008" s="301"/>
      <c r="F1008" s="301"/>
      <c r="G1008" s="301"/>
      <c r="H1008" s="334"/>
      <c r="I1008" s="334"/>
      <c r="J1008" s="301"/>
      <c r="K1008" s="301"/>
      <c r="L1008" s="301"/>
      <c r="M1008" s="301"/>
      <c r="N1008" s="301"/>
      <c r="O1008" s="301"/>
      <c r="P1008" s="301"/>
      <c r="Q1008" s="301"/>
      <c r="R1008" s="301"/>
      <c r="S1008" s="301"/>
      <c r="T1008" s="366"/>
      <c r="U1008" s="301"/>
      <c r="V1008" s="301"/>
      <c r="W1008" s="301"/>
      <c r="X1008" s="301"/>
      <c r="Y1008" s="301"/>
      <c r="Z1008" s="301"/>
    </row>
    <row r="1009">
      <c r="A1009" s="301"/>
      <c r="B1009" s="365"/>
      <c r="C1009" s="301"/>
      <c r="D1009" s="301"/>
      <c r="E1009" s="301"/>
      <c r="F1009" s="301"/>
      <c r="G1009" s="301"/>
      <c r="H1009" s="334"/>
      <c r="I1009" s="334"/>
      <c r="J1009" s="301"/>
      <c r="K1009" s="301"/>
      <c r="L1009" s="301"/>
      <c r="M1009" s="301"/>
      <c r="N1009" s="301"/>
      <c r="O1009" s="301"/>
      <c r="P1009" s="301"/>
      <c r="Q1009" s="301"/>
      <c r="R1009" s="301"/>
      <c r="S1009" s="301"/>
      <c r="T1009" s="366"/>
      <c r="U1009" s="301"/>
      <c r="V1009" s="301"/>
      <c r="W1009" s="301"/>
      <c r="X1009" s="301"/>
      <c r="Y1009" s="301"/>
      <c r="Z1009" s="301"/>
    </row>
    <row r="1010">
      <c r="A1010" s="301"/>
      <c r="B1010" s="365"/>
      <c r="C1010" s="301"/>
      <c r="D1010" s="301"/>
      <c r="E1010" s="301"/>
      <c r="F1010" s="301"/>
      <c r="G1010" s="301"/>
      <c r="H1010" s="334"/>
      <c r="I1010" s="334"/>
      <c r="J1010" s="301"/>
      <c r="K1010" s="301"/>
      <c r="L1010" s="301"/>
      <c r="M1010" s="301"/>
      <c r="N1010" s="301"/>
      <c r="O1010" s="301"/>
      <c r="P1010" s="301"/>
      <c r="Q1010" s="301"/>
      <c r="R1010" s="301"/>
      <c r="S1010" s="301"/>
      <c r="T1010" s="366"/>
      <c r="U1010" s="301"/>
      <c r="V1010" s="301"/>
      <c r="W1010" s="301"/>
      <c r="X1010" s="301"/>
      <c r="Y1010" s="301"/>
      <c r="Z1010" s="301"/>
    </row>
    <row r="1011">
      <c r="A1011" s="301"/>
      <c r="B1011" s="365"/>
      <c r="C1011" s="301"/>
      <c r="D1011" s="301"/>
      <c r="E1011" s="301"/>
      <c r="F1011" s="301"/>
      <c r="G1011" s="301"/>
      <c r="H1011" s="334"/>
      <c r="I1011" s="334"/>
      <c r="J1011" s="301"/>
      <c r="K1011" s="301"/>
      <c r="L1011" s="301"/>
      <c r="M1011" s="301"/>
      <c r="N1011" s="301"/>
      <c r="O1011" s="301"/>
      <c r="P1011" s="301"/>
      <c r="Q1011" s="301"/>
      <c r="R1011" s="301"/>
      <c r="S1011" s="301"/>
      <c r="T1011" s="366"/>
      <c r="U1011" s="301"/>
      <c r="V1011" s="301"/>
      <c r="W1011" s="301"/>
      <c r="X1011" s="301"/>
      <c r="Y1011" s="301"/>
      <c r="Z1011" s="301"/>
    </row>
    <row r="1012">
      <c r="A1012" s="301"/>
      <c r="B1012" s="365"/>
      <c r="C1012" s="301"/>
      <c r="D1012" s="301"/>
      <c r="E1012" s="301"/>
      <c r="F1012" s="301"/>
      <c r="G1012" s="301"/>
      <c r="H1012" s="334"/>
      <c r="I1012" s="334"/>
      <c r="J1012" s="301"/>
      <c r="K1012" s="301"/>
      <c r="L1012" s="301"/>
      <c r="M1012" s="301"/>
      <c r="N1012" s="301"/>
      <c r="O1012" s="301"/>
      <c r="P1012" s="301"/>
      <c r="Q1012" s="301"/>
      <c r="R1012" s="301"/>
      <c r="S1012" s="301"/>
      <c r="T1012" s="366"/>
      <c r="U1012" s="301"/>
      <c r="V1012" s="301"/>
      <c r="W1012" s="301"/>
      <c r="X1012" s="301"/>
      <c r="Y1012" s="301"/>
      <c r="Z1012" s="301"/>
    </row>
    <row r="1013">
      <c r="A1013" s="301"/>
      <c r="B1013" s="365"/>
      <c r="C1013" s="301"/>
      <c r="D1013" s="301"/>
      <c r="E1013" s="301"/>
      <c r="F1013" s="301"/>
      <c r="G1013" s="301"/>
      <c r="H1013" s="334"/>
      <c r="I1013" s="334"/>
      <c r="J1013" s="301"/>
      <c r="K1013" s="301"/>
      <c r="L1013" s="301"/>
      <c r="M1013" s="301"/>
      <c r="N1013" s="301"/>
      <c r="O1013" s="301"/>
      <c r="P1013" s="301"/>
      <c r="Q1013" s="301"/>
      <c r="R1013" s="301"/>
      <c r="S1013" s="301"/>
      <c r="T1013" s="366"/>
      <c r="U1013" s="301"/>
      <c r="V1013" s="301"/>
      <c r="W1013" s="301"/>
      <c r="X1013" s="301"/>
      <c r="Y1013" s="301"/>
      <c r="Z1013" s="301"/>
    </row>
    <row r="1014">
      <c r="A1014" s="301"/>
      <c r="B1014" s="365"/>
      <c r="C1014" s="301"/>
      <c r="D1014" s="301"/>
      <c r="E1014" s="301"/>
      <c r="F1014" s="301"/>
      <c r="G1014" s="301"/>
      <c r="H1014" s="334"/>
      <c r="I1014" s="334"/>
      <c r="J1014" s="301"/>
      <c r="K1014" s="301"/>
      <c r="L1014" s="301"/>
      <c r="M1014" s="301"/>
      <c r="N1014" s="301"/>
      <c r="O1014" s="301"/>
      <c r="P1014" s="301"/>
      <c r="Q1014" s="301"/>
      <c r="R1014" s="301"/>
      <c r="S1014" s="301"/>
      <c r="T1014" s="366"/>
      <c r="U1014" s="301"/>
      <c r="V1014" s="301"/>
      <c r="W1014" s="301"/>
      <c r="X1014" s="301"/>
      <c r="Y1014" s="301"/>
      <c r="Z1014" s="301"/>
    </row>
    <row r="1015">
      <c r="A1015" s="301"/>
      <c r="B1015" s="365"/>
      <c r="C1015" s="301"/>
      <c r="D1015" s="301"/>
      <c r="E1015" s="301"/>
      <c r="F1015" s="301"/>
      <c r="G1015" s="301"/>
      <c r="H1015" s="334"/>
      <c r="I1015" s="334"/>
      <c r="J1015" s="301"/>
      <c r="K1015" s="301"/>
      <c r="L1015" s="301"/>
      <c r="M1015" s="301"/>
      <c r="N1015" s="301"/>
      <c r="O1015" s="301"/>
      <c r="P1015" s="301"/>
      <c r="Q1015" s="301"/>
      <c r="R1015" s="301"/>
      <c r="S1015" s="301"/>
      <c r="T1015" s="366"/>
      <c r="U1015" s="301"/>
      <c r="V1015" s="301"/>
      <c r="W1015" s="301"/>
      <c r="X1015" s="301"/>
      <c r="Y1015" s="301"/>
      <c r="Z1015" s="301"/>
    </row>
    <row r="1016">
      <c r="A1016" s="301"/>
      <c r="B1016" s="365"/>
      <c r="C1016" s="301"/>
      <c r="D1016" s="301"/>
      <c r="E1016" s="301"/>
      <c r="F1016" s="301"/>
      <c r="G1016" s="301"/>
      <c r="H1016" s="334"/>
      <c r="I1016" s="334"/>
      <c r="J1016" s="301"/>
      <c r="K1016" s="301"/>
      <c r="L1016" s="301"/>
      <c r="M1016" s="301"/>
      <c r="N1016" s="301"/>
      <c r="O1016" s="301"/>
      <c r="P1016" s="301"/>
      <c r="Q1016" s="301"/>
      <c r="R1016" s="301"/>
      <c r="S1016" s="301"/>
      <c r="T1016" s="366"/>
      <c r="U1016" s="301"/>
      <c r="V1016" s="301"/>
      <c r="W1016" s="301"/>
      <c r="X1016" s="301"/>
      <c r="Y1016" s="301"/>
      <c r="Z1016" s="301"/>
    </row>
    <row r="1017">
      <c r="A1017" s="301"/>
      <c r="B1017" s="365"/>
      <c r="C1017" s="301"/>
      <c r="D1017" s="301"/>
      <c r="E1017" s="301"/>
      <c r="F1017" s="301"/>
      <c r="G1017" s="301"/>
      <c r="H1017" s="334"/>
      <c r="I1017" s="334"/>
      <c r="J1017" s="301"/>
      <c r="K1017" s="301"/>
      <c r="L1017" s="301"/>
      <c r="M1017" s="301"/>
      <c r="N1017" s="301"/>
      <c r="O1017" s="301"/>
      <c r="P1017" s="301"/>
      <c r="Q1017" s="301"/>
      <c r="R1017" s="301"/>
      <c r="S1017" s="301"/>
      <c r="T1017" s="366"/>
      <c r="U1017" s="301"/>
      <c r="V1017" s="301"/>
      <c r="W1017" s="301"/>
      <c r="X1017" s="301"/>
      <c r="Y1017" s="301"/>
      <c r="Z1017" s="301"/>
    </row>
    <row r="1018">
      <c r="A1018" s="301"/>
      <c r="B1018" s="365"/>
      <c r="C1018" s="301"/>
      <c r="D1018" s="301"/>
      <c r="E1018" s="301"/>
      <c r="F1018" s="301"/>
      <c r="G1018" s="301"/>
      <c r="H1018" s="334"/>
      <c r="I1018" s="334"/>
      <c r="J1018" s="301"/>
      <c r="K1018" s="301"/>
      <c r="L1018" s="301"/>
      <c r="M1018" s="301"/>
      <c r="N1018" s="301"/>
      <c r="O1018" s="301"/>
      <c r="P1018" s="301"/>
      <c r="Q1018" s="301"/>
      <c r="R1018" s="301"/>
      <c r="S1018" s="301"/>
      <c r="T1018" s="366"/>
      <c r="U1018" s="301"/>
      <c r="V1018" s="301"/>
      <c r="W1018" s="301"/>
      <c r="X1018" s="301"/>
      <c r="Y1018" s="301"/>
      <c r="Z1018" s="301"/>
    </row>
    <row r="1019">
      <c r="A1019" s="301"/>
      <c r="B1019" s="365"/>
      <c r="C1019" s="301"/>
      <c r="D1019" s="301"/>
      <c r="E1019" s="301"/>
      <c r="F1019" s="301"/>
      <c r="G1019" s="301"/>
      <c r="H1019" s="334"/>
      <c r="I1019" s="334"/>
      <c r="J1019" s="301"/>
      <c r="K1019" s="301"/>
      <c r="L1019" s="301"/>
      <c r="M1019" s="301"/>
      <c r="N1019" s="301"/>
      <c r="O1019" s="301"/>
      <c r="P1019" s="301"/>
      <c r="Q1019" s="301"/>
      <c r="R1019" s="301"/>
      <c r="S1019" s="301"/>
      <c r="T1019" s="366"/>
      <c r="U1019" s="301"/>
      <c r="V1019" s="301"/>
      <c r="W1019" s="301"/>
      <c r="X1019" s="301"/>
      <c r="Y1019" s="301"/>
      <c r="Z1019" s="301"/>
    </row>
    <row r="1020">
      <c r="A1020" s="301"/>
      <c r="B1020" s="365"/>
      <c r="C1020" s="301"/>
      <c r="D1020" s="301"/>
      <c r="E1020" s="301"/>
      <c r="F1020" s="301"/>
      <c r="G1020" s="301"/>
      <c r="H1020" s="334"/>
      <c r="I1020" s="334"/>
      <c r="J1020" s="301"/>
      <c r="K1020" s="301"/>
      <c r="L1020" s="301"/>
      <c r="M1020" s="301"/>
      <c r="N1020" s="301"/>
      <c r="O1020" s="301"/>
      <c r="P1020" s="301"/>
      <c r="Q1020" s="301"/>
      <c r="R1020" s="301"/>
      <c r="S1020" s="301"/>
      <c r="T1020" s="366"/>
      <c r="U1020" s="301"/>
      <c r="V1020" s="301"/>
      <c r="W1020" s="301"/>
      <c r="X1020" s="301"/>
      <c r="Y1020" s="301"/>
      <c r="Z1020" s="301"/>
    </row>
    <row r="1021">
      <c r="A1021" s="301"/>
      <c r="B1021" s="365"/>
      <c r="C1021" s="301"/>
      <c r="D1021" s="301"/>
      <c r="E1021" s="301"/>
      <c r="F1021" s="301"/>
      <c r="G1021" s="301"/>
      <c r="H1021" s="334"/>
      <c r="I1021" s="334"/>
      <c r="J1021" s="301"/>
      <c r="K1021" s="301"/>
      <c r="L1021" s="301"/>
      <c r="M1021" s="301"/>
      <c r="N1021" s="301"/>
      <c r="O1021" s="301"/>
      <c r="P1021" s="301"/>
      <c r="Q1021" s="301"/>
      <c r="R1021" s="301"/>
      <c r="S1021" s="301"/>
      <c r="T1021" s="366"/>
      <c r="U1021" s="301"/>
      <c r="V1021" s="301"/>
      <c r="W1021" s="301"/>
      <c r="X1021" s="301"/>
      <c r="Y1021" s="301"/>
      <c r="Z1021" s="301"/>
    </row>
    <row r="1022">
      <c r="A1022" s="301"/>
      <c r="B1022" s="365"/>
      <c r="C1022" s="301"/>
      <c r="D1022" s="301"/>
      <c r="E1022" s="301"/>
      <c r="F1022" s="301"/>
      <c r="G1022" s="301"/>
      <c r="H1022" s="334"/>
      <c r="I1022" s="334"/>
      <c r="J1022" s="301"/>
      <c r="K1022" s="301"/>
      <c r="L1022" s="301"/>
      <c r="M1022" s="301"/>
      <c r="N1022" s="301"/>
      <c r="O1022" s="301"/>
      <c r="P1022" s="301"/>
      <c r="Q1022" s="301"/>
      <c r="R1022" s="301"/>
      <c r="S1022" s="301"/>
      <c r="T1022" s="366"/>
      <c r="U1022" s="301"/>
      <c r="V1022" s="301"/>
      <c r="W1022" s="301"/>
      <c r="X1022" s="301"/>
      <c r="Y1022" s="301"/>
      <c r="Z1022" s="301"/>
    </row>
  </sheetData>
  <mergeCells count="13">
    <mergeCell ref="B7:C7"/>
    <mergeCell ref="B9:C9"/>
    <mergeCell ref="Q5:T5"/>
    <mergeCell ref="P52:T52"/>
    <mergeCell ref="A55:T55"/>
    <mergeCell ref="A59:T59"/>
    <mergeCell ref="A1:T1"/>
    <mergeCell ref="A2:T2"/>
    <mergeCell ref="A3:T3"/>
    <mergeCell ref="I6:T10"/>
    <mergeCell ref="D7:E7"/>
    <mergeCell ref="F7:G7"/>
    <mergeCell ref="D9:E9"/>
  </mergeCells>
  <conditionalFormatting sqref="B41 B51">
    <cfRule type="expression" dxfId="6" priority="1">
      <formula>$E41&lt;&gt;""</formula>
    </cfRule>
  </conditionalFormatting>
  <conditionalFormatting sqref="B36:B40">
    <cfRule type="expression" dxfId="6" priority="2">
      <formula>$E36&lt;&gt;""</formula>
    </cfRule>
  </conditionalFormatting>
  <conditionalFormatting sqref="B39">
    <cfRule type="expression" dxfId="6" priority="3">
      <formula>$E39&lt;&gt;""</formula>
    </cfRule>
  </conditionalFormatting>
  <conditionalFormatting sqref="B38">
    <cfRule type="expression" dxfId="6" priority="4">
      <formula>$E38&lt;&gt;""</formula>
    </cfRule>
  </conditionalFormatting>
  <conditionalFormatting sqref="B37">
    <cfRule type="expression" dxfId="6" priority="5">
      <formula>$E37&lt;&gt;""</formula>
    </cfRule>
  </conditionalFormatting>
  <conditionalFormatting sqref="B34:B36">
    <cfRule type="expression" dxfId="6" priority="6">
      <formula>$E34&lt;&gt;""</formula>
    </cfRule>
  </conditionalFormatting>
  <conditionalFormatting sqref="B32:B35">
    <cfRule type="expression" dxfId="6" priority="7">
      <formula>$E32&lt;&gt;""</formula>
    </cfRule>
  </conditionalFormatting>
  <conditionalFormatting sqref="B29:B32">
    <cfRule type="expression" dxfId="6" priority="8">
      <formula>$E29&lt;&gt;""</formula>
    </cfRule>
  </conditionalFormatting>
  <conditionalFormatting sqref="B30">
    <cfRule type="expression" dxfId="6" priority="9">
      <formula>$E30&lt;&gt;""</formula>
    </cfRule>
  </conditionalFormatting>
  <conditionalFormatting sqref="B29">
    <cfRule type="expression" dxfId="6" priority="10">
      <formula>$E29&lt;&gt;""</formula>
    </cfRule>
  </conditionalFormatting>
  <conditionalFormatting sqref="B28">
    <cfRule type="expression" dxfId="6" priority="11">
      <formula>$E28&lt;&gt;""</formula>
    </cfRule>
  </conditionalFormatting>
  <conditionalFormatting sqref="B27">
    <cfRule type="expression" dxfId="6" priority="12">
      <formula>$E27&lt;&gt;""</formula>
    </cfRule>
  </conditionalFormatting>
  <conditionalFormatting sqref="B25:B26">
    <cfRule type="expression" dxfId="6" priority="13">
      <formula>$E25&lt;&gt;""</formula>
    </cfRule>
  </conditionalFormatting>
  <conditionalFormatting sqref="B23:B25">
    <cfRule type="expression" dxfId="6" priority="14">
      <formula>$E23&lt;&gt;""</formula>
    </cfRule>
  </conditionalFormatting>
  <conditionalFormatting sqref="B22">
    <cfRule type="expression" dxfId="6" priority="15">
      <formula>$E22&lt;&gt;""</formula>
    </cfRule>
  </conditionalFormatting>
  <conditionalFormatting sqref="B21">
    <cfRule type="expression" dxfId="6" priority="16">
      <formula>$E21&lt;&gt;""</formula>
    </cfRule>
  </conditionalFormatting>
  <conditionalFormatting sqref="B20">
    <cfRule type="expression" dxfId="6" priority="17">
      <formula>$E20&lt;&gt;""</formula>
    </cfRule>
  </conditionalFormatting>
  <conditionalFormatting sqref="B19">
    <cfRule type="expression" dxfId="6" priority="18">
      <formula>$E19&lt;&gt;""</formula>
    </cfRule>
  </conditionalFormatting>
  <conditionalFormatting sqref="B18">
    <cfRule type="expression" dxfId="6" priority="19">
      <formula>$E18&lt;&gt;""</formula>
    </cfRule>
  </conditionalFormatting>
  <conditionalFormatting sqref="B17">
    <cfRule type="expression" dxfId="6" priority="20">
      <formula>$E17&lt;&gt;""</formula>
    </cfRule>
  </conditionalFormatting>
  <conditionalFormatting sqref="B16">
    <cfRule type="expression" dxfId="6" priority="21">
      <formula>$E16&lt;&gt;""</formula>
    </cfRule>
  </conditionalFormatting>
  <conditionalFormatting sqref="B15">
    <cfRule type="expression" dxfId="6" priority="22">
      <formula>$E15&lt;&gt;""</formula>
    </cfRule>
  </conditionalFormatting>
  <conditionalFormatting sqref="B14">
    <cfRule type="expression" dxfId="6" priority="23">
      <formula>$E14&lt;&gt;""</formula>
    </cfRule>
  </conditionalFormatting>
  <conditionalFormatting sqref="B13">
    <cfRule type="expression" dxfId="6" priority="24">
      <formula>$E13&lt;&gt;""</formula>
    </cfRule>
  </conditionalFormatting>
  <conditionalFormatting sqref="B41">
    <cfRule type="expression" dxfId="6" priority="25">
      <formula>$D41&lt;&gt;""</formula>
    </cfRule>
  </conditionalFormatting>
  <conditionalFormatting sqref="B40">
    <cfRule type="expression" dxfId="6" priority="26">
      <formula>$D40&lt;&gt;""</formula>
    </cfRule>
  </conditionalFormatting>
  <conditionalFormatting sqref="B39">
    <cfRule type="expression" dxfId="6" priority="27">
      <formula>$D39&lt;&gt;""</formula>
    </cfRule>
  </conditionalFormatting>
  <conditionalFormatting sqref="B38">
    <cfRule type="expression" dxfId="6" priority="28">
      <formula>$D38&lt;&gt;""</formula>
    </cfRule>
  </conditionalFormatting>
  <conditionalFormatting sqref="B37">
    <cfRule type="expression" dxfId="6" priority="29">
      <formula>$D37&lt;&gt;""</formula>
    </cfRule>
  </conditionalFormatting>
  <conditionalFormatting sqref="B36">
    <cfRule type="expression" dxfId="6" priority="30">
      <formula>$D36&lt;&gt;""</formula>
    </cfRule>
  </conditionalFormatting>
  <conditionalFormatting sqref="B35">
    <cfRule type="expression" dxfId="6" priority="31">
      <formula>$D35&lt;&gt;""</formula>
    </cfRule>
  </conditionalFormatting>
  <conditionalFormatting sqref="B34">
    <cfRule type="expression" dxfId="6" priority="32">
      <formula>$D34&lt;&gt;""</formula>
    </cfRule>
  </conditionalFormatting>
  <conditionalFormatting sqref="B33">
    <cfRule type="expression" dxfId="6" priority="33">
      <formula>$D33&lt;&gt;""</formula>
    </cfRule>
  </conditionalFormatting>
  <conditionalFormatting sqref="B31:B32">
    <cfRule type="expression" dxfId="6" priority="34">
      <formula>$D31&lt;&gt;""</formula>
    </cfRule>
  </conditionalFormatting>
  <conditionalFormatting sqref="B30">
    <cfRule type="expression" dxfId="6" priority="35">
      <formula>$D30&lt;&gt;""</formula>
    </cfRule>
  </conditionalFormatting>
  <conditionalFormatting sqref="B29">
    <cfRule type="expression" dxfId="6" priority="36">
      <formula>$D29&lt;&gt;""</formula>
    </cfRule>
  </conditionalFormatting>
  <conditionalFormatting sqref="B28">
    <cfRule type="expression" dxfId="6" priority="37">
      <formula>$D28&lt;&gt;""</formula>
    </cfRule>
  </conditionalFormatting>
  <conditionalFormatting sqref="B27">
    <cfRule type="expression" dxfId="6" priority="38">
      <formula>$D27&lt;&gt;""</formula>
    </cfRule>
  </conditionalFormatting>
  <conditionalFormatting sqref="B24:B26">
    <cfRule type="expression" dxfId="6" priority="39">
      <formula>$D24&lt;&gt;""</formula>
    </cfRule>
  </conditionalFormatting>
  <conditionalFormatting sqref="B25">
    <cfRule type="expression" dxfId="6" priority="40">
      <formula>$D25&lt;&gt;""</formula>
    </cfRule>
  </conditionalFormatting>
  <conditionalFormatting sqref="B24">
    <cfRule type="expression" dxfId="6" priority="41">
      <formula>$D24&lt;&gt;""</formula>
    </cfRule>
  </conditionalFormatting>
  <conditionalFormatting sqref="B23">
    <cfRule type="expression" dxfId="6" priority="42">
      <formula>$D23&lt;&gt;""</formula>
    </cfRule>
  </conditionalFormatting>
  <conditionalFormatting sqref="B22">
    <cfRule type="expression" dxfId="6" priority="43">
      <formula>$D22&lt;&gt;""</formula>
    </cfRule>
  </conditionalFormatting>
  <conditionalFormatting sqref="B21">
    <cfRule type="expression" dxfId="6" priority="44">
      <formula>$D21&lt;&gt;""</formula>
    </cfRule>
  </conditionalFormatting>
  <conditionalFormatting sqref="B19:B20">
    <cfRule type="expression" dxfId="6" priority="45">
      <formula>$D19&lt;&gt;""</formula>
    </cfRule>
  </conditionalFormatting>
  <conditionalFormatting sqref="B19">
    <cfRule type="expression" dxfId="6" priority="46">
      <formula>$D19&lt;&gt;""</formula>
    </cfRule>
  </conditionalFormatting>
  <conditionalFormatting sqref="B18">
    <cfRule type="expression" dxfId="6" priority="47">
      <formula>$D18&lt;&gt;""</formula>
    </cfRule>
  </conditionalFormatting>
  <conditionalFormatting sqref="B17">
    <cfRule type="expression" dxfId="6" priority="48">
      <formula>$D17&lt;&gt;""</formula>
    </cfRule>
  </conditionalFormatting>
  <conditionalFormatting sqref="B15:B16">
    <cfRule type="expression" dxfId="6" priority="49">
      <formula>$D15&lt;&gt;""</formula>
    </cfRule>
  </conditionalFormatting>
  <conditionalFormatting sqref="B15">
    <cfRule type="expression" dxfId="6" priority="50">
      <formula>$D15&lt;&gt;""</formula>
    </cfRule>
  </conditionalFormatting>
  <conditionalFormatting sqref="B13:B14">
    <cfRule type="expression" dxfId="6" priority="51">
      <formula>$D13&lt;&gt;""</formula>
    </cfRule>
  </conditionalFormatting>
  <printOptions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7" width="20.75"/>
    <col customWidth="1" min="18" max="18" width="14.25"/>
  </cols>
  <sheetData>
    <row r="1">
      <c r="A1" s="407" t="s">
        <v>1567</v>
      </c>
    </row>
    <row r="2">
      <c r="C2" s="408">
        <v>1.0</v>
      </c>
      <c r="D2" s="408">
        <v>2.0</v>
      </c>
      <c r="E2" s="408">
        <v>3.0</v>
      </c>
      <c r="F2" s="408">
        <v>4.0</v>
      </c>
      <c r="G2" s="408">
        <v>5.0</v>
      </c>
      <c r="H2" s="408">
        <v>6.0</v>
      </c>
      <c r="I2" s="408">
        <v>7.0</v>
      </c>
      <c r="J2" s="408">
        <v>8.0</v>
      </c>
      <c r="K2" s="408">
        <v>9.0</v>
      </c>
      <c r="L2" s="408">
        <v>10.0</v>
      </c>
      <c r="M2" s="408">
        <v>11.0</v>
      </c>
      <c r="N2" s="408">
        <v>12.0</v>
      </c>
      <c r="O2" s="408">
        <v>13.0</v>
      </c>
      <c r="P2" s="408">
        <v>14.0</v>
      </c>
      <c r="Q2" s="408">
        <v>15.0</v>
      </c>
      <c r="R2" s="408">
        <v>16.0</v>
      </c>
    </row>
    <row r="3">
      <c r="A3" s="408"/>
      <c r="B3" s="408" t="s">
        <v>144</v>
      </c>
      <c r="C3" s="151" t="str">
        <f t="shared" ref="C3:R3" si="1">SUMIFS('Minuta MTA 2025 GR3'!$AF:$AF,'Minuta MTA 2025 GR3'!$AH:$AH,C$2,'Minuta MTA 2025 GR3'!$T:$T,$B3,'Minuta MTA 2025 GR3'!$AC:$AC,"")</f>
        <v>#N/A</v>
      </c>
      <c r="D3" s="151" t="str">
        <f t="shared" si="1"/>
        <v>#N/A</v>
      </c>
      <c r="E3" s="151" t="str">
        <f t="shared" si="1"/>
        <v>#N/A</v>
      </c>
      <c r="F3" s="151" t="str">
        <f t="shared" si="1"/>
        <v>#N/A</v>
      </c>
      <c r="G3" s="151" t="str">
        <f t="shared" si="1"/>
        <v>#N/A</v>
      </c>
      <c r="H3" s="151" t="str">
        <f t="shared" si="1"/>
        <v>#N/A</v>
      </c>
      <c r="I3" s="151" t="str">
        <f t="shared" si="1"/>
        <v>#N/A</v>
      </c>
      <c r="J3" s="151" t="str">
        <f t="shared" si="1"/>
        <v>#N/A</v>
      </c>
      <c r="K3" s="151" t="str">
        <f t="shared" si="1"/>
        <v>#N/A</v>
      </c>
      <c r="L3" s="151" t="str">
        <f t="shared" si="1"/>
        <v>#N/A</v>
      </c>
      <c r="M3" s="151" t="str">
        <f t="shared" si="1"/>
        <v>#N/A</v>
      </c>
      <c r="N3" s="151" t="str">
        <f t="shared" si="1"/>
        <v>#N/A</v>
      </c>
      <c r="O3" s="151" t="str">
        <f t="shared" si="1"/>
        <v>#N/A</v>
      </c>
      <c r="P3" s="151" t="str">
        <f t="shared" si="1"/>
        <v>#N/A</v>
      </c>
      <c r="Q3" s="151" t="str">
        <f t="shared" si="1"/>
        <v>#N/A</v>
      </c>
      <c r="R3" s="151" t="str">
        <f t="shared" si="1"/>
        <v>#N/A</v>
      </c>
    </row>
    <row r="4">
      <c r="A4" s="408"/>
      <c r="B4" s="408" t="s">
        <v>145</v>
      </c>
      <c r="C4" s="151" t="str">
        <f t="shared" ref="C4:R4" si="2">SUMIFS('Minuta MTA 2025 GR3'!$AF:$AF,'Minuta MTA 2025 GR3'!$AH:$AH,C$2,'Minuta MTA 2025 GR3'!$T:$T,$B4,'Minuta MTA 2025 GR3'!$AC:$AC,"")</f>
        <v>#N/A</v>
      </c>
      <c r="D4" s="151" t="str">
        <f t="shared" si="2"/>
        <v>#N/A</v>
      </c>
      <c r="E4" s="151" t="str">
        <f t="shared" si="2"/>
        <v>#N/A</v>
      </c>
      <c r="F4" s="151" t="str">
        <f t="shared" si="2"/>
        <v>#N/A</v>
      </c>
      <c r="G4" s="151" t="str">
        <f t="shared" si="2"/>
        <v>#N/A</v>
      </c>
      <c r="H4" s="151" t="str">
        <f t="shared" si="2"/>
        <v>#N/A</v>
      </c>
      <c r="I4" s="151" t="str">
        <f t="shared" si="2"/>
        <v>#N/A</v>
      </c>
      <c r="J4" s="151" t="str">
        <f t="shared" si="2"/>
        <v>#N/A</v>
      </c>
      <c r="K4" s="151" t="str">
        <f t="shared" si="2"/>
        <v>#N/A</v>
      </c>
      <c r="L4" s="151" t="str">
        <f t="shared" si="2"/>
        <v>#N/A</v>
      </c>
      <c r="M4" s="151" t="str">
        <f t="shared" si="2"/>
        <v>#N/A</v>
      </c>
      <c r="N4" s="151" t="str">
        <f t="shared" si="2"/>
        <v>#N/A</v>
      </c>
      <c r="O4" s="151" t="str">
        <f t="shared" si="2"/>
        <v>#N/A</v>
      </c>
      <c r="P4" s="151" t="str">
        <f t="shared" si="2"/>
        <v>#N/A</v>
      </c>
      <c r="Q4" s="151" t="str">
        <f t="shared" si="2"/>
        <v>#N/A</v>
      </c>
      <c r="R4" s="151" t="str">
        <f t="shared" si="2"/>
        <v>#N/A</v>
      </c>
    </row>
    <row r="5">
      <c r="A5" s="408"/>
      <c r="B5" s="408" t="s">
        <v>146</v>
      </c>
      <c r="C5" s="151" t="str">
        <f t="shared" ref="C5:R5" si="3">SUMIFS('Minuta MTA 2025 GR3'!$AF:$AF,'Minuta MTA 2025 GR3'!$AH:$AH,C$2,'Minuta MTA 2025 GR3'!$T:$T,$B5,'Minuta MTA 2025 GR3'!$AC:$AC,"")</f>
        <v>#N/A</v>
      </c>
      <c r="D5" s="151" t="str">
        <f t="shared" si="3"/>
        <v>#N/A</v>
      </c>
      <c r="E5" s="151" t="str">
        <f t="shared" si="3"/>
        <v>#N/A</v>
      </c>
      <c r="F5" s="151" t="str">
        <f t="shared" si="3"/>
        <v>#N/A</v>
      </c>
      <c r="G5" s="151" t="str">
        <f t="shared" si="3"/>
        <v>#N/A</v>
      </c>
      <c r="H5" s="151" t="str">
        <f t="shared" si="3"/>
        <v>#N/A</v>
      </c>
      <c r="I5" s="151" t="str">
        <f t="shared" si="3"/>
        <v>#N/A</v>
      </c>
      <c r="J5" s="151" t="str">
        <f t="shared" si="3"/>
        <v>#N/A</v>
      </c>
      <c r="K5" s="151" t="str">
        <f t="shared" si="3"/>
        <v>#N/A</v>
      </c>
      <c r="L5" s="151" t="str">
        <f t="shared" si="3"/>
        <v>#N/A</v>
      </c>
      <c r="M5" s="151" t="str">
        <f t="shared" si="3"/>
        <v>#N/A</v>
      </c>
      <c r="N5" s="151" t="str">
        <f t="shared" si="3"/>
        <v>#N/A</v>
      </c>
      <c r="O5" s="151" t="str">
        <f t="shared" si="3"/>
        <v>#N/A</v>
      </c>
      <c r="P5" s="151" t="str">
        <f t="shared" si="3"/>
        <v>#N/A</v>
      </c>
      <c r="Q5" s="151" t="str">
        <f t="shared" si="3"/>
        <v>#N/A</v>
      </c>
      <c r="R5" s="151" t="str">
        <f t="shared" si="3"/>
        <v>#N/A</v>
      </c>
    </row>
    <row r="6">
      <c r="A6" s="408"/>
      <c r="B6" s="408" t="s">
        <v>147</v>
      </c>
      <c r="C6" s="151" t="str">
        <f t="shared" ref="C6:R6" si="4">SUMIFS('Minuta MTA 2025 GR3'!$AF:$AF,'Minuta MTA 2025 GR3'!$AH:$AH,C$2,'Minuta MTA 2025 GR3'!$T:$T,$B6,'Minuta MTA 2025 GR3'!$AC:$AC,"")</f>
        <v>#N/A</v>
      </c>
      <c r="D6" s="151" t="str">
        <f t="shared" si="4"/>
        <v>#N/A</v>
      </c>
      <c r="E6" s="151" t="str">
        <f t="shared" si="4"/>
        <v>#N/A</v>
      </c>
      <c r="F6" s="151" t="str">
        <f t="shared" si="4"/>
        <v>#N/A</v>
      </c>
      <c r="G6" s="151" t="str">
        <f t="shared" si="4"/>
        <v>#N/A</v>
      </c>
      <c r="H6" s="151" t="str">
        <f t="shared" si="4"/>
        <v>#N/A</v>
      </c>
      <c r="I6" s="151" t="str">
        <f t="shared" si="4"/>
        <v>#N/A</v>
      </c>
      <c r="J6" s="151" t="str">
        <f t="shared" si="4"/>
        <v>#N/A</v>
      </c>
      <c r="K6" s="151" t="str">
        <f t="shared" si="4"/>
        <v>#N/A</v>
      </c>
      <c r="L6" s="151" t="str">
        <f t="shared" si="4"/>
        <v>#N/A</v>
      </c>
      <c r="M6" s="151" t="str">
        <f t="shared" si="4"/>
        <v>#N/A</v>
      </c>
      <c r="N6" s="151" t="str">
        <f t="shared" si="4"/>
        <v>#N/A</v>
      </c>
      <c r="O6" s="151" t="str">
        <f t="shared" si="4"/>
        <v>#N/A</v>
      </c>
      <c r="P6" s="151" t="str">
        <f t="shared" si="4"/>
        <v>#N/A</v>
      </c>
      <c r="Q6" s="151" t="str">
        <f t="shared" si="4"/>
        <v>#N/A</v>
      </c>
      <c r="R6" s="151" t="str">
        <f t="shared" si="4"/>
        <v>#N/A</v>
      </c>
    </row>
    <row r="7">
      <c r="A7" s="409" t="s">
        <v>169</v>
      </c>
      <c r="B7" s="408" t="s">
        <v>144</v>
      </c>
      <c r="C7" s="151" t="str">
        <f t="shared" ref="C7:R7" si="5">SUMIFS('Minuta MTA 2025 GR3'!$AF:$AF,'Minuta MTA 2025 GR3'!$AH:$AH,C$2,'Minuta MTA 2025 GR3'!$T:$T,$B7,'Minuta MTA 2025 GR3'!$AC:$AC,"&lt;&gt;")</f>
        <v>#N/A</v>
      </c>
      <c r="D7" s="151" t="str">
        <f t="shared" si="5"/>
        <v>#N/A</v>
      </c>
      <c r="E7" s="151" t="str">
        <f t="shared" si="5"/>
        <v>#N/A</v>
      </c>
      <c r="F7" s="151" t="str">
        <f t="shared" si="5"/>
        <v>#N/A</v>
      </c>
      <c r="G7" s="151" t="str">
        <f t="shared" si="5"/>
        <v>#N/A</v>
      </c>
      <c r="H7" s="151" t="str">
        <f t="shared" si="5"/>
        <v>#N/A</v>
      </c>
      <c r="I7" s="151" t="str">
        <f t="shared" si="5"/>
        <v>#N/A</v>
      </c>
      <c r="J7" s="151" t="str">
        <f t="shared" si="5"/>
        <v>#N/A</v>
      </c>
      <c r="K7" s="151" t="str">
        <f t="shared" si="5"/>
        <v>#N/A</v>
      </c>
      <c r="L7" s="151" t="str">
        <f t="shared" si="5"/>
        <v>#N/A</v>
      </c>
      <c r="M7" s="151" t="str">
        <f t="shared" si="5"/>
        <v>#N/A</v>
      </c>
      <c r="N7" s="151" t="str">
        <f t="shared" si="5"/>
        <v>#N/A</v>
      </c>
      <c r="O7" s="151" t="str">
        <f t="shared" si="5"/>
        <v>#N/A</v>
      </c>
      <c r="P7" s="151" t="str">
        <f t="shared" si="5"/>
        <v>#N/A</v>
      </c>
      <c r="Q7" s="151" t="str">
        <f t="shared" si="5"/>
        <v>#N/A</v>
      </c>
      <c r="R7" s="151" t="str">
        <f t="shared" si="5"/>
        <v>#N/A</v>
      </c>
    </row>
    <row r="8">
      <c r="B8" s="408" t="s">
        <v>145</v>
      </c>
      <c r="C8" s="151" t="str">
        <f t="shared" ref="C8:R8" si="6">SUMIFS('Minuta MTA 2025 GR3'!$AF:$AF,'Minuta MTA 2025 GR3'!$AH:$AH,C$2,'Minuta MTA 2025 GR3'!$T:$T,$B8,'Minuta MTA 2025 GR3'!$AC:$AC,"&lt;&gt;")</f>
        <v>#N/A</v>
      </c>
      <c r="D8" s="151" t="str">
        <f t="shared" si="6"/>
        <v>#N/A</v>
      </c>
      <c r="E8" s="151" t="str">
        <f t="shared" si="6"/>
        <v>#N/A</v>
      </c>
      <c r="F8" s="151" t="str">
        <f t="shared" si="6"/>
        <v>#N/A</v>
      </c>
      <c r="G8" s="151" t="str">
        <f t="shared" si="6"/>
        <v>#N/A</v>
      </c>
      <c r="H8" s="151" t="str">
        <f t="shared" si="6"/>
        <v>#N/A</v>
      </c>
      <c r="I8" s="151" t="str">
        <f t="shared" si="6"/>
        <v>#N/A</v>
      </c>
      <c r="J8" s="151" t="str">
        <f t="shared" si="6"/>
        <v>#N/A</v>
      </c>
      <c r="K8" s="151" t="str">
        <f t="shared" si="6"/>
        <v>#N/A</v>
      </c>
      <c r="L8" s="151" t="str">
        <f t="shared" si="6"/>
        <v>#N/A</v>
      </c>
      <c r="M8" s="151" t="str">
        <f t="shared" si="6"/>
        <v>#N/A</v>
      </c>
      <c r="N8" s="151" t="str">
        <f t="shared" si="6"/>
        <v>#N/A</v>
      </c>
      <c r="O8" s="151" t="str">
        <f t="shared" si="6"/>
        <v>#N/A</v>
      </c>
      <c r="P8" s="151" t="str">
        <f t="shared" si="6"/>
        <v>#N/A</v>
      </c>
      <c r="Q8" s="151" t="str">
        <f t="shared" si="6"/>
        <v>#N/A</v>
      </c>
      <c r="R8" s="151" t="str">
        <f t="shared" si="6"/>
        <v>#N/A</v>
      </c>
    </row>
    <row r="9">
      <c r="B9" s="408" t="s">
        <v>146</v>
      </c>
      <c r="C9" s="151" t="str">
        <f t="shared" ref="C9:R9" si="7">SUMIFS('Minuta MTA 2025 GR3'!$AF:$AF,'Minuta MTA 2025 GR3'!$AH:$AH,C$2,'Minuta MTA 2025 GR3'!$T:$T,$B9,'Minuta MTA 2025 GR3'!$AC:$AC,"&lt;&gt;")</f>
        <v>#N/A</v>
      </c>
      <c r="D9" s="151" t="str">
        <f t="shared" si="7"/>
        <v>#N/A</v>
      </c>
      <c r="E9" s="151" t="str">
        <f t="shared" si="7"/>
        <v>#N/A</v>
      </c>
      <c r="F9" s="151" t="str">
        <f t="shared" si="7"/>
        <v>#N/A</v>
      </c>
      <c r="G9" s="151" t="str">
        <f t="shared" si="7"/>
        <v>#N/A</v>
      </c>
      <c r="H9" s="151" t="str">
        <f t="shared" si="7"/>
        <v>#N/A</v>
      </c>
      <c r="I9" s="151" t="str">
        <f t="shared" si="7"/>
        <v>#N/A</v>
      </c>
      <c r="J9" s="151" t="str">
        <f t="shared" si="7"/>
        <v>#N/A</v>
      </c>
      <c r="K9" s="151" t="str">
        <f t="shared" si="7"/>
        <v>#N/A</v>
      </c>
      <c r="L9" s="151" t="str">
        <f t="shared" si="7"/>
        <v>#N/A</v>
      </c>
      <c r="M9" s="151" t="str">
        <f t="shared" si="7"/>
        <v>#N/A</v>
      </c>
      <c r="N9" s="151" t="str">
        <f t="shared" si="7"/>
        <v>#N/A</v>
      </c>
      <c r="O9" s="151" t="str">
        <f t="shared" si="7"/>
        <v>#N/A</v>
      </c>
      <c r="P9" s="151" t="str">
        <f t="shared" si="7"/>
        <v>#N/A</v>
      </c>
      <c r="Q9" s="151" t="str">
        <f t="shared" si="7"/>
        <v>#N/A</v>
      </c>
      <c r="R9" s="151" t="str">
        <f t="shared" si="7"/>
        <v>#N/A</v>
      </c>
    </row>
    <row r="10">
      <c r="B10" s="408" t="s">
        <v>147</v>
      </c>
      <c r="C10" s="151" t="str">
        <f t="shared" ref="C10:R10" si="8">SUMIFS('Minuta MTA 2025 GR3'!$AF:$AF,'Minuta MTA 2025 GR3'!$AH:$AH,C$2,'Minuta MTA 2025 GR3'!$T:$T,$B10,'Minuta MTA 2025 GR3'!$AC:$AC,"&lt;&gt;")</f>
        <v>#N/A</v>
      </c>
      <c r="D10" s="151" t="str">
        <f t="shared" si="8"/>
        <v>#N/A</v>
      </c>
      <c r="E10" s="151" t="str">
        <f t="shared" si="8"/>
        <v>#N/A</v>
      </c>
      <c r="F10" s="151" t="str">
        <f t="shared" si="8"/>
        <v>#N/A</v>
      </c>
      <c r="G10" s="151" t="str">
        <f t="shared" si="8"/>
        <v>#N/A</v>
      </c>
      <c r="H10" s="151" t="str">
        <f t="shared" si="8"/>
        <v>#N/A</v>
      </c>
      <c r="I10" s="151" t="str">
        <f t="shared" si="8"/>
        <v>#N/A</v>
      </c>
      <c r="J10" s="151" t="str">
        <f t="shared" si="8"/>
        <v>#N/A</v>
      </c>
      <c r="K10" s="151" t="str">
        <f t="shared" si="8"/>
        <v>#N/A</v>
      </c>
      <c r="L10" s="151" t="str">
        <f t="shared" si="8"/>
        <v>#N/A</v>
      </c>
      <c r="M10" s="151" t="str">
        <f t="shared" si="8"/>
        <v>#N/A</v>
      </c>
      <c r="N10" s="151" t="str">
        <f t="shared" si="8"/>
        <v>#N/A</v>
      </c>
      <c r="O10" s="151" t="str">
        <f t="shared" si="8"/>
        <v>#N/A</v>
      </c>
      <c r="P10" s="151" t="str">
        <f t="shared" si="8"/>
        <v>#N/A</v>
      </c>
      <c r="Q10" s="151" t="str">
        <f t="shared" si="8"/>
        <v>#N/A</v>
      </c>
      <c r="R10" s="151" t="str">
        <f t="shared" si="8"/>
        <v>#N/A</v>
      </c>
    </row>
    <row r="11">
      <c r="A11" s="120"/>
      <c r="B11" s="410" t="s">
        <v>95</v>
      </c>
      <c r="C11" s="410" t="str">
        <f t="shared" ref="C11:R11" si="9">SUM(C3:C10)</f>
        <v>#N/A</v>
      </c>
      <c r="D11" s="410" t="str">
        <f t="shared" si="9"/>
        <v>#N/A</v>
      </c>
      <c r="E11" s="410" t="str">
        <f t="shared" si="9"/>
        <v>#N/A</v>
      </c>
      <c r="F11" s="410" t="str">
        <f t="shared" si="9"/>
        <v>#N/A</v>
      </c>
      <c r="G11" s="410" t="str">
        <f t="shared" si="9"/>
        <v>#N/A</v>
      </c>
      <c r="H11" s="410" t="str">
        <f t="shared" si="9"/>
        <v>#N/A</v>
      </c>
      <c r="I11" s="410" t="str">
        <f t="shared" si="9"/>
        <v>#N/A</v>
      </c>
      <c r="J11" s="410" t="str">
        <f t="shared" si="9"/>
        <v>#N/A</v>
      </c>
      <c r="K11" s="410" t="str">
        <f t="shared" si="9"/>
        <v>#N/A</v>
      </c>
      <c r="L11" s="410" t="str">
        <f t="shared" si="9"/>
        <v>#N/A</v>
      </c>
      <c r="M11" s="410" t="str">
        <f t="shared" si="9"/>
        <v>#N/A</v>
      </c>
      <c r="N11" s="410" t="str">
        <f t="shared" si="9"/>
        <v>#N/A</v>
      </c>
      <c r="O11" s="410" t="str">
        <f t="shared" si="9"/>
        <v>#N/A</v>
      </c>
      <c r="P11" s="410" t="str">
        <f t="shared" si="9"/>
        <v>#N/A</v>
      </c>
      <c r="Q11" s="410" t="str">
        <f t="shared" si="9"/>
        <v>#N/A</v>
      </c>
      <c r="R11" s="410" t="str">
        <f t="shared" si="9"/>
        <v>#N/A</v>
      </c>
      <c r="S11" s="120"/>
      <c r="T11" s="120"/>
      <c r="U11" s="120"/>
      <c r="V11" s="120"/>
      <c r="W11" s="120"/>
      <c r="X11" s="120"/>
      <c r="Y11" s="120"/>
      <c r="Z11" s="120"/>
      <c r="AA11" s="120"/>
    </row>
    <row r="12">
      <c r="A12" s="407" t="s">
        <v>1568</v>
      </c>
    </row>
    <row r="13">
      <c r="C13" s="408">
        <v>1.0</v>
      </c>
      <c r="D13" s="408">
        <v>2.0</v>
      </c>
      <c r="E13" s="408">
        <v>3.0</v>
      </c>
      <c r="F13" s="408">
        <v>4.0</v>
      </c>
      <c r="G13" s="408">
        <v>5.0</v>
      </c>
      <c r="H13" s="408">
        <v>6.0</v>
      </c>
      <c r="I13" s="408">
        <v>7.0</v>
      </c>
      <c r="J13" s="408">
        <v>8.0</v>
      </c>
      <c r="K13" s="408">
        <v>9.0</v>
      </c>
      <c r="L13" s="408">
        <v>10.0</v>
      </c>
      <c r="M13" s="408">
        <v>11.0</v>
      </c>
      <c r="N13" s="408">
        <v>12.0</v>
      </c>
    </row>
    <row r="14">
      <c r="A14" s="408"/>
      <c r="B14" s="408" t="s">
        <v>144</v>
      </c>
      <c r="C14" s="151" t="str">
        <f t="shared" ref="C14:N14" si="10">SUMIFS('Minuta MTA 2025 GR3'!$AF:$AF,'Minuta MTA 2025 GR3'!$AG:$AG,C$2,'Minuta MTA 2025 GR3'!$T:$T,$B14,'Minuta MTA 2025 GR3'!$AC:$AC,"")</f>
        <v>#N/A</v>
      </c>
      <c r="D14" s="151" t="str">
        <f t="shared" si="10"/>
        <v>#N/A</v>
      </c>
      <c r="E14" s="151" t="str">
        <f t="shared" si="10"/>
        <v>#N/A</v>
      </c>
      <c r="F14" s="151" t="str">
        <f t="shared" si="10"/>
        <v>#N/A</v>
      </c>
      <c r="G14" s="151" t="str">
        <f t="shared" si="10"/>
        <v>#N/A</v>
      </c>
      <c r="H14" s="151" t="str">
        <f t="shared" si="10"/>
        <v>#N/A</v>
      </c>
      <c r="I14" s="151" t="str">
        <f t="shared" si="10"/>
        <v>#N/A</v>
      </c>
      <c r="J14" s="151" t="str">
        <f t="shared" si="10"/>
        <v>#N/A</v>
      </c>
      <c r="K14" s="151" t="str">
        <f t="shared" si="10"/>
        <v>#N/A</v>
      </c>
      <c r="L14" s="151" t="str">
        <f t="shared" si="10"/>
        <v>#N/A</v>
      </c>
      <c r="M14" s="151" t="str">
        <f t="shared" si="10"/>
        <v>#N/A</v>
      </c>
      <c r="N14" s="151" t="str">
        <f t="shared" si="10"/>
        <v>#N/A</v>
      </c>
    </row>
    <row r="15">
      <c r="A15" s="408"/>
      <c r="B15" s="408" t="s">
        <v>145</v>
      </c>
      <c r="C15" s="151" t="str">
        <f t="shared" ref="C15:N15" si="11">SUMIFS('Minuta MTA 2025 GR3'!$AF:$AF,'Minuta MTA 2025 GR3'!$AG:$AG,C$2,'Minuta MTA 2025 GR3'!$T:$T,$B15,'Minuta MTA 2025 GR3'!$AC:$AC,"")</f>
        <v>#N/A</v>
      </c>
      <c r="D15" s="151" t="str">
        <f t="shared" si="11"/>
        <v>#N/A</v>
      </c>
      <c r="E15" s="151" t="str">
        <f t="shared" si="11"/>
        <v>#N/A</v>
      </c>
      <c r="F15" s="151" t="str">
        <f t="shared" si="11"/>
        <v>#N/A</v>
      </c>
      <c r="G15" s="151" t="str">
        <f t="shared" si="11"/>
        <v>#N/A</v>
      </c>
      <c r="H15" s="151" t="str">
        <f t="shared" si="11"/>
        <v>#N/A</v>
      </c>
      <c r="I15" s="151" t="str">
        <f t="shared" si="11"/>
        <v>#N/A</v>
      </c>
      <c r="J15" s="151" t="str">
        <f t="shared" si="11"/>
        <v>#N/A</v>
      </c>
      <c r="K15" s="151" t="str">
        <f t="shared" si="11"/>
        <v>#N/A</v>
      </c>
      <c r="L15" s="151" t="str">
        <f t="shared" si="11"/>
        <v>#N/A</v>
      </c>
      <c r="M15" s="151" t="str">
        <f t="shared" si="11"/>
        <v>#N/A</v>
      </c>
      <c r="N15" s="151" t="str">
        <f t="shared" si="11"/>
        <v>#N/A</v>
      </c>
    </row>
    <row r="16">
      <c r="A16" s="408"/>
      <c r="B16" s="408" t="s">
        <v>146</v>
      </c>
      <c r="C16" s="151" t="str">
        <f t="shared" ref="C16:N16" si="12">SUMIFS('Minuta MTA 2025 GR3'!$AF:$AF,'Minuta MTA 2025 GR3'!$AG:$AG,C$2,'Minuta MTA 2025 GR3'!$T:$T,$B16,'Minuta MTA 2025 GR3'!$AC:$AC,"")</f>
        <v>#N/A</v>
      </c>
      <c r="D16" s="151" t="str">
        <f t="shared" si="12"/>
        <v>#N/A</v>
      </c>
      <c r="E16" s="151" t="str">
        <f t="shared" si="12"/>
        <v>#N/A</v>
      </c>
      <c r="F16" s="151" t="str">
        <f t="shared" si="12"/>
        <v>#N/A</v>
      </c>
      <c r="G16" s="151" t="str">
        <f t="shared" si="12"/>
        <v>#N/A</v>
      </c>
      <c r="H16" s="151" t="str">
        <f t="shared" si="12"/>
        <v>#N/A</v>
      </c>
      <c r="I16" s="151" t="str">
        <f t="shared" si="12"/>
        <v>#N/A</v>
      </c>
      <c r="J16" s="151" t="str">
        <f t="shared" si="12"/>
        <v>#N/A</v>
      </c>
      <c r="K16" s="151" t="str">
        <f t="shared" si="12"/>
        <v>#N/A</v>
      </c>
      <c r="L16" s="151" t="str">
        <f t="shared" si="12"/>
        <v>#N/A</v>
      </c>
      <c r="M16" s="151" t="str">
        <f t="shared" si="12"/>
        <v>#N/A</v>
      </c>
      <c r="N16" s="151" t="str">
        <f t="shared" si="12"/>
        <v>#N/A</v>
      </c>
    </row>
    <row r="17">
      <c r="A17" s="408"/>
      <c r="B17" s="408" t="s">
        <v>147</v>
      </c>
      <c r="C17" s="151" t="str">
        <f t="shared" ref="C17:N17" si="13">SUMIFS('Minuta MTA 2025 GR3'!$AF:$AF,'Minuta MTA 2025 GR3'!$AG:$AG,C$2,'Minuta MTA 2025 GR3'!$T:$T,$B17,'Minuta MTA 2025 GR3'!$AC:$AC,"")</f>
        <v>#N/A</v>
      </c>
      <c r="D17" s="151" t="str">
        <f t="shared" si="13"/>
        <v>#N/A</v>
      </c>
      <c r="E17" s="151" t="str">
        <f t="shared" si="13"/>
        <v>#N/A</v>
      </c>
      <c r="F17" s="151" t="str">
        <f t="shared" si="13"/>
        <v>#N/A</v>
      </c>
      <c r="G17" s="151" t="str">
        <f t="shared" si="13"/>
        <v>#N/A</v>
      </c>
      <c r="H17" s="151" t="str">
        <f t="shared" si="13"/>
        <v>#N/A</v>
      </c>
      <c r="I17" s="151" t="str">
        <f t="shared" si="13"/>
        <v>#N/A</v>
      </c>
      <c r="J17" s="151" t="str">
        <f t="shared" si="13"/>
        <v>#N/A</v>
      </c>
      <c r="K17" s="151" t="str">
        <f t="shared" si="13"/>
        <v>#N/A</v>
      </c>
      <c r="L17" s="151" t="str">
        <f t="shared" si="13"/>
        <v>#N/A</v>
      </c>
      <c r="M17" s="151" t="str">
        <f t="shared" si="13"/>
        <v>#N/A</v>
      </c>
      <c r="N17" s="151" t="str">
        <f t="shared" si="13"/>
        <v>#N/A</v>
      </c>
    </row>
    <row r="18">
      <c r="A18" s="409" t="s">
        <v>169</v>
      </c>
      <c r="B18" s="408" t="s">
        <v>144</v>
      </c>
      <c r="C18" s="173" t="str">
        <f t="shared" ref="C18:N18" si="14">SUMIFS('Minuta MTA 2025 GR3'!$AF:$AF,'Minuta MTA 2025 GR3'!$AG:$AG,C$2,'Minuta MTA 2025 GR3'!$T:$T,$B18,'Minuta MTA 2025 GR3'!$AC:$AC,"&lt;&gt;")</f>
        <v>#N/A</v>
      </c>
      <c r="D18" s="173" t="str">
        <f t="shared" si="14"/>
        <v>#N/A</v>
      </c>
      <c r="E18" s="173" t="str">
        <f t="shared" si="14"/>
        <v>#N/A</v>
      </c>
      <c r="F18" s="173" t="str">
        <f t="shared" si="14"/>
        <v>#N/A</v>
      </c>
      <c r="G18" s="173" t="str">
        <f t="shared" si="14"/>
        <v>#N/A</v>
      </c>
      <c r="H18" s="173" t="str">
        <f t="shared" si="14"/>
        <v>#N/A</v>
      </c>
      <c r="I18" s="173" t="str">
        <f t="shared" si="14"/>
        <v>#N/A</v>
      </c>
      <c r="J18" s="173" t="str">
        <f t="shared" si="14"/>
        <v>#N/A</v>
      </c>
      <c r="K18" s="173" t="str">
        <f t="shared" si="14"/>
        <v>#N/A</v>
      </c>
      <c r="L18" s="173" t="str">
        <f t="shared" si="14"/>
        <v>#N/A</v>
      </c>
      <c r="M18" s="173" t="str">
        <f t="shared" si="14"/>
        <v>#N/A</v>
      </c>
      <c r="N18" s="173" t="str">
        <f t="shared" si="14"/>
        <v>#N/A</v>
      </c>
    </row>
    <row r="19">
      <c r="B19" s="408" t="s">
        <v>145</v>
      </c>
      <c r="C19" s="173" t="str">
        <f t="shared" ref="C19:N19" si="15">SUMIFS('Minuta MTA 2025 GR3'!$AF:$AF,'Minuta MTA 2025 GR3'!$AG:$AG,C$2,'Minuta MTA 2025 GR3'!$T:$T,$B19,'Minuta MTA 2025 GR3'!$AC:$AC,"&lt;&gt;")</f>
        <v>#N/A</v>
      </c>
      <c r="D19" s="173" t="str">
        <f t="shared" si="15"/>
        <v>#N/A</v>
      </c>
      <c r="E19" s="173" t="str">
        <f t="shared" si="15"/>
        <v>#N/A</v>
      </c>
      <c r="F19" s="173" t="str">
        <f t="shared" si="15"/>
        <v>#N/A</v>
      </c>
      <c r="G19" s="173" t="str">
        <f t="shared" si="15"/>
        <v>#N/A</v>
      </c>
      <c r="H19" s="173" t="str">
        <f t="shared" si="15"/>
        <v>#N/A</v>
      </c>
      <c r="I19" s="173" t="str">
        <f t="shared" si="15"/>
        <v>#N/A</v>
      </c>
      <c r="J19" s="173" t="str">
        <f t="shared" si="15"/>
        <v>#N/A</v>
      </c>
      <c r="K19" s="173" t="str">
        <f t="shared" si="15"/>
        <v>#N/A</v>
      </c>
      <c r="L19" s="173" t="str">
        <f t="shared" si="15"/>
        <v>#N/A</v>
      </c>
      <c r="M19" s="173" t="str">
        <f t="shared" si="15"/>
        <v>#N/A</v>
      </c>
      <c r="N19" s="173" t="str">
        <f t="shared" si="15"/>
        <v>#N/A</v>
      </c>
    </row>
    <row r="20">
      <c r="B20" s="408" t="s">
        <v>146</v>
      </c>
      <c r="C20" s="173" t="str">
        <f t="shared" ref="C20:N20" si="16">SUMIFS('Minuta MTA 2025 GR3'!$AF:$AF,'Minuta MTA 2025 GR3'!$AG:$AG,C$2,'Minuta MTA 2025 GR3'!$T:$T,$B20,'Minuta MTA 2025 GR3'!$AC:$AC,"&lt;&gt;")</f>
        <v>#N/A</v>
      </c>
      <c r="D20" s="173" t="str">
        <f t="shared" si="16"/>
        <v>#N/A</v>
      </c>
      <c r="E20" s="173" t="str">
        <f t="shared" si="16"/>
        <v>#N/A</v>
      </c>
      <c r="F20" s="173" t="str">
        <f t="shared" si="16"/>
        <v>#N/A</v>
      </c>
      <c r="G20" s="173" t="str">
        <f t="shared" si="16"/>
        <v>#N/A</v>
      </c>
      <c r="H20" s="173" t="str">
        <f t="shared" si="16"/>
        <v>#N/A</v>
      </c>
      <c r="I20" s="173" t="str">
        <f t="shared" si="16"/>
        <v>#N/A</v>
      </c>
      <c r="J20" s="173" t="str">
        <f t="shared" si="16"/>
        <v>#N/A</v>
      </c>
      <c r="K20" s="173" t="str">
        <f t="shared" si="16"/>
        <v>#N/A</v>
      </c>
      <c r="L20" s="173" t="str">
        <f t="shared" si="16"/>
        <v>#N/A</v>
      </c>
      <c r="M20" s="173" t="str">
        <f t="shared" si="16"/>
        <v>#N/A</v>
      </c>
      <c r="N20" s="173" t="str">
        <f t="shared" si="16"/>
        <v>#N/A</v>
      </c>
    </row>
    <row r="21">
      <c r="B21" s="408" t="s">
        <v>147</v>
      </c>
      <c r="C21" s="173" t="str">
        <f t="shared" ref="C21:N21" si="17">SUMIFS('Minuta MTA 2025 GR3'!$AF:$AF,'Minuta MTA 2025 GR3'!$AG:$AG,C$2,'Minuta MTA 2025 GR3'!$T:$T,$B21,'Minuta MTA 2025 GR3'!$AC:$AC,"&lt;&gt;")</f>
        <v>#N/A</v>
      </c>
      <c r="D21" s="173" t="str">
        <f t="shared" si="17"/>
        <v>#N/A</v>
      </c>
      <c r="E21" s="173" t="str">
        <f t="shared" si="17"/>
        <v>#N/A</v>
      </c>
      <c r="F21" s="173" t="str">
        <f t="shared" si="17"/>
        <v>#N/A</v>
      </c>
      <c r="G21" s="173" t="str">
        <f t="shared" si="17"/>
        <v>#N/A</v>
      </c>
      <c r="H21" s="173" t="str">
        <f t="shared" si="17"/>
        <v>#N/A</v>
      </c>
      <c r="I21" s="173" t="str">
        <f t="shared" si="17"/>
        <v>#N/A</v>
      </c>
      <c r="J21" s="173" t="str">
        <f t="shared" si="17"/>
        <v>#N/A</v>
      </c>
      <c r="K21" s="173" t="str">
        <f t="shared" si="17"/>
        <v>#N/A</v>
      </c>
      <c r="L21" s="173" t="str">
        <f t="shared" si="17"/>
        <v>#N/A</v>
      </c>
      <c r="M21" s="173" t="str">
        <f t="shared" si="17"/>
        <v>#N/A</v>
      </c>
      <c r="N21" s="173" t="str">
        <f t="shared" si="17"/>
        <v>#N/A</v>
      </c>
    </row>
    <row r="95">
      <c r="C95" s="408">
        <v>1.0</v>
      </c>
      <c r="D95" s="408">
        <v>2.0</v>
      </c>
      <c r="E95" s="408">
        <v>3.0</v>
      </c>
      <c r="F95" s="408">
        <v>4.0</v>
      </c>
      <c r="G95" s="408">
        <v>5.0</v>
      </c>
      <c r="H95" s="408">
        <v>6.0</v>
      </c>
      <c r="I95" s="408">
        <v>7.0</v>
      </c>
      <c r="J95" s="408">
        <v>8.0</v>
      </c>
      <c r="K95" s="408">
        <v>9.0</v>
      </c>
      <c r="L95" s="408">
        <v>10.0</v>
      </c>
      <c r="M95" s="408">
        <v>11.0</v>
      </c>
      <c r="N95" s="408">
        <v>12.0</v>
      </c>
      <c r="O95" s="408">
        <v>13.0</v>
      </c>
      <c r="P95" s="408">
        <v>14.0</v>
      </c>
      <c r="Q95" s="408">
        <v>15.0</v>
      </c>
      <c r="R95" s="408">
        <v>16.0</v>
      </c>
    </row>
    <row r="96">
      <c r="A96" s="408" t="str">
        <f t="shared" ref="A96:A99" si="19">SUM(C96:M96)</f>
        <v>#N/A</v>
      </c>
      <c r="B96" s="408" t="s">
        <v>144</v>
      </c>
      <c r="C96" s="151" t="str">
        <f t="shared" ref="C96:R96" si="18">SUMIFS('Minuta MTA 2025 GR3'!$AF:$AF,'Minuta MTA 2025 GR3'!$AH:$AH,C$2,'Minuta MTA 2025 GR3'!$T:$T,$B96)</f>
        <v>#N/A</v>
      </c>
      <c r="D96" s="151" t="str">
        <f t="shared" si="18"/>
        <v>#N/A</v>
      </c>
      <c r="E96" s="151" t="str">
        <f t="shared" si="18"/>
        <v>#N/A</v>
      </c>
      <c r="F96" s="151" t="str">
        <f t="shared" si="18"/>
        <v>#N/A</v>
      </c>
      <c r="G96" s="151" t="str">
        <f t="shared" si="18"/>
        <v>#N/A</v>
      </c>
      <c r="H96" s="151" t="str">
        <f t="shared" si="18"/>
        <v>#N/A</v>
      </c>
      <c r="I96" s="151" t="str">
        <f t="shared" si="18"/>
        <v>#N/A</v>
      </c>
      <c r="J96" s="151" t="str">
        <f t="shared" si="18"/>
        <v>#N/A</v>
      </c>
      <c r="K96" s="151" t="str">
        <f t="shared" si="18"/>
        <v>#N/A</v>
      </c>
      <c r="L96" s="151" t="str">
        <f t="shared" si="18"/>
        <v>#N/A</v>
      </c>
      <c r="M96" s="151" t="str">
        <f t="shared" si="18"/>
        <v>#N/A</v>
      </c>
      <c r="N96" s="151" t="str">
        <f t="shared" si="18"/>
        <v>#N/A</v>
      </c>
      <c r="O96" s="151" t="str">
        <f t="shared" si="18"/>
        <v>#N/A</v>
      </c>
      <c r="P96" s="151" t="str">
        <f t="shared" si="18"/>
        <v>#N/A</v>
      </c>
      <c r="Q96" s="151" t="str">
        <f t="shared" si="18"/>
        <v>#N/A</v>
      </c>
      <c r="R96" s="151" t="str">
        <f t="shared" si="18"/>
        <v>#N/A</v>
      </c>
    </row>
    <row r="97">
      <c r="A97" s="408" t="str">
        <f t="shared" si="19"/>
        <v>#N/A</v>
      </c>
      <c r="B97" s="408" t="s">
        <v>145</v>
      </c>
      <c r="C97" s="151" t="str">
        <f t="shared" ref="C97:R97" si="20">SUMIFS('Minuta MTA 2025 GR3'!$AF:$AF,'Minuta MTA 2025 GR3'!$AH:$AH,C$2,'Minuta MTA 2025 GR3'!$T:$T,$B97)</f>
        <v>#N/A</v>
      </c>
      <c r="D97" s="151" t="str">
        <f t="shared" si="20"/>
        <v>#N/A</v>
      </c>
      <c r="E97" s="151" t="str">
        <f t="shared" si="20"/>
        <v>#N/A</v>
      </c>
      <c r="F97" s="151" t="str">
        <f t="shared" si="20"/>
        <v>#N/A</v>
      </c>
      <c r="G97" s="151" t="str">
        <f t="shared" si="20"/>
        <v>#N/A</v>
      </c>
      <c r="H97" s="151" t="str">
        <f t="shared" si="20"/>
        <v>#N/A</v>
      </c>
      <c r="I97" s="151" t="str">
        <f t="shared" si="20"/>
        <v>#N/A</v>
      </c>
      <c r="J97" s="151" t="str">
        <f t="shared" si="20"/>
        <v>#N/A</v>
      </c>
      <c r="K97" s="151" t="str">
        <f t="shared" si="20"/>
        <v>#N/A</v>
      </c>
      <c r="L97" s="151" t="str">
        <f t="shared" si="20"/>
        <v>#N/A</v>
      </c>
      <c r="M97" s="151" t="str">
        <f t="shared" si="20"/>
        <v>#N/A</v>
      </c>
      <c r="N97" s="151" t="str">
        <f t="shared" si="20"/>
        <v>#N/A</v>
      </c>
      <c r="O97" s="151" t="str">
        <f t="shared" si="20"/>
        <v>#N/A</v>
      </c>
      <c r="P97" s="151" t="str">
        <f t="shared" si="20"/>
        <v>#N/A</v>
      </c>
      <c r="Q97" s="151" t="str">
        <f t="shared" si="20"/>
        <v>#N/A</v>
      </c>
      <c r="R97" s="151" t="str">
        <f t="shared" si="20"/>
        <v>#N/A</v>
      </c>
    </row>
    <row r="98">
      <c r="A98" s="408" t="str">
        <f t="shared" si="19"/>
        <v>#N/A</v>
      </c>
      <c r="B98" s="408" t="s">
        <v>146</v>
      </c>
      <c r="C98" s="151" t="str">
        <f t="shared" ref="C98:N98" si="21">SUMIFS('Minuta MTA 2025 GR3'!$AF:$AF,'Minuta MTA 2025 GR3'!$AH:$AH,C$2,'Minuta MTA 2025 GR3'!$T:$T,$B98)</f>
        <v>#N/A</v>
      </c>
      <c r="D98" s="151" t="str">
        <f t="shared" si="21"/>
        <v>#N/A</v>
      </c>
      <c r="E98" s="151" t="str">
        <f t="shared" si="21"/>
        <v>#N/A</v>
      </c>
      <c r="F98" s="151" t="str">
        <f t="shared" si="21"/>
        <v>#N/A</v>
      </c>
      <c r="G98" s="151" t="str">
        <f t="shared" si="21"/>
        <v>#N/A</v>
      </c>
      <c r="H98" s="151" t="str">
        <f t="shared" si="21"/>
        <v>#N/A</v>
      </c>
      <c r="I98" s="151" t="str">
        <f t="shared" si="21"/>
        <v>#N/A</v>
      </c>
      <c r="J98" s="151" t="str">
        <f t="shared" si="21"/>
        <v>#N/A</v>
      </c>
      <c r="K98" s="151" t="str">
        <f t="shared" si="21"/>
        <v>#N/A</v>
      </c>
      <c r="L98" s="151" t="str">
        <f t="shared" si="21"/>
        <v>#N/A</v>
      </c>
      <c r="M98" s="151" t="str">
        <f t="shared" si="21"/>
        <v>#N/A</v>
      </c>
      <c r="N98" s="151" t="str">
        <f t="shared" si="21"/>
        <v>#N/A</v>
      </c>
      <c r="O98" s="151" t="str">
        <f t="shared" ref="O98:R98" si="22">SUMIFS('Minuta MTA 2025 GR3'!$AF:$AF,'Minuta MTA 2025 GR3'!$AH:$AH,O$2,'Minuta MTA 2025 GR3'!$T:$T,$B98,'Minuta MTA 2025 GR3'!$AC:$AC,"")</f>
        <v>#N/A</v>
      </c>
      <c r="P98" s="151" t="str">
        <f t="shared" si="22"/>
        <v>#N/A</v>
      </c>
      <c r="Q98" s="151" t="str">
        <f t="shared" si="22"/>
        <v>#N/A</v>
      </c>
      <c r="R98" s="151" t="str">
        <f t="shared" si="22"/>
        <v>#N/A</v>
      </c>
    </row>
    <row r="99">
      <c r="A99" s="408" t="str">
        <f t="shared" si="19"/>
        <v>#N/A</v>
      </c>
      <c r="B99" s="408" t="s">
        <v>147</v>
      </c>
      <c r="C99" s="151" t="str">
        <f t="shared" ref="C99:N99" si="23">SUMIFS('Minuta MTA 2025 GR3'!$AF:$AF,'Minuta MTA 2025 GR3'!$AH:$AH,C$2,'Minuta MTA 2025 GR3'!$T:$T,$B99)</f>
        <v>#N/A</v>
      </c>
      <c r="D99" s="151" t="str">
        <f t="shared" si="23"/>
        <v>#N/A</v>
      </c>
      <c r="E99" s="151" t="str">
        <f t="shared" si="23"/>
        <v>#N/A</v>
      </c>
      <c r="F99" s="151" t="str">
        <f t="shared" si="23"/>
        <v>#N/A</v>
      </c>
      <c r="G99" s="151" t="str">
        <f t="shared" si="23"/>
        <v>#N/A</v>
      </c>
      <c r="H99" s="151" t="str">
        <f t="shared" si="23"/>
        <v>#N/A</v>
      </c>
      <c r="I99" s="151" t="str">
        <f t="shared" si="23"/>
        <v>#N/A</v>
      </c>
      <c r="J99" s="151" t="str">
        <f t="shared" si="23"/>
        <v>#N/A</v>
      </c>
      <c r="K99" s="151" t="str">
        <f t="shared" si="23"/>
        <v>#N/A</v>
      </c>
      <c r="L99" s="151" t="str">
        <f t="shared" si="23"/>
        <v>#N/A</v>
      </c>
      <c r="M99" s="151" t="str">
        <f t="shared" si="23"/>
        <v>#N/A</v>
      </c>
      <c r="N99" s="151" t="str">
        <f t="shared" si="23"/>
        <v>#N/A</v>
      </c>
      <c r="O99" s="151" t="str">
        <f t="shared" ref="O99:R99" si="24">SUMIFS('Minuta MTA 2025 GR3'!$AF:$AF,'Minuta MTA 2025 GR3'!$AH:$AH,O$2,'Minuta MTA 2025 GR3'!$T:$T,$B99,'Minuta MTA 2025 GR3'!$AC:$AC,"")</f>
        <v>#N/A</v>
      </c>
      <c r="P99" s="151" t="str">
        <f t="shared" si="24"/>
        <v>#N/A</v>
      </c>
      <c r="Q99" s="151" t="str">
        <f t="shared" si="24"/>
        <v>#N/A</v>
      </c>
      <c r="R99" s="151" t="str">
        <f t="shared" si="24"/>
        <v>#N/A</v>
      </c>
    </row>
    <row r="100">
      <c r="A100" s="408" t="s">
        <v>169</v>
      </c>
      <c r="B100" s="408" t="s">
        <v>144</v>
      </c>
      <c r="C100" s="151" t="str">
        <f t="shared" ref="C100:R100" si="25">SUMIFS('Minuta MTA 2025 GR3'!$AF:$AF,'Minuta MTA 2025 GR3'!$AH:$AH,C$2,'Minuta MTA 2025 GR3'!$T:$T,$B100,'Minuta MTA 2025 GR3'!$AC:$AC,"&lt;&gt;")</f>
        <v>#N/A</v>
      </c>
      <c r="D100" s="151" t="str">
        <f t="shared" si="25"/>
        <v>#N/A</v>
      </c>
      <c r="E100" s="151" t="str">
        <f t="shared" si="25"/>
        <v>#N/A</v>
      </c>
      <c r="F100" s="151" t="str">
        <f t="shared" si="25"/>
        <v>#N/A</v>
      </c>
      <c r="G100" s="151" t="str">
        <f t="shared" si="25"/>
        <v>#N/A</v>
      </c>
      <c r="H100" s="151" t="str">
        <f t="shared" si="25"/>
        <v>#N/A</v>
      </c>
      <c r="I100" s="151" t="str">
        <f t="shared" si="25"/>
        <v>#N/A</v>
      </c>
      <c r="J100" s="151" t="str">
        <f t="shared" si="25"/>
        <v>#N/A</v>
      </c>
      <c r="K100" s="151" t="str">
        <f t="shared" si="25"/>
        <v>#N/A</v>
      </c>
      <c r="L100" s="151" t="str">
        <f t="shared" si="25"/>
        <v>#N/A</v>
      </c>
      <c r="M100" s="151" t="str">
        <f t="shared" si="25"/>
        <v>#N/A</v>
      </c>
      <c r="N100" s="151" t="str">
        <f t="shared" si="25"/>
        <v>#N/A</v>
      </c>
      <c r="O100" s="151" t="str">
        <f t="shared" si="25"/>
        <v>#N/A</v>
      </c>
      <c r="P100" s="151" t="str">
        <f t="shared" si="25"/>
        <v>#N/A</v>
      </c>
      <c r="Q100" s="151" t="str">
        <f t="shared" si="25"/>
        <v>#N/A</v>
      </c>
      <c r="R100" s="151" t="str">
        <f t="shared" si="25"/>
        <v>#N/A</v>
      </c>
    </row>
    <row r="101">
      <c r="B101" s="408" t="s">
        <v>145</v>
      </c>
      <c r="C101" s="151" t="str">
        <f t="shared" ref="C101:R101" si="26">SUMIFS('Minuta MTA 2025 GR3'!$AF:$AF,'Minuta MTA 2025 GR3'!$AH:$AH,C$2,'Minuta MTA 2025 GR3'!$T:$T,$B101,'Minuta MTA 2025 GR3'!$AC:$AC,"&lt;&gt;")</f>
        <v>#N/A</v>
      </c>
      <c r="D101" s="151" t="str">
        <f t="shared" si="26"/>
        <v>#N/A</v>
      </c>
      <c r="E101" s="151" t="str">
        <f t="shared" si="26"/>
        <v>#N/A</v>
      </c>
      <c r="F101" s="151" t="str">
        <f t="shared" si="26"/>
        <v>#N/A</v>
      </c>
      <c r="G101" s="151" t="str">
        <f t="shared" si="26"/>
        <v>#N/A</v>
      </c>
      <c r="H101" s="151" t="str">
        <f t="shared" si="26"/>
        <v>#N/A</v>
      </c>
      <c r="I101" s="151" t="str">
        <f t="shared" si="26"/>
        <v>#N/A</v>
      </c>
      <c r="J101" s="151" t="str">
        <f t="shared" si="26"/>
        <v>#N/A</v>
      </c>
      <c r="K101" s="151" t="str">
        <f t="shared" si="26"/>
        <v>#N/A</v>
      </c>
      <c r="L101" s="151" t="str">
        <f t="shared" si="26"/>
        <v>#N/A</v>
      </c>
      <c r="M101" s="151" t="str">
        <f t="shared" si="26"/>
        <v>#N/A</v>
      </c>
      <c r="N101" s="151" t="str">
        <f t="shared" si="26"/>
        <v>#N/A</v>
      </c>
      <c r="O101" s="151" t="str">
        <f t="shared" si="26"/>
        <v>#N/A</v>
      </c>
      <c r="P101" s="151" t="str">
        <f t="shared" si="26"/>
        <v>#N/A</v>
      </c>
      <c r="Q101" s="151" t="str">
        <f t="shared" si="26"/>
        <v>#N/A</v>
      </c>
      <c r="R101" s="151" t="str">
        <f t="shared" si="26"/>
        <v>#N/A</v>
      </c>
    </row>
    <row r="102">
      <c r="B102" s="408" t="s">
        <v>146</v>
      </c>
      <c r="C102" s="151" t="str">
        <f t="shared" ref="C102:R102" si="27">SUMIFS('Minuta MTA 2025 GR3'!$AF:$AF,'Minuta MTA 2025 GR3'!$AH:$AH,C$2,'Minuta MTA 2025 GR3'!$T:$T,$B102,'Minuta MTA 2025 GR3'!$AC:$AC,"&lt;&gt;")</f>
        <v>#N/A</v>
      </c>
      <c r="D102" s="151" t="str">
        <f t="shared" si="27"/>
        <v>#N/A</v>
      </c>
      <c r="E102" s="151" t="str">
        <f t="shared" si="27"/>
        <v>#N/A</v>
      </c>
      <c r="F102" s="151" t="str">
        <f t="shared" si="27"/>
        <v>#N/A</v>
      </c>
      <c r="G102" s="151" t="str">
        <f t="shared" si="27"/>
        <v>#N/A</v>
      </c>
      <c r="H102" s="151" t="str">
        <f t="shared" si="27"/>
        <v>#N/A</v>
      </c>
      <c r="I102" s="151" t="str">
        <f t="shared" si="27"/>
        <v>#N/A</v>
      </c>
      <c r="J102" s="151" t="str">
        <f t="shared" si="27"/>
        <v>#N/A</v>
      </c>
      <c r="K102" s="151" t="str">
        <f t="shared" si="27"/>
        <v>#N/A</v>
      </c>
      <c r="L102" s="151" t="str">
        <f t="shared" si="27"/>
        <v>#N/A</v>
      </c>
      <c r="M102" s="151" t="str">
        <f t="shared" si="27"/>
        <v>#N/A</v>
      </c>
      <c r="N102" s="151" t="str">
        <f t="shared" si="27"/>
        <v>#N/A</v>
      </c>
      <c r="O102" s="151" t="str">
        <f t="shared" si="27"/>
        <v>#N/A</v>
      </c>
      <c r="P102" s="151" t="str">
        <f t="shared" si="27"/>
        <v>#N/A</v>
      </c>
      <c r="Q102" s="151" t="str">
        <f t="shared" si="27"/>
        <v>#N/A</v>
      </c>
      <c r="R102" s="151" t="str">
        <f t="shared" si="27"/>
        <v>#N/A</v>
      </c>
    </row>
    <row r="103">
      <c r="A103" s="408"/>
      <c r="B103" s="408" t="s">
        <v>144</v>
      </c>
      <c r="C103" s="151" t="str">
        <f t="shared" ref="C103:N103" si="28">SUMIFS('Minuta MTA 2025 GR3'!$AF:$AF,'Minuta MTA 2025 GR3'!$AG:$AG,C$2,'Minuta MTA 2025 GR3'!$T:$T,$B103,'Minuta MTA 2025 GR3'!$AC:$AC,"")</f>
        <v>#N/A</v>
      </c>
      <c r="D103" s="151" t="str">
        <f t="shared" si="28"/>
        <v>#N/A</v>
      </c>
      <c r="E103" s="151" t="str">
        <f t="shared" si="28"/>
        <v>#N/A</v>
      </c>
      <c r="F103" s="151" t="str">
        <f t="shared" si="28"/>
        <v>#N/A</v>
      </c>
      <c r="G103" s="151" t="str">
        <f t="shared" si="28"/>
        <v>#N/A</v>
      </c>
      <c r="H103" s="151" t="str">
        <f t="shared" si="28"/>
        <v>#N/A</v>
      </c>
      <c r="I103" s="151" t="str">
        <f t="shared" si="28"/>
        <v>#N/A</v>
      </c>
      <c r="J103" s="151" t="str">
        <f t="shared" si="28"/>
        <v>#N/A</v>
      </c>
      <c r="K103" s="151" t="str">
        <f t="shared" si="28"/>
        <v>#N/A</v>
      </c>
      <c r="L103" s="151" t="str">
        <f t="shared" si="28"/>
        <v>#N/A</v>
      </c>
      <c r="M103" s="151" t="str">
        <f t="shared" si="28"/>
        <v>#N/A</v>
      </c>
      <c r="N103" s="151" t="str">
        <f t="shared" si="28"/>
        <v>#N/A</v>
      </c>
    </row>
    <row r="104">
      <c r="A104" s="408"/>
      <c r="B104" s="408" t="s">
        <v>145</v>
      </c>
      <c r="C104" s="151" t="str">
        <f t="shared" ref="C104:N104" si="29">SUMIFS('Minuta MTA 2025 GR3'!$AF:$AF,'Minuta MTA 2025 GR3'!$AG:$AG,C$2,'Minuta MTA 2025 GR3'!$T:$T,$B104,'Minuta MTA 2025 GR3'!$AC:$AC,"")</f>
        <v>#N/A</v>
      </c>
      <c r="D104" s="151" t="str">
        <f t="shared" si="29"/>
        <v>#N/A</v>
      </c>
      <c r="E104" s="151" t="str">
        <f t="shared" si="29"/>
        <v>#N/A</v>
      </c>
      <c r="F104" s="151" t="str">
        <f t="shared" si="29"/>
        <v>#N/A</v>
      </c>
      <c r="G104" s="151" t="str">
        <f t="shared" si="29"/>
        <v>#N/A</v>
      </c>
      <c r="H104" s="151" t="str">
        <f t="shared" si="29"/>
        <v>#N/A</v>
      </c>
      <c r="I104" s="151" t="str">
        <f t="shared" si="29"/>
        <v>#N/A</v>
      </c>
      <c r="J104" s="151" t="str">
        <f t="shared" si="29"/>
        <v>#N/A</v>
      </c>
      <c r="K104" s="151" t="str">
        <f t="shared" si="29"/>
        <v>#N/A</v>
      </c>
      <c r="L104" s="151" t="str">
        <f t="shared" si="29"/>
        <v>#N/A</v>
      </c>
      <c r="M104" s="151" t="str">
        <f t="shared" si="29"/>
        <v>#N/A</v>
      </c>
      <c r="N104" s="151" t="str">
        <f t="shared" si="29"/>
        <v>#N/A</v>
      </c>
    </row>
    <row r="105">
      <c r="A105" s="408"/>
      <c r="B105" s="408" t="s">
        <v>146</v>
      </c>
      <c r="C105" s="151" t="str">
        <f t="shared" ref="C105:N105" si="30">SUMIFS('Minuta MTA 2025 GR3'!$AF:$AF,'Minuta MTA 2025 GR3'!$AG:$AG,C$2,'Minuta MTA 2025 GR3'!$T:$T,$B105,'Minuta MTA 2025 GR3'!$AC:$AC,"")</f>
        <v>#N/A</v>
      </c>
      <c r="D105" s="151" t="str">
        <f t="shared" si="30"/>
        <v>#N/A</v>
      </c>
      <c r="E105" s="151" t="str">
        <f t="shared" si="30"/>
        <v>#N/A</v>
      </c>
      <c r="F105" s="151" t="str">
        <f t="shared" si="30"/>
        <v>#N/A</v>
      </c>
      <c r="G105" s="151" t="str">
        <f t="shared" si="30"/>
        <v>#N/A</v>
      </c>
      <c r="H105" s="151" t="str">
        <f t="shared" si="30"/>
        <v>#N/A</v>
      </c>
      <c r="I105" s="151" t="str">
        <f t="shared" si="30"/>
        <v>#N/A</v>
      </c>
      <c r="J105" s="151" t="str">
        <f t="shared" si="30"/>
        <v>#N/A</v>
      </c>
      <c r="K105" s="151" t="str">
        <f t="shared" si="30"/>
        <v>#N/A</v>
      </c>
      <c r="L105" s="151" t="str">
        <f t="shared" si="30"/>
        <v>#N/A</v>
      </c>
      <c r="M105" s="151" t="str">
        <f t="shared" si="30"/>
        <v>#N/A</v>
      </c>
      <c r="N105" s="151" t="str">
        <f t="shared" si="30"/>
        <v>#N/A</v>
      </c>
    </row>
    <row r="106">
      <c r="A106" s="408"/>
      <c r="B106" s="408" t="s">
        <v>147</v>
      </c>
      <c r="C106" s="151" t="str">
        <f t="shared" ref="C106:N106" si="31">SUMIFS('Minuta MTA 2025 GR3'!$AF:$AF,'Minuta MTA 2025 GR3'!$AG:$AG,C$2,'Minuta MTA 2025 GR3'!$T:$T,$B106,'Minuta MTA 2025 GR3'!$AC:$AC,"")</f>
        <v>#N/A</v>
      </c>
      <c r="D106" s="151" t="str">
        <f t="shared" si="31"/>
        <v>#N/A</v>
      </c>
      <c r="E106" s="151" t="str">
        <f t="shared" si="31"/>
        <v>#N/A</v>
      </c>
      <c r="F106" s="151" t="str">
        <f t="shared" si="31"/>
        <v>#N/A</v>
      </c>
      <c r="G106" s="151" t="str">
        <f t="shared" si="31"/>
        <v>#N/A</v>
      </c>
      <c r="H106" s="151" t="str">
        <f t="shared" si="31"/>
        <v>#N/A</v>
      </c>
      <c r="I106" s="151" t="str">
        <f t="shared" si="31"/>
        <v>#N/A</v>
      </c>
      <c r="J106" s="151" t="str">
        <f t="shared" si="31"/>
        <v>#N/A</v>
      </c>
      <c r="K106" s="151" t="str">
        <f t="shared" si="31"/>
        <v>#N/A</v>
      </c>
      <c r="L106" s="151" t="str">
        <f t="shared" si="31"/>
        <v>#N/A</v>
      </c>
      <c r="M106" s="151" t="str">
        <f t="shared" si="31"/>
        <v>#N/A</v>
      </c>
      <c r="N106" s="151" t="str">
        <f t="shared" si="31"/>
        <v>#N/A</v>
      </c>
    </row>
    <row r="107">
      <c r="A107" s="408" t="s">
        <v>169</v>
      </c>
      <c r="B107" s="408" t="s">
        <v>144</v>
      </c>
      <c r="C107" s="173" t="str">
        <f t="shared" ref="C107:N107" si="32">SUMIFS('Minuta MTA 2025 GR3'!$AF:$AF,'Minuta MTA 2025 GR3'!$AG:$AG,C$2,'Minuta MTA 2025 GR3'!$T:$T,$B107,'Minuta MTA 2025 GR3'!$AC:$AC,"&lt;&gt;")</f>
        <v>#N/A</v>
      </c>
      <c r="D107" s="173" t="str">
        <f t="shared" si="32"/>
        <v>#N/A</v>
      </c>
      <c r="E107" s="173" t="str">
        <f t="shared" si="32"/>
        <v>#N/A</v>
      </c>
      <c r="F107" s="173" t="str">
        <f t="shared" si="32"/>
        <v>#N/A</v>
      </c>
      <c r="G107" s="173" t="str">
        <f t="shared" si="32"/>
        <v>#N/A</v>
      </c>
      <c r="H107" s="173" t="str">
        <f t="shared" si="32"/>
        <v>#N/A</v>
      </c>
      <c r="I107" s="173" t="str">
        <f t="shared" si="32"/>
        <v>#N/A</v>
      </c>
      <c r="J107" s="173" t="str">
        <f t="shared" si="32"/>
        <v>#N/A</v>
      </c>
      <c r="K107" s="173" t="str">
        <f t="shared" si="32"/>
        <v>#N/A</v>
      </c>
      <c r="L107" s="173" t="str">
        <f t="shared" si="32"/>
        <v>#N/A</v>
      </c>
      <c r="M107" s="173" t="str">
        <f t="shared" si="32"/>
        <v>#N/A</v>
      </c>
      <c r="N107" s="173" t="str">
        <f t="shared" si="32"/>
        <v>#N/A</v>
      </c>
    </row>
    <row r="108">
      <c r="B108" s="408" t="s">
        <v>145</v>
      </c>
      <c r="C108" s="173" t="str">
        <f t="shared" ref="C108:N108" si="33">SUMIFS('Minuta MTA 2025 GR3'!$AF:$AF,'Minuta MTA 2025 GR3'!$AG:$AG,C$2,'Minuta MTA 2025 GR3'!$T:$T,$B108,'Minuta MTA 2025 GR3'!$AC:$AC,"&lt;&gt;")</f>
        <v>#N/A</v>
      </c>
      <c r="D108" s="173" t="str">
        <f t="shared" si="33"/>
        <v>#N/A</v>
      </c>
      <c r="E108" s="173" t="str">
        <f t="shared" si="33"/>
        <v>#N/A</v>
      </c>
      <c r="F108" s="173" t="str">
        <f t="shared" si="33"/>
        <v>#N/A</v>
      </c>
      <c r="G108" s="173" t="str">
        <f t="shared" si="33"/>
        <v>#N/A</v>
      </c>
      <c r="H108" s="173" t="str">
        <f t="shared" si="33"/>
        <v>#N/A</v>
      </c>
      <c r="I108" s="173" t="str">
        <f t="shared" si="33"/>
        <v>#N/A</v>
      </c>
      <c r="J108" s="173" t="str">
        <f t="shared" si="33"/>
        <v>#N/A</v>
      </c>
      <c r="K108" s="173" t="str">
        <f t="shared" si="33"/>
        <v>#N/A</v>
      </c>
      <c r="L108" s="173" t="str">
        <f t="shared" si="33"/>
        <v>#N/A</v>
      </c>
      <c r="M108" s="173" t="str">
        <f t="shared" si="33"/>
        <v>#N/A</v>
      </c>
      <c r="N108" s="173" t="str">
        <f t="shared" si="33"/>
        <v>#N/A</v>
      </c>
    </row>
    <row r="109">
      <c r="B109" s="408" t="s">
        <v>146</v>
      </c>
      <c r="C109" s="173" t="str">
        <f t="shared" ref="C109:N109" si="34">SUMIFS('Minuta MTA 2025 GR3'!$AF:$AF,'Minuta MTA 2025 GR3'!$AG:$AG,C$2,'Minuta MTA 2025 GR3'!$T:$T,$B109,'Minuta MTA 2025 GR3'!$AC:$AC,"&lt;&gt;")</f>
        <v>#N/A</v>
      </c>
      <c r="D109" s="173" t="str">
        <f t="shared" si="34"/>
        <v>#N/A</v>
      </c>
      <c r="E109" s="173" t="str">
        <f t="shared" si="34"/>
        <v>#N/A</v>
      </c>
      <c r="F109" s="173" t="str">
        <f t="shared" si="34"/>
        <v>#N/A</v>
      </c>
      <c r="G109" s="173" t="str">
        <f t="shared" si="34"/>
        <v>#N/A</v>
      </c>
      <c r="H109" s="173" t="str">
        <f t="shared" si="34"/>
        <v>#N/A</v>
      </c>
      <c r="I109" s="173" t="str">
        <f t="shared" si="34"/>
        <v>#N/A</v>
      </c>
      <c r="J109" s="173" t="str">
        <f t="shared" si="34"/>
        <v>#N/A</v>
      </c>
      <c r="K109" s="173" t="str">
        <f t="shared" si="34"/>
        <v>#N/A</v>
      </c>
      <c r="L109" s="173" t="str">
        <f t="shared" si="34"/>
        <v>#N/A</v>
      </c>
      <c r="M109" s="173" t="str">
        <f t="shared" si="34"/>
        <v>#N/A</v>
      </c>
      <c r="N109" s="173" t="str">
        <f t="shared" si="34"/>
        <v>#N/A</v>
      </c>
    </row>
  </sheetData>
  <mergeCells count="6">
    <mergeCell ref="A1:R1"/>
    <mergeCell ref="A7:A10"/>
    <mergeCell ref="A12:N12"/>
    <mergeCell ref="A18:A21"/>
    <mergeCell ref="A100:A102"/>
    <mergeCell ref="A107:A109"/>
  </mergeCells>
  <drawing r:id="rId1"/>
</worksheet>
</file>